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1F170B9-BA99-48BB-9CDE-BE75B4FBAFD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H1688" i="1"/>
  <c r="H1690" i="1"/>
  <c r="H1692" i="1"/>
  <c r="H1695" i="1"/>
  <c r="H1696" i="1"/>
  <c r="H1698" i="1"/>
  <c r="H1700" i="1"/>
  <c r="H1702" i="1"/>
  <c r="H1704" i="1"/>
  <c r="H1707" i="1"/>
  <c r="H1709" i="1"/>
  <c r="H1711" i="1"/>
  <c r="H1713" i="1"/>
  <c r="H1715" i="1"/>
  <c r="H1717" i="1"/>
  <c r="H1719" i="1"/>
  <c r="H1721" i="1"/>
  <c r="H1722" i="1"/>
  <c r="H1724" i="1"/>
  <c r="H1726" i="1"/>
  <c r="H1728" i="1"/>
  <c r="H1730" i="1"/>
  <c r="H1732" i="1"/>
  <c r="H1734" i="1"/>
  <c r="H1736" i="1"/>
  <c r="H1738" i="1"/>
  <c r="H1740" i="1"/>
  <c r="H1742" i="1"/>
  <c r="H1744" i="1"/>
  <c r="H1746" i="1"/>
  <c r="H1748" i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1686" i="1"/>
  <c r="J1688" i="1"/>
  <c r="J1690" i="1"/>
  <c r="J1692" i="1"/>
  <c r="J1695" i="1"/>
  <c r="J1696" i="1"/>
  <c r="J1698" i="1"/>
  <c r="J1700" i="1"/>
  <c r="J1702" i="1"/>
  <c r="J1704" i="1"/>
  <c r="J1707" i="1"/>
  <c r="J1709" i="1"/>
  <c r="J1711" i="1"/>
  <c r="J1713" i="1"/>
  <c r="J1715" i="1"/>
  <c r="J1717" i="1"/>
  <c r="J1719" i="1"/>
  <c r="J1721" i="1"/>
  <c r="J1722" i="1"/>
  <c r="J1724" i="1"/>
  <c r="J1726" i="1"/>
  <c r="J1728" i="1"/>
  <c r="J1730" i="1"/>
  <c r="J1732" i="1"/>
  <c r="J1734" i="1"/>
  <c r="J1736" i="1"/>
  <c r="J1738" i="1"/>
  <c r="J1740" i="1"/>
  <c r="J1742" i="1"/>
  <c r="J1744" i="1"/>
  <c r="J1746" i="1"/>
  <c r="J1748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<sst xmlns="http://schemas.openxmlformats.org/spreadsheetml/2006/main" count="9019" uniqueCount="7120">
  <si>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</si>
  <si>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</si>
  <si>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</si>
  <si>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</si>
  <si>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</si>
  <si>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</si>
  <si>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</si>
  <si>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</si>
  <si>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</si>
  <si>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</si>
  <si>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</si>
  <si>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</si>
  <si>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</si>
  <si>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</si>
  <si>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</si>
  <si>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</si>
  <si>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</si>
  <si>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</si>
  <si>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</si>
  <si>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</si>
  <si>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</si>
  <si>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</si>
  <si>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</si>
  <si>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</si>
  <si>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</si>
  <si>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</si>
  <si>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</si>
  <si>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</si>
  <si>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</si>
  <si>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</si>
  <si>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</si>
  <si>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</si>
  <si>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</si>
  <si>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</si>
  <si>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</si>
  <si>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</si>
  <si>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</si>
  <si>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</si>
  <si>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</si>
  <si>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</si>
  <si>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</si>
  <si>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</si>
  <si>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</si>
  <si>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</si>
  <si>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</si>
  <si>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</si>
  <si>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</si>
  <si>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</si>
  <si>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</si>
  <si>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</si>
  <si>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</si>
  <si>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</si>
  <si>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</si>
  <si>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</si>
  <si>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</si>
  <si>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</si>
  <si>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</si>
  <si>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</si>
  <si>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</si>
  <si>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</si>
  <si>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</si>
  <si>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</si>
  <si>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</si>
  <si>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</si>
  <si>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</si>
  <si>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</si>
  <si>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</si>
  <si>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</si>
  <si>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</si>
  <si>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</si>
  <si>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</si>
  <si>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</si>
  <si>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</si>
  <si>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</si>
  <si>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</si>
  <si>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</si>
  <si>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</si>
  <si>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</si>
  <si>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</si>
  <si>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</si>
  <si>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</si>
  <si>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</si>
  <si>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</si>
  <si>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</si>
  <si>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</si>
  <si>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</si>
  <si>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</si>
  <si>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</si>
  <si>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</si>
  <si>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</si>
  <si>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</si>
  <si>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</si>
  <si>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</si>
  <si>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</si>
  <si>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</si>
  <si>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</si>
  <si>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</si>
  <si>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</si>
  <si>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</si>
  <si>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</si>
  <si>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</si>
  <si>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</si>
  <si>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</si>
  <si>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</si>
  <si>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</si>
  <si>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</si>
  <si>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</si>
  <si>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</si>
  <si>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</si>
  <si>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</si>
  <si>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</si>
  <si>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</si>
  <si>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</si>
  <si>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</si>
  <si>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</si>
  <si>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</si>
  <si>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</si>
  <si>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</si>
  <si>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</si>
  <si>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</si>
  <si>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</si>
  <si>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</si>
  <si>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</si>
  <si>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</si>
  <si>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</si>
  <si>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</si>
  <si>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</si>
  <si>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</si>
  <si>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</si>
  <si>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</si>
  <si>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</si>
  <si>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</si>
  <si>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</si>
  <si>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</si>
  <si>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</si>
  <si>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</si>
  <si>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</si>
  <si>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</si>
  <si>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</si>
  <si>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</si>
  <si>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</si>
  <si>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</si>
  <si>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</si>
  <si>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</si>
  <si>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</si>
  <si>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</si>
  <si>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</si>
  <si>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</si>
  <si>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</si>
  <si>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</si>
  <si>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</si>
  <si>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</si>
  <si>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</si>
  <si>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</si>
  <si>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</si>
  <si>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</si>
  <si>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</si>
  <si>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</si>
  <si>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</si>
  <si>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</si>
  <si>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</si>
  <si>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</si>
  <si>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</si>
  <si>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</si>
  <si>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</si>
  <si>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</si>
  <si>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</si>
  <si>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</si>
  <si>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</si>
  <si>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</si>
  <si>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</si>
  <si>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</si>
  <si>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</si>
  <si>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</si>
  <si>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</si>
  <si>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</si>
  <si>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</si>
  <si>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</si>
  <si>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</si>
  <si>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</si>
  <si>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</si>
  <si>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</si>
  <si>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</si>
  <si>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</si>
  <si>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</si>
  <si>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</si>
  <si>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</si>
  <si>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</si>
  <si>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</si>
  <si>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</si>
  <si>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</si>
  <si>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</si>
  <si>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</si>
  <si>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</si>
  <si>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</si>
  <si>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</si>
  <si>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</si>
  <si>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</si>
  <si>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</si>
  <si>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</si>
  <si>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</si>
  <si>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</si>
  <si>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</si>
  <si>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</si>
  <si>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</si>
  <si>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</si>
  <si>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</si>
  <si>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</si>
  <si>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</si>
  <si>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</si>
  <si>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</si>
  <si>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</si>
  <si>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</si>
  <si>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</si>
  <si>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</si>
  <si>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</si>
  <si>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</si>
  <si>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</si>
  <si>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</si>
  <si>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</si>
  <si>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</si>
  <si>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</si>
  <si>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</si>
  <si>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</si>
  <si>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</si>
  <si>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</si>
  <si>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</si>
  <si>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</si>
  <si>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</si>
  <si>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</si>
  <si>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</si>
  <si>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</si>
  <si>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</si>
  <si>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</si>
  <si>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</si>
  <si>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</si>
  <si>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</si>
  <si>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</si>
  <si>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</si>
  <si>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</si>
  <si>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</si>
  <si>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</si>
  <si>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</si>
  <si>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</si>
  <si>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</si>
  <si>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</si>
  <si>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</si>
  <si>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</si>
  <si>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</si>
  <si>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</si>
  <si>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</si>
  <si>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</si>
  <si>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</si>
  <si>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</si>
  <si>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</si>
  <si>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</si>
  <si>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</si>
  <si>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</si>
  <si>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</si>
  <si>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</si>
  <si>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</si>
  <si>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</si>
  <si>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</si>
  <si>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</si>
  <si>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</si>
  <si>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</si>
  <si>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</si>
  <si>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</si>
  <si>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</si>
  <si>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</si>
  <si>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</si>
  <si>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</si>
  <si>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</si>
  <si>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</si>
  <si>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</si>
  <si>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</si>
  <si>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</si>
  <si>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</si>
  <si>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</si>
  <si>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</si>
  <si>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</si>
  <si>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</si>
  <si>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</si>
  <si>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</si>
  <si>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</si>
  <si>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</si>
  <si>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</si>
  <si>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</si>
  <si>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</si>
  <si>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</si>
  <si>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</si>
  <si>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</si>
  <si>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</si>
  <si>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</si>
  <si>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</si>
  <si>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</si>
  <si>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</si>
  <si>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</si>
  <si>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</si>
  <si>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</si>
  <si>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</si>
  <si>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</si>
  <si>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</si>
  <si>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</si>
  <si>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</si>
  <si>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</si>
  <si>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</si>
  <si>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</si>
  <si>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</si>
  <si>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</si>
  <si>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</si>
  <si>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</si>
  <si>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</si>
  <si>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</si>
  <si>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</si>
  <si>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</si>
  <si>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</si>
  <si>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</si>
  <si>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</si>
  <si>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</si>
  <si>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</si>
  <si>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</si>
  <si>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</si>
  <si>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</si>
  <si>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</si>
  <si>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</si>
  <si>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</si>
  <si>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</si>
  <si>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</si>
  <si>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</si>
  <si>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</si>
  <si>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</si>
  <si>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</si>
  <si>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</si>
  <si>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</si>
  <si>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</si>
  <si>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</si>
  <si>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</si>
  <si>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</si>
  <si>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</si>
  <si>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</si>
  <si>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</si>
  <si>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</si>
  <si>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</si>
  <si>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</si>
  <si>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</si>
  <si>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</si>
  <si>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</si>
  <si>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</si>
  <si>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</si>
  <si>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</si>
  <si>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</si>
  <si>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</si>
  <si>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</si>
  <si>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</si>
  <si>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</si>
  <si>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</si>
  <si>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</si>
  <si>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</si>
  <si>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</si>
  <si>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</si>
  <si>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</si>
  <si>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</si>
  <si>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</si>
  <si>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</si>
  <si>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</si>
  <si>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</si>
  <si>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</si>
  <si>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</si>
  <si>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</si>
  <si>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</si>
  <si>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</si>
  <si>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</si>
  <si>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</si>
  <si>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</si>
  <si>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</si>
  <si>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</si>
  <si>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</si>
  <si>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</si>
  <si>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</si>
  <si>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</si>
  <si>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</si>
  <si>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</si>
  <si>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</si>
  <si>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</si>
  <si>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</si>
  <si>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</si>
  <si>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</si>
  <si>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</si>
  <si>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</si>
  <si>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</si>
  <si>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</si>
  <si>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</si>
  <si>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</si>
  <si>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</si>
  <si>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</si>
  <si>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</si>
  <si>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</si>
  <si>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</si>
  <si>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</si>
  <si>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</si>
  <si>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</si>
  <si>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</si>
  <si>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</si>
  <si>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</si>
  <si>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</si>
  <si>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</si>
  <si>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</si>
  <si>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</si>
  <si>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</si>
  <si>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</si>
  <si>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</si>
  <si>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</si>
  <si>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</si>
  <si>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</si>
  <si>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</si>
  <si>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</si>
  <si>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</si>
  <si>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</si>
  <si>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</si>
  <si>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</si>
  <si>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</si>
  <si>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</si>
  <si>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</si>
  <si>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</si>
  <si>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</si>
  <si>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</si>
  <si>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</si>
  <si>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</si>
  <si>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</si>
  <si>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</si>
  <si>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</si>
  <si>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</si>
  <si>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</si>
  <si>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</si>
  <si>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</si>
  <si>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</si>
  <si>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</si>
  <si>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</si>
  <si>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</si>
  <si>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</si>
  <si>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</si>
  <si>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</si>
  <si>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</si>
  <si>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</si>
  <si>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</si>
  <si>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</si>
  <si>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</si>
  <si>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</si>
  <si>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</si>
  <si>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</si>
  <si>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</si>
  <si>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</si>
  <si>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</si>
  <si>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</si>
  <si>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</si>
  <si>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</si>
  <si>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</si>
  <si>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</si>
  <si>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</si>
  <si>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</si>
  <si>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</si>
  <si>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</si>
  <si>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</si>
  <si>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</si>
  <si>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</si>
  <si>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</si>
  <si>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</si>
  <si>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</si>
  <si>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</si>
  <si>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</si>
  <si>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</si>
  <si>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</si>
  <si>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</si>
  <si>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</si>
  <si>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</si>
  <si>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</si>
  <si>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</si>
  <si>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</si>
  <si>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</si>
  <si>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</si>
  <si>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</si>
  <si>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</si>
  <si>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</si>
  <si>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</si>
  <si>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</si>
  <si>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</si>
  <si>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</si>
  <si>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</si>
  <si>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</si>
  <si>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</si>
  <si>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</si>
  <si>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</si>
  <si>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</si>
  <si>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</si>
  <si>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</si>
  <si>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</si>
  <si>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</si>
  <si>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</si>
  <si>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</si>
  <si>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</si>
  <si>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</si>
  <si>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</si>
  <si>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</si>
  <si>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</si>
  <si>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</si>
  <si>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</si>
  <si>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</si>
  <si>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</si>
  <si>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</si>
  <si>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</si>
  <si>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</si>
  <si>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</si>
  <si>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</si>
  <si>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</si>
  <si>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</si>
  <si>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</si>
  <si>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</si>
  <si>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</si>
  <si>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</si>
  <si>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</si>
  <si>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</si>
  <si>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</si>
  <si>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</si>
  <si>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</si>
  <si>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</si>
  <si>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</si>
  <si>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</si>
  <si>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</si>
  <si>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</si>
  <si>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</si>
  <si>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</si>
  <si>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</si>
  <si>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</si>
  <si>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</si>
  <si>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</si>
  <si>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</si>
  <si>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</si>
  <si>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</si>
  <si>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</si>
  <si>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</si>
  <si>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</si>
  <si>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</si>
  <si>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</si>
  <si>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</si>
  <si>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</si>
  <si>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</si>
  <si>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</si>
  <si>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</si>
  <si>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</si>
  <si>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</si>
  <si>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</si>
  <si>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</si>
  <si>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</si>
  <si>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</si>
  <si>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</si>
  <si>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</si>
  <si>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</si>
  <si>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</si>
  <si>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</si>
  <si>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</si>
  <si>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</si>
  <si>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</si>
  <si>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</si>
  <si>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</si>
  <si>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</si>
  <si>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</si>
  <si>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</si>
  <si>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</si>
  <si>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</si>
  <si>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</si>
  <si>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</si>
  <si>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</si>
  <si>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</si>
  <si>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</si>
  <si>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</si>
  <si>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</si>
  <si>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</si>
  <si>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</si>
  <si>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</si>
  <si>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</si>
  <si>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</si>
  <si>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</si>
  <si>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</si>
  <si>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</si>
  <si>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</si>
  <si>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</si>
  <si>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</si>
  <si>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</si>
  <si>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</si>
  <si>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</si>
  <si>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</si>
  <si>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</si>
  <si>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</si>
  <si>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</si>
  <si>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</si>
  <si>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</si>
  <si>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</si>
  <si>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</si>
  <si>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</si>
  <si>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</si>
  <si>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</si>
  <si>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</si>
  <si>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</si>
  <si>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</si>
  <si>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</si>
  <si>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</si>
  <si>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</si>
  <si>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</si>
  <si>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</si>
  <si>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</si>
  <si>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</si>
  <si>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</si>
  <si>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</si>
  <si>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</si>
  <si>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</si>
  <si>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</si>
  <si>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</si>
  <si>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</si>
  <si>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</si>
  <si>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</si>
  <si>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</si>
  <si>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</si>
  <si>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</si>
  <si>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</si>
  <si>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</si>
  <si>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</si>
  <si>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</si>
  <si>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</si>
  <si>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</si>
  <si>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</si>
  <si>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</si>
  <si>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</si>
  <si>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</si>
  <si>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</si>
  <si>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</si>
  <si>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</si>
  <si>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</si>
  <si>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</si>
  <si>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</si>
  <si>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</si>
  <si>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</si>
  <si>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</si>
  <si>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</si>
  <si>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</si>
  <si>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</si>
  <si>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</si>
  <si>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</si>
  <si>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</si>
  <si>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</si>
  <si>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</si>
  <si>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</si>
  <si>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</si>
  <si>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</si>
  <si>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</si>
  <si>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</si>
  <si>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</si>
  <si>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</si>
  <si>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</si>
  <si>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</si>
  <si>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</si>
  <si>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</si>
  <si>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</si>
  <si>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</si>
  <si>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</si>
  <si>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</si>
  <si>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</si>
  <si>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</si>
  <si>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</si>
  <si>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</si>
  <si>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</si>
  <si>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</si>
  <si>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</si>
  <si>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</si>
  <si>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</si>
  <si>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</si>
  <si>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</si>
  <si>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</si>
  <si>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</si>
  <si>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</si>
  <si>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</si>
  <si>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</si>
  <si>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</si>
  <si>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</si>
  <si>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</si>
  <si>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</si>
  <si>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</si>
  <si>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</si>
  <si>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</si>
  <si>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</si>
  <si>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</si>
  <si>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</si>
  <si>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</si>
  <si>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</si>
  <si>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</si>
  <si>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</si>
  <si>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</si>
  <si>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</si>
  <si>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</si>
  <si>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</si>
  <si>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</si>
  <si>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</si>
  <si>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</si>
  <si>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</si>
  <si>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</si>
  <si>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</si>
  <si>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</si>
  <si>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</si>
  <si>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</si>
  <si>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</si>
  <si>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</si>
  <si>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</si>
  <si>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</si>
  <si>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</si>
  <si>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</si>
  <si>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</si>
  <si>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</si>
  <si>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</si>
  <si>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</si>
  <si>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</si>
  <si>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</si>
  <si>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</si>
  <si>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</si>
  <si>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</si>
  <si>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</si>
  <si>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</si>
  <si>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</si>
  <si>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</si>
  <si>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</si>
  <si>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</si>
  <si>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</si>
  <si>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</si>
  <si>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</si>
  <si>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</si>
  <si>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</si>
  <si>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</si>
  <si>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</si>
  <si>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</si>
  <si>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</si>
  <si>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</si>
  <si>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</si>
  <si>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</si>
  <si>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</si>
  <si>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</si>
  <si>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</si>
  <si>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</si>
  <si>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</si>
  <si>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</si>
  <si>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</si>
  <si>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</si>
  <si>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</si>
  <si>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</si>
  <si>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</si>
  <si>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</si>
  <si>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</si>
  <si>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</si>
  <si>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</si>
  <si>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</si>
  <si>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</si>
  <si>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</si>
  <si>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</si>
  <si>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</si>
  <si>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</si>
  <si>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</si>
  <si>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</si>
  <si>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</si>
  <si>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</si>
  <si>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</si>
  <si>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</si>
  <si>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</si>
  <si>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</si>
  <si>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</si>
  <si>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</si>
  <si>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</si>
  <si>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</si>
  <si>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</si>
  <si>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</si>
  <si>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</si>
  <si>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</si>
  <si>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</si>
  <si>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</si>
  <si>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</si>
  <si>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</si>
  <si>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</si>
  <si>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</si>
  <si>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</si>
  <si>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</si>
  <si>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</si>
  <si>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</si>
  <si>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</si>
  <si>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</si>
  <si>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</si>
  <si>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</si>
  <si>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</si>
  <si>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</si>
  <si>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</si>
  <si>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</si>
  <si>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</si>
  <si>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</si>
  <si>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</si>
  <si>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</si>
  <si>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</si>
  <si>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</si>
  <si>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</si>
  <si>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</si>
  <si>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</si>
  <si>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</si>
  <si>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</si>
  <si>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</si>
  <si>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</si>
  <si>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</si>
  <si>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</si>
  <si>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</si>
  <si>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</si>
  <si>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</si>
  <si>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</si>
  <si>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</si>
  <si>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</si>
  <si>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</si>
  <si>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</si>
  <si>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</si>
  <si>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</si>
  <si>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</si>
  <si>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</si>
  <si>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</si>
  <si>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</si>
  <si>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</si>
  <si>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</si>
  <si>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</si>
  <si>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</si>
  <si>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</si>
  <si>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</si>
  <si>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</si>
  <si>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</si>
  <si>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</si>
  <si>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</si>
  <si>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</si>
  <si>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</si>
  <si>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</si>
  <si>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</si>
  <si>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</si>
  <si>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</si>
  <si>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</si>
  <si>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</si>
  <si>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</si>
  <si>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</si>
  <si>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</si>
  <si>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</si>
  <si>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</si>
  <si>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</si>
  <si>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</si>
  <si>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</si>
  <si>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</si>
  <si>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</si>
  <si>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</si>
  <si>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</si>
  <si>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</si>
  <si>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</si>
  <si>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</si>
  <si>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</si>
  <si>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</si>
  <si>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</si>
  <si>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</si>
  <si>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</si>
  <si>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</si>
  <si>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</si>
  <si>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</si>
  <si>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</si>
  <si>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</si>
  <si>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</si>
  <si>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</si>
  <si>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</si>
  <si>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</si>
  <si>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</si>
  <si>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</si>
  <si>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</si>
  <si>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</si>
  <si>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</si>
  <si>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</si>
  <si>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</si>
  <si>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</si>
  <si>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</si>
  <si>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</si>
  <si>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</si>
  <si>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</si>
  <si>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</si>
  <si>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</si>
  <si>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</si>
  <si>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</si>
  <si>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</si>
  <si>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</si>
  <si>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</si>
  <si>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</si>
  <si>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</si>
  <si>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</si>
  <si>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</si>
  <si>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</si>
  <si>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</si>
  <si>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</si>
  <si>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</si>
  <si>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</si>
  <si>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</si>
  <si>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</si>
  <si>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</si>
  <si>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</si>
  <si>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</si>
  <si>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</si>
  <si>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</si>
  <si>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</si>
  <si>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</si>
  <si>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</si>
  <si>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</si>
  <si>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</si>
  <si>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</si>
  <si>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</si>
  <si>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</si>
  <si>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</si>
  <si>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</si>
  <si>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</si>
  <si>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</si>
  <si>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</si>
  <si>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</si>
  <si>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</si>
  <si>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</si>
  <si>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</si>
  <si>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</si>
  <si>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</si>
  <si>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</si>
  <si>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</si>
  <si>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</si>
  <si>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</si>
  <si>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</si>
  <si>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</si>
  <si>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</si>
  <si>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</si>
  <si>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</si>
  <si>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</si>
  <si>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</si>
  <si>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</si>
  <si>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</si>
  <si>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</si>
  <si>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</si>
  <si>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</si>
  <si>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</si>
  <si>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</si>
  <si>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</si>
  <si>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</si>
  <si>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</si>
  <si>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</si>
  <si>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</si>
  <si>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</si>
  <si>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</si>
  <si>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</si>
  <si>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</si>
  <si>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</si>
  <si>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</si>
  <si>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</si>
  <si>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</si>
  <si>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</si>
  <si>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</si>
  <si>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</si>
  <si>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</si>
  <si>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</si>
  <si>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</si>
  <si>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</si>
  <si>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</si>
  <si>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</si>
  <si>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</si>
  <si>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</si>
  <si>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</si>
  <si>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</si>
  <si>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</si>
  <si>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</si>
  <si>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</si>
  <si>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</si>
  <si>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</si>
  <si>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</si>
  <si>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</si>
  <si>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</si>
  <si>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</si>
  <si>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</si>
  <si>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</si>
  <si>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</si>
  <si>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</si>
  <si>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</si>
  <si>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</si>
  <si>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</si>
  <si>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</si>
  <si>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</si>
  <si>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</si>
  <si>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</si>
  <si>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</si>
  <si>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</si>
  <si>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</si>
  <si>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</si>
  <si>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</si>
  <si>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</si>
  <si>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</si>
  <si>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</si>
  <si>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</si>
  <si>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</si>
  <si>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</si>
  <si>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</si>
  <si>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</si>
  <si>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</si>
  <si>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</si>
  <si>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</si>
  <si>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</si>
  <si>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</si>
  <si>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</si>
  <si>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</si>
  <si>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</si>
  <si>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</si>
  <si>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</si>
  <si>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</si>
  <si>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</si>
  <si>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</si>
  <si>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</si>
  <si>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</si>
  <si>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</si>
  <si>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</si>
  <si>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</si>
  <si>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</si>
  <si>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</si>
  <si>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</si>
  <si>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</si>
  <si>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</si>
  <si>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</si>
  <si>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</si>
  <si>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</si>
  <si>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</si>
  <si>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</si>
  <si>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</si>
  <si>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</si>
  <si>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</si>
  <si>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</si>
  <si>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</si>
  <si>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</si>
  <si>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</si>
  <si>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</si>
  <si>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</si>
  <si>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</si>
  <si>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</si>
  <si>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</si>
  <si>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</si>
  <si>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</si>
  <si>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</si>
  <si>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</si>
  <si>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</si>
  <si>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</si>
  <si>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</si>
  <si>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</si>
  <si>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</si>
  <si>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</si>
  <si>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</si>
  <si>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</si>
  <si>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</si>
  <si>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</si>
  <si>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</si>
  <si>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</si>
  <si>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</si>
  <si>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</si>
  <si>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</si>
  <si>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</si>
  <si>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</si>
  <si>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</si>
  <si>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</si>
  <si>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</si>
  <si>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</si>
  <si>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</si>
  <si>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</si>
  <si>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</si>
  <si>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</si>
  <si>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</si>
  <si>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</si>
  <si>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</si>
  <si>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</si>
  <si>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</si>
  <si>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</si>
  <si>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</si>
  <si>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</si>
  <si>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</si>
  <si>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</si>
  <si>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</si>
  <si>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</si>
  <si>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</si>
  <si>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</si>
  <si>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</si>
  <si>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</si>
  <si>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</si>
  <si>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</si>
  <si>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</si>
  <si>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</si>
  <si>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</si>
  <si>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</si>
  <si>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</si>
  <si>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</si>
  <si>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</si>
  <si>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</si>
  <si>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</si>
  <si>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</si>
  <si>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</si>
  <si>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</si>
  <si>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</si>
  <si>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</si>
  <si>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</si>
  <si>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</si>
  <si>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</si>
  <si>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</si>
  <si>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</si>
  <si>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</si>
  <si>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</si>
  <si>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</si>
  <si>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</si>
  <si>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</si>
  <si>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</si>
  <si>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</si>
  <si>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</si>
  <si>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</si>
  <si>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</si>
  <si>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</si>
  <si>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</si>
  <si>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</si>
  <si>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</si>
  <si>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</si>
  <si>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</si>
  <si>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</si>
  <si>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</si>
  <si>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</si>
  <si>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</si>
  <si>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</si>
  <si>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</si>
  <si>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</si>
  <si>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</si>
  <si>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</si>
  <si>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</si>
  <si>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</si>
  <si>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</si>
  <si>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</si>
  <si>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</si>
  <si>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</si>
  <si>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</si>
  <si>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</si>
  <si>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</si>
  <si>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</si>
  <si>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</si>
  <si>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</si>
  <si>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</si>
  <si>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</si>
  <si>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</si>
  <si>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</si>
  <si>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</si>
  <si>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</si>
  <si>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</si>
  <si>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</si>
  <si>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</si>
  <si>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</si>
  <si>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</si>
  <si>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</si>
  <si>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</si>
  <si>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</si>
  <si>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</si>
  <si>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</si>
  <si>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</si>
  <si>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</si>
  <si>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</si>
  <si>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</si>
  <si>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</si>
  <si>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</si>
  <si>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</si>
  <si>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</si>
  <si>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</si>
  <si>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</si>
  <si>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</si>
  <si>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</si>
  <si>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</si>
  <si>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</si>
  <si>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</si>
  <si>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</si>
  <si>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</si>
  <si>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</si>
  <si>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</si>
  <si>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</si>
  <si>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</si>
  <si>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</si>
  <si>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</si>
  <si>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</si>
  <si>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</si>
  <si>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</si>
  <si>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</si>
  <si>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</si>
  <si>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</si>
  <si>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</si>
  <si>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</si>
  <si>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</si>
  <si>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</si>
  <si>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</si>
  <si>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</si>
  <si>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</si>
  <si>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</si>
  <si>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</si>
  <si>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</si>
  <si>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</si>
  <si>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</si>
  <si>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</si>
  <si>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</si>
  <si>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</si>
  <si>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</si>
  <si>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</si>
  <si>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</si>
  <si>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</si>
  <si>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</si>
  <si>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</si>
  <si>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</si>
  <si>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</si>
  <si>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</si>
  <si>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</si>
  <si>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</si>
  <si>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</si>
  <si>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</si>
  <si>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</si>
  <si>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</si>
  <si>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</si>
  <si>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</si>
  <si>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</si>
  <si>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</si>
  <si>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</si>
  <si>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</si>
  <si>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</si>
  <si>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</si>
  <si>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</si>
  <si>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</si>
  <si>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</si>
  <si>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</si>
  <si>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</si>
  <si>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</si>
  <si>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</si>
  <si>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</si>
  <si>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</si>
  <si>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</si>
  <si>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</si>
  <si>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</si>
  <si>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</si>
  <si>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</si>
  <si>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</si>
  <si>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</si>
  <si>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</si>
  <si>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</si>
  <si>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</si>
  <si>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</si>
  <si>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</si>
  <si>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</si>
  <si>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</si>
  <si>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</si>
  <si>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</si>
  <si>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</si>
  <si>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</si>
  <si>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</si>
  <si>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</si>
  <si>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</si>
  <si>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</si>
  <si>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</si>
  <si>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</si>
  <si>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</si>
  <si>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</si>
  <si>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</si>
  <si>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</si>
  <si>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</si>
  <si>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</si>
  <si>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</si>
  <si>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</si>
  <si>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</si>
  <si>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</si>
  <si>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</si>
  <si>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</si>
  <si>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</si>
  <si>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</si>
  <si>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</si>
  <si>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</si>
  <si>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</si>
  <si>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</si>
  <si>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</si>
  <si>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</si>
  <si>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</si>
  <si>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</si>
  <si>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</si>
  <si>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</si>
  <si>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</si>
  <si>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</si>
  <si>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</si>
  <si>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</si>
  <si>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</si>
  <si>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</si>
  <si>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</si>
  <si>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</si>
  <si>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</si>
  <si>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</si>
  <si>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</si>
  <si>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</si>
  <si>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</si>
  <si>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</si>
  <si>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</si>
  <si>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</si>
  <si>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</si>
  <si>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</si>
  <si>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</si>
  <si>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</si>
  <si>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</si>
  <si>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</si>
  <si>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</si>
  <si>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</si>
  <si>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</si>
  <si>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</si>
  <si>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</si>
  <si>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</si>
  <si>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</si>
  <si>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</si>
  <si>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</si>
  <si>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</si>
  <si>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</si>
  <si>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</si>
  <si>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</si>
  <si>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</si>
  <si>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</si>
  <si>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</si>
  <si>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</si>
  <si>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</si>
  <si>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</si>
  <si>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</si>
  <si>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</si>
  <si>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</si>
  <si>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</si>
  <si>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</si>
  <si>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</si>
  <si>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</si>
  <si>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</si>
  <si>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</si>
  <si>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</si>
  <si>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</si>
  <si>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</si>
  <si>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</si>
  <si>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</si>
  <si>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</si>
  <si>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</si>
  <si>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</si>
  <si>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</si>
  <si>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</si>
  <si>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</si>
  <si>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</si>
  <si>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</si>
  <si>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</si>
  <si>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</si>
  <si>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</si>
  <si>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</si>
  <si>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</si>
  <si>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</si>
  <si>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</si>
  <si>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</si>
  <si>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</si>
  <si>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</si>
  <si>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</si>
  <si>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</si>
  <si>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</si>
  <si>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</si>
  <si>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</si>
  <si>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</si>
  <si>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</si>
  <si>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</si>
  <si>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</si>
  <si>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</si>
  <si>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</si>
  <si>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</si>
  <si>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</si>
  <si>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</si>
  <si>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</si>
  <si>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</si>
  <si>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</si>
  <si>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</si>
  <si>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</si>
  <si>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</si>
  <si>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</si>
  <si>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</si>
  <si>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</si>
  <si>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</si>
  <si>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</si>
  <si>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</si>
  <si>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</si>
  <si>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</si>
  <si>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</si>
  <si>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</si>
  <si>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</si>
  <si>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</si>
  <si>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</si>
  <si>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</si>
  <si>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</si>
  <si>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</si>
  <si>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</si>
  <si>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</si>
  <si>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</si>
  <si>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</si>
  <si>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</si>
  <si>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</si>
  <si>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</si>
  <si>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</si>
  <si>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</si>
  <si>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</si>
  <si>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</si>
  <si>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</si>
  <si>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</si>
  <si>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</si>
  <si>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</si>
  <si>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</si>
  <si>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</si>
  <si>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</si>
  <si>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</si>
  <si>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</si>
  <si>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</si>
  <si>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</si>
  <si>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</si>
  <si>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</si>
  <si>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</si>
  <si>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</si>
  <si>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</si>
  <si>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</si>
  <si>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</si>
  <si>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</si>
  <si>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</si>
  <si>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</si>
  <si>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</si>
  <si>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</si>
  <si>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</si>
  <si>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</si>
  <si>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</si>
  <si>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</si>
  <si>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</si>
  <si>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</si>
  <si>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</si>
  <si>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</si>
  <si>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</si>
  <si>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</si>
  <si>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</si>
  <si>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</si>
  <si>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</si>
  <si>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</si>
  <si>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</si>
  <si>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</si>
  <si>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</si>
  <si>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</si>
  <si>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</si>
  <si>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</si>
  <si>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</si>
  <si>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</si>
  <si>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</si>
  <si>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</si>
  <si>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</si>
  <si>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</si>
  <si>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</si>
  <si>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</si>
  <si>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</si>
  <si>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</si>
  <si>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</si>
  <si>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</si>
  <si>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</si>
  <si>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</si>
  <si>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</si>
  <si>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</si>
  <si>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</si>
  <si>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</si>
  <si>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</si>
  <si>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</si>
  <si>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</si>
  <si>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</si>
  <si>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</si>
  <si>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</si>
  <si>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</si>
  <si>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</si>
  <si>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</si>
  <si>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</si>
  <si>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</si>
  <si>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</si>
  <si>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</si>
  <si>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</si>
  <si>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</si>
  <si>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</si>
  <si>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</si>
  <si>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</si>
  <si>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</si>
  <si>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</si>
  <si>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</si>
  <si>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</si>
  <si>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</si>
  <si>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</si>
  <si>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</si>
  <si>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</si>
  <si>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</si>
  <si>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</si>
  <si>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</si>
  <si>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</si>
  <si>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</si>
  <si>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</si>
  <si>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</si>
  <si>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</si>
  <si>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</si>
  <si>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</si>
  <si>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</si>
  <si>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</si>
  <si>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</si>
  <si>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</si>
  <si>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</si>
  <si>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</si>
  <si>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</si>
  <si>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</si>
  <si>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</si>
  <si>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</si>
  <si>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</si>
  <si>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</si>
  <si>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</si>
  <si>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</si>
  <si>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</si>
  <si>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</si>
  <si>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</si>
  <si>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</si>
  <si>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</si>
  <si>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</si>
  <si>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</si>
  <si>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</si>
  <si>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</si>
  <si>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</si>
  <si>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</si>
  <si>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</si>
  <si>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</si>
  <si>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</si>
  <si>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</si>
  <si>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</si>
  <si>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</si>
  <si>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</si>
  <si>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</si>
  <si>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</si>
  <si>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</si>
  <si>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</si>
  <si>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</si>
  <si>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</si>
  <si>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</si>
  <si>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</si>
  <si>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</si>
  <si>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</si>
  <si>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</si>
  <si>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</si>
  <si>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</si>
  <si>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</si>
  <si>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</si>
  <si>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</si>
  <si>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</si>
  <si>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</si>
  <si>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</si>
  <si>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</si>
  <si>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</si>
  <si>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</si>
  <si>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</si>
  <si>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</si>
  <si>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</si>
  <si>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</si>
  <si>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</si>
  <si>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</si>
  <si>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</si>
  <si>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</si>
  <si>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</si>
  <si>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</si>
  <si>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</si>
  <si>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</si>
  <si>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</si>
  <si>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</si>
  <si>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</si>
  <si>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</si>
  <si>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</si>
  <si>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</si>
  <si>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</si>
  <si>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</si>
  <si>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</si>
  <si>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</si>
  <si>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</si>
  <si>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</si>
  <si>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</si>
  <si>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</si>
  <si>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</si>
  <si>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</si>
  <si>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</si>
  <si>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</si>
  <si>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</si>
  <si>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</si>
  <si>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</si>
  <si>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</si>
  <si>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</si>
  <si>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</si>
  <si>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</si>
  <si>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</si>
  <si>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</si>
  <si>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</si>
  <si>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</si>
  <si>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</si>
  <si>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</si>
  <si>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</si>
  <si>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</si>
  <si>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</si>
  <si>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</si>
  <si>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</si>
  <si>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</si>
  <si>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</si>
  <si>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</si>
  <si>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</si>
  <si>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</si>
  <si>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</si>
  <si>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</si>
  <si>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</si>
  <si>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</si>
  <si>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</si>
  <si>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</si>
  <si>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</si>
  <si>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</si>
  <si>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</si>
  <si>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</si>
  <si>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</si>
  <si>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</si>
  <si>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</si>
  <si>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</si>
  <si>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</si>
  <si>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</si>
  <si>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</si>
  <si>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</si>
  <si>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</si>
  <si>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</si>
  <si>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</si>
  <si>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</si>
  <si>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</si>
  <si>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</si>
  <si>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</si>
  <si>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</si>
  <si>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</si>
  <si>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</si>
  <si>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</si>
  <si>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</si>
  <si>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</si>
  <si>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</si>
  <si>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</si>
  <si>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</si>
  <si>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</si>
  <si>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</si>
  <si>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</si>
  <si>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</si>
  <si>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</si>
  <si>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</si>
  <si>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</si>
  <si>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</si>
  <si>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</si>
  <si>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</si>
  <si>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</si>
  <si>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</si>
  <si>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</si>
  <si>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</si>
  <si>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</si>
  <si>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</si>
  <si>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</si>
  <si>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</si>
  <si>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</si>
  <si>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</si>
  <si>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</si>
  <si>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</si>
  <si>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</si>
  <si>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</si>
  <si>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</si>
  <si>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</si>
  <si>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</si>
  <si>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</si>
  <si>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</si>
  <si>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</si>
  <si>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</si>
  <si>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</si>
  <si>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</si>
  <si>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</si>
  <si>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</si>
  <si>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</si>
  <si>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</si>
  <si>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</si>
  <si>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</si>
  <si>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</si>
  <si>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</si>
  <si>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</si>
  <si>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</si>
  <si>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</si>
  <si>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</si>
  <si>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</si>
  <si>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</si>
  <si>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</si>
  <si>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</si>
  <si>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</si>
  <si>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</si>
  <si>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</si>
  <si>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</si>
  <si>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</si>
  <si>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</si>
  <si>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</si>
  <si>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</si>
  <si>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</si>
  <si>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</si>
  <si>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</si>
  <si>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</si>
  <si>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</si>
  <si>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</si>
  <si>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</si>
  <si>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</si>
  <si>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</si>
  <si>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</si>
  <si>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</si>
  <si>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</si>
  <si>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</si>
  <si>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</si>
  <si>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</si>
  <si>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</si>
  <si>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</si>
  <si>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</si>
  <si>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</si>
  <si>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</si>
  <si>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</si>
  <si>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</si>
  <si>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</si>
  <si>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</si>
  <si>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</si>
  <si>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</si>
  <si>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</si>
  <si>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</si>
  <si>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</si>
  <si>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</si>
  <si>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</si>
  <si>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</si>
  <si>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</si>
  <si>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</si>
  <si>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</si>
  <si>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</si>
  <si>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</si>
  <si>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</si>
  <si>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</si>
  <si>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</si>
  <si>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</si>
  <si>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</si>
  <si>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</si>
  <si>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</si>
  <si>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</si>
  <si>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</si>
  <si>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</si>
  <si>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</si>
  <si>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</si>
  <si>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</si>
  <si>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</si>
  <si>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</si>
  <si>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</si>
  <si>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</si>
  <si>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</si>
  <si>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</si>
  <si>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</si>
  <si>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</si>
  <si>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</si>
  <si>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</si>
  <si>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</si>
  <si>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</si>
  <si>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</si>
  <si>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</si>
  <si>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</si>
  <si>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</si>
  <si>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</si>
  <si>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</si>
  <si>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</si>
  <si>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</si>
  <si>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</si>
  <si>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</si>
  <si>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</si>
  <si>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</si>
  <si>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</si>
  <si>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</si>
  <si>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</si>
  <si>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</si>
  <si>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</si>
  <si>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</si>
  <si>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</si>
  <si>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</si>
  <si>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</si>
  <si>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</si>
  <si>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</si>
  <si>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</si>
  <si>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</si>
  <si>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</si>
  <si>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</si>
  <si>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</si>
  <si>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</si>
  <si>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</si>
  <si>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</si>
  <si>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</si>
  <si>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</si>
  <si>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</si>
  <si>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</si>
  <si>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</si>
  <si>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</si>
  <si>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</si>
  <si>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</si>
  <si>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</si>
  <si>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</si>
  <si>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</si>
  <si>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</si>
  <si>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</si>
  <si>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</si>
  <si>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</si>
  <si>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</si>
  <si>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</si>
  <si>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</si>
  <si>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</si>
  <si>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</si>
  <si>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</si>
  <si>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</si>
  <si>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</si>
  <si>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</si>
  <si>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</si>
  <si>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</si>
  <si>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</si>
  <si>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</si>
  <si>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</si>
  <si>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</si>
  <si>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</si>
  <si>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</si>
  <si>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</si>
  <si>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</si>
  <si>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</si>
  <si>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</si>
  <si>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</si>
  <si>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</si>
  <si>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</si>
  <si>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</si>
  <si>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</si>
  <si>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</si>
  <si>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</si>
  <si>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</si>
  <si>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</si>
  <si>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</si>
  <si>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</si>
  <si>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</si>
  <si>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</si>
  <si>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</si>
  <si>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</si>
  <si>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</si>
  <si>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</si>
  <si>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</si>
  <si>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</si>
  <si>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</si>
  <si>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</si>
  <si>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</si>
  <si>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</si>
  <si>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</si>
  <si>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</si>
  <si>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</si>
  <si>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</si>
  <si>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</si>
  <si>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</si>
  <si>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</si>
  <si>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</si>
  <si>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</si>
  <si>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</si>
  <si>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</si>
  <si>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</si>
  <si>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</si>
  <si>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</si>
  <si>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</si>
  <si>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</si>
  <si>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</si>
  <si>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</si>
  <si>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</si>
  <si>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</si>
  <si>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</si>
  <si>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</si>
  <si>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</si>
  <si>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</si>
  <si>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</si>
  <si>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</si>
  <si>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</si>
  <si>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</si>
  <si>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</si>
  <si>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</si>
  <si>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</si>
  <si>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</si>
  <si>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</si>
  <si>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</si>
  <si>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</si>
  <si>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</si>
  <si>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</si>
  <si>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</si>
  <si>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</si>
  <si>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</si>
  <si>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</si>
  <si>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</si>
  <si>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</si>
  <si>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</si>
  <si>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</si>
  <si>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</si>
  <si>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</si>
  <si>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</si>
  <si>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</si>
  <si>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</si>
  <si>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</si>
  <si>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</si>
  <si>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</si>
  <si>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</si>
  <si>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</si>
  <si>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</si>
  <si>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</si>
  <si>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</si>
  <si>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</si>
  <si>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</si>
  <si>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</si>
  <si>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</si>
  <si>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</si>
  <si>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</si>
  <si>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</si>
  <si>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</si>
  <si>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</si>
  <si>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</si>
  <si>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</si>
  <si>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</si>
  <si>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</si>
  <si>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</si>
  <si>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</si>
  <si>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</si>
  <si>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</si>
  <si>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</si>
  <si>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</si>
  <si>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</si>
  <si>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</si>
  <si>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</si>
  <si>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</si>
  <si>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</si>
  <si>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</si>
  <si>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</si>
  <si>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</si>
  <si>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</si>
  <si>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</si>
  <si>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</si>
  <si>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</si>
  <si>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</si>
  <si>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</si>
  <si>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</si>
  <si>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</si>
  <si>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</si>
  <si>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</si>
  <si>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</si>
  <si>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</si>
  <si>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</si>
  <si>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</si>
  <si>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</si>
  <si>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</si>
  <si>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</si>
  <si>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</si>
  <si>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</si>
  <si>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</si>
  <si>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</si>
  <si>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</si>
  <si>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</si>
  <si>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</si>
  <si>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</si>
  <si>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</si>
  <si>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</si>
  <si>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</si>
  <si>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</si>
  <si>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</si>
  <si>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</si>
  <si>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</si>
  <si>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</si>
  <si>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</si>
  <si>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</si>
  <si>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</si>
  <si>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</si>
  <si>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</si>
  <si>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</si>
  <si>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</si>
  <si>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</si>
  <si>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</si>
  <si>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</si>
  <si>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</si>
  <si>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</si>
  <si>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</si>
  <si>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</si>
  <si>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</si>
  <si>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</si>
  <si>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</si>
  <si>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</si>
  <si>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</si>
  <si>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</si>
  <si>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</si>
  <si>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</si>
  <si>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</si>
  <si>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</si>
  <si>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</si>
  <si>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</si>
  <si>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</si>
  <si>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</si>
  <si>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</si>
  <si>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</si>
  <si>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</si>
  <si>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</si>
  <si>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</si>
  <si>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</si>
  <si>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</si>
  <si>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</si>
  <si>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</si>
  <si>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</si>
  <si>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</si>
  <si>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</si>
  <si>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</si>
  <si>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</si>
  <si>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</si>
  <si>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</si>
  <si>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</si>
  <si>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</si>
  <si>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</si>
  <si>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</si>
  <si>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</si>
  <si>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</si>
  <si>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</si>
  <si>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</si>
  <si>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</si>
  <si>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</si>
  <si>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</si>
  <si>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</si>
  <si>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</si>
  <si>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</si>
  <si>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</si>
  <si>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</si>
  <si>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</si>
  <si>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</si>
  <si>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</si>
  <si>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</si>
  <si>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</si>
  <si>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</si>
  <si>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</si>
  <si>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</si>
  <si>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</si>
  <si>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</si>
  <si>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</si>
  <si>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</si>
  <si>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</si>
  <si>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</si>
  <si>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</si>
  <si>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</si>
  <si>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</si>
  <si>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</si>
  <si>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</si>
  <si>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</si>
  <si>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</si>
  <si>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</si>
  <si>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</si>
  <si>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</si>
  <si>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</si>
  <si>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</si>
  <si>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</si>
  <si>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</si>
  <si>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</si>
  <si>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</si>
  <si>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</si>
  <si>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</si>
  <si>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</si>
  <si>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</si>
  <si>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</si>
  <si>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</si>
  <si>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</si>
  <si>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</si>
  <si>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</si>
  <si>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</si>
  <si>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</si>
  <si>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</si>
  <si>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</si>
  <si>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</si>
  <si>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</si>
  <si>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</si>
  <si>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</si>
  <si>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</si>
  <si>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</si>
  <si>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</si>
  <si>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</si>
  <si>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</si>
  <si>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</si>
  <si>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</si>
  <si>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</si>
  <si>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</si>
  <si>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</si>
  <si>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</si>
  <si>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</si>
  <si>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</si>
  <si>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</si>
  <si>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</si>
  <si>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</si>
  <si>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</si>
  <si>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</si>
  <si>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</si>
  <si>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</si>
  <si>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</si>
  <si>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</si>
  <si>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</si>
  <si>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</si>
  <si>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</si>
  <si>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</si>
  <si>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</si>
  <si>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</si>
  <si>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</si>
  <si>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</si>
  <si>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</si>
  <si>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</si>
  <si>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</si>
  <si>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</si>
  <si>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</si>
  <si>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</si>
  <si>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</si>
  <si>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</si>
  <si>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</si>
  <si>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</si>
  <si>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</si>
  <si>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</si>
  <si>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</si>
  <si>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</si>
  <si>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</si>
  <si>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</si>
  <si>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</si>
  <si>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</si>
  <si>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</si>
  <si>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</si>
  <si>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</si>
  <si>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</si>
  <si>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</si>
  <si>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</si>
  <si>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</si>
  <si>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</si>
  <si>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</si>
  <si>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</si>
  <si>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</si>
  <si>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</si>
  <si>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</si>
  <si>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</si>
  <si>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</si>
  <si>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</si>
  <si>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</si>
  <si>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</si>
  <si>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</si>
  <si>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</si>
  <si>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</si>
  <si>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</si>
  <si>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</si>
  <si>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</si>
  <si>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</si>
  <si>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</si>
  <si>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</si>
  <si>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</si>
  <si>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</si>
  <si>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</si>
  <si>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</si>
  <si>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</si>
  <si>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</si>
  <si>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</si>
  <si>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</si>
  <si>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</si>
  <si>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</si>
  <si>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</si>
  <si>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</si>
  <si>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</si>
  <si>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</si>
  <si>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</si>
  <si>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</si>
  <si>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</si>
  <si>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</si>
  <si>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</si>
  <si>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</si>
  <si>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</si>
  <si>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</si>
  <si>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</si>
  <si>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</si>
  <si>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</si>
  <si>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</si>
  <si>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</si>
  <si>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</si>
  <si>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</si>
  <si>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</si>
  <si>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</si>
  <si>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</si>
  <si>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</si>
  <si>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</si>
  <si>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</si>
  <si>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</si>
  <si>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</si>
  <si>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</si>
  <si>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</si>
  <si>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</si>
  <si>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</si>
  <si>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</si>
  <si>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</si>
  <si>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</si>
  <si>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</si>
  <si>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</si>
  <si>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</si>
  <si>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</si>
  <si>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</si>
  <si>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</si>
  <si>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</si>
  <si>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</si>
  <si>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</si>
  <si>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</si>
  <si>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</si>
  <si>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</si>
  <si>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</si>
  <si>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</si>
  <si>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</si>
  <si>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</si>
  <si>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</si>
  <si>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</si>
  <si>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</si>
  <si>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</si>
  <si>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</si>
  <si>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</si>
  <si>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</si>
  <si>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</si>
  <si>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</si>
  <si>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</si>
  <si>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</si>
  <si>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</si>
  <si>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</si>
  <si>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</si>
  <si>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</si>
  <si>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</si>
  <si>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</si>
  <si>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</si>
  <si>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</si>
  <si>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</si>
  <si>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</si>
  <si>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</si>
  <si>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</si>
  <si>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</si>
  <si>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</si>
  <si>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</si>
  <si>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</si>
  <si>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</si>
  <si>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</si>
  <si>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</si>
  <si>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</si>
  <si>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</si>
  <si>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</si>
  <si>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</si>
  <si>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</si>
  <si>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</si>
  <si>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</si>
  <si>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</si>
  <si>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</si>
  <si>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</si>
  <si>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</si>
  <si>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</si>
  <si>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</si>
  <si>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</si>
  <si>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</si>
  <si>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</si>
  <si>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</si>
  <si>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</si>
  <si>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</si>
  <si>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</si>
  <si>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</si>
  <si>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</si>
  <si>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</si>
  <si>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</si>
  <si>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</si>
  <si>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</si>
  <si>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</si>
  <si>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</si>
  <si>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</si>
  <si>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</si>
  <si>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</si>
  <si>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</si>
  <si>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</si>
  <si>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</si>
  <si>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</si>
  <si>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</si>
  <si>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</si>
  <si>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</si>
  <si>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</si>
  <si>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</si>
  <si>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</si>
  <si>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</si>
  <si>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</si>
  <si>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</si>
  <si>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</si>
  <si>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</si>
  <si>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</si>
  <si>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</si>
  <si>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</si>
  <si>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</si>
  <si>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</si>
  <si>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</si>
  <si>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</si>
  <si>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</si>
  <si>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</si>
  <si>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</si>
  <si>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</si>
  <si>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</si>
  <si>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</si>
  <si>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</si>
  <si>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</si>
  <si>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</si>
  <si>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</si>
  <si>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</si>
  <si>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</si>
  <si>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</si>
  <si>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</si>
  <si>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</si>
  <si>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</si>
  <si>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</si>
  <si>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</si>
  <si>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</si>
  <si>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</si>
  <si>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</si>
  <si>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</si>
  <si>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</si>
  <si>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</si>
  <si>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</si>
  <si>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</si>
  <si>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</si>
  <si>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</si>
  <si>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</si>
  <si>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</si>
  <si>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</si>
  <si>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</si>
  <si>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</si>
  <si>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</si>
  <si>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</si>
  <si>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</si>
  <si>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</si>
  <si>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</si>
  <si>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</si>
  <si>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</si>
  <si>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</si>
  <si>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</si>
  <si>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</si>
  <si>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</si>
  <si>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</si>
  <si>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</si>
  <si>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</si>
  <si>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</si>
  <si>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</si>
  <si>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</si>
  <si>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</si>
  <si>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</si>
  <si>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</si>
  <si>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</si>
  <si>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</si>
  <si>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</si>
  <si>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</si>
  <si>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</si>
  <si>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</si>
  <si>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</si>
  <si>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</si>
  <si>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</si>
  <si>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</si>
  <si>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</si>
  <si>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</si>
  <si>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</si>
  <si>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</si>
  <si>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</si>
  <si>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</si>
  <si>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</si>
  <si>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</si>
  <si>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</si>
  <si>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</si>
  <si>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</si>
  <si>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</si>
  <si>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</si>
  <si>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</si>
  <si>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</si>
  <si>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</si>
  <si>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</si>
  <si>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</si>
  <si>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</si>
  <si>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</si>
  <si>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</si>
  <si>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</si>
  <si>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</si>
  <si>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</si>
  <si>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</si>
  <si>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</si>
  <si>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</si>
  <si>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</si>
  <si>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</si>
  <si>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</si>
  <si>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</si>
  <si>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</si>
  <si>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</si>
  <si>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</si>
  <si>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</si>
  <si>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</si>
  <si>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</si>
  <si>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</si>
  <si>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</si>
  <si>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</si>
  <si>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</si>
  <si>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</si>
  <si>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</si>
  <si>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</si>
  <si>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</si>
  <si>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</si>
  <si>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</si>
  <si>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</si>
  <si>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</si>
  <si>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</si>
  <si>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</si>
  <si>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</si>
  <si>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</si>
  <si>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</si>
  <si>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</si>
  <si>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</si>
  <si>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</si>
  <si>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</si>
  <si>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</si>
  <si>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</si>
  <si>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</si>
  <si>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</si>
  <si>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</si>
  <si>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</si>
  <si>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</si>
  <si>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</si>
  <si>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</si>
  <si>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</si>
  <si>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</si>
  <si>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</si>
  <si>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</si>
  <si>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</si>
  <si>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</si>
  <si>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</si>
  <si>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</si>
  <si>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</si>
  <si>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</si>
  <si>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</si>
  <si>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</si>
  <si>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</si>
  <si>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</si>
  <si>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</si>
  <si>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</si>
  <si>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</si>
  <si>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</si>
  <si>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</si>
  <si>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</si>
  <si>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</si>
  <si>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</si>
  <si>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</si>
  <si>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</si>
  <si>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</si>
  <si>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</si>
  <si>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</si>
  <si>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</si>
  <si>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</si>
  <si>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</si>
  <si>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</si>
  <si>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</si>
  <si>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</si>
  <si>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</si>
  <si>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</si>
  <si>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</si>
  <si>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</si>
  <si>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</si>
  <si>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</si>
  <si>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</si>
  <si>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</si>
  <si>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</si>
  <si>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</si>
  <si>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</si>
  <si>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</si>
  <si>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</si>
  <si>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</si>
  <si>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</si>
  <si>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</si>
  <si>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</si>
  <si>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</si>
  <si>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</si>
  <si>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</si>
  <si>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</si>
  <si>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</si>
  <si>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</si>
  <si>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</si>
  <si>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</si>
  <si>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</si>
  <si>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</si>
  <si>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</si>
  <si>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</si>
  <si>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</si>
  <si>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</si>
  <si>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</si>
  <si>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</si>
  <si>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</si>
  <si>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</si>
  <si>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</si>
  <si>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</si>
  <si>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</si>
  <si>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</si>
  <si>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</si>
  <si>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</si>
  <si>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</si>
  <si>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</si>
  <si>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</si>
  <si>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</si>
  <si>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</si>
  <si>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</si>
  <si>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</si>
  <si>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</si>
  <si>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</si>
  <si>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</si>
  <si>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</si>
  <si>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</si>
  <si>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</si>
  <si>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</si>
  <si>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</si>
  <si>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</si>
  <si>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</si>
  <si>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</si>
  <si>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</si>
  <si>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</si>
  <si>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</si>
  <si>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</si>
  <si>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</si>
  <si>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</si>
  <si>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</si>
  <si>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</si>
  <si>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</si>
  <si>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</si>
  <si>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</si>
  <si>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</si>
  <si>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</si>
  <si>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</si>
  <si>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</si>
  <si>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</si>
  <si>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</si>
  <si>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</si>
  <si>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</si>
  <si>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</si>
  <si>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</si>
  <si>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</si>
  <si>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</si>
  <si>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</si>
  <si>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</si>
  <si>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</si>
  <si>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</si>
  <si>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</si>
  <si>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</si>
  <si>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</si>
  <si>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</si>
  <si>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</si>
  <si>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</si>
  <si>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</si>
  <si>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</si>
  <si>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</si>
  <si>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</si>
  <si>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</si>
  <si>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</si>
  <si>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</si>
  <si>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</si>
  <si>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</si>
  <si>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</si>
  <si>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</si>
  <si>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</si>
  <si>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</si>
  <si>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</si>
  <si>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</si>
  <si>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</si>
  <si>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</si>
  <si>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</si>
  <si>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</si>
  <si>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</si>
  <si>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</si>
  <si>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</si>
  <si>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</si>
  <si>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</si>
  <si>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</si>
  <si>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</si>
  <si>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</si>
  <si>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</si>
  <si>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</si>
  <si>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</si>
  <si>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</si>
  <si>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</si>
  <si>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</si>
  <si>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</si>
  <si>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</si>
  <si>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</si>
  <si>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</si>
  <si>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</si>
  <si>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</si>
  <si>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</si>
  <si>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</si>
  <si>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</si>
  <si>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</si>
  <si>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</si>
  <si>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</si>
  <si>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</si>
  <si>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</si>
  <si>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</si>
  <si>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</si>
  <si>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</si>
  <si>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</si>
  <si>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</si>
  <si>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</si>
  <si>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</si>
  <si>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</si>
  <si>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</si>
  <si>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</si>
  <si>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</si>
  <si>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</si>
  <si>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</si>
  <si>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</si>
  <si>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</si>
  <si>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</si>
  <si>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</si>
  <si>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</si>
  <si>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</si>
  <si>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</si>
  <si>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</si>
  <si>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</si>
  <si>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</si>
  <si>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</si>
  <si>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</si>
  <si>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</si>
  <si>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</si>
  <si>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</si>
  <si>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</si>
  <si>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</si>
  <si>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</si>
  <si>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</si>
  <si>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</si>
  <si>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</si>
  <si>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</si>
  <si>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</si>
  <si>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</si>
  <si>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</si>
  <si>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</si>
  <si>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</si>
  <si>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</si>
  <si>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</si>
  <si>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</si>
  <si>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</si>
  <si>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</si>
  <si>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</si>
  <si>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</si>
  <si>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</si>
  <si>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</si>
  <si>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</si>
  <si>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</si>
  <si>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</si>
  <si>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</si>
  <si>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</si>
  <si>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</si>
  <si>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</si>
  <si>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</si>
  <si>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</si>
  <si>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</si>
  <si>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</si>
  <si>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</si>
  <si>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</si>
  <si>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</si>
  <si>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</si>
  <si>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</si>
  <si>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</si>
  <si>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</si>
  <si>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</si>
  <si>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</si>
  <si>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</si>
  <si>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</si>
  <si>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</si>
  <si>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</si>
  <si>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</si>
  <si>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</si>
  <si>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</si>
  <si>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</si>
  <si>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</si>
  <si>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</si>
  <si>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</si>
  <si>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</si>
  <si>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</si>
  <si>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</si>
  <si>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</si>
  <si>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</si>
  <si>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</si>
  <si>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</si>
  <si>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</si>
  <si>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</si>
  <si>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</si>
  <si>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</si>
  <si>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</si>
  <si>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</si>
  <si>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</si>
  <si>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</si>
  <si>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</si>
  <si>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</si>
  <si>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</si>
  <si>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</si>
  <si>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</si>
  <si>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</si>
  <si>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</si>
  <si>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</si>
  <si>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</si>
  <si>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</si>
  <si>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</si>
  <si>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</si>
  <si>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</si>
  <si>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</si>
  <si>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</si>
  <si>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</si>
  <si>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</si>
  <si>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</si>
  <si>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</si>
  <si>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</si>
  <si>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</si>
  <si>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</si>
  <si>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</si>
  <si>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</si>
  <si>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</si>
  <si>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</si>
  <si>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</si>
  <si>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</si>
  <si>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</si>
  <si>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</si>
  <si>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</si>
  <si>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</si>
  <si>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</si>
  <si>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</si>
  <si>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</si>
  <si>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</si>
  <si>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</si>
  <si>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</si>
  <si>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</si>
  <si>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</si>
  <si>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</si>
  <si>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</si>
  <si>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</si>
  <si>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</si>
  <si>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</si>
  <si>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</si>
  <si>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</si>
  <si>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</si>
  <si>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</si>
  <si>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</si>
  <si>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</si>
  <si>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</si>
  <si>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</si>
  <si>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</si>
  <si>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</si>
  <si>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</si>
  <si>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</si>
  <si>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</si>
  <si>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</si>
  <si>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</si>
  <si>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</si>
  <si>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</si>
  <si>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</si>
  <si>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</si>
  <si>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</si>
  <si>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</si>
  <si>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</si>
  <si>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</si>
  <si>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</si>
  <si>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</si>
  <si>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</si>
  <si>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</si>
  <si>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</si>
  <si>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</si>
  <si>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</si>
  <si>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</si>
  <si>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</si>
  <si>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</si>
  <si>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</si>
  <si>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</si>
  <si>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</si>
  <si>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</si>
  <si>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</si>
  <si>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</si>
  <si>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</si>
  <si>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</si>
  <si>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</si>
  <si>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</si>
  <si>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</si>
  <si>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</si>
  <si>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</si>
  <si>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</si>
  <si>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</si>
  <si>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</si>
  <si>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</si>
  <si>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</si>
  <si>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</si>
  <si>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</si>
  <si>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</si>
  <si>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</si>
  <si>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</si>
  <si>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</si>
  <si>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</si>
  <si>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</si>
  <si>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</si>
  <si>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</si>
  <si>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</si>
  <si>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</si>
  <si>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</si>
  <si>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</si>
  <si>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</si>
  <si>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</si>
  <si>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</si>
  <si>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</si>
  <si>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</si>
  <si>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</si>
  <si>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</si>
  <si>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</si>
  <si>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</si>
  <si>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</si>
  <si>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</si>
  <si>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</si>
  <si>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</si>
  <si>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</si>
  <si>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</si>
  <si>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</si>
  <si>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</si>
  <si>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</si>
  <si>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</si>
  <si>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</si>
  <si>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</si>
  <si>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</si>
  <si>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</si>
  <si>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</si>
  <si>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</si>
  <si>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</si>
  <si>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</si>
  <si>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</si>
  <si>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</si>
  <si>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</si>
  <si>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</si>
  <si>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</si>
  <si>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</si>
  <si>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</si>
  <si>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</si>
  <si>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</si>
  <si>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</si>
  <si>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</si>
  <si>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</si>
  <si>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</si>
  <si>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</si>
  <si>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</si>
  <si>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</si>
  <si>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</si>
  <si>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</si>
  <si>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</si>
  <si>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</si>
  <si>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</si>
  <si>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</si>
  <si>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</si>
  <si>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</si>
  <si>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</si>
  <si>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</si>
  <si>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</si>
  <si>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</si>
  <si>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</si>
  <si>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</si>
  <si>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</si>
  <si>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</si>
  <si>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</si>
  <si>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</si>
  <si>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</si>
  <si>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</si>
  <si>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</si>
  <si>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</si>
  <si>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</si>
  <si>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</si>
  <si>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</si>
  <si>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</si>
  <si>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</si>
  <si>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</si>
  <si>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</si>
  <si>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</si>
  <si>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</si>
  <si>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</si>
  <si>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</si>
  <si>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</si>
  <si>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</si>
  <si>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</si>
  <si>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</si>
  <si>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</si>
  <si>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</si>
  <si>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</si>
  <si>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</si>
  <si>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</si>
  <si>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</si>
  <si>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</si>
  <si>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</si>
  <si>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</si>
  <si>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</si>
  <si>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</si>
  <si>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</si>
  <si>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</si>
  <si>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</si>
  <si>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</si>
  <si>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</si>
  <si>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</si>
  <si>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</si>
  <si>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</si>
  <si>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</si>
  <si>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</si>
  <si>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</si>
  <si>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</si>
  <si>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</si>
  <si>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</si>
  <si>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</si>
  <si>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</si>
  <si>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</si>
  <si>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</si>
  <si>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</si>
  <si>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</si>
  <si>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</si>
  <si>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</si>
  <si>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</si>
  <si>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</si>
  <si>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</si>
  <si>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</si>
  <si>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</si>
  <si>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</si>
  <si>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</si>
  <si>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</si>
  <si>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</si>
  <si>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</si>
  <si>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</si>
  <si>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</si>
  <si>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</si>
  <si>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</si>
  <si>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</si>
  <si>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</si>
  <si>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</si>
  <si>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</si>
  <si>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</si>
  <si>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</si>
  <si>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</si>
  <si>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507544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</si>
  <si>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</si>
  <si>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</si>
  <si>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</si>
  <si>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</si>
  <si>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</si>
  <si>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</si>
  <si>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</si>
  <si>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</si>
  <si>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</si>
  <si>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</si>
  <si>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</si>
  <si>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</si>
  <si>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</si>
  <si>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</si>
  <si>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</si>
  <si>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</si>
  <si>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</si>
  <si>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</si>
  <si>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</si>
  <si>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</si>
  <si>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</si>
  <si>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</si>
  <si>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</si>
  <si>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</si>
  <si>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</si>
  <si>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</si>
  <si>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</si>
  <si>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</si>
  <si>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</si>
  <si>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</si>
  <si>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</si>
  <si>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</si>
  <si>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</si>
  <si>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</si>
  <si>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</si>
  <si>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</si>
  <si>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</si>
  <si>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</si>
  <si>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</si>
  <si>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</si>
  <si>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</si>
  <si>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</si>
  <si>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</si>
  <si>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</si>
  <si>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</si>
  <si>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</si>
  <si>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</si>
  <si>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</si>
  <si>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</si>
  <si>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</si>
  <si>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</si>
  <si>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</si>
  <si>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</si>
  <si>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</si>
  <si>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</si>
  <si>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</si>
  <si>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</si>
  <si>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</si>
  <si>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</si>
  <si>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</si>
  <si>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</si>
  <si>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</si>
  <si>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</si>
  <si>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</si>
  <si>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</si>
  <si>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</si>
  <si>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</si>
  <si>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</si>
  <si>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</si>
  <si>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</si>
  <si>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</si>
  <si>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</si>
  <si>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</si>
  <si>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</si>
  <si>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</si>
  <si>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</si>
  <si>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</si>
  <si>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</si>
  <si>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</si>
  <si>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</si>
  <si>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</si>
  <si>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</si>
  <si>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</si>
  <si>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</si>
  <si>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</si>
  <si>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</si>
  <si>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</si>
  <si>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</si>
  <si>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</si>
  <si>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</si>
  <si>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</si>
  <si>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</si>
  <si>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</si>
  <si>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</si>
  <si>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</si>
  <si>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</si>
  <si>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</si>
  <si>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</si>
  <si>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</si>
  <si>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</si>
  <si>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</si>
  <si>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</si>
  <si>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</si>
  <si>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</si>
  <si>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</si>
  <si>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</si>
  <si>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</si>
  <si>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</si>
  <si>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</si>
  <si>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</si>
  <si>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</si>
  <si>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</si>
  <si>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</si>
  <si>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</si>
  <si>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</si>
  <si>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</si>
  <si>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</si>
  <si>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</si>
  <si>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</si>
  <si>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</si>
  <si>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</si>
  <si>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</si>
  <si>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</si>
  <si>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</si>
  <si>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</si>
  <si>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</si>
  <si>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</si>
  <si>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</si>
  <si>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</si>
  <si>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</si>
  <si>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</si>
  <si>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</si>
  <si>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</si>
  <si>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</si>
  <si>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</si>
  <si>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</si>
  <si>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</si>
  <si>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</si>
  <si>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</si>
  <si>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</si>
  <si>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</si>
  <si>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</si>
  <si>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</si>
  <si>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</si>
  <si>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</si>
  <si>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480082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</si>
  <si>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</si>
  <si>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</si>
  <si>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</si>
  <si>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</si>
  <si>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</si>
  <si>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</si>
  <si>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</si>
  <si>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</si>
  <si>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</si>
  <si>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</si>
  <si>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</si>
  <si>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</si>
  <si>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</si>
  <si>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</si>
  <si>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</si>
  <si>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</si>
  <si>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</si>
  <si>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</si>
  <si>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</si>
  <si>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</si>
  <si>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</si>
  <si>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</si>
  <si>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</si>
  <si>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</si>
  <si>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</si>
  <si>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</si>
  <si>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</si>
  <si>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</si>
  <si>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</si>
  <si>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</si>
  <si>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</si>
  <si>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</si>
  <si>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</si>
  <si>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</si>
  <si>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</si>
  <si>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</si>
  <si>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</si>
  <si>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</si>
  <si>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</si>
  <si>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</si>
  <si>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</si>
  <si>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</si>
  <si>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</si>
  <si>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</si>
  <si>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</si>
  <si>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</si>
  <si>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</si>
  <si>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</si>
  <si>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</si>
  <si>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</si>
  <si>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</si>
  <si>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</si>
  <si>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</si>
  <si>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</si>
  <si>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</si>
  <si>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</si>
  <si>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</si>
  <si>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</si>
  <si>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</si>
  <si>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</si>
  <si>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</si>
  <si>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</si>
  <si>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</si>
  <si>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</si>
  <si>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</si>
  <si>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</si>
  <si>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</si>
  <si>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</si>
  <si>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</si>
  <si>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</si>
  <si>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</si>
  <si>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</si>
  <si>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</si>
  <si>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</si>
  <si>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</si>
  <si>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</si>
  <si>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</si>
  <si>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</si>
  <si>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</si>
  <si>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</si>
  <si>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</si>
  <si>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</si>
  <si>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</si>
  <si>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</si>
  <si>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</si>
  <si>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</si>
  <si>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</si>
  <si>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</si>
  <si>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</si>
  <si>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</si>
  <si>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</si>
  <si>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</si>
  <si>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</si>
  <si>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</si>
  <si>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</si>
  <si>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</si>
  <si>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</si>
  <si>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</si>
  <si>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</si>
  <si>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</si>
  <si>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</si>
  <si>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</si>
  <si>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</si>
  <si>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</si>
  <si>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</si>
  <si>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</si>
  <si>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</si>
  <si>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</si>
  <si>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</si>
  <si>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</si>
  <si>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</si>
  <si>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</si>
  <si>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</si>
  <si>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</si>
  <si>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</si>
  <si>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</si>
  <si>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</si>
  <si>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</si>
  <si>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</si>
  <si>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</si>
  <si>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</si>
  <si>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</si>
  <si>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</si>
  <si>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</si>
  <si>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</si>
  <si>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</si>
  <si>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</si>
  <si>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</si>
  <si>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</si>
  <si>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</si>
  <si>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</si>
  <si>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</si>
  <si>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</si>
  <si>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</si>
  <si>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</si>
  <si>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</si>
  <si>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</si>
  <si>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</si>
  <si>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</si>
  <si>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</si>
  <si>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</si>
  <si>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</si>
  <si>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</si>
  <si>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</si>
  <si>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</si>
  <si>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</si>
  <si>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</si>
  <si>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463001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</si>
  <si>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</si>
  <si>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</si>
  <si>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</si>
  <si>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</si>
  <si>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</si>
  <si>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</si>
  <si>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</si>
  <si>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</si>
  <si>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</si>
  <si>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</si>
  <si>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</si>
  <si>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</si>
  <si>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</si>
  <si>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</si>
  <si>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</si>
  <si>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</si>
  <si>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</si>
  <si>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430604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</si>
  <si>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</si>
  <si>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</si>
  <si>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</si>
  <si>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</si>
  <si>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</si>
  <si>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</si>
  <si>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</si>
  <si>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</si>
  <si>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</si>
  <si>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</si>
  <si>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</si>
  <si>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</si>
  <si>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</si>
  <si>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</si>
  <si>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</si>
  <si>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</si>
  <si>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</si>
  <si>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</si>
  <si>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</si>
  <si>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</si>
  <si>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</si>
  <si>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</si>
  <si>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</si>
  <si>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</si>
  <si>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</si>
  <si>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</si>
  <si>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</si>
  <si>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</si>
  <si>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</si>
  <si>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</si>
  <si>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</si>
  <si>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</si>
  <si>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</si>
  <si>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</si>
  <si>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</si>
  <si>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</si>
  <si>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</si>
  <si>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</si>
  <si>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</si>
  <si>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</si>
  <si>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</si>
  <si>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</si>
  <si>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</si>
  <si>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</si>
  <si>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</si>
  <si>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</si>
  <si>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</si>
  <si>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</si>
  <si>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</si>
  <si>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</si>
  <si>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</si>
  <si>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</si>
  <si>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</si>
  <si>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</si>
  <si>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</si>
  <si>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</si>
  <si>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</si>
  <si>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</si>
  <si>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</si>
  <si>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</si>
  <si>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</si>
  <si>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</si>
  <si>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</si>
  <si>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</si>
  <si>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</si>
  <si>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</si>
  <si>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</si>
  <si>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</si>
  <si>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</si>
  <si>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</si>
  <si>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</si>
  <si>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</si>
  <si>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</si>
  <si>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</si>
  <si>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</si>
  <si>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</si>
  <si>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</si>
  <si>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</si>
  <si>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</si>
  <si>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</si>
  <si>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</si>
  <si>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</si>
  <si>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</si>
  <si>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</si>
  <si>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</si>
  <si>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</si>
  <si>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</si>
  <si>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</si>
  <si>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</si>
  <si>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</si>
  <si>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</si>
  <si>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</si>
  <si>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</si>
  <si>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</si>
  <si>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</si>
  <si>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</si>
  <si>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</si>
  <si>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</si>
  <si>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</si>
  <si>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</si>
  <si>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</si>
  <si>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</si>
  <si>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</si>
  <si>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</si>
  <si>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</si>
  <si>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</si>
  <si>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</si>
  <si>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</si>
  <si>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</si>
  <si>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</si>
  <si>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</si>
  <si>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</si>
  <si>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</si>
  <si>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</si>
  <si>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</si>
  <si>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</si>
  <si>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</si>
  <si>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</si>
  <si>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</si>
  <si>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</si>
  <si>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</si>
  <si>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</si>
  <si>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</si>
  <si>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</si>
  <si>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</si>
  <si>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</si>
  <si>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</si>
  <si>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</si>
  <si>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</si>
  <si>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</si>
  <si>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</si>
  <si>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</si>
  <si>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</si>
  <si>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</si>
  <si>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</si>
  <si>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</si>
  <si>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</si>
  <si>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</si>
  <si>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</si>
  <si>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</si>
  <si>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</si>
  <si>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</si>
  <si>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</si>
  <si>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</si>
  <si>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</si>
  <si>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</si>
  <si>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</si>
  <si>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</si>
  <si>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</si>
  <si>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</si>
  <si>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</si>
  <si>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</si>
  <si>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</si>
  <si>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</si>
  <si>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</si>
  <si>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</si>
  <si>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</si>
  <si>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</si>
  <si>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</si>
  <si>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</si>
  <si>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</si>
  <si>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</si>
  <si>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</si>
  <si>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</si>
  <si>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</si>
  <si>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</si>
  <si>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</si>
  <si>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</si>
  <si>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</si>
  <si>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</si>
  <si>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</si>
  <si>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</si>
  <si>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</si>
  <si>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</si>
  <si>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</si>
  <si>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</si>
  <si>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</si>
  <si>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</si>
  <si>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</si>
  <si>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</si>
  <si>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</si>
  <si>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</si>
  <si>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</si>
  <si>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</si>
  <si>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</si>
  <si>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</si>
  <si>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</si>
  <si>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</si>
  <si>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</si>
  <si>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</si>
  <si>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</si>
  <si>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</si>
  <si>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</si>
  <si>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</si>
  <si>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</si>
  <si>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</si>
  <si>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</si>
  <si>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</si>
  <si>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</si>
  <si>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</si>
  <si>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</si>
  <si>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</si>
  <si>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</si>
  <si>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</si>
  <si>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</si>
  <si>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</si>
  <si>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</si>
  <si>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</si>
  <si>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</si>
  <si>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</si>
  <si>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</si>
  <si>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</si>
  <si>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</si>
  <si>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</si>
  <si>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</si>
  <si>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</si>
  <si>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</si>
  <si>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</si>
  <si>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</si>
  <si>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</si>
  <si>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</si>
  <si>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</si>
  <si>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</si>
  <si>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</si>
  <si>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</si>
  <si>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</si>
  <si>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</si>
  <si>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</si>
  <si>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</si>
  <si>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</si>
  <si>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</si>
  <si>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</si>
  <si>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</si>
  <si>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</si>
  <si>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</si>
  <si>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</si>
  <si>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</si>
  <si>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</si>
  <si>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</si>
  <si>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479145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</si>
  <si>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</si>
  <si>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</si>
  <si>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</si>
  <si>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</si>
  <si>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</si>
  <si>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</si>
  <si>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</si>
  <si>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</si>
  <si>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</si>
  <si>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462375</t>
  </si>
  <si>
    <t>478774</t>
  </si>
  <si>
    <t>284664</t>
  </si>
  <si>
    <t>325724</t>
  </si>
  <si>
    <t>325726</t>
  </si>
  <si>
    <t>232484</t>
  </si>
  <si>
    <t>474757</t>
  </si>
  <si>
    <t>474755</t>
  </si>
  <si>
    <t>507051</t>
  </si>
  <si>
    <t>495310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</si>
  <si>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</si>
  <si>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</si>
  <si>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</si>
  <si>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</si>
  <si>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</si>
  <si>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</si>
  <si>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</si>
  <si>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</si>
  <si>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</si>
  <si>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</si>
  <si>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</si>
  <si>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</si>
  <si>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</si>
  <si>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</si>
  <si>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</si>
  <si>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</si>
  <si>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</si>
  <si>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</si>
  <si>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</si>
  <si>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</si>
  <si>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</si>
  <si>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</si>
  <si>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</si>
  <si>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</si>
  <si>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</si>
  <si>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</si>
  <si>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</si>
  <si>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</si>
  <si>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</si>
  <si>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</si>
  <si>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</si>
  <si>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</si>
  <si>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</si>
  <si>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</si>
  <si>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</si>
  <si>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</si>
  <si>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</si>
  <si>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</si>
  <si>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</si>
  <si>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</si>
  <si>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</si>
  <si>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</si>
  <si>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</si>
  <si>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</si>
  <si>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</si>
  <si>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</si>
  <si>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</si>
  <si>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</si>
  <si>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</si>
  <si>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</si>
  <si>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</si>
  <si>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</si>
  <si>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</si>
  <si>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</si>
  <si>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</si>
  <si>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</si>
  <si>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</si>
  <si>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</si>
  <si>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</si>
  <si>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</si>
  <si>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</si>
  <si>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</si>
  <si>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</si>
  <si>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</si>
  <si>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</si>
  <si>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</si>
  <si>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380853</t>
  </si>
  <si>
    <t>380854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</si>
  <si>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</si>
  <si>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</si>
  <si>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</si>
  <si>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</si>
  <si>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</si>
  <si>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</si>
  <si>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</si>
  <si>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</si>
  <si>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</si>
  <si>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</si>
  <si>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</si>
  <si>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</si>
  <si>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</si>
  <si>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</si>
  <si>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</si>
  <si>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</si>
  <si>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</si>
  <si>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</si>
  <si>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</si>
  <si>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</si>
  <si>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</si>
  <si>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</si>
  <si>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</si>
  <si>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</si>
  <si>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</si>
  <si>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</si>
  <si>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</si>
  <si>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</si>
  <si>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</si>
  <si>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</si>
  <si>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</si>
  <si>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</si>
  <si>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</si>
  <si>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</si>
  <si>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</si>
  <si>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</si>
  <si>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</si>
  <si>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</si>
  <si>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</si>
  <si>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</si>
  <si>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</si>
  <si>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</si>
  <si>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</si>
  <si>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</si>
  <si>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</si>
  <si>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</si>
  <si>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</si>
  <si>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</si>
  <si>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</si>
  <si>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</si>
  <si>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</si>
  <si>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</si>
  <si>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</si>
  <si>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</si>
  <si>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</si>
  <si>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</si>
  <si>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</si>
  <si>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</si>
  <si>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</si>
  <si>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</si>
  <si>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</si>
  <si>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</si>
  <si>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</si>
  <si>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</si>
  <si>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</si>
  <si>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</si>
  <si>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</si>
  <si>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</si>
  <si>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</si>
  <si>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</si>
  <si>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</si>
  <si>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</si>
  <si>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</si>
  <si>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</si>
  <si>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</si>
  <si>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</si>
  <si>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</si>
  <si>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</si>
  <si>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</si>
  <si>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</si>
  <si>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</si>
  <si>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</si>
  <si>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</si>
  <si>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</si>
  <si>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</si>
  <si>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</si>
  <si>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</si>
  <si>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</si>
  <si>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</si>
  <si>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</si>
  <si>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</si>
  <si>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</si>
  <si>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</si>
  <si>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</si>
  <si>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</si>
  <si>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</si>
  <si>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</si>
  <si>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</si>
  <si>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</si>
  <si>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</si>
  <si>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</si>
  <si>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</si>
  <si>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</si>
  <si>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</si>
  <si>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</si>
  <si>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</si>
  <si>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</si>
  <si>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</si>
  <si>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</si>
  <si>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</si>
  <si>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</si>
  <si>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</si>
  <si>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</si>
  <si>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</si>
  <si>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</si>
  <si>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</si>
  <si>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</si>
  <si>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</si>
  <si>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</si>
  <si>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</si>
  <si>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</si>
  <si>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</si>
  <si>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</si>
  <si>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</si>
  <si>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</si>
  <si>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</si>
  <si>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</si>
  <si>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</si>
  <si>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</si>
  <si>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</si>
  <si>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</si>
  <si>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</si>
  <si>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</si>
  <si>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</si>
  <si>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</si>
  <si>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</si>
  <si>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</si>
  <si>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</si>
  <si>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</si>
  <si>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</si>
  <si>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</si>
  <si>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</si>
  <si>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</si>
  <si>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</si>
  <si>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</si>
  <si>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</si>
  <si>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</si>
  <si>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</si>
  <si>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</si>
  <si>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</si>
  <si>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</si>
  <si>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</si>
  <si>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</si>
  <si>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</si>
  <si>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</si>
  <si>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</si>
  <si>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</si>
  <si>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</si>
  <si>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</si>
  <si>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</si>
  <si>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</si>
  <si>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</si>
  <si>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</si>
  <si>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</si>
  <si>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</si>
  <si>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</si>
  <si>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</si>
  <si>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</si>
  <si>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</si>
  <si>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</si>
  <si>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</si>
  <si>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</si>
  <si>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</si>
  <si>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</si>
  <si>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</si>
  <si>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</si>
  <si>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</si>
  <si>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</si>
  <si>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</si>
  <si>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</si>
  <si>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</si>
  <si>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</si>
  <si>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</si>
  <si>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</si>
  <si>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</si>
  <si>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</si>
  <si>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</si>
  <si>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</si>
  <si>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</si>
  <si>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</si>
  <si>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</si>
  <si>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</si>
  <si>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</si>
  <si>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</si>
  <si>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</si>
  <si>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</si>
  <si>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</si>
  <si>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</si>
  <si>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</si>
  <si>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</si>
  <si>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</si>
  <si>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</si>
  <si>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</si>
  <si>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</si>
  <si>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</si>
  <si>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58044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</si>
  <si>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</si>
  <si>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</si>
  <si>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</si>
  <si>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</si>
  <si>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</si>
  <si>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</si>
  <si>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</si>
  <si>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</si>
  <si>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</si>
  <si>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</si>
  <si>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</si>
  <si>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</si>
  <si>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</si>
  <si>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</si>
  <si>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</si>
  <si>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</si>
  <si>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</si>
  <si>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</si>
  <si>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</si>
  <si>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</si>
  <si>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</si>
  <si>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</si>
  <si>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</si>
  <si>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</si>
  <si>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</si>
  <si>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</si>
  <si>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</si>
  <si>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</si>
  <si>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</si>
  <si>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</si>
  <si>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</si>
  <si>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</si>
  <si>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</si>
  <si>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</si>
  <si>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</si>
  <si>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</si>
  <si>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</si>
  <si>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</si>
  <si>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</si>
  <si>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</si>
  <si>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</si>
  <si>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</si>
  <si>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</si>
  <si>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</si>
  <si>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</si>
  <si>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</si>
  <si>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</si>
  <si>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</si>
  <si>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</si>
  <si>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</si>
  <si>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</si>
  <si>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</si>
  <si>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</si>
  <si>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</si>
  <si>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</si>
  <si>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</si>
  <si>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</si>
  <si>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</si>
  <si>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</si>
  <si>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</si>
  <si>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</si>
  <si>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</si>
  <si>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</si>
  <si>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</si>
  <si>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</si>
  <si>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</si>
  <si>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</si>
  <si>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</si>
  <si>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</si>
  <si>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</si>
  <si>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</si>
  <si>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</si>
  <si>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</si>
  <si>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</si>
  <si>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</si>
  <si>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</si>
  <si>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</si>
  <si>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</si>
  <si>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</si>
  <si>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</si>
  <si>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</si>
  <si>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</si>
  <si>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</si>
  <si>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</si>
  <si>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</si>
  <si>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</si>
  <si>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</si>
  <si>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</si>
  <si>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</si>
  <si>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</si>
  <si>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</si>
  <si>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</si>
  <si>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</si>
  <si>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</si>
  <si>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</si>
  <si>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</si>
  <si>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</si>
  <si>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</si>
  <si>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</si>
  <si>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</si>
  <si>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</si>
  <si>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</si>
  <si>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</si>
  <si>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</si>
  <si>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</si>
  <si>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</si>
  <si>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</si>
  <si>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</si>
  <si>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</si>
  <si>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</si>
  <si>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</si>
  <si>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</si>
  <si>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</si>
  <si>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</si>
  <si>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</si>
  <si>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</si>
  <si>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</si>
  <si>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</si>
  <si>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</si>
  <si>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</si>
  <si>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</si>
  <si>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</si>
  <si>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</si>
  <si>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</si>
  <si>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</si>
  <si>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STEPT555520</t>
  </si>
  <si>
    <t> BOTELLA DE TINTA GRIS T555520</t>
  </si>
  <si>
    <t>STEPT574520AL</t>
  </si>
  <si>
    <t> TINTA CIAN CLARO EP T574520-AL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</si>
  <si>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</si>
  <si>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</si>
  <si>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</si>
  <si>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</si>
  <si>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</si>
  <si>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</si>
  <si>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</si>
  <si>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</si>
  <si>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</si>
  <si>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</si>
  <si>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</si>
  <si>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</si>
  <si>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</si>
  <si>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</si>
  <si>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</si>
  <si>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</si>
  <si>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</si>
  <si>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</si>
  <si>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</si>
  <si>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</si>
  <si>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</si>
  <si>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</si>
  <si>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</si>
  <si>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</si>
  <si>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</si>
  <si>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</si>
  <si>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</si>
  <si>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</si>
  <si>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</si>
  <si>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</si>
  <si>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374729</t>
  </si>
  <si>
    <t>421555</t>
  </si>
  <si>
    <t>86237</t>
  </si>
  <si>
    <t>86242</t>
  </si>
  <si>
    <t>365775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</si>
  <si>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</si>
  <si>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</si>
  <si>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</si>
  <si>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</si>
  <si>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</si>
  <si>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</si>
  <si>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</si>
  <si>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</si>
  <si>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</si>
  <si>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</si>
  <si>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</si>
  <si>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</si>
  <si>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</si>
  <si>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</si>
  <si>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</si>
  <si>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</si>
  <si>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</si>
  <si>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</si>
  <si>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</si>
  <si>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</si>
  <si>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</si>
  <si>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</si>
  <si>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</si>
  <si>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</si>
  <si>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</si>
  <si>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</si>
  <si>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</si>
  <si>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</si>
  <si>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</si>
  <si>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</si>
  <si>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</si>
  <si>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</si>
  <si>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</si>
  <si>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</si>
  <si>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</si>
  <si>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</si>
  <si>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</si>
  <si>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</si>
  <si>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</si>
  <si>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</si>
  <si>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</si>
  <si>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</si>
  <si>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</si>
  <si>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</si>
  <si>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</si>
  <si>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</si>
  <si>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</si>
  <si>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</si>
  <si>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</si>
  <si>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</si>
  <si>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</si>
  <si>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</si>
  <si>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</si>
  <si>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</si>
  <si>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</si>
  <si>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</si>
  <si>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</si>
  <si>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</si>
  <si>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</si>
  <si>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</si>
  <si>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</si>
  <si>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</si>
  <si>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</si>
  <si>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</si>
  <si>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</si>
  <si>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</si>
  <si>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</si>
  <si>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</si>
  <si>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</si>
  <si>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</si>
  <si>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</si>
  <si>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</si>
  <si>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</si>
  <si>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</si>
  <si>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</si>
  <si>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</si>
  <si>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</si>
  <si>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</si>
  <si>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</si>
  <si>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</si>
  <si>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</si>
  <si>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</si>
  <si>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</si>
  <si>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</si>
  <si>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</si>
  <si>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</si>
  <si>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</si>
  <si>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</si>
  <si>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</si>
  <si>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</si>
  <si>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</si>
  <si>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</si>
  <si>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</si>
  <si>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</si>
  <si>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</si>
  <si>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</si>
  <si>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</si>
  <si>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</si>
  <si>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</si>
  <si>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</si>
  <si>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</si>
  <si>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</si>
  <si>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</si>
  <si>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</si>
  <si>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</si>
  <si>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</si>
  <si>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</si>
  <si>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</si>
  <si>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</si>
  <si>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</si>
  <si>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</si>
  <si>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</si>
  <si>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</si>
  <si>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</si>
  <si>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</si>
  <si>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</si>
  <si>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</si>
  <si>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</si>
  <si>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</si>
  <si>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</si>
  <si>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</si>
  <si>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</si>
  <si>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</si>
  <si>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</si>
  <si>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</si>
  <si>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</si>
  <si>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</si>
  <si>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</si>
  <si>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</si>
  <si>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</si>
  <si>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</si>
  <si>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</si>
  <si>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</si>
  <si>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</si>
  <si>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</si>
  <si>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</si>
  <si>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</si>
  <si>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</si>
  <si>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</si>
  <si>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</si>
  <si>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</si>
  <si>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</si>
  <si>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</si>
  <si>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</si>
  <si>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</si>
  <si>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</si>
  <si>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</si>
  <si>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</si>
  <si>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</si>
  <si>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</si>
  <si>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</si>
  <si>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</si>
  <si>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</si>
  <si>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</si>
  <si>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</si>
  <si>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</si>
  <si>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</si>
  <si>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</si>
  <si>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</si>
  <si>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</si>
  <si>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</si>
  <si>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</si>
  <si>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</si>
  <si>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</si>
  <si>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</si>
  <si>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</si>
  <si>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</si>
  <si>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</si>
  <si>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</si>
  <si>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</si>
  <si>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</si>
  <si>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</si>
  <si>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</si>
  <si>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</si>
  <si>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</si>
  <si>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</si>
  <si>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</si>
  <si>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</si>
  <si>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</si>
  <si>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</si>
  <si>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</si>
  <si>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</si>
  <si>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</si>
  <si>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</si>
  <si>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</si>
  <si>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</si>
  <si>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</si>
  <si>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</si>
  <si>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</si>
  <si>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</si>
  <si>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</si>
  <si>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</si>
  <si>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</si>
  <si>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</si>
  <si>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</si>
  <si>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</si>
  <si>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</si>
  <si>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</si>
  <si>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</si>
  <si>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</si>
  <si>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</si>
  <si>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</si>
  <si>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</si>
  <si>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</si>
  <si>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</si>
  <si>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</si>
  <si>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</si>
  <si>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</si>
  <si>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</si>
  <si>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</si>
  <si>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</si>
  <si>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</si>
  <si>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</si>
  <si>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</si>
  <si>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</si>
  <si>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</si>
  <si>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</si>
  <si>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</si>
  <si>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</si>
  <si>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</si>
  <si>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</si>
  <si>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</si>
  <si>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</si>
  <si>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</si>
  <si>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</si>
  <si>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</si>
  <si>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</si>
  <si>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</si>
  <si>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</si>
  <si>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</si>
  <si>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</si>
  <si>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</si>
  <si>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</si>
  <si>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</si>
  <si>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</si>
  <si>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</si>
  <si>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</si>
  <si>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</si>
  <si>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</si>
  <si>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</si>
  <si>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</si>
  <si>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</si>
  <si>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</si>
  <si>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</si>
  <si>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</si>
  <si>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 NBG TUF 16 R7-7 16 512 V6G FRE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</si>
  <si>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</si>
  <si>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</si>
  <si>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</si>
  <si>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</si>
  <si>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</si>
  <si>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</si>
  <si>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</si>
  <si>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</si>
  <si>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</si>
  <si>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</si>
  <si>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</si>
  <si>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</si>
  <si>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</si>
  <si>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</si>
  <si>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</si>
  <si>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</si>
  <si>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</si>
  <si>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</si>
  <si>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</si>
  <si>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</si>
  <si>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</si>
  <si>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</si>
  <si>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</si>
  <si>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</si>
  <si>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</si>
  <si>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</si>
  <si>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</si>
  <si>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</si>
  <si>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</si>
  <si>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</si>
  <si>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</si>
  <si>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</si>
  <si>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</si>
  <si>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</si>
  <si>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</si>
  <si>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</si>
  <si>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</si>
  <si>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</si>
  <si>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</si>
  <si>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</si>
  <si>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</si>
  <si>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</si>
  <si>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</si>
  <si>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</si>
  <si>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</si>
  <si>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</si>
  <si>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</si>
  <si>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</si>
  <si>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</si>
  <si>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</si>
  <si>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</si>
  <si>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</si>
  <si>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</si>
  <si>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</si>
  <si>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</si>
  <si>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</si>
  <si>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</si>
  <si>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</si>
  <si>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</si>
  <si>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</si>
  <si>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</si>
  <si>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</si>
  <si>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</si>
  <si>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</si>
  <si>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</si>
  <si>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</si>
  <si>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</si>
  <si>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</si>
  <si>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</si>
  <si>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</si>
  <si>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</si>
  <si>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</si>
  <si>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</si>
  <si>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</si>
  <si>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</si>
  <si>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</si>
  <si>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</si>
  <si>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</si>
  <si>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</si>
  <si>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</si>
  <si>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</si>
  <si>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</si>
  <si>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</si>
  <si>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</si>
  <si>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</si>
  <si>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</si>
  <si>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</si>
  <si>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</si>
  <si>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</si>
  <si>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</si>
  <si>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</si>
  <si>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</si>
  <si>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</si>
  <si>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</si>
  <si>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</si>
  <si>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</si>
  <si>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</si>
  <si>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</si>
  <si>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</si>
  <si>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</si>
  <si>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</si>
  <si>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</si>
  <si>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</si>
  <si>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</si>
  <si>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</si>
  <si>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</si>
  <si>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</si>
  <si>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</si>
  <si>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</si>
  <si>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</si>
  <si>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</si>
  <si>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</si>
  <si>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</si>
  <si>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</si>
  <si>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</si>
  <si>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</si>
  <si>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</si>
  <si>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</si>
  <si>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</si>
  <si>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</si>
  <si>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</si>
  <si>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</si>
  <si>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</si>
  <si>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</si>
  <si>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</si>
  <si>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</si>
  <si>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</si>
  <si>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</si>
  <si>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</si>
  <si>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</si>
  <si>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</si>
  <si>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</si>
  <si>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</si>
  <si>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</si>
  <si>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</si>
  <si>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</si>
  <si>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</si>
  <si>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</si>
  <si>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</si>
  <si>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</si>
  <si>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</si>
  <si>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</si>
  <si>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</si>
  <si>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</si>
  <si>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</si>
  <si>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</si>
  <si>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</si>
  <si>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</si>
  <si>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</si>
  <si>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</si>
  <si>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</si>
  <si>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</si>
  <si>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</si>
  <si>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</si>
  <si>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</si>
  <si>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</si>
  <si>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</si>
  <si>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</si>
  <si>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</si>
  <si>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</si>
  <si>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</si>
  <si>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</si>
  <si>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</si>
  <si>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</si>
  <si>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</si>
  <si>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</si>
  <si>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</si>
  <si>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</si>
  <si>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</si>
  <si>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</si>
  <si>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</si>
  <si>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</si>
  <si>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</si>
  <si>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</si>
  <si>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</si>
  <si>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</si>
  <si>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</si>
  <si>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</si>
  <si>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</si>
  <si>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</si>
  <si>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</si>
  <si>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</si>
  <si>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</si>
  <si>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</si>
  <si>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</si>
  <si>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</si>
  <si>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</si>
  <si>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</si>
  <si>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</si>
  <si>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</si>
  <si>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</si>
  <si>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</si>
  <si>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</si>
  <si>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</si>
  <si>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</si>
  <si>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</si>
  <si>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</si>
  <si>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</si>
  <si>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</si>
  <si>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</si>
  <si>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</si>
  <si>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</si>
  <si>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</si>
  <si>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</si>
  <si>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</si>
  <si>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</si>
  <si>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</si>
  <si>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</si>
  <si>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</si>
  <si>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</si>
  <si>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</si>
  <si>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</si>
  <si>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</si>
  <si>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</si>
  <si>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</si>
  <si>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</si>
  <si>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</si>
  <si>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</si>
  <si>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</si>
  <si>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</si>
  <si>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</si>
  <si>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</si>
  <si>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</si>
  <si>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</si>
  <si>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</si>
  <si>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</si>
  <si>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</si>
  <si>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</si>
  <si>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</si>
  <si>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</si>
  <si>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</si>
  <si>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</si>
  <si>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</si>
  <si>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</si>
  <si>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</si>
  <si>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</si>
  <si>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</si>
  <si>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</si>
  <si>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</si>
  <si>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</si>
  <si>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</si>
  <si>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</si>
  <si>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</si>
  <si>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</si>
  <si>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</si>
  <si>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</si>
  <si>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</si>
  <si>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</si>
  <si>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</si>
  <si>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</si>
  <si>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</si>
  <si>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</si>
  <si>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</si>
  <si>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</si>
  <si>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</si>
  <si>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</si>
  <si>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</si>
  <si>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</si>
  <si>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</si>
  <si>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</si>
  <si>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</si>
  <si>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</si>
  <si>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</si>
  <si>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</si>
  <si>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</si>
  <si>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</si>
  <si>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</si>
  <si>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</si>
  <si>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</si>
  <si>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</si>
  <si>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</si>
  <si>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</si>
  <si>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</si>
  <si>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</si>
  <si>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</si>
  <si>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</si>
  <si>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</si>
  <si>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</si>
  <si>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</si>
  <si>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</si>
  <si>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</si>
  <si>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</si>
  <si>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</si>
  <si>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</si>
  <si>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</si>
  <si>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</si>
  <si>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</si>
  <si>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</si>
  <si>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</si>
  <si>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</si>
  <si>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</si>
  <si>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</si>
  <si>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</si>
  <si>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</si>
  <si>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</si>
  <si>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</si>
  <si>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</si>
  <si>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</si>
  <si>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</si>
  <si>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</si>
  <si>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</si>
  <si>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</si>
  <si>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</si>
  <si>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</si>
  <si>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</si>
  <si>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</si>
  <si>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</si>
  <si>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</si>
  <si>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</si>
  <si>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</si>
  <si>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</si>
  <si>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</si>
  <si>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</si>
  <si>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</si>
  <si>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</si>
  <si>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</si>
  <si>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</si>
  <si>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</si>
  <si>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</si>
  <si>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</si>
  <si>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</si>
  <si>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</si>
  <si>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</si>
  <si>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</si>
  <si>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</si>
  <si>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</si>
  <si>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</si>
  <si>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</si>
  <si>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</si>
  <si>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</si>
  <si>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</si>
  <si>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</si>
  <si>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</si>
  <si>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</si>
  <si>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</si>
  <si>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</si>
  <si>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</si>
  <si>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</si>
  <si>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</si>
  <si>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</si>
  <si>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</si>
  <si>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</si>
  <si>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</si>
  <si>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</si>
  <si>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</si>
  <si>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</si>
  <si>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</si>
  <si>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</si>
  <si>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</si>
  <si>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</si>
  <si>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</si>
  <si>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</si>
  <si>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</si>
  <si>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</si>
  <si>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</si>
  <si>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</si>
  <si>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</si>
  <si>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</si>
  <si>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</si>
  <si>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</si>
  <si>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</si>
  <si>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</si>
  <si>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</si>
  <si>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</si>
  <si>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</si>
  <si>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</si>
  <si>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</si>
  <si>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</si>
  <si>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</si>
  <si>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</si>
  <si>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</si>
  <si>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</si>
  <si>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</si>
  <si>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</si>
  <si>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</si>
  <si>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</si>
  <si>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</si>
  <si>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</si>
  <si>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</si>
  <si>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</si>
  <si>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</si>
  <si>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</si>
  <si>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</si>
  <si>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</si>
  <si>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</si>
  <si>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</si>
  <si>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</si>
  <si>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</si>
  <si>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</si>
  <si>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</si>
  <si>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</si>
  <si>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</si>
  <si>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</si>
  <si>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</si>
  <si>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</si>
  <si>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</si>
  <si>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</si>
  <si>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</si>
  <si>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</si>
  <si>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</si>
  <si>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</si>
  <si>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</si>
  <si>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</si>
  <si>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</si>
  <si>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</si>
  <si>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</si>
  <si>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</si>
  <si>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</si>
  <si>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</si>
  <si>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</si>
  <si>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</si>
  <si>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</si>
  <si>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</si>
  <si>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</si>
  <si>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</si>
  <si>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</si>
  <si>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</si>
  <si>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</si>
  <si>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</si>
  <si>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</si>
  <si>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</si>
  <si>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</si>
  <si>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</si>
  <si>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</si>
  <si>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</si>
  <si>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</si>
  <si>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</si>
  <si>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</si>
  <si>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</si>
  <si>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</si>
  <si>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</si>
  <si>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</si>
  <si>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</si>
  <si>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</si>
  <si>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</si>
  <si>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</si>
  <si>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</si>
  <si>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</si>
  <si>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</si>
  <si>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</si>
  <si>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</si>
  <si>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</si>
  <si>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</si>
  <si>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</si>
  <si>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</si>
  <si>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</si>
  <si>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</si>
  <si>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</si>
  <si>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</si>
  <si>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</si>
  <si>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</si>
  <si>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</si>
  <si>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</si>
  <si>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</si>
  <si>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</si>
  <si>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</si>
  <si>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</si>
  <si>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</si>
  <si>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</si>
  <si>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</si>
  <si>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</si>
  <si>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</si>
  <si>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</si>
  <si>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</si>
  <si>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</si>
  <si>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</si>
  <si>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</si>
  <si>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</si>
  <si>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</si>
  <si>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</si>
  <si>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</si>
  <si>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</si>
  <si>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</si>
  <si>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</si>
  <si>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</si>
  <si>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</si>
  <si>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</si>
  <si>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</si>
  <si>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</si>
  <si>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</si>
  <si>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</si>
  <si>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</si>
  <si>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</si>
  <si>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</si>
  <si>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</si>
  <si>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</si>
  <si>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</si>
  <si>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</si>
  <si>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</si>
  <si>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</si>
  <si>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</si>
  <si>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</si>
  <si>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</si>
  <si>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</si>
  <si>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</si>
  <si>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</si>
  <si>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</si>
  <si>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</si>
  <si>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</si>
  <si>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</si>
  <si>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</si>
  <si>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</si>
  <si>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</si>
  <si>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</si>
  <si>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</si>
  <si>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</si>
  <si>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</si>
  <si>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</si>
  <si>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</si>
  <si>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</si>
  <si>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</si>
  <si>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</si>
  <si>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</si>
  <si>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</si>
  <si>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</si>
  <si>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</si>
  <si>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</si>
  <si>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</si>
  <si>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</si>
  <si>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</si>
  <si>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</si>
  <si>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</si>
  <si>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</si>
  <si>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</si>
  <si>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</si>
  <si>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</si>
  <si>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</si>
  <si>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</si>
  <si>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</si>
  <si>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</si>
  <si>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</si>
  <si>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</si>
  <si>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</si>
  <si>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</si>
  <si>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</si>
  <si>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</si>
  <si>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</si>
  <si>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</si>
  <si>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</si>
  <si>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</si>
  <si>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</si>
  <si>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</si>
  <si>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</si>
  <si>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</si>
  <si>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</si>
  <si>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</si>
  <si>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</si>
  <si>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</si>
  <si>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</si>
  <si>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</si>
  <si>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</si>
  <si>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</si>
  <si>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</si>
  <si>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</si>
  <si>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</si>
  <si>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</si>
  <si>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</si>
  <si>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</si>
  <si>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</si>
  <si>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</si>
  <si>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</si>
  <si>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</si>
  <si>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</si>
  <si>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</si>
  <si>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</si>
  <si>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</si>
  <si>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</si>
  <si>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</si>
  <si>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</si>
  <si>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</si>
  <si>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</si>
  <si>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</si>
  <si>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</si>
  <si>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</si>
  <si>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</si>
  <si>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</si>
  <si>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</si>
  <si>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</si>
  <si>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</si>
  <si>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</si>
  <si>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</si>
  <si>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</si>
  <si>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</si>
  <si>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</si>
  <si>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</si>
  <si>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</si>
  <si>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</si>
  <si>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</si>
  <si>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</si>
  <si>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</si>
  <si>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</si>
  <si>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</si>
  <si>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</si>
  <si>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</si>
  <si>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</si>
  <si>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</si>
  <si>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</si>
  <si>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</si>
  <si>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</si>
  <si>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</si>
  <si>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</si>
  <si>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</si>
  <si>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</si>
  <si>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</si>
  <si>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</si>
  <si>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</si>
  <si>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</si>
  <si>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</si>
  <si>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</si>
  <si>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</si>
  <si>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</si>
  <si>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</si>
  <si>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</si>
  <si>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</si>
  <si>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</si>
  <si>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</si>
  <si>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</si>
  <si>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</si>
  <si>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</si>
  <si>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</si>
  <si>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</si>
  <si>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</si>
  <si>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</si>
  <si>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</si>
  <si>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</si>
  <si>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</si>
  <si>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</si>
  <si>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</si>
  <si>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</si>
  <si>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</si>
  <si>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</si>
  <si>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</si>
  <si>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</si>
  <si>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</si>
  <si>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</si>
  <si>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</si>
  <si>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</si>
  <si>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</si>
  <si>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</si>
  <si>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</si>
  <si>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</si>
  <si>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</si>
  <si>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</si>
  <si>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</si>
  <si>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</si>
  <si>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</si>
  <si>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</si>
  <si>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</si>
  <si>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</si>
  <si>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</si>
  <si>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</si>
  <si>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</si>
  <si>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</si>
  <si>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</si>
  <si>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</si>
  <si>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</si>
  <si>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</si>
  <si>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</si>
  <si>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</si>
  <si>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</si>
  <si>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</si>
  <si>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</si>
  <si>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</si>
  <si>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</si>
  <si>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</si>
  <si>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</si>
  <si>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</si>
  <si>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</si>
  <si>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</si>
  <si>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</si>
  <si>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</si>
  <si>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</si>
  <si>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</si>
  <si>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</si>
  <si>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</si>
  <si>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</si>
  <si>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</si>
  <si>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</si>
  <si>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</si>
  <si>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</si>
  <si>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</si>
  <si>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</si>
  <si>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</si>
  <si>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</si>
  <si>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</si>
  <si>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</si>
  <si>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</si>
  <si>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</si>
  <si>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</si>
  <si>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</si>
  <si>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</si>
  <si>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</si>
  <si>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</si>
  <si>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</si>
  <si>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</si>
  <si>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</si>
  <si>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</si>
  <si>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</si>
  <si>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</si>
  <si>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</si>
  <si>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</si>
  <si>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</si>
  <si>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</si>
  <si>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</si>
  <si>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</si>
  <si>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</si>
  <si>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</si>
  <si>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</si>
  <si>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</si>
  <si>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</si>
  <si>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</si>
  <si>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</si>
  <si>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</si>
  <si>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</si>
  <si>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</si>
  <si>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</si>
  <si>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</si>
  <si>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</si>
  <si>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</si>
  <si>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</si>
  <si>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</si>
  <si>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</si>
  <si>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</si>
  <si>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</si>
  <si>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</si>
  <si>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</si>
  <si>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</si>
  <si>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</si>
  <si>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</si>
  <si>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</si>
  <si>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</si>
  <si>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</si>
  <si>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</si>
  <si>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</si>
  <si>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</si>
  <si>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</si>
  <si>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</si>
  <si>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</si>
  <si>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</si>
  <si>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</si>
  <si>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</si>
  <si>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</si>
  <si>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</si>
  <si>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</si>
  <si>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</si>
  <si>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</si>
  <si>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</si>
  <si>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</si>
  <si>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</si>
  <si>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</si>
  <si>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</si>
  <si>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</si>
  <si>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</si>
  <si>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</si>
  <si>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</si>
  <si>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</si>
  <si>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</si>
  <si>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</si>
  <si>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</si>
  <si>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</si>
  <si>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</si>
  <si>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</si>
  <si>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</si>
  <si>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</si>
  <si>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</si>
  <si>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</si>
  <si>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</si>
  <si>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</si>
  <si>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</si>
  <si>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</si>
  <si>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</si>
  <si>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</si>
  <si>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</si>
  <si>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</si>
  <si>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</si>
  <si>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</si>
  <si>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</si>
  <si>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</si>
  <si>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</si>
  <si>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</si>
  <si>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</si>
  <si>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</si>
  <si>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</si>
  <si>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</si>
  <si>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</si>
  <si>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</si>
  <si>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</si>
  <si>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</si>
  <si>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</si>
  <si>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</si>
  <si>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</si>
  <si>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</si>
  <si>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</si>
  <si>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</si>
  <si>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</si>
  <si>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</si>
  <si>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</si>
  <si>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</si>
  <si>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</si>
  <si>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</si>
  <si>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</si>
  <si>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</si>
  <si>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</si>
  <si>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</si>
  <si>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</si>
  <si>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</si>
  <si>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</si>
  <si>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</si>
  <si>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</si>
  <si>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</si>
  <si>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</si>
  <si>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</si>
  <si>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</si>
  <si>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</si>
  <si>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</si>
  <si>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</si>
  <si>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</si>
  <si>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</si>
  <si>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</si>
  <si>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</si>
  <si>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</si>
  <si>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</si>
  <si>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</si>
  <si>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</si>
  <si>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</si>
  <si>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</si>
  <si>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</si>
  <si>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</si>
  <si>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</si>
  <si>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</si>
  <si>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</si>
  <si>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</si>
  <si>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</si>
  <si>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</si>
  <si>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</si>
  <si>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</si>
  <si>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</si>
  <si>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</si>
  <si>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</si>
  <si>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</si>
  <si>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</si>
  <si>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</si>
  <si>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</si>
  <si>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</si>
  <si>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</si>
  <si>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</si>
  <si>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</si>
  <si>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</si>
  <si>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</si>
  <si>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</si>
  <si>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</si>
  <si>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</si>
  <si>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</si>
  <si>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</si>
  <si>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</si>
  <si>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</si>
  <si>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</si>
  <si>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</si>
  <si>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</si>
  <si>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</si>
  <si>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</si>
  <si>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</si>
  <si>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</si>
  <si>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</si>
  <si>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</si>
  <si>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</si>
  <si>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</si>
  <si>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</si>
  <si>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</si>
  <si>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</si>
  <si>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</si>
  <si>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</si>
  <si>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</si>
  <si>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</si>
  <si>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</si>
  <si>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</si>
  <si>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</si>
  <si>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</si>
  <si>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</si>
  <si>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</si>
  <si>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</si>
  <si>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</si>
  <si>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</si>
  <si>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</si>
  <si>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</si>
  <si>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</si>
  <si>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</si>
  <si>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</si>
  <si>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</si>
  <si>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</si>
  <si>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</si>
  <si>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</si>
  <si>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</si>
  <si>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</si>
  <si>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</si>
  <si>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</si>
  <si>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</si>
  <si>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</si>
  <si>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</si>
  <si>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</si>
  <si>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</si>
  <si>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</si>
  <si>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</si>
  <si>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</si>
  <si>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</si>
  <si>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</si>
  <si>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</si>
  <si>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</si>
  <si>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</si>
  <si>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</si>
  <si>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</si>
  <si>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</si>
  <si>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</si>
  <si>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</si>
  <si>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</si>
  <si>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</si>
  <si>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</si>
  <si>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</si>
  <si>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</si>
  <si>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</si>
  <si>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</si>
  <si>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</si>
  <si>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</si>
  <si>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</si>
  <si>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</si>
  <si>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</si>
  <si>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</si>
  <si>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</si>
  <si>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</si>
  <si>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</si>
  <si>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</si>
  <si>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</si>
  <si>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</si>
  <si>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</si>
  <si>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</si>
  <si>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</si>
  <si>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</si>
  <si>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</si>
  <si>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</si>
  <si>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</si>
  <si>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</si>
  <si>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</si>
  <si>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</si>
  <si>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</si>
  <si>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</si>
  <si>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</si>
  <si>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</si>
  <si>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</si>
  <si>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</si>
  <si>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</si>
  <si>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</si>
  <si>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</si>
  <si>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</si>
  <si>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</si>
  <si>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</si>
  <si>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</si>
  <si>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</si>
  <si>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</si>
  <si>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</si>
  <si>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</si>
  <si>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</si>
  <si>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</si>
  <si>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</si>
  <si>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</si>
  <si>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</si>
  <si>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</si>
  <si>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</si>
  <si>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</si>
  <si>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</si>
  <si>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</si>
  <si>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</si>
  <si>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</si>
  <si>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</si>
  <si>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</si>
  <si>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</si>
  <si>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</si>
  <si>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</si>
  <si>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</si>
  <si>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</si>
  <si>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</si>
  <si>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</si>
  <si>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</si>
  <si>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</si>
  <si>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</si>
  <si>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</si>
  <si>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</si>
  <si>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</si>
  <si>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</si>
  <si>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</si>
  <si>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</si>
  <si>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</si>
  <si>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</si>
  <si>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</si>
  <si>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</si>
  <si>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</si>
  <si>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</si>
  <si>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</si>
  <si>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</si>
  <si>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</si>
  <si>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</si>
  <si>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</si>
  <si>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</si>
  <si>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</si>
  <si>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</si>
  <si>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</si>
  <si>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</si>
  <si>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</si>
  <si>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</si>
  <si>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</si>
  <si>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</si>
  <si>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</si>
  <si>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</si>
  <si>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</si>
  <si>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</si>
  <si>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</si>
  <si>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</si>
  <si>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</si>
  <si>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</si>
  <si>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</si>
  <si>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</si>
  <si>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</si>
  <si>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</si>
  <si>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</si>
  <si>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</si>
  <si>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</si>
  <si>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</si>
  <si>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</si>
  <si>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</si>
  <si>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</si>
  <si>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</si>
  <si>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</si>
  <si>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</si>
  <si>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</si>
  <si>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</si>
  <si>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</si>
  <si>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</si>
  <si>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</si>
  <si>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</si>
  <si>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</si>
  <si>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</si>
  <si>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</si>
  <si>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</si>
  <si>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</si>
  <si>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</si>
  <si>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</si>
  <si>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</si>
  <si>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</si>
  <si>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</si>
  <si>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</si>
  <si>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</si>
  <si>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</si>
  <si>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</si>
  <si>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</si>
  <si>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</si>
  <si>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</si>
  <si>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</si>
  <si>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</si>
  <si>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</si>
  <si>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</si>
  <si>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</si>
  <si>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</si>
  <si>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</si>
  <si>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</si>
  <si>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</si>
  <si>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</si>
  <si>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</si>
  <si>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</si>
  <si>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</si>
  <si>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</si>
  <si>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</si>
  <si>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</si>
  <si>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</si>
  <si>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</si>
  <si>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</si>
  <si>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</si>
  <si>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</si>
  <si>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</si>
  <si>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</si>
  <si>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</si>
  <si>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</si>
  <si>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</si>
  <si>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</si>
  <si>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</si>
  <si>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</si>
  <si>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</si>
  <si>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</si>
  <si>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</si>
  <si>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</si>
  <si>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</si>
  <si>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</si>
  <si>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</si>
  <si>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</si>
  <si>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</si>
  <si>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</si>
  <si>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</si>
  <si>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</si>
  <si>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</si>
  <si>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</si>
  <si>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</si>
  <si>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</si>
  <si>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</si>
  <si>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</si>
  <si>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</si>
  <si>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</si>
  <si>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</si>
  <si>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</si>
  <si>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</si>
  <si>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</si>
  <si>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</si>
  <si>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</si>
  <si>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</si>
  <si>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</si>
  <si>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</si>
  <si>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</si>
  <si>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</si>
  <si>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</si>
  <si>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</si>
  <si>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</si>
  <si>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</si>
  <si>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</si>
  <si>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</si>
  <si>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</si>
  <si>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</si>
  <si>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</si>
  <si>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</si>
  <si>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</si>
  <si>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</si>
  <si>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</si>
  <si>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</si>
  <si>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</si>
  <si>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</si>
  <si>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</si>
  <si>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</si>
  <si>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</si>
  <si>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</si>
  <si>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</si>
  <si>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</si>
  <si>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</si>
  <si>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</si>
  <si>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</si>
  <si>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</si>
  <si>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</si>
  <si>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</si>
  <si>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</si>
  <si>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</si>
  <si>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</si>
  <si>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</si>
  <si>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</si>
  <si>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</si>
  <si>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</si>
  <si>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</si>
  <si>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</si>
  <si>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</si>
  <si>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</si>
  <si>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</si>
  <si>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</si>
  <si>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</si>
  <si>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</si>
  <si>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</si>
  <si>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</si>
  <si>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</si>
  <si>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</si>
  <si>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</si>
  <si>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</si>
  <si>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</si>
  <si>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</si>
  <si>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</si>
  <si>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</si>
  <si>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</si>
  <si>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</si>
  <si>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</si>
  <si>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</si>
  <si>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</si>
  <si>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</si>
  <si>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</si>
  <si>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</si>
  <si>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</si>
  <si>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</si>
  <si>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</si>
  <si>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</si>
  <si>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</si>
  <si>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</si>
  <si>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</si>
  <si>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</si>
  <si>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</si>
  <si>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</si>
  <si>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</si>
  <si>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</si>
  <si>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</si>
  <si>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</si>
  <si>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</si>
  <si>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</si>
  <si>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</si>
  <si>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</si>
  <si>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</si>
  <si>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</si>
  <si>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</si>
  <si>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</si>
  <si>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</si>
  <si>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</si>
  <si>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</si>
  <si>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</si>
  <si>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</si>
  <si>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</si>
  <si>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</si>
  <si>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</si>
  <si>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</si>
  <si>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</si>
  <si>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</si>
  <si>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</si>
  <si>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</si>
  <si>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</si>
  <si>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</si>
  <si>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</si>
  <si>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</si>
  <si>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</si>
  <si>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</si>
  <si>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</si>
  <si>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</si>
  <si>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</si>
  <si>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</si>
  <si>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</si>
  <si>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</si>
  <si>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</si>
  <si>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</si>
  <si>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</si>
  <si>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</si>
  <si>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</si>
  <si>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</si>
  <si>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</si>
  <si>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</si>
  <si>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</si>
  <si>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</si>
  <si>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</si>
  <si>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</si>
  <si>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</si>
  <si>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</si>
  <si>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</si>
  <si>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</si>
  <si>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</si>
  <si>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</si>
  <si>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</si>
  <si>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</si>
  <si>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</si>
  <si>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</si>
  <si>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</si>
  <si>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</si>
  <si>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</si>
  <si>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</si>
  <si>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</si>
  <si>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</si>
  <si>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</si>
  <si>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</si>
  <si>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</si>
  <si>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</si>
  <si>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</si>
  <si>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</si>
  <si>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</si>
  <si>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</si>
  <si>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</si>
  <si>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</si>
  <si>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</si>
  <si>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</si>
  <si>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</si>
  <si>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</si>
  <si>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</si>
  <si>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</si>
  <si>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</si>
  <si>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</si>
  <si>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</si>
  <si>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</si>
  <si>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</si>
  <si>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</si>
  <si>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</si>
  <si>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</si>
  <si>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</si>
  <si>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</si>
  <si>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</si>
  <si>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</si>
  <si>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</si>
  <si>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</si>
  <si>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</si>
  <si>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</si>
  <si>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</si>
  <si>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</si>
  <si>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</si>
  <si>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</si>
  <si>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</si>
  <si>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</si>
  <si>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</si>
  <si>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</si>
  <si>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</si>
  <si>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</si>
  <si>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</si>
  <si>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</si>
  <si>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</si>
  <si>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</si>
  <si>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</si>
  <si>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</si>
  <si>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</si>
  <si>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</si>
  <si>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</si>
  <si>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</si>
  <si>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</si>
  <si>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</si>
  <si>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</si>
  <si>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</si>
  <si>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</si>
  <si>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</si>
  <si>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</si>
  <si>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</si>
  <si>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</si>
  <si>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</si>
  <si>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</si>
  <si>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</si>
  <si>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</si>
  <si>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</si>
  <si>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</si>
  <si>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</si>
  <si>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</si>
  <si>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</si>
  <si>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</si>
  <si>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</si>
  <si>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</si>
  <si>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</si>
  <si>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</si>
  <si>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</si>
  <si>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</si>
  <si>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</si>
  <si>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</si>
  <si>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</si>
  <si>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</si>
  <si>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MOV32LG32UR550K</t>
  </si>
  <si>
    <t> MON 32 LG 32UR550K-B</t>
  </si>
  <si>
    <t>468566</t>
  </si>
  <si>
    <t>Monitor LG 32UR550K-B Plano 31.5”, UHD 4K VA / HDMI x2 / DP / Audio-Out / Altavoz (5W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</si>
  <si>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</si>
  <si>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</si>
  <si>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</si>
  <si>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</si>
  <si>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</si>
  <si>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</si>
  <si>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</si>
  <si>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</si>
  <si>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</si>
  <si>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</si>
  <si>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</si>
  <si>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</si>
  <si>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</si>
  <si>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</si>
  <si>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</si>
  <si>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</si>
  <si>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</si>
  <si>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</si>
  <si>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</si>
  <si>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</si>
  <si>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</si>
  <si>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</si>
  <si>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</si>
  <si>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</si>
  <si>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</si>
  <si>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</si>
  <si>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</si>
  <si>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</si>
  <si>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</si>
  <si>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</si>
  <si>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</si>
  <si>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</si>
  <si>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</si>
  <si>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</si>
  <si>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</si>
  <si>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</si>
  <si>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</si>
  <si>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</si>
  <si>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</si>
  <si>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</si>
  <si>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</si>
  <si>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</si>
  <si>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</si>
  <si>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</si>
  <si>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</si>
  <si>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</si>
  <si>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</si>
  <si>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</si>
  <si>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</si>
  <si>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</si>
  <si>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</si>
  <si>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</si>
  <si>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</si>
  <si>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</si>
  <si>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</si>
  <si>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</si>
  <si>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</si>
  <si>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</si>
  <si>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</si>
  <si>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</si>
  <si>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</si>
  <si>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</si>
  <si>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</si>
  <si>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</si>
  <si>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</si>
  <si>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</si>
  <si>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</si>
  <si>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</si>
  <si>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</si>
  <si>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</si>
  <si>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</si>
  <si>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</si>
  <si>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</si>
  <si>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</si>
  <si>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</si>
  <si>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</si>
  <si>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</si>
  <si>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</si>
  <si>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</si>
  <si>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</si>
  <si>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</si>
  <si>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</si>
  <si>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</si>
  <si>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</si>
  <si>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</si>
  <si>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</si>
  <si>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</si>
  <si>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</si>
  <si>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</si>
  <si>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</si>
  <si>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</si>
  <si>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</si>
  <si>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</si>
  <si>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</si>
  <si>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</si>
  <si>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</si>
  <si>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</si>
  <si>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</si>
  <si>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</si>
  <si>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</si>
  <si>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</si>
  <si>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</si>
  <si>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</si>
  <si>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</si>
  <si>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</si>
  <si>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</si>
  <si>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</si>
  <si>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</si>
  <si>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</si>
  <si>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</si>
  <si>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</si>
  <si>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</si>
  <si>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</si>
  <si>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</si>
  <si>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</si>
  <si>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</si>
  <si>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</si>
  <si>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</si>
  <si>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</si>
  <si>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</si>
  <si>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</si>
  <si>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</si>
  <si>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</si>
  <si>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</si>
  <si>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</si>
  <si>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</si>
  <si>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</si>
  <si>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</si>
  <si>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</si>
  <si>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</si>
  <si>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</si>
  <si>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</si>
  <si>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</si>
  <si>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</si>
  <si>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</si>
  <si>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</si>
  <si>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</si>
  <si>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</si>
  <si>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</si>
  <si>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</si>
  <si>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</si>
  <si>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</si>
  <si>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</si>
  <si>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</si>
  <si>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</si>
  <si>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</si>
  <si>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</si>
  <si>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</si>
  <si>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</si>
  <si>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</si>
  <si>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</si>
  <si>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</si>
  <si>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</si>
  <si>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</si>
  <si>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</si>
  <si>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</si>
  <si>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</si>
  <si>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</si>
  <si>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</si>
  <si>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</si>
  <si>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</si>
  <si>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</si>
  <si>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</si>
  <si>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</si>
  <si>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</si>
  <si>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</si>
  <si>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</si>
  <si>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</si>
  <si>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</si>
  <si>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</si>
  <si>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</si>
  <si>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</si>
  <si>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</si>
  <si>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</si>
  <si>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</si>
  <si>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</si>
  <si>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</si>
  <si>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</si>
  <si>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</si>
  <si>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</si>
  <si>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</si>
  <si>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</si>
  <si>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</si>
  <si>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</si>
  <si>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</si>
  <si>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</si>
  <si>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</si>
  <si>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</si>
  <si>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</si>
  <si>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</si>
  <si>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</si>
  <si>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</si>
  <si>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</si>
  <si>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</si>
  <si>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</si>
  <si>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</si>
  <si>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</si>
  <si>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</si>
  <si>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</si>
  <si>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</si>
  <si>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</si>
  <si>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</si>
  <si>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</si>
  <si>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</si>
  <si>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</si>
  <si>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</si>
  <si>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</si>
  <si>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</si>
  <si>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</si>
  <si>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</si>
  <si>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</si>
  <si>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</si>
  <si>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</si>
  <si>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</si>
  <si>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</si>
  <si>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</si>
  <si>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</si>
  <si>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</si>
  <si>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</si>
  <si>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</si>
  <si>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</si>
  <si>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</si>
  <si>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</si>
  <si>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</si>
  <si>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</si>
  <si>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</si>
  <si>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</si>
  <si>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</si>
  <si>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</si>
  <si>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</si>
  <si>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</si>
  <si>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</si>
  <si>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</si>
  <si>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</si>
  <si>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</si>
  <si>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</si>
  <si>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</si>
  <si>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</si>
  <si>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</si>
  <si>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</si>
  <si>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</si>
  <si>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</si>
  <si>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</si>
  <si>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</si>
  <si>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</si>
  <si>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</si>
  <si>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</si>
  <si>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</si>
  <si>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</si>
  <si>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</si>
  <si>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</si>
  <si>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</si>
  <si>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</si>
  <si>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</si>
  <si>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</si>
  <si>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</si>
  <si>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</si>
  <si>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</si>
  <si>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</si>
  <si>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</si>
  <si>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</si>
  <si>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</si>
  <si>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</si>
  <si>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</si>
  <si>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</si>
  <si>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</si>
  <si>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</si>
  <si>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</si>
  <si>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</si>
  <si>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</si>
  <si>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</si>
  <si>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</si>
  <si>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</si>
  <si>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</si>
  <si>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</si>
  <si>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</si>
  <si>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</si>
  <si>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</si>
  <si>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</si>
  <si>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</si>
  <si>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</si>
  <si>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</si>
  <si>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</si>
  <si>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</si>
  <si>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</si>
  <si>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</si>
  <si>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</si>
  <si>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</si>
  <si>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</si>
  <si>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</si>
  <si>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</si>
  <si>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</si>
  <si>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</si>
  <si>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</si>
  <si>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</si>
  <si>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</si>
  <si>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</si>
  <si>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</si>
  <si>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</si>
  <si>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</si>
  <si>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</si>
  <si>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</si>
  <si>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</si>
  <si>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</si>
  <si>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</si>
  <si>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</si>
  <si>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</si>
  <si>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</si>
  <si>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</si>
  <si>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</si>
  <si>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</si>
  <si>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</si>
  <si>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</si>
  <si>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</si>
  <si>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</si>
  <si>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</si>
  <si>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</si>
  <si>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</si>
  <si>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</si>
  <si>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</si>
  <si>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</si>
  <si>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</si>
  <si>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</si>
  <si>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</si>
  <si>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</si>
  <si>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</si>
  <si>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</si>
  <si>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</si>
  <si>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</si>
  <si>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</si>
  <si>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</si>
  <si>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</si>
  <si>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</si>
  <si>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</si>
  <si>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</si>
  <si>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</si>
  <si>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</si>
  <si>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</si>
  <si>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</si>
  <si>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</si>
  <si>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</si>
  <si>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</si>
  <si>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</si>
  <si>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</si>
  <si>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</si>
  <si>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</si>
  <si>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</si>
  <si>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</si>
  <si>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</si>
  <si>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</si>
  <si>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</si>
  <si>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</si>
  <si>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</si>
  <si>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</si>
  <si>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</si>
  <si>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</si>
  <si>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</si>
  <si>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</si>
  <si>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</si>
  <si>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</si>
  <si>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</si>
  <si>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</si>
  <si>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</si>
  <si>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</si>
  <si>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</si>
  <si>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</si>
  <si>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</si>
  <si>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</si>
  <si>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</si>
  <si>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</si>
  <si>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</si>
  <si>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</si>
  <si>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</si>
  <si>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</si>
  <si>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</si>
  <si>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</si>
  <si>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</si>
  <si>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</si>
  <si>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</si>
  <si>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</si>
  <si>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</si>
  <si>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</si>
  <si>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</si>
  <si>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</si>
  <si>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</si>
  <si>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</si>
  <si>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</si>
  <si>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</si>
  <si>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</si>
  <si>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</si>
  <si>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</si>
  <si>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</si>
  <si>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</si>
  <si>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</si>
  <si>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</si>
  <si>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</si>
  <si>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</si>
  <si>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</si>
  <si>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</si>
  <si>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</si>
  <si>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</si>
  <si>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</si>
  <si>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</si>
  <si>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</si>
  <si>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</si>
  <si>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</si>
  <si>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</si>
  <si>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</si>
  <si>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</si>
  <si>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</si>
  <si>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</si>
  <si>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</si>
  <si>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</si>
  <si>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</si>
  <si>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</si>
  <si>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</si>
  <si>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</si>
  <si>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</si>
  <si>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</si>
  <si>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</si>
  <si>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</si>
  <si>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</si>
  <si>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</si>
  <si>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</si>
  <si>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</si>
  <si>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</si>
  <si>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</si>
  <si>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</si>
  <si>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</si>
  <si>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</si>
  <si>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</si>
  <si>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</si>
  <si>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</si>
  <si>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</si>
  <si>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</si>
  <si>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</si>
  <si>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</si>
  <si>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</si>
  <si>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</si>
  <si>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</si>
  <si>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</si>
  <si>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</si>
  <si>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</si>
  <si>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</si>
  <si>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</si>
  <si>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</si>
  <si>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</si>
  <si>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</si>
  <si>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</si>
  <si>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</si>
  <si>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</si>
  <si>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</si>
  <si>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</si>
  <si>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</si>
  <si>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</si>
  <si>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</si>
  <si>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</si>
  <si>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</si>
  <si>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</si>
  <si>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</si>
  <si>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</si>
  <si>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</si>
  <si>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</si>
  <si>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</si>
  <si>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</si>
  <si>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</si>
  <si>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</si>
  <si>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</si>
  <si>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</si>
  <si>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</si>
  <si>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</si>
  <si>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</si>
  <si>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</si>
  <si>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</si>
  <si>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</si>
  <si>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</si>
  <si>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</si>
  <si>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</si>
  <si>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</si>
  <si>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</si>
  <si>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</si>
  <si>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</si>
  <si>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</si>
  <si>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</si>
  <si>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</si>
  <si>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</si>
  <si>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</si>
  <si>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</si>
  <si>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</si>
  <si>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</si>
  <si>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</si>
  <si>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</si>
  <si>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</si>
  <si>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</si>
  <si>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</si>
  <si>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</si>
  <si>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</si>
  <si>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</si>
  <si>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</si>
  <si>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</si>
  <si>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</si>
  <si>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</si>
  <si>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</si>
  <si>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</si>
  <si>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</si>
  <si>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</si>
  <si>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</si>
  <si>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</si>
  <si>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</si>
  <si>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</si>
  <si>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</si>
  <si>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</si>
  <si>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</si>
  <si>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</si>
  <si>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</si>
  <si>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</si>
  <si>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</si>
  <si>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</si>
  <si>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</si>
  <si>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</si>
  <si>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</si>
  <si>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</si>
  <si>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</si>
  <si>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</si>
  <si>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</si>
  <si>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</si>
  <si>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</si>
  <si>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</si>
  <si>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</si>
  <si>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</si>
  <si>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</si>
  <si>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</si>
  <si>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</si>
  <si>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</si>
  <si>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</si>
  <si>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</si>
  <si>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</si>
  <si>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</si>
  <si>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</si>
  <si>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</si>
  <si>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</si>
  <si>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</si>
  <si>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</si>
  <si>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</si>
  <si>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</si>
  <si>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</si>
  <si>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</si>
  <si>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</si>
  <si>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</si>
  <si>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</si>
  <si>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</si>
  <si>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</si>
  <si>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</si>
  <si>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</si>
  <si>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</si>
  <si>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</si>
  <si>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</si>
  <si>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</si>
  <si>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</si>
  <si>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</si>
  <si>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</si>
  <si>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</si>
  <si>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</si>
  <si>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</si>
  <si>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</si>
  <si>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</si>
  <si>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</si>
  <si>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</si>
  <si>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</si>
  <si>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</si>
  <si>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</si>
  <si>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</si>
  <si>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</si>
  <si>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</si>
  <si>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</si>
  <si>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</si>
  <si>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</si>
  <si>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</si>
  <si>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</si>
  <si>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</si>
  <si>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</si>
  <si>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</si>
  <si>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</si>
  <si>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</si>
  <si>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</si>
  <si>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</si>
  <si>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</si>
  <si>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</si>
  <si>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</si>
  <si>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</si>
  <si>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</si>
  <si>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</si>
  <si>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</si>
  <si>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</si>
  <si>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</si>
  <si>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</si>
  <si>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</si>
  <si>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</si>
  <si>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</si>
  <si>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</si>
  <si>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</si>
  <si>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</si>
  <si>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</si>
  <si>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</si>
  <si>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</si>
  <si>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</si>
  <si>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</si>
  <si>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</si>
  <si>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</si>
  <si>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</si>
  <si>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</si>
  <si>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</si>
  <si>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</si>
  <si>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</si>
  <si>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</si>
  <si>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</si>
  <si>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</si>
  <si>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</si>
  <si>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</si>
  <si>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</si>
  <si>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</si>
  <si>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</si>
  <si>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</si>
  <si>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</si>
  <si>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</si>
  <si>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</si>
  <si>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</si>
  <si>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</si>
  <si>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</si>
  <si>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</si>
  <si>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</si>
  <si>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</si>
  <si>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</si>
  <si>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</si>
  <si>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</si>
  <si>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</si>
  <si>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</si>
  <si>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</si>
  <si>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</si>
  <si>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</si>
  <si>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</si>
  <si>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</si>
  <si>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</si>
  <si>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</si>
  <si>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</si>
  <si>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</si>
  <si>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</si>
  <si>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</si>
  <si>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</si>
  <si>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</si>
  <si>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</si>
  <si>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</si>
  <si>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</si>
  <si>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</si>
  <si>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</si>
  <si>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</si>
  <si>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</si>
  <si>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</si>
  <si>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</si>
  <si>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</si>
  <si>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</si>
  <si>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</si>
  <si>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</si>
  <si>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</si>
  <si>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</si>
  <si>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</si>
  <si>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</si>
  <si>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</si>
  <si>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</si>
  <si>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</si>
  <si>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</si>
  <si>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</si>
  <si>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</si>
  <si>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</si>
  <si>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</si>
  <si>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</si>
  <si>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</si>
  <si>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</si>
  <si>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</si>
  <si>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</si>
  <si>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</si>
  <si>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</si>
  <si>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</si>
  <si>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</si>
  <si>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</si>
  <si>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</si>
  <si>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</si>
  <si>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</si>
  <si>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</si>
  <si>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</si>
  <si>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</si>
  <si>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</si>
  <si>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</si>
  <si>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</si>
  <si>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</si>
  <si>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</si>
  <si>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</si>
  <si>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</si>
  <si>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</si>
  <si>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</si>
  <si>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</si>
  <si>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</si>
  <si>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</si>
  <si>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</si>
  <si>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</si>
  <si>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</si>
  <si>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</si>
  <si>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</si>
  <si>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</si>
  <si>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</si>
  <si>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</si>
  <si>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</si>
  <si>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</si>
  <si>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</si>
  <si>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</si>
  <si>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</si>
  <si>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</si>
  <si>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</si>
  <si>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</si>
  <si>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</si>
  <si>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</si>
  <si>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</si>
  <si>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</si>
  <si>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</si>
  <si>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</si>
  <si>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</si>
  <si>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</si>
  <si>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</si>
  <si>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</si>
  <si>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</si>
  <si>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</si>
  <si>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</si>
  <si>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</si>
  <si>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</si>
  <si>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</si>
  <si>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</si>
  <si>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</si>
  <si>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</si>
  <si>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</si>
  <si>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</si>
  <si>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</si>
  <si>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</si>
  <si>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</si>
  <si>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</si>
  <si>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</si>
  <si>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</si>
  <si>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</si>
  <si>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</si>
  <si>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</si>
  <si>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</si>
  <si>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</si>
  <si>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</si>
  <si>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</si>
  <si>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</si>
  <si>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</si>
  <si>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</si>
  <si>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</si>
  <si>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</si>
  <si>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</si>
  <si>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</si>
  <si>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</si>
  <si>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</si>
  <si>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</si>
  <si>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</si>
  <si>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</si>
  <si>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</si>
  <si>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</si>
  <si>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</si>
  <si>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</si>
  <si>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</si>
  <si>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</si>
  <si>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</si>
  <si>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</si>
  <si>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</si>
  <si>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</si>
  <si>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</si>
  <si>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</si>
  <si>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</si>
  <si>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</si>
  <si>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</si>
  <si>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</si>
  <si>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</si>
  <si>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</si>
  <si>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</si>
  <si>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</si>
  <si>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</si>
  <si>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</si>
  <si>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</si>
  <si>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</si>
  <si>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</si>
  <si>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</si>
  <si>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</si>
  <si>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</si>
  <si>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</si>
  <si>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</si>
  <si>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</si>
  <si>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</si>
  <si>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</si>
  <si>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</si>
  <si>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</si>
  <si>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</si>
  <si>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</si>
  <si>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</si>
  <si>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</si>
  <si>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</si>
  <si>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</si>
  <si>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</si>
  <si>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</si>
  <si>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</si>
  <si>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</si>
  <si>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</si>
  <si>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</si>
  <si>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</si>
  <si>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</si>
  <si>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</si>
  <si>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</si>
  <si>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</si>
  <si>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</si>
  <si>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PSASRT1200P3WG</t>
  </si>
  <si>
    <t> PSU AS ROG THOR 1200P3 WHITE</t>
  </si>
  <si>
    <t>511764</t>
  </si>
  <si>
    <t>PSASRT1600T3GMG</t>
  </si>
  <si>
    <t> PSU AS ROG THOR 1600T3 GM 80+T</t>
  </si>
  <si>
    <t>511772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</si>
  <si>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</si>
  <si>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</si>
  <si>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</si>
  <si>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</si>
  <si>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</si>
  <si>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</si>
  <si>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</si>
  <si>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</si>
  <si>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</si>
  <si>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</si>
  <si>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</si>
  <si>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</si>
  <si>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</si>
  <si>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</si>
  <si>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</si>
  <si>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</si>
  <si>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</si>
  <si>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</si>
  <si>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</si>
  <si>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</si>
  <si>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</si>
  <si>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</si>
  <si>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</si>
  <si>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</si>
  <si>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</si>
  <si>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</si>
  <si>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</si>
  <si>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</si>
  <si>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</si>
  <si>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</si>
  <si>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</si>
  <si>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</si>
  <si>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</si>
  <si>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</si>
  <si>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</si>
  <si>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</si>
  <si>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</si>
  <si>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</si>
  <si>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</si>
  <si>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</si>
  <si>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</si>
  <si>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</si>
  <si>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</si>
  <si>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PSUA850BTE1320S</t>
  </si>
  <si>
    <t> PSU GM ATX 850W TE1320S</t>
  </si>
  <si>
    <t>502822</t>
  </si>
  <si>
    <t>Fuente de alimentación Teros TE-1320S, Formato ATX, 850W 80 Plus Platinum, 110-240V[@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</si>
  <si>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</si>
  <si>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</si>
  <si>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</si>
  <si>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</si>
  <si>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</si>
  <si>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</si>
  <si>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</si>
  <si>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</si>
  <si>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</si>
  <si>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</si>
  <si>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</si>
  <si>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</si>
  <si>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</si>
  <si>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</si>
  <si>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</si>
  <si>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</si>
  <si>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</si>
  <si>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</si>
  <si>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</si>
  <si>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</si>
  <si>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</si>
  <si>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</si>
  <si>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</si>
  <si>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</si>
  <si>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</si>
  <si>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</si>
  <si>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</si>
  <si>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</si>
  <si>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</si>
  <si>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</si>
  <si>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</si>
  <si>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</si>
  <si>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</si>
  <si>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</si>
  <si>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</si>
  <si>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</si>
  <si>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</si>
  <si>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</si>
  <si>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</si>
  <si>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</si>
  <si>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</si>
  <si>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</si>
  <si>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</si>
  <si>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</si>
  <si>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</si>
  <si>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</si>
  <si>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</si>
  <si>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</si>
  <si>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</si>
  <si>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</si>
  <si>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</si>
  <si>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</si>
  <si>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</si>
  <si>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</si>
  <si>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</si>
  <si>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</si>
  <si>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</si>
  <si>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</si>
  <si>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</si>
  <si>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</si>
  <si>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</si>
  <si>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</si>
  <si>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</si>
  <si>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</si>
  <si>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</si>
  <si>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</si>
  <si>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</si>
  <si>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</si>
  <si>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</si>
  <si>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</si>
  <si>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</si>
  <si>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</si>
  <si>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</si>
  <si>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</si>
  <si>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</si>
  <si>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</si>
  <si>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</si>
  <si>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</si>
  <si>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</si>
  <si>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</si>
  <si>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</si>
  <si>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</si>
  <si>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</si>
  <si>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</si>
  <si>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</si>
  <si>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</si>
  <si>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</si>
  <si>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</si>
  <si>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</si>
  <si>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</si>
  <si>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</si>
  <si>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</si>
  <si>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</si>
  <si>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</si>
  <si>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</si>
  <si>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</si>
  <si>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</si>
  <si>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</si>
  <si>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</si>
  <si>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</si>
  <si>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</si>
  <si>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</si>
  <si>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</si>
  <si>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</si>
  <si>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</si>
  <si>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</si>
  <si>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</si>
  <si>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</si>
  <si>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</si>
  <si>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</si>
  <si>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</si>
  <si>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</si>
  <si>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</si>
  <si>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</si>
  <si>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</si>
  <si>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</si>
  <si>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</si>
  <si>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</si>
  <si>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</si>
  <si>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</si>
  <si>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</si>
  <si>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</si>
  <si>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</si>
  <si>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</si>
  <si>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</si>
  <si>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</si>
  <si>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</si>
  <si>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</si>
  <si>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</si>
  <si>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</si>
  <si>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</si>
  <si>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</si>
  <si>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</si>
  <si>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</si>
  <si>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</si>
  <si>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</si>
  <si>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</si>
  <si>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</si>
  <si>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</si>
  <si>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</si>
  <si>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</si>
  <si>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</si>
  <si>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</si>
  <si>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</si>
  <si>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</si>
  <si>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</si>
  <si>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</si>
  <si>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</si>
  <si>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</si>
  <si>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</si>
  <si>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</si>
  <si>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</si>
  <si>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</si>
  <si>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</si>
  <si>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</si>
  <si>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</si>
  <si>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</si>
  <si>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</si>
  <si>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</si>
  <si>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</si>
  <si>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</si>
  <si>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</si>
  <si>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</si>
  <si>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</si>
  <si>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</si>
  <si>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</si>
  <si>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</si>
  <si>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</si>
  <si>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</si>
  <si>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</si>
  <si>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</si>
  <si>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</si>
  <si>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</si>
  <si>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</si>
  <si>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</si>
  <si>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</si>
  <si>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</si>
  <si>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</si>
  <si>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</si>
  <si>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</si>
  <si>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</si>
  <si>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</si>
  <si>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</si>
  <si>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</si>
  <si>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</si>
  <si>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</si>
  <si>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</si>
  <si>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</si>
  <si>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</si>
  <si>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</si>
  <si>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</si>
  <si>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</si>
  <si>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</si>
  <si>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</si>
  <si>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</si>
  <si>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</si>
  <si>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</si>
  <si>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</si>
  <si>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</si>
  <si>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</si>
  <si>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</si>
  <si>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</si>
  <si>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</si>
  <si>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</si>
  <si>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</si>
  <si>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</si>
  <si>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</si>
  <si>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</si>
  <si>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</si>
  <si>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</si>
  <si>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</si>
  <si>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</si>
  <si>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</si>
  <si>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</si>
  <si>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</si>
  <si>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</si>
  <si>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</si>
  <si>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</si>
  <si>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</si>
  <si>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</si>
  <si>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</si>
  <si>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</si>
  <si>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</si>
  <si>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</si>
  <si>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</si>
  <si>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</si>
  <si>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</si>
  <si>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</si>
  <si>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</si>
  <si>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</si>
  <si>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</si>
  <si>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</si>
  <si>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</si>
  <si>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</si>
  <si>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</si>
  <si>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</si>
  <si>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</si>
  <si>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</si>
  <si>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</si>
  <si>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</si>
  <si>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</si>
  <si>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</si>
  <si>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</si>
  <si>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</si>
  <si>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</si>
  <si>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</si>
  <si>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</si>
  <si>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</si>
  <si>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</si>
  <si>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</si>
  <si>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</si>
  <si>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</si>
  <si>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</si>
  <si>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</si>
  <si>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</si>
  <si>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</si>
  <si>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</si>
  <si>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</si>
  <si>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NWDGS151052X</t>
  </si>
  <si>
    <t> 52-PORTS GIGABIT - 48-PORTS GI</t>
  </si>
  <si>
    <t>259512</t>
  </si>
  <si>
    <t>Switch SmartPro D-Link DGS-1510-52x, 48 RJ-45 LANGbE, 4 puertos 10G SFP+.[@@@]Autovol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</si>
  <si>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</si>
  <si>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</si>
  <si>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</si>
  <si>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</si>
  <si>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</si>
  <si>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</si>
  <si>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</si>
  <si>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</si>
  <si>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</si>
  <si>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</si>
  <si>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</si>
  <si>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</si>
  <si>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</si>
  <si>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</si>
  <si>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</si>
  <si>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</si>
  <si>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</si>
  <si>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</si>
  <si>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</si>
  <si>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</si>
  <si>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</si>
  <si>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</si>
  <si>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</si>
  <si>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</si>
  <si>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</si>
  <si>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</si>
  <si>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</si>
  <si>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</si>
  <si>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</si>
  <si>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</si>
  <si>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</si>
  <si>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</si>
  <si>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</si>
  <si>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</si>
  <si>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</si>
  <si>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</si>
  <si>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</si>
  <si>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</si>
  <si>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</si>
  <si>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</si>
  <si>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</si>
  <si>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</si>
  <si>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</si>
  <si>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</si>
  <si>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</si>
  <si>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</si>
  <si>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</si>
  <si>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</si>
  <si>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</si>
  <si>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</si>
  <si>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</si>
  <si>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</si>
  <si>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</si>
  <si>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</si>
  <si>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</si>
  <si>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</si>
  <si>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</si>
  <si>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</si>
  <si>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</si>
  <si>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</si>
  <si>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</si>
  <si>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</si>
  <si>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</si>
  <si>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</si>
  <si>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</si>
  <si>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</si>
  <si>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</si>
  <si>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</si>
  <si>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</si>
  <si>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</si>
  <si>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</si>
  <si>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</si>
  <si>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</si>
  <si>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</si>
  <si>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</si>
  <si>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</si>
  <si>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</si>
  <si>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</si>
  <si>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</si>
  <si>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</si>
  <si>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</si>
  <si>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</si>
  <si>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</si>
  <si>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</si>
  <si>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</si>
  <si>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</si>
  <si>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</si>
  <si>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</si>
  <si>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</si>
  <si>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</si>
  <si>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</si>
  <si>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</si>
  <si>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</si>
  <si>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</si>
  <si>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</si>
  <si>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</si>
  <si>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</si>
  <si>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</si>
  <si>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</si>
  <si>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</si>
  <si>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</si>
  <si>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</si>
  <si>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</si>
  <si>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</si>
  <si>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</si>
  <si>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</si>
  <si>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</si>
  <si>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</si>
  <si>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</si>
  <si>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</si>
  <si>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</si>
  <si>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</si>
  <si>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</si>
  <si>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</si>
  <si>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</si>
  <si>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</si>
  <si>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</si>
  <si>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</si>
  <si>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</si>
  <si>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</si>
  <si>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</si>
  <si>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</si>
  <si>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</si>
  <si>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</si>
  <si>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</si>
  <si>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</si>
  <si>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</si>
  <si>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</si>
  <si>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</si>
  <si>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</si>
  <si>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</si>
  <si>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</si>
  <si>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</si>
  <si>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</si>
  <si>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</si>
  <si>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</si>
  <si>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</si>
  <si>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</si>
  <si>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</si>
  <si>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</si>
  <si>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</si>
  <si>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</si>
  <si>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</si>
  <si>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</si>
  <si>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</si>
  <si>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</si>
  <si>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</si>
  <si>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</si>
  <si>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</si>
  <si>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</si>
  <si>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</si>
  <si>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</si>
  <si>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</si>
  <si>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</si>
  <si>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</si>
  <si>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</si>
  <si>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</si>
  <si>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</si>
  <si>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</si>
  <si>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</si>
  <si>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</si>
  <si>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</si>
  <si>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</si>
  <si>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</si>
  <si>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</si>
  <si>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</si>
  <si>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</si>
  <si>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</si>
  <si>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</si>
  <si>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</si>
  <si>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</si>
  <si>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</si>
  <si>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</si>
  <si>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</si>
  <si>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</si>
  <si>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</si>
  <si>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</si>
  <si>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</si>
  <si>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</si>
  <si>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</si>
  <si>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</si>
  <si>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</si>
  <si>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</si>
  <si>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</si>
  <si>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</si>
  <si>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</si>
  <si>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</si>
  <si>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</si>
  <si>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</si>
  <si>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</si>
  <si>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</si>
  <si>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</si>
  <si>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</si>
  <si>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</si>
  <si>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</si>
  <si>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</si>
  <si>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</si>
  <si>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</si>
  <si>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</si>
  <si>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</si>
  <si>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</si>
  <si>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</si>
  <si>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</si>
  <si>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</si>
  <si>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</si>
  <si>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</si>
  <si>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</si>
  <si>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</si>
  <si>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</si>
  <si>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</si>
  <si>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</si>
  <si>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</si>
  <si>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</si>
  <si>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</si>
  <si>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</si>
  <si>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</si>
  <si>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</si>
  <si>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</si>
  <si>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</si>
  <si>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</si>
  <si>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</si>
  <si>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</si>
  <si>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</si>
  <si>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</si>
  <si>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</si>
  <si>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</si>
  <si>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</si>
  <si>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</si>
  <si>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</si>
  <si>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</si>
  <si>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</si>
  <si>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</si>
  <si>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</si>
  <si>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</si>
  <si>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</si>
  <si>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</si>
  <si>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</si>
  <si>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</si>
  <si>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</si>
  <si>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</si>
  <si>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</si>
  <si>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</si>
  <si>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</si>
  <si>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</si>
  <si>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</si>
  <si>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</si>
  <si>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</si>
  <si>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</si>
  <si>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</si>
  <si>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</si>
  <si>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</si>
  <si>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</si>
  <si>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</si>
  <si>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</si>
  <si>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</si>
  <si>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</si>
  <si>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</si>
  <si>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</si>
  <si>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</si>
  <si>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</si>
  <si>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</si>
  <si>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</si>
  <si>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</si>
  <si>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</si>
  <si>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CSA00BKTE1321G</t>
  </si>
  <si>
    <t> CASE GM ATX TE1321 BLACK</t>
  </si>
  <si>
    <t>472157</t>
  </si>
  <si>
    <t>Case Gamer Teros TE-1321G, Mid Tower, USB 3.0 / USB 2.0, Audio, Ventilador RGB, Negro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</si>
  <si>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</si>
  <si>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</si>
  <si>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</si>
  <si>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</si>
  <si>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</si>
  <si>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</si>
  <si>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 2.4/5.2GHz /32GB DDR5/1TB SSD M.2/DVD-W</t>
  </si>
  <si>
    <t>Workstation HP Z2 Tower G1i, Core Ultra 7 265K 3.9 / 5.4GHz/32GB DDR5/1TB SSD M.2/DVD</t>
  </si>
  <si>
    <t>HDIWD102FZBX</t>
  </si>
  <si>
    <t> HD WD BLACK 10TB SATA 7200</t>
  </si>
  <si>
    <t>488803</t>
  </si>
  <si>
    <t>Disco Duro Western Digital WD_BLACK Gaming Hard Drive 10 TB 3.5" SATA/ 267MB/s / 7200</t>
  </si>
  <si>
    <t>SSDKTXS2000500</t>
  </si>
  <si>
    <t> SSD EXT KING XS2000 500GB 3.2</t>
  </si>
  <si>
    <t>404561</t>
  </si>
  <si>
    <t>Unidad en estado sólido externa Kingston XS2000, 500GB, USB 3.2 Gen 2x2 Tipo-C[@@@]Ve</t>
  </si>
  <si>
    <t>PSSTRUAVR604I</t>
  </si>
  <si>
    <t> ESTABILIZADOR CDP 600VA</t>
  </si>
  <si>
    <t>152584</t>
  </si>
  <si>
    <t>Regulador de voltaje CDP RU-AVR604I, 600VA/300W, 170-270 VAC.[@@@]Boton on/off, entra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</si>
  <si>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</si>
  <si>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</si>
  <si>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</si>
  <si>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</si>
  <si>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</si>
  <si>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</si>
  <si>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</si>
  <si>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</si>
  <si>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</si>
  <si>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</si>
  <si>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AC64GUSBSDCZ50</t>
  </si>
  <si>
    <t> USB SANDISK CRUZER BLADE 64GB</t>
  </si>
  <si>
    <t>224859</t>
  </si>
  <si>
    <t>Memoria Flash USB SanDisk Cruzer Blade , 64GB, USB 2.0, presentación en colgador.[@@@</t>
  </si>
  <si>
    <t>MO24ASVG249Q3R</t>
  </si>
  <si>
    <t> MON 24 AS VG249Q3R FHD 1M 180H</t>
  </si>
  <si>
    <t>498183</t>
  </si>
  <si>
    <t>Monitor Plano ASUS TUF Gaming VG249Q3R, 23.8" FHDFast IPS (1920x1080) HDMI/Earphone J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</si>
  <si>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</si>
  <si>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</si>
  <si>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</si>
  <si>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MSWPPLTE1219S</t>
  </si>
  <si>
    <t>427322</t>
  </si>
  <si>
    <t>Mouse óptico inalámbrico TEROS TE-1219S, 1000 DPI, receptor USB, 3 botones, color mor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</si>
  <si>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</si>
  <si>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</si>
  <si>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</si>
  <si>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</si>
  <si>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</si>
  <si>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</si>
  <si>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</si>
  <si>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</si>
  <si>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</si>
  <si>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</si>
  <si>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</si>
  <si>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</si>
  <si>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</si>
  <si>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</si>
  <si>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</si>
  <si>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</si>
  <si>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</si>
  <si>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</si>
  <si>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</si>
  <si>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</si>
  <si>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</si>
  <si>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</si>
  <si>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</si>
  <si>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</si>
  <si>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</si>
  <si>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</si>
  <si>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</si>
  <si>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</si>
  <si>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</si>
  <si>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NWDLDES1024D</t>
  </si>
  <si>
    <t> SWITCH DLINK 24PT 10/100</t>
  </si>
  <si>
    <t>23974</t>
  </si>
  <si>
    <t>D-Link 24-Port 10/100 MBps RJ-45 Rackmountable Switch - Autovoltaje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</si>
  <si>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</si>
  <si>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</si>
  <si>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</si>
  <si>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</si>
  <si>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</si>
  <si>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</si>
  <si>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</si>
  <si>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</si>
  <si>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</si>
  <si>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</si>
  <si>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</si>
  <si>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SWB11010061</t>
  </si>
  <si>
    <t> BD PLUS 1 PC 12M BLISTER</t>
  </si>
  <si>
    <t>514215</t>
  </si>
  <si>
    <t>SWS11030203</t>
  </si>
  <si>
    <t> ESET HOME SEC ESSENTIA 1PC 40%</t>
  </si>
  <si>
    <t>485321</t>
  </si>
  <si>
    <t>ZZZSERAPKTRILC</t>
  </si>
  <si>
    <t> APK TRILCE 2017</t>
  </si>
  <si>
    <t>216287</t>
  </si>
  <si>
    <t>STHPM0H54AL</t>
  </si>
  <si>
    <t> HP GT52 CYAN ORIGINAL INK BOTT</t>
  </si>
  <si>
    <t>470757</t>
  </si>
  <si>
    <t>Botella de tinta original Cian HP GT52 (M0H54AL),70ml.[@@@]Compatibilidad con impres</t>
  </si>
  <si>
    <t>STHPM0H55AL</t>
  </si>
  <si>
    <t> HP GT52 MAGENTA ORIGINAL INK B</t>
  </si>
  <si>
    <t>470758</t>
  </si>
  <si>
    <t>Botella de tinta original Magenta HP GT52 (M0H55AL), 70ml.[@@@]Compatibilidad con im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</si>
  <si>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</si>
  <si>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</si>
  <si>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</si>
  <si>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</si>
  <si>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</si>
  <si>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</si>
  <si>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</si>
  <si>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Tarjeta de video ASUS RTX5080-O16G-NOCTUA, 16GB GDDR7, PCIe Gen 5.0[@@@]Puertos: 3 x</t>
  </si>
  <si>
    <t>NBACTE9032MM</t>
  </si>
  <si>
    <t> SHOULDER BAG ROSSAN MOCHA</t>
  </si>
  <si>
    <t>467814</t>
  </si>
  <si>
    <t>Shoulder Bag Teros Rossan Mocha Mousse TE-9032MM,para Notebooks de hasta 15.6"[@@@]De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</si>
  <si>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</si>
  <si>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</si>
  <si>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</si>
  <si>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</si>
  <si>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</si>
  <si>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</si>
  <si>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</si>
  <si>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</si>
  <si>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</si>
  <si>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</si>
  <si>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</si>
  <si>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</si>
  <si>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</si>
  <si>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</si>
  <si>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</si>
  <si>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</si>
  <si>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</si>
  <si>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CITY GREY</t>
  </si>
  <si>
    <t>440801</t>
  </si>
  <si>
    <t>Backpack Teros City TE-ACS9023GR, para Notebooks de hasta 15.6", Color Gris[@@@]Mochi</t>
  </si>
  <si>
    <t> BACKPACK TEROS WORK PERUVIAN</t>
  </si>
  <si>
    <t>451130</t>
  </si>
  <si>
    <t>Backpack Teros Work Peruvian TE-ACS9024BR, para Notebooks de hasta 15.6"[@@@]La mochi</t>
  </si>
  <si>
    <t>NBACTE9026BG</t>
  </si>
  <si>
    <t> BACKPACK TEROS CITY II BEIGE</t>
  </si>
  <si>
    <t>467752</t>
  </si>
  <si>
    <t>Backpack Teros City II TE-9026BG, para notebooks de hasta 15.6", Color Beige[@@@]Desc</t>
  </si>
  <si>
    <t>NBACTE9028GR</t>
  </si>
  <si>
    <t> BACKPACK TEROS CITY II GREY</t>
  </si>
  <si>
    <t>467754</t>
  </si>
  <si>
    <t>Backpack Teros City II TE-9028GR, para Notebooks de hasta 15.6" Color Gris[@@@]Descub</t>
  </si>
  <si>
    <t>NBACTE9029MM</t>
  </si>
  <si>
    <t> BACKPACK TEROS CITY II MOCHA</t>
  </si>
  <si>
    <t>467755</t>
  </si>
  <si>
    <t>Backpack TEROS CITY II Mocha mousse TE-9029MM, para notebooks de hasta 15.6"[@@@]Desc</t>
  </si>
  <si>
    <t>MON49CTE4920G</t>
  </si>
  <si>
    <t> MON TE 49'' DQHD 144HZ 0.03MS</t>
  </si>
  <si>
    <t>468167</t>
  </si>
  <si>
    <t>Monitor Curvo Gaming TEROS TE-4920G, 49" QD-OLED,144Hz HDMI, DP, Audio Out, Parlantes</t>
  </si>
  <si>
    <t>MO24ASVY249HG-B</t>
  </si>
  <si>
    <t> MON 24 AS VY249HGR FHD 1M 120H</t>
  </si>
  <si>
    <t>474759</t>
  </si>
  <si>
    <t>Monitor plano gaming ASUS VY249HGR 23.8"/LED/FHD/IPS/120Hz/HDMI x1/VGA x1/Earphone Ja</t>
  </si>
  <si>
    <t>MON195FTE1915S</t>
  </si>
  <si>
    <t>470899</t>
  </si>
  <si>
    <t>Monitor plano TEROS TE-1915S 19.5" HD+ TN 75Hz 5ms HDMI VGA PARLANTES[@@@]Potencia tu</t>
  </si>
  <si>
    <t>MON215FTE2130CS</t>
  </si>
  <si>
    <t> MON TE 21.5\'' FHD 100HZ 5MS F</t>
  </si>
  <si>
    <t>481547</t>
  </si>
  <si>
    <t>Monitor plano TEROS TE-2130CS 21.5" FHD IPS 100Hz5ms HDMI VGA[@@@]Disfruta de una exp</t>
  </si>
  <si>
    <t>NBASE1504061W</t>
  </si>
  <si>
    <t> NB VIVO 15 I3-N3 8 256 WH</t>
  </si>
  <si>
    <t>489141</t>
  </si>
  <si>
    <t>NBLEN83K100C5-B</t>
  </si>
  <si>
    <t> NB LEN 15.3 I7-13 24 512 W11H</t>
  </si>
  <si>
    <t>514784</t>
  </si>
  <si>
    <t>NBLEN83JX00ARLM</t>
  </si>
  <si>
    <t> NB YS7 14 U7-2 32 1T W11H</t>
  </si>
  <si>
    <t>503159</t>
  </si>
  <si>
    <t>NB Lenovo Yoga Slim 7 14ILL10, 14" WUXGA OLED, Core U7 258V 4.8GHz, 32GB LPDDR5X, 1TB</t>
  </si>
  <si>
    <t>NBHPBM6U7LA</t>
  </si>
  <si>
    <t> NBG OMN 16 R9-3 32 1T V8G W11</t>
  </si>
  <si>
    <t>478533</t>
  </si>
  <si>
    <t>Notebook HP Gaming OMEN 16-ap0004la, 16” 2K IPS, AMD Ryzen AI 9 365 5.0 GHZ,32GB DDR5</t>
  </si>
  <si>
    <t>SSDKTKC3000M512</t>
  </si>
  <si>
    <t> SSD KING KC3000 512GB NVME M.2</t>
  </si>
  <si>
    <t>381556</t>
  </si>
  <si>
    <t>Unidad en estado solido Kingston KC3000, 512GB, M.2 2280 PCIe Gen 4.0 NVMe[@@@]Veloci</t>
  </si>
  <si>
    <t>ACCSMDX620UBEGW</t>
  </si>
  <si>
    <t> GALAXY TAB S10 FE+ BOOK COVER</t>
  </si>
  <si>
    <t>481406</t>
  </si>
  <si>
    <t>Funda-Teclado Slim Samsung para Galaxy Tab S10 FE+, Color Negro.[@@@]Con esta Funda-T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</si>
</sst>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D1" workbookViewId="0">
      <selection activeCell="L2" sqref="L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6318</v>
      </c>
    </row>
    <row r="2" spans="1:12" x14ac:dyDescent="0.25">
      <c r="A2" s="3" t="s">
        <v>392</v>
      </c>
      <c r="B2" s="3" t="s">
        <v>4055</v>
      </c>
      <c r="C2" s="1">
        <v>8</v>
      </c>
      <c r="D2" s="1">
        <v>12.6</v>
      </c>
      <c r="E2" s="1"/>
      <c r="F2" s="1">
        <v>368984</v>
      </c>
      <c r="G2" s="3" t="s">
        <v>4056</v>
      </c>
      <c r="H2" s="11">
        <f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64.569999999999993</v>
      </c>
      <c r="I2" s="9">
        <f>($K$2+0.02)*Tabla1[[#This Row],[PRECIO $]]*1.18</f>
        <v>52.335359999999994</v>
      </c>
      <c r="J2" s="7">
        <f>+Tabla1[[#This Row],[PRECIO EN SOLES]]-Tabla1[[#This Row],[PC]]</f>
        <v>12.234639999999999</v>
      </c>
      <c r="K2" s="15">
        <v>3.5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4057</v>
      </c>
      <c r="B3" s="3" t="s">
        <v>4054</v>
      </c>
      <c r="C3" s="1">
        <v>8</v>
      </c>
      <c r="D3" s="1">
        <v>6.7</v>
      </c>
      <c r="E3" s="1"/>
      <c r="F3" s="1">
        <v>426156</v>
      </c>
      <c r="G3" s="3" t="s">
        <v>4058</v>
      </c>
      <c r="H3" s="11">
        <f>ROUND(
IF(L3="GANCHO",
   IF(I3&lt;=50,I3*1.1+4,IF(I3&lt;=120,I3*1.1+7,IF(I3&lt;=250,I3*1.1+11,I3*1.1+19))),
IF(L3="NORMAL",
   IF(I3&lt;=30,I3*1.15+2,IF(I3&lt;=80,I3*1.15+4,IF(I3&lt;=150,I3*1.15+6,I3*1.15+8))),
IF(L3="COMPLEMENTO",
   IF(I3&lt;=25,I3*1.25+1.5,IF(I3&lt;=60,I3*1.25+3,IF(I3&lt;=120,I3*1.25+4,I3*1.25+5))),
""))),2)</f>
        <v>37.79</v>
      </c>
      <c r="I3" s="9">
        <f>($K$2+0.02)*Tabla1[[#This Row],[PRECIO $]]*1.18</f>
        <v>27.82912</v>
      </c>
      <c r="J3" s="7">
        <f>+Tabla1[[#This Row],[PRECIO EN SOLES]]-Tabla1[[#This Row],[PC]]</f>
        <v>9.9608799999999995</v>
      </c>
      <c r="K3" s="15"/>
      <c r="L3" s="15" t="str">
        <f t="shared" ref="L3:L66" si="0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4059</v>
      </c>
      <c r="B4" s="3" t="s">
        <v>4060</v>
      </c>
      <c r="C4" s="1">
        <v>8</v>
      </c>
      <c r="D4" s="1">
        <v>7.7</v>
      </c>
      <c r="E4" s="1"/>
      <c r="F4" s="1">
        <v>369033</v>
      </c>
      <c r="G4" s="3" t="s">
        <v>4060</v>
      </c>
      <c r="H4" s="11">
        <f>ROUND(
IF(L4="GANCHO",
   IF(I4&lt;=50,I4*1.1+4,IF(I4&lt;=120,I4*1.1+7,IF(I4&lt;=250,I4*1.1+11,I4*1.1+19))),
IF(L4="NORMAL",
   IF(I4&lt;=30,I4*1.15+2,IF(I4&lt;=80,I4*1.15+4,IF(I4&lt;=150,I4*1.15+6,I4*1.15+8))),
IF(L4="COMPLEMENTO",
   IF(I4&lt;=25,I4*1.25+1.5,IF(I4&lt;=60,I4*1.25+3,IF(I4&lt;=120,I4*1.25+4,I4*1.25+5))),
""))),2)</f>
        <v>40.78</v>
      </c>
      <c r="I4" s="9">
        <f>($K$2+0.02)*Tabla1[[#This Row],[PRECIO $]]*1.18</f>
        <v>31.982719999999997</v>
      </c>
      <c r="J4" s="7">
        <f>+Tabla1[[#This Row],[PRECIO EN SOLES]]-Tabla1[[#This Row],[PC]]</f>
        <v>8.7972800000000042</v>
      </c>
      <c r="K4" s="15"/>
      <c r="L4" s="15" t="str">
        <f t="shared" si="0"/>
        <v>NORMAL</v>
      </c>
    </row>
    <row r="5" spans="1:12" x14ac:dyDescent="0.25">
      <c r="A5" s="3" t="s">
        <v>4061</v>
      </c>
      <c r="B5" s="3" t="s">
        <v>4062</v>
      </c>
      <c r="C5" s="1">
        <v>8</v>
      </c>
      <c r="D5" s="1">
        <v>3.9</v>
      </c>
      <c r="E5" s="1"/>
      <c r="F5" s="1">
        <v>370926</v>
      </c>
      <c r="G5" s="3" t="s">
        <v>4063</v>
      </c>
      <c r="H5" s="11">
        <f>ROUND(
IF(L5="GANCHO",
   IF(I5&lt;=50,I5*1.1+4,IF(I5&lt;=120,I5*1.1+7,IF(I5&lt;=250,I5*1.1+11,I5*1.1+19))),
IF(L5="NORMAL",
   IF(I5&lt;=30,I5*1.15+2,IF(I5&lt;=80,I5*1.15+4,IF(I5&lt;=150,I5*1.15+6,I5*1.15+8))),
IF(L5="COMPLEMENTO",
   IF(I5&lt;=25,I5*1.25+1.5,IF(I5&lt;=60,I5*1.25+3,IF(I5&lt;=120,I5*1.25+4,I5*1.25+5))),
""))),2)</f>
        <v>20.63</v>
      </c>
      <c r="I5" s="9">
        <f>($K$2+0.02)*Tabla1[[#This Row],[PRECIO $]]*1.18</f>
        <v>16.19904</v>
      </c>
      <c r="J5" s="7">
        <f>+Tabla1[[#This Row],[PRECIO EN SOLES]]-Tabla1[[#This Row],[PC]]</f>
        <v>4.4309599999999989</v>
      </c>
      <c r="K5" s="15"/>
      <c r="L5" s="15" t="str">
        <f t="shared" si="0"/>
        <v>NORMAL</v>
      </c>
    </row>
    <row r="6" spans="1:12" x14ac:dyDescent="0.25">
      <c r="A6" s="3" t="s">
        <v>4066</v>
      </c>
      <c r="B6" s="3" t="s">
        <v>4064</v>
      </c>
      <c r="C6" s="1">
        <v>8</v>
      </c>
      <c r="D6" s="1">
        <v>4.0999999999999996</v>
      </c>
      <c r="E6" s="1"/>
      <c r="F6" s="1">
        <v>427319</v>
      </c>
      <c r="G6" s="3" t="s">
        <v>4065</v>
      </c>
      <c r="H6" s="11">
        <f>ROUND(
IF(L6="GANCHO",
   IF(I6&lt;=50,I6*1.1+4,IF(I6&lt;=120,I6*1.1+7,IF(I6&lt;=250,I6*1.1+11,I6*1.1+19))),
IF(L6="NORMAL",
   IF(I6&lt;=30,I6*1.15+2,IF(I6&lt;=80,I6*1.15+4,IF(I6&lt;=150,I6*1.15+6,I6*1.15+8))),
IF(L6="COMPLEMENTO",
   IF(I6&lt;=25,I6*1.25+1.5,IF(I6&lt;=60,I6*1.25+3,IF(I6&lt;=120,I6*1.25+4,I6*1.25+5))),
""))),2)</f>
        <v>22.79</v>
      </c>
      <c r="I6" s="9">
        <f>($K$2+0.02)*Tabla1[[#This Row],[PRECIO $]]*1.18</f>
        <v>17.029759999999996</v>
      </c>
      <c r="J6" s="7">
        <f>+Tabla1[[#This Row],[PRECIO EN SOLES]]-Tabla1[[#This Row],[PC]]</f>
        <v>5.7602400000000031</v>
      </c>
      <c r="K6" s="15"/>
      <c r="L6" s="15" t="str">
        <f t="shared" si="0"/>
        <v>COMPLEMENTO</v>
      </c>
    </row>
    <row r="7" spans="1:12" x14ac:dyDescent="0.25">
      <c r="A7" s="3" t="s">
        <v>4067</v>
      </c>
      <c r="B7" s="3" t="s">
        <v>4068</v>
      </c>
      <c r="C7" s="1">
        <v>8</v>
      </c>
      <c r="D7" s="1">
        <v>5.5</v>
      </c>
      <c r="E7" s="1"/>
      <c r="F7" s="1">
        <v>370420</v>
      </c>
      <c r="G7" s="3" t="s">
        <v>4069</v>
      </c>
      <c r="H7" s="11">
        <f>ROUND(
IF(L7="GANCHO",
   IF(I7&lt;=50,I7*1.1+4,IF(I7&lt;=120,I7*1.1+7,IF(I7&lt;=250,I7*1.1+11,I7*1.1+19))),
IF(L7="NORMAL",
   IF(I7&lt;=30,I7*1.15+2,IF(I7&lt;=80,I7*1.15+4,IF(I7&lt;=150,I7*1.15+6,I7*1.15+8))),
IF(L7="COMPLEMENTO",
   IF(I7&lt;=25,I7*1.25+1.5,IF(I7&lt;=60,I7*1.25+3,IF(I7&lt;=120,I7*1.25+4,I7*1.25+5))),
""))),2)</f>
        <v>30.06</v>
      </c>
      <c r="I7" s="9">
        <f>($K$2+0.02)*Tabla1[[#This Row],[PRECIO $]]*1.18</f>
        <v>22.844799999999999</v>
      </c>
      <c r="J7" s="7">
        <f>+Tabla1[[#This Row],[PRECIO EN SOLES]]-Tabla1[[#This Row],[PC]]</f>
        <v>7.2151999999999994</v>
      </c>
      <c r="K7" s="15"/>
      <c r="L7" s="15" t="str">
        <f t="shared" si="0"/>
        <v>COMPLEMENTO</v>
      </c>
    </row>
    <row r="8" spans="1:12" x14ac:dyDescent="0.25">
      <c r="A8" s="3" t="s">
        <v>4070</v>
      </c>
      <c r="B8" s="3" t="s">
        <v>4071</v>
      </c>
      <c r="C8" s="1">
        <v>8</v>
      </c>
      <c r="D8" s="1">
        <v>12.5</v>
      </c>
      <c r="E8" s="1"/>
      <c r="F8" s="1">
        <v>440801</v>
      </c>
      <c r="G8" s="3" t="s">
        <v>4072</v>
      </c>
      <c r="H8" s="11">
        <f>ROUND(
IF(L8="GANCHO",
   IF(I8&lt;=50,I8*1.1+4,IF(I8&lt;=120,I8*1.1+7,IF(I8&lt;=250,I8*1.1+11,I8*1.1+19))),
IF(L8="NORMAL",
   IF(I8&lt;=30,I8*1.15+2,IF(I8&lt;=80,I8*1.15+4,IF(I8&lt;=150,I8*1.15+6,I8*1.15+8))),
IF(L8="COMPLEMENTO",
   IF(I8&lt;=25,I8*1.25+1.5,IF(I8&lt;=60,I8*1.25+3,IF(I8&lt;=120,I8*1.25+4,I8*1.25+5))),
""))),2)</f>
        <v>67.900000000000006</v>
      </c>
      <c r="I8" s="9">
        <f>($K$2+0.02)*Tabla1[[#This Row],[PRECIO $]]*1.18</f>
        <v>51.919999999999995</v>
      </c>
      <c r="J8" s="7">
        <f>+Tabla1[[#This Row],[PRECIO EN SOLES]]-Tabla1[[#This Row],[PC]]</f>
        <v>15.980000000000011</v>
      </c>
      <c r="K8" s="15"/>
      <c r="L8" s="15" t="str">
        <f t="shared" si="0"/>
        <v>COMPLEMENTO</v>
      </c>
    </row>
    <row r="9" spans="1:12" x14ac:dyDescent="0.25">
      <c r="A9" s="3" t="s">
        <v>4146</v>
      </c>
      <c r="B9" s="3" t="s">
        <v>4147</v>
      </c>
      <c r="C9" s="1">
        <v>8</v>
      </c>
      <c r="D9" s="1">
        <v>40.299999999999997</v>
      </c>
      <c r="E9" s="1"/>
      <c r="F9" s="1">
        <v>473310</v>
      </c>
      <c r="G9" s="3" t="s">
        <v>4150</v>
      </c>
      <c r="H9" s="11">
        <f>ROUND(
IF(L9="GANCHO",
   IF(I9&lt;=50,I9*1.1+4,IF(I9&lt;=120,I9*1.1+7,IF(I9&lt;=250,I9*1.1+11,I9*1.1+19))),
IF(L9="NORMAL",
   IF(I9&lt;=30,I9*1.15+2,IF(I9&lt;=80,I9*1.15+4,IF(I9&lt;=150,I9*1.15+6,I9*1.15+8))),
IF(L9="COMPLEMENTO",
   IF(I9&lt;=25,I9*1.25+1.5,IF(I9&lt;=60,I9*1.25+3,IF(I9&lt;=120,I9*1.25+4,I9*1.25+5))),
""))),2)</f>
        <v>200.5</v>
      </c>
      <c r="I9" s="9">
        <f>($K$2+0.02)*Tabla1[[#This Row],[PRECIO $]]*1.18</f>
        <v>167.39007999999998</v>
      </c>
      <c r="J9" s="7">
        <f>+Tabla1[[#This Row],[PRECIO EN SOLES]]-Tabla1[[#This Row],[PC]]</f>
        <v>33.109920000000017</v>
      </c>
      <c r="K9" s="15"/>
      <c r="L9" s="15" t="str">
        <f t="shared" si="0"/>
        <v>NORMAL</v>
      </c>
    </row>
    <row r="10" spans="1:12" x14ac:dyDescent="0.25">
      <c r="A10" s="3" t="s">
        <v>4148</v>
      </c>
      <c r="B10" s="3" t="s">
        <v>4149</v>
      </c>
      <c r="C10" s="1">
        <v>8</v>
      </c>
      <c r="D10" s="1">
        <v>100.3</v>
      </c>
      <c r="E10" s="1"/>
      <c r="F10" s="1">
        <v>451520</v>
      </c>
      <c r="G10" s="3" t="s">
        <v>4158</v>
      </c>
      <c r="H10" s="11">
        <f>ROUND(
IF(L10="GANCHO",
   IF(I10&lt;=50,I10*1.1+4,IF(I10&lt;=120,I10*1.1+7,IF(I10&lt;=250,I10*1.1+11,I10*1.1+19))),
IF(L10="NORMAL",
   IF(I10&lt;=30,I10*1.15+2,IF(I10&lt;=80,I10*1.15+4,IF(I10&lt;=150,I10*1.15+6,I10*1.15+8))),
IF(L10="COMPLEMENTO",
   IF(I10&lt;=25,I10*1.25+1.5,IF(I10&lt;=60,I10*1.25+3,IF(I10&lt;=120,I10*1.25+4,I10*1.25+5))),
""))),2)</f>
        <v>487.1</v>
      </c>
      <c r="I10" s="9">
        <f>($K$2+0.02)*Tabla1[[#This Row],[PRECIO $]]*1.18</f>
        <v>416.60607999999996</v>
      </c>
      <c r="J10" s="7">
        <f>+Tabla1[[#This Row],[PRECIO EN SOLES]]-Tabla1[[#This Row],[PC]]</f>
        <v>70.49392000000006</v>
      </c>
      <c r="K10" s="15"/>
      <c r="L10" s="15" t="str">
        <f t="shared" si="0"/>
        <v>NORMAL</v>
      </c>
    </row>
    <row r="11" spans="1:12" x14ac:dyDescent="0.25">
      <c r="A11" s="3" t="s">
        <v>4067</v>
      </c>
      <c r="B11" s="3" t="s">
        <v>4068</v>
      </c>
      <c r="C11" s="1">
        <v>8</v>
      </c>
      <c r="D11" s="1">
        <v>5.5</v>
      </c>
      <c r="E11" s="1"/>
      <c r="F11" s="1">
        <v>370420</v>
      </c>
      <c r="G11" s="3" t="s">
        <v>4069</v>
      </c>
      <c r="H11" s="11">
        <f>ROUND(
IF(L11="GANCHO",
   IF(I11&lt;=50,I11*1.1+4,IF(I11&lt;=120,I11*1.1+7,IF(I11&lt;=250,I11*1.1+11,I11*1.1+19))),
IF(L11="NORMAL",
   IF(I11&lt;=30,I11*1.15+2,IF(I11&lt;=80,I11*1.15+4,IF(I11&lt;=150,I11*1.15+6,I11*1.15+8))),
IF(L11="COMPLEMENTO",
   IF(I11&lt;=25,I11*1.25+1.5,IF(I11&lt;=60,I11*1.25+3,IF(I11&lt;=120,I11*1.25+4,I11*1.25+5))),
""))),2)</f>
        <v>30.06</v>
      </c>
      <c r="I11" s="9">
        <f>($K$2+0.02)*Tabla1[[#This Row],[PRECIO $]]*1.18</f>
        <v>22.844799999999999</v>
      </c>
      <c r="J11" s="7">
        <f>+Tabla1[[#This Row],[PRECIO EN SOLES]]-Tabla1[[#This Row],[PC]]</f>
        <v>7.2151999999999994</v>
      </c>
      <c r="K11" s="15"/>
      <c r="L11" s="15" t="str">
        <f t="shared" si="0"/>
        <v>COMPLEMENTO</v>
      </c>
    </row>
    <row r="12" spans="1:12" x14ac:dyDescent="0.25">
      <c r="A12" s="3" t="s">
        <v>5199</v>
      </c>
      <c r="B12" s="3" t="s">
        <v>5198</v>
      </c>
      <c r="C12" s="1">
        <v>8</v>
      </c>
      <c r="D12" s="1">
        <v>44</v>
      </c>
      <c r="E12" s="1"/>
      <c r="F12" s="1">
        <v>426096</v>
      </c>
      <c r="G12" s="3" t="s">
        <v>5197</v>
      </c>
      <c r="H12" s="11">
        <f>ROUND(
IF(L12="GANCHO",
   IF(I12&lt;=50,I12*1.1+4,IF(I12&lt;=120,I12*1.1+7,IF(I12&lt;=250,I12*1.1+11,I12*1.1+19))),
IF(L12="NORMAL",
   IF(I12&lt;=30,I12*1.15+2,IF(I12&lt;=80,I12*1.15+4,IF(I12&lt;=150,I12*1.15+6,I12*1.15+8))),
IF(L12="COMPLEMENTO",
   IF(I12&lt;=25,I12*1.25+1.5,IF(I12&lt;=60,I12*1.25+3,IF(I12&lt;=120,I12*1.25+4,I12*1.25+5))),
""))),2)</f>
        <v>218.17</v>
      </c>
      <c r="I12" s="9">
        <f>($K$2+0.02)*Tabla1[[#This Row],[PRECIO $]]*1.18</f>
        <v>182.75839999999999</v>
      </c>
      <c r="J12" s="7">
        <f>+Tabla1[[#This Row],[PRECIO EN SOLES]]-Tabla1[[#This Row],[PC]]</f>
        <v>35.411599999999993</v>
      </c>
      <c r="K12" s="15"/>
      <c r="L12" s="15" t="str">
        <f t="shared" si="0"/>
        <v>NORMAL</v>
      </c>
    </row>
    <row r="13" spans="1:12" x14ac:dyDescent="0.25">
      <c r="A13" s="3" t="s">
        <v>6319</v>
      </c>
      <c r="B13" s="3" t="s">
        <v>6320</v>
      </c>
      <c r="C13" s="1">
        <v>8</v>
      </c>
      <c r="D13" s="1">
        <v>41.3</v>
      </c>
      <c r="E13" s="1"/>
      <c r="F13" s="1">
        <v>488963</v>
      </c>
      <c r="G13" s="3" t="s">
        <v>6321</v>
      </c>
      <c r="H13" s="11">
        <f>ROUND(
IF(L13="GANCHO",
   IF(I13&lt;=50,I13*1.1+4,IF(I13&lt;=120,I13*1.1+7,IF(I13&lt;=250,I13*1.1+11,I13*1.1+19))),
IF(L13="NORMAL",
   IF(I13&lt;=30,I13*1.15+2,IF(I13&lt;=80,I13*1.15+4,IF(I13&lt;=150,I13*1.15+6,I13*1.15+8))),
IF(L13="COMPLEMENTO",
   IF(I13&lt;=25,I13*1.25+1.5,IF(I13&lt;=60,I13*1.25+3,IF(I13&lt;=120,I13*1.25+4,I13*1.25+5))),
""))),2)</f>
        <v>205.28</v>
      </c>
      <c r="I13" s="9">
        <f>($K$2+0.02)*Tabla1[[#This Row],[PRECIO $]]*1.18</f>
        <v>171.54367999999999</v>
      </c>
      <c r="J13" s="7">
        <f>+Tabla1[[#This Row],[PRECIO EN SOLES]]-Tabla1[[#This Row],[PC]]</f>
        <v>33.736320000000006</v>
      </c>
      <c r="K13" s="15"/>
      <c r="L13" s="15" t="str">
        <f t="shared" si="0"/>
        <v>NORMAL</v>
      </c>
    </row>
    <row r="14" spans="1:12" x14ac:dyDescent="0.25">
      <c r="A14" s="3" t="s">
        <v>6323</v>
      </c>
      <c r="B14" s="3" t="s">
        <v>6324</v>
      </c>
      <c r="C14" s="1">
        <v>8</v>
      </c>
      <c r="D14" s="1">
        <v>14.51</v>
      </c>
      <c r="E14" s="1"/>
      <c r="F14" s="1">
        <v>489485</v>
      </c>
      <c r="G14" s="3" t="s">
        <v>6322</v>
      </c>
      <c r="H14" s="11">
        <f>ROUND(
IF(L14="GANCHO",
   IF(I14&lt;=50,I14*1.1+4,IF(I14&lt;=120,I14*1.1+7,IF(I14&lt;=250,I14*1.1+11,I14*1.1+19))),
IF(L14="NORMAL",
   IF(I14&lt;=30,I14*1.15+2,IF(I14&lt;=80,I14*1.15+4,IF(I14&lt;=150,I14*1.15+6,I14*1.15+8))),
IF(L14="COMPLEMENTO",
   IF(I14&lt;=25,I14*1.25+1.5,IF(I14&lt;=60,I14*1.25+3,IF(I14&lt;=120,I14*1.25+4,I14*1.25+5))),
""))),2)</f>
        <v>73.31</v>
      </c>
      <c r="I14" s="9">
        <f>($K$2+0.02)*Tabla1[[#This Row],[PRECIO $]]*1.18</f>
        <v>60.268735999999997</v>
      </c>
      <c r="J14" s="7">
        <f>+Tabla1[[#This Row],[PRECIO EN SOLES]]-Tabla1[[#This Row],[PC]]</f>
        <v>13.041264000000005</v>
      </c>
      <c r="K14" s="15"/>
      <c r="L14" s="15" t="str">
        <f t="shared" si="0"/>
        <v>NORMAL</v>
      </c>
    </row>
    <row r="15" spans="1:12" x14ac:dyDescent="0.25">
      <c r="A15" s="3" t="s">
        <v>6325</v>
      </c>
      <c r="B15" s="3" t="s">
        <v>6326</v>
      </c>
      <c r="C15" s="1">
        <v>8</v>
      </c>
      <c r="D15" s="1">
        <v>6.95</v>
      </c>
      <c r="E15" s="1"/>
      <c r="F15" s="1">
        <v>363378</v>
      </c>
      <c r="G15" s="3" t="s">
        <v>6327</v>
      </c>
      <c r="H15" s="11">
        <f>ROUND(
IF(L15="GANCHO",
   IF(I15&lt;=50,I15*1.1+4,IF(I15&lt;=120,I15*1.1+7,IF(I15&lt;=250,I15*1.1+11,I15*1.1+19))),
IF(L15="NORMAL",
   IF(I15&lt;=30,I15*1.15+2,IF(I15&lt;=80,I15*1.15+4,IF(I15&lt;=150,I15*1.15+6,I15*1.15+8))),
IF(L15="COMPLEMENTO",
   IF(I15&lt;=25,I15*1.25+1.5,IF(I15&lt;=60,I15*1.25+3,IF(I15&lt;=120,I15*1.25+4,I15*1.25+5))),
""))),2)</f>
        <v>35.200000000000003</v>
      </c>
      <c r="I15" s="9">
        <f>($K$2+0.02)*Tabla1[[#This Row],[PRECIO $]]*1.18</f>
        <v>28.867520000000003</v>
      </c>
      <c r="J15" s="7">
        <f>+Tabla1[[#This Row],[PRECIO EN SOLES]]-Tabla1[[#This Row],[PC]]</f>
        <v>6.3324800000000003</v>
      </c>
      <c r="K15" s="15"/>
      <c r="L15" s="15" t="str">
        <f t="shared" si="0"/>
        <v>NORMAL</v>
      </c>
    </row>
    <row r="16" spans="1:12" x14ac:dyDescent="0.25">
      <c r="A16" s="3" t="s">
        <v>6328</v>
      </c>
      <c r="B16" s="3" t="s">
        <v>6329</v>
      </c>
      <c r="C16" s="1">
        <v>8</v>
      </c>
      <c r="D16" s="1">
        <v>15</v>
      </c>
      <c r="E16" s="1"/>
      <c r="F16" s="1">
        <v>451130</v>
      </c>
      <c r="G16" s="3" t="s">
        <v>6330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81.88</v>
      </c>
      <c r="I16" s="9">
        <f>($K$2+0.02)*Tabla1[[#This Row],[PRECIO $]]*1.18</f>
        <v>62.303999999999995</v>
      </c>
      <c r="J16" s="7">
        <f>+Tabla1[[#This Row],[PRECIO EN SOLES]]-Tabla1[[#This Row],[PC]]</f>
        <v>19.576000000000001</v>
      </c>
      <c r="K16" s="15"/>
      <c r="L16" s="15" t="str">
        <f t="shared" si="0"/>
        <v>COMPLEMENTO</v>
      </c>
    </row>
    <row r="17" spans="1:12" x14ac:dyDescent="0.25">
      <c r="A17" s="3" t="s">
        <v>6332</v>
      </c>
      <c r="B17" s="3" t="s">
        <v>6333</v>
      </c>
      <c r="C17" s="1">
        <v>8</v>
      </c>
      <c r="D17" s="1">
        <v>7.8</v>
      </c>
      <c r="E17" s="1"/>
      <c r="F17" s="1">
        <v>424101</v>
      </c>
      <c r="G17" s="3" t="s">
        <v>6334</v>
      </c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41.26</v>
      </c>
      <c r="I17" s="9">
        <f>($K$2+0.02)*Tabla1[[#This Row],[PRECIO $]]*1.18</f>
        <v>32.39808</v>
      </c>
      <c r="J17" s="7">
        <f>+Tabla1[[#This Row],[PRECIO EN SOLES]]-Tabla1[[#This Row],[PC]]</f>
        <v>8.8619199999999978</v>
      </c>
      <c r="K17" s="15"/>
      <c r="L17" s="15" t="str">
        <f t="shared" si="0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>ROUND(
IF(L18="GANCHO",
   IF(I18&lt;=50,I18*1.1+4,IF(I18&lt;=120,I18*1.1+7,IF(I18&lt;=250,I18*1.1+11,I18*1.1+19))),
IF(L18="NORMAL",
   IF(I18&lt;=30,I18*1.15+2,IF(I18&lt;=80,I18*1.15+4,IF(I18&lt;=150,I18*1.15+6,I18*1.15+8))),
IF(L18="COMPLEMENTO",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0"/>
        <v>NORMAL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>ROUND(
IF(L19="GANCHO",
   IF(I19&lt;=50,I19*1.1+4,IF(I19&lt;=120,I19*1.1+7,IF(I19&lt;=250,I19*1.1+11,I19*1.1+19))),
IF(L19="NORMAL",
   IF(I19&lt;=30,I19*1.15+2,IF(I19&lt;=80,I19*1.15+4,IF(I19&lt;=150,I19*1.15+6,I19*1.15+8))),
IF(L19="COMPLEMENTO",
   IF(I19&lt;=25,I19*1.25+1.5,IF(I19&lt;=60,I19*1.25+3,IF(I19&lt;=120,I19*1.25+4,I19*1.25+5))),
""))),2)</f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0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>ROUND(
IF(L20="GANCHO",
   IF(I20&lt;=50,I20*1.1+4,IF(I20&lt;=120,I20*1.1+7,IF(I20&lt;=250,I20*1.1+11,I20*1.1+19))),
IF(L20="NORMAL",
   IF(I20&lt;=30,I20*1.15+2,IF(I20&lt;=80,I20*1.15+4,IF(I20&lt;=150,I20*1.15+6,I20*1.15+8))),
IF(L20="COMPLEMENTO",
   IF(I20&lt;=25,I20*1.25+1.5,IF(I20&lt;=60,I20*1.25+3,IF(I20&lt;=120,I20*1.25+4,I20*1.25+5))),
""))),2)</f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0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>ROUND(
IF(L21="GANCHO",
   IF(I21&lt;=50,I21*1.1+4,IF(I21&lt;=120,I21*1.1+7,IF(I21&lt;=250,I21*1.1+11,I21*1.1+19))),
IF(L21="NORMAL",
   IF(I21&lt;=30,I21*1.15+2,IF(I21&lt;=80,I21*1.15+4,IF(I21&lt;=150,I21*1.15+6,I21*1.15+8))),
IF(L21="COMPLEMENTO",
   IF(I21&lt;=25,I21*1.25+1.5,IF(I21&lt;=60,I21*1.25+3,IF(I21&lt;=120,I21*1.25+4,I21*1.25+5))),
""))),2)</f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0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>ROUND(
IF(L22="GANCHO",
   IF(I22&lt;=50,I22*1.1+4,IF(I22&lt;=120,I22*1.1+7,IF(I22&lt;=250,I22*1.1+11,I22*1.1+19))),
IF(L22="NORMAL",
   IF(I22&lt;=30,I22*1.15+2,IF(I22&lt;=80,I22*1.15+4,IF(I22&lt;=150,I22*1.15+6,I22*1.15+8))),
IF(L22="COMPLEMENTO",
   IF(I22&lt;=25,I22*1.25+1.5,IF(I22&lt;=60,I22*1.25+3,IF(I22&lt;=120,I22*1.25+4,I22*1.25+5))),
""))),2)</f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0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>ROUND(
IF(L23="GANCHO",
   IF(I23&lt;=50,I23*1.1+4,IF(I23&lt;=120,I23*1.1+7,IF(I23&lt;=250,I23*1.1+11,I23*1.1+19))),
IF(L23="NORMAL",
   IF(I23&lt;=30,I23*1.15+2,IF(I23&lt;=80,I23*1.15+4,IF(I23&lt;=150,I23*1.15+6,I23*1.15+8))),
IF(L23="COMPLEMENTO",
   IF(I23&lt;=25,I23*1.25+1.5,IF(I23&lt;=60,I23*1.25+3,IF(I23&lt;=120,I23*1.25+4,I23*1.25+5))),
""))),2)</f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0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>ROUND(
IF(L24="GANCHO",
   IF(I24&lt;=50,I24*1.1+4,IF(I24&lt;=120,I24*1.1+7,IF(I24&lt;=250,I24*1.1+11,I24*1.1+19))),
IF(L24="NORMAL",
   IF(I24&lt;=30,I24*1.15+2,IF(I24&lt;=80,I24*1.15+4,IF(I24&lt;=150,I24*1.15+6,I24*1.15+8))),
IF(L24="COMPLEMENTO",
   IF(I24&lt;=25,I24*1.25+1.5,IF(I24&lt;=60,I24*1.25+3,IF(I24&lt;=120,I24*1.25+4,I24*1.25+5))),
""))),2)</f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0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>ROUND(
IF(L25="GANCHO",
   IF(I25&lt;=50,I25*1.1+4,IF(I25&lt;=120,I25*1.1+7,IF(I25&lt;=250,I25*1.1+11,I25*1.1+19))),
IF(L25="NORMAL",
   IF(I25&lt;=30,I25*1.15+2,IF(I25&lt;=80,I25*1.15+4,IF(I25&lt;=150,I25*1.15+6,I25*1.15+8))),
IF(L25="COMPLEMENTO",
   IF(I25&lt;=25,I25*1.25+1.5,IF(I25&lt;=60,I25*1.25+3,IF(I25&lt;=120,I25*1.25+4,I25*1.25+5))),
""))),2)</f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0"/>
        <v>NORMAL</v>
      </c>
    </row>
    <row r="26" spans="1:12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2855</v>
      </c>
      <c r="G26" s="3" t="s">
        <v>53</v>
      </c>
      <c r="H26" s="11">
        <f>ROUND(
IF(L26="GANCHO",
   IF(I26&lt;=50,I26*1.1+4,IF(I26&lt;=120,I26*1.1+7,IF(I26&lt;=250,I26*1.1+11,I26*1.1+19))),
IF(L26="NORMAL",
   IF(I26&lt;=30,I26*1.15+2,IF(I26&lt;=80,I26*1.15+4,IF(I26&lt;=150,I26*1.15+6,I26*1.15+8))),
IF(L26="COMPLEMENTO",
   IF(I26&lt;=25,I26*1.25+1.5,IF(I26&lt;=60,I26*1.25+3,IF(I26&lt;=120,I26*1.25+4,I26*1.25+5))),
""))),2)</f>
        <v>80.430000000000007</v>
      </c>
      <c r="I26" s="9">
        <f>($K$2+0.02)*Tabla1[[#This Row],[PRECIO $]]*1.18</f>
        <v>66.457599999999999</v>
      </c>
      <c r="J26" s="7">
        <f>+Tabla1[[#This Row],[PRECIO EN SOLES]]-Tabla1[[#This Row],[PC]]</f>
        <v>13.972400000000007</v>
      </c>
      <c r="K26" s="15"/>
      <c r="L26" s="15" t="str">
        <f t="shared" si="0"/>
        <v>NORMAL</v>
      </c>
    </row>
    <row r="27" spans="1:12" x14ac:dyDescent="0.25">
      <c r="A27" s="3" t="s">
        <v>6854</v>
      </c>
      <c r="B27" s="3" t="s">
        <v>6855</v>
      </c>
      <c r="C27" s="1">
        <v>0</v>
      </c>
      <c r="D27" s="1">
        <v>1100</v>
      </c>
      <c r="E27" s="1" t="s">
        <v>57</v>
      </c>
      <c r="F27" s="1" t="s">
        <v>6856</v>
      </c>
      <c r="G27" s="3"/>
      <c r="H27" s="11">
        <f>ROUND(
IF(L27="GANCHO",
   IF(I27&lt;=50,I27*1.1+4,IF(I27&lt;=120,I27*1.1+7,IF(I27&lt;=250,I27*1.1+11,I27*1.1+19))),
IF(L27="NORMAL",
   IF(I27&lt;=30,I27*1.15+2,IF(I27&lt;=80,I27*1.15+4,IF(I27&lt;=150,I27*1.15+6,I27*1.15+8))),
IF(L27="COMPLEMENTO",
   IF(I27&lt;=25,I27*1.25+1.5,IF(I27&lt;=60,I27*1.25+3,IF(I27&lt;=120,I27*1.25+4,I27*1.25+5))),
""))),2)</f>
        <v>5262.3</v>
      </c>
      <c r="I27" s="9">
        <f>($K$2+0.02)*Tabla1[[#This Row],[PRECIO $]]*1.18</f>
        <v>4568.96</v>
      </c>
      <c r="J27" s="7">
        <f>+Tabla1[[#This Row],[PRECIO EN SOLES]]-Tabla1[[#This Row],[PC]]</f>
        <v>693.34000000000015</v>
      </c>
      <c r="K27" s="15"/>
      <c r="L27" s="15" t="str">
        <f t="shared" si="0"/>
        <v>NORMAL</v>
      </c>
    </row>
    <row r="28" spans="1:12" x14ac:dyDescent="0.25">
      <c r="A28" s="3" t="s">
        <v>6857</v>
      </c>
      <c r="B28" s="3" t="s">
        <v>6858</v>
      </c>
      <c r="C28" s="1">
        <v>0</v>
      </c>
      <c r="D28" s="1">
        <v>1100</v>
      </c>
      <c r="E28" s="1" t="s">
        <v>57</v>
      </c>
      <c r="F28" s="1" t="s">
        <v>6859</v>
      </c>
      <c r="G28" s="3"/>
      <c r="H28" s="11">
        <f>ROUND(
IF(L28="GANCHO",
   IF(I28&lt;=50,I28*1.1+4,IF(I28&lt;=120,I28*1.1+7,IF(I28&lt;=250,I28*1.1+11,I28*1.1+19))),
IF(L28="NORMAL",
   IF(I28&lt;=30,I28*1.15+2,IF(I28&lt;=80,I28*1.15+4,IF(I28&lt;=150,I28*1.15+6,I28*1.15+8))),
IF(L28="COMPLEMENTO",
   IF(I28&lt;=25,I28*1.25+1.5,IF(I28&lt;=60,I28*1.25+3,IF(I28&lt;=120,I28*1.25+4,I28*1.25+5))),
""))),2)</f>
        <v>5262.3</v>
      </c>
      <c r="I28" s="9">
        <f>($K$2+0.02)*Tabla1[[#This Row],[PRECIO $]]*1.18</f>
        <v>4568.96</v>
      </c>
      <c r="J28" s="7">
        <f>+Tabla1[[#This Row],[PRECIO EN SOLES]]-Tabla1[[#This Row],[PC]]</f>
        <v>693.34000000000015</v>
      </c>
      <c r="K28" s="15"/>
      <c r="L28" s="15" t="str">
        <f t="shared" si="0"/>
        <v>NORMAL</v>
      </c>
    </row>
    <row r="29" spans="1:12" x14ac:dyDescent="0.25">
      <c r="A29" s="3" t="s">
        <v>717</v>
      </c>
      <c r="B29" s="3" t="s">
        <v>718</v>
      </c>
      <c r="C29" s="1">
        <v>20</v>
      </c>
      <c r="D29" s="1">
        <v>10</v>
      </c>
      <c r="E29" s="1" t="s">
        <v>54</v>
      </c>
      <c r="F29" s="1" t="s">
        <v>2856</v>
      </c>
      <c r="G29" s="3" t="s">
        <v>719</v>
      </c>
      <c r="H29" s="11">
        <f>ROUND(
IF(L29="GANCHO",
   IF(I29&lt;=50,I29*1.1+4,IF(I29&lt;=120,I29*1.1+7,IF(I29&lt;=250,I29*1.1+11,I29*1.1+19))),
IF(L29="NORMAL",
   IF(I29&lt;=30,I29*1.15+2,IF(I29&lt;=80,I29*1.15+4,IF(I29&lt;=150,I29*1.15+6,I29*1.15+8))),
IF(L29="COMPLEMENTO",
   IF(I29&lt;=25,I29*1.25+1.5,IF(I29&lt;=60,I29*1.25+3,IF(I29&lt;=120,I29*1.25+4,I29*1.25+5))),
""))),2)</f>
        <v>54.92</v>
      </c>
      <c r="I29" s="9">
        <f>($K$2+0.02)*Tabla1[[#This Row],[PRECIO $]]*1.18</f>
        <v>41.536000000000001</v>
      </c>
      <c r="J29" s="7">
        <f>+Tabla1[[#This Row],[PRECIO EN SOLES]]-Tabla1[[#This Row],[PC]]</f>
        <v>13.384</v>
      </c>
      <c r="K29" s="15"/>
      <c r="L29" s="15" t="str">
        <f t="shared" si="0"/>
        <v>COMPLEMENTO</v>
      </c>
    </row>
    <row r="30" spans="1:12" x14ac:dyDescent="0.25">
      <c r="A30" s="3" t="s">
        <v>5240</v>
      </c>
      <c r="B30" s="3" t="s">
        <v>5241</v>
      </c>
      <c r="C30" s="1">
        <v>20</v>
      </c>
      <c r="D30" s="1">
        <v>36.5</v>
      </c>
      <c r="E30" s="1" t="s">
        <v>55</v>
      </c>
      <c r="F30" s="1" t="s">
        <v>5242</v>
      </c>
      <c r="G30" s="3"/>
      <c r="H30" s="11">
        <f>ROUND(
IF(L30="GANCHO",
   IF(I30&lt;=50,I30*1.1+4,IF(I30&lt;=120,I30*1.1+7,IF(I30&lt;=250,I30*1.1+11,I30*1.1+19))),
IF(L30="NORMAL",
   IF(I30&lt;=30,I30*1.15+2,IF(I30&lt;=80,I30*1.15+4,IF(I30&lt;=150,I30*1.15+6,I30*1.15+8))),
IF(L30="COMPLEMENTO",
   IF(I30&lt;=25,I30*1.25+1.5,IF(I30&lt;=60,I30*1.25+3,IF(I30&lt;=120,I30*1.25+4,I30*1.25+5))),
""))),2)</f>
        <v>182.35</v>
      </c>
      <c r="I30" s="9">
        <f>($K$2+0.02)*Tabla1[[#This Row],[PRECIO $]]*1.18</f>
        <v>151.60639999999998</v>
      </c>
      <c r="J30" s="7">
        <f>+Tabla1[[#This Row],[PRECIO EN SOLES]]-Tabla1[[#This Row],[PC]]</f>
        <v>30.743600000000015</v>
      </c>
      <c r="K30" s="15"/>
      <c r="L30" s="15" t="str">
        <f t="shared" si="0"/>
        <v>NORMAL</v>
      </c>
    </row>
    <row r="31" spans="1:12" x14ac:dyDescent="0.25">
      <c r="A31" s="3" t="s">
        <v>720</v>
      </c>
      <c r="B31" s="3" t="s">
        <v>721</v>
      </c>
      <c r="C31" s="1">
        <v>20</v>
      </c>
      <c r="D31" s="1">
        <v>3</v>
      </c>
      <c r="E31" s="1" t="s">
        <v>55</v>
      </c>
      <c r="F31" s="1" t="s">
        <v>2857</v>
      </c>
      <c r="G31" s="3"/>
      <c r="H31" s="11">
        <f>ROUND(
IF(L31="GANCHO",
   IF(I31&lt;=50,I31*1.1+4,IF(I31&lt;=120,I31*1.1+7,IF(I31&lt;=250,I31*1.1+11,I31*1.1+19))),
IF(L31="NORMAL",
   IF(I31&lt;=30,I31*1.15+2,IF(I31&lt;=80,I31*1.15+4,IF(I31&lt;=150,I31*1.15+6,I31*1.15+8))),
IF(L31="COMPLEMENTO",
   IF(I31&lt;=25,I31*1.25+1.5,IF(I31&lt;=60,I31*1.25+3,IF(I31&lt;=120,I31*1.25+4,I31*1.25+5))),
""))),2)</f>
        <v>16.329999999999998</v>
      </c>
      <c r="I31" s="9">
        <f>($K$2+0.02)*Tabla1[[#This Row],[PRECIO $]]*1.18</f>
        <v>12.460800000000001</v>
      </c>
      <c r="J31" s="7">
        <f>+Tabla1[[#This Row],[PRECIO EN SOLES]]-Tabla1[[#This Row],[PC]]</f>
        <v>3.8691999999999975</v>
      </c>
      <c r="K31" s="15"/>
      <c r="L31" s="15" t="str">
        <f t="shared" si="0"/>
        <v>NORMAL</v>
      </c>
    </row>
    <row r="32" spans="1:12" x14ac:dyDescent="0.25">
      <c r="A32" s="3" t="s">
        <v>722</v>
      </c>
      <c r="B32" s="3" t="s">
        <v>723</v>
      </c>
      <c r="C32" s="1">
        <v>20</v>
      </c>
      <c r="D32" s="1">
        <v>3</v>
      </c>
      <c r="E32" s="1" t="s">
        <v>55</v>
      </c>
      <c r="F32" s="1" t="s">
        <v>2858</v>
      </c>
      <c r="G32" s="3"/>
      <c r="H32" s="11">
        <f>ROUND(
IF(L32="GANCHO",
   IF(I32&lt;=50,I32*1.1+4,IF(I32&lt;=120,I32*1.1+7,IF(I32&lt;=250,I32*1.1+11,I32*1.1+19))),
IF(L32="NORMAL",
   IF(I32&lt;=30,I32*1.15+2,IF(I32&lt;=80,I32*1.15+4,IF(I32&lt;=150,I32*1.15+6,I32*1.15+8))),
IF(L32="COMPLEMENTO",
   IF(I32&lt;=25,I32*1.25+1.5,IF(I32&lt;=60,I32*1.25+3,IF(I32&lt;=120,I32*1.25+4,I32*1.25+5))),
""))),2)</f>
        <v>16.329999999999998</v>
      </c>
      <c r="I32" s="9">
        <f>($K$2+0.02)*Tabla1[[#This Row],[PRECIO $]]*1.18</f>
        <v>12.460800000000001</v>
      </c>
      <c r="J32" s="7">
        <f>+Tabla1[[#This Row],[PRECIO EN SOLES]]-Tabla1[[#This Row],[PC]]</f>
        <v>3.8691999999999975</v>
      </c>
      <c r="K32" s="15"/>
      <c r="L32" s="15" t="str">
        <f t="shared" si="0"/>
        <v>NORMAL</v>
      </c>
    </row>
    <row r="33" spans="1:12" x14ac:dyDescent="0.25">
      <c r="A33" s="3" t="s">
        <v>1375</v>
      </c>
      <c r="B33" s="3" t="s">
        <v>1376</v>
      </c>
      <c r="C33" s="1">
        <v>20</v>
      </c>
      <c r="D33" s="1">
        <v>33</v>
      </c>
      <c r="E33" s="1" t="s">
        <v>55</v>
      </c>
      <c r="F33" s="1" t="s">
        <v>3237</v>
      </c>
      <c r="G33" s="3"/>
      <c r="H33" s="11">
        <f>ROUND(
IF(L33="GANCHO",
   IF(I33&lt;=50,I33*1.1+4,IF(I33&lt;=120,I33*1.1+7,IF(I33&lt;=250,I33*1.1+11,I33*1.1+19))),
IF(L33="NORMAL",
   IF(I33&lt;=30,I33*1.15+2,IF(I33&lt;=80,I33*1.15+4,IF(I33&lt;=150,I33*1.15+6,I33*1.15+8))),
IF(L33="COMPLEMENTO",
   IF(I33&lt;=25,I33*1.25+1.5,IF(I33&lt;=60,I33*1.25+3,IF(I33&lt;=120,I33*1.25+4,I33*1.25+5))),
""))),2)</f>
        <v>163.63</v>
      </c>
      <c r="I33" s="9">
        <f>($K$2+0.02)*Tabla1[[#This Row],[PRECIO $]]*1.18</f>
        <v>137.06879999999998</v>
      </c>
      <c r="J33" s="7">
        <f>+Tabla1[[#This Row],[PRECIO EN SOLES]]-Tabla1[[#This Row],[PC]]</f>
        <v>26.561200000000014</v>
      </c>
      <c r="K33" s="15"/>
      <c r="L33" s="15" t="str">
        <f t="shared" si="0"/>
        <v>NORMAL</v>
      </c>
    </row>
    <row r="34" spans="1:12" x14ac:dyDescent="0.25">
      <c r="A34" s="3" t="s">
        <v>724</v>
      </c>
      <c r="B34" s="3" t="s">
        <v>725</v>
      </c>
      <c r="C34" s="1">
        <v>0</v>
      </c>
      <c r="D34" s="1">
        <v>33</v>
      </c>
      <c r="E34" s="1" t="s">
        <v>55</v>
      </c>
      <c r="F34" s="1" t="s">
        <v>2859</v>
      </c>
      <c r="G34" s="3"/>
      <c r="H34" s="11">
        <f>ROUND(
IF(L34="GANCHO",
   IF(I34&lt;=50,I34*1.1+4,IF(I34&lt;=120,I34*1.1+7,IF(I34&lt;=250,I34*1.1+11,I34*1.1+19))),
IF(L34="NORMAL",
   IF(I34&lt;=30,I34*1.15+2,IF(I34&lt;=80,I34*1.15+4,IF(I34&lt;=150,I34*1.15+6,I34*1.15+8))),
IF(L34="COMPLEMENTO",
   IF(I34&lt;=25,I34*1.25+1.5,IF(I34&lt;=60,I34*1.25+3,IF(I34&lt;=120,I34*1.25+4,I34*1.25+5))),
""))),2)</f>
        <v>163.63</v>
      </c>
      <c r="I34" s="9">
        <f>($K$2+0.02)*Tabla1[[#This Row],[PRECIO $]]*1.18</f>
        <v>137.06879999999998</v>
      </c>
      <c r="J34" s="7">
        <f>+Tabla1[[#This Row],[PRECIO EN SOLES]]-Tabla1[[#This Row],[PC]]</f>
        <v>26.561200000000014</v>
      </c>
      <c r="K34" s="15"/>
      <c r="L34" s="15" t="str">
        <f t="shared" si="0"/>
        <v>NORMAL</v>
      </c>
    </row>
    <row r="35" spans="1:12" x14ac:dyDescent="0.25">
      <c r="A35" s="3" t="s">
        <v>726</v>
      </c>
      <c r="B35" s="3" t="s">
        <v>727</v>
      </c>
      <c r="C35" s="1">
        <v>0</v>
      </c>
      <c r="D35" s="1">
        <v>63.5</v>
      </c>
      <c r="E35" s="1" t="s">
        <v>56</v>
      </c>
      <c r="F35" s="1" t="s">
        <v>2860</v>
      </c>
      <c r="G35" s="3" t="s">
        <v>728</v>
      </c>
      <c r="H35" s="11">
        <f>ROUND(
IF(L35="GANCHO",
   IF(I35&lt;=50,I35*1.1+4,IF(I35&lt;=120,I35*1.1+7,IF(I35&lt;=250,I35*1.1+11,I35*1.1+19))),
IF(L35="NORMAL",
   IF(I35&lt;=30,I35*1.15+2,IF(I35&lt;=80,I35*1.15+4,IF(I35&lt;=150,I35*1.15+6,I35*1.15+8))),
IF(L35="COMPLEMENTO",
   IF(I35&lt;=25,I35*1.25+1.5,IF(I35&lt;=60,I35*1.25+3,IF(I35&lt;=120,I35*1.25+4,I35*1.25+5))),
""))),2)</f>
        <v>334.69</v>
      </c>
      <c r="I35" s="9">
        <f>($K$2+0.02)*Tabla1[[#This Row],[PRECIO $]]*1.18</f>
        <v>263.75360000000001</v>
      </c>
      <c r="J35" s="7">
        <f>+Tabla1[[#This Row],[PRECIO EN SOLES]]-Tabla1[[#This Row],[PC]]</f>
        <v>70.936399999999992</v>
      </c>
      <c r="K35" s="15"/>
      <c r="L35" s="15" t="str">
        <f t="shared" si="0"/>
        <v>COMPLEMENTO</v>
      </c>
    </row>
    <row r="36" spans="1:12" x14ac:dyDescent="0.25">
      <c r="A36" s="3" t="s">
        <v>729</v>
      </c>
      <c r="B36" s="3" t="s">
        <v>730</v>
      </c>
      <c r="C36" s="1">
        <v>0</v>
      </c>
      <c r="D36" s="1">
        <v>94</v>
      </c>
      <c r="E36" s="1" t="s">
        <v>57</v>
      </c>
      <c r="F36" s="1" t="s">
        <v>2861</v>
      </c>
      <c r="G36" s="3" t="s">
        <v>731</v>
      </c>
      <c r="H36" s="11">
        <f>ROUND(
IF(L36="GANCHO",
   IF(I36&lt;=50,I36*1.1+4,IF(I36&lt;=120,I36*1.1+7,IF(I36&lt;=250,I36*1.1+11,I36*1.1+19))),
IF(L36="NORMAL",
   IF(I36&lt;=30,I36*1.15+2,IF(I36&lt;=80,I36*1.15+4,IF(I36&lt;=150,I36*1.15+6,I36*1.15+8))),
IF(L36="COMPLEMENTO",
   IF(I36&lt;=25,I36*1.25+1.5,IF(I36&lt;=60,I36*1.25+3,IF(I36&lt;=120,I36*1.25+4,I36*1.25+5))),
""))),2)</f>
        <v>457</v>
      </c>
      <c r="I36" s="9">
        <f>($K$2+0.02)*Tabla1[[#This Row],[PRECIO $]]*1.18</f>
        <v>390.4384</v>
      </c>
      <c r="J36" s="7">
        <f>+Tabla1[[#This Row],[PRECIO EN SOLES]]-Tabla1[[#This Row],[PC]]</f>
        <v>66.561599999999999</v>
      </c>
      <c r="K36" s="15"/>
      <c r="L36" s="15" t="str">
        <f t="shared" si="0"/>
        <v>NORMAL</v>
      </c>
    </row>
    <row r="37" spans="1:12" x14ac:dyDescent="0.25">
      <c r="A37" s="3" t="s">
        <v>6860</v>
      </c>
      <c r="B37" s="3" t="s">
        <v>6861</v>
      </c>
      <c r="C37" s="1">
        <v>0</v>
      </c>
      <c r="D37" s="1">
        <v>1100</v>
      </c>
      <c r="E37" s="1" t="s">
        <v>57</v>
      </c>
      <c r="F37" s="1" t="s">
        <v>6862</v>
      </c>
      <c r="G37" s="3"/>
      <c r="H37" s="11">
        <f>ROUND(
IF(L37="GANCHO",
   IF(I37&lt;=50,I37*1.1+4,IF(I37&lt;=120,I37*1.1+7,IF(I37&lt;=250,I37*1.1+11,I37*1.1+19))),
IF(L37="NORMAL",
   IF(I37&lt;=30,I37*1.15+2,IF(I37&lt;=80,I37*1.15+4,IF(I37&lt;=150,I37*1.15+6,I37*1.15+8))),
IF(L37="COMPLEMENTO",
   IF(I37&lt;=25,I37*1.25+1.5,IF(I37&lt;=60,I37*1.25+3,IF(I37&lt;=120,I37*1.25+4,I37*1.25+5))),
""))),2)</f>
        <v>5716.2</v>
      </c>
      <c r="I37" s="9">
        <f>($K$2+0.02)*Tabla1[[#This Row],[PRECIO $]]*1.18</f>
        <v>4568.96</v>
      </c>
      <c r="J37" s="7">
        <f>+Tabla1[[#This Row],[PRECIO EN SOLES]]-Tabla1[[#This Row],[PC]]</f>
        <v>1147.2399999999998</v>
      </c>
      <c r="K37" s="15"/>
      <c r="L37" s="15" t="str">
        <f t="shared" si="0"/>
        <v>COMPLEMENTO</v>
      </c>
    </row>
    <row r="38" spans="1:12" x14ac:dyDescent="0.25">
      <c r="A38" s="3" t="s">
        <v>732</v>
      </c>
      <c r="B38" s="3" t="s">
        <v>733</v>
      </c>
      <c r="C38" s="1">
        <v>20</v>
      </c>
      <c r="D38" s="1">
        <v>5</v>
      </c>
      <c r="E38" s="1" t="s">
        <v>55</v>
      </c>
      <c r="F38" s="1" t="s">
        <v>2862</v>
      </c>
      <c r="G38" s="3"/>
      <c r="H38" s="11">
        <f>ROUND(
IF(L38="GANCHO",
   IF(I38&lt;=50,I38*1.1+4,IF(I38&lt;=120,I38*1.1+7,IF(I38&lt;=250,I38*1.1+11,I38*1.1+19))),
IF(L38="NORMAL",
   IF(I38&lt;=30,I38*1.15+2,IF(I38&lt;=80,I38*1.15+4,IF(I38&lt;=150,I38*1.15+6,I38*1.15+8))),
IF(L38="COMPLEMENTO",
   IF(I38&lt;=25,I38*1.25+1.5,IF(I38&lt;=60,I38*1.25+3,IF(I38&lt;=120,I38*1.25+4,I38*1.25+5))),
""))),2)</f>
        <v>25.88</v>
      </c>
      <c r="I38" s="9">
        <f>($K$2+0.02)*Tabla1[[#This Row],[PRECIO $]]*1.18</f>
        <v>20.768000000000001</v>
      </c>
      <c r="J38" s="7">
        <f>+Tabla1[[#This Row],[PRECIO EN SOLES]]-Tabla1[[#This Row],[PC]]</f>
        <v>5.1119999999999983</v>
      </c>
      <c r="K38" s="15"/>
      <c r="L38" s="15" t="str">
        <f t="shared" si="0"/>
        <v>NORMAL</v>
      </c>
    </row>
    <row r="39" spans="1:12" x14ac:dyDescent="0.25">
      <c r="A39" s="3" t="s">
        <v>6863</v>
      </c>
      <c r="B39" s="3" t="s">
        <v>6864</v>
      </c>
      <c r="C39" s="1">
        <v>0</v>
      </c>
      <c r="D39" s="1">
        <v>1100</v>
      </c>
      <c r="E39" s="1" t="s">
        <v>57</v>
      </c>
      <c r="F39" s="1" t="s">
        <v>6865</v>
      </c>
      <c r="G39" s="3"/>
      <c r="H39" s="11">
        <f>ROUND(
IF(L39="GANCHO",
   IF(I39&lt;=50,I39*1.1+4,IF(I39&lt;=120,I39*1.1+7,IF(I39&lt;=250,I39*1.1+11,I39*1.1+19))),
IF(L39="NORMAL",
   IF(I39&lt;=30,I39*1.15+2,IF(I39&lt;=80,I39*1.15+4,IF(I39&lt;=150,I39*1.15+6,I39*1.15+8))),
IF(L39="COMPLEMENTO",
   IF(I39&lt;=25,I39*1.25+1.5,IF(I39&lt;=60,I39*1.25+3,IF(I39&lt;=120,I39*1.25+4,I39*1.25+5))),
""))),2)</f>
        <v>5262.3</v>
      </c>
      <c r="I39" s="9">
        <f>($K$2+0.02)*Tabla1[[#This Row],[PRECIO $]]*1.18</f>
        <v>4568.96</v>
      </c>
      <c r="J39" s="7">
        <f>+Tabla1[[#This Row],[PRECIO EN SOLES]]-Tabla1[[#This Row],[PC]]</f>
        <v>693.34000000000015</v>
      </c>
      <c r="K39" s="15"/>
      <c r="L39" s="15" t="str">
        <f t="shared" si="0"/>
        <v>NORMAL</v>
      </c>
    </row>
    <row r="40" spans="1:12" x14ac:dyDescent="0.25">
      <c r="A40" s="3" t="s">
        <v>734</v>
      </c>
      <c r="B40" s="3" t="s">
        <v>735</v>
      </c>
      <c r="C40" s="1">
        <v>0</v>
      </c>
      <c r="D40" s="1">
        <v>999</v>
      </c>
      <c r="E40" s="1" t="s">
        <v>52</v>
      </c>
      <c r="F40" s="1" t="s">
        <v>2863</v>
      </c>
      <c r="G40" s="3" t="s">
        <v>736</v>
      </c>
      <c r="H40" s="11">
        <f>ROUND(
IF(L40="GANCHO",
   IF(I40&lt;=50,I40*1.1+4,IF(I40&lt;=120,I40*1.1+7,IF(I40&lt;=250,I40*1.1+11,I40*1.1+19))),
IF(L40="NORMAL",
   IF(I40&lt;=30,I40*1.15+2,IF(I40&lt;=80,I40*1.15+4,IF(I40&lt;=150,I40*1.15+6,I40*1.15+8))),
IF(L40="COMPLEMENTO",
   IF(I40&lt;=25,I40*1.25+1.5,IF(I40&lt;=60,I40*1.25+3,IF(I40&lt;=120,I40*1.25+4,I40*1.25+5))),
""))),2)</f>
        <v>4779.8599999999997</v>
      </c>
      <c r="I40" s="9">
        <f>($K$2+0.02)*Tabla1[[#This Row],[PRECIO $]]*1.18</f>
        <v>4149.4463999999998</v>
      </c>
      <c r="J40" s="7">
        <f>+Tabla1[[#This Row],[PRECIO EN SOLES]]-Tabla1[[#This Row],[PC]]</f>
        <v>630.41359999999986</v>
      </c>
      <c r="K40" s="15"/>
      <c r="L40" s="15" t="str">
        <f t="shared" si="0"/>
        <v>NORMAL</v>
      </c>
    </row>
    <row r="41" spans="1:12" x14ac:dyDescent="0.25">
      <c r="A41" s="3" t="s">
        <v>6866</v>
      </c>
      <c r="B41" s="3" t="s">
        <v>6867</v>
      </c>
      <c r="C41" s="1">
        <v>0</v>
      </c>
      <c r="D41" s="1">
        <v>1100</v>
      </c>
      <c r="E41" s="1" t="s">
        <v>57</v>
      </c>
      <c r="F41" s="1" t="s">
        <v>6868</v>
      </c>
      <c r="G41" s="3"/>
      <c r="H41" s="11">
        <f>ROUND(
IF(L41="GANCHO",
   IF(I41&lt;=50,I41*1.1+4,IF(I41&lt;=120,I41*1.1+7,IF(I41&lt;=250,I41*1.1+11,I41*1.1+19))),
IF(L41="NORMAL",
   IF(I41&lt;=30,I41*1.15+2,IF(I41&lt;=80,I41*1.15+4,IF(I41&lt;=150,I41*1.15+6,I41*1.15+8))),
IF(L41="COMPLEMENTO",
   IF(I41&lt;=25,I41*1.25+1.5,IF(I41&lt;=60,I41*1.25+3,IF(I41&lt;=120,I41*1.25+4,I41*1.25+5))),
""))),2)</f>
        <v>5262.3</v>
      </c>
      <c r="I41" s="9">
        <f>($K$2+0.02)*Tabla1[[#This Row],[PRECIO $]]*1.18</f>
        <v>4568.96</v>
      </c>
      <c r="J41" s="7">
        <f>+Tabla1[[#This Row],[PRECIO EN SOLES]]-Tabla1[[#This Row],[PC]]</f>
        <v>693.34000000000015</v>
      </c>
      <c r="K41" s="15"/>
      <c r="L41" s="15" t="str">
        <f t="shared" si="0"/>
        <v>NORMAL</v>
      </c>
    </row>
    <row r="42" spans="1:12" x14ac:dyDescent="0.25">
      <c r="A42" s="3" t="s">
        <v>737</v>
      </c>
      <c r="B42" s="3" t="s">
        <v>738</v>
      </c>
      <c r="C42" s="1">
        <v>20</v>
      </c>
      <c r="D42" s="1">
        <v>1.4</v>
      </c>
      <c r="E42" s="1" t="s">
        <v>57</v>
      </c>
      <c r="F42" s="1" t="s">
        <v>2864</v>
      </c>
      <c r="G42" s="3" t="s">
        <v>739</v>
      </c>
      <c r="H42" s="11">
        <f>ROUND(
IF(L42="GANCHO",
   IF(I42&lt;=50,I42*1.1+4,IF(I42&lt;=120,I42*1.1+7,IF(I42&lt;=250,I42*1.1+11,I42*1.1+19))),
IF(L42="NORMAL",
   IF(I42&lt;=30,I42*1.15+2,IF(I42&lt;=80,I42*1.15+4,IF(I42&lt;=150,I42*1.15+6,I42*1.15+8))),
IF(L42="COMPLEMENTO",
   IF(I42&lt;=25,I42*1.25+1.5,IF(I42&lt;=60,I42*1.25+3,IF(I42&lt;=120,I42*1.25+4,I42*1.25+5))),
""))),2)</f>
        <v>8.69</v>
      </c>
      <c r="I42" s="9">
        <f>($K$2+0.02)*Tabla1[[#This Row],[PRECIO $]]*1.18</f>
        <v>5.8150399999999998</v>
      </c>
      <c r="J42" s="7">
        <f>+Tabla1[[#This Row],[PRECIO EN SOLES]]-Tabla1[[#This Row],[PC]]</f>
        <v>2.8749599999999997</v>
      </c>
      <c r="K42" s="15"/>
      <c r="L42" s="15" t="str">
        <f t="shared" si="0"/>
        <v>NORMAL</v>
      </c>
    </row>
    <row r="43" spans="1:12" x14ac:dyDescent="0.25">
      <c r="A43" s="3" t="s">
        <v>6869</v>
      </c>
      <c r="B43" s="3" t="s">
        <v>6870</v>
      </c>
      <c r="C43" s="1">
        <v>0</v>
      </c>
      <c r="D43" s="1">
        <v>110</v>
      </c>
      <c r="E43" s="1" t="s">
        <v>57</v>
      </c>
      <c r="F43" s="1" t="s">
        <v>6871</v>
      </c>
      <c r="G43" s="3"/>
      <c r="H43" s="11">
        <f>ROUND(
IF(L43="GANCHO",
   IF(I43&lt;=50,I43*1.1+4,IF(I43&lt;=120,I43*1.1+7,IF(I43&lt;=250,I43*1.1+11,I43*1.1+19))),
IF(L43="NORMAL",
   IF(I43&lt;=30,I43*1.15+2,IF(I43&lt;=80,I43*1.15+4,IF(I43&lt;=150,I43*1.15+6,I43*1.15+8))),
IF(L43="COMPLEMENTO",
   IF(I43&lt;=25,I43*1.25+1.5,IF(I43&lt;=60,I43*1.25+3,IF(I43&lt;=120,I43*1.25+4,I43*1.25+5))),
""))),2)</f>
        <v>533.42999999999995</v>
      </c>
      <c r="I43" s="9">
        <f>($K$2+0.02)*Tabla1[[#This Row],[PRECIO $]]*1.18</f>
        <v>456.89599999999996</v>
      </c>
      <c r="J43" s="7">
        <f>+Tabla1[[#This Row],[PRECIO EN SOLES]]-Tabla1[[#This Row],[PC]]</f>
        <v>76.533999999999992</v>
      </c>
      <c r="K43" s="15"/>
      <c r="L43" s="15" t="str">
        <f t="shared" si="0"/>
        <v>NORMAL</v>
      </c>
    </row>
    <row r="44" spans="1:12" x14ac:dyDescent="0.25">
      <c r="A44" s="3" t="s">
        <v>5800</v>
      </c>
      <c r="B44" s="3" t="s">
        <v>5801</v>
      </c>
      <c r="C44" s="1">
        <v>20</v>
      </c>
      <c r="D44" s="1">
        <v>4</v>
      </c>
      <c r="E44" s="1" t="s">
        <v>55</v>
      </c>
      <c r="F44" s="1" t="s">
        <v>5802</v>
      </c>
      <c r="G44" s="3"/>
      <c r="H44" s="11">
        <f>ROUND(
IF(L44="GANCHO",
   IF(I44&lt;=50,I44*1.1+4,IF(I44&lt;=120,I44*1.1+7,IF(I44&lt;=250,I44*1.1+11,I44*1.1+19))),
IF(L44="NORMAL",
   IF(I44&lt;=30,I44*1.15+2,IF(I44&lt;=80,I44*1.15+4,IF(I44&lt;=150,I44*1.15+6,I44*1.15+8))),
IF(L44="COMPLEMENTO",
   IF(I44&lt;=25,I44*1.25+1.5,IF(I44&lt;=60,I44*1.25+3,IF(I44&lt;=120,I44*1.25+4,I44*1.25+5))),
""))),2)</f>
        <v>21.11</v>
      </c>
      <c r="I44" s="9">
        <f>($K$2+0.02)*Tabla1[[#This Row],[PRECIO $]]*1.18</f>
        <v>16.6144</v>
      </c>
      <c r="J44" s="7">
        <f>+Tabla1[[#This Row],[PRECIO EN SOLES]]-Tabla1[[#This Row],[PC]]</f>
        <v>4.4955999999999996</v>
      </c>
      <c r="K44" s="15"/>
      <c r="L44" s="15" t="str">
        <f t="shared" si="0"/>
        <v>NORMAL</v>
      </c>
    </row>
    <row r="45" spans="1:12" x14ac:dyDescent="0.25">
      <c r="A45" s="3" t="s">
        <v>5803</v>
      </c>
      <c r="B45" s="3" t="s">
        <v>5804</v>
      </c>
      <c r="C45" s="1">
        <v>20</v>
      </c>
      <c r="D45" s="1">
        <v>4</v>
      </c>
      <c r="E45" s="1" t="s">
        <v>55</v>
      </c>
      <c r="F45" s="1" t="s">
        <v>5805</v>
      </c>
      <c r="G45" s="3"/>
      <c r="H45" s="11">
        <f>ROUND(
IF(L45="GANCHO",
   IF(I45&lt;=50,I45*1.1+4,IF(I45&lt;=120,I45*1.1+7,IF(I45&lt;=250,I45*1.1+11,I45*1.1+19))),
IF(L45="NORMAL",
   IF(I45&lt;=30,I45*1.15+2,IF(I45&lt;=80,I45*1.15+4,IF(I45&lt;=150,I45*1.15+6,I45*1.15+8))),
IF(L45="COMPLEMENTO",
   IF(I45&lt;=25,I45*1.25+1.5,IF(I45&lt;=60,I45*1.25+3,IF(I45&lt;=120,I45*1.25+4,I45*1.25+5))),
""))),2)</f>
        <v>21.11</v>
      </c>
      <c r="I45" s="9">
        <f>($K$2+0.02)*Tabla1[[#This Row],[PRECIO $]]*1.18</f>
        <v>16.6144</v>
      </c>
      <c r="J45" s="7">
        <f>+Tabla1[[#This Row],[PRECIO EN SOLES]]-Tabla1[[#This Row],[PC]]</f>
        <v>4.4955999999999996</v>
      </c>
      <c r="K45" s="15"/>
      <c r="L45" s="15" t="str">
        <f t="shared" si="0"/>
        <v>NORMAL</v>
      </c>
    </row>
    <row r="46" spans="1:12" x14ac:dyDescent="0.25">
      <c r="A46" s="3" t="s">
        <v>5806</v>
      </c>
      <c r="B46" s="3" t="s">
        <v>5807</v>
      </c>
      <c r="C46" s="1">
        <v>20</v>
      </c>
      <c r="D46" s="1">
        <v>4</v>
      </c>
      <c r="E46" s="1" t="s">
        <v>55</v>
      </c>
      <c r="F46" s="1" t="s">
        <v>5808</v>
      </c>
      <c r="G46" s="3"/>
      <c r="H46" s="11">
        <f>ROUND(
IF(L46="GANCHO",
   IF(I46&lt;=50,I46*1.1+4,IF(I46&lt;=120,I46*1.1+7,IF(I46&lt;=250,I46*1.1+11,I46*1.1+19))),
IF(L46="NORMAL",
   IF(I46&lt;=30,I46*1.15+2,IF(I46&lt;=80,I46*1.15+4,IF(I46&lt;=150,I46*1.15+6,I46*1.15+8))),
IF(L46="COMPLEMENTO",
   IF(I46&lt;=25,I46*1.25+1.5,IF(I46&lt;=60,I46*1.25+3,IF(I46&lt;=120,I46*1.25+4,I46*1.25+5))),
""))),2)</f>
        <v>21.11</v>
      </c>
      <c r="I46" s="9">
        <f>($K$2+0.02)*Tabla1[[#This Row],[PRECIO $]]*1.18</f>
        <v>16.6144</v>
      </c>
      <c r="J46" s="7">
        <f>+Tabla1[[#This Row],[PRECIO EN SOLES]]-Tabla1[[#This Row],[PC]]</f>
        <v>4.4955999999999996</v>
      </c>
      <c r="K46" s="15"/>
      <c r="L46" s="15" t="str">
        <f t="shared" si="0"/>
        <v>NORMAL</v>
      </c>
    </row>
    <row r="47" spans="1:12" x14ac:dyDescent="0.25">
      <c r="A47" s="3" t="s">
        <v>5809</v>
      </c>
      <c r="B47" s="3" t="s">
        <v>5810</v>
      </c>
      <c r="C47" s="1">
        <v>20</v>
      </c>
      <c r="D47" s="1">
        <v>4</v>
      </c>
      <c r="E47" s="1" t="s">
        <v>55</v>
      </c>
      <c r="F47" s="1" t="s">
        <v>5811</v>
      </c>
      <c r="G47" s="3"/>
      <c r="H47" s="11">
        <f>ROUND(
IF(L47="GANCHO",
   IF(I47&lt;=50,I47*1.1+4,IF(I47&lt;=120,I47*1.1+7,IF(I47&lt;=250,I47*1.1+11,I47*1.1+19))),
IF(L47="NORMAL",
   IF(I47&lt;=30,I47*1.15+2,IF(I47&lt;=80,I47*1.15+4,IF(I47&lt;=150,I47*1.15+6,I47*1.15+8))),
IF(L47="COMPLEMENTO",
   IF(I47&lt;=25,I47*1.25+1.5,IF(I47&lt;=60,I47*1.25+3,IF(I47&lt;=120,I47*1.25+4,I47*1.25+5))),
""))),2)</f>
        <v>21.11</v>
      </c>
      <c r="I47" s="9">
        <f>($K$2+0.02)*Tabla1[[#This Row],[PRECIO $]]*1.18</f>
        <v>16.6144</v>
      </c>
      <c r="J47" s="7">
        <f>+Tabla1[[#This Row],[PRECIO EN SOLES]]-Tabla1[[#This Row],[PC]]</f>
        <v>4.4955999999999996</v>
      </c>
      <c r="K47" s="15"/>
      <c r="L47" s="15" t="str">
        <f t="shared" si="0"/>
        <v>NORMAL</v>
      </c>
    </row>
    <row r="48" spans="1:12" x14ac:dyDescent="0.25">
      <c r="A48" s="3" t="s">
        <v>5812</v>
      </c>
      <c r="B48" s="3" t="s">
        <v>5813</v>
      </c>
      <c r="C48" s="1">
        <v>20</v>
      </c>
      <c r="D48" s="1">
        <v>4</v>
      </c>
      <c r="E48" s="1" t="s">
        <v>55</v>
      </c>
      <c r="F48" s="1" t="s">
        <v>5814</v>
      </c>
      <c r="G48" s="3"/>
      <c r="H48" s="11">
        <f>ROUND(
IF(L48="GANCHO",
   IF(I48&lt;=50,I48*1.1+4,IF(I48&lt;=120,I48*1.1+7,IF(I48&lt;=250,I48*1.1+11,I48*1.1+19))),
IF(L48="NORMAL",
   IF(I48&lt;=30,I48*1.15+2,IF(I48&lt;=80,I48*1.15+4,IF(I48&lt;=150,I48*1.15+6,I48*1.15+8))),
IF(L48="COMPLEMENTO",
   IF(I48&lt;=25,I48*1.25+1.5,IF(I48&lt;=60,I48*1.25+3,IF(I48&lt;=120,I48*1.25+4,I48*1.25+5))),
""))),2)</f>
        <v>21.11</v>
      </c>
      <c r="I48" s="9">
        <f>($K$2+0.02)*Tabla1[[#This Row],[PRECIO $]]*1.18</f>
        <v>16.6144</v>
      </c>
      <c r="J48" s="7">
        <f>+Tabla1[[#This Row],[PRECIO EN SOLES]]-Tabla1[[#This Row],[PC]]</f>
        <v>4.4955999999999996</v>
      </c>
      <c r="K48" s="15"/>
      <c r="L48" s="15" t="str">
        <f t="shared" si="0"/>
        <v>NORMAL</v>
      </c>
    </row>
    <row r="49" spans="1:12" x14ac:dyDescent="0.25">
      <c r="A49" s="3" t="s">
        <v>5815</v>
      </c>
      <c r="B49" s="3" t="s">
        <v>5816</v>
      </c>
      <c r="C49" s="1">
        <v>20</v>
      </c>
      <c r="D49" s="1">
        <v>4</v>
      </c>
      <c r="E49" s="1" t="s">
        <v>55</v>
      </c>
      <c r="F49" s="1" t="s">
        <v>5817</v>
      </c>
      <c r="G49" s="3"/>
      <c r="H49" s="11">
        <f>ROUND(
IF(L49="GANCHO",
   IF(I49&lt;=50,I49*1.1+4,IF(I49&lt;=120,I49*1.1+7,IF(I49&lt;=250,I49*1.1+11,I49*1.1+19))),
IF(L49="NORMAL",
   IF(I49&lt;=30,I49*1.15+2,IF(I49&lt;=80,I49*1.15+4,IF(I49&lt;=150,I49*1.15+6,I49*1.15+8))),
IF(L49="COMPLEMENTO",
   IF(I49&lt;=25,I49*1.25+1.5,IF(I49&lt;=60,I49*1.25+3,IF(I49&lt;=120,I49*1.25+4,I49*1.25+5))),
""))),2)</f>
        <v>21.11</v>
      </c>
      <c r="I49" s="9">
        <f>($K$2+0.02)*Tabla1[[#This Row],[PRECIO $]]*1.18</f>
        <v>16.6144</v>
      </c>
      <c r="J49" s="7">
        <f>+Tabla1[[#This Row],[PRECIO EN SOLES]]-Tabla1[[#This Row],[PC]]</f>
        <v>4.4955999999999996</v>
      </c>
      <c r="K49" s="15"/>
      <c r="L49" s="15" t="str">
        <f t="shared" si="0"/>
        <v>NORMAL</v>
      </c>
    </row>
    <row r="50" spans="1:12" x14ac:dyDescent="0.25">
      <c r="A50" s="3" t="s">
        <v>5818</v>
      </c>
      <c r="B50" s="3" t="s">
        <v>5816</v>
      </c>
      <c r="C50" s="1">
        <v>20</v>
      </c>
      <c r="D50" s="1">
        <v>4</v>
      </c>
      <c r="E50" s="1" t="s">
        <v>55</v>
      </c>
      <c r="F50" s="1" t="s">
        <v>5819</v>
      </c>
      <c r="G50" s="3"/>
      <c r="H50" s="11">
        <f>ROUND(
IF(L50="GANCHO",
   IF(I50&lt;=50,I50*1.1+4,IF(I50&lt;=120,I50*1.1+7,IF(I50&lt;=250,I50*1.1+11,I50*1.1+19))),
IF(L50="NORMAL",
   IF(I50&lt;=30,I50*1.15+2,IF(I50&lt;=80,I50*1.15+4,IF(I50&lt;=150,I50*1.15+6,I50*1.15+8))),
IF(L50="COMPLEMENTO",
   IF(I50&lt;=25,I50*1.25+1.5,IF(I50&lt;=60,I50*1.25+3,IF(I50&lt;=120,I50*1.25+4,I50*1.25+5))),
""))),2)</f>
        <v>21.11</v>
      </c>
      <c r="I50" s="9">
        <f>($K$2+0.02)*Tabla1[[#This Row],[PRECIO $]]*1.18</f>
        <v>16.6144</v>
      </c>
      <c r="J50" s="7">
        <f>+Tabla1[[#This Row],[PRECIO EN SOLES]]-Tabla1[[#This Row],[PC]]</f>
        <v>4.4955999999999996</v>
      </c>
      <c r="K50" s="15"/>
      <c r="L50" s="15" t="str">
        <f t="shared" si="0"/>
        <v>NORMAL</v>
      </c>
    </row>
    <row r="51" spans="1:12" x14ac:dyDescent="0.25">
      <c r="A51" s="3" t="s">
        <v>740</v>
      </c>
      <c r="B51" s="3" t="s">
        <v>741</v>
      </c>
      <c r="C51" s="1">
        <v>0</v>
      </c>
      <c r="D51" s="1">
        <v>400</v>
      </c>
      <c r="E51" s="1" t="s">
        <v>54</v>
      </c>
      <c r="F51" s="1" t="s">
        <v>2865</v>
      </c>
      <c r="G51" s="3"/>
      <c r="H51" s="11">
        <f>ROUND(
IF(L51="GANCHO",
   IF(I51&lt;=50,I51*1.1+4,IF(I51&lt;=120,I51*1.1+7,IF(I51&lt;=250,I51*1.1+11,I51*1.1+19))),
IF(L51="NORMAL",
   IF(I51&lt;=30,I51*1.15+2,IF(I51&lt;=80,I51*1.15+4,IF(I51&lt;=150,I51*1.15+6,I51*1.15+8))),
IF(L51="COMPLEMENTO",
   IF(I51&lt;=25,I51*1.25+1.5,IF(I51&lt;=60,I51*1.25+3,IF(I51&lt;=120,I51*1.25+4,I51*1.25+5))),
""))),2)</f>
        <v>1918.66</v>
      </c>
      <c r="I51" s="9">
        <f>($K$2+0.02)*Tabla1[[#This Row],[PRECIO $]]*1.18</f>
        <v>1661.4399999999998</v>
      </c>
      <c r="J51" s="7">
        <f>+Tabla1[[#This Row],[PRECIO EN SOLES]]-Tabla1[[#This Row],[PC]]</f>
        <v>257.22000000000025</v>
      </c>
      <c r="K51" s="15"/>
      <c r="L51" s="15" t="str">
        <f t="shared" si="0"/>
        <v>NORMAL</v>
      </c>
    </row>
    <row r="52" spans="1:12" x14ac:dyDescent="0.25">
      <c r="A52" s="3" t="s">
        <v>6872</v>
      </c>
      <c r="B52" s="3" t="s">
        <v>6873</v>
      </c>
      <c r="C52" s="1">
        <v>0</v>
      </c>
      <c r="D52" s="1">
        <v>1100</v>
      </c>
      <c r="E52" s="1" t="s">
        <v>57</v>
      </c>
      <c r="F52" s="1" t="s">
        <v>6874</v>
      </c>
      <c r="G52" s="3"/>
      <c r="H52" s="11">
        <f>ROUND(
IF(L52="GANCHO",
   IF(I52&lt;=50,I52*1.1+4,IF(I52&lt;=120,I52*1.1+7,IF(I52&lt;=250,I52*1.1+11,I52*1.1+19))),
IF(L52="NORMAL",
   IF(I52&lt;=30,I52*1.15+2,IF(I52&lt;=80,I52*1.15+4,IF(I52&lt;=150,I52*1.15+6,I52*1.15+8))),
IF(L52="COMPLEMENTO",
   IF(I52&lt;=25,I52*1.25+1.5,IF(I52&lt;=60,I52*1.25+3,IF(I52&lt;=120,I52*1.25+4,I52*1.25+5))),
""))),2)</f>
        <v>5262.3</v>
      </c>
      <c r="I52" s="9">
        <f>($K$2+0.02)*Tabla1[[#This Row],[PRECIO $]]*1.18</f>
        <v>4568.96</v>
      </c>
      <c r="J52" s="7">
        <f>+Tabla1[[#This Row],[PRECIO EN SOLES]]-Tabla1[[#This Row],[PC]]</f>
        <v>693.34000000000015</v>
      </c>
      <c r="K52" s="15"/>
      <c r="L52" s="15" t="str">
        <f t="shared" si="0"/>
        <v>NORMAL</v>
      </c>
    </row>
    <row r="53" spans="1:12" x14ac:dyDescent="0.25">
      <c r="A53" s="3" t="s">
        <v>6875</v>
      </c>
      <c r="B53" s="3" t="s">
        <v>6876</v>
      </c>
      <c r="C53" s="1">
        <v>0</v>
      </c>
      <c r="D53" s="1">
        <v>1100</v>
      </c>
      <c r="E53" s="1" t="s">
        <v>57</v>
      </c>
      <c r="F53" s="1" t="s">
        <v>6877</v>
      </c>
      <c r="G53" s="3"/>
      <c r="H53" s="11">
        <f>ROUND(
IF(L53="GANCHO",
   IF(I53&lt;=50,I53*1.1+4,IF(I53&lt;=120,I53*1.1+7,IF(I53&lt;=250,I53*1.1+11,I53*1.1+19))),
IF(L53="NORMAL",
   IF(I53&lt;=30,I53*1.15+2,IF(I53&lt;=80,I53*1.15+4,IF(I53&lt;=150,I53*1.15+6,I53*1.15+8))),
IF(L53="COMPLEMENTO",
   IF(I53&lt;=25,I53*1.25+1.5,IF(I53&lt;=60,I53*1.25+3,IF(I53&lt;=120,I53*1.25+4,I53*1.25+5))),
""))),2)</f>
        <v>5262.3</v>
      </c>
      <c r="I53" s="9">
        <f>($K$2+0.02)*Tabla1[[#This Row],[PRECIO $]]*1.18</f>
        <v>4568.96</v>
      </c>
      <c r="J53" s="7">
        <f>+Tabla1[[#This Row],[PRECIO EN SOLES]]-Tabla1[[#This Row],[PC]]</f>
        <v>693.34000000000015</v>
      </c>
      <c r="K53" s="15"/>
      <c r="L53" s="15" t="str">
        <f t="shared" si="0"/>
        <v>NORMAL</v>
      </c>
    </row>
    <row r="54" spans="1:12" x14ac:dyDescent="0.25">
      <c r="A54" s="3" t="s">
        <v>6878</v>
      </c>
      <c r="B54" s="3" t="s">
        <v>6879</v>
      </c>
      <c r="C54" s="1">
        <v>0</v>
      </c>
      <c r="D54" s="1">
        <v>1100</v>
      </c>
      <c r="E54" s="1" t="s">
        <v>57</v>
      </c>
      <c r="F54" s="1" t="s">
        <v>6880</v>
      </c>
      <c r="G54" s="3"/>
      <c r="H54" s="11">
        <f>ROUND(
IF(L54="GANCHO",
   IF(I54&lt;=50,I54*1.1+4,IF(I54&lt;=120,I54*1.1+7,IF(I54&lt;=250,I54*1.1+11,I54*1.1+19))),
IF(L54="NORMAL",
   IF(I54&lt;=30,I54*1.15+2,IF(I54&lt;=80,I54*1.15+4,IF(I54&lt;=150,I54*1.15+6,I54*1.15+8))),
IF(L54="COMPLEMENTO",
   IF(I54&lt;=25,I54*1.25+1.5,IF(I54&lt;=60,I54*1.25+3,IF(I54&lt;=120,I54*1.25+4,I54*1.25+5))),
""))),2)</f>
        <v>5262.3</v>
      </c>
      <c r="I54" s="9">
        <f>($K$2+0.02)*Tabla1[[#This Row],[PRECIO $]]*1.18</f>
        <v>4568.96</v>
      </c>
      <c r="J54" s="7">
        <f>+Tabla1[[#This Row],[PRECIO EN SOLES]]-Tabla1[[#This Row],[PC]]</f>
        <v>693.34000000000015</v>
      </c>
      <c r="K54" s="15"/>
      <c r="L54" s="15" t="str">
        <f t="shared" si="0"/>
        <v>NORMAL</v>
      </c>
    </row>
    <row r="55" spans="1:12" x14ac:dyDescent="0.25">
      <c r="A55" s="3" t="s">
        <v>6881</v>
      </c>
      <c r="B55" s="3" t="s">
        <v>6882</v>
      </c>
      <c r="C55" s="1">
        <v>0</v>
      </c>
      <c r="D55" s="1">
        <v>110</v>
      </c>
      <c r="E55" s="1" t="s">
        <v>57</v>
      </c>
      <c r="F55" s="1" t="s">
        <v>6883</v>
      </c>
      <c r="G55" s="3"/>
      <c r="H55" s="11">
        <f>ROUND(
IF(L55="GANCHO",
   IF(I55&lt;=50,I55*1.1+4,IF(I55&lt;=120,I55*1.1+7,IF(I55&lt;=250,I55*1.1+11,I55*1.1+19))),
IF(L55="NORMAL",
   IF(I55&lt;=30,I55*1.15+2,IF(I55&lt;=80,I55*1.15+4,IF(I55&lt;=150,I55*1.15+6,I55*1.15+8))),
IF(L55="COMPLEMENTO",
   IF(I55&lt;=25,I55*1.25+1.5,IF(I55&lt;=60,I55*1.25+3,IF(I55&lt;=120,I55*1.25+4,I55*1.25+5))),
""))),2)</f>
        <v>533.42999999999995</v>
      </c>
      <c r="I55" s="9">
        <f>($K$2+0.02)*Tabla1[[#This Row],[PRECIO $]]*1.18</f>
        <v>456.89599999999996</v>
      </c>
      <c r="J55" s="7">
        <f>+Tabla1[[#This Row],[PRECIO EN SOLES]]-Tabla1[[#This Row],[PC]]</f>
        <v>76.533999999999992</v>
      </c>
      <c r="K55" s="15"/>
      <c r="L55" s="15" t="str">
        <f t="shared" si="0"/>
        <v>NORMAL</v>
      </c>
    </row>
    <row r="56" spans="1:12" x14ac:dyDescent="0.25">
      <c r="A56" s="3" t="s">
        <v>6884</v>
      </c>
      <c r="B56" s="3" t="s">
        <v>6885</v>
      </c>
      <c r="C56" s="1">
        <v>0</v>
      </c>
      <c r="D56" s="1">
        <v>1100</v>
      </c>
      <c r="E56" s="1" t="s">
        <v>57</v>
      </c>
      <c r="F56" s="1" t="s">
        <v>6886</v>
      </c>
      <c r="G56" s="3"/>
      <c r="H56" s="11">
        <f>ROUND(
IF(L56="GANCHO",
   IF(I56&lt;=50,I56*1.1+4,IF(I56&lt;=120,I56*1.1+7,IF(I56&lt;=250,I56*1.1+11,I56*1.1+19))),
IF(L56="NORMAL",
   IF(I56&lt;=30,I56*1.15+2,IF(I56&lt;=80,I56*1.15+4,IF(I56&lt;=150,I56*1.15+6,I56*1.15+8))),
IF(L56="COMPLEMENTO",
   IF(I56&lt;=25,I56*1.25+1.5,IF(I56&lt;=60,I56*1.25+3,IF(I56&lt;=120,I56*1.25+4,I56*1.25+5))),
""))),2)</f>
        <v>5262.3</v>
      </c>
      <c r="I56" s="9">
        <f>($K$2+0.02)*Tabla1[[#This Row],[PRECIO $]]*1.18</f>
        <v>4568.96</v>
      </c>
      <c r="J56" s="7">
        <f>+Tabla1[[#This Row],[PRECIO EN SOLES]]-Tabla1[[#This Row],[PC]]</f>
        <v>693.34000000000015</v>
      </c>
      <c r="K56" s="15"/>
      <c r="L56" s="15" t="str">
        <f t="shared" si="0"/>
        <v>NORMAL</v>
      </c>
    </row>
    <row r="57" spans="1:12" x14ac:dyDescent="0.25">
      <c r="A57" s="3" t="s">
        <v>6887</v>
      </c>
      <c r="B57" s="3" t="s">
        <v>6888</v>
      </c>
      <c r="C57" s="1">
        <v>0</v>
      </c>
      <c r="D57" s="1">
        <v>1100</v>
      </c>
      <c r="E57" s="1" t="s">
        <v>57</v>
      </c>
      <c r="F57" s="1" t="s">
        <v>6889</v>
      </c>
      <c r="G57" s="3"/>
      <c r="H57" s="11">
        <f>ROUND(
IF(L57="GANCHO",
   IF(I57&lt;=50,I57*1.1+4,IF(I57&lt;=120,I57*1.1+7,IF(I57&lt;=250,I57*1.1+11,I57*1.1+19))),
IF(L57="NORMAL",
   IF(I57&lt;=30,I57*1.15+2,IF(I57&lt;=80,I57*1.15+4,IF(I57&lt;=150,I57*1.15+6,I57*1.15+8))),
IF(L57="COMPLEMENTO",
   IF(I57&lt;=25,I57*1.25+1.5,IF(I57&lt;=60,I57*1.25+3,IF(I57&lt;=120,I57*1.25+4,I57*1.25+5))),
""))),2)</f>
        <v>5262.3</v>
      </c>
      <c r="I57" s="9">
        <f>($K$2+0.02)*Tabla1[[#This Row],[PRECIO $]]*1.18</f>
        <v>4568.96</v>
      </c>
      <c r="J57" s="7">
        <f>+Tabla1[[#This Row],[PRECIO EN SOLES]]-Tabla1[[#This Row],[PC]]</f>
        <v>693.34000000000015</v>
      </c>
      <c r="K57" s="15"/>
      <c r="L57" s="15" t="str">
        <f t="shared" si="0"/>
        <v>NORMAL</v>
      </c>
    </row>
    <row r="58" spans="1:12" x14ac:dyDescent="0.25">
      <c r="A58" s="3" t="s">
        <v>742</v>
      </c>
      <c r="B58" s="3" t="s">
        <v>743</v>
      </c>
      <c r="C58" s="1">
        <v>0</v>
      </c>
      <c r="D58" s="1">
        <v>110</v>
      </c>
      <c r="E58" s="1" t="s">
        <v>54</v>
      </c>
      <c r="F58" s="1" t="s">
        <v>2866</v>
      </c>
      <c r="G58" s="3" t="s">
        <v>744</v>
      </c>
      <c r="H58" s="11">
        <f>ROUND(
IF(L58="GANCHO",
   IF(I58&lt;=50,I58*1.1+4,IF(I58&lt;=120,I58*1.1+7,IF(I58&lt;=250,I58*1.1+11,I58*1.1+19))),
IF(L58="NORMAL",
   IF(I58&lt;=30,I58*1.15+2,IF(I58&lt;=80,I58*1.15+4,IF(I58&lt;=150,I58*1.15+6,I58*1.15+8))),
IF(L58="COMPLEMENTO",
   IF(I58&lt;=25,I58*1.25+1.5,IF(I58&lt;=60,I58*1.25+3,IF(I58&lt;=120,I58*1.25+4,I58*1.25+5))),
""))),2)</f>
        <v>533.42999999999995</v>
      </c>
      <c r="I58" s="9">
        <f>($K$2+0.02)*Tabla1[[#This Row],[PRECIO $]]*1.18</f>
        <v>456.89599999999996</v>
      </c>
      <c r="J58" s="7">
        <f>+Tabla1[[#This Row],[PRECIO EN SOLES]]-Tabla1[[#This Row],[PC]]</f>
        <v>76.533999999999992</v>
      </c>
      <c r="K58" s="15"/>
      <c r="L58" s="15" t="str">
        <f t="shared" si="0"/>
        <v>NORMAL</v>
      </c>
    </row>
    <row r="59" spans="1:12" x14ac:dyDescent="0.25">
      <c r="A59" s="3" t="s">
        <v>6890</v>
      </c>
      <c r="B59" s="3" t="s">
        <v>6891</v>
      </c>
      <c r="C59" s="1">
        <v>0</v>
      </c>
      <c r="D59" s="1">
        <v>1100</v>
      </c>
      <c r="E59" s="1" t="s">
        <v>57</v>
      </c>
      <c r="F59" s="1" t="s">
        <v>6892</v>
      </c>
      <c r="G59" s="3"/>
      <c r="H59" s="11">
        <f>ROUND(
IF(L59="GANCHO",
   IF(I59&lt;=50,I59*1.1+4,IF(I59&lt;=120,I59*1.1+7,IF(I59&lt;=250,I59*1.1+11,I59*1.1+19))),
IF(L59="NORMAL",
   IF(I59&lt;=30,I59*1.15+2,IF(I59&lt;=80,I59*1.15+4,IF(I59&lt;=150,I59*1.15+6,I59*1.15+8))),
IF(L59="COMPLEMENTO",
   IF(I59&lt;=25,I59*1.25+1.5,IF(I59&lt;=60,I59*1.25+3,IF(I59&lt;=120,I59*1.25+4,I59*1.25+5))),
""))),2)</f>
        <v>5716.2</v>
      </c>
      <c r="I59" s="9">
        <f>($K$2+0.02)*Tabla1[[#This Row],[PRECIO $]]*1.18</f>
        <v>4568.96</v>
      </c>
      <c r="J59" s="7">
        <f>+Tabla1[[#This Row],[PRECIO EN SOLES]]-Tabla1[[#This Row],[PC]]</f>
        <v>1147.2399999999998</v>
      </c>
      <c r="K59" s="15"/>
      <c r="L59" s="15" t="str">
        <f t="shared" si="0"/>
        <v>COMPLEMENTO</v>
      </c>
    </row>
    <row r="60" spans="1:12" x14ac:dyDescent="0.25">
      <c r="A60" s="3" t="s">
        <v>6893</v>
      </c>
      <c r="B60" s="3" t="s">
        <v>6894</v>
      </c>
      <c r="C60" s="1">
        <v>0</v>
      </c>
      <c r="D60" s="1">
        <v>1100</v>
      </c>
      <c r="E60" s="1" t="s">
        <v>57</v>
      </c>
      <c r="F60" s="1" t="s">
        <v>6895</v>
      </c>
      <c r="G60" s="3"/>
      <c r="H60" s="11">
        <f>ROUND(
IF(L60="GANCHO",
   IF(I60&lt;=50,I60*1.1+4,IF(I60&lt;=120,I60*1.1+7,IF(I60&lt;=250,I60*1.1+11,I60*1.1+19))),
IF(L60="NORMAL",
   IF(I60&lt;=30,I60*1.15+2,IF(I60&lt;=80,I60*1.15+4,IF(I60&lt;=150,I60*1.15+6,I60*1.15+8))),
IF(L60="COMPLEMENTO",
   IF(I60&lt;=25,I60*1.25+1.5,IF(I60&lt;=60,I60*1.25+3,IF(I60&lt;=120,I60*1.25+4,I60*1.25+5))),
""))),2)</f>
        <v>5716.2</v>
      </c>
      <c r="I60" s="9">
        <f>($K$2+0.02)*Tabla1[[#This Row],[PRECIO $]]*1.18</f>
        <v>4568.96</v>
      </c>
      <c r="J60" s="7">
        <f>+Tabla1[[#This Row],[PRECIO EN SOLES]]-Tabla1[[#This Row],[PC]]</f>
        <v>1147.2399999999998</v>
      </c>
      <c r="K60" s="15"/>
      <c r="L60" s="15" t="str">
        <f t="shared" si="0"/>
        <v>COMPLEMENTO</v>
      </c>
    </row>
    <row r="61" spans="1:12" x14ac:dyDescent="0.25">
      <c r="A61" s="3" t="s">
        <v>6896</v>
      </c>
      <c r="B61" s="3" t="s">
        <v>6897</v>
      </c>
      <c r="C61" s="1">
        <v>0</v>
      </c>
      <c r="D61" s="1">
        <v>1100</v>
      </c>
      <c r="E61" s="1" t="s">
        <v>57</v>
      </c>
      <c r="F61" s="1" t="s">
        <v>6898</v>
      </c>
      <c r="G61" s="3"/>
      <c r="H61" s="11">
        <f>ROUND(
IF(L61="GANCHO",
   IF(I61&lt;=50,I61*1.1+4,IF(I61&lt;=120,I61*1.1+7,IF(I61&lt;=250,I61*1.1+11,I61*1.1+19))),
IF(L61="NORMAL",
   IF(I61&lt;=30,I61*1.15+2,IF(I61&lt;=80,I61*1.15+4,IF(I61&lt;=150,I61*1.15+6,I61*1.15+8))),
IF(L61="COMPLEMENTO",
   IF(I61&lt;=25,I61*1.25+1.5,IF(I61&lt;=60,I61*1.25+3,IF(I61&lt;=120,I61*1.25+4,I61*1.25+5))),
""))),2)</f>
        <v>5262.3</v>
      </c>
      <c r="I61" s="9">
        <f>($K$2+0.02)*Tabla1[[#This Row],[PRECIO $]]*1.18</f>
        <v>4568.96</v>
      </c>
      <c r="J61" s="7">
        <f>+Tabla1[[#This Row],[PRECIO EN SOLES]]-Tabla1[[#This Row],[PC]]</f>
        <v>693.34000000000015</v>
      </c>
      <c r="K61" s="15"/>
      <c r="L61" s="15" t="str">
        <f t="shared" si="0"/>
        <v>NORMAL</v>
      </c>
    </row>
    <row r="62" spans="1:12" x14ac:dyDescent="0.25">
      <c r="A62" s="3" t="s">
        <v>6899</v>
      </c>
      <c r="B62" s="3" t="s">
        <v>6897</v>
      </c>
      <c r="C62" s="1">
        <v>0</v>
      </c>
      <c r="D62" s="1">
        <v>1100</v>
      </c>
      <c r="E62" s="1" t="s">
        <v>57</v>
      </c>
      <c r="F62" s="1" t="s">
        <v>6900</v>
      </c>
      <c r="G62" s="3"/>
      <c r="H62" s="11">
        <f>ROUND(
IF(L62="GANCHO",
   IF(I62&lt;=50,I62*1.1+4,IF(I62&lt;=120,I62*1.1+7,IF(I62&lt;=250,I62*1.1+11,I62*1.1+19))),
IF(L62="NORMAL",
   IF(I62&lt;=30,I62*1.15+2,IF(I62&lt;=80,I62*1.15+4,IF(I62&lt;=150,I62*1.15+6,I62*1.15+8))),
IF(L62="COMPLEMENTO",
   IF(I62&lt;=25,I62*1.25+1.5,IF(I62&lt;=60,I62*1.25+3,IF(I62&lt;=120,I62*1.25+4,I62*1.25+5))),
""))),2)</f>
        <v>5262.3</v>
      </c>
      <c r="I62" s="9">
        <f>($K$2+0.02)*Tabla1[[#This Row],[PRECIO $]]*1.18</f>
        <v>4568.96</v>
      </c>
      <c r="J62" s="7">
        <f>+Tabla1[[#This Row],[PRECIO EN SOLES]]-Tabla1[[#This Row],[PC]]</f>
        <v>693.34000000000015</v>
      </c>
      <c r="K62" s="15"/>
      <c r="L62" s="15" t="str">
        <f t="shared" si="0"/>
        <v>NORMAL</v>
      </c>
    </row>
    <row r="63" spans="1:12" x14ac:dyDescent="0.25">
      <c r="A63" s="3" t="s">
        <v>6901</v>
      </c>
      <c r="B63" s="3" t="s">
        <v>6902</v>
      </c>
      <c r="C63" s="1">
        <v>0</v>
      </c>
      <c r="D63" s="1">
        <v>1100</v>
      </c>
      <c r="E63" s="1" t="s">
        <v>57</v>
      </c>
      <c r="F63" s="1" t="s">
        <v>6903</v>
      </c>
      <c r="G63" s="3"/>
      <c r="H63" s="11">
        <f>ROUND(
IF(L63="GANCHO",
   IF(I63&lt;=50,I63*1.1+4,IF(I63&lt;=120,I63*1.1+7,IF(I63&lt;=250,I63*1.1+11,I63*1.1+19))),
IF(L63="NORMAL",
   IF(I63&lt;=30,I63*1.15+2,IF(I63&lt;=80,I63*1.15+4,IF(I63&lt;=150,I63*1.15+6,I63*1.15+8))),
IF(L63="COMPLEMENTO",
   IF(I63&lt;=25,I63*1.25+1.5,IF(I63&lt;=60,I63*1.25+3,IF(I63&lt;=120,I63*1.25+4,I63*1.25+5))),
""))),2)</f>
        <v>5262.3</v>
      </c>
      <c r="I63" s="9">
        <f>($K$2+0.02)*Tabla1[[#This Row],[PRECIO $]]*1.18</f>
        <v>4568.96</v>
      </c>
      <c r="J63" s="7">
        <f>+Tabla1[[#This Row],[PRECIO EN SOLES]]-Tabla1[[#This Row],[PC]]</f>
        <v>693.34000000000015</v>
      </c>
      <c r="K63" s="15"/>
      <c r="L63" s="15" t="str">
        <f t="shared" si="0"/>
        <v>NORMAL</v>
      </c>
    </row>
    <row r="64" spans="1:12" x14ac:dyDescent="0.25">
      <c r="A64" s="3" t="s">
        <v>6904</v>
      </c>
      <c r="B64" s="3" t="s">
        <v>6905</v>
      </c>
      <c r="C64" s="1">
        <v>0</v>
      </c>
      <c r="D64" s="1">
        <v>1100</v>
      </c>
      <c r="E64" s="1" t="s">
        <v>57</v>
      </c>
      <c r="F64" s="1" t="s">
        <v>6906</v>
      </c>
      <c r="G64" s="3"/>
      <c r="H64" s="11">
        <f>ROUND(
IF(L64="GANCHO",
   IF(I64&lt;=50,I64*1.1+4,IF(I64&lt;=120,I64*1.1+7,IF(I64&lt;=250,I64*1.1+11,I64*1.1+19))),
IF(L64="NORMAL",
   IF(I64&lt;=30,I64*1.15+2,IF(I64&lt;=80,I64*1.15+4,IF(I64&lt;=150,I64*1.15+6,I64*1.15+8))),
IF(L64="COMPLEMENTO",
   IF(I64&lt;=25,I64*1.25+1.5,IF(I64&lt;=60,I64*1.25+3,IF(I64&lt;=120,I64*1.25+4,I64*1.25+5))),
""))),2)</f>
        <v>5044.8599999999997</v>
      </c>
      <c r="I64" s="9">
        <f>($K$2+0.02)*Tabla1[[#This Row],[PRECIO $]]*1.18</f>
        <v>4568.96</v>
      </c>
      <c r="J64" s="7">
        <f>+Tabla1[[#This Row],[PRECIO EN SOLES]]-Tabla1[[#This Row],[PC]]</f>
        <v>475.89999999999964</v>
      </c>
      <c r="K64" s="15"/>
      <c r="L64" s="15" t="str">
        <f t="shared" si="0"/>
        <v>GANCHO</v>
      </c>
    </row>
    <row r="65" spans="1:12" x14ac:dyDescent="0.25">
      <c r="A65" s="3" t="s">
        <v>6907</v>
      </c>
      <c r="B65" s="3" t="s">
        <v>6908</v>
      </c>
      <c r="C65" s="1">
        <v>0</v>
      </c>
      <c r="D65" s="1">
        <v>1100</v>
      </c>
      <c r="E65" s="1" t="s">
        <v>57</v>
      </c>
      <c r="F65" s="1" t="s">
        <v>6909</v>
      </c>
      <c r="G65" s="3"/>
      <c r="H65" s="11">
        <f>ROUND(
IF(L65="GANCHO",
   IF(I65&lt;=50,I65*1.1+4,IF(I65&lt;=120,I65*1.1+7,IF(I65&lt;=250,I65*1.1+11,I65*1.1+19))),
IF(L65="NORMAL",
   IF(I65&lt;=30,I65*1.15+2,IF(I65&lt;=80,I65*1.15+4,IF(I65&lt;=150,I65*1.15+6,I65*1.15+8))),
IF(L65="COMPLEMENTO",
   IF(I65&lt;=25,I65*1.25+1.5,IF(I65&lt;=60,I65*1.25+3,IF(I65&lt;=120,I65*1.25+4,I65*1.25+5))),
""))),2)</f>
        <v>5262.3</v>
      </c>
      <c r="I65" s="9">
        <f>($K$2+0.02)*Tabla1[[#This Row],[PRECIO $]]*1.18</f>
        <v>4568.96</v>
      </c>
      <c r="J65" s="7">
        <f>+Tabla1[[#This Row],[PRECIO EN SOLES]]-Tabla1[[#This Row],[PC]]</f>
        <v>693.34000000000015</v>
      </c>
      <c r="K65" s="15"/>
      <c r="L65" s="15" t="str">
        <f t="shared" si="0"/>
        <v>NORMAL</v>
      </c>
    </row>
    <row r="66" spans="1:12" x14ac:dyDescent="0.25">
      <c r="A66" s="3" t="s">
        <v>745</v>
      </c>
      <c r="B66" s="3" t="s">
        <v>746</v>
      </c>
      <c r="C66" s="1">
        <v>0</v>
      </c>
      <c r="D66" s="1">
        <v>320</v>
      </c>
      <c r="E66" s="1" t="s">
        <v>57</v>
      </c>
      <c r="F66" s="1" t="s">
        <v>2867</v>
      </c>
      <c r="G66" s="3"/>
      <c r="H66" s="11">
        <f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1536.52</v>
      </c>
      <c r="I66" s="9">
        <f>($K$2+0.02)*Tabla1[[#This Row],[PRECIO $]]*1.18</f>
        <v>1329.152</v>
      </c>
      <c r="J66" s="7">
        <f>+Tabla1[[#This Row],[PRECIO EN SOLES]]-Tabla1[[#This Row],[PC]]</f>
        <v>207.36799999999994</v>
      </c>
      <c r="K66" s="15"/>
      <c r="L66" s="15" t="str">
        <f t="shared" si="0"/>
        <v>NORMAL</v>
      </c>
    </row>
    <row r="67" spans="1:12" x14ac:dyDescent="0.25">
      <c r="A67" s="3" t="s">
        <v>6910</v>
      </c>
      <c r="B67" s="3" t="s">
        <v>6911</v>
      </c>
      <c r="C67" s="1">
        <v>0</v>
      </c>
      <c r="D67" s="1">
        <v>1100</v>
      </c>
      <c r="E67" s="1" t="s">
        <v>57</v>
      </c>
      <c r="F67" s="1" t="s">
        <v>6912</v>
      </c>
      <c r="G67" s="3"/>
      <c r="H67" s="11">
        <f>ROUND(
IF(L67="GANCHO",
   IF(I67&lt;=50,I67*1.1+4,IF(I67&lt;=120,I67*1.1+7,IF(I67&lt;=250,I67*1.1+11,I67*1.1+19))),
IF(L67="NORMAL",
   IF(I67&lt;=30,I67*1.15+2,IF(I67&lt;=80,I67*1.15+4,IF(I67&lt;=150,I67*1.15+6,I67*1.15+8))),
IF(L67="COMPLEMENTO",
   IF(I67&lt;=25,I67*1.25+1.5,IF(I67&lt;=60,I67*1.25+3,IF(I67&lt;=120,I67*1.25+4,I67*1.25+5))),
""))),2)</f>
        <v>5262.3</v>
      </c>
      <c r="I67" s="9">
        <f>($K$2+0.02)*Tabla1[[#This Row],[PRECIO $]]*1.18</f>
        <v>4568.96</v>
      </c>
      <c r="J67" s="7">
        <f>+Tabla1[[#This Row],[PRECIO EN SOLES]]-Tabla1[[#This Row],[PC]]</f>
        <v>693.34000000000015</v>
      </c>
      <c r="K67" s="15"/>
      <c r="L67" s="15" t="str">
        <f t="shared" ref="L67:L130" si="1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747</v>
      </c>
      <c r="B68" s="3" t="s">
        <v>748</v>
      </c>
      <c r="C68" s="1">
        <v>0</v>
      </c>
      <c r="D68" s="1">
        <v>15.7</v>
      </c>
      <c r="E68" s="1" t="s">
        <v>56</v>
      </c>
      <c r="F68" s="1" t="s">
        <v>2868</v>
      </c>
      <c r="G68" s="3" t="s">
        <v>749</v>
      </c>
      <c r="H68" s="11">
        <f>ROUND(
IF(L68="GANCHO",
   IF(I68&lt;=50,I68*1.1+4,IF(I68&lt;=120,I68*1.1+7,IF(I68&lt;=250,I68*1.1+11,I68*1.1+19))),
IF(L68="NORMAL",
   IF(I68&lt;=30,I68*1.15+2,IF(I68&lt;=80,I68*1.15+4,IF(I68&lt;=150,I68*1.15+6,I68*1.15+8))),
IF(L68="COMPLEMENTO",
   IF(I68&lt;=25,I68*1.25+1.5,IF(I68&lt;=60,I68*1.25+3,IF(I68&lt;=120,I68*1.25+4,I68*1.25+5))),
""))),2)</f>
        <v>85.51</v>
      </c>
      <c r="I68" s="9">
        <f>($K$2+0.02)*Tabla1[[#This Row],[PRECIO $]]*1.18</f>
        <v>65.211519999999993</v>
      </c>
      <c r="J68" s="7">
        <f>+Tabla1[[#This Row],[PRECIO EN SOLES]]-Tabla1[[#This Row],[PC]]</f>
        <v>20.298480000000012</v>
      </c>
      <c r="K68" s="15"/>
      <c r="L68" s="15" t="str">
        <f t="shared" si="1"/>
        <v>COMPLEMENTO</v>
      </c>
    </row>
    <row r="69" spans="1:12" x14ac:dyDescent="0.25">
      <c r="A69" s="3" t="s">
        <v>6913</v>
      </c>
      <c r="B69" s="3" t="s">
        <v>6914</v>
      </c>
      <c r="C69" s="1">
        <v>0</v>
      </c>
      <c r="D69" s="1">
        <v>1100</v>
      </c>
      <c r="E69" s="1" t="s">
        <v>57</v>
      </c>
      <c r="F69" s="1" t="s">
        <v>6915</v>
      </c>
      <c r="G69" s="3"/>
      <c r="H69" s="11">
        <f>ROUND(
IF(L69="GANCHO",
   IF(I69&lt;=50,I69*1.1+4,IF(I69&lt;=120,I69*1.1+7,IF(I69&lt;=250,I69*1.1+11,I69*1.1+19))),
IF(L69="NORMAL",
   IF(I69&lt;=30,I69*1.15+2,IF(I69&lt;=80,I69*1.15+4,IF(I69&lt;=150,I69*1.15+6,I69*1.15+8))),
IF(L69="COMPLEMENTO",
   IF(I69&lt;=25,I69*1.25+1.5,IF(I69&lt;=60,I69*1.25+3,IF(I69&lt;=120,I69*1.25+4,I69*1.25+5))),
""))),2)</f>
        <v>5262.3</v>
      </c>
      <c r="I69" s="9">
        <f>($K$2+0.02)*Tabla1[[#This Row],[PRECIO $]]*1.18</f>
        <v>4568.96</v>
      </c>
      <c r="J69" s="7">
        <f>+Tabla1[[#This Row],[PRECIO EN SOLES]]-Tabla1[[#This Row],[PC]]</f>
        <v>693.34000000000015</v>
      </c>
      <c r="K69" s="15"/>
      <c r="L69" s="15" t="str">
        <f t="shared" si="1"/>
        <v>NORMAL</v>
      </c>
    </row>
    <row r="70" spans="1:12" x14ac:dyDescent="0.25">
      <c r="A70" s="3" t="s">
        <v>750</v>
      </c>
      <c r="B70" s="3" t="s">
        <v>751</v>
      </c>
      <c r="C70" s="1">
        <v>20</v>
      </c>
      <c r="D70" s="1">
        <v>1.8</v>
      </c>
      <c r="E70" s="1" t="s">
        <v>58</v>
      </c>
      <c r="F70" s="1" t="s">
        <v>2869</v>
      </c>
      <c r="G70" s="3" t="s">
        <v>752</v>
      </c>
      <c r="H70" s="11">
        <f>ROUND(
IF(L70="GANCHO",
   IF(I70&lt;=50,I70*1.1+4,IF(I70&lt;=120,I70*1.1+7,IF(I70&lt;=250,I70*1.1+11,I70*1.1+19))),
IF(L70="NORMAL",
   IF(I70&lt;=30,I70*1.15+2,IF(I70&lt;=80,I70*1.15+4,IF(I70&lt;=150,I70*1.15+6,I70*1.15+8))),
IF(L70="COMPLEMENTO",
   IF(I70&lt;=25,I70*1.25+1.5,IF(I70&lt;=60,I70*1.25+3,IF(I70&lt;=120,I70*1.25+4,I70*1.25+5))),
""))),2)</f>
        <v>10.85</v>
      </c>
      <c r="I70" s="9">
        <f>($K$2+0.02)*Tabla1[[#This Row],[PRECIO $]]*1.18</f>
        <v>7.4764799999999996</v>
      </c>
      <c r="J70" s="7">
        <f>+Tabla1[[#This Row],[PRECIO EN SOLES]]-Tabla1[[#This Row],[PC]]</f>
        <v>3.3735200000000001</v>
      </c>
      <c r="K70" s="15"/>
      <c r="L70" s="15" t="str">
        <f t="shared" si="1"/>
        <v>COMPLEMENTO</v>
      </c>
    </row>
    <row r="71" spans="1:12" x14ac:dyDescent="0.25">
      <c r="A71" s="3" t="s">
        <v>753</v>
      </c>
      <c r="B71" s="3" t="s">
        <v>754</v>
      </c>
      <c r="C71" s="1">
        <v>20</v>
      </c>
      <c r="D71" s="1">
        <v>3.45</v>
      </c>
      <c r="E71" s="1" t="s">
        <v>58</v>
      </c>
      <c r="F71" s="1" t="s">
        <v>2870</v>
      </c>
      <c r="G71" s="3" t="s">
        <v>755</v>
      </c>
      <c r="H71" s="11">
        <f>ROUND(
IF(L71="GANCHO",
   IF(I71&lt;=50,I71*1.1+4,IF(I71&lt;=120,I71*1.1+7,IF(I71&lt;=250,I71*1.1+11,I71*1.1+19))),
IF(L71="NORMAL",
   IF(I71&lt;=30,I71*1.15+2,IF(I71&lt;=80,I71*1.15+4,IF(I71&lt;=150,I71*1.15+6,I71*1.15+8))),
IF(L71="COMPLEMENTO",
   IF(I71&lt;=25,I71*1.25+1.5,IF(I71&lt;=60,I71*1.25+3,IF(I71&lt;=120,I71*1.25+4,I71*1.25+5))),
""))),2)</f>
        <v>19.41</v>
      </c>
      <c r="I71" s="9">
        <f>($K$2+0.02)*Tabla1[[#This Row],[PRECIO $]]*1.18</f>
        <v>14.32992</v>
      </c>
      <c r="J71" s="7">
        <f>+Tabla1[[#This Row],[PRECIO EN SOLES]]-Tabla1[[#This Row],[PC]]</f>
        <v>5.0800800000000006</v>
      </c>
      <c r="K71" s="15"/>
      <c r="L71" s="15" t="str">
        <f t="shared" si="1"/>
        <v>COMPLEMENTO</v>
      </c>
    </row>
    <row r="72" spans="1:12" x14ac:dyDescent="0.25">
      <c r="A72" s="3" t="s">
        <v>756</v>
      </c>
      <c r="B72" s="3" t="s">
        <v>757</v>
      </c>
      <c r="C72" s="1">
        <v>20</v>
      </c>
      <c r="D72" s="1">
        <v>2.2000000000000002</v>
      </c>
      <c r="E72" s="1" t="s">
        <v>58</v>
      </c>
      <c r="F72" s="1" t="s">
        <v>2871</v>
      </c>
      <c r="G72" s="3" t="s">
        <v>758</v>
      </c>
      <c r="H72" s="11">
        <f>ROUND(
IF(L72="GANCHO",
   IF(I72&lt;=50,I72*1.1+4,IF(I72&lt;=120,I72*1.1+7,IF(I72&lt;=250,I72*1.1+11,I72*1.1+19))),
IF(L72="NORMAL",
   IF(I72&lt;=30,I72*1.15+2,IF(I72&lt;=80,I72*1.15+4,IF(I72&lt;=150,I72*1.15+6,I72*1.15+8))),
IF(L72="COMPLEMENTO",
   IF(I72&lt;=25,I72*1.25+1.5,IF(I72&lt;=60,I72*1.25+3,IF(I72&lt;=120,I72*1.25+4,I72*1.25+5))),
""))),2)</f>
        <v>12.92</v>
      </c>
      <c r="I72" s="9">
        <f>($K$2+0.02)*Tabla1[[#This Row],[PRECIO $]]*1.18</f>
        <v>9.1379200000000012</v>
      </c>
      <c r="J72" s="7">
        <f>+Tabla1[[#This Row],[PRECIO EN SOLES]]-Tabla1[[#This Row],[PC]]</f>
        <v>3.7820799999999988</v>
      </c>
      <c r="K72" s="15"/>
      <c r="L72" s="15" t="str">
        <f t="shared" si="1"/>
        <v>COMPLEMENTO</v>
      </c>
    </row>
    <row r="73" spans="1:12" x14ac:dyDescent="0.25">
      <c r="A73" s="3" t="s">
        <v>759</v>
      </c>
      <c r="B73" s="3" t="s">
        <v>760</v>
      </c>
      <c r="C73" s="1">
        <v>10</v>
      </c>
      <c r="D73" s="1">
        <v>2.35</v>
      </c>
      <c r="E73" s="1" t="s">
        <v>58</v>
      </c>
      <c r="F73" s="1" t="s">
        <v>2872</v>
      </c>
      <c r="G73" s="3" t="s">
        <v>761</v>
      </c>
      <c r="H73" s="11">
        <f>ROUND(
IF(L73="GANCHO",
   IF(I73&lt;=50,I73*1.1+4,IF(I73&lt;=120,I73*1.1+7,IF(I73&lt;=250,I73*1.1+11,I73*1.1+19))),
IF(L73="NORMAL",
   IF(I73&lt;=30,I73*1.15+2,IF(I73&lt;=80,I73*1.15+4,IF(I73&lt;=150,I73*1.15+6,I73*1.15+8))),
IF(L73="COMPLEMENTO",
   IF(I73&lt;=25,I73*1.25+1.5,IF(I73&lt;=60,I73*1.25+3,IF(I73&lt;=120,I73*1.25+4,I73*1.25+5))),
""))),2)</f>
        <v>13.7</v>
      </c>
      <c r="I73" s="9">
        <f>($K$2+0.02)*Tabla1[[#This Row],[PRECIO $]]*1.18</f>
        <v>9.760959999999999</v>
      </c>
      <c r="J73" s="7">
        <f>+Tabla1[[#This Row],[PRECIO EN SOLES]]-Tabla1[[#This Row],[PC]]</f>
        <v>3.9390400000000003</v>
      </c>
      <c r="K73" s="15"/>
      <c r="L73" s="15" t="str">
        <f t="shared" si="1"/>
        <v>COMPLEMENTO</v>
      </c>
    </row>
    <row r="74" spans="1:12" x14ac:dyDescent="0.25">
      <c r="A74" s="3" t="s">
        <v>6916</v>
      </c>
      <c r="B74" s="3" t="s">
        <v>6917</v>
      </c>
      <c r="C74" s="1">
        <v>0</v>
      </c>
      <c r="D74" s="1">
        <v>1100</v>
      </c>
      <c r="E74" s="1" t="s">
        <v>57</v>
      </c>
      <c r="F74" s="1" t="s">
        <v>6918</v>
      </c>
      <c r="G74" s="3"/>
      <c r="H74" s="11">
        <f>ROUND(
IF(L74="GANCHO",
   IF(I74&lt;=50,I74*1.1+4,IF(I74&lt;=120,I74*1.1+7,IF(I74&lt;=250,I74*1.1+11,I74*1.1+19))),
IF(L74="NORMAL",
   IF(I74&lt;=30,I74*1.15+2,IF(I74&lt;=80,I74*1.15+4,IF(I74&lt;=150,I74*1.15+6,I74*1.15+8))),
IF(L74="COMPLEMENTO",
   IF(I74&lt;=25,I74*1.25+1.5,IF(I74&lt;=60,I74*1.25+3,IF(I74&lt;=120,I74*1.25+4,I74*1.25+5))),
""))),2)</f>
        <v>5716.2</v>
      </c>
      <c r="I74" s="9">
        <f>($K$2+0.02)*Tabla1[[#This Row],[PRECIO $]]*1.18</f>
        <v>4568.96</v>
      </c>
      <c r="J74" s="7">
        <f>+Tabla1[[#This Row],[PRECIO EN SOLES]]-Tabla1[[#This Row],[PC]]</f>
        <v>1147.2399999999998</v>
      </c>
      <c r="K74" s="15"/>
      <c r="L74" s="15" t="str">
        <f t="shared" si="1"/>
        <v>COMPLEMENTO</v>
      </c>
    </row>
    <row r="75" spans="1:12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2873</v>
      </c>
      <c r="G75" s="3" t="s">
        <v>61</v>
      </c>
      <c r="H75" s="11">
        <f>ROUND(
IF(L75="GANCHO",
   IF(I75&lt;=50,I75*1.1+4,IF(I75&lt;=120,I75*1.1+7,IF(I75&lt;=250,I75*1.1+11,I75*1.1+19))),
IF(L75="NORMAL",
   IF(I75&lt;=30,I75*1.15+2,IF(I75&lt;=80,I75*1.15+4,IF(I75&lt;=150,I75*1.15+6,I75*1.15+8))),
IF(L75="COMPLEMENTO",
   IF(I75&lt;=25,I75*1.25+1.5,IF(I75&lt;=60,I75*1.25+3,IF(I75&lt;=120,I75*1.25+4,I75*1.25+5))),
""))),2)</f>
        <v>55.44</v>
      </c>
      <c r="I75" s="9">
        <f>($K$2+0.02)*Tabla1[[#This Row],[PRECIO $]]*1.18</f>
        <v>41.951359999999994</v>
      </c>
      <c r="J75" s="7">
        <f>+Tabla1[[#This Row],[PRECIO EN SOLES]]-Tabla1[[#This Row],[PC]]</f>
        <v>13.488640000000004</v>
      </c>
      <c r="K75" s="15"/>
      <c r="L75" s="15" t="str">
        <f t="shared" si="1"/>
        <v>COMPLEMENTO</v>
      </c>
    </row>
    <row r="76" spans="1:12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2874</v>
      </c>
      <c r="G76" s="3" t="s">
        <v>64</v>
      </c>
      <c r="H76" s="11">
        <f>ROUND(
IF(L76="GANCHO",
   IF(I76&lt;=50,I76*1.1+4,IF(I76&lt;=120,I76*1.1+7,IF(I76&lt;=250,I76*1.1+11,I76*1.1+19))),
IF(L76="NORMAL",
   IF(I76&lt;=30,I76*1.15+2,IF(I76&lt;=80,I76*1.15+4,IF(I76&lt;=150,I76*1.15+6,I76*1.15+8))),
IF(L76="COMPLEMENTO",
   IF(I76&lt;=25,I76*1.25+1.5,IF(I76&lt;=60,I76*1.25+3,IF(I76&lt;=120,I76*1.25+4,I76*1.25+5))),
""))),2)</f>
        <v>12.92</v>
      </c>
      <c r="I76" s="9">
        <f>($K$2+0.02)*Tabla1[[#This Row],[PRECIO $]]*1.18</f>
        <v>9.1379200000000012</v>
      </c>
      <c r="J76" s="7">
        <f>+Tabla1[[#This Row],[PRECIO EN SOLES]]-Tabla1[[#This Row],[PC]]</f>
        <v>3.7820799999999988</v>
      </c>
      <c r="K76" s="15"/>
      <c r="L76" s="15" t="str">
        <f t="shared" si="1"/>
        <v>COMPLEMENTO</v>
      </c>
    </row>
    <row r="77" spans="1:12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2875</v>
      </c>
      <c r="G77" s="3" t="s">
        <v>67</v>
      </c>
      <c r="H77" s="11">
        <f>ROUND(
IF(L77="GANCHO",
   IF(I77&lt;=50,I77*1.1+4,IF(I77&lt;=120,I77*1.1+7,IF(I77&lt;=250,I77*1.1+11,I77*1.1+19))),
IF(L77="NORMAL",
   IF(I77&lt;=30,I77*1.15+2,IF(I77&lt;=80,I77*1.15+4,IF(I77&lt;=150,I77*1.15+6,I77*1.15+8))),
IF(L77="COMPLEMENTO",
   IF(I77&lt;=25,I77*1.25+1.5,IF(I77&lt;=60,I77*1.25+3,IF(I77&lt;=120,I77*1.25+4,I77*1.25+5))),
""))),2)</f>
        <v>9.5500000000000007</v>
      </c>
      <c r="I77" s="9">
        <f>($K$2+0.02)*Tabla1[[#This Row],[PRECIO $]]*1.18</f>
        <v>6.4380800000000002</v>
      </c>
      <c r="J77" s="7">
        <f>+Tabla1[[#This Row],[PRECIO EN SOLES]]-Tabla1[[#This Row],[PC]]</f>
        <v>3.1119200000000005</v>
      </c>
      <c r="K77" s="15"/>
      <c r="L77" s="15" t="str">
        <f t="shared" si="1"/>
        <v>COMPLEMENTO</v>
      </c>
    </row>
    <row r="78" spans="1:12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2876</v>
      </c>
      <c r="G78" s="3" t="s">
        <v>70</v>
      </c>
      <c r="H78" s="11">
        <f>ROUND(
IF(L78="GANCHO",
   IF(I78&lt;=50,I78*1.1+4,IF(I78&lt;=120,I78*1.1+7,IF(I78&lt;=250,I78*1.1+11,I78*1.1+19))),
IF(L78="NORMAL",
   IF(I78&lt;=30,I78*1.15+2,IF(I78&lt;=80,I78*1.15+4,IF(I78&lt;=150,I78*1.15+6,I78*1.15+8))),
IF(L78="COMPLEMENTO",
   IF(I78&lt;=25,I78*1.25+1.5,IF(I78&lt;=60,I78*1.25+3,IF(I78&lt;=120,I78*1.25+4,I78*1.25+5))),
""))),2)</f>
        <v>35.29</v>
      </c>
      <c r="I78" s="9">
        <f>($K$2+0.02)*Tabla1[[#This Row],[PRECIO $]]*1.18</f>
        <v>25.835391999999999</v>
      </c>
      <c r="J78" s="7">
        <f>+Tabla1[[#This Row],[PRECIO EN SOLES]]-Tabla1[[#This Row],[PC]]</f>
        <v>9.4546080000000003</v>
      </c>
      <c r="K78" s="15"/>
      <c r="L78" s="15" t="str">
        <f t="shared" si="1"/>
        <v>COMPLEMENTO</v>
      </c>
    </row>
    <row r="79" spans="1:12" x14ac:dyDescent="0.25">
      <c r="A79" s="3" t="s">
        <v>71</v>
      </c>
      <c r="B79" s="3" t="s">
        <v>72</v>
      </c>
      <c r="C79" s="1">
        <v>5</v>
      </c>
      <c r="D79" s="1">
        <v>4.3</v>
      </c>
      <c r="E79" s="1" t="s">
        <v>58</v>
      </c>
      <c r="F79" s="1" t="s">
        <v>2877</v>
      </c>
      <c r="G79" s="3"/>
      <c r="H79" s="11">
        <f>ROUND(
IF(L79="GANCHO",
   IF(I79&lt;=50,I79*1.1+4,IF(I79&lt;=120,I79*1.1+7,IF(I79&lt;=250,I79*1.1+11,I79*1.1+19))),
IF(L79="NORMAL",
   IF(I79&lt;=30,I79*1.15+2,IF(I79&lt;=80,I79*1.15+4,IF(I79&lt;=150,I79*1.15+6,I79*1.15+8))),
IF(L79="COMPLEMENTO",
   IF(I79&lt;=25,I79*1.25+1.5,IF(I79&lt;=60,I79*1.25+3,IF(I79&lt;=120,I79*1.25+4,I79*1.25+5))),
""))),2)</f>
        <v>23.83</v>
      </c>
      <c r="I79" s="9">
        <f>($K$2+0.02)*Tabla1[[#This Row],[PRECIO $]]*1.18</f>
        <v>17.860479999999999</v>
      </c>
      <c r="J79" s="7">
        <f>+Tabla1[[#This Row],[PRECIO EN SOLES]]-Tabla1[[#This Row],[PC]]</f>
        <v>5.9695199999999993</v>
      </c>
      <c r="K79" s="15"/>
      <c r="L79" s="15" t="str">
        <f t="shared" si="1"/>
        <v>COMPLEMENTO</v>
      </c>
    </row>
    <row r="80" spans="1:12" x14ac:dyDescent="0.25">
      <c r="A80" s="3" t="s">
        <v>762</v>
      </c>
      <c r="B80" s="3" t="s">
        <v>60</v>
      </c>
      <c r="C80" s="1">
        <v>0</v>
      </c>
      <c r="D80" s="1">
        <v>999</v>
      </c>
      <c r="E80" s="1" t="s">
        <v>184</v>
      </c>
      <c r="F80" s="1" t="s">
        <v>2878</v>
      </c>
      <c r="G80" s="3"/>
      <c r="H80" s="11">
        <f>ROUND(
IF(L80="GANCHO",
   IF(I80&lt;=50,I80*1.1+4,IF(I80&lt;=120,I80*1.1+7,IF(I80&lt;=250,I80*1.1+11,I80*1.1+19))),
IF(L80="NORMAL",
   IF(I80&lt;=30,I80*1.15+2,IF(I80&lt;=80,I80*1.15+4,IF(I80&lt;=150,I80*1.15+6,I80*1.15+8))),
IF(L80="COMPLEMENTO",
   IF(I80&lt;=25,I80*1.25+1.5,IF(I80&lt;=60,I80*1.25+3,IF(I80&lt;=120,I80*1.25+4,I80*1.25+5))),
""))),2)</f>
        <v>5191.8100000000004</v>
      </c>
      <c r="I80" s="9">
        <f>($K$2+0.02)*Tabla1[[#This Row],[PRECIO $]]*1.18</f>
        <v>4149.4463999999998</v>
      </c>
      <c r="J80" s="7">
        <f>+Tabla1[[#This Row],[PRECIO EN SOLES]]-Tabla1[[#This Row],[PC]]</f>
        <v>1042.3636000000006</v>
      </c>
      <c r="K80" s="15"/>
      <c r="L80" s="15" t="str">
        <f t="shared" si="1"/>
        <v>COMPLEMENTO</v>
      </c>
    </row>
    <row r="81" spans="1:12" x14ac:dyDescent="0.25">
      <c r="A81" s="3" t="s">
        <v>763</v>
      </c>
      <c r="B81" s="3" t="s">
        <v>764</v>
      </c>
      <c r="C81" s="1">
        <v>3</v>
      </c>
      <c r="D81" s="1">
        <v>198</v>
      </c>
      <c r="E81" s="1" t="s">
        <v>58</v>
      </c>
      <c r="F81" s="1" t="s">
        <v>2879</v>
      </c>
      <c r="G81" s="3" t="s">
        <v>765</v>
      </c>
      <c r="H81" s="11">
        <f>ROUND(
IF(L81="GANCHO",
   IF(I81&lt;=50,I81*1.1+4,IF(I81&lt;=120,I81*1.1+7,IF(I81&lt;=250,I81*1.1+11,I81*1.1+19))),
IF(L81="NORMAL",
   IF(I81&lt;=30,I81*1.15+2,IF(I81&lt;=80,I81*1.15+4,IF(I81&lt;=150,I81*1.15+6,I81*1.15+8))),
IF(L81="COMPLEMENTO",
   IF(I81&lt;=25,I81*1.25+1.5,IF(I81&lt;=60,I81*1.25+3,IF(I81&lt;=120,I81*1.25+4,I81*1.25+5))),
""))),2)</f>
        <v>953.77</v>
      </c>
      <c r="I81" s="9">
        <f>($K$2+0.02)*Tabla1[[#This Row],[PRECIO $]]*1.18</f>
        <v>822.41279999999995</v>
      </c>
      <c r="J81" s="7">
        <f>+Tabla1[[#This Row],[PRECIO EN SOLES]]-Tabla1[[#This Row],[PC]]</f>
        <v>131.35720000000003</v>
      </c>
      <c r="K81" s="15"/>
      <c r="L81" s="15" t="str">
        <f t="shared" si="1"/>
        <v>NORMAL</v>
      </c>
    </row>
    <row r="82" spans="1:12" x14ac:dyDescent="0.25">
      <c r="A82" s="3" t="s">
        <v>766</v>
      </c>
      <c r="B82" s="3" t="s">
        <v>767</v>
      </c>
      <c r="C82" s="1">
        <v>3</v>
      </c>
      <c r="D82" s="1">
        <v>160</v>
      </c>
      <c r="E82" s="1" t="s">
        <v>58</v>
      </c>
      <c r="F82" s="1" t="s">
        <v>2880</v>
      </c>
      <c r="G82" s="3" t="s">
        <v>768</v>
      </c>
      <c r="H82" s="11">
        <f>ROUND(
IF(L82="GANCHO",
   IF(I82&lt;=50,I82*1.1+4,IF(I82&lt;=120,I82*1.1+7,IF(I82&lt;=250,I82*1.1+11,I82*1.1+19))),
IF(L82="NORMAL",
   IF(I82&lt;=30,I82*1.15+2,IF(I82&lt;=80,I82*1.15+4,IF(I82&lt;=150,I82*1.15+6,I82*1.15+8))),
IF(L82="COMPLEMENTO",
   IF(I82&lt;=25,I82*1.25+1.5,IF(I82&lt;=60,I82*1.25+3,IF(I82&lt;=120,I82*1.25+4,I82*1.25+5))),
""))),2)</f>
        <v>772.26</v>
      </c>
      <c r="I82" s="9">
        <f>($K$2+0.02)*Tabla1[[#This Row],[PRECIO $]]*1.18</f>
        <v>664.57600000000002</v>
      </c>
      <c r="J82" s="7">
        <f>+Tabla1[[#This Row],[PRECIO EN SOLES]]-Tabla1[[#This Row],[PC]]</f>
        <v>107.68399999999997</v>
      </c>
      <c r="K82" s="15"/>
      <c r="L82" s="15" t="str">
        <f t="shared" si="1"/>
        <v>NORMAL</v>
      </c>
    </row>
    <row r="83" spans="1:12" x14ac:dyDescent="0.25">
      <c r="A83" s="3" t="s">
        <v>769</v>
      </c>
      <c r="B83" s="3" t="s">
        <v>770</v>
      </c>
      <c r="C83" s="1">
        <v>1</v>
      </c>
      <c r="D83" s="1">
        <v>254</v>
      </c>
      <c r="E83" s="1" t="s">
        <v>57</v>
      </c>
      <c r="F83" s="1" t="s">
        <v>2881</v>
      </c>
      <c r="G83" s="3" t="s">
        <v>771</v>
      </c>
      <c r="H83" s="11">
        <f>ROUND(
IF(L83="GANCHO",
   IF(I83&lt;=50,I83*1.1+4,IF(I83&lt;=120,I83*1.1+7,IF(I83&lt;=250,I83*1.1+11,I83*1.1+19))),
IF(L83="NORMAL",
   IF(I83&lt;=30,I83*1.15+2,IF(I83&lt;=80,I83*1.15+4,IF(I83&lt;=150,I83*1.15+6,I83*1.15+8))),
IF(L83="COMPLEMENTO",
   IF(I83&lt;=25,I83*1.25+1.5,IF(I83&lt;=60,I83*1.25+3,IF(I83&lt;=120,I83*1.25+4,I83*1.25+5))),
""))),2)</f>
        <v>1221.27</v>
      </c>
      <c r="I83" s="9">
        <f>($K$2+0.02)*Tabla1[[#This Row],[PRECIO $]]*1.18</f>
        <v>1055.0144</v>
      </c>
      <c r="J83" s="7">
        <f>+Tabla1[[#This Row],[PRECIO EN SOLES]]-Tabla1[[#This Row],[PC]]</f>
        <v>166.25559999999996</v>
      </c>
      <c r="K83" s="15"/>
      <c r="L83" s="15" t="str">
        <f t="shared" si="1"/>
        <v>NORMAL</v>
      </c>
    </row>
    <row r="84" spans="1:12" x14ac:dyDescent="0.25">
      <c r="A84" s="3" t="s">
        <v>3892</v>
      </c>
      <c r="B84" s="3" t="s">
        <v>3893</v>
      </c>
      <c r="C84" s="1">
        <v>8</v>
      </c>
      <c r="D84" s="1">
        <v>126</v>
      </c>
      <c r="E84" s="1" t="s">
        <v>73</v>
      </c>
      <c r="F84" s="1" t="s">
        <v>3936</v>
      </c>
      <c r="G84" s="3" t="s">
        <v>3894</v>
      </c>
      <c r="H84" s="11">
        <f>ROUND(
IF(L84="GANCHO",
   IF(I84&lt;=50,I84*1.1+4,IF(I84&lt;=120,I84*1.1+7,IF(I84&lt;=250,I84*1.1+11,I84*1.1+19))),
IF(L84="NORMAL",
   IF(I84&lt;=30,I84*1.15+2,IF(I84&lt;=80,I84*1.15+4,IF(I84&lt;=150,I84*1.15+6,I84*1.15+8))),
IF(L84="COMPLEMENTO",
   IF(I84&lt;=25,I84*1.25+1.5,IF(I84&lt;=60,I84*1.25+3,IF(I84&lt;=120,I84*1.25+4,I84*1.25+5))),
""))),2)</f>
        <v>609.86</v>
      </c>
      <c r="I84" s="9">
        <f>($K$2+0.02)*Tabla1[[#This Row],[PRECIO $]]*1.18</f>
        <v>523.35359999999991</v>
      </c>
      <c r="J84" s="7">
        <f>+Tabla1[[#This Row],[PRECIO EN SOLES]]-Tabla1[[#This Row],[PC]]</f>
        <v>86.506400000000099</v>
      </c>
      <c r="K84" s="15"/>
      <c r="L84" s="15" t="str">
        <f t="shared" si="1"/>
        <v>NORMAL</v>
      </c>
    </row>
    <row r="85" spans="1:12" x14ac:dyDescent="0.25">
      <c r="A85" s="3" t="s">
        <v>772</v>
      </c>
      <c r="B85" s="3" t="s">
        <v>773</v>
      </c>
      <c r="C85" s="1">
        <v>19</v>
      </c>
      <c r="D85" s="1">
        <v>53</v>
      </c>
      <c r="E85" s="1" t="s">
        <v>74</v>
      </c>
      <c r="F85" s="1" t="s">
        <v>2882</v>
      </c>
      <c r="G85" s="3" t="s">
        <v>774</v>
      </c>
      <c r="H85" s="11">
        <f>ROUND(
IF(L85="GANCHO",
   IF(I85&lt;=50,I85*1.1+4,IF(I85&lt;=120,I85*1.1+7,IF(I85&lt;=250,I85*1.1+11,I85*1.1+19))),
IF(L85="NORMAL",
   IF(I85&lt;=30,I85*1.15+2,IF(I85&lt;=80,I85*1.15+4,IF(I85&lt;=150,I85*1.15+6,I85*1.15+8))),
IF(L85="COMPLEMENTO",
   IF(I85&lt;=25,I85*1.25+1.5,IF(I85&lt;=60,I85*1.25+3,IF(I85&lt;=120,I85*1.25+4,I85*1.25+5))),
""))),2)</f>
        <v>261.16000000000003</v>
      </c>
      <c r="I85" s="9">
        <f>($K$2+0.02)*Tabla1[[#This Row],[PRECIO $]]*1.18</f>
        <v>220.14079999999998</v>
      </c>
      <c r="J85" s="7">
        <f>+Tabla1[[#This Row],[PRECIO EN SOLES]]-Tabla1[[#This Row],[PC]]</f>
        <v>41.019200000000041</v>
      </c>
      <c r="K85" s="15"/>
      <c r="L85" s="15" t="str">
        <f t="shared" si="1"/>
        <v>NORMAL</v>
      </c>
    </row>
    <row r="86" spans="1:12" x14ac:dyDescent="0.25">
      <c r="A86" s="3" t="s">
        <v>775</v>
      </c>
      <c r="B86" s="3" t="s">
        <v>776</v>
      </c>
      <c r="C86" s="1">
        <v>20</v>
      </c>
      <c r="D86" s="1">
        <v>29</v>
      </c>
      <c r="E86" s="1" t="s">
        <v>777</v>
      </c>
      <c r="F86" s="1" t="s">
        <v>2883</v>
      </c>
      <c r="G86" s="3" t="s">
        <v>778</v>
      </c>
      <c r="H86" s="11">
        <f>ROUND(
IF(L86="GANCHO",
   IF(I86&lt;=50,I86*1.1+4,IF(I86&lt;=120,I86*1.1+7,IF(I86&lt;=250,I86*1.1+11,I86*1.1+19))),
IF(L86="NORMAL",
   IF(I86&lt;=30,I86*1.15+2,IF(I86&lt;=80,I86*1.15+4,IF(I86&lt;=150,I86*1.15+6,I86*1.15+8))),
IF(L86="COMPLEMENTO",
   IF(I86&lt;=25,I86*1.25+1.5,IF(I86&lt;=60,I86*1.25+3,IF(I86&lt;=120,I86*1.25+4,I86*1.25+5))),
""))),2)</f>
        <v>144.52000000000001</v>
      </c>
      <c r="I86" s="9">
        <f>($K$2+0.02)*Tabla1[[#This Row],[PRECIO $]]*1.18</f>
        <v>120.45439999999999</v>
      </c>
      <c r="J86" s="7">
        <f>+Tabla1[[#This Row],[PRECIO EN SOLES]]-Tabla1[[#This Row],[PC]]</f>
        <v>24.065600000000018</v>
      </c>
      <c r="K86" s="15"/>
      <c r="L86" s="15" t="str">
        <f t="shared" si="1"/>
        <v>NORMAL</v>
      </c>
    </row>
    <row r="87" spans="1:12" x14ac:dyDescent="0.25">
      <c r="A87" s="3" t="s">
        <v>779</v>
      </c>
      <c r="B87" s="3" t="s">
        <v>780</v>
      </c>
      <c r="C87" s="1">
        <v>20</v>
      </c>
      <c r="D87" s="1">
        <v>9.4</v>
      </c>
      <c r="E87" s="1" t="s">
        <v>783</v>
      </c>
      <c r="F87" s="1" t="s">
        <v>2884</v>
      </c>
      <c r="G87" s="3" t="s">
        <v>2588</v>
      </c>
      <c r="H87" s="11">
        <f>ROUND(
IF(L87="GANCHO",
   IF(I87&lt;=50,I87*1.1+4,IF(I87&lt;=120,I87*1.1+7,IF(I87&lt;=250,I87*1.1+11,I87*1.1+19))),
IF(L87="NORMAL",
   IF(I87&lt;=30,I87*1.15+2,IF(I87&lt;=80,I87*1.15+4,IF(I87&lt;=150,I87*1.15+6,I87*1.15+8))),
IF(L87="COMPLEMENTO",
   IF(I87&lt;=25,I87*1.25+1.5,IF(I87&lt;=60,I87*1.25+3,IF(I87&lt;=120,I87*1.25+4,I87*1.25+5))),
""))),2)</f>
        <v>51.8</v>
      </c>
      <c r="I87" s="9">
        <f>($K$2+0.02)*Tabla1[[#This Row],[PRECIO $]]*1.18</f>
        <v>39.043839999999996</v>
      </c>
      <c r="J87" s="7">
        <f>+Tabla1[[#This Row],[PRECIO EN SOLES]]-Tabla1[[#This Row],[PC]]</f>
        <v>12.756160000000001</v>
      </c>
      <c r="K87" s="15"/>
      <c r="L87" s="15" t="str">
        <f t="shared" si="1"/>
        <v>COMPLEMENTO</v>
      </c>
    </row>
    <row r="88" spans="1:12" x14ac:dyDescent="0.25">
      <c r="A88" s="3" t="s">
        <v>781</v>
      </c>
      <c r="B88" s="3" t="s">
        <v>782</v>
      </c>
      <c r="C88" s="1">
        <v>20</v>
      </c>
      <c r="D88" s="1">
        <v>53.6</v>
      </c>
      <c r="E88" s="1" t="s">
        <v>783</v>
      </c>
      <c r="F88" s="1" t="s">
        <v>2885</v>
      </c>
      <c r="G88" s="3" t="s">
        <v>2589</v>
      </c>
      <c r="H88" s="11">
        <f>ROUND(
IF(L88="GANCHO",
   IF(I88&lt;=50,I88*1.1+4,IF(I88&lt;=120,I88*1.1+7,IF(I88&lt;=250,I88*1.1+11,I88*1.1+19))),
IF(L88="NORMAL",
   IF(I88&lt;=30,I88*1.15+2,IF(I88&lt;=80,I88*1.15+4,IF(I88&lt;=150,I88*1.15+6,I88*1.15+8))),
IF(L88="COMPLEMENTO",
   IF(I88&lt;=25,I88*1.25+1.5,IF(I88&lt;=60,I88*1.25+3,IF(I88&lt;=120,I88*1.25+4,I88*1.25+5))),
""))),2)</f>
        <v>264.02999999999997</v>
      </c>
      <c r="I88" s="9">
        <f>($K$2+0.02)*Tabla1[[#This Row],[PRECIO $]]*1.18</f>
        <v>222.63296</v>
      </c>
      <c r="J88" s="7">
        <f>+Tabla1[[#This Row],[PRECIO EN SOLES]]-Tabla1[[#This Row],[PC]]</f>
        <v>41.397039999999976</v>
      </c>
      <c r="K88" s="15"/>
      <c r="L88" s="15" t="str">
        <f t="shared" si="1"/>
        <v>NORMAL</v>
      </c>
    </row>
    <row r="89" spans="1:12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2886</v>
      </c>
      <c r="G89" s="3" t="s">
        <v>77</v>
      </c>
      <c r="H89" s="11">
        <f>ROUND(
IF(L89="GANCHO",
   IF(I89&lt;=50,I89*1.1+4,IF(I89&lt;=120,I89*1.1+7,IF(I89&lt;=250,I89*1.1+11,I89*1.1+19))),
IF(L89="NORMAL",
   IF(I89&lt;=30,I89*1.15+2,IF(I89&lt;=80,I89*1.15+4,IF(I89&lt;=150,I89*1.15+6,I89*1.15+8))),
IF(L89="COMPLEMENTO",
   IF(I89&lt;=25,I89*1.25+1.5,IF(I89&lt;=60,I89*1.25+3,IF(I89&lt;=120,I89*1.25+4,I89*1.25+5))),
""))),2)</f>
        <v>49.86</v>
      </c>
      <c r="I89" s="9">
        <f>($K$2+0.02)*Tabla1[[#This Row],[PRECIO $]]*1.18</f>
        <v>39.874560000000002</v>
      </c>
      <c r="J89" s="7">
        <f>+Tabla1[[#This Row],[PRECIO EN SOLES]]-Tabla1[[#This Row],[PC]]</f>
        <v>9.985439999999997</v>
      </c>
      <c r="K89" s="15"/>
      <c r="L89" s="15" t="str">
        <f t="shared" si="1"/>
        <v>NORMAL</v>
      </c>
    </row>
    <row r="90" spans="1:12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2887</v>
      </c>
      <c r="G90" s="3" t="s">
        <v>80</v>
      </c>
      <c r="H90" s="11">
        <f>ROUND(
IF(L90="GANCHO",
   IF(I90&lt;=50,I90*1.1+4,IF(I90&lt;=120,I90*1.1+7,IF(I90&lt;=250,I90*1.1+11,I90*1.1+19))),
IF(L90="NORMAL",
   IF(I90&lt;=30,I90*1.15+2,IF(I90&lt;=80,I90*1.15+4,IF(I90&lt;=150,I90*1.15+6,I90*1.15+8))),
IF(L90="COMPLEMENTO",
   IF(I90&lt;=25,I90*1.25+1.5,IF(I90&lt;=60,I90*1.25+3,IF(I90&lt;=120,I90*1.25+4,I90*1.25+5))),
""))),2)</f>
        <v>49.86</v>
      </c>
      <c r="I90" s="9">
        <f>($K$2+0.02)*Tabla1[[#This Row],[PRECIO $]]*1.18</f>
        <v>39.874560000000002</v>
      </c>
      <c r="J90" s="7">
        <f>+Tabla1[[#This Row],[PRECIO EN SOLES]]-Tabla1[[#This Row],[PC]]</f>
        <v>9.985439999999997</v>
      </c>
      <c r="K90" s="15"/>
      <c r="L90" s="15" t="str">
        <f t="shared" si="1"/>
        <v>NORMAL</v>
      </c>
    </row>
    <row r="91" spans="1:12" x14ac:dyDescent="0.25">
      <c r="A91" s="3" t="s">
        <v>81</v>
      </c>
      <c r="B91" s="3" t="s">
        <v>82</v>
      </c>
      <c r="C91" s="1">
        <v>0</v>
      </c>
      <c r="D91" s="1">
        <v>18.399999999999999</v>
      </c>
      <c r="E91" s="1" t="s">
        <v>52</v>
      </c>
      <c r="F91" s="1" t="s">
        <v>2888</v>
      </c>
      <c r="G91" s="3" t="s">
        <v>83</v>
      </c>
      <c r="H91" s="11">
        <f>ROUND(
IF(L91="GANCHO",
   IF(I91&lt;=50,I91*1.1+4,IF(I91&lt;=120,I91*1.1+7,IF(I91&lt;=250,I91*1.1+11,I91*1.1+19))),
IF(L91="NORMAL",
   IF(I91&lt;=30,I91*1.15+2,IF(I91&lt;=80,I91*1.15+4,IF(I91&lt;=150,I91*1.15+6,I91*1.15+8))),
IF(L91="COMPLEMENTO",
   IF(I91&lt;=25,I91*1.25+1.5,IF(I91&lt;=60,I91*1.25+3,IF(I91&lt;=120,I91*1.25+4,I91*1.25+5))),
""))),2)</f>
        <v>91.89</v>
      </c>
      <c r="I91" s="9">
        <f>($K$2+0.02)*Tabla1[[#This Row],[PRECIO $]]*1.18</f>
        <v>76.426239999999993</v>
      </c>
      <c r="J91" s="7">
        <f>+Tabla1[[#This Row],[PRECIO EN SOLES]]-Tabla1[[#This Row],[PC]]</f>
        <v>15.463760000000008</v>
      </c>
      <c r="K91" s="15"/>
      <c r="L91" s="15" t="str">
        <f t="shared" si="1"/>
        <v>NORMAL</v>
      </c>
    </row>
    <row r="92" spans="1:12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2889</v>
      </c>
      <c r="G92" s="3" t="s">
        <v>86</v>
      </c>
      <c r="H92" s="11">
        <f>ROUND(
IF(L92="GANCHO",
   IF(I92&lt;=50,I92*1.1+4,IF(I92&lt;=120,I92*1.1+7,IF(I92&lt;=250,I92*1.1+11,I92*1.1+19))),
IF(L92="NORMAL",
   IF(I92&lt;=30,I92*1.15+2,IF(I92&lt;=80,I92*1.15+4,IF(I92&lt;=150,I92*1.15+6,I92*1.15+8))),
IF(L92="COMPLEMENTO",
   IF(I92&lt;=25,I92*1.25+1.5,IF(I92&lt;=60,I92*1.25+3,IF(I92&lt;=120,I92*1.25+4,I92*1.25+5))),
""))),2)</f>
        <v>91.89</v>
      </c>
      <c r="I92" s="9">
        <f>($K$2+0.02)*Tabla1[[#This Row],[PRECIO $]]*1.18</f>
        <v>76.426239999999993</v>
      </c>
      <c r="J92" s="7">
        <f>+Tabla1[[#This Row],[PRECIO EN SOLES]]-Tabla1[[#This Row],[PC]]</f>
        <v>15.463760000000008</v>
      </c>
      <c r="K92" s="15"/>
      <c r="L92" s="15" t="str">
        <f t="shared" si="1"/>
        <v>NORMAL</v>
      </c>
    </row>
    <row r="93" spans="1:12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2890</v>
      </c>
      <c r="G93" s="3" t="s">
        <v>89</v>
      </c>
      <c r="H93" s="11">
        <f>ROUND(
IF(L93="GANCHO",
   IF(I93&lt;=50,I93*1.1+4,IF(I93&lt;=120,I93*1.1+7,IF(I93&lt;=250,I93*1.1+11,I93*1.1+19))),
IF(L93="NORMAL",
   IF(I93&lt;=30,I93*1.15+2,IF(I93&lt;=80,I93*1.15+4,IF(I93&lt;=150,I93*1.15+6,I93*1.15+8))),
IF(L93="COMPLEMENTO",
   IF(I93&lt;=25,I93*1.25+1.5,IF(I93&lt;=60,I93*1.25+3,IF(I93&lt;=120,I93*1.25+4,I93*1.25+5))),
""))),2)</f>
        <v>91.89</v>
      </c>
      <c r="I93" s="9">
        <f>($K$2+0.02)*Tabla1[[#This Row],[PRECIO $]]*1.18</f>
        <v>76.426239999999993</v>
      </c>
      <c r="J93" s="7">
        <f>+Tabla1[[#This Row],[PRECIO EN SOLES]]-Tabla1[[#This Row],[PC]]</f>
        <v>15.463760000000008</v>
      </c>
      <c r="K93" s="15"/>
      <c r="L93" s="15" t="str">
        <f t="shared" si="1"/>
        <v>NORMAL</v>
      </c>
    </row>
    <row r="94" spans="1:12" x14ac:dyDescent="0.25">
      <c r="A94" s="3" t="s">
        <v>785</v>
      </c>
      <c r="B94" s="3" t="s">
        <v>786</v>
      </c>
      <c r="C94" s="1">
        <v>20</v>
      </c>
      <c r="D94" s="1">
        <v>18.399999999999999</v>
      </c>
      <c r="E94" s="1" t="s">
        <v>52</v>
      </c>
      <c r="F94" s="1" t="s">
        <v>2891</v>
      </c>
      <c r="G94" s="3" t="s">
        <v>787</v>
      </c>
      <c r="H94" s="11">
        <f>ROUND(
IF(L94="GANCHO",
   IF(I94&lt;=50,I94*1.1+4,IF(I94&lt;=120,I94*1.1+7,IF(I94&lt;=250,I94*1.1+11,I94*1.1+19))),
IF(L94="NORMAL",
   IF(I94&lt;=30,I94*1.15+2,IF(I94&lt;=80,I94*1.15+4,IF(I94&lt;=150,I94*1.15+6,I94*1.15+8))),
IF(L94="COMPLEMENTO",
   IF(I94&lt;=25,I94*1.25+1.5,IF(I94&lt;=60,I94*1.25+3,IF(I94&lt;=120,I94*1.25+4,I94*1.25+5))),
""))),2)</f>
        <v>91.89</v>
      </c>
      <c r="I94" s="9">
        <f>($K$2+0.02)*Tabla1[[#This Row],[PRECIO $]]*1.18</f>
        <v>76.426239999999993</v>
      </c>
      <c r="J94" s="7">
        <f>+Tabla1[[#This Row],[PRECIO EN SOLES]]-Tabla1[[#This Row],[PC]]</f>
        <v>15.463760000000008</v>
      </c>
      <c r="K94" s="15"/>
      <c r="L94" s="15" t="str">
        <f t="shared" si="1"/>
        <v>NORMAL</v>
      </c>
    </row>
    <row r="95" spans="1:12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2892</v>
      </c>
      <c r="G95" s="3" t="s">
        <v>92</v>
      </c>
      <c r="H95" s="11">
        <f>ROUND(
IF(L95="GANCHO",
   IF(I95&lt;=50,I95*1.1+4,IF(I95&lt;=120,I95*1.1+7,IF(I95&lt;=250,I95*1.1+11,I95*1.1+19))),
IF(L95="NORMAL",
   IF(I95&lt;=30,I95*1.15+2,IF(I95&lt;=80,I95*1.15+4,IF(I95&lt;=150,I95*1.15+6,I95*1.15+8))),
IF(L95="COMPLEMENTO",
   IF(I95&lt;=25,I95*1.25+1.5,IF(I95&lt;=60,I95*1.25+3,IF(I95&lt;=120,I95*1.25+4,I95*1.25+5))),
""))),2)</f>
        <v>73.260000000000005</v>
      </c>
      <c r="I95" s="9">
        <f>($K$2+0.02)*Tabla1[[#This Row],[PRECIO $]]*1.18</f>
        <v>60.227199999999996</v>
      </c>
      <c r="J95" s="7">
        <f>+Tabla1[[#This Row],[PRECIO EN SOLES]]-Tabla1[[#This Row],[PC]]</f>
        <v>13.032800000000009</v>
      </c>
      <c r="K95" s="15"/>
      <c r="L95" s="15" t="str">
        <f t="shared" si="1"/>
        <v>NORMAL</v>
      </c>
    </row>
    <row r="96" spans="1:12" x14ac:dyDescent="0.25">
      <c r="A96" s="3" t="s">
        <v>788</v>
      </c>
      <c r="B96" s="3" t="s">
        <v>789</v>
      </c>
      <c r="C96" s="1">
        <v>20</v>
      </c>
      <c r="D96" s="1">
        <v>23.4</v>
      </c>
      <c r="E96" s="1" t="s">
        <v>783</v>
      </c>
      <c r="F96" s="1" t="s">
        <v>2893</v>
      </c>
      <c r="G96" s="3" t="s">
        <v>790</v>
      </c>
      <c r="H96" s="11">
        <f>ROUND(
IF(L96="GANCHO",
   IF(I96&lt;=50,I96*1.1+4,IF(I96&lt;=120,I96*1.1+7,IF(I96&lt;=250,I96*1.1+11,I96*1.1+19))),
IF(L96="NORMAL",
   IF(I96&lt;=30,I96*1.15+2,IF(I96&lt;=80,I96*1.15+4,IF(I96&lt;=150,I96*1.15+6,I96*1.15+8))),
IF(L96="COMPLEMENTO",
   IF(I96&lt;=25,I96*1.25+1.5,IF(I96&lt;=60,I96*1.25+3,IF(I96&lt;=120,I96*1.25+4,I96*1.25+5))),
""))),2)</f>
        <v>117.77</v>
      </c>
      <c r="I96" s="9">
        <f>($K$2+0.02)*Tabla1[[#This Row],[PRECIO $]]*1.18</f>
        <v>97.194239999999994</v>
      </c>
      <c r="J96" s="7">
        <f>+Tabla1[[#This Row],[PRECIO EN SOLES]]-Tabla1[[#This Row],[PC]]</f>
        <v>20.575760000000002</v>
      </c>
      <c r="K96" s="15"/>
      <c r="L96" s="15" t="str">
        <f t="shared" si="1"/>
        <v>NORMAL</v>
      </c>
    </row>
    <row r="97" spans="1:12" x14ac:dyDescent="0.25">
      <c r="A97" s="3" t="s">
        <v>791</v>
      </c>
      <c r="B97" s="3" t="s">
        <v>792</v>
      </c>
      <c r="C97" s="1">
        <v>20</v>
      </c>
      <c r="D97" s="1">
        <v>30</v>
      </c>
      <c r="E97" s="1" t="s">
        <v>74</v>
      </c>
      <c r="F97" s="1" t="s">
        <v>2894</v>
      </c>
      <c r="G97" s="3" t="s">
        <v>793</v>
      </c>
      <c r="H97" s="11">
        <f>ROUND(
IF(L97="GANCHO",
   IF(I97&lt;=50,I97*1.1+4,IF(I97&lt;=120,I97*1.1+7,IF(I97&lt;=250,I97*1.1+11,I97*1.1+19))),
IF(L97="NORMAL",
   IF(I97&lt;=30,I97*1.15+2,IF(I97&lt;=80,I97*1.15+4,IF(I97&lt;=150,I97*1.15+6,I97*1.15+8))),
IF(L97="COMPLEMENTO",
   IF(I97&lt;=25,I97*1.25+1.5,IF(I97&lt;=60,I97*1.25+3,IF(I97&lt;=120,I97*1.25+4,I97*1.25+5))),
""))),2)</f>
        <v>149.30000000000001</v>
      </c>
      <c r="I97" s="9">
        <f>($K$2+0.02)*Tabla1[[#This Row],[PRECIO $]]*1.18</f>
        <v>124.60799999999999</v>
      </c>
      <c r="J97" s="7">
        <f>+Tabla1[[#This Row],[PRECIO EN SOLES]]-Tabla1[[#This Row],[PC]]</f>
        <v>24.692000000000021</v>
      </c>
      <c r="K97" s="15"/>
      <c r="L97" s="15" t="str">
        <f t="shared" si="1"/>
        <v>NORMAL</v>
      </c>
    </row>
    <row r="98" spans="1:12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2895</v>
      </c>
      <c r="G98" s="3" t="s">
        <v>96</v>
      </c>
      <c r="H98" s="11">
        <f>ROUND(
IF(L98="GANCHO",
   IF(I98&lt;=50,I98*1.1+4,IF(I98&lt;=120,I98*1.1+7,IF(I98&lt;=250,I98*1.1+11,I98*1.1+19))),
IF(L98="NORMAL",
   IF(I98&lt;=30,I98*1.15+2,IF(I98&lt;=80,I98*1.15+4,IF(I98&lt;=150,I98*1.15+6,I98*1.15+8))),
IF(L98="COMPLEMENTO",
   IF(I98&lt;=25,I98*1.25+1.5,IF(I98&lt;=60,I98*1.25+3,IF(I98&lt;=120,I98*1.25+4,I98*1.25+5))),
""))),2)</f>
        <v>111.09</v>
      </c>
      <c r="I98" s="9">
        <f>($K$2+0.02)*Tabla1[[#This Row],[PRECIO $]]*1.18</f>
        <v>91.379199999999997</v>
      </c>
      <c r="J98" s="7">
        <f>+Tabla1[[#This Row],[PRECIO EN SOLES]]-Tabla1[[#This Row],[PC]]</f>
        <v>19.710800000000006</v>
      </c>
      <c r="K98" s="15"/>
      <c r="L98" s="15" t="str">
        <f t="shared" si="1"/>
        <v>NORMAL</v>
      </c>
    </row>
    <row r="99" spans="1:12" x14ac:dyDescent="0.25">
      <c r="A99" s="3" t="s">
        <v>5686</v>
      </c>
      <c r="B99" s="3" t="s">
        <v>5687</v>
      </c>
      <c r="C99" s="1">
        <v>19</v>
      </c>
      <c r="D99" s="1">
        <v>10.4</v>
      </c>
      <c r="E99" s="1" t="s">
        <v>52</v>
      </c>
      <c r="F99" s="1" t="s">
        <v>5688</v>
      </c>
      <c r="G99" s="3" t="s">
        <v>5689</v>
      </c>
      <c r="H99" s="11">
        <f>ROUND(
IF(L99="GANCHO",
   IF(I99&lt;=50,I99*1.1+4,IF(I99&lt;=120,I99*1.1+7,IF(I99&lt;=250,I99*1.1+11,I99*1.1+19))),
IF(L99="NORMAL",
   IF(I99&lt;=30,I99*1.15+2,IF(I99&lt;=80,I99*1.15+4,IF(I99&lt;=150,I99*1.15+6,I99*1.15+8))),
IF(L99="COMPLEMENTO",
   IF(I99&lt;=25,I99*1.25+1.5,IF(I99&lt;=60,I99*1.25+3,IF(I99&lt;=120,I99*1.25+4,I99*1.25+5))),
""))),2)</f>
        <v>53.68</v>
      </c>
      <c r="I99" s="9">
        <f>($K$2+0.02)*Tabla1[[#This Row],[PRECIO $]]*1.18</f>
        <v>43.19744</v>
      </c>
      <c r="J99" s="7">
        <f>+Tabla1[[#This Row],[PRECIO EN SOLES]]-Tabla1[[#This Row],[PC]]</f>
        <v>10.482559999999999</v>
      </c>
      <c r="K99" s="15"/>
      <c r="L99" s="15" t="str">
        <f t="shared" si="1"/>
        <v>NORMAL</v>
      </c>
    </row>
    <row r="100" spans="1:12" x14ac:dyDescent="0.25">
      <c r="A100" s="3" t="s">
        <v>5690</v>
      </c>
      <c r="B100" s="3" t="s">
        <v>5691</v>
      </c>
      <c r="C100" s="1">
        <v>20</v>
      </c>
      <c r="D100" s="1">
        <v>10.4</v>
      </c>
      <c r="E100" s="1" t="s">
        <v>52</v>
      </c>
      <c r="F100" s="1" t="s">
        <v>5692</v>
      </c>
      <c r="G100" s="3" t="s">
        <v>5693</v>
      </c>
      <c r="H100" s="11">
        <f>ROUND(
IF(L100="GANCHO",
   IF(I100&lt;=50,I100*1.1+4,IF(I100&lt;=120,I100*1.1+7,IF(I100&lt;=250,I100*1.1+11,I100*1.1+19))),
IF(L100="NORMAL",
   IF(I100&lt;=30,I100*1.15+2,IF(I100&lt;=80,I100*1.15+4,IF(I100&lt;=150,I100*1.15+6,I100*1.15+8))),
IF(L100="COMPLEMENTO",
   IF(I100&lt;=25,I100*1.25+1.5,IF(I100&lt;=60,I100*1.25+3,IF(I100&lt;=120,I100*1.25+4,I100*1.25+5))),
""))),2)</f>
        <v>53.68</v>
      </c>
      <c r="I100" s="9">
        <f>($K$2+0.02)*Tabla1[[#This Row],[PRECIO $]]*1.18</f>
        <v>43.19744</v>
      </c>
      <c r="J100" s="7">
        <f>+Tabla1[[#This Row],[PRECIO EN SOLES]]-Tabla1[[#This Row],[PC]]</f>
        <v>10.482559999999999</v>
      </c>
      <c r="K100" s="15"/>
      <c r="L100" s="15" t="str">
        <f t="shared" si="1"/>
        <v>NORMAL</v>
      </c>
    </row>
    <row r="101" spans="1:12" x14ac:dyDescent="0.25">
      <c r="A101" s="3" t="s">
        <v>5694</v>
      </c>
      <c r="B101" s="3" t="s">
        <v>5695</v>
      </c>
      <c r="C101" s="1">
        <v>20</v>
      </c>
      <c r="D101" s="1">
        <v>10.5</v>
      </c>
      <c r="E101" s="1" t="s">
        <v>52</v>
      </c>
      <c r="F101" s="1" t="s">
        <v>5696</v>
      </c>
      <c r="G101" s="3" t="s">
        <v>5697</v>
      </c>
      <c r="H101" s="11">
        <f>ROUND(
IF(L101="GANCHO",
   IF(I101&lt;=50,I101*1.1+4,IF(I101&lt;=120,I101*1.1+7,IF(I101&lt;=250,I101*1.1+11,I101*1.1+19))),
IF(L101="NORMAL",
   IF(I101&lt;=30,I101*1.15+2,IF(I101&lt;=80,I101*1.15+4,IF(I101&lt;=150,I101*1.15+6,I101*1.15+8))),
IF(L101="COMPLEMENTO",
   IF(I101&lt;=25,I101*1.25+1.5,IF(I101&lt;=60,I101*1.25+3,IF(I101&lt;=120,I101*1.25+4,I101*1.25+5))),
""))),2)</f>
        <v>54.15</v>
      </c>
      <c r="I101" s="9">
        <f>($K$2+0.02)*Tabla1[[#This Row],[PRECIO $]]*1.18</f>
        <v>43.6128</v>
      </c>
      <c r="J101" s="7">
        <f>+Tabla1[[#This Row],[PRECIO EN SOLES]]-Tabla1[[#This Row],[PC]]</f>
        <v>10.537199999999999</v>
      </c>
      <c r="K101" s="15"/>
      <c r="L101" s="15" t="str">
        <f t="shared" si="1"/>
        <v>NORMAL</v>
      </c>
    </row>
    <row r="102" spans="1:12" x14ac:dyDescent="0.25">
      <c r="A102" s="3" t="s">
        <v>5698</v>
      </c>
      <c r="B102" s="3" t="s">
        <v>5699</v>
      </c>
      <c r="C102" s="1">
        <v>20</v>
      </c>
      <c r="D102" s="1">
        <v>10.4</v>
      </c>
      <c r="E102" s="1" t="s">
        <v>52</v>
      </c>
      <c r="F102" s="1" t="s">
        <v>5700</v>
      </c>
      <c r="G102" s="3" t="s">
        <v>5701</v>
      </c>
      <c r="H102" s="11">
        <f>ROUND(
IF(L102="GANCHO",
   IF(I102&lt;=50,I102*1.1+4,IF(I102&lt;=120,I102*1.1+7,IF(I102&lt;=250,I102*1.1+11,I102*1.1+19))),
IF(L102="NORMAL",
   IF(I102&lt;=30,I102*1.15+2,IF(I102&lt;=80,I102*1.15+4,IF(I102&lt;=150,I102*1.15+6,I102*1.15+8))),
IF(L102="COMPLEMENTO",
   IF(I102&lt;=25,I102*1.25+1.5,IF(I102&lt;=60,I102*1.25+3,IF(I102&lt;=120,I102*1.25+4,I102*1.25+5))),
""))),2)</f>
        <v>53.68</v>
      </c>
      <c r="I102" s="9">
        <f>($K$2+0.02)*Tabla1[[#This Row],[PRECIO $]]*1.18</f>
        <v>43.19744</v>
      </c>
      <c r="J102" s="7">
        <f>+Tabla1[[#This Row],[PRECIO EN SOLES]]-Tabla1[[#This Row],[PC]]</f>
        <v>10.482559999999999</v>
      </c>
      <c r="K102" s="15"/>
      <c r="L102" s="15" t="str">
        <f t="shared" si="1"/>
        <v>NORMAL</v>
      </c>
    </row>
    <row r="103" spans="1:12" x14ac:dyDescent="0.25">
      <c r="A103" s="3" t="s">
        <v>794</v>
      </c>
      <c r="B103" s="3" t="s">
        <v>795</v>
      </c>
      <c r="C103" s="1">
        <v>3</v>
      </c>
      <c r="D103" s="1">
        <v>19.600000000000001</v>
      </c>
      <c r="E103" s="1" t="s">
        <v>57</v>
      </c>
      <c r="F103" s="1" t="s">
        <v>2896</v>
      </c>
      <c r="G103" s="3"/>
      <c r="H103" s="11">
        <f>ROUND(
IF(L103="GANCHO",
   IF(I103&lt;=50,I103*1.1+4,IF(I103&lt;=120,I103*1.1+7,IF(I103&lt;=250,I103*1.1+11,I103*1.1+19))),
IF(L103="NORMAL",
   IF(I103&lt;=30,I103*1.15+2,IF(I103&lt;=80,I103*1.15+4,IF(I103&lt;=150,I103*1.15+6,I103*1.15+8))),
IF(L103="COMPLEMENTO",
   IF(I103&lt;=25,I103*1.25+1.5,IF(I103&lt;=60,I103*1.25+3,IF(I103&lt;=120,I103*1.25+4,I103*1.25+5))),
""))),2)</f>
        <v>99.62</v>
      </c>
      <c r="I103" s="9">
        <f>($K$2+0.02)*Tabla1[[#This Row],[PRECIO $]]*1.18</f>
        <v>81.410560000000004</v>
      </c>
      <c r="J103" s="7">
        <f>+Tabla1[[#This Row],[PRECIO EN SOLES]]-Tabla1[[#This Row],[PC]]</f>
        <v>18.209440000000001</v>
      </c>
      <c r="K103" s="15"/>
      <c r="L103" s="15" t="str">
        <f t="shared" si="1"/>
        <v>NORMAL</v>
      </c>
    </row>
    <row r="104" spans="1:12" x14ac:dyDescent="0.25">
      <c r="A104" s="3" t="s">
        <v>796</v>
      </c>
      <c r="B104" s="3" t="s">
        <v>797</v>
      </c>
      <c r="C104" s="1">
        <v>1</v>
      </c>
      <c r="D104" s="1">
        <v>13.5</v>
      </c>
      <c r="E104" s="1" t="s">
        <v>798</v>
      </c>
      <c r="F104" s="1" t="s">
        <v>2897</v>
      </c>
      <c r="G104" s="3" t="s">
        <v>799</v>
      </c>
      <c r="H104" s="11">
        <f>ROUND(
IF(L104="GANCHO",
   IF(I104&lt;=50,I104*1.1+4,IF(I104&lt;=120,I104*1.1+7,IF(I104&lt;=250,I104*1.1+11,I104*1.1+19))),
IF(L104="NORMAL",
   IF(I104&lt;=30,I104*1.15+2,IF(I104&lt;=80,I104*1.15+4,IF(I104&lt;=150,I104*1.15+6,I104*1.15+8))),
IF(L104="COMPLEMENTO",
   IF(I104&lt;=25,I104*1.25+1.5,IF(I104&lt;=60,I104*1.25+3,IF(I104&lt;=120,I104*1.25+4,I104*1.25+5))),
""))),2)</f>
        <v>68.48</v>
      </c>
      <c r="I104" s="9">
        <f>($K$2+0.02)*Tabla1[[#This Row],[PRECIO $]]*1.18</f>
        <v>56.073599999999999</v>
      </c>
      <c r="J104" s="7">
        <f>+Tabla1[[#This Row],[PRECIO EN SOLES]]-Tabla1[[#This Row],[PC]]</f>
        <v>12.406400000000005</v>
      </c>
      <c r="K104" s="15"/>
      <c r="L104" s="15" t="str">
        <f t="shared" si="1"/>
        <v>NORMAL</v>
      </c>
    </row>
    <row r="105" spans="1:12" x14ac:dyDescent="0.25">
      <c r="A105" s="3" t="s">
        <v>800</v>
      </c>
      <c r="B105" s="3" t="s">
        <v>801</v>
      </c>
      <c r="C105" s="1">
        <v>20</v>
      </c>
      <c r="D105" s="1">
        <v>11.6</v>
      </c>
      <c r="E105" s="1" t="s">
        <v>52</v>
      </c>
      <c r="F105" s="1" t="s">
        <v>2898</v>
      </c>
      <c r="G105" s="3" t="s">
        <v>802</v>
      </c>
      <c r="H105" s="11">
        <f>ROUND(
IF(L105="GANCHO",
   IF(I105&lt;=50,I105*1.1+4,IF(I105&lt;=120,I105*1.1+7,IF(I105&lt;=250,I105*1.1+11,I105*1.1+19))),
IF(L105="NORMAL",
   IF(I105&lt;=30,I105*1.15+2,IF(I105&lt;=80,I105*1.15+4,IF(I105&lt;=150,I105*1.15+6,I105*1.15+8))),
IF(L105="COMPLEMENTO",
   IF(I105&lt;=25,I105*1.25+1.5,IF(I105&lt;=60,I105*1.25+3,IF(I105&lt;=120,I105*1.25+4,I105*1.25+5))),
""))),2)</f>
        <v>59.41</v>
      </c>
      <c r="I105" s="9">
        <f>($K$2+0.02)*Tabla1[[#This Row],[PRECIO $]]*1.18</f>
        <v>48.181759999999997</v>
      </c>
      <c r="J105" s="7">
        <f>+Tabla1[[#This Row],[PRECIO EN SOLES]]-Tabla1[[#This Row],[PC]]</f>
        <v>11.22824</v>
      </c>
      <c r="K105" s="15"/>
      <c r="L105" s="15" t="str">
        <f t="shared" si="1"/>
        <v>NORMAL</v>
      </c>
    </row>
    <row r="106" spans="1:12" x14ac:dyDescent="0.25">
      <c r="A106" s="3" t="s">
        <v>6038</v>
      </c>
      <c r="B106" s="3" t="s">
        <v>6039</v>
      </c>
      <c r="C106" s="1">
        <v>20</v>
      </c>
      <c r="D106" s="1">
        <v>6.2</v>
      </c>
      <c r="E106" s="1" t="s">
        <v>52</v>
      </c>
      <c r="F106" s="1" t="s">
        <v>6040</v>
      </c>
      <c r="G106" s="3" t="s">
        <v>6041</v>
      </c>
      <c r="H106" s="11">
        <f>ROUND(
IF(L106="GANCHO",
   IF(I106&lt;=50,I106*1.1+4,IF(I106&lt;=120,I106*1.1+7,IF(I106&lt;=250,I106*1.1+11,I106*1.1+19))),
IF(L106="NORMAL",
   IF(I106&lt;=30,I106*1.15+2,IF(I106&lt;=80,I106*1.15+4,IF(I106&lt;=150,I106*1.15+6,I106*1.15+8))),
IF(L106="COMPLEMENTO",
   IF(I106&lt;=25,I106*1.25+1.5,IF(I106&lt;=60,I106*1.25+3,IF(I106&lt;=120,I106*1.25+4,I106*1.25+5))),
""))),2)</f>
        <v>31.62</v>
      </c>
      <c r="I106" s="9">
        <f>($K$2+0.02)*Tabla1[[#This Row],[PRECIO $]]*1.18</f>
        <v>25.752320000000001</v>
      </c>
      <c r="J106" s="7">
        <f>+Tabla1[[#This Row],[PRECIO EN SOLES]]-Tabla1[[#This Row],[PC]]</f>
        <v>5.86768</v>
      </c>
      <c r="K106" s="15"/>
      <c r="L106" s="15" t="str">
        <f t="shared" si="1"/>
        <v>NORMAL</v>
      </c>
    </row>
    <row r="107" spans="1:12" x14ac:dyDescent="0.25">
      <c r="A107" s="3" t="s">
        <v>97</v>
      </c>
      <c r="B107" s="3" t="s">
        <v>98</v>
      </c>
      <c r="C107" s="1">
        <v>20</v>
      </c>
      <c r="D107" s="1">
        <v>41.1</v>
      </c>
      <c r="E107" s="1" t="s">
        <v>52</v>
      </c>
      <c r="F107" s="1" t="s">
        <v>2899</v>
      </c>
      <c r="G107" s="3" t="s">
        <v>4471</v>
      </c>
      <c r="H107" s="11">
        <f>ROUND(
IF(L107="GANCHO",
   IF(I107&lt;=50,I107*1.1+4,IF(I107&lt;=120,I107*1.1+7,IF(I107&lt;=250,I107*1.1+11,I107*1.1+19))),
IF(L107="NORMAL",
   IF(I107&lt;=30,I107*1.15+2,IF(I107&lt;=80,I107*1.15+4,IF(I107&lt;=150,I107*1.15+6,I107*1.15+8))),
IF(L107="COMPLEMENTO",
   IF(I107&lt;=25,I107*1.25+1.5,IF(I107&lt;=60,I107*1.25+3,IF(I107&lt;=120,I107*1.25+4,I107*1.25+5))),
""))),2)</f>
        <v>204.32</v>
      </c>
      <c r="I107" s="9">
        <f>($K$2+0.02)*Tabla1[[#This Row],[PRECIO $]]*1.18</f>
        <v>170.71295999999998</v>
      </c>
      <c r="J107" s="7">
        <f>+Tabla1[[#This Row],[PRECIO EN SOLES]]-Tabla1[[#This Row],[PC]]</f>
        <v>33.607040000000012</v>
      </c>
      <c r="K107" s="15"/>
      <c r="L107" s="15" t="str">
        <f t="shared" si="1"/>
        <v>NORMAL</v>
      </c>
    </row>
    <row r="108" spans="1:12" x14ac:dyDescent="0.25">
      <c r="A108" s="3" t="s">
        <v>99</v>
      </c>
      <c r="B108" s="3" t="s">
        <v>2724</v>
      </c>
      <c r="C108" s="1">
        <v>20</v>
      </c>
      <c r="D108" s="1">
        <v>41.4</v>
      </c>
      <c r="E108" s="1" t="s">
        <v>52</v>
      </c>
      <c r="F108" s="1" t="s">
        <v>2900</v>
      </c>
      <c r="G108" s="3" t="s">
        <v>100</v>
      </c>
      <c r="H108" s="11">
        <f>ROUND(
IF(L108="GANCHO",
   IF(I108&lt;=50,I108*1.1+4,IF(I108&lt;=120,I108*1.1+7,IF(I108&lt;=250,I108*1.1+11,I108*1.1+19))),
IF(L108="NORMAL",
   IF(I108&lt;=30,I108*1.15+2,IF(I108&lt;=80,I108*1.15+4,IF(I108&lt;=150,I108*1.15+6,I108*1.15+8))),
IF(L108="COMPLEMENTO",
   IF(I108&lt;=25,I108*1.25+1.5,IF(I108&lt;=60,I108*1.25+3,IF(I108&lt;=120,I108*1.25+4,I108*1.25+5))),
""))),2)</f>
        <v>205.75</v>
      </c>
      <c r="I108" s="9">
        <f>($K$2+0.02)*Tabla1[[#This Row],[PRECIO $]]*1.18</f>
        <v>171.95903999999999</v>
      </c>
      <c r="J108" s="7">
        <f>+Tabla1[[#This Row],[PRECIO EN SOLES]]-Tabla1[[#This Row],[PC]]</f>
        <v>33.790960000000013</v>
      </c>
      <c r="K108" s="15"/>
      <c r="L108" s="15" t="str">
        <f t="shared" si="1"/>
        <v>NORMAL</v>
      </c>
    </row>
    <row r="109" spans="1:12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2901</v>
      </c>
      <c r="G109" s="3" t="s">
        <v>103</v>
      </c>
      <c r="H109" s="11">
        <f>ROUND(
IF(L109="GANCHO",
   IF(I109&lt;=50,I109*1.1+4,IF(I109&lt;=120,I109*1.1+7,IF(I109&lt;=250,I109*1.1+11,I109*1.1+19))),
IF(L109="NORMAL",
   IF(I109&lt;=30,I109*1.15+2,IF(I109&lt;=80,I109*1.15+4,IF(I109&lt;=150,I109*1.15+6,I109*1.15+8))),
IF(L109="COMPLEMENTO",
   IF(I109&lt;=25,I109*1.25+1.5,IF(I109&lt;=60,I109*1.25+3,IF(I109&lt;=120,I109*1.25+4,I109*1.25+5))),
""))),2)</f>
        <v>125.42</v>
      </c>
      <c r="I109" s="9">
        <f>($K$2+0.02)*Tabla1[[#This Row],[PRECIO $]]*1.18</f>
        <v>103.83999999999999</v>
      </c>
      <c r="J109" s="7">
        <f>+Tabla1[[#This Row],[PRECIO EN SOLES]]-Tabla1[[#This Row],[PC]]</f>
        <v>21.580000000000013</v>
      </c>
      <c r="K109" s="15"/>
      <c r="L109" s="15" t="str">
        <f t="shared" si="1"/>
        <v>NORMAL</v>
      </c>
    </row>
    <row r="110" spans="1:12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2902</v>
      </c>
      <c r="G110" s="3" t="s">
        <v>106</v>
      </c>
      <c r="H110" s="11">
        <f>ROUND(
IF(L110="GANCHO",
   IF(I110&lt;=50,I110*1.1+4,IF(I110&lt;=120,I110*1.1+7,IF(I110&lt;=250,I110*1.1+11,I110*1.1+19))),
IF(L110="NORMAL",
   IF(I110&lt;=30,I110*1.15+2,IF(I110&lt;=80,I110*1.15+4,IF(I110&lt;=150,I110*1.15+6,I110*1.15+8))),
IF(L110="COMPLEMENTO",
   IF(I110&lt;=25,I110*1.25+1.5,IF(I110&lt;=60,I110*1.25+3,IF(I110&lt;=120,I110*1.25+4,I110*1.25+5))),
""))),2)</f>
        <v>125.42</v>
      </c>
      <c r="I110" s="9">
        <f>($K$2+0.02)*Tabla1[[#This Row],[PRECIO $]]*1.18</f>
        <v>103.83999999999999</v>
      </c>
      <c r="J110" s="7">
        <f>+Tabla1[[#This Row],[PRECIO EN SOLES]]-Tabla1[[#This Row],[PC]]</f>
        <v>21.580000000000013</v>
      </c>
      <c r="K110" s="15"/>
      <c r="L110" s="15" t="str">
        <f t="shared" si="1"/>
        <v>NORMAL</v>
      </c>
    </row>
    <row r="111" spans="1:12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2903</v>
      </c>
      <c r="G111" s="3" t="s">
        <v>109</v>
      </c>
      <c r="H111" s="11">
        <f>ROUND(
IF(L111="GANCHO",
   IF(I111&lt;=50,I111*1.1+4,IF(I111&lt;=120,I111*1.1+7,IF(I111&lt;=250,I111*1.1+11,I111*1.1+19))),
IF(L111="NORMAL",
   IF(I111&lt;=30,I111*1.15+2,IF(I111&lt;=80,I111*1.15+4,IF(I111&lt;=150,I111*1.15+6,I111*1.15+8))),
IF(L111="COMPLEMENTO",
   IF(I111&lt;=25,I111*1.25+1.5,IF(I111&lt;=60,I111*1.25+3,IF(I111&lt;=120,I111*1.25+4,I111*1.25+5))),
""))),2)</f>
        <v>125.42</v>
      </c>
      <c r="I111" s="9">
        <f>($K$2+0.02)*Tabla1[[#This Row],[PRECIO $]]*1.18</f>
        <v>103.83999999999999</v>
      </c>
      <c r="J111" s="7">
        <f>+Tabla1[[#This Row],[PRECIO EN SOLES]]-Tabla1[[#This Row],[PC]]</f>
        <v>21.580000000000013</v>
      </c>
      <c r="K111" s="15"/>
      <c r="L111" s="15" t="str">
        <f t="shared" si="1"/>
        <v>NORMAL</v>
      </c>
    </row>
    <row r="112" spans="1:12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2904</v>
      </c>
      <c r="G112" s="3" t="s">
        <v>112</v>
      </c>
      <c r="H112" s="11">
        <f>ROUND(
IF(L112="GANCHO",
   IF(I112&lt;=50,I112*1.1+4,IF(I112&lt;=120,I112*1.1+7,IF(I112&lt;=250,I112*1.1+11,I112*1.1+19))),
IF(L112="NORMAL",
   IF(I112&lt;=30,I112*1.15+2,IF(I112&lt;=80,I112*1.15+4,IF(I112&lt;=150,I112*1.15+6,I112*1.15+8))),
IF(L112="COMPLEMENTO",
   IF(I112&lt;=25,I112*1.25+1.5,IF(I112&lt;=60,I112*1.25+3,IF(I112&lt;=120,I112*1.25+4,I112*1.25+5))),
""))),2)</f>
        <v>125.42</v>
      </c>
      <c r="I112" s="9">
        <f>($K$2+0.02)*Tabla1[[#This Row],[PRECIO $]]*1.18</f>
        <v>103.83999999999999</v>
      </c>
      <c r="J112" s="7">
        <f>+Tabla1[[#This Row],[PRECIO EN SOLES]]-Tabla1[[#This Row],[PC]]</f>
        <v>21.580000000000013</v>
      </c>
      <c r="K112" s="15"/>
      <c r="L112" s="15" t="str">
        <f t="shared" si="1"/>
        <v>NORMAL</v>
      </c>
    </row>
    <row r="113" spans="1:12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2905</v>
      </c>
      <c r="G113" s="3" t="s">
        <v>114</v>
      </c>
      <c r="H113" s="11">
        <f>ROUND(
IF(L113="GANCHO",
   IF(I113&lt;=50,I113*1.1+4,IF(I113&lt;=120,I113*1.1+7,IF(I113&lt;=250,I113*1.1+11,I113*1.1+19))),
IF(L113="NORMAL",
   IF(I113&lt;=30,I113*1.15+2,IF(I113&lt;=80,I113*1.15+4,IF(I113&lt;=150,I113*1.15+6,I113*1.15+8))),
IF(L113="COMPLEMENTO",
   IF(I113&lt;=25,I113*1.25+1.5,IF(I113&lt;=60,I113*1.25+3,IF(I113&lt;=120,I113*1.25+4,I113*1.25+5))),
""))),2)</f>
        <v>125.42</v>
      </c>
      <c r="I113" s="9">
        <f>($K$2+0.02)*Tabla1[[#This Row],[PRECIO $]]*1.18</f>
        <v>103.83999999999999</v>
      </c>
      <c r="J113" s="7">
        <f>+Tabla1[[#This Row],[PRECIO EN SOLES]]-Tabla1[[#This Row],[PC]]</f>
        <v>21.580000000000013</v>
      </c>
      <c r="K113" s="15"/>
      <c r="L113" s="15" t="str">
        <f t="shared" si="1"/>
        <v>NORMAL</v>
      </c>
    </row>
    <row r="114" spans="1:12" x14ac:dyDescent="0.25">
      <c r="A114" s="3" t="s">
        <v>3895</v>
      </c>
      <c r="B114" s="3" t="s">
        <v>4503</v>
      </c>
      <c r="C114" s="1">
        <v>20</v>
      </c>
      <c r="D114" s="1">
        <v>21.2</v>
      </c>
      <c r="E114" s="1" t="s">
        <v>52</v>
      </c>
      <c r="F114" s="1" t="s">
        <v>3937</v>
      </c>
      <c r="G114" s="3" t="s">
        <v>3954</v>
      </c>
      <c r="H114" s="11">
        <f>ROUND(
IF(L114="GANCHO",
   IF(I114&lt;=50,I114*1.1+4,IF(I114&lt;=120,I114*1.1+7,IF(I114&lt;=250,I114*1.1+11,I114*1.1+19))),
IF(L114="NORMAL",
   IF(I114&lt;=30,I114*1.15+2,IF(I114&lt;=80,I114*1.15+4,IF(I114&lt;=150,I114*1.15+6,I114*1.15+8))),
IF(L114="COMPLEMENTO",
   IF(I114&lt;=25,I114*1.25+1.5,IF(I114&lt;=60,I114*1.25+3,IF(I114&lt;=120,I114*1.25+4,I114*1.25+5))),
""))),2)</f>
        <v>107.26</v>
      </c>
      <c r="I114" s="9">
        <f>($K$2+0.02)*Tabla1[[#This Row],[PRECIO $]]*1.18</f>
        <v>88.056319999999985</v>
      </c>
      <c r="J114" s="7">
        <f>+Tabla1[[#This Row],[PRECIO EN SOLES]]-Tabla1[[#This Row],[PC]]</f>
        <v>19.20368000000002</v>
      </c>
      <c r="K114" s="15"/>
      <c r="L114" s="15" t="str">
        <f t="shared" si="1"/>
        <v>NORMAL</v>
      </c>
    </row>
    <row r="115" spans="1:12" x14ac:dyDescent="0.25">
      <c r="A115" s="3" t="s">
        <v>5243</v>
      </c>
      <c r="B115" s="3" t="s">
        <v>5244</v>
      </c>
      <c r="C115" s="1">
        <v>0</v>
      </c>
      <c r="D115" s="1">
        <v>999</v>
      </c>
      <c r="E115" s="1" t="s">
        <v>183</v>
      </c>
      <c r="F115" s="1" t="s">
        <v>5245</v>
      </c>
      <c r="G115" s="3"/>
      <c r="H115" s="11">
        <f>ROUND(
IF(L115="GANCHO",
   IF(I115&lt;=50,I115*1.1+4,IF(I115&lt;=120,I115*1.1+7,IF(I115&lt;=250,I115*1.1+11,I115*1.1+19))),
IF(L115="NORMAL",
   IF(I115&lt;=30,I115*1.15+2,IF(I115&lt;=80,I115*1.15+4,IF(I115&lt;=150,I115*1.15+6,I115*1.15+8))),
IF(L115="COMPLEMENTO",
   IF(I115&lt;=25,I115*1.25+1.5,IF(I115&lt;=60,I115*1.25+3,IF(I115&lt;=120,I115*1.25+4,I115*1.25+5))),
""))),2)</f>
        <v>4779.8599999999997</v>
      </c>
      <c r="I115" s="9">
        <f>($K$2+0.02)*Tabla1[[#This Row],[PRECIO $]]*1.18</f>
        <v>4149.4463999999998</v>
      </c>
      <c r="J115" s="7">
        <f>+Tabla1[[#This Row],[PRECIO EN SOLES]]-Tabla1[[#This Row],[PC]]</f>
        <v>630.41359999999986</v>
      </c>
      <c r="K115" s="15"/>
      <c r="L115" s="15" t="str">
        <f t="shared" si="1"/>
        <v>NORMAL</v>
      </c>
    </row>
    <row r="116" spans="1:12" x14ac:dyDescent="0.25">
      <c r="A116" s="3" t="s">
        <v>803</v>
      </c>
      <c r="B116" s="3" t="s">
        <v>102</v>
      </c>
      <c r="C116" s="1">
        <v>0</v>
      </c>
      <c r="D116" s="1">
        <v>999</v>
      </c>
      <c r="E116" s="1" t="s">
        <v>184</v>
      </c>
      <c r="F116" s="1" t="s">
        <v>2906</v>
      </c>
      <c r="G116" s="3"/>
      <c r="H116" s="11">
        <f>ROUND(
IF(L116="GANCHO",
   IF(I116&lt;=50,I116*1.1+4,IF(I116&lt;=120,I116*1.1+7,IF(I116&lt;=250,I116*1.1+11,I116*1.1+19))),
IF(L116="NORMAL",
   IF(I116&lt;=30,I116*1.15+2,IF(I116&lt;=80,I116*1.15+4,IF(I116&lt;=150,I116*1.15+6,I116*1.15+8))),
IF(L116="COMPLEMENTO",
   IF(I116&lt;=25,I116*1.25+1.5,IF(I116&lt;=60,I116*1.25+3,IF(I116&lt;=120,I116*1.25+4,I116*1.25+5))),
""))),2)</f>
        <v>4779.8599999999997</v>
      </c>
      <c r="I116" s="9">
        <f>($K$2+0.02)*Tabla1[[#This Row],[PRECIO $]]*1.18</f>
        <v>4149.4463999999998</v>
      </c>
      <c r="J116" s="7">
        <f>+Tabla1[[#This Row],[PRECIO EN SOLES]]-Tabla1[[#This Row],[PC]]</f>
        <v>630.41359999999986</v>
      </c>
      <c r="K116" s="15"/>
      <c r="L116" s="15" t="str">
        <f t="shared" si="1"/>
        <v>NORMAL</v>
      </c>
    </row>
    <row r="117" spans="1:12" x14ac:dyDescent="0.25">
      <c r="A117" s="3" t="s">
        <v>5972</v>
      </c>
      <c r="B117" s="3" t="s">
        <v>5973</v>
      </c>
      <c r="C117" s="1">
        <v>20</v>
      </c>
      <c r="D117" s="1">
        <v>347</v>
      </c>
      <c r="E117" s="1" t="s">
        <v>54</v>
      </c>
      <c r="F117" s="1" t="s">
        <v>5974</v>
      </c>
      <c r="G117" s="3" t="s">
        <v>5975</v>
      </c>
      <c r="H117" s="11">
        <f>ROUND(
IF(L117="GANCHO",
   IF(I117&lt;=50,I117*1.1+4,IF(I117&lt;=120,I117*1.1+7,IF(I117&lt;=250,I117*1.1+11,I117*1.1+19))),
IF(L117="NORMAL",
   IF(I117&lt;=30,I117*1.15+2,IF(I117&lt;=80,I117*1.15+4,IF(I117&lt;=150,I117*1.15+6,I117*1.15+8))),
IF(L117="COMPLEMENTO",
   IF(I117&lt;=25,I117*1.25+1.5,IF(I117&lt;=60,I117*1.25+3,IF(I117&lt;=120,I117*1.25+4,I117*1.25+5))),
""))),2)</f>
        <v>1665.49</v>
      </c>
      <c r="I117" s="9">
        <f>($K$2+0.02)*Tabla1[[#This Row],[PRECIO $]]*1.18</f>
        <v>1441.2991999999999</v>
      </c>
      <c r="J117" s="7">
        <f>+Tabla1[[#This Row],[PRECIO EN SOLES]]-Tabla1[[#This Row],[PC]]</f>
        <v>224.19080000000008</v>
      </c>
      <c r="K117" s="15"/>
      <c r="L117" s="15" t="str">
        <f t="shared" si="1"/>
        <v>NORMAL</v>
      </c>
    </row>
    <row r="118" spans="1:12" x14ac:dyDescent="0.25">
      <c r="A118" s="3" t="s">
        <v>804</v>
      </c>
      <c r="B118" s="3" t="s">
        <v>805</v>
      </c>
      <c r="C118" s="1">
        <v>2</v>
      </c>
      <c r="D118" s="1">
        <v>598</v>
      </c>
      <c r="E118" s="1" t="s">
        <v>115</v>
      </c>
      <c r="F118" s="1" t="s">
        <v>2907</v>
      </c>
      <c r="G118" s="3" t="s">
        <v>4215</v>
      </c>
      <c r="H118" s="11">
        <f>ROUND(
IF(L118="GANCHO",
   IF(I118&lt;=50,I118*1.1+4,IF(I118&lt;=120,I118*1.1+7,IF(I118&lt;=250,I118*1.1+11,I118*1.1+19))),
IF(L118="NORMAL",
   IF(I118&lt;=30,I118*1.15+2,IF(I118&lt;=80,I118*1.15+4,IF(I118&lt;=150,I118*1.15+6,I118*1.15+8))),
IF(L118="COMPLEMENTO",
   IF(I118&lt;=25,I118*1.25+1.5,IF(I118&lt;=60,I118*1.25+3,IF(I118&lt;=120,I118*1.25+4,I118*1.25+5))),
""))),2)</f>
        <v>2864.43</v>
      </c>
      <c r="I118" s="9">
        <f>($K$2+0.02)*Tabla1[[#This Row],[PRECIO $]]*1.18</f>
        <v>2483.8528000000001</v>
      </c>
      <c r="J118" s="7">
        <f>+Tabla1[[#This Row],[PRECIO EN SOLES]]-Tabla1[[#This Row],[PC]]</f>
        <v>380.57719999999972</v>
      </c>
      <c r="K118" s="15"/>
      <c r="L118" s="15" t="str">
        <f t="shared" si="1"/>
        <v>NORMAL</v>
      </c>
    </row>
    <row r="119" spans="1:12" x14ac:dyDescent="0.25">
      <c r="A119" s="3" t="s">
        <v>806</v>
      </c>
      <c r="B119" s="3" t="s">
        <v>807</v>
      </c>
      <c r="C119" s="1">
        <v>2</v>
      </c>
      <c r="D119" s="1">
        <v>774</v>
      </c>
      <c r="E119" s="1" t="s">
        <v>115</v>
      </c>
      <c r="F119" s="1" t="s">
        <v>2908</v>
      </c>
      <c r="G119" s="3" t="s">
        <v>808</v>
      </c>
      <c r="H119" s="11">
        <f>ROUND(
IF(L119="GANCHO",
   IF(I119&lt;=50,I119*1.1+4,IF(I119&lt;=120,I119*1.1+7,IF(I119&lt;=250,I119*1.1+11,I119*1.1+19))),
IF(L119="NORMAL",
   IF(I119&lt;=30,I119*1.15+2,IF(I119&lt;=80,I119*1.15+4,IF(I119&lt;=150,I119*1.15+6,I119*1.15+8))),
IF(L119="COMPLEMENTO",
   IF(I119&lt;=25,I119*1.25+1.5,IF(I119&lt;=60,I119*1.25+3,IF(I119&lt;=120,I119*1.25+4,I119*1.25+5))),
""))),2)</f>
        <v>3705.12</v>
      </c>
      <c r="I119" s="9">
        <f>($K$2+0.02)*Tabla1[[#This Row],[PRECIO $]]*1.18</f>
        <v>3214.8863999999999</v>
      </c>
      <c r="J119" s="7">
        <f>+Tabla1[[#This Row],[PRECIO EN SOLES]]-Tabla1[[#This Row],[PC]]</f>
        <v>490.23360000000002</v>
      </c>
      <c r="K119" s="15"/>
      <c r="L119" s="15" t="str">
        <f t="shared" si="1"/>
        <v>NORMAL</v>
      </c>
    </row>
    <row r="120" spans="1:12" x14ac:dyDescent="0.25">
      <c r="A120" s="3" t="s">
        <v>5702</v>
      </c>
      <c r="B120" s="3" t="s">
        <v>5703</v>
      </c>
      <c r="C120" s="1">
        <v>1</v>
      </c>
      <c r="D120" s="1">
        <v>466.5</v>
      </c>
      <c r="E120" s="1" t="s">
        <v>121</v>
      </c>
      <c r="F120" s="1" t="s">
        <v>5704</v>
      </c>
      <c r="G120" s="3" t="s">
        <v>5705</v>
      </c>
      <c r="H120" s="11">
        <f>ROUND(
IF(L120="GANCHO",
   IF(I120&lt;=50,I120*1.1+4,IF(I120&lt;=120,I120*1.1+7,IF(I120&lt;=250,I120*1.1+11,I120*1.1+19))),
IF(L120="NORMAL",
   IF(I120&lt;=30,I120*1.15+2,IF(I120&lt;=80,I120*1.15+4,IF(I120&lt;=150,I120*1.15+6,I120*1.15+8))),
IF(L120="COMPLEMENTO",
   IF(I120&lt;=25,I120*1.25+1.5,IF(I120&lt;=60,I120*1.25+3,IF(I120&lt;=120,I120*1.25+4,I120*1.25+5))),
""))),2)</f>
        <v>2236.3000000000002</v>
      </c>
      <c r="I120" s="9">
        <f>($K$2+0.02)*Tabla1[[#This Row],[PRECIO $]]*1.18</f>
        <v>1937.6543999999999</v>
      </c>
      <c r="J120" s="7">
        <f>+Tabla1[[#This Row],[PRECIO EN SOLES]]-Tabla1[[#This Row],[PC]]</f>
        <v>298.64560000000029</v>
      </c>
      <c r="K120" s="15"/>
      <c r="L120" s="15" t="str">
        <f t="shared" si="1"/>
        <v>NORMAL</v>
      </c>
    </row>
    <row r="121" spans="1:12" x14ac:dyDescent="0.25">
      <c r="A121" s="3" t="s">
        <v>7044</v>
      </c>
      <c r="B121" s="3" t="s">
        <v>7045</v>
      </c>
      <c r="C121" s="1">
        <v>1</v>
      </c>
      <c r="D121" s="1">
        <v>13.5</v>
      </c>
      <c r="E121" s="1" t="s">
        <v>52</v>
      </c>
      <c r="F121" s="1" t="s">
        <v>7046</v>
      </c>
      <c r="G121" s="3" t="s">
        <v>7047</v>
      </c>
      <c r="H121" s="11">
        <f>ROUND(
IF(L121="GANCHO",
   IF(I121&lt;=50,I121*1.1+4,IF(I121&lt;=120,I121*1.1+7,IF(I121&lt;=250,I121*1.1+11,I121*1.1+19))),
IF(L121="NORMAL",
   IF(I121&lt;=30,I121*1.15+2,IF(I121&lt;=80,I121*1.15+4,IF(I121&lt;=150,I121*1.15+6,I121*1.15+8))),
IF(L121="COMPLEMENTO",
   IF(I121&lt;=25,I121*1.25+1.5,IF(I121&lt;=60,I121*1.25+3,IF(I121&lt;=120,I121*1.25+4,I121*1.25+5))),
""))),2)</f>
        <v>68.680000000000007</v>
      </c>
      <c r="I121" s="9">
        <f>($K$2+0.02)*Tabla1[[#This Row],[PRECIO $]]*1.18</f>
        <v>56.073599999999999</v>
      </c>
      <c r="J121" s="7">
        <f>+Tabla1[[#This Row],[PRECIO EN SOLES]]-Tabla1[[#This Row],[PC]]</f>
        <v>12.606400000000008</v>
      </c>
      <c r="K121" s="15"/>
      <c r="L121" s="15" t="str">
        <f t="shared" si="1"/>
        <v>GANCHO</v>
      </c>
    </row>
    <row r="122" spans="1:12" x14ac:dyDescent="0.25">
      <c r="A122" s="3" t="s">
        <v>809</v>
      </c>
      <c r="B122" s="3" t="s">
        <v>810</v>
      </c>
      <c r="C122" s="1">
        <v>20</v>
      </c>
      <c r="D122" s="1">
        <v>47.2</v>
      </c>
      <c r="E122" s="1" t="s">
        <v>783</v>
      </c>
      <c r="F122" s="1" t="s">
        <v>2909</v>
      </c>
      <c r="G122" s="3" t="s">
        <v>3955</v>
      </c>
      <c r="H122" s="11">
        <f>ROUND(
IF(L122="GANCHO",
   IF(I122&lt;=50,I122*1.1+4,IF(I122&lt;=120,I122*1.1+7,IF(I122&lt;=250,I122*1.1+11,I122*1.1+19))),
IF(L122="NORMAL",
   IF(I122&lt;=30,I122*1.15+2,IF(I122&lt;=80,I122*1.15+4,IF(I122&lt;=150,I122*1.15+6,I122*1.15+8))),
IF(L122="COMPLEMENTO",
   IF(I122&lt;=25,I122*1.25+1.5,IF(I122&lt;=60,I122*1.25+3,IF(I122&lt;=120,I122*1.25+4,I122*1.25+5))),
""))),2)</f>
        <v>250.06</v>
      </c>
      <c r="I122" s="9">
        <f>($K$2+0.02)*Tabla1[[#This Row],[PRECIO $]]*1.18</f>
        <v>196.04991999999999</v>
      </c>
      <c r="J122" s="7">
        <f>+Tabla1[[#This Row],[PRECIO EN SOLES]]-Tabla1[[#This Row],[PC]]</f>
        <v>54.010080000000016</v>
      </c>
      <c r="K122" s="15"/>
      <c r="L122" s="15" t="str">
        <f t="shared" si="1"/>
        <v>COMPLEMENTO</v>
      </c>
    </row>
    <row r="123" spans="1:12" x14ac:dyDescent="0.25">
      <c r="A123" s="3" t="s">
        <v>811</v>
      </c>
      <c r="B123" s="3" t="s">
        <v>812</v>
      </c>
      <c r="C123" s="1">
        <v>20</v>
      </c>
      <c r="D123" s="1">
        <v>43.8</v>
      </c>
      <c r="E123" s="1" t="s">
        <v>95</v>
      </c>
      <c r="F123" s="1" t="s">
        <v>2910</v>
      </c>
      <c r="G123" s="3" t="s">
        <v>813</v>
      </c>
      <c r="H123" s="11">
        <f>ROUND(
IF(L123="GANCHO",
   IF(I123&lt;=50,I123*1.1+4,IF(I123&lt;=120,I123*1.1+7,IF(I123&lt;=250,I123*1.1+11,I123*1.1+19))),
IF(L123="NORMAL",
   IF(I123&lt;=30,I123*1.15+2,IF(I123&lt;=80,I123*1.15+4,IF(I123&lt;=150,I123*1.15+6,I123*1.15+8))),
IF(L123="COMPLEMENTO",
   IF(I123&lt;=25,I123*1.25+1.5,IF(I123&lt;=60,I123*1.25+3,IF(I123&lt;=120,I123*1.25+4,I123*1.25+5))),
""))),2)</f>
        <v>217.22</v>
      </c>
      <c r="I123" s="9">
        <f>($K$2+0.02)*Tabla1[[#This Row],[PRECIO $]]*1.18</f>
        <v>181.92767999999998</v>
      </c>
      <c r="J123" s="7">
        <f>+Tabla1[[#This Row],[PRECIO EN SOLES]]-Tabla1[[#This Row],[PC]]</f>
        <v>35.292320000000018</v>
      </c>
      <c r="K123" s="15"/>
      <c r="L123" s="15" t="str">
        <f t="shared" si="1"/>
        <v>NORMAL</v>
      </c>
    </row>
    <row r="124" spans="1:12" x14ac:dyDescent="0.25">
      <c r="A124" s="3" t="s">
        <v>5820</v>
      </c>
      <c r="B124" s="3" t="s">
        <v>5821</v>
      </c>
      <c r="C124" s="1">
        <v>20</v>
      </c>
      <c r="D124" s="1">
        <v>13.2</v>
      </c>
      <c r="E124" s="1" t="s">
        <v>52</v>
      </c>
      <c r="F124" s="1" t="s">
        <v>5822</v>
      </c>
      <c r="G124" s="3" t="s">
        <v>5823</v>
      </c>
      <c r="H124" s="11">
        <f>ROUND(
IF(L124="GANCHO",
   IF(I124&lt;=50,I124*1.1+4,IF(I124&lt;=120,I124*1.1+7,IF(I124&lt;=250,I124*1.1+11,I124*1.1+19))),
IF(L124="NORMAL",
   IF(I124&lt;=30,I124*1.15+2,IF(I124&lt;=80,I124*1.15+4,IF(I124&lt;=150,I124*1.15+6,I124*1.15+8))),
IF(L124="COMPLEMENTO",
   IF(I124&lt;=25,I124*1.25+1.5,IF(I124&lt;=60,I124*1.25+3,IF(I124&lt;=120,I124*1.25+4,I124*1.25+5))),
""))),2)</f>
        <v>71.53</v>
      </c>
      <c r="I124" s="9">
        <f>($K$2+0.02)*Tabla1[[#This Row],[PRECIO $]]*1.18</f>
        <v>54.827519999999993</v>
      </c>
      <c r="J124" s="7">
        <f>+Tabla1[[#This Row],[PRECIO EN SOLES]]-Tabla1[[#This Row],[PC]]</f>
        <v>16.702480000000008</v>
      </c>
      <c r="K124" s="15"/>
      <c r="L124" s="15" t="str">
        <f t="shared" si="1"/>
        <v>COMPLEMENTO</v>
      </c>
    </row>
    <row r="125" spans="1:12" x14ac:dyDescent="0.25">
      <c r="A125" s="3" t="s">
        <v>814</v>
      </c>
      <c r="B125" s="3" t="s">
        <v>815</v>
      </c>
      <c r="C125" s="1">
        <v>20</v>
      </c>
      <c r="D125" s="1">
        <v>26.5</v>
      </c>
      <c r="E125" s="1" t="s">
        <v>52</v>
      </c>
      <c r="F125" s="1" t="s">
        <v>2911</v>
      </c>
      <c r="G125" s="3" t="s">
        <v>816</v>
      </c>
      <c r="H125" s="11">
        <f>ROUND(
IF(L125="GANCHO",
   IF(I125&lt;=50,I125*1.1+4,IF(I125&lt;=120,I125*1.1+7,IF(I125&lt;=250,I125*1.1+11,I125*1.1+19))),
IF(L125="NORMAL",
   IF(I125&lt;=30,I125*1.15+2,IF(I125&lt;=80,I125*1.15+4,IF(I125&lt;=150,I125*1.15+6,I125*1.15+8))),
IF(L125="COMPLEMENTO",
   IF(I125&lt;=25,I125*1.25+1.5,IF(I125&lt;=60,I125*1.25+3,IF(I125&lt;=120,I125*1.25+4,I125*1.25+5))),
""))),2)</f>
        <v>141.59</v>
      </c>
      <c r="I125" s="9">
        <f>($K$2+0.02)*Tabla1[[#This Row],[PRECIO $]]*1.18</f>
        <v>110.07039999999999</v>
      </c>
      <c r="J125" s="7">
        <f>+Tabla1[[#This Row],[PRECIO EN SOLES]]-Tabla1[[#This Row],[PC]]</f>
        <v>31.519600000000011</v>
      </c>
      <c r="K125" s="15"/>
      <c r="L125" s="15" t="str">
        <f t="shared" si="1"/>
        <v>COMPLEMENTO</v>
      </c>
    </row>
    <row r="126" spans="1:12" x14ac:dyDescent="0.25">
      <c r="A126" s="3" t="s">
        <v>6919</v>
      </c>
      <c r="B126" s="3" t="s">
        <v>6920</v>
      </c>
      <c r="C126" s="1">
        <v>14</v>
      </c>
      <c r="D126" s="1">
        <v>5.3</v>
      </c>
      <c r="E126" s="1" t="s">
        <v>52</v>
      </c>
      <c r="F126" s="1" t="s">
        <v>6921</v>
      </c>
      <c r="G126" s="3" t="s">
        <v>6922</v>
      </c>
      <c r="H126" s="11">
        <f>ROUND(
IF(L126="GANCHO",
   IF(I126&lt;=50,I126*1.1+4,IF(I126&lt;=120,I126*1.1+7,IF(I126&lt;=250,I126*1.1+11,I126*1.1+19))),
IF(L126="NORMAL",
   IF(I126&lt;=30,I126*1.15+2,IF(I126&lt;=80,I126*1.15+4,IF(I126&lt;=150,I126*1.15+6,I126*1.15+8))),
IF(L126="COMPLEMENTO",
   IF(I126&lt;=25,I126*1.25+1.5,IF(I126&lt;=60,I126*1.25+3,IF(I126&lt;=120,I126*1.25+4,I126*1.25+5))),
""))),2)</f>
        <v>29.02</v>
      </c>
      <c r="I126" s="9">
        <f>($K$2+0.02)*Tabla1[[#This Row],[PRECIO $]]*1.18</f>
        <v>22.014079999999996</v>
      </c>
      <c r="J126" s="7">
        <f>+Tabla1[[#This Row],[PRECIO EN SOLES]]-Tabla1[[#This Row],[PC]]</f>
        <v>7.0059200000000033</v>
      </c>
      <c r="K126" s="15"/>
      <c r="L126" s="15" t="str">
        <f t="shared" si="1"/>
        <v>COMPLEMENTO</v>
      </c>
    </row>
    <row r="127" spans="1:12" x14ac:dyDescent="0.25">
      <c r="A127" s="3" t="s">
        <v>817</v>
      </c>
      <c r="B127" s="3" t="s">
        <v>818</v>
      </c>
      <c r="C127" s="1">
        <v>20</v>
      </c>
      <c r="D127" s="1">
        <v>5.3</v>
      </c>
      <c r="E127" s="1" t="s">
        <v>52</v>
      </c>
      <c r="F127" s="1" t="s">
        <v>2912</v>
      </c>
      <c r="G127" s="3" t="s">
        <v>819</v>
      </c>
      <c r="H127" s="11">
        <f>ROUND(
IF(L127="GANCHO",
   IF(I127&lt;=50,I127*1.1+4,IF(I127&lt;=120,I127*1.1+7,IF(I127&lt;=250,I127*1.1+11,I127*1.1+19))),
IF(L127="NORMAL",
   IF(I127&lt;=30,I127*1.15+2,IF(I127&lt;=80,I127*1.15+4,IF(I127&lt;=150,I127*1.15+6,I127*1.15+8))),
IF(L127="COMPLEMENTO",
   IF(I127&lt;=25,I127*1.25+1.5,IF(I127&lt;=60,I127*1.25+3,IF(I127&lt;=120,I127*1.25+4,I127*1.25+5))),
""))),2)</f>
        <v>29.02</v>
      </c>
      <c r="I127" s="9">
        <f>($K$2+0.02)*Tabla1[[#This Row],[PRECIO $]]*1.18</f>
        <v>22.014079999999996</v>
      </c>
      <c r="J127" s="7">
        <f>+Tabla1[[#This Row],[PRECIO EN SOLES]]-Tabla1[[#This Row],[PC]]</f>
        <v>7.0059200000000033</v>
      </c>
      <c r="K127" s="15"/>
      <c r="L127" s="15" t="str">
        <f t="shared" si="1"/>
        <v>COMPLEMENTO</v>
      </c>
    </row>
    <row r="128" spans="1:12" x14ac:dyDescent="0.25">
      <c r="A128" s="3" t="s">
        <v>820</v>
      </c>
      <c r="B128" s="3" t="s">
        <v>821</v>
      </c>
      <c r="C128" s="1">
        <v>20</v>
      </c>
      <c r="D128" s="1">
        <v>5.3</v>
      </c>
      <c r="E128" s="1" t="s">
        <v>52</v>
      </c>
      <c r="F128" s="1" t="s">
        <v>2913</v>
      </c>
      <c r="G128" s="3" t="s">
        <v>822</v>
      </c>
      <c r="H128" s="11">
        <f>ROUND(
IF(L128="GANCHO",
   IF(I128&lt;=50,I128*1.1+4,IF(I128&lt;=120,I128*1.1+7,IF(I128&lt;=250,I128*1.1+11,I128*1.1+19))),
IF(L128="NORMAL",
   IF(I128&lt;=30,I128*1.15+2,IF(I128&lt;=80,I128*1.15+4,IF(I128&lt;=150,I128*1.15+6,I128*1.15+8))),
IF(L128="COMPLEMENTO",
   IF(I128&lt;=25,I128*1.25+1.5,IF(I128&lt;=60,I128*1.25+3,IF(I128&lt;=120,I128*1.25+4,I128*1.25+5))),
""))),2)</f>
        <v>29.02</v>
      </c>
      <c r="I128" s="9">
        <f>($K$2+0.02)*Tabla1[[#This Row],[PRECIO $]]*1.18</f>
        <v>22.014079999999996</v>
      </c>
      <c r="J128" s="7">
        <f>+Tabla1[[#This Row],[PRECIO EN SOLES]]-Tabla1[[#This Row],[PC]]</f>
        <v>7.0059200000000033</v>
      </c>
      <c r="K128" s="15"/>
      <c r="L128" s="15" t="str">
        <f t="shared" si="1"/>
        <v>COMPLEMENTO</v>
      </c>
    </row>
    <row r="129" spans="1:12" x14ac:dyDescent="0.25">
      <c r="A129" s="3" t="s">
        <v>823</v>
      </c>
      <c r="B129" s="3" t="s">
        <v>824</v>
      </c>
      <c r="C129" s="1">
        <v>20</v>
      </c>
      <c r="D129" s="1">
        <v>5.3</v>
      </c>
      <c r="E129" s="1" t="s">
        <v>52</v>
      </c>
      <c r="F129" s="1" t="s">
        <v>2914</v>
      </c>
      <c r="G129" s="3" t="s">
        <v>825</v>
      </c>
      <c r="H129" s="11">
        <f>ROUND(
IF(L129="GANCHO",
   IF(I129&lt;=50,I129*1.1+4,IF(I129&lt;=120,I129*1.1+7,IF(I129&lt;=250,I129*1.1+11,I129*1.1+19))),
IF(L129="NORMAL",
   IF(I129&lt;=30,I129*1.15+2,IF(I129&lt;=80,I129*1.15+4,IF(I129&lt;=150,I129*1.15+6,I129*1.15+8))),
IF(L129="COMPLEMENTO",
   IF(I129&lt;=25,I129*1.25+1.5,IF(I129&lt;=60,I129*1.25+3,IF(I129&lt;=120,I129*1.25+4,I129*1.25+5))),
""))),2)</f>
        <v>29.02</v>
      </c>
      <c r="I129" s="9">
        <f>($K$2+0.02)*Tabla1[[#This Row],[PRECIO $]]*1.18</f>
        <v>22.014079999999996</v>
      </c>
      <c r="J129" s="7">
        <f>+Tabla1[[#This Row],[PRECIO EN SOLES]]-Tabla1[[#This Row],[PC]]</f>
        <v>7.0059200000000033</v>
      </c>
      <c r="K129" s="15"/>
      <c r="L129" s="15" t="str">
        <f t="shared" si="1"/>
        <v>COMPLEMENTO</v>
      </c>
    </row>
    <row r="130" spans="1:12" x14ac:dyDescent="0.25">
      <c r="A130" s="3" t="s">
        <v>826</v>
      </c>
      <c r="B130" s="3" t="s">
        <v>824</v>
      </c>
      <c r="C130" s="1">
        <v>0</v>
      </c>
      <c r="D130" s="1">
        <v>999</v>
      </c>
      <c r="E130" s="1" t="s">
        <v>184</v>
      </c>
      <c r="F130" s="1" t="s">
        <v>2915</v>
      </c>
      <c r="G130" s="3"/>
      <c r="H130" s="11">
        <f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5191.8100000000004</v>
      </c>
      <c r="I130" s="9">
        <f>($K$2+0.02)*Tabla1[[#This Row],[PRECIO $]]*1.18</f>
        <v>4149.4463999999998</v>
      </c>
      <c r="J130" s="7">
        <f>+Tabla1[[#This Row],[PRECIO EN SOLES]]-Tabla1[[#This Row],[PC]]</f>
        <v>1042.3636000000006</v>
      </c>
      <c r="K130" s="15"/>
      <c r="L130" s="15" t="str">
        <f t="shared" si="1"/>
        <v>COMPLEMENTO</v>
      </c>
    </row>
    <row r="131" spans="1:12" x14ac:dyDescent="0.25">
      <c r="A131" s="3" t="s">
        <v>6923</v>
      </c>
      <c r="B131" s="3" t="s">
        <v>6924</v>
      </c>
      <c r="C131" s="1">
        <v>0</v>
      </c>
      <c r="D131" s="1">
        <v>1000</v>
      </c>
      <c r="E131" s="1" t="s">
        <v>54</v>
      </c>
      <c r="F131" s="1" t="s">
        <v>6925</v>
      </c>
      <c r="G131" s="3" t="s">
        <v>6926</v>
      </c>
      <c r="H131" s="11">
        <f>ROUND(
IF(L131="GANCHO",
   IF(I131&lt;=50,I131*1.1+4,IF(I131&lt;=120,I131*1.1+7,IF(I131&lt;=250,I131*1.1+11,I131*1.1+19))),
IF(L131="NORMAL",
   IF(I131&lt;=30,I131*1.15+2,IF(I131&lt;=80,I131*1.15+4,IF(I131&lt;=150,I131*1.15+6,I131*1.15+8))),
IF(L131="COMPLEMENTO",
   IF(I131&lt;=25,I131*1.25+1.5,IF(I131&lt;=60,I131*1.25+3,IF(I131&lt;=120,I131*1.25+4,I131*1.25+5))),
""))),2)</f>
        <v>4784.6400000000003</v>
      </c>
      <c r="I131" s="9">
        <f>($K$2+0.02)*Tabla1[[#This Row],[PRECIO $]]*1.18</f>
        <v>4153.5999999999995</v>
      </c>
      <c r="J131" s="7">
        <f>+Tabla1[[#This Row],[PRECIO EN SOLES]]-Tabla1[[#This Row],[PC]]</f>
        <v>631.04000000000087</v>
      </c>
      <c r="K131" s="15"/>
      <c r="L131" s="15" t="str">
        <f t="shared" ref="L131:L194" si="2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565</v>
      </c>
      <c r="B132" s="3" t="s">
        <v>566</v>
      </c>
      <c r="C132" s="1">
        <v>20</v>
      </c>
      <c r="D132" s="1">
        <v>20.7</v>
      </c>
      <c r="E132" s="1" t="s">
        <v>52</v>
      </c>
      <c r="F132" s="1" t="s">
        <v>2916</v>
      </c>
      <c r="G132" s="3" t="s">
        <v>567</v>
      </c>
      <c r="H132" s="11">
        <f>ROUND(
IF(L132="GANCHO",
   IF(I132&lt;=50,I132*1.1+4,IF(I132&lt;=120,I132*1.1+7,IF(I132&lt;=250,I132*1.1+11,I132*1.1+19))),
IF(L132="NORMAL",
   IF(I132&lt;=30,I132*1.15+2,IF(I132&lt;=80,I132*1.15+4,IF(I132&lt;=150,I132*1.15+6,I132*1.15+8))),
IF(L132="COMPLEMENTO",
   IF(I132&lt;=25,I132*1.25+1.5,IF(I132&lt;=60,I132*1.25+3,IF(I132&lt;=120,I132*1.25+4,I132*1.25+5))),
""))),2)</f>
        <v>104.88</v>
      </c>
      <c r="I132" s="9">
        <f>($K$2+0.02)*Tabla1[[#This Row],[PRECIO $]]*1.18</f>
        <v>85.979519999999994</v>
      </c>
      <c r="J132" s="7">
        <f>+Tabla1[[#This Row],[PRECIO EN SOLES]]-Tabla1[[#This Row],[PC]]</f>
        <v>18.900480000000002</v>
      </c>
      <c r="K132" s="15"/>
      <c r="L132" s="15" t="str">
        <f t="shared" si="2"/>
        <v>NORMAL</v>
      </c>
    </row>
    <row r="133" spans="1:12" x14ac:dyDescent="0.25">
      <c r="A133" s="3" t="s">
        <v>116</v>
      </c>
      <c r="B133" s="3" t="s">
        <v>117</v>
      </c>
      <c r="C133" s="1">
        <v>20</v>
      </c>
      <c r="D133" s="1">
        <v>20.7</v>
      </c>
      <c r="E133" s="1" t="s">
        <v>52</v>
      </c>
      <c r="F133" s="1" t="s">
        <v>2917</v>
      </c>
      <c r="G133" s="3" t="s">
        <v>2590</v>
      </c>
      <c r="H133" s="11">
        <f>ROUND(
IF(L133="GANCHO",
   IF(I133&lt;=50,I133*1.1+4,IF(I133&lt;=120,I133*1.1+7,IF(I133&lt;=250,I133*1.1+11,I133*1.1+19))),
IF(L133="NORMAL",
   IF(I133&lt;=30,I133*1.15+2,IF(I133&lt;=80,I133*1.15+4,IF(I133&lt;=150,I133*1.15+6,I133*1.15+8))),
IF(L133="COMPLEMENTO",
   IF(I133&lt;=25,I133*1.25+1.5,IF(I133&lt;=60,I133*1.25+3,IF(I133&lt;=120,I133*1.25+4,I133*1.25+5))),
""))),2)</f>
        <v>104.88</v>
      </c>
      <c r="I133" s="9">
        <f>($K$2+0.02)*Tabla1[[#This Row],[PRECIO $]]*1.18</f>
        <v>85.979519999999994</v>
      </c>
      <c r="J133" s="7">
        <f>+Tabla1[[#This Row],[PRECIO EN SOLES]]-Tabla1[[#This Row],[PC]]</f>
        <v>18.900480000000002</v>
      </c>
      <c r="K133" s="15"/>
      <c r="L133" s="15" t="str">
        <f t="shared" si="2"/>
        <v>NORMAL</v>
      </c>
    </row>
    <row r="134" spans="1:12" x14ac:dyDescent="0.25">
      <c r="A134" s="3" t="s">
        <v>118</v>
      </c>
      <c r="B134" s="3" t="s">
        <v>119</v>
      </c>
      <c r="C134" s="1">
        <v>20</v>
      </c>
      <c r="D134" s="1">
        <v>22.5</v>
      </c>
      <c r="E134" s="1" t="s">
        <v>52</v>
      </c>
      <c r="F134" s="1" t="s">
        <v>2918</v>
      </c>
      <c r="G134" s="3" t="s">
        <v>120</v>
      </c>
      <c r="H134" s="11">
        <f>ROUND(
IF(L134="GANCHO",
   IF(I134&lt;=50,I134*1.1+4,IF(I134&lt;=120,I134*1.1+7,IF(I134&lt;=250,I134*1.1+11,I134*1.1+19))),
IF(L134="NORMAL",
   IF(I134&lt;=30,I134*1.15+2,IF(I134&lt;=80,I134*1.15+4,IF(I134&lt;=150,I134*1.15+6,I134*1.15+8))),
IF(L134="COMPLEMENTO",
   IF(I134&lt;=25,I134*1.25+1.5,IF(I134&lt;=60,I134*1.25+3,IF(I134&lt;=120,I134*1.25+4,I134*1.25+5))),
""))),2)</f>
        <v>113.47</v>
      </c>
      <c r="I134" s="9">
        <f>($K$2+0.02)*Tabla1[[#This Row],[PRECIO $]]*1.18</f>
        <v>93.456000000000003</v>
      </c>
      <c r="J134" s="7">
        <f>+Tabla1[[#This Row],[PRECIO EN SOLES]]-Tabla1[[#This Row],[PC]]</f>
        <v>20.013999999999996</v>
      </c>
      <c r="K134" s="15"/>
      <c r="L134" s="15" t="str">
        <f t="shared" si="2"/>
        <v>NORMAL</v>
      </c>
    </row>
    <row r="135" spans="1:12" x14ac:dyDescent="0.25">
      <c r="A135" s="3" t="s">
        <v>827</v>
      </c>
      <c r="B135" s="3" t="s">
        <v>828</v>
      </c>
      <c r="C135" s="1">
        <v>20</v>
      </c>
      <c r="D135" s="1">
        <v>31</v>
      </c>
      <c r="E135" s="1" t="s">
        <v>52</v>
      </c>
      <c r="F135" s="1" t="s">
        <v>2919</v>
      </c>
      <c r="G135" s="3" t="s">
        <v>2579</v>
      </c>
      <c r="H135" s="11">
        <f>ROUND(
IF(L135="GANCHO",
   IF(I135&lt;=50,I135*1.1+4,IF(I135&lt;=120,I135*1.1+7,IF(I135&lt;=250,I135*1.1+11,I135*1.1+19))),
IF(L135="NORMAL",
   IF(I135&lt;=30,I135*1.15+2,IF(I135&lt;=80,I135*1.15+4,IF(I135&lt;=150,I135*1.15+6,I135*1.15+8))),
IF(L135="COMPLEMENTO",
   IF(I135&lt;=25,I135*1.25+1.5,IF(I135&lt;=60,I135*1.25+3,IF(I135&lt;=120,I135*1.25+4,I135*1.25+5))),
""))),2)</f>
        <v>154.08000000000001</v>
      </c>
      <c r="I135" s="9">
        <f>($K$2+0.02)*Tabla1[[#This Row],[PRECIO $]]*1.18</f>
        <v>128.76159999999999</v>
      </c>
      <c r="J135" s="7">
        <f>+Tabla1[[#This Row],[PRECIO EN SOLES]]-Tabla1[[#This Row],[PC]]</f>
        <v>25.318400000000025</v>
      </c>
      <c r="K135" s="15"/>
      <c r="L135" s="15" t="str">
        <f t="shared" si="2"/>
        <v>NORMAL</v>
      </c>
    </row>
    <row r="136" spans="1:12" x14ac:dyDescent="0.25">
      <c r="A136" s="3" t="s">
        <v>829</v>
      </c>
      <c r="B136" s="3" t="s">
        <v>830</v>
      </c>
      <c r="C136" s="1">
        <v>1</v>
      </c>
      <c r="D136" s="1">
        <v>81</v>
      </c>
      <c r="E136" s="1" t="s">
        <v>121</v>
      </c>
      <c r="F136" s="1" t="s">
        <v>2920</v>
      </c>
      <c r="G136" s="3" t="s">
        <v>831</v>
      </c>
      <c r="H136" s="11">
        <f>ROUND(
IF(L136="GANCHO",
   IF(I136&lt;=50,I136*1.1+4,IF(I136&lt;=120,I136*1.1+7,IF(I136&lt;=250,I136*1.1+11,I136*1.1+19))),
IF(L136="NORMAL",
   IF(I136&lt;=30,I136*1.15+2,IF(I136&lt;=80,I136*1.15+4,IF(I136&lt;=150,I136*1.15+6,I136*1.15+8))),
IF(L136="COMPLEMENTO",
   IF(I136&lt;=25,I136*1.25+1.5,IF(I136&lt;=60,I136*1.25+3,IF(I136&lt;=120,I136*1.25+4,I136*1.25+5))),
""))),2)</f>
        <v>394.91</v>
      </c>
      <c r="I136" s="9">
        <f>($K$2+0.02)*Tabla1[[#This Row],[PRECIO $]]*1.18</f>
        <v>336.44159999999999</v>
      </c>
      <c r="J136" s="7">
        <f>+Tabla1[[#This Row],[PRECIO EN SOLES]]-Tabla1[[#This Row],[PC]]</f>
        <v>58.468400000000031</v>
      </c>
      <c r="K136" s="15"/>
      <c r="L136" s="15" t="str">
        <f t="shared" si="2"/>
        <v>NORMAL</v>
      </c>
    </row>
    <row r="137" spans="1:12" x14ac:dyDescent="0.25">
      <c r="A137" s="3" t="s">
        <v>4074</v>
      </c>
      <c r="B137" s="3" t="s">
        <v>4075</v>
      </c>
      <c r="C137" s="1">
        <v>20</v>
      </c>
      <c r="D137" s="1">
        <v>50.5</v>
      </c>
      <c r="E137" s="1" t="s">
        <v>2821</v>
      </c>
      <c r="F137" s="1" t="s">
        <v>4076</v>
      </c>
      <c r="G137" s="3" t="s">
        <v>4504</v>
      </c>
      <c r="H137" s="11">
        <f>ROUND(
IF(L137="GANCHO",
   IF(I137&lt;=50,I137*1.1+4,IF(I137&lt;=120,I137*1.1+7,IF(I137&lt;=250,I137*1.1+11,I137*1.1+19))),
IF(L137="NORMAL",
   IF(I137&lt;=30,I137*1.15+2,IF(I137&lt;=80,I137*1.15+4,IF(I137&lt;=150,I137*1.15+6,I137*1.15+8))),
IF(L137="COMPLEMENTO",
   IF(I137&lt;=25,I137*1.25+1.5,IF(I137&lt;=60,I137*1.25+3,IF(I137&lt;=120,I137*1.25+4,I137*1.25+5))),
""))),2)</f>
        <v>249.22</v>
      </c>
      <c r="I137" s="9">
        <f>($K$2+0.02)*Tabla1[[#This Row],[PRECIO $]]*1.18</f>
        <v>209.75679999999997</v>
      </c>
      <c r="J137" s="7">
        <f>+Tabla1[[#This Row],[PRECIO EN SOLES]]-Tabla1[[#This Row],[PC]]</f>
        <v>39.463200000000029</v>
      </c>
      <c r="K137" s="15"/>
      <c r="L137" s="15" t="str">
        <f t="shared" si="2"/>
        <v>NORMAL</v>
      </c>
    </row>
    <row r="138" spans="1:12" x14ac:dyDescent="0.25">
      <c r="A138" s="3" t="s">
        <v>124</v>
      </c>
      <c r="B138" s="3" t="s">
        <v>125</v>
      </c>
      <c r="C138" s="1">
        <v>20</v>
      </c>
      <c r="D138" s="1">
        <v>17.5</v>
      </c>
      <c r="E138" s="1" t="s">
        <v>52</v>
      </c>
      <c r="F138" s="1" t="s">
        <v>2921</v>
      </c>
      <c r="G138" s="3" t="s">
        <v>126</v>
      </c>
      <c r="H138" s="11">
        <f>ROUND(
IF(L138="GANCHO",
   IF(I138&lt;=50,I138*1.1+4,IF(I138&lt;=120,I138*1.1+7,IF(I138&lt;=250,I138*1.1+11,I138*1.1+19))),
IF(L138="NORMAL",
   IF(I138&lt;=30,I138*1.15+2,IF(I138&lt;=80,I138*1.15+4,IF(I138&lt;=150,I138*1.15+6,I138*1.15+8))),
IF(L138="COMPLEMENTO",
   IF(I138&lt;=25,I138*1.25+1.5,IF(I138&lt;=60,I138*1.25+3,IF(I138&lt;=120,I138*1.25+4,I138*1.25+5))),
""))),2)</f>
        <v>87.59</v>
      </c>
      <c r="I138" s="9">
        <f>($K$2+0.02)*Tabla1[[#This Row],[PRECIO $]]*1.18</f>
        <v>72.688000000000002</v>
      </c>
      <c r="J138" s="7">
        <f>+Tabla1[[#This Row],[PRECIO EN SOLES]]-Tabla1[[#This Row],[PC]]</f>
        <v>14.902000000000001</v>
      </c>
      <c r="K138" s="15"/>
      <c r="L138" s="15" t="str">
        <f t="shared" si="2"/>
        <v>NORMAL</v>
      </c>
    </row>
    <row r="139" spans="1:12" x14ac:dyDescent="0.25">
      <c r="A139" s="3" t="s">
        <v>127</v>
      </c>
      <c r="B139" s="3" t="s">
        <v>128</v>
      </c>
      <c r="C139" s="1">
        <v>20</v>
      </c>
      <c r="D139" s="1">
        <v>17.5</v>
      </c>
      <c r="E139" s="1" t="s">
        <v>52</v>
      </c>
      <c r="F139" s="1" t="s">
        <v>2922</v>
      </c>
      <c r="G139" s="3" t="s">
        <v>129</v>
      </c>
      <c r="H139" s="11">
        <f>ROUND(
IF(L139="GANCHO",
   IF(I139&lt;=50,I139*1.1+4,IF(I139&lt;=120,I139*1.1+7,IF(I139&lt;=250,I139*1.1+11,I139*1.1+19))),
IF(L139="NORMAL",
   IF(I139&lt;=30,I139*1.15+2,IF(I139&lt;=80,I139*1.15+4,IF(I139&lt;=150,I139*1.15+6,I139*1.15+8))),
IF(L139="COMPLEMENTO",
   IF(I139&lt;=25,I139*1.25+1.5,IF(I139&lt;=60,I139*1.25+3,IF(I139&lt;=120,I139*1.25+4,I139*1.25+5))),
""))),2)</f>
        <v>87.59</v>
      </c>
      <c r="I139" s="9">
        <f>($K$2+0.02)*Tabla1[[#This Row],[PRECIO $]]*1.18</f>
        <v>72.688000000000002</v>
      </c>
      <c r="J139" s="7">
        <f>+Tabla1[[#This Row],[PRECIO EN SOLES]]-Tabla1[[#This Row],[PC]]</f>
        <v>14.902000000000001</v>
      </c>
      <c r="K139" s="15"/>
      <c r="L139" s="15" t="str">
        <f t="shared" si="2"/>
        <v>NORMAL</v>
      </c>
    </row>
    <row r="140" spans="1:12" x14ac:dyDescent="0.25">
      <c r="A140" s="3" t="s">
        <v>130</v>
      </c>
      <c r="B140" s="3" t="s">
        <v>131</v>
      </c>
      <c r="C140" s="1">
        <v>20</v>
      </c>
      <c r="D140" s="1">
        <v>17.5</v>
      </c>
      <c r="E140" s="1" t="s">
        <v>52</v>
      </c>
      <c r="F140" s="1" t="s">
        <v>2923</v>
      </c>
      <c r="G140" s="3" t="s">
        <v>132</v>
      </c>
      <c r="H140" s="11">
        <f>ROUND(
IF(L140="GANCHO",
   IF(I140&lt;=50,I140*1.1+4,IF(I140&lt;=120,I140*1.1+7,IF(I140&lt;=250,I140*1.1+11,I140*1.1+19))),
IF(L140="NORMAL",
   IF(I140&lt;=30,I140*1.15+2,IF(I140&lt;=80,I140*1.15+4,IF(I140&lt;=150,I140*1.15+6,I140*1.15+8))),
IF(L140="COMPLEMENTO",
   IF(I140&lt;=25,I140*1.25+1.5,IF(I140&lt;=60,I140*1.25+3,IF(I140&lt;=120,I140*1.25+4,I140*1.25+5))),
""))),2)</f>
        <v>87.59</v>
      </c>
      <c r="I140" s="9">
        <f>($K$2+0.02)*Tabla1[[#This Row],[PRECIO $]]*1.18</f>
        <v>72.688000000000002</v>
      </c>
      <c r="J140" s="7">
        <f>+Tabla1[[#This Row],[PRECIO EN SOLES]]-Tabla1[[#This Row],[PC]]</f>
        <v>14.902000000000001</v>
      </c>
      <c r="K140" s="15"/>
      <c r="L140" s="15" t="str">
        <f t="shared" si="2"/>
        <v>NORMAL</v>
      </c>
    </row>
    <row r="141" spans="1:12" x14ac:dyDescent="0.25">
      <c r="A141" s="3" t="s">
        <v>5824</v>
      </c>
      <c r="B141" s="3" t="s">
        <v>5825</v>
      </c>
      <c r="C141" s="1">
        <v>20</v>
      </c>
      <c r="D141" s="1">
        <v>25.9</v>
      </c>
      <c r="E141" s="1" t="s">
        <v>52</v>
      </c>
      <c r="F141" s="1" t="s">
        <v>5826</v>
      </c>
      <c r="G141" s="3" t="s">
        <v>5827</v>
      </c>
      <c r="H141" s="11">
        <f>ROUND(
IF(L141="GANCHO",
   IF(I141&lt;=50,I141*1.1+4,IF(I141&lt;=120,I141*1.1+7,IF(I141&lt;=250,I141*1.1+11,I141*1.1+19))),
IF(L141="NORMAL",
   IF(I141&lt;=30,I141*1.15+2,IF(I141&lt;=80,I141*1.15+4,IF(I141&lt;=150,I141*1.15+6,I141*1.15+8))),
IF(L141="COMPLEMENTO",
   IF(I141&lt;=25,I141*1.25+1.5,IF(I141&lt;=60,I141*1.25+3,IF(I141&lt;=120,I141*1.25+4,I141*1.25+5))),
""))),2)</f>
        <v>129.71</v>
      </c>
      <c r="I141" s="9">
        <f>($K$2+0.02)*Tabla1[[#This Row],[PRECIO $]]*1.18</f>
        <v>107.57823999999998</v>
      </c>
      <c r="J141" s="7">
        <f>+Tabla1[[#This Row],[PRECIO EN SOLES]]-Tabla1[[#This Row],[PC]]</f>
        <v>22.131760000000028</v>
      </c>
      <c r="K141" s="15"/>
      <c r="L141" s="15" t="str">
        <f t="shared" si="2"/>
        <v>NORMAL</v>
      </c>
    </row>
    <row r="142" spans="1:12" x14ac:dyDescent="0.25">
      <c r="A142" s="3" t="s">
        <v>133</v>
      </c>
      <c r="B142" s="3" t="s">
        <v>134</v>
      </c>
      <c r="C142" s="1">
        <v>20</v>
      </c>
      <c r="D142" s="1">
        <v>25.9</v>
      </c>
      <c r="E142" s="1" t="s">
        <v>52</v>
      </c>
      <c r="F142" s="1" t="s">
        <v>2924</v>
      </c>
      <c r="G142" s="3" t="s">
        <v>2580</v>
      </c>
      <c r="H142" s="11">
        <f>ROUND(
IF(L142="GANCHO",
   IF(I142&lt;=50,I142*1.1+4,IF(I142&lt;=120,I142*1.1+7,IF(I142&lt;=250,I142*1.1+11,I142*1.1+19))),
IF(L142="NORMAL",
   IF(I142&lt;=30,I142*1.15+2,IF(I142&lt;=80,I142*1.15+4,IF(I142&lt;=150,I142*1.15+6,I142*1.15+8))),
IF(L142="COMPLEMENTO",
   IF(I142&lt;=25,I142*1.25+1.5,IF(I142&lt;=60,I142*1.25+3,IF(I142&lt;=120,I142*1.25+4,I142*1.25+5))),
""))),2)</f>
        <v>129.71</v>
      </c>
      <c r="I142" s="9">
        <f>($K$2+0.02)*Tabla1[[#This Row],[PRECIO $]]*1.18</f>
        <v>107.57823999999998</v>
      </c>
      <c r="J142" s="7">
        <f>+Tabla1[[#This Row],[PRECIO EN SOLES]]-Tabla1[[#This Row],[PC]]</f>
        <v>22.131760000000028</v>
      </c>
      <c r="K142" s="15"/>
      <c r="L142" s="15" t="str">
        <f t="shared" si="2"/>
        <v>NORMAL</v>
      </c>
    </row>
    <row r="143" spans="1:12" x14ac:dyDescent="0.25">
      <c r="A143" s="3" t="s">
        <v>6927</v>
      </c>
      <c r="B143" s="3" t="s">
        <v>6928</v>
      </c>
      <c r="C143" s="1">
        <v>10</v>
      </c>
      <c r="D143" s="1">
        <v>28.3</v>
      </c>
      <c r="E143" s="1" t="s">
        <v>52</v>
      </c>
      <c r="F143" s="1" t="s">
        <v>6929</v>
      </c>
      <c r="G143" s="3" t="s">
        <v>6930</v>
      </c>
      <c r="H143" s="11">
        <f>ROUND(
IF(L143="GANCHO",
   IF(I143&lt;=50,I143*1.1+4,IF(I143&lt;=120,I143*1.1+7,IF(I143&lt;=250,I143*1.1+11,I143*1.1+19))),
IF(L143="NORMAL",
   IF(I143&lt;=30,I143*1.15+2,IF(I143&lt;=80,I143*1.15+4,IF(I143&lt;=150,I143*1.15+6,I143*1.15+8))),
IF(L143="COMPLEMENTO",
   IF(I143&lt;=25,I143*1.25+1.5,IF(I143&lt;=60,I143*1.25+3,IF(I143&lt;=120,I143*1.25+4,I143*1.25+5))),
""))),2)</f>
        <v>141.18</v>
      </c>
      <c r="I143" s="9">
        <f>($K$2+0.02)*Tabla1[[#This Row],[PRECIO $]]*1.18</f>
        <v>117.54687999999999</v>
      </c>
      <c r="J143" s="7">
        <f>+Tabla1[[#This Row],[PRECIO EN SOLES]]-Tabla1[[#This Row],[PC]]</f>
        <v>23.633120000000019</v>
      </c>
      <c r="K143" s="15"/>
      <c r="L143" s="15" t="str">
        <f t="shared" si="2"/>
        <v>NORMAL</v>
      </c>
    </row>
    <row r="144" spans="1:12" x14ac:dyDescent="0.25">
      <c r="A144" s="3" t="s">
        <v>832</v>
      </c>
      <c r="B144" s="3" t="s">
        <v>833</v>
      </c>
      <c r="C144" s="1">
        <v>20</v>
      </c>
      <c r="D144" s="1">
        <v>28</v>
      </c>
      <c r="E144" s="1" t="s">
        <v>52</v>
      </c>
      <c r="F144" s="1" t="s">
        <v>2925</v>
      </c>
      <c r="G144" s="3" t="s">
        <v>834</v>
      </c>
      <c r="H144" s="11">
        <f>ROUND(
IF(L144="GANCHO",
   IF(I144&lt;=50,I144*1.1+4,IF(I144&lt;=120,I144*1.1+7,IF(I144&lt;=250,I144*1.1+11,I144*1.1+19))),
IF(L144="NORMAL",
   IF(I144&lt;=30,I144*1.15+2,IF(I144&lt;=80,I144*1.15+4,IF(I144&lt;=150,I144*1.15+6,I144*1.15+8))),
IF(L144="COMPLEMENTO",
   IF(I144&lt;=25,I144*1.25+1.5,IF(I144&lt;=60,I144*1.25+3,IF(I144&lt;=120,I144*1.25+4,I144*1.25+5))),
""))),2)</f>
        <v>139.75</v>
      </c>
      <c r="I144" s="9">
        <f>($K$2+0.02)*Tabla1[[#This Row],[PRECIO $]]*1.18</f>
        <v>116.3008</v>
      </c>
      <c r="J144" s="7">
        <f>+Tabla1[[#This Row],[PRECIO EN SOLES]]-Tabla1[[#This Row],[PC]]</f>
        <v>23.449200000000005</v>
      </c>
      <c r="K144" s="15"/>
      <c r="L144" s="15" t="str">
        <f t="shared" si="2"/>
        <v>NORMAL</v>
      </c>
    </row>
    <row r="145" spans="1:12" x14ac:dyDescent="0.25">
      <c r="A145" s="3" t="s">
        <v>4817</v>
      </c>
      <c r="B145" s="3" t="s">
        <v>4818</v>
      </c>
      <c r="C145" s="1">
        <v>1</v>
      </c>
      <c r="D145" s="1">
        <v>30.3</v>
      </c>
      <c r="E145" s="1" t="s">
        <v>52</v>
      </c>
      <c r="F145" s="1" t="s">
        <v>4819</v>
      </c>
      <c r="G145" s="3" t="s">
        <v>4820</v>
      </c>
      <c r="H145" s="11">
        <f>ROUND(
IF(L145="GANCHO",
   IF(I145&lt;=50,I145*1.1+4,IF(I145&lt;=120,I145*1.1+7,IF(I145&lt;=250,I145*1.1+11,I145*1.1+19))),
IF(L145="NORMAL",
   IF(I145&lt;=30,I145*1.15+2,IF(I145&lt;=80,I145*1.15+4,IF(I145&lt;=150,I145*1.15+6,I145*1.15+8))),
IF(L145="COMPLEMENTO",
   IF(I145&lt;=25,I145*1.25+1.5,IF(I145&lt;=60,I145*1.25+3,IF(I145&lt;=120,I145*1.25+4,I145*1.25+5))),
""))),2)</f>
        <v>150.72999999999999</v>
      </c>
      <c r="I145" s="9">
        <f>($K$2+0.02)*Tabla1[[#This Row],[PRECIO $]]*1.18</f>
        <v>125.85408</v>
      </c>
      <c r="J145" s="7">
        <f>+Tabla1[[#This Row],[PRECIO EN SOLES]]-Tabla1[[#This Row],[PC]]</f>
        <v>24.875919999999994</v>
      </c>
      <c r="K145" s="15"/>
      <c r="L145" s="15" t="str">
        <f t="shared" si="2"/>
        <v>NORMAL</v>
      </c>
    </row>
    <row r="146" spans="1:12" x14ac:dyDescent="0.25">
      <c r="A146" s="3" t="s">
        <v>835</v>
      </c>
      <c r="B146" s="3" t="s">
        <v>836</v>
      </c>
      <c r="C146" s="1">
        <v>20</v>
      </c>
      <c r="D146" s="1">
        <v>29</v>
      </c>
      <c r="E146" s="1" t="s">
        <v>52</v>
      </c>
      <c r="F146" s="1" t="s">
        <v>2926</v>
      </c>
      <c r="G146" s="3" t="s">
        <v>837</v>
      </c>
      <c r="H146" s="11">
        <f>ROUND(
IF(L146="GANCHO",
   IF(I146&lt;=50,I146*1.1+4,IF(I146&lt;=120,I146*1.1+7,IF(I146&lt;=250,I146*1.1+11,I146*1.1+19))),
IF(L146="NORMAL",
   IF(I146&lt;=30,I146*1.15+2,IF(I146&lt;=80,I146*1.15+4,IF(I146&lt;=150,I146*1.15+6,I146*1.15+8))),
IF(L146="COMPLEMENTO",
   IF(I146&lt;=25,I146*1.25+1.5,IF(I146&lt;=60,I146*1.25+3,IF(I146&lt;=120,I146*1.25+4,I146*1.25+5))),
""))),2)</f>
        <v>144.52000000000001</v>
      </c>
      <c r="I146" s="9">
        <f>($K$2+0.02)*Tabla1[[#This Row],[PRECIO $]]*1.18</f>
        <v>120.45439999999999</v>
      </c>
      <c r="J146" s="7">
        <f>+Tabla1[[#This Row],[PRECIO EN SOLES]]-Tabla1[[#This Row],[PC]]</f>
        <v>24.065600000000018</v>
      </c>
      <c r="K146" s="15"/>
      <c r="L146" s="15" t="str">
        <f t="shared" si="2"/>
        <v>NORMAL</v>
      </c>
    </row>
    <row r="147" spans="1:12" x14ac:dyDescent="0.25">
      <c r="A147" s="3" t="s">
        <v>4505</v>
      </c>
      <c r="B147" s="3" t="s">
        <v>4506</v>
      </c>
      <c r="C147" s="1">
        <v>16</v>
      </c>
      <c r="D147" s="1">
        <v>75.150000000000006</v>
      </c>
      <c r="E147" s="1" t="s">
        <v>115</v>
      </c>
      <c r="F147" s="1" t="s">
        <v>4507</v>
      </c>
      <c r="G147" s="3" t="s">
        <v>4749</v>
      </c>
      <c r="H147" s="11">
        <f>ROUND(
IF(L147="GANCHO",
   IF(I147&lt;=50,I147*1.1+4,IF(I147&lt;=120,I147*1.1+7,IF(I147&lt;=250,I147*1.1+11,I147*1.1+19))),
IF(L147="NORMAL",
   IF(I147&lt;=30,I147*1.15+2,IF(I147&lt;=80,I147*1.15+4,IF(I147&lt;=150,I147*1.15+6,I147*1.15+8))),
IF(L147="COMPLEMENTO",
   IF(I147&lt;=25,I147*1.25+1.5,IF(I147&lt;=60,I147*1.25+3,IF(I147&lt;=120,I147*1.25+4,I147*1.25+5))),
""))),2)</f>
        <v>366.96</v>
      </c>
      <c r="I147" s="9">
        <f>($K$2+0.02)*Tabla1[[#This Row],[PRECIO $]]*1.18</f>
        <v>312.14303999999998</v>
      </c>
      <c r="J147" s="7">
        <f>+Tabla1[[#This Row],[PRECIO EN SOLES]]-Tabla1[[#This Row],[PC]]</f>
        <v>54.816959999999995</v>
      </c>
      <c r="K147" s="15"/>
      <c r="L147" s="15" t="str">
        <f t="shared" si="2"/>
        <v>NORMAL</v>
      </c>
    </row>
    <row r="148" spans="1:12" x14ac:dyDescent="0.25">
      <c r="A148" s="3" t="s">
        <v>4508</v>
      </c>
      <c r="B148" s="3" t="s">
        <v>4509</v>
      </c>
      <c r="C148" s="1">
        <v>20</v>
      </c>
      <c r="D148" s="1">
        <v>75.25</v>
      </c>
      <c r="E148" s="1" t="s">
        <v>115</v>
      </c>
      <c r="F148" s="1" t="s">
        <v>4510</v>
      </c>
      <c r="G148" s="3" t="s">
        <v>4750</v>
      </c>
      <c r="H148" s="11">
        <f>ROUND(
IF(L148="GANCHO",
   IF(I148&lt;=50,I148*1.1+4,IF(I148&lt;=120,I148*1.1+7,IF(I148&lt;=250,I148*1.1+11,I148*1.1+19))),
IF(L148="NORMAL",
   IF(I148&lt;=30,I148*1.15+2,IF(I148&lt;=80,I148*1.15+4,IF(I148&lt;=150,I148*1.15+6,I148*1.15+8))),
IF(L148="COMPLEMENTO",
   IF(I148&lt;=25,I148*1.25+1.5,IF(I148&lt;=60,I148*1.25+3,IF(I148&lt;=120,I148*1.25+4,I148*1.25+5))),
""))),2)</f>
        <v>367.44</v>
      </c>
      <c r="I148" s="9">
        <f>($K$2+0.02)*Tabla1[[#This Row],[PRECIO $]]*1.18</f>
        <v>312.55840000000001</v>
      </c>
      <c r="J148" s="7">
        <f>+Tabla1[[#This Row],[PRECIO EN SOLES]]-Tabla1[[#This Row],[PC]]</f>
        <v>54.881599999999992</v>
      </c>
      <c r="K148" s="15"/>
      <c r="L148" s="15" t="str">
        <f t="shared" si="2"/>
        <v>NORMAL</v>
      </c>
    </row>
    <row r="149" spans="1:12" x14ac:dyDescent="0.25">
      <c r="A149" s="3" t="s">
        <v>4511</v>
      </c>
      <c r="B149" s="3" t="s">
        <v>4512</v>
      </c>
      <c r="C149" s="1">
        <v>20</v>
      </c>
      <c r="D149" s="1">
        <v>109.6</v>
      </c>
      <c r="E149" s="1" t="s">
        <v>115</v>
      </c>
      <c r="F149" s="1" t="s">
        <v>4513</v>
      </c>
      <c r="G149" s="3" t="s">
        <v>4514</v>
      </c>
      <c r="H149" s="11">
        <f>ROUND(
IF(L149="GANCHO",
   IF(I149&lt;=50,I149*1.1+4,IF(I149&lt;=120,I149*1.1+7,IF(I149&lt;=250,I149*1.1+11,I149*1.1+19))),
IF(L149="NORMAL",
   IF(I149&lt;=30,I149*1.15+2,IF(I149&lt;=80,I149*1.15+4,IF(I149&lt;=150,I149*1.15+6,I149*1.15+8))),
IF(L149="COMPLEMENTO",
   IF(I149&lt;=25,I149*1.25+1.5,IF(I149&lt;=60,I149*1.25+3,IF(I149&lt;=120,I149*1.25+4,I149*1.25+5))),
""))),2)</f>
        <v>531.52</v>
      </c>
      <c r="I149" s="9">
        <f>($K$2+0.02)*Tabla1[[#This Row],[PRECIO $]]*1.18</f>
        <v>455.23455999999993</v>
      </c>
      <c r="J149" s="7">
        <f>+Tabla1[[#This Row],[PRECIO EN SOLES]]-Tabla1[[#This Row],[PC]]</f>
        <v>76.285440000000051</v>
      </c>
      <c r="K149" s="15"/>
      <c r="L149" s="15" t="str">
        <f t="shared" si="2"/>
        <v>NORMAL</v>
      </c>
    </row>
    <row r="150" spans="1:12" x14ac:dyDescent="0.25">
      <c r="A150" s="3" t="s">
        <v>135</v>
      </c>
      <c r="B150" s="3" t="s">
        <v>136</v>
      </c>
      <c r="C150" s="1">
        <v>20</v>
      </c>
      <c r="D150" s="1">
        <v>34.4</v>
      </c>
      <c r="E150" s="1" t="s">
        <v>52</v>
      </c>
      <c r="F150" s="1" t="s">
        <v>2927</v>
      </c>
      <c r="G150" s="3" t="s">
        <v>137</v>
      </c>
      <c r="H150" s="11">
        <f>ROUND(
IF(L150="GANCHO",
   IF(I150&lt;=50,I150*1.1+4,IF(I150&lt;=120,I150*1.1+7,IF(I150&lt;=250,I150*1.1+11,I150*1.1+19))),
IF(L150="NORMAL",
   IF(I150&lt;=30,I150*1.15+2,IF(I150&lt;=80,I150*1.15+4,IF(I150&lt;=150,I150*1.15+6,I150*1.15+8))),
IF(L150="COMPLEMENTO",
   IF(I150&lt;=25,I150*1.25+1.5,IF(I150&lt;=60,I150*1.25+3,IF(I150&lt;=120,I150*1.25+4,I150*1.25+5))),
""))),2)</f>
        <v>170.32</v>
      </c>
      <c r="I150" s="9">
        <f>($K$2+0.02)*Tabla1[[#This Row],[PRECIO $]]*1.18</f>
        <v>142.88383999999999</v>
      </c>
      <c r="J150" s="7">
        <f>+Tabla1[[#This Row],[PRECIO EN SOLES]]-Tabla1[[#This Row],[PC]]</f>
        <v>27.436160000000001</v>
      </c>
      <c r="K150" s="15"/>
      <c r="L150" s="15" t="str">
        <f t="shared" si="2"/>
        <v>NORMAL</v>
      </c>
    </row>
    <row r="151" spans="1:12" x14ac:dyDescent="0.25">
      <c r="A151" s="3" t="s">
        <v>838</v>
      </c>
      <c r="B151" s="3" t="s">
        <v>839</v>
      </c>
      <c r="C151" s="1">
        <v>20</v>
      </c>
      <c r="D151" s="1">
        <v>34.5</v>
      </c>
      <c r="E151" s="1" t="s">
        <v>52</v>
      </c>
      <c r="F151" s="1" t="s">
        <v>2928</v>
      </c>
      <c r="G151" s="3" t="s">
        <v>840</v>
      </c>
      <c r="H151" s="11">
        <f>ROUND(
IF(L151="GANCHO",
   IF(I151&lt;=50,I151*1.1+4,IF(I151&lt;=120,I151*1.1+7,IF(I151&lt;=250,I151*1.1+11,I151*1.1+19))),
IF(L151="NORMAL",
   IF(I151&lt;=30,I151*1.15+2,IF(I151&lt;=80,I151*1.15+4,IF(I151&lt;=150,I151*1.15+6,I151*1.15+8))),
IF(L151="COMPLEMENTO",
   IF(I151&lt;=25,I151*1.25+1.5,IF(I151&lt;=60,I151*1.25+3,IF(I151&lt;=120,I151*1.25+4,I151*1.25+5))),
""))),2)</f>
        <v>170.79</v>
      </c>
      <c r="I151" s="9">
        <f>($K$2+0.02)*Tabla1[[#This Row],[PRECIO $]]*1.18</f>
        <v>143.29919999999998</v>
      </c>
      <c r="J151" s="7">
        <f>+Tabla1[[#This Row],[PRECIO EN SOLES]]-Tabla1[[#This Row],[PC]]</f>
        <v>27.490800000000007</v>
      </c>
      <c r="K151" s="15"/>
      <c r="L151" s="15" t="str">
        <f t="shared" si="2"/>
        <v>NORMAL</v>
      </c>
    </row>
    <row r="152" spans="1:12" x14ac:dyDescent="0.25">
      <c r="A152" s="3" t="s">
        <v>4515</v>
      </c>
      <c r="B152" s="3" t="s">
        <v>4516</v>
      </c>
      <c r="C152" s="1">
        <v>18</v>
      </c>
      <c r="D152" s="1">
        <v>103.5</v>
      </c>
      <c r="E152" s="1" t="s">
        <v>2821</v>
      </c>
      <c r="F152" s="1" t="s">
        <v>4517</v>
      </c>
      <c r="G152" s="3" t="s">
        <v>4216</v>
      </c>
      <c r="H152" s="11">
        <f>ROUND(
IF(L152="GANCHO",
   IF(I152&lt;=50,I152*1.1+4,IF(I152&lt;=120,I152*1.1+7,IF(I152&lt;=250,I152*1.1+11,I152*1.1+19))),
IF(L152="NORMAL",
   IF(I152&lt;=30,I152*1.15+2,IF(I152&lt;=80,I152*1.15+4,IF(I152&lt;=150,I152*1.15+6,I152*1.15+8))),
IF(L152="COMPLEMENTO",
   IF(I152&lt;=25,I152*1.25+1.5,IF(I152&lt;=60,I152*1.25+3,IF(I152&lt;=120,I152*1.25+4,I152*1.25+5))),
""))),2)</f>
        <v>502.38</v>
      </c>
      <c r="I152" s="9">
        <f>($K$2+0.02)*Tabla1[[#This Row],[PRECIO $]]*1.18</f>
        <v>429.89759999999995</v>
      </c>
      <c r="J152" s="7">
        <f>+Tabla1[[#This Row],[PRECIO EN SOLES]]-Tabla1[[#This Row],[PC]]</f>
        <v>72.482400000000041</v>
      </c>
      <c r="K152" s="15"/>
      <c r="L152" s="15" t="str">
        <f t="shared" si="2"/>
        <v>NORMAL</v>
      </c>
    </row>
    <row r="153" spans="1:12" x14ac:dyDescent="0.25">
      <c r="A153" s="3" t="s">
        <v>138</v>
      </c>
      <c r="B153" s="3" t="s">
        <v>139</v>
      </c>
      <c r="C153" s="1">
        <v>20</v>
      </c>
      <c r="D153" s="1">
        <v>41</v>
      </c>
      <c r="E153" s="1" t="s">
        <v>52</v>
      </c>
      <c r="F153" s="1" t="s">
        <v>2929</v>
      </c>
      <c r="G153" s="3" t="s">
        <v>140</v>
      </c>
      <c r="H153" s="11">
        <f>ROUND(
IF(L153="GANCHO",
   IF(I153&lt;=50,I153*1.1+4,IF(I153&lt;=120,I153*1.1+7,IF(I153&lt;=250,I153*1.1+11,I153*1.1+19))),
IF(L153="NORMAL",
   IF(I153&lt;=30,I153*1.15+2,IF(I153&lt;=80,I153*1.15+4,IF(I153&lt;=150,I153*1.15+6,I153*1.15+8))),
IF(L153="COMPLEMENTO",
   IF(I153&lt;=25,I153*1.25+1.5,IF(I153&lt;=60,I153*1.25+3,IF(I153&lt;=120,I153*1.25+4,I153*1.25+5))),
""))),2)</f>
        <v>203.84</v>
      </c>
      <c r="I153" s="9">
        <f>($K$2+0.02)*Tabla1[[#This Row],[PRECIO $]]*1.18</f>
        <v>170.29759999999999</v>
      </c>
      <c r="J153" s="7">
        <f>+Tabla1[[#This Row],[PRECIO EN SOLES]]-Tabla1[[#This Row],[PC]]</f>
        <v>33.542400000000015</v>
      </c>
      <c r="K153" s="15"/>
      <c r="L153" s="15" t="str">
        <f t="shared" si="2"/>
        <v>NORMAL</v>
      </c>
    </row>
    <row r="154" spans="1:12" x14ac:dyDescent="0.25">
      <c r="A154" s="3" t="s">
        <v>5246</v>
      </c>
      <c r="B154" s="3" t="s">
        <v>5247</v>
      </c>
      <c r="C154" s="1">
        <v>16</v>
      </c>
      <c r="D154" s="1">
        <v>50.25</v>
      </c>
      <c r="E154" s="1" t="s">
        <v>121</v>
      </c>
      <c r="F154" s="1" t="s">
        <v>5248</v>
      </c>
      <c r="G154" s="3" t="s">
        <v>5249</v>
      </c>
      <c r="H154" s="11">
        <f>ROUND(
IF(L154="GANCHO",
   IF(I154&lt;=50,I154*1.1+4,IF(I154&lt;=120,I154*1.1+7,IF(I154&lt;=250,I154*1.1+11,I154*1.1+19))),
IF(L154="NORMAL",
   IF(I154&lt;=30,I154*1.15+2,IF(I154&lt;=80,I154*1.15+4,IF(I154&lt;=150,I154*1.15+6,I154*1.15+8))),
IF(L154="COMPLEMENTO",
   IF(I154&lt;=25,I154*1.25+1.5,IF(I154&lt;=60,I154*1.25+3,IF(I154&lt;=120,I154*1.25+4,I154*1.25+5))),
""))),2)</f>
        <v>248.03</v>
      </c>
      <c r="I154" s="9">
        <f>($K$2+0.02)*Tabla1[[#This Row],[PRECIO $]]*1.18</f>
        <v>208.71839999999997</v>
      </c>
      <c r="J154" s="7">
        <f>+Tabla1[[#This Row],[PRECIO EN SOLES]]-Tabla1[[#This Row],[PC]]</f>
        <v>39.311600000000027</v>
      </c>
      <c r="K154" s="15"/>
      <c r="L154" s="15" t="str">
        <f t="shared" si="2"/>
        <v>NORMAL</v>
      </c>
    </row>
    <row r="155" spans="1:12" x14ac:dyDescent="0.25">
      <c r="A155" s="3" t="s">
        <v>4821</v>
      </c>
      <c r="B155" s="3" t="s">
        <v>4822</v>
      </c>
      <c r="C155" s="1">
        <v>20</v>
      </c>
      <c r="D155" s="1">
        <v>54.4</v>
      </c>
      <c r="E155" s="1" t="s">
        <v>121</v>
      </c>
      <c r="F155" s="1" t="s">
        <v>4823</v>
      </c>
      <c r="G155" s="3" t="s">
        <v>4824</v>
      </c>
      <c r="H155" s="11">
        <f>ROUND(
IF(L155="GANCHO",
   IF(I155&lt;=50,I155*1.1+4,IF(I155&lt;=120,I155*1.1+7,IF(I155&lt;=250,I155*1.1+11,I155*1.1+19))),
IF(L155="NORMAL",
   IF(I155&lt;=30,I155*1.15+2,IF(I155&lt;=80,I155*1.15+4,IF(I155&lt;=150,I155*1.15+6,I155*1.15+8))),
IF(L155="COMPLEMENTO",
   IF(I155&lt;=25,I155*1.25+1.5,IF(I155&lt;=60,I155*1.25+3,IF(I155&lt;=120,I155*1.25+4,I155*1.25+5))),
""))),2)</f>
        <v>267.85000000000002</v>
      </c>
      <c r="I155" s="9">
        <f>($K$2+0.02)*Tabla1[[#This Row],[PRECIO $]]*1.18</f>
        <v>225.95583999999999</v>
      </c>
      <c r="J155" s="7">
        <f>+Tabla1[[#This Row],[PRECIO EN SOLES]]-Tabla1[[#This Row],[PC]]</f>
        <v>41.894160000000028</v>
      </c>
      <c r="K155" s="15"/>
      <c r="L155" s="15" t="str">
        <f t="shared" si="2"/>
        <v>NORMAL</v>
      </c>
    </row>
    <row r="156" spans="1:12" x14ac:dyDescent="0.25">
      <c r="A156" s="3" t="s">
        <v>122</v>
      </c>
      <c r="B156" s="3" t="s">
        <v>123</v>
      </c>
      <c r="C156" s="1">
        <v>17</v>
      </c>
      <c r="D156" s="1">
        <v>122.7</v>
      </c>
      <c r="E156" s="1" t="s">
        <v>121</v>
      </c>
      <c r="F156" s="1" t="s">
        <v>2930</v>
      </c>
      <c r="G156" s="3" t="s">
        <v>591</v>
      </c>
      <c r="H156" s="11">
        <f>ROUND(
IF(L156="GANCHO",
   IF(I156&lt;=50,I156*1.1+4,IF(I156&lt;=120,I156*1.1+7,IF(I156&lt;=250,I156*1.1+11,I156*1.1+19))),
IF(L156="NORMAL",
   IF(I156&lt;=30,I156*1.15+2,IF(I156&lt;=80,I156*1.15+4,IF(I156&lt;=150,I156*1.15+6,I156*1.15+8))),
IF(L156="COMPLEMENTO",
   IF(I156&lt;=25,I156*1.25+1.5,IF(I156&lt;=60,I156*1.25+3,IF(I156&lt;=120,I156*1.25+4,I156*1.25+5))),
""))),2)</f>
        <v>594.09</v>
      </c>
      <c r="I156" s="9">
        <f>($K$2+0.02)*Tabla1[[#This Row],[PRECIO $]]*1.18</f>
        <v>509.64671999999996</v>
      </c>
      <c r="J156" s="7">
        <f>+Tabla1[[#This Row],[PRECIO EN SOLES]]-Tabla1[[#This Row],[PC]]</f>
        <v>84.443280000000073</v>
      </c>
      <c r="K156" s="15"/>
      <c r="L156" s="15" t="str">
        <f t="shared" si="2"/>
        <v>NORMAL</v>
      </c>
    </row>
    <row r="157" spans="1:12" x14ac:dyDescent="0.25">
      <c r="A157" s="3" t="s">
        <v>841</v>
      </c>
      <c r="B157" s="3" t="s">
        <v>842</v>
      </c>
      <c r="C157" s="1">
        <v>5</v>
      </c>
      <c r="D157" s="1">
        <v>122.7</v>
      </c>
      <c r="E157" s="1" t="s">
        <v>121</v>
      </c>
      <c r="F157" s="1" t="s">
        <v>2931</v>
      </c>
      <c r="G157" s="3" t="s">
        <v>843</v>
      </c>
      <c r="H157" s="11">
        <f>ROUND(
IF(L157="GANCHO",
   IF(I157&lt;=50,I157*1.1+4,IF(I157&lt;=120,I157*1.1+7,IF(I157&lt;=250,I157*1.1+11,I157*1.1+19))),
IF(L157="NORMAL",
   IF(I157&lt;=30,I157*1.15+2,IF(I157&lt;=80,I157*1.15+4,IF(I157&lt;=150,I157*1.15+6,I157*1.15+8))),
IF(L157="COMPLEMENTO",
   IF(I157&lt;=25,I157*1.25+1.5,IF(I157&lt;=60,I157*1.25+3,IF(I157&lt;=120,I157*1.25+4,I157*1.25+5))),
""))),2)</f>
        <v>594.09</v>
      </c>
      <c r="I157" s="9">
        <f>($K$2+0.02)*Tabla1[[#This Row],[PRECIO $]]*1.18</f>
        <v>509.64671999999996</v>
      </c>
      <c r="J157" s="7">
        <f>+Tabla1[[#This Row],[PRECIO EN SOLES]]-Tabla1[[#This Row],[PC]]</f>
        <v>84.443280000000073</v>
      </c>
      <c r="K157" s="15"/>
      <c r="L157" s="15" t="str">
        <f t="shared" si="2"/>
        <v>NORMAL</v>
      </c>
    </row>
    <row r="158" spans="1:12" x14ac:dyDescent="0.25">
      <c r="A158" s="3" t="s">
        <v>844</v>
      </c>
      <c r="B158" s="3" t="s">
        <v>845</v>
      </c>
      <c r="C158" s="1">
        <v>20</v>
      </c>
      <c r="D158" s="1">
        <v>4.33</v>
      </c>
      <c r="E158" s="1" t="s">
        <v>54</v>
      </c>
      <c r="F158" s="1" t="s">
        <v>2932</v>
      </c>
      <c r="G158" s="3" t="s">
        <v>846</v>
      </c>
      <c r="H158" s="11">
        <f>ROUND(
IF(L158="GANCHO",
   IF(I158&lt;=50,I158*1.1+4,IF(I158&lt;=120,I158*1.1+7,IF(I158&lt;=250,I158*1.1+11,I158*1.1+19))),
IF(L158="NORMAL",
   IF(I158&lt;=30,I158*1.15+2,IF(I158&lt;=80,I158*1.15+4,IF(I158&lt;=150,I158*1.15+6,I158*1.15+8))),
IF(L158="COMPLEMENTO",
   IF(I158&lt;=25,I158*1.25+1.5,IF(I158&lt;=60,I158*1.25+3,IF(I158&lt;=120,I158*1.25+4,I158*1.25+5))),
""))),2)</f>
        <v>22.68</v>
      </c>
      <c r="I158" s="9">
        <f>($K$2+0.02)*Tabla1[[#This Row],[PRECIO $]]*1.18</f>
        <v>17.985087999999998</v>
      </c>
      <c r="J158" s="7">
        <f>+Tabla1[[#This Row],[PRECIO EN SOLES]]-Tabla1[[#This Row],[PC]]</f>
        <v>4.6949120000000022</v>
      </c>
      <c r="K158" s="15"/>
      <c r="L158" s="15" t="str">
        <f t="shared" si="2"/>
        <v>NORMAL</v>
      </c>
    </row>
    <row r="159" spans="1:12" x14ac:dyDescent="0.25">
      <c r="A159" s="3" t="s">
        <v>5250</v>
      </c>
      <c r="B159" s="3" t="s">
        <v>5251</v>
      </c>
      <c r="C159" s="1">
        <v>4</v>
      </c>
      <c r="D159" s="1">
        <v>134.5</v>
      </c>
      <c r="E159" s="1" t="s">
        <v>847</v>
      </c>
      <c r="F159" s="1" t="s">
        <v>5252</v>
      </c>
      <c r="G159" s="3" t="s">
        <v>5253</v>
      </c>
      <c r="H159" s="11">
        <f>ROUND(
IF(L159="GANCHO",
   IF(I159&lt;=50,I159*1.1+4,IF(I159&lt;=120,I159*1.1+7,IF(I159&lt;=250,I159*1.1+11,I159*1.1+19))),
IF(L159="NORMAL",
   IF(I159&lt;=30,I159*1.15+2,IF(I159&lt;=80,I159*1.15+4,IF(I159&lt;=150,I159*1.15+6,I159*1.15+8))),
IF(L159="COMPLEMENTO",
   IF(I159&lt;=25,I159*1.25+1.5,IF(I159&lt;=60,I159*1.25+3,IF(I159&lt;=120,I159*1.25+4,I159*1.25+5))),
""))),2)</f>
        <v>650.46</v>
      </c>
      <c r="I159" s="9">
        <f>($K$2+0.02)*Tabla1[[#This Row],[PRECIO $]]*1.18</f>
        <v>558.65919999999994</v>
      </c>
      <c r="J159" s="7">
        <f>+Tabla1[[#This Row],[PRECIO EN SOLES]]-Tabla1[[#This Row],[PC]]</f>
        <v>91.800800000000095</v>
      </c>
      <c r="K159" s="15"/>
      <c r="L159" s="15" t="str">
        <f t="shared" si="2"/>
        <v>NORMAL</v>
      </c>
    </row>
    <row r="160" spans="1:12" x14ac:dyDescent="0.25">
      <c r="A160" s="3" t="s">
        <v>6335</v>
      </c>
      <c r="B160" s="3" t="s">
        <v>6336</v>
      </c>
      <c r="C160" s="1">
        <v>1</v>
      </c>
      <c r="D160" s="1">
        <v>47.25</v>
      </c>
      <c r="E160" s="1" t="s">
        <v>223</v>
      </c>
      <c r="F160" s="1" t="s">
        <v>6337</v>
      </c>
      <c r="G160" s="3" t="s">
        <v>6338</v>
      </c>
      <c r="H160" s="11">
        <f>ROUND(
IF(L160="GANCHO",
   IF(I160&lt;=50,I160*1.1+4,IF(I160&lt;=120,I160*1.1+7,IF(I160&lt;=250,I160*1.1+11,I160*1.1+19))),
IF(L160="NORMAL",
   IF(I160&lt;=30,I160*1.15+2,IF(I160&lt;=80,I160*1.15+4,IF(I160&lt;=150,I160*1.15+6,I160*1.15+8))),
IF(L160="COMPLEMENTO",
   IF(I160&lt;=25,I160*1.25+1.5,IF(I160&lt;=60,I160*1.25+3,IF(I160&lt;=120,I160*1.25+4,I160*1.25+5))),
""))),2)</f>
        <v>233.7</v>
      </c>
      <c r="I160" s="9">
        <f>($K$2+0.02)*Tabla1[[#This Row],[PRECIO $]]*1.18</f>
        <v>196.25759999999997</v>
      </c>
      <c r="J160" s="7">
        <f>+Tabla1[[#This Row],[PRECIO EN SOLES]]-Tabla1[[#This Row],[PC]]</f>
        <v>37.442400000000021</v>
      </c>
      <c r="K160" s="15"/>
      <c r="L160" s="15" t="str">
        <f t="shared" si="2"/>
        <v>NORMAL</v>
      </c>
    </row>
    <row r="161" spans="1:12" x14ac:dyDescent="0.25">
      <c r="A161" s="3" t="s">
        <v>6042</v>
      </c>
      <c r="B161" s="3" t="s">
        <v>6043</v>
      </c>
      <c r="C161" s="1">
        <v>20</v>
      </c>
      <c r="D161" s="1">
        <v>74</v>
      </c>
      <c r="E161" s="1" t="s">
        <v>52</v>
      </c>
      <c r="F161" s="1" t="s">
        <v>6044</v>
      </c>
      <c r="G161" s="3" t="s">
        <v>6045</v>
      </c>
      <c r="H161" s="11">
        <f>ROUND(
IF(L161="GANCHO",
   IF(I161&lt;=50,I161*1.1+4,IF(I161&lt;=120,I161*1.1+7,IF(I161&lt;=250,I161*1.1+11,I161*1.1+19))),
IF(L161="NORMAL",
   IF(I161&lt;=30,I161*1.15+2,IF(I161&lt;=80,I161*1.15+4,IF(I161&lt;=150,I161*1.15+6,I161*1.15+8))),
IF(L161="COMPLEMENTO",
   IF(I161&lt;=25,I161*1.25+1.5,IF(I161&lt;=60,I161*1.25+3,IF(I161&lt;=120,I161*1.25+4,I161*1.25+5))),
""))),2)</f>
        <v>361.47</v>
      </c>
      <c r="I161" s="9">
        <f>($K$2+0.02)*Tabla1[[#This Row],[PRECIO $]]*1.18</f>
        <v>307.3664</v>
      </c>
      <c r="J161" s="7">
        <f>+Tabla1[[#This Row],[PRECIO EN SOLES]]-Tabla1[[#This Row],[PC]]</f>
        <v>54.103600000000029</v>
      </c>
      <c r="K161" s="15"/>
      <c r="L161" s="15" t="str">
        <f t="shared" si="2"/>
        <v>NORMAL</v>
      </c>
    </row>
    <row r="162" spans="1:12" x14ac:dyDescent="0.25">
      <c r="A162" s="3" t="s">
        <v>848</v>
      </c>
      <c r="B162" s="3" t="s">
        <v>849</v>
      </c>
      <c r="C162" s="1">
        <v>20</v>
      </c>
      <c r="D162" s="1">
        <v>9.6999999999999993</v>
      </c>
      <c r="E162" s="1" t="s">
        <v>52</v>
      </c>
      <c r="F162" s="1" t="s">
        <v>2933</v>
      </c>
      <c r="G162" s="3" t="s">
        <v>850</v>
      </c>
      <c r="H162" s="11">
        <f>ROUND(
IF(L162="GANCHO",
   IF(I162&lt;=50,I162*1.1+4,IF(I162&lt;=120,I162*1.1+7,IF(I162&lt;=250,I162*1.1+11,I162*1.1+19))),
IF(L162="NORMAL",
   IF(I162&lt;=30,I162*1.15+2,IF(I162&lt;=80,I162*1.15+4,IF(I162&lt;=150,I162*1.15+6,I162*1.15+8))),
IF(L162="COMPLEMENTO",
   IF(I162&lt;=25,I162*1.25+1.5,IF(I162&lt;=60,I162*1.25+3,IF(I162&lt;=120,I162*1.25+4,I162*1.25+5))),
""))),2)</f>
        <v>50.33</v>
      </c>
      <c r="I162" s="9">
        <f>($K$2+0.02)*Tabla1[[#This Row],[PRECIO $]]*1.18</f>
        <v>40.289919999999995</v>
      </c>
      <c r="J162" s="7">
        <f>+Tabla1[[#This Row],[PRECIO EN SOLES]]-Tabla1[[#This Row],[PC]]</f>
        <v>10.040080000000003</v>
      </c>
      <c r="K162" s="15"/>
      <c r="L162" s="15" t="str">
        <f t="shared" si="2"/>
        <v>NORMAL</v>
      </c>
    </row>
    <row r="163" spans="1:12" x14ac:dyDescent="0.25">
      <c r="A163" s="3" t="s">
        <v>592</v>
      </c>
      <c r="B163" s="3" t="s">
        <v>593</v>
      </c>
      <c r="C163" s="1">
        <v>0</v>
      </c>
      <c r="D163" s="1">
        <v>999</v>
      </c>
      <c r="E163" s="1" t="s">
        <v>57</v>
      </c>
      <c r="F163" s="1" t="s">
        <v>2934</v>
      </c>
      <c r="G163" s="3"/>
      <c r="H163" s="11">
        <f>ROUND(
IF(L163="GANCHO",
   IF(I163&lt;=50,I163*1.1+4,IF(I163&lt;=120,I163*1.1+7,IF(I163&lt;=250,I163*1.1+11,I163*1.1+19))),
IF(L163="NORMAL",
   IF(I163&lt;=30,I163*1.15+2,IF(I163&lt;=80,I163*1.15+4,IF(I163&lt;=150,I163*1.15+6,I163*1.15+8))),
IF(L163="COMPLEMENTO",
   IF(I163&lt;=25,I163*1.25+1.5,IF(I163&lt;=60,I163*1.25+3,IF(I163&lt;=120,I163*1.25+4,I163*1.25+5))),
""))),2)</f>
        <v>4779.8599999999997</v>
      </c>
      <c r="I163" s="9">
        <f>($K$2+0.02)*Tabla1[[#This Row],[PRECIO $]]*1.18</f>
        <v>4149.4463999999998</v>
      </c>
      <c r="J163" s="7">
        <f>+Tabla1[[#This Row],[PRECIO EN SOLES]]-Tabla1[[#This Row],[PC]]</f>
        <v>630.41359999999986</v>
      </c>
      <c r="K163" s="15"/>
      <c r="L163" s="15" t="str">
        <f t="shared" si="2"/>
        <v>NORMAL</v>
      </c>
    </row>
    <row r="164" spans="1:12" x14ac:dyDescent="0.25">
      <c r="A164" s="3" t="s">
        <v>5254</v>
      </c>
      <c r="B164" s="3" t="s">
        <v>5255</v>
      </c>
      <c r="C164" s="1">
        <v>20</v>
      </c>
      <c r="D164" s="1">
        <v>51.5</v>
      </c>
      <c r="E164" s="1" t="s">
        <v>847</v>
      </c>
      <c r="F164" s="1" t="s">
        <v>5256</v>
      </c>
      <c r="G164" s="3" t="s">
        <v>5257</v>
      </c>
      <c r="H164" s="11">
        <f>ROUND(
IF(L164="GANCHO",
   IF(I164&lt;=50,I164*1.1+4,IF(I164&lt;=120,I164*1.1+7,IF(I164&lt;=250,I164*1.1+11,I164*1.1+19))),
IF(L164="NORMAL",
   IF(I164&lt;=30,I164*1.15+2,IF(I164&lt;=80,I164*1.15+4,IF(I164&lt;=150,I164*1.15+6,I164*1.15+8))),
IF(L164="COMPLEMENTO",
   IF(I164&lt;=25,I164*1.25+1.5,IF(I164&lt;=60,I164*1.25+3,IF(I164&lt;=120,I164*1.25+4,I164*1.25+5))),
""))),2)</f>
        <v>254</v>
      </c>
      <c r="I164" s="9">
        <f>($K$2+0.02)*Tabla1[[#This Row],[PRECIO $]]*1.18</f>
        <v>213.91039999999998</v>
      </c>
      <c r="J164" s="7">
        <f>+Tabla1[[#This Row],[PRECIO EN SOLES]]-Tabla1[[#This Row],[PC]]</f>
        <v>40.089600000000019</v>
      </c>
      <c r="K164" s="15"/>
      <c r="L164" s="15" t="str">
        <f t="shared" si="2"/>
        <v>NORMAL</v>
      </c>
    </row>
    <row r="165" spans="1:12" x14ac:dyDescent="0.25">
      <c r="A165" s="3" t="s">
        <v>5258</v>
      </c>
      <c r="B165" s="3" t="s">
        <v>5259</v>
      </c>
      <c r="C165" s="1">
        <v>14</v>
      </c>
      <c r="D165" s="1">
        <v>71.7</v>
      </c>
      <c r="E165" s="1" t="s">
        <v>847</v>
      </c>
      <c r="F165" s="1" t="s">
        <v>5260</v>
      </c>
      <c r="G165" s="3" t="s">
        <v>5261</v>
      </c>
      <c r="H165" s="11">
        <f>ROUND(
IF(L165="GANCHO",
   IF(I165&lt;=50,I165*1.1+4,IF(I165&lt;=120,I165*1.1+7,IF(I165&lt;=250,I165*1.1+11,I165*1.1+19))),
IF(L165="NORMAL",
   IF(I165&lt;=30,I165*1.15+2,IF(I165&lt;=80,I165*1.15+4,IF(I165&lt;=150,I165*1.15+6,I165*1.15+8))),
IF(L165="COMPLEMENTO",
   IF(I165&lt;=25,I165*1.25+1.5,IF(I165&lt;=60,I165*1.25+3,IF(I165&lt;=120,I165*1.25+4,I165*1.25+5))),
""))),2)</f>
        <v>350.49</v>
      </c>
      <c r="I165" s="9">
        <f>($K$2+0.02)*Tabla1[[#This Row],[PRECIO $]]*1.18</f>
        <v>297.81312000000003</v>
      </c>
      <c r="J165" s="7">
        <f>+Tabla1[[#This Row],[PRECIO EN SOLES]]-Tabla1[[#This Row],[PC]]</f>
        <v>52.676879999999983</v>
      </c>
      <c r="K165" s="15"/>
      <c r="L165" s="15" t="str">
        <f t="shared" si="2"/>
        <v>NORMAL</v>
      </c>
    </row>
    <row r="166" spans="1:12" x14ac:dyDescent="0.25">
      <c r="A166" s="3" t="s">
        <v>5262</v>
      </c>
      <c r="B166" s="3" t="s">
        <v>5263</v>
      </c>
      <c r="C166" s="1">
        <v>5</v>
      </c>
      <c r="D166" s="1">
        <v>139.75</v>
      </c>
      <c r="E166" s="1" t="s">
        <v>847</v>
      </c>
      <c r="F166" s="1" t="s">
        <v>5264</v>
      </c>
      <c r="G166" s="3" t="s">
        <v>5265</v>
      </c>
      <c r="H166" s="11">
        <f>ROUND(
IF(L166="GANCHO",
   IF(I166&lt;=50,I166*1.1+4,IF(I166&lt;=120,I166*1.1+7,IF(I166&lt;=250,I166*1.1+11,I166*1.1+19))),
IF(L166="NORMAL",
   IF(I166&lt;=30,I166*1.15+2,IF(I166&lt;=80,I166*1.15+4,IF(I166&lt;=150,I166*1.15+6,I166*1.15+8))),
IF(L166="COMPLEMENTO",
   IF(I166&lt;=25,I166*1.25+1.5,IF(I166&lt;=60,I166*1.25+3,IF(I166&lt;=120,I166*1.25+4,I166*1.25+5))),
""))),2)</f>
        <v>675.54</v>
      </c>
      <c r="I166" s="9">
        <f>($K$2+0.02)*Tabla1[[#This Row],[PRECIO $]]*1.18</f>
        <v>580.46559999999999</v>
      </c>
      <c r="J166" s="7">
        <f>+Tabla1[[#This Row],[PRECIO EN SOLES]]-Tabla1[[#This Row],[PC]]</f>
        <v>95.074399999999969</v>
      </c>
      <c r="K166" s="15"/>
      <c r="L166" s="15" t="str">
        <f t="shared" si="2"/>
        <v>NORMAL</v>
      </c>
    </row>
    <row r="167" spans="1:12" x14ac:dyDescent="0.25">
      <c r="A167" s="3" t="s">
        <v>5266</v>
      </c>
      <c r="B167" s="3" t="s">
        <v>5267</v>
      </c>
      <c r="C167" s="1">
        <v>7</v>
      </c>
      <c r="D167" s="1">
        <v>154.6</v>
      </c>
      <c r="E167" s="1" t="s">
        <v>847</v>
      </c>
      <c r="F167" s="1" t="s">
        <v>5268</v>
      </c>
      <c r="G167" s="3" t="s">
        <v>5269</v>
      </c>
      <c r="H167" s="11">
        <f>ROUND(
IF(L167="GANCHO",
   IF(I167&lt;=50,I167*1.1+4,IF(I167&lt;=120,I167*1.1+7,IF(I167&lt;=250,I167*1.1+11,I167*1.1+19))),
IF(L167="NORMAL",
   IF(I167&lt;=30,I167*1.15+2,IF(I167&lt;=80,I167*1.15+4,IF(I167&lt;=150,I167*1.15+6,I167*1.15+8))),
IF(L167="COMPLEMENTO",
   IF(I167&lt;=25,I167*1.25+1.5,IF(I167&lt;=60,I167*1.25+3,IF(I167&lt;=120,I167*1.25+4,I167*1.25+5))),
""))),2)</f>
        <v>746.47</v>
      </c>
      <c r="I167" s="9">
        <f>($K$2+0.02)*Tabla1[[#This Row],[PRECIO $]]*1.18</f>
        <v>642.14656000000002</v>
      </c>
      <c r="J167" s="7">
        <f>+Tabla1[[#This Row],[PRECIO EN SOLES]]-Tabla1[[#This Row],[PC]]</f>
        <v>104.32344000000001</v>
      </c>
      <c r="K167" s="15"/>
      <c r="L167" s="15" t="str">
        <f t="shared" si="2"/>
        <v>NORMAL</v>
      </c>
    </row>
    <row r="168" spans="1:12" x14ac:dyDescent="0.25">
      <c r="A168" s="3" t="s">
        <v>5270</v>
      </c>
      <c r="B168" s="3" t="s">
        <v>5271</v>
      </c>
      <c r="C168" s="1">
        <v>11</v>
      </c>
      <c r="D168" s="1">
        <v>105.3</v>
      </c>
      <c r="E168" s="1" t="s">
        <v>847</v>
      </c>
      <c r="F168" s="1" t="s">
        <v>5272</v>
      </c>
      <c r="G168" s="3" t="s">
        <v>5273</v>
      </c>
      <c r="H168" s="11">
        <f>ROUND(
IF(L168="GANCHO",
   IF(I168&lt;=50,I168*1.1+4,IF(I168&lt;=120,I168*1.1+7,IF(I168&lt;=250,I168*1.1+11,I168*1.1+19))),
IF(L168="NORMAL",
   IF(I168&lt;=30,I168*1.15+2,IF(I168&lt;=80,I168*1.15+4,IF(I168&lt;=150,I168*1.15+6,I168*1.15+8))),
IF(L168="COMPLEMENTO",
   IF(I168&lt;=25,I168*1.25+1.5,IF(I168&lt;=60,I168*1.25+3,IF(I168&lt;=120,I168*1.25+4,I168*1.25+5))),
""))),2)</f>
        <v>510.98</v>
      </c>
      <c r="I168" s="9">
        <f>($K$2+0.02)*Tabla1[[#This Row],[PRECIO $]]*1.18</f>
        <v>437.37407999999999</v>
      </c>
      <c r="J168" s="7">
        <f>+Tabla1[[#This Row],[PRECIO EN SOLES]]-Tabla1[[#This Row],[PC]]</f>
        <v>73.605920000000026</v>
      </c>
      <c r="K168" s="15"/>
      <c r="L168" s="15" t="str">
        <f t="shared" si="2"/>
        <v>NORMAL</v>
      </c>
    </row>
    <row r="169" spans="1:12" x14ac:dyDescent="0.25">
      <c r="A169" s="3" t="s">
        <v>5274</v>
      </c>
      <c r="B169" s="3" t="s">
        <v>5275</v>
      </c>
      <c r="C169" s="1">
        <v>15</v>
      </c>
      <c r="D169" s="1">
        <v>95.2</v>
      </c>
      <c r="E169" s="1" t="s">
        <v>847</v>
      </c>
      <c r="F169" s="1" t="s">
        <v>5276</v>
      </c>
      <c r="G169" s="3" t="s">
        <v>5277</v>
      </c>
      <c r="H169" s="11">
        <f>ROUND(
IF(L169="GANCHO",
   IF(I169&lt;=50,I169*1.1+4,IF(I169&lt;=120,I169*1.1+7,IF(I169&lt;=250,I169*1.1+11,I169*1.1+19))),
IF(L169="NORMAL",
   IF(I169&lt;=30,I169*1.15+2,IF(I169&lt;=80,I169*1.15+4,IF(I169&lt;=150,I169*1.15+6,I169*1.15+8))),
IF(L169="COMPLEMENTO",
   IF(I169&lt;=25,I169*1.25+1.5,IF(I169&lt;=60,I169*1.25+3,IF(I169&lt;=120,I169*1.25+4,I169*1.25+5))),
""))),2)</f>
        <v>462.74</v>
      </c>
      <c r="I169" s="9">
        <f>($K$2+0.02)*Tabla1[[#This Row],[PRECIO $]]*1.18</f>
        <v>395.42271999999997</v>
      </c>
      <c r="J169" s="7">
        <f>+Tabla1[[#This Row],[PRECIO EN SOLES]]-Tabla1[[#This Row],[PC]]</f>
        <v>67.317280000000039</v>
      </c>
      <c r="K169" s="15"/>
      <c r="L169" s="15" t="str">
        <f t="shared" si="2"/>
        <v>NORMAL</v>
      </c>
    </row>
    <row r="170" spans="1:12" x14ac:dyDescent="0.25">
      <c r="A170" s="3" t="s">
        <v>5278</v>
      </c>
      <c r="B170" s="3" t="s">
        <v>5279</v>
      </c>
      <c r="C170" s="1">
        <v>11</v>
      </c>
      <c r="D170" s="1">
        <v>118.6</v>
      </c>
      <c r="E170" s="1" t="s">
        <v>847</v>
      </c>
      <c r="F170" s="1" t="s">
        <v>5280</v>
      </c>
      <c r="G170" s="3" t="s">
        <v>5281</v>
      </c>
      <c r="H170" s="11">
        <f>ROUND(
IF(L170="GANCHO",
   IF(I170&lt;=50,I170*1.1+4,IF(I170&lt;=120,I170*1.1+7,IF(I170&lt;=250,I170*1.1+11,I170*1.1+19))),
IF(L170="NORMAL",
   IF(I170&lt;=30,I170*1.15+2,IF(I170&lt;=80,I170*1.15+4,IF(I170&lt;=150,I170*1.15+6,I170*1.15+8))),
IF(L170="COMPLEMENTO",
   IF(I170&lt;=25,I170*1.25+1.5,IF(I170&lt;=60,I170*1.25+3,IF(I170&lt;=120,I170*1.25+4,I170*1.25+5))),
""))),2)</f>
        <v>574.51</v>
      </c>
      <c r="I170" s="9">
        <f>($K$2+0.02)*Tabla1[[#This Row],[PRECIO $]]*1.18</f>
        <v>492.61695999999995</v>
      </c>
      <c r="J170" s="7">
        <f>+Tabla1[[#This Row],[PRECIO EN SOLES]]-Tabla1[[#This Row],[PC]]</f>
        <v>81.893040000000042</v>
      </c>
      <c r="K170" s="15"/>
      <c r="L170" s="15" t="str">
        <f t="shared" si="2"/>
        <v>NORMAL</v>
      </c>
    </row>
    <row r="171" spans="1:12" x14ac:dyDescent="0.25">
      <c r="A171" s="3" t="s">
        <v>5282</v>
      </c>
      <c r="B171" s="3" t="s">
        <v>5283</v>
      </c>
      <c r="C171" s="1">
        <v>15</v>
      </c>
      <c r="D171" s="1">
        <v>76.150000000000006</v>
      </c>
      <c r="E171" s="1" t="s">
        <v>847</v>
      </c>
      <c r="F171" s="1" t="s">
        <v>5284</v>
      </c>
      <c r="G171" s="3" t="s">
        <v>5285</v>
      </c>
      <c r="H171" s="11">
        <f>ROUND(
IF(L171="GANCHO",
   IF(I171&lt;=50,I171*1.1+4,IF(I171&lt;=120,I171*1.1+7,IF(I171&lt;=250,I171*1.1+11,I171*1.1+19))),
IF(L171="NORMAL",
   IF(I171&lt;=30,I171*1.15+2,IF(I171&lt;=80,I171*1.15+4,IF(I171&lt;=150,I171*1.15+6,I171*1.15+8))),
IF(L171="COMPLEMENTO",
   IF(I171&lt;=25,I171*1.25+1.5,IF(I171&lt;=60,I171*1.25+3,IF(I171&lt;=120,I171*1.25+4,I171*1.25+5))),
""))),2)</f>
        <v>371.74</v>
      </c>
      <c r="I171" s="9">
        <f>($K$2+0.02)*Tabla1[[#This Row],[PRECIO $]]*1.18</f>
        <v>316.29663999999997</v>
      </c>
      <c r="J171" s="7">
        <f>+Tabla1[[#This Row],[PRECIO EN SOLES]]-Tabla1[[#This Row],[PC]]</f>
        <v>55.443360000000041</v>
      </c>
      <c r="K171" s="15"/>
      <c r="L171" s="15" t="str">
        <f t="shared" si="2"/>
        <v>NORMAL</v>
      </c>
    </row>
    <row r="172" spans="1:12" x14ac:dyDescent="0.25">
      <c r="A172" s="3" t="s">
        <v>5286</v>
      </c>
      <c r="B172" s="3" t="s">
        <v>5287</v>
      </c>
      <c r="C172" s="1">
        <v>9</v>
      </c>
      <c r="D172" s="1">
        <v>80.7</v>
      </c>
      <c r="E172" s="1" t="s">
        <v>847</v>
      </c>
      <c r="F172" s="1" t="s">
        <v>5288</v>
      </c>
      <c r="G172" s="3" t="s">
        <v>5289</v>
      </c>
      <c r="H172" s="11">
        <f>ROUND(
IF(L172="GANCHO",
   IF(I172&lt;=50,I172*1.1+4,IF(I172&lt;=120,I172*1.1+7,IF(I172&lt;=250,I172*1.1+11,I172*1.1+19))),
IF(L172="NORMAL",
   IF(I172&lt;=30,I172*1.15+2,IF(I172&lt;=80,I172*1.15+4,IF(I172&lt;=150,I172*1.15+6,I172*1.15+8))),
IF(L172="COMPLEMENTO",
   IF(I172&lt;=25,I172*1.25+1.5,IF(I172&lt;=60,I172*1.25+3,IF(I172&lt;=120,I172*1.25+4,I172*1.25+5))),
""))),2)</f>
        <v>393.47</v>
      </c>
      <c r="I172" s="9">
        <f>($K$2+0.02)*Tabla1[[#This Row],[PRECIO $]]*1.18</f>
        <v>335.19551999999999</v>
      </c>
      <c r="J172" s="7">
        <f>+Tabla1[[#This Row],[PRECIO EN SOLES]]-Tabla1[[#This Row],[PC]]</f>
        <v>58.27448000000004</v>
      </c>
      <c r="K172" s="15"/>
      <c r="L172" s="15" t="str">
        <f t="shared" si="2"/>
        <v>NORMAL</v>
      </c>
    </row>
    <row r="173" spans="1:12" x14ac:dyDescent="0.25">
      <c r="A173" s="3" t="s">
        <v>5290</v>
      </c>
      <c r="B173" s="3" t="s">
        <v>5291</v>
      </c>
      <c r="C173" s="1">
        <v>3</v>
      </c>
      <c r="D173" s="1">
        <v>86.25</v>
      </c>
      <c r="E173" s="1" t="s">
        <v>847</v>
      </c>
      <c r="F173" s="1" t="s">
        <v>5292</v>
      </c>
      <c r="G173" s="3" t="s">
        <v>5293</v>
      </c>
      <c r="H173" s="11">
        <f>ROUND(
IF(L173="GANCHO",
   IF(I173&lt;=50,I173*1.1+4,IF(I173&lt;=120,I173*1.1+7,IF(I173&lt;=250,I173*1.1+11,I173*1.1+19))),
IF(L173="NORMAL",
   IF(I173&lt;=30,I173*1.15+2,IF(I173&lt;=80,I173*1.15+4,IF(I173&lt;=150,I173*1.15+6,I173*1.15+8))),
IF(L173="COMPLEMENTO",
   IF(I173&lt;=25,I173*1.25+1.5,IF(I173&lt;=60,I173*1.25+3,IF(I173&lt;=120,I173*1.25+4,I173*1.25+5))),
""))),2)</f>
        <v>419.99</v>
      </c>
      <c r="I173" s="9">
        <f>($K$2+0.02)*Tabla1[[#This Row],[PRECIO $]]*1.18</f>
        <v>358.24799999999999</v>
      </c>
      <c r="J173" s="7">
        <f>+Tabla1[[#This Row],[PRECIO EN SOLES]]-Tabla1[[#This Row],[PC]]</f>
        <v>61.742000000000019</v>
      </c>
      <c r="K173" s="15"/>
      <c r="L173" s="15" t="str">
        <f t="shared" si="2"/>
        <v>NORMAL</v>
      </c>
    </row>
    <row r="174" spans="1:12" x14ac:dyDescent="0.25">
      <c r="A174" s="3" t="s">
        <v>5294</v>
      </c>
      <c r="B174" s="3" t="s">
        <v>5295</v>
      </c>
      <c r="C174" s="1">
        <v>3</v>
      </c>
      <c r="D174" s="1">
        <v>106.5</v>
      </c>
      <c r="E174" s="1" t="s">
        <v>847</v>
      </c>
      <c r="F174" s="1" t="s">
        <v>5296</v>
      </c>
      <c r="G174" s="3" t="s">
        <v>5297</v>
      </c>
      <c r="H174" s="11">
        <f>ROUND(
IF(L174="GANCHO",
   IF(I174&lt;=50,I174*1.1+4,IF(I174&lt;=120,I174*1.1+7,IF(I174&lt;=250,I174*1.1+11,I174*1.1+19))),
IF(L174="NORMAL",
   IF(I174&lt;=30,I174*1.15+2,IF(I174&lt;=80,I174*1.15+4,IF(I174&lt;=150,I174*1.15+6,I174*1.15+8))),
IF(L174="COMPLEMENTO",
   IF(I174&lt;=25,I174*1.25+1.5,IF(I174&lt;=60,I174*1.25+3,IF(I174&lt;=120,I174*1.25+4,I174*1.25+5))),
""))),2)</f>
        <v>516.71</v>
      </c>
      <c r="I174" s="9">
        <f>($K$2+0.02)*Tabla1[[#This Row],[PRECIO $]]*1.18</f>
        <v>442.35839999999996</v>
      </c>
      <c r="J174" s="7">
        <f>+Tabla1[[#This Row],[PRECIO EN SOLES]]-Tabla1[[#This Row],[PC]]</f>
        <v>74.351600000000076</v>
      </c>
      <c r="K174" s="15"/>
      <c r="L174" s="15" t="str">
        <f t="shared" si="2"/>
        <v>NORMAL</v>
      </c>
    </row>
    <row r="175" spans="1:12" x14ac:dyDescent="0.25">
      <c r="A175" s="3" t="s">
        <v>5298</v>
      </c>
      <c r="B175" s="3" t="s">
        <v>5299</v>
      </c>
      <c r="C175" s="1">
        <v>10</v>
      </c>
      <c r="D175" s="1">
        <v>306.5</v>
      </c>
      <c r="E175" s="1" t="s">
        <v>847</v>
      </c>
      <c r="F175" s="1" t="s">
        <v>5300</v>
      </c>
      <c r="G175" s="3" t="s">
        <v>5301</v>
      </c>
      <c r="H175" s="11">
        <f>ROUND(
IF(L175="GANCHO",
   IF(I175&lt;=50,I175*1.1+4,IF(I175&lt;=120,I175*1.1+7,IF(I175&lt;=250,I175*1.1+11,I175*1.1+19))),
IF(L175="NORMAL",
   IF(I175&lt;=30,I175*1.15+2,IF(I175&lt;=80,I175*1.15+4,IF(I175&lt;=150,I175*1.15+6,I175*1.15+8))),
IF(L175="COMPLEMENTO",
   IF(I175&lt;=25,I175*1.25+1.5,IF(I175&lt;=60,I175*1.25+3,IF(I175&lt;=120,I175*1.25+4,I175*1.25+5))),
""))),2)</f>
        <v>1472.04</v>
      </c>
      <c r="I175" s="9">
        <f>($K$2+0.02)*Tabla1[[#This Row],[PRECIO $]]*1.18</f>
        <v>1273.0784000000001</v>
      </c>
      <c r="J175" s="7">
        <f>+Tabla1[[#This Row],[PRECIO EN SOLES]]-Tabla1[[#This Row],[PC]]</f>
        <v>198.96159999999986</v>
      </c>
      <c r="K175" s="15"/>
      <c r="L175" s="15" t="str">
        <f t="shared" si="2"/>
        <v>NORMAL</v>
      </c>
    </row>
    <row r="176" spans="1:12" x14ac:dyDescent="0.25">
      <c r="A176" s="3" t="s">
        <v>5302</v>
      </c>
      <c r="B176" s="3" t="s">
        <v>5303</v>
      </c>
      <c r="C176" s="1">
        <v>6</v>
      </c>
      <c r="D176" s="1">
        <v>400</v>
      </c>
      <c r="E176" s="1" t="s">
        <v>847</v>
      </c>
      <c r="F176" s="1" t="s">
        <v>5304</v>
      </c>
      <c r="G176" s="3" t="s">
        <v>5305</v>
      </c>
      <c r="H176" s="11">
        <f>ROUND(
IF(L176="GANCHO",
   IF(I176&lt;=50,I176*1.1+4,IF(I176&lt;=120,I176*1.1+7,IF(I176&lt;=250,I176*1.1+11,I176*1.1+19))),
IF(L176="NORMAL",
   IF(I176&lt;=30,I176*1.15+2,IF(I176&lt;=80,I176*1.15+4,IF(I176&lt;=150,I176*1.15+6,I176*1.15+8))),
IF(L176="COMPLEMENTO",
   IF(I176&lt;=25,I176*1.25+1.5,IF(I176&lt;=60,I176*1.25+3,IF(I176&lt;=120,I176*1.25+4,I176*1.25+5))),
""))),2)</f>
        <v>1918.66</v>
      </c>
      <c r="I176" s="9">
        <f>($K$2+0.02)*Tabla1[[#This Row],[PRECIO $]]*1.18</f>
        <v>1661.4399999999998</v>
      </c>
      <c r="J176" s="7">
        <f>+Tabla1[[#This Row],[PRECIO EN SOLES]]-Tabla1[[#This Row],[PC]]</f>
        <v>257.22000000000025</v>
      </c>
      <c r="K176" s="15"/>
      <c r="L176" s="15" t="str">
        <f t="shared" si="2"/>
        <v>NORMAL</v>
      </c>
    </row>
    <row r="177" spans="1:12" x14ac:dyDescent="0.25">
      <c r="A177" s="3" t="s">
        <v>6339</v>
      </c>
      <c r="B177" s="3" t="s">
        <v>6340</v>
      </c>
      <c r="C177" s="1">
        <v>20</v>
      </c>
      <c r="D177" s="1">
        <v>81.5</v>
      </c>
      <c r="E177" s="1" t="s">
        <v>115</v>
      </c>
      <c r="F177" s="1" t="s">
        <v>6341</v>
      </c>
      <c r="G177" s="3" t="s">
        <v>6342</v>
      </c>
      <c r="H177" s="11">
        <f>ROUND(
IF(L177="GANCHO",
   IF(I177&lt;=50,I177*1.1+4,IF(I177&lt;=120,I177*1.1+7,IF(I177&lt;=250,I177*1.1+11,I177*1.1+19))),
IF(L177="NORMAL",
   IF(I177&lt;=30,I177*1.15+2,IF(I177&lt;=80,I177*1.15+4,IF(I177&lt;=150,I177*1.15+6,I177*1.15+8))),
IF(L177="COMPLEMENTO",
   IF(I177&lt;=25,I177*1.25+1.5,IF(I177&lt;=60,I177*1.25+3,IF(I177&lt;=120,I177*1.25+4,I177*1.25+5))),
""))),2)</f>
        <v>397.3</v>
      </c>
      <c r="I177" s="9">
        <f>($K$2+0.02)*Tabla1[[#This Row],[PRECIO $]]*1.18</f>
        <v>338.51839999999999</v>
      </c>
      <c r="J177" s="7">
        <f>+Tabla1[[#This Row],[PRECIO EN SOLES]]-Tabla1[[#This Row],[PC]]</f>
        <v>58.781600000000026</v>
      </c>
      <c r="K177" s="15"/>
      <c r="L177" s="15" t="str">
        <f t="shared" si="2"/>
        <v>NORMAL</v>
      </c>
    </row>
    <row r="178" spans="1:12" x14ac:dyDescent="0.25">
      <c r="A178" s="3" t="s">
        <v>6805</v>
      </c>
      <c r="B178" s="3" t="s">
        <v>6806</v>
      </c>
      <c r="C178" s="1">
        <v>20</v>
      </c>
      <c r="D178" s="1">
        <v>91.5</v>
      </c>
      <c r="E178" s="1" t="s">
        <v>115</v>
      </c>
      <c r="F178" s="1" t="s">
        <v>6807</v>
      </c>
      <c r="G178" s="3"/>
      <c r="H178" s="11">
        <f>ROUND(
IF(L178="GANCHO",
   IF(I178&lt;=50,I178*1.1+4,IF(I178&lt;=120,I178*1.1+7,IF(I178&lt;=250,I178*1.1+11,I178*1.1+19))),
IF(L178="NORMAL",
   IF(I178&lt;=30,I178*1.15+2,IF(I178&lt;=80,I178*1.15+4,IF(I178&lt;=150,I178*1.15+6,I178*1.15+8))),
IF(L178="COMPLEMENTO",
   IF(I178&lt;=25,I178*1.25+1.5,IF(I178&lt;=60,I178*1.25+3,IF(I178&lt;=120,I178*1.25+4,I178*1.25+5))),
""))),2)</f>
        <v>445.06</v>
      </c>
      <c r="I178" s="9">
        <f>($K$2+0.02)*Tabla1[[#This Row],[PRECIO $]]*1.18</f>
        <v>380.05439999999999</v>
      </c>
      <c r="J178" s="7">
        <f>+Tabla1[[#This Row],[PRECIO EN SOLES]]-Tabla1[[#This Row],[PC]]</f>
        <v>65.005600000000015</v>
      </c>
      <c r="K178" s="15"/>
      <c r="L178" s="15" t="str">
        <f t="shared" si="2"/>
        <v>NORMAL</v>
      </c>
    </row>
    <row r="179" spans="1:12" x14ac:dyDescent="0.25">
      <c r="A179" s="3" t="s">
        <v>6343</v>
      </c>
      <c r="B179" s="3" t="s">
        <v>6344</v>
      </c>
      <c r="C179" s="1">
        <v>20</v>
      </c>
      <c r="D179" s="1">
        <v>176</v>
      </c>
      <c r="E179" s="1" t="s">
        <v>115</v>
      </c>
      <c r="F179" s="1" t="s">
        <v>6345</v>
      </c>
      <c r="G179" s="3"/>
      <c r="H179" s="11">
        <f>ROUND(
IF(L179="GANCHO",
   IF(I179&lt;=50,I179*1.1+4,IF(I179&lt;=120,I179*1.1+7,IF(I179&lt;=250,I179*1.1+11,I179*1.1+19))),
IF(L179="NORMAL",
   IF(I179&lt;=30,I179*1.15+2,IF(I179&lt;=80,I179*1.15+4,IF(I179&lt;=150,I179*1.15+6,I179*1.15+8))),
IF(L179="COMPLEMENTO",
   IF(I179&lt;=25,I179*1.25+1.5,IF(I179&lt;=60,I179*1.25+3,IF(I179&lt;=120,I179*1.25+4,I179*1.25+5))),
""))),2)</f>
        <v>848.69</v>
      </c>
      <c r="I179" s="9">
        <f>($K$2+0.02)*Tabla1[[#This Row],[PRECIO $]]*1.18</f>
        <v>731.03359999999998</v>
      </c>
      <c r="J179" s="7">
        <f>+Tabla1[[#This Row],[PRECIO EN SOLES]]-Tabla1[[#This Row],[PC]]</f>
        <v>117.65640000000008</v>
      </c>
      <c r="K179" s="15"/>
      <c r="L179" s="15" t="str">
        <f t="shared" si="2"/>
        <v>NORMAL</v>
      </c>
    </row>
    <row r="180" spans="1:12" x14ac:dyDescent="0.25">
      <c r="A180" s="3" t="s">
        <v>6346</v>
      </c>
      <c r="B180" s="3" t="s">
        <v>6344</v>
      </c>
      <c r="C180" s="1">
        <v>14</v>
      </c>
      <c r="D180" s="1">
        <v>187.5</v>
      </c>
      <c r="E180" s="1" t="s">
        <v>115</v>
      </c>
      <c r="F180" s="1" t="s">
        <v>6347</v>
      </c>
      <c r="G180" s="3"/>
      <c r="H180" s="11">
        <f>ROUND(
IF(L180="GANCHO",
   IF(I180&lt;=50,I180*1.1+4,IF(I180&lt;=120,I180*1.1+7,IF(I180&lt;=250,I180*1.1+11,I180*1.1+19))),
IF(L180="NORMAL",
   IF(I180&lt;=30,I180*1.15+2,IF(I180&lt;=80,I180*1.15+4,IF(I180&lt;=150,I180*1.15+6,I180*1.15+8))),
IF(L180="COMPLEMENTO",
   IF(I180&lt;=25,I180*1.25+1.5,IF(I180&lt;=60,I180*1.25+3,IF(I180&lt;=120,I180*1.25+4,I180*1.25+5))),
""))),2)</f>
        <v>903.62</v>
      </c>
      <c r="I180" s="9">
        <f>($K$2+0.02)*Tabla1[[#This Row],[PRECIO $]]*1.18</f>
        <v>778.8</v>
      </c>
      <c r="J180" s="7">
        <f>+Tabla1[[#This Row],[PRECIO EN SOLES]]-Tabla1[[#This Row],[PC]]</f>
        <v>124.82000000000005</v>
      </c>
      <c r="K180" s="15"/>
      <c r="L180" s="15" t="str">
        <f t="shared" si="2"/>
        <v>NORMAL</v>
      </c>
    </row>
    <row r="181" spans="1:12" x14ac:dyDescent="0.25">
      <c r="A181" s="3" t="s">
        <v>6348</v>
      </c>
      <c r="B181" s="3" t="s">
        <v>6349</v>
      </c>
      <c r="C181" s="1">
        <v>0</v>
      </c>
      <c r="D181" s="1">
        <v>394</v>
      </c>
      <c r="E181" s="1" t="s">
        <v>115</v>
      </c>
      <c r="F181" s="1" t="s">
        <v>6350</v>
      </c>
      <c r="G181" s="3"/>
      <c r="H181" s="11">
        <f>ROUND(
IF(L181="GANCHO",
   IF(I181&lt;=50,I181*1.1+4,IF(I181&lt;=120,I181*1.1+7,IF(I181&lt;=250,I181*1.1+11,I181*1.1+19))),
IF(L181="NORMAL",
   IF(I181&lt;=30,I181*1.15+2,IF(I181&lt;=80,I181*1.15+4,IF(I181&lt;=150,I181*1.15+6,I181*1.15+8))),
IF(L181="COMPLEMENTO",
   IF(I181&lt;=25,I181*1.25+1.5,IF(I181&lt;=60,I181*1.25+3,IF(I181&lt;=120,I181*1.25+4,I181*1.25+5))),
""))),2)</f>
        <v>1890</v>
      </c>
      <c r="I181" s="9">
        <f>($K$2+0.02)*Tabla1[[#This Row],[PRECIO $]]*1.18</f>
        <v>1636.5184000000002</v>
      </c>
      <c r="J181" s="7">
        <f>+Tabla1[[#This Row],[PRECIO EN SOLES]]-Tabla1[[#This Row],[PC]]</f>
        <v>253.48159999999984</v>
      </c>
      <c r="K181" s="15"/>
      <c r="L181" s="15" t="str">
        <f t="shared" si="2"/>
        <v>NORMAL</v>
      </c>
    </row>
    <row r="182" spans="1:12" x14ac:dyDescent="0.25">
      <c r="A182" s="3" t="s">
        <v>6351</v>
      </c>
      <c r="B182" s="3" t="s">
        <v>6352</v>
      </c>
      <c r="C182" s="1">
        <v>2</v>
      </c>
      <c r="D182" s="1">
        <v>649</v>
      </c>
      <c r="E182" s="1" t="s">
        <v>115</v>
      </c>
      <c r="F182" s="1" t="s">
        <v>6353</v>
      </c>
      <c r="G182" s="3"/>
      <c r="H182" s="11">
        <f>ROUND(
IF(L182="GANCHO",
   IF(I182&lt;=50,I182*1.1+4,IF(I182&lt;=120,I182*1.1+7,IF(I182&lt;=250,I182*1.1+11,I182*1.1+19))),
IF(L182="NORMAL",
   IF(I182&lt;=30,I182*1.15+2,IF(I182&lt;=80,I182*1.15+4,IF(I182&lt;=150,I182*1.15+6,I182*1.15+8))),
IF(L182="COMPLEMENTO",
   IF(I182&lt;=25,I182*1.25+1.5,IF(I182&lt;=60,I182*1.25+3,IF(I182&lt;=120,I182*1.25+4,I182*1.25+5))),
""))),2)</f>
        <v>3108.04</v>
      </c>
      <c r="I182" s="9">
        <f>($K$2+0.02)*Tabla1[[#This Row],[PRECIO $]]*1.18</f>
        <v>2695.6864</v>
      </c>
      <c r="J182" s="7">
        <f>+Tabla1[[#This Row],[PRECIO EN SOLES]]-Tabla1[[#This Row],[PC]]</f>
        <v>412.35359999999991</v>
      </c>
      <c r="K182" s="15"/>
      <c r="L182" s="15" t="str">
        <f t="shared" si="2"/>
        <v>NORMAL</v>
      </c>
    </row>
    <row r="183" spans="1:12" x14ac:dyDescent="0.25">
      <c r="A183" s="3" t="s">
        <v>6354</v>
      </c>
      <c r="B183" s="3" t="s">
        <v>6355</v>
      </c>
      <c r="C183" s="1">
        <v>20</v>
      </c>
      <c r="D183" s="1">
        <v>128.19999999999999</v>
      </c>
      <c r="E183" s="1" t="s">
        <v>115</v>
      </c>
      <c r="F183" s="1" t="s">
        <v>6356</v>
      </c>
      <c r="G183" s="3"/>
      <c r="H183" s="11">
        <f>ROUND(
IF(L183="GANCHO",
   IF(I183&lt;=50,I183*1.1+4,IF(I183&lt;=120,I183*1.1+7,IF(I183&lt;=250,I183*1.1+11,I183*1.1+19))),
IF(L183="NORMAL",
   IF(I183&lt;=30,I183*1.15+2,IF(I183&lt;=80,I183*1.15+4,IF(I183&lt;=150,I183*1.15+6,I183*1.15+8))),
IF(L183="COMPLEMENTO",
   IF(I183&lt;=25,I183*1.25+1.5,IF(I183&lt;=60,I183*1.25+3,IF(I183&lt;=120,I183*1.25+4,I183*1.25+5))),
""))),2)</f>
        <v>620.37</v>
      </c>
      <c r="I183" s="9">
        <f>($K$2+0.02)*Tabla1[[#This Row],[PRECIO $]]*1.18</f>
        <v>532.49151999999992</v>
      </c>
      <c r="J183" s="7">
        <f>+Tabla1[[#This Row],[PRECIO EN SOLES]]-Tabla1[[#This Row],[PC]]</f>
        <v>87.878480000000081</v>
      </c>
      <c r="K183" s="15"/>
      <c r="L183" s="15" t="str">
        <f t="shared" si="2"/>
        <v>NORMAL</v>
      </c>
    </row>
    <row r="184" spans="1:12" x14ac:dyDescent="0.25">
      <c r="A184" s="3" t="s">
        <v>6357</v>
      </c>
      <c r="B184" s="3" t="s">
        <v>6358</v>
      </c>
      <c r="C184" s="1">
        <v>20</v>
      </c>
      <c r="D184" s="1">
        <v>90.5</v>
      </c>
      <c r="E184" s="1" t="s">
        <v>115</v>
      </c>
      <c r="F184" s="1" t="s">
        <v>6359</v>
      </c>
      <c r="G184" s="3"/>
      <c r="H184" s="11">
        <f>ROUND(
IF(L184="GANCHO",
   IF(I184&lt;=50,I184*1.1+4,IF(I184&lt;=120,I184*1.1+7,IF(I184&lt;=250,I184*1.1+11,I184*1.1+19))),
IF(L184="NORMAL",
   IF(I184&lt;=30,I184*1.15+2,IF(I184&lt;=80,I184*1.15+4,IF(I184&lt;=150,I184*1.15+6,I184*1.15+8))),
IF(L184="COMPLEMENTO",
   IF(I184&lt;=25,I184*1.25+1.5,IF(I184&lt;=60,I184*1.25+3,IF(I184&lt;=120,I184*1.25+4,I184*1.25+5))),
""))),2)</f>
        <v>440.29</v>
      </c>
      <c r="I184" s="9">
        <f>($K$2+0.02)*Tabla1[[#This Row],[PRECIO $]]*1.18</f>
        <v>375.9008</v>
      </c>
      <c r="J184" s="7">
        <f>+Tabla1[[#This Row],[PRECIO EN SOLES]]-Tabla1[[#This Row],[PC]]</f>
        <v>64.389200000000017</v>
      </c>
      <c r="K184" s="15"/>
      <c r="L184" s="15" t="str">
        <f t="shared" si="2"/>
        <v>NORMAL</v>
      </c>
    </row>
    <row r="185" spans="1:12" x14ac:dyDescent="0.25">
      <c r="A185" s="3" t="s">
        <v>6360</v>
      </c>
      <c r="B185" s="3" t="s">
        <v>6361</v>
      </c>
      <c r="C185" s="1">
        <v>20</v>
      </c>
      <c r="D185" s="1">
        <v>109</v>
      </c>
      <c r="E185" s="1" t="s">
        <v>115</v>
      </c>
      <c r="F185" s="1" t="s">
        <v>6362</v>
      </c>
      <c r="G185" s="3" t="s">
        <v>6363</v>
      </c>
      <c r="H185" s="11">
        <f>ROUND(
IF(L185="GANCHO",
   IF(I185&lt;=50,I185*1.1+4,IF(I185&lt;=120,I185*1.1+7,IF(I185&lt;=250,I185*1.1+11,I185*1.1+19))),
IF(L185="NORMAL",
   IF(I185&lt;=30,I185*1.15+2,IF(I185&lt;=80,I185*1.15+4,IF(I185&lt;=150,I185*1.15+6,I185*1.15+8))),
IF(L185="COMPLEMENTO",
   IF(I185&lt;=25,I185*1.25+1.5,IF(I185&lt;=60,I185*1.25+3,IF(I185&lt;=120,I185*1.25+4,I185*1.25+5))),
""))),2)</f>
        <v>528.65</v>
      </c>
      <c r="I185" s="9">
        <f>($K$2+0.02)*Tabla1[[#This Row],[PRECIO $]]*1.18</f>
        <v>452.74239999999998</v>
      </c>
      <c r="J185" s="7">
        <f>+Tabla1[[#This Row],[PRECIO EN SOLES]]-Tabla1[[#This Row],[PC]]</f>
        <v>75.907600000000002</v>
      </c>
      <c r="K185" s="15"/>
      <c r="L185" s="15" t="str">
        <f t="shared" si="2"/>
        <v>NORMAL</v>
      </c>
    </row>
    <row r="186" spans="1:12" x14ac:dyDescent="0.25">
      <c r="A186" s="3" t="s">
        <v>6364</v>
      </c>
      <c r="B186" s="3" t="s">
        <v>6365</v>
      </c>
      <c r="C186" s="1">
        <v>9</v>
      </c>
      <c r="D186" s="1">
        <v>145.5</v>
      </c>
      <c r="E186" s="1" t="s">
        <v>223</v>
      </c>
      <c r="F186" s="1" t="s">
        <v>6366</v>
      </c>
      <c r="G186" s="3" t="s">
        <v>6367</v>
      </c>
      <c r="H186" s="11">
        <f>ROUND(
IF(L186="GANCHO",
   IF(I186&lt;=50,I186*1.1+4,IF(I186&lt;=120,I186*1.1+7,IF(I186&lt;=250,I186*1.1+11,I186*1.1+19))),
IF(L186="NORMAL",
   IF(I186&lt;=30,I186*1.15+2,IF(I186&lt;=80,I186*1.15+4,IF(I186&lt;=150,I186*1.15+6,I186*1.15+8))),
IF(L186="COMPLEMENTO",
   IF(I186&lt;=25,I186*1.25+1.5,IF(I186&lt;=60,I186*1.25+3,IF(I186&lt;=120,I186*1.25+4,I186*1.25+5))),
""))),2)</f>
        <v>703</v>
      </c>
      <c r="I186" s="9">
        <f>($K$2+0.02)*Tabla1[[#This Row],[PRECIO $]]*1.18</f>
        <v>604.34879999999998</v>
      </c>
      <c r="J186" s="7">
        <f>+Tabla1[[#This Row],[PRECIO EN SOLES]]-Tabla1[[#This Row],[PC]]</f>
        <v>98.651200000000017</v>
      </c>
      <c r="K186" s="15"/>
      <c r="L186" s="15" t="str">
        <f t="shared" si="2"/>
        <v>NORMAL</v>
      </c>
    </row>
    <row r="187" spans="1:12" x14ac:dyDescent="0.25">
      <c r="A187" s="3" t="s">
        <v>4217</v>
      </c>
      <c r="B187" s="3" t="s">
        <v>4218</v>
      </c>
      <c r="C187" s="1">
        <v>20</v>
      </c>
      <c r="D187" s="1">
        <v>33.700000000000003</v>
      </c>
      <c r="E187" s="1" t="s">
        <v>223</v>
      </c>
      <c r="F187" s="1" t="s">
        <v>4219</v>
      </c>
      <c r="G187" s="3" t="s">
        <v>4220</v>
      </c>
      <c r="H187" s="11">
        <f>ROUND(
IF(L187="GANCHO",
   IF(I187&lt;=50,I187*1.1+4,IF(I187&lt;=120,I187*1.1+7,IF(I187&lt;=250,I187*1.1+11,I187*1.1+19))),
IF(L187="NORMAL",
   IF(I187&lt;=30,I187*1.15+2,IF(I187&lt;=80,I187*1.15+4,IF(I187&lt;=150,I187*1.15+6,I187*1.15+8))),
IF(L187="COMPLEMENTO",
   IF(I187&lt;=25,I187*1.25+1.5,IF(I187&lt;=60,I187*1.25+3,IF(I187&lt;=120,I187*1.25+4,I187*1.25+5))),
""))),2)</f>
        <v>166.97</v>
      </c>
      <c r="I187" s="9">
        <f>($K$2+0.02)*Tabla1[[#This Row],[PRECIO $]]*1.18</f>
        <v>139.97632000000002</v>
      </c>
      <c r="J187" s="7">
        <f>+Tabla1[[#This Row],[PRECIO EN SOLES]]-Tabla1[[#This Row],[PC]]</f>
        <v>26.993679999999983</v>
      </c>
      <c r="K187" s="15"/>
      <c r="L187" s="15" t="str">
        <f t="shared" si="2"/>
        <v>NORMAL</v>
      </c>
    </row>
    <row r="188" spans="1:12" x14ac:dyDescent="0.25">
      <c r="A188" s="3" t="s">
        <v>6368</v>
      </c>
      <c r="B188" s="3" t="s">
        <v>6369</v>
      </c>
      <c r="C188" s="1">
        <v>20</v>
      </c>
      <c r="D188" s="1">
        <v>34.200000000000003</v>
      </c>
      <c r="E188" s="1" t="s">
        <v>223</v>
      </c>
      <c r="F188" s="1" t="s">
        <v>6370</v>
      </c>
      <c r="G188" s="3" t="s">
        <v>6371</v>
      </c>
      <c r="H188" s="11">
        <f>ROUND(
IF(L188="GANCHO",
   IF(I188&lt;=50,I188*1.1+4,IF(I188&lt;=120,I188*1.1+7,IF(I188&lt;=250,I188*1.1+11,I188*1.1+19))),
IF(L188="NORMAL",
   IF(I188&lt;=30,I188*1.15+2,IF(I188&lt;=80,I188*1.15+4,IF(I188&lt;=150,I188*1.15+6,I188*1.15+8))),
IF(L188="COMPLEMENTO",
   IF(I188&lt;=25,I188*1.25+1.5,IF(I188&lt;=60,I188*1.25+3,IF(I188&lt;=120,I188*1.25+4,I188*1.25+5))),
""))),2)</f>
        <v>169.36</v>
      </c>
      <c r="I188" s="9">
        <f>($K$2+0.02)*Tabla1[[#This Row],[PRECIO $]]*1.18</f>
        <v>142.05312000000001</v>
      </c>
      <c r="J188" s="7">
        <f>+Tabla1[[#This Row],[PRECIO EN SOLES]]-Tabla1[[#This Row],[PC]]</f>
        <v>27.306880000000007</v>
      </c>
      <c r="K188" s="15"/>
      <c r="L188" s="15" t="str">
        <f t="shared" si="2"/>
        <v>NORMAL</v>
      </c>
    </row>
    <row r="189" spans="1:12" x14ac:dyDescent="0.25">
      <c r="A189" s="3" t="s">
        <v>6372</v>
      </c>
      <c r="B189" s="3" t="s">
        <v>6373</v>
      </c>
      <c r="C189" s="1">
        <v>20</v>
      </c>
      <c r="D189" s="1">
        <v>43.25</v>
      </c>
      <c r="E189" s="1" t="s">
        <v>223</v>
      </c>
      <c r="F189" s="1" t="s">
        <v>6374</v>
      </c>
      <c r="G189" s="3" t="s">
        <v>6375</v>
      </c>
      <c r="H189" s="11">
        <f>ROUND(
IF(L189="GANCHO",
   IF(I189&lt;=50,I189*1.1+4,IF(I189&lt;=120,I189*1.1+7,IF(I189&lt;=250,I189*1.1+11,I189*1.1+19))),
IF(L189="NORMAL",
   IF(I189&lt;=30,I189*1.15+2,IF(I189&lt;=80,I189*1.15+4,IF(I189&lt;=150,I189*1.15+6,I189*1.15+8))),
IF(L189="COMPLEMENTO",
   IF(I189&lt;=25,I189*1.25+1.5,IF(I189&lt;=60,I189*1.25+3,IF(I189&lt;=120,I189*1.25+4,I189*1.25+5))),
""))),2)</f>
        <v>214.59</v>
      </c>
      <c r="I189" s="9">
        <f>($K$2+0.02)*Tabla1[[#This Row],[PRECIO $]]*1.18</f>
        <v>179.64320000000001</v>
      </c>
      <c r="J189" s="7">
        <f>+Tabla1[[#This Row],[PRECIO EN SOLES]]-Tabla1[[#This Row],[PC]]</f>
        <v>34.946799999999996</v>
      </c>
      <c r="K189" s="15"/>
      <c r="L189" s="15" t="str">
        <f t="shared" si="2"/>
        <v>NORMAL</v>
      </c>
    </row>
    <row r="190" spans="1:12" x14ac:dyDescent="0.25">
      <c r="A190" s="3" t="s">
        <v>6376</v>
      </c>
      <c r="B190" s="3" t="s">
        <v>6373</v>
      </c>
      <c r="C190" s="1">
        <v>20</v>
      </c>
      <c r="D190" s="1">
        <v>44.5</v>
      </c>
      <c r="E190" s="1" t="s">
        <v>223</v>
      </c>
      <c r="F190" s="1" t="s">
        <v>6377</v>
      </c>
      <c r="G190" s="3" t="s">
        <v>6378</v>
      </c>
      <c r="H190" s="11">
        <f>ROUND(
IF(L190="GANCHO",
   IF(I190&lt;=50,I190*1.1+4,IF(I190&lt;=120,I190*1.1+7,IF(I190&lt;=250,I190*1.1+11,I190*1.1+19))),
IF(L190="NORMAL",
   IF(I190&lt;=30,I190*1.15+2,IF(I190&lt;=80,I190*1.15+4,IF(I190&lt;=150,I190*1.15+6,I190*1.15+8))),
IF(L190="COMPLEMENTO",
   IF(I190&lt;=25,I190*1.25+1.5,IF(I190&lt;=60,I190*1.25+3,IF(I190&lt;=120,I190*1.25+4,I190*1.25+5))),
""))),2)</f>
        <v>220.56</v>
      </c>
      <c r="I190" s="9">
        <f>($K$2+0.02)*Tabla1[[#This Row],[PRECIO $]]*1.18</f>
        <v>184.83520000000001</v>
      </c>
      <c r="J190" s="7">
        <f>+Tabla1[[#This Row],[PRECIO EN SOLES]]-Tabla1[[#This Row],[PC]]</f>
        <v>35.724799999999988</v>
      </c>
      <c r="K190" s="15"/>
      <c r="L190" s="15" t="str">
        <f t="shared" si="2"/>
        <v>NORMAL</v>
      </c>
    </row>
    <row r="191" spans="1:12" x14ac:dyDescent="0.25">
      <c r="A191" s="3" t="s">
        <v>6379</v>
      </c>
      <c r="B191" s="3" t="s">
        <v>6380</v>
      </c>
      <c r="C191" s="1">
        <v>20</v>
      </c>
      <c r="D191" s="1">
        <v>55.3</v>
      </c>
      <c r="E191" s="1" t="s">
        <v>223</v>
      </c>
      <c r="F191" s="1" t="s">
        <v>6381</v>
      </c>
      <c r="G191" s="3" t="s">
        <v>6382</v>
      </c>
      <c r="H191" s="11">
        <f>ROUND(
IF(L191="GANCHO",
   IF(I191&lt;=50,I191*1.1+4,IF(I191&lt;=120,I191*1.1+7,IF(I191&lt;=250,I191*1.1+11,I191*1.1+19))),
IF(L191="NORMAL",
   IF(I191&lt;=30,I191*1.15+2,IF(I191&lt;=80,I191*1.15+4,IF(I191&lt;=150,I191*1.15+6,I191*1.15+8))),
IF(L191="COMPLEMENTO",
   IF(I191&lt;=25,I191*1.25+1.5,IF(I191&lt;=60,I191*1.25+3,IF(I191&lt;=120,I191*1.25+4,I191*1.25+5))),
""))),2)</f>
        <v>272.14999999999998</v>
      </c>
      <c r="I191" s="9">
        <f>($K$2+0.02)*Tabla1[[#This Row],[PRECIO $]]*1.18</f>
        <v>229.69407999999996</v>
      </c>
      <c r="J191" s="7">
        <f>+Tabla1[[#This Row],[PRECIO EN SOLES]]-Tabla1[[#This Row],[PC]]</f>
        <v>42.45592000000002</v>
      </c>
      <c r="K191" s="15"/>
      <c r="L191" s="15" t="str">
        <f t="shared" si="2"/>
        <v>NORMAL</v>
      </c>
    </row>
    <row r="192" spans="1:12" x14ac:dyDescent="0.25">
      <c r="A192" s="3" t="s">
        <v>6383</v>
      </c>
      <c r="B192" s="3" t="s">
        <v>6384</v>
      </c>
      <c r="C192" s="1">
        <v>20</v>
      </c>
      <c r="D192" s="1">
        <v>102.2</v>
      </c>
      <c r="E192" s="1" t="s">
        <v>223</v>
      </c>
      <c r="F192" s="1" t="s">
        <v>6385</v>
      </c>
      <c r="G192" s="3"/>
      <c r="H192" s="11">
        <f>ROUND(
IF(L192="GANCHO",
   IF(I192&lt;=50,I192*1.1+4,IF(I192&lt;=120,I192*1.1+7,IF(I192&lt;=250,I192*1.1+11,I192*1.1+19))),
IF(L192="NORMAL",
   IF(I192&lt;=30,I192*1.15+2,IF(I192&lt;=80,I192*1.15+4,IF(I192&lt;=150,I192*1.15+6,I192*1.15+8))),
IF(L192="COMPLEMENTO",
   IF(I192&lt;=25,I192*1.25+1.5,IF(I192&lt;=60,I192*1.25+3,IF(I192&lt;=120,I192*1.25+4,I192*1.25+5))),
""))),2)</f>
        <v>496.17</v>
      </c>
      <c r="I192" s="9">
        <f>($K$2+0.02)*Tabla1[[#This Row],[PRECIO $]]*1.18</f>
        <v>424.49792000000002</v>
      </c>
      <c r="J192" s="7">
        <f>+Tabla1[[#This Row],[PRECIO EN SOLES]]-Tabla1[[#This Row],[PC]]</f>
        <v>71.672079999999994</v>
      </c>
      <c r="K192" s="15"/>
      <c r="L192" s="15" t="str">
        <f t="shared" si="2"/>
        <v>NORMAL</v>
      </c>
    </row>
    <row r="193" spans="1:12" x14ac:dyDescent="0.25">
      <c r="A193" s="3" t="s">
        <v>6386</v>
      </c>
      <c r="B193" s="3" t="s">
        <v>6387</v>
      </c>
      <c r="C193" s="1">
        <v>20</v>
      </c>
      <c r="D193" s="1">
        <v>111.5</v>
      </c>
      <c r="E193" s="1" t="s">
        <v>223</v>
      </c>
      <c r="F193" s="1" t="s">
        <v>6388</v>
      </c>
      <c r="G193" s="3" t="s">
        <v>6389</v>
      </c>
      <c r="H193" s="11">
        <f>ROUND(
IF(L193="GANCHO",
   IF(I193&lt;=50,I193*1.1+4,IF(I193&lt;=120,I193*1.1+7,IF(I193&lt;=250,I193*1.1+11,I193*1.1+19))),
IF(L193="NORMAL",
   IF(I193&lt;=30,I193*1.15+2,IF(I193&lt;=80,I193*1.15+4,IF(I193&lt;=150,I193*1.15+6,I193*1.15+8))),
IF(L193="COMPLEMENTO",
   IF(I193&lt;=25,I193*1.25+1.5,IF(I193&lt;=60,I193*1.25+3,IF(I193&lt;=120,I193*1.25+4,I193*1.25+5))),
""))),2)</f>
        <v>540.6</v>
      </c>
      <c r="I193" s="9">
        <f>($K$2+0.02)*Tabla1[[#This Row],[PRECIO $]]*1.18</f>
        <v>463.12639999999999</v>
      </c>
      <c r="J193" s="7">
        <f>+Tabla1[[#This Row],[PRECIO EN SOLES]]-Tabla1[[#This Row],[PC]]</f>
        <v>77.473600000000033</v>
      </c>
      <c r="K193" s="15"/>
      <c r="L193" s="15" t="str">
        <f t="shared" si="2"/>
        <v>NORMAL</v>
      </c>
    </row>
    <row r="194" spans="1:12" x14ac:dyDescent="0.25">
      <c r="A194" s="3" t="s">
        <v>6390</v>
      </c>
      <c r="B194" s="3" t="s">
        <v>6391</v>
      </c>
      <c r="C194" s="1">
        <v>8</v>
      </c>
      <c r="D194" s="1">
        <v>291.5</v>
      </c>
      <c r="E194" s="1" t="s">
        <v>223</v>
      </c>
      <c r="F194" s="1" t="s">
        <v>6392</v>
      </c>
      <c r="G194" s="3" t="s">
        <v>6393</v>
      </c>
      <c r="H194" s="11">
        <f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1400.39</v>
      </c>
      <c r="I194" s="9">
        <f>($K$2+0.02)*Tabla1[[#This Row],[PRECIO $]]*1.18</f>
        <v>1210.7743999999998</v>
      </c>
      <c r="J194" s="7">
        <f>+Tabla1[[#This Row],[PRECIO EN SOLES]]-Tabla1[[#This Row],[PC]]</f>
        <v>189.61560000000031</v>
      </c>
      <c r="K194" s="15"/>
      <c r="L194" s="15" t="str">
        <f t="shared" si="2"/>
        <v>NORMAL</v>
      </c>
    </row>
    <row r="195" spans="1:12" x14ac:dyDescent="0.25">
      <c r="A195" s="3" t="s">
        <v>6394</v>
      </c>
      <c r="B195" s="3" t="s">
        <v>6395</v>
      </c>
      <c r="C195" s="1">
        <v>20</v>
      </c>
      <c r="D195" s="1">
        <v>75.400000000000006</v>
      </c>
      <c r="E195" s="1" t="s">
        <v>223</v>
      </c>
      <c r="F195" s="1" t="s">
        <v>6396</v>
      </c>
      <c r="G195" s="3"/>
      <c r="H195" s="11">
        <f>ROUND(
IF(L195="GANCHO",
   IF(I195&lt;=50,I195*1.1+4,IF(I195&lt;=120,I195*1.1+7,IF(I195&lt;=250,I195*1.1+11,I195*1.1+19))),
IF(L195="NORMAL",
   IF(I195&lt;=30,I195*1.15+2,IF(I195&lt;=80,I195*1.15+4,IF(I195&lt;=150,I195*1.15+6,I195*1.15+8))),
IF(L195="COMPLEMENTO",
   IF(I195&lt;=25,I195*1.25+1.5,IF(I195&lt;=60,I195*1.25+3,IF(I195&lt;=120,I195*1.25+4,I195*1.25+5))),
""))),2)</f>
        <v>368.16</v>
      </c>
      <c r="I195" s="9">
        <f>($K$2+0.02)*Tabla1[[#This Row],[PRECIO $]]*1.18</f>
        <v>313.18144000000001</v>
      </c>
      <c r="J195" s="7">
        <f>+Tabla1[[#This Row],[PRECIO EN SOLES]]-Tabla1[[#This Row],[PC]]</f>
        <v>54.978560000000016</v>
      </c>
      <c r="K195" s="15"/>
      <c r="L195" s="15" t="str">
        <f t="shared" ref="L195:L258" si="3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4825</v>
      </c>
      <c r="B196" s="3" t="s">
        <v>4826</v>
      </c>
      <c r="C196" s="1">
        <v>8</v>
      </c>
      <c r="D196" s="1">
        <v>100.6</v>
      </c>
      <c r="E196" s="1" t="s">
        <v>121</v>
      </c>
      <c r="F196" s="1" t="s">
        <v>4827</v>
      </c>
      <c r="G196" s="3" t="s">
        <v>4828</v>
      </c>
      <c r="H196" s="11">
        <f>ROUND(
IF(L196="GANCHO",
   IF(I196&lt;=50,I196*1.1+4,IF(I196&lt;=120,I196*1.1+7,IF(I196&lt;=250,I196*1.1+11,I196*1.1+19))),
IF(L196="NORMAL",
   IF(I196&lt;=30,I196*1.15+2,IF(I196&lt;=80,I196*1.15+4,IF(I196&lt;=150,I196*1.15+6,I196*1.15+8))),
IF(L196="COMPLEMENTO",
   IF(I196&lt;=25,I196*1.25+1.5,IF(I196&lt;=60,I196*1.25+3,IF(I196&lt;=120,I196*1.25+4,I196*1.25+5))),
""))),2)</f>
        <v>488.53</v>
      </c>
      <c r="I196" s="9">
        <f>($K$2+0.02)*Tabla1[[#This Row],[PRECIO $]]*1.18</f>
        <v>417.85215999999991</v>
      </c>
      <c r="J196" s="7">
        <f>+Tabla1[[#This Row],[PRECIO EN SOLES]]-Tabla1[[#This Row],[PC]]</f>
        <v>70.67784000000006</v>
      </c>
      <c r="K196" s="15"/>
      <c r="L196" s="15" t="str">
        <f t="shared" si="3"/>
        <v>NORMAL</v>
      </c>
    </row>
    <row r="197" spans="1:12" x14ac:dyDescent="0.25">
      <c r="A197" s="3" t="s">
        <v>6397</v>
      </c>
      <c r="B197" s="3" t="s">
        <v>6398</v>
      </c>
      <c r="C197" s="1">
        <v>0</v>
      </c>
      <c r="D197" s="1">
        <v>61</v>
      </c>
      <c r="E197" s="1" t="s">
        <v>52</v>
      </c>
      <c r="F197" s="1" t="s">
        <v>6399</v>
      </c>
      <c r="G197" s="3" t="s">
        <v>6400</v>
      </c>
      <c r="H197" s="11">
        <f>ROUND(
IF(L197="GANCHO",
   IF(I197&lt;=50,I197*1.1+4,IF(I197&lt;=120,I197*1.1+7,IF(I197&lt;=250,I197*1.1+11,I197*1.1+19))),
IF(L197="NORMAL",
   IF(I197&lt;=30,I197*1.15+2,IF(I197&lt;=80,I197*1.15+4,IF(I197&lt;=150,I197*1.15+6,I197*1.15+8))),
IF(L197="COMPLEMENTO",
   IF(I197&lt;=25,I197*1.25+1.5,IF(I197&lt;=60,I197*1.25+3,IF(I197&lt;=120,I197*1.25+4,I197*1.25+5))),
""))),2)</f>
        <v>299.38</v>
      </c>
      <c r="I197" s="9">
        <f>($K$2+0.02)*Tabla1[[#This Row],[PRECIO $]]*1.18</f>
        <v>253.36959999999999</v>
      </c>
      <c r="J197" s="7">
        <f>+Tabla1[[#This Row],[PRECIO EN SOLES]]-Tabla1[[#This Row],[PC]]</f>
        <v>46.010400000000004</v>
      </c>
      <c r="K197" s="15"/>
      <c r="L197" s="15" t="str">
        <f t="shared" si="3"/>
        <v>NORMAL</v>
      </c>
    </row>
    <row r="198" spans="1:12" x14ac:dyDescent="0.25">
      <c r="A198" s="3" t="s">
        <v>2725</v>
      </c>
      <c r="B198" s="3" t="s">
        <v>2726</v>
      </c>
      <c r="C198" s="1">
        <v>4</v>
      </c>
      <c r="D198" s="1">
        <v>578</v>
      </c>
      <c r="E198" s="1" t="s">
        <v>141</v>
      </c>
      <c r="F198" s="1" t="s">
        <v>2935</v>
      </c>
      <c r="G198" s="3" t="s">
        <v>2727</v>
      </c>
      <c r="H198" s="11">
        <f>ROUND(
IF(L198="GANCHO",
   IF(I198&lt;=50,I198*1.1+4,IF(I198&lt;=120,I198*1.1+7,IF(I198&lt;=250,I198*1.1+11,I198*1.1+19))),
IF(L198="NORMAL",
   IF(I198&lt;=30,I198*1.15+2,IF(I198&lt;=80,I198*1.15+4,IF(I198&lt;=150,I198*1.15+6,I198*1.15+8))),
IF(L198="COMPLEMENTO",
   IF(I198&lt;=25,I198*1.25+1.5,IF(I198&lt;=60,I198*1.25+3,IF(I198&lt;=120,I198*1.25+4,I198*1.25+5))),
""))),2)</f>
        <v>2659.86</v>
      </c>
      <c r="I198" s="9">
        <f>($K$2+0.02)*Tabla1[[#This Row],[PRECIO $]]*1.18</f>
        <v>2400.7808</v>
      </c>
      <c r="J198" s="7">
        <f>+Tabla1[[#This Row],[PRECIO EN SOLES]]-Tabla1[[#This Row],[PC]]</f>
        <v>259.07920000000013</v>
      </c>
      <c r="K198" s="15"/>
      <c r="L198" s="15" t="str">
        <f t="shared" si="3"/>
        <v>GANCHO</v>
      </c>
    </row>
    <row r="199" spans="1:12" x14ac:dyDescent="0.25">
      <c r="A199" s="3" t="s">
        <v>142</v>
      </c>
      <c r="B199" s="3" t="s">
        <v>143</v>
      </c>
      <c r="C199" s="1">
        <v>9</v>
      </c>
      <c r="D199" s="1">
        <v>203</v>
      </c>
      <c r="E199" s="1" t="s">
        <v>141</v>
      </c>
      <c r="F199" s="1" t="s">
        <v>2936</v>
      </c>
      <c r="G199" s="3" t="s">
        <v>144</v>
      </c>
      <c r="H199" s="11">
        <f>ROUND(
IF(L199="GANCHO",
   IF(I199&lt;=50,I199*1.1+4,IF(I199&lt;=120,I199*1.1+7,IF(I199&lt;=250,I199*1.1+11,I199*1.1+19))),
IF(L199="NORMAL",
   IF(I199&lt;=30,I199*1.15+2,IF(I199&lt;=80,I199*1.15+4,IF(I199&lt;=150,I199*1.15+6,I199*1.15+8))),
IF(L199="COMPLEMENTO",
   IF(I199&lt;=25,I199*1.25+1.5,IF(I199&lt;=60,I199*1.25+3,IF(I199&lt;=120,I199*1.25+4,I199*1.25+5))),
""))),2)</f>
        <v>946.5</v>
      </c>
      <c r="I199" s="9">
        <f>($K$2+0.02)*Tabla1[[#This Row],[PRECIO $]]*1.18</f>
        <v>843.18079999999998</v>
      </c>
      <c r="J199" s="7">
        <f>+Tabla1[[#This Row],[PRECIO EN SOLES]]-Tabla1[[#This Row],[PC]]</f>
        <v>103.31920000000002</v>
      </c>
      <c r="K199" s="15"/>
      <c r="L199" s="15" t="str">
        <f t="shared" si="3"/>
        <v>GANCHO</v>
      </c>
    </row>
    <row r="200" spans="1:12" x14ac:dyDescent="0.25">
      <c r="A200" s="3" t="s">
        <v>853</v>
      </c>
      <c r="B200" s="3" t="s">
        <v>854</v>
      </c>
      <c r="C200" s="1">
        <v>3</v>
      </c>
      <c r="D200" s="1">
        <v>1710</v>
      </c>
      <c r="E200" s="1" t="s">
        <v>141</v>
      </c>
      <c r="F200" s="1" t="s">
        <v>2937</v>
      </c>
      <c r="G200" s="3" t="s">
        <v>855</v>
      </c>
      <c r="H200" s="11">
        <f>ROUND(
IF(L200="GANCHO",
   IF(I200&lt;=50,I200*1.1+4,IF(I200&lt;=120,I200*1.1+7,IF(I200&lt;=250,I200*1.1+11,I200*1.1+19))),
IF(L200="NORMAL",
   IF(I200&lt;=30,I200*1.15+2,IF(I200&lt;=80,I200*1.15+4,IF(I200&lt;=150,I200*1.15+6,I200*1.15+8))),
IF(L200="COMPLEMENTO",
   IF(I200&lt;=25,I200*1.25+1.5,IF(I200&lt;=60,I200*1.25+3,IF(I200&lt;=120,I200*1.25+4,I200*1.25+5))),
""))),2)</f>
        <v>7831.92</v>
      </c>
      <c r="I200" s="9">
        <f>($K$2+0.02)*Tabla1[[#This Row],[PRECIO $]]*1.18</f>
        <v>7102.655999999999</v>
      </c>
      <c r="J200" s="7">
        <f>+Tabla1[[#This Row],[PRECIO EN SOLES]]-Tabla1[[#This Row],[PC]]</f>
        <v>729.26400000000103</v>
      </c>
      <c r="K200" s="15"/>
      <c r="L200" s="15" t="str">
        <f t="shared" si="3"/>
        <v>GANCHO</v>
      </c>
    </row>
    <row r="201" spans="1:12" x14ac:dyDescent="0.25">
      <c r="A201" s="3" t="s">
        <v>2591</v>
      </c>
      <c r="B201" s="3" t="s">
        <v>852</v>
      </c>
      <c r="C201" s="1">
        <v>20</v>
      </c>
      <c r="D201" s="1">
        <v>267</v>
      </c>
      <c r="E201" s="1" t="s">
        <v>141</v>
      </c>
      <c r="F201" s="1" t="s">
        <v>2938</v>
      </c>
      <c r="G201" s="3"/>
      <c r="H201" s="11">
        <f>ROUND(
IF(L201="GANCHO",
   IF(I201&lt;=50,I201*1.1+4,IF(I201&lt;=120,I201*1.1+7,IF(I201&lt;=250,I201*1.1+11,I201*1.1+19))),
IF(L201="NORMAL",
   IF(I201&lt;=30,I201*1.15+2,IF(I201&lt;=80,I201*1.15+4,IF(I201&lt;=150,I201*1.15+6,I201*1.15+8))),
IF(L201="COMPLEMENTO",
   IF(I201&lt;=25,I201*1.25+1.5,IF(I201&lt;=60,I201*1.25+3,IF(I201&lt;=120,I201*1.25+4,I201*1.25+5))),
""))),2)</f>
        <v>1238.9100000000001</v>
      </c>
      <c r="I201" s="9">
        <f>($K$2+0.02)*Tabla1[[#This Row],[PRECIO $]]*1.18</f>
        <v>1109.0111999999999</v>
      </c>
      <c r="J201" s="7">
        <f>+Tabla1[[#This Row],[PRECIO EN SOLES]]-Tabla1[[#This Row],[PC]]</f>
        <v>129.89880000000016</v>
      </c>
      <c r="K201" s="15"/>
      <c r="L201" s="15" t="str">
        <f t="shared" si="3"/>
        <v>GANCHO</v>
      </c>
    </row>
    <row r="202" spans="1:12" x14ac:dyDescent="0.25">
      <c r="A202" s="3" t="s">
        <v>4221</v>
      </c>
      <c r="B202" s="3" t="s">
        <v>4222</v>
      </c>
      <c r="C202" s="1">
        <v>0</v>
      </c>
      <c r="D202" s="1">
        <v>868</v>
      </c>
      <c r="E202" s="1" t="s">
        <v>141</v>
      </c>
      <c r="F202" s="1" t="s">
        <v>4223</v>
      </c>
      <c r="G202" s="3" t="s">
        <v>4224</v>
      </c>
      <c r="H202" s="11">
        <f>ROUND(
IF(L202="GANCHO",
   IF(I202&lt;=50,I202*1.1+4,IF(I202&lt;=120,I202*1.1+7,IF(I202&lt;=250,I202*1.1+11,I202*1.1+19))),
IF(L202="NORMAL",
   IF(I202&lt;=30,I202*1.15+2,IF(I202&lt;=80,I202*1.15+4,IF(I202&lt;=150,I202*1.15+6,I202*1.15+8))),
IF(L202="COMPLEMENTO",
   IF(I202&lt;=25,I202*1.25+1.5,IF(I202&lt;=60,I202*1.25+3,IF(I202&lt;=120,I202*1.25+4,I202*1.25+5))),
""))),2)</f>
        <v>3984.86</v>
      </c>
      <c r="I202" s="9">
        <f>($K$2+0.02)*Tabla1[[#This Row],[PRECIO $]]*1.18</f>
        <v>3605.3247999999999</v>
      </c>
      <c r="J202" s="7">
        <f>+Tabla1[[#This Row],[PRECIO EN SOLES]]-Tabla1[[#This Row],[PC]]</f>
        <v>379.53520000000026</v>
      </c>
      <c r="K202" s="15"/>
      <c r="L202" s="15" t="str">
        <f t="shared" si="3"/>
        <v>GANCHO</v>
      </c>
    </row>
    <row r="203" spans="1:12" x14ac:dyDescent="0.25">
      <c r="A203" s="3" t="s">
        <v>856</v>
      </c>
      <c r="B203" s="3" t="s">
        <v>857</v>
      </c>
      <c r="C203" s="1">
        <v>10</v>
      </c>
      <c r="D203" s="1">
        <v>752</v>
      </c>
      <c r="E203" s="1" t="s">
        <v>141</v>
      </c>
      <c r="F203" s="1" t="s">
        <v>2939</v>
      </c>
      <c r="G203" s="3" t="s">
        <v>858</v>
      </c>
      <c r="H203" s="11">
        <f>ROUND(
IF(L203="GANCHO",
   IF(I203&lt;=50,I203*1.1+4,IF(I203&lt;=120,I203*1.1+7,IF(I203&lt;=250,I203*1.1+11,I203*1.1+19))),
IF(L203="NORMAL",
   IF(I203&lt;=30,I203*1.15+2,IF(I203&lt;=80,I203*1.15+4,IF(I203&lt;=150,I203*1.15+6,I203*1.15+8))),
IF(L203="COMPLEMENTO",
   IF(I203&lt;=25,I203*1.25+1.5,IF(I203&lt;=60,I203*1.25+3,IF(I203&lt;=120,I203*1.25+4,I203*1.25+5))),
""))),2)</f>
        <v>3454.86</v>
      </c>
      <c r="I203" s="9">
        <f>($K$2+0.02)*Tabla1[[#This Row],[PRECIO $]]*1.18</f>
        <v>3123.5072</v>
      </c>
      <c r="J203" s="7">
        <f>+Tabla1[[#This Row],[PRECIO EN SOLES]]-Tabla1[[#This Row],[PC]]</f>
        <v>331.35280000000012</v>
      </c>
      <c r="K203" s="15"/>
      <c r="L203" s="15" t="str">
        <f t="shared" si="3"/>
        <v>GANCHO</v>
      </c>
    </row>
    <row r="204" spans="1:12" x14ac:dyDescent="0.25">
      <c r="A204" s="3" t="s">
        <v>859</v>
      </c>
      <c r="B204" s="3" t="s">
        <v>860</v>
      </c>
      <c r="C204" s="1">
        <v>20</v>
      </c>
      <c r="D204" s="1">
        <v>222</v>
      </c>
      <c r="E204" s="1" t="s">
        <v>141</v>
      </c>
      <c r="F204" s="1" t="s">
        <v>2940</v>
      </c>
      <c r="G204" s="3" t="s">
        <v>861</v>
      </c>
      <c r="H204" s="11">
        <f>ROUND(
IF(L204="GANCHO",
   IF(I204&lt;=50,I204*1.1+4,IF(I204&lt;=120,I204*1.1+7,IF(I204&lt;=250,I204*1.1+11,I204*1.1+19))),
IF(L204="NORMAL",
   IF(I204&lt;=30,I204*1.15+2,IF(I204&lt;=80,I204*1.15+4,IF(I204&lt;=150,I204*1.15+6,I204*1.15+8))),
IF(L204="COMPLEMENTO",
   IF(I204&lt;=25,I204*1.25+1.5,IF(I204&lt;=60,I204*1.25+3,IF(I204&lt;=120,I204*1.25+4,I204*1.25+5))),
""))),2)</f>
        <v>1033.31</v>
      </c>
      <c r="I204" s="9">
        <f>($K$2+0.02)*Tabla1[[#This Row],[PRECIO $]]*1.18</f>
        <v>922.0992</v>
      </c>
      <c r="J204" s="7">
        <f>+Tabla1[[#This Row],[PRECIO EN SOLES]]-Tabla1[[#This Row],[PC]]</f>
        <v>111.21079999999995</v>
      </c>
      <c r="K204" s="15"/>
      <c r="L204" s="15" t="str">
        <f t="shared" si="3"/>
        <v>GANCHO</v>
      </c>
    </row>
    <row r="205" spans="1:12" x14ac:dyDescent="0.25">
      <c r="A205" s="3" t="s">
        <v>6931</v>
      </c>
      <c r="B205" s="3" t="s">
        <v>6932</v>
      </c>
      <c r="C205" s="1">
        <v>0</v>
      </c>
      <c r="D205" s="1">
        <v>110</v>
      </c>
      <c r="E205" s="1" t="s">
        <v>121</v>
      </c>
      <c r="F205" s="1" t="s">
        <v>6933</v>
      </c>
      <c r="G205" s="3"/>
      <c r="H205" s="11">
        <f>ROUND(
IF(L205="GANCHO",
   IF(I205&lt;=50,I205*1.1+4,IF(I205&lt;=120,I205*1.1+7,IF(I205&lt;=250,I205*1.1+11,I205*1.1+19))),
IF(L205="NORMAL",
   IF(I205&lt;=30,I205*1.15+2,IF(I205&lt;=80,I205*1.15+4,IF(I205&lt;=150,I205*1.15+6,I205*1.15+8))),
IF(L205="COMPLEMENTO",
   IF(I205&lt;=25,I205*1.25+1.5,IF(I205&lt;=60,I205*1.25+3,IF(I205&lt;=120,I205*1.25+4,I205*1.25+5))),
""))),2)</f>
        <v>533.42999999999995</v>
      </c>
      <c r="I205" s="9">
        <f>($K$2+0.02)*Tabla1[[#This Row],[PRECIO $]]*1.18</f>
        <v>456.89599999999996</v>
      </c>
      <c r="J205" s="7">
        <f>+Tabla1[[#This Row],[PRECIO EN SOLES]]-Tabla1[[#This Row],[PC]]</f>
        <v>76.533999999999992</v>
      </c>
      <c r="K205" s="15"/>
      <c r="L205" s="15" t="str">
        <f t="shared" si="3"/>
        <v>NORMAL</v>
      </c>
    </row>
    <row r="206" spans="1:12" x14ac:dyDescent="0.25">
      <c r="A206" s="3" t="s">
        <v>862</v>
      </c>
      <c r="B206" s="3" t="s">
        <v>863</v>
      </c>
      <c r="C206" s="1">
        <v>20</v>
      </c>
      <c r="D206" s="1">
        <v>308</v>
      </c>
      <c r="E206" s="1" t="s">
        <v>74</v>
      </c>
      <c r="F206" s="1" t="s">
        <v>2941</v>
      </c>
      <c r="G206" s="3" t="s">
        <v>864</v>
      </c>
      <c r="H206" s="11">
        <f>ROUND(
IF(L206="GANCHO",
   IF(I206&lt;=50,I206*1.1+4,IF(I206&lt;=120,I206*1.1+7,IF(I206&lt;=250,I206*1.1+11,I206*1.1+19))),
IF(L206="NORMAL",
   IF(I206&lt;=30,I206*1.15+2,IF(I206&lt;=80,I206*1.15+4,IF(I206&lt;=150,I206*1.15+6,I206*1.15+8))),
IF(L206="COMPLEMENTO",
   IF(I206&lt;=25,I206*1.25+1.5,IF(I206&lt;=60,I206*1.25+3,IF(I206&lt;=120,I206*1.25+4,I206*1.25+5))),
""))),2)</f>
        <v>1426.24</v>
      </c>
      <c r="I206" s="9">
        <f>($K$2+0.02)*Tabla1[[#This Row],[PRECIO $]]*1.18</f>
        <v>1279.3088</v>
      </c>
      <c r="J206" s="7">
        <f>+Tabla1[[#This Row],[PRECIO EN SOLES]]-Tabla1[[#This Row],[PC]]</f>
        <v>146.93119999999999</v>
      </c>
      <c r="K206" s="15"/>
      <c r="L206" s="15" t="str">
        <f t="shared" si="3"/>
        <v>GANCHO</v>
      </c>
    </row>
    <row r="207" spans="1:12" x14ac:dyDescent="0.25">
      <c r="A207" s="3" t="s">
        <v>865</v>
      </c>
      <c r="B207" s="3" t="s">
        <v>866</v>
      </c>
      <c r="C207" s="1">
        <v>20</v>
      </c>
      <c r="D207" s="1">
        <v>872</v>
      </c>
      <c r="E207" s="1" t="s">
        <v>783</v>
      </c>
      <c r="F207" s="1" t="s">
        <v>2942</v>
      </c>
      <c r="G207" s="3" t="s">
        <v>4518</v>
      </c>
      <c r="H207" s="11">
        <f>ROUND(
IF(L207="GANCHO",
   IF(I207&lt;=50,I207*1.1+4,IF(I207&lt;=120,I207*1.1+7,IF(I207&lt;=250,I207*1.1+11,I207*1.1+19))),
IF(L207="NORMAL",
   IF(I207&lt;=30,I207*1.15+2,IF(I207&lt;=80,I207*1.15+4,IF(I207&lt;=150,I207*1.15+6,I207*1.15+8))),
IF(L207="COMPLEMENTO",
   IF(I207&lt;=25,I207*1.25+1.5,IF(I207&lt;=60,I207*1.25+3,IF(I207&lt;=120,I207*1.25+4,I207*1.25+5))),
""))),2)</f>
        <v>4003.13</v>
      </c>
      <c r="I207" s="9">
        <f>($K$2+0.02)*Tabla1[[#This Row],[PRECIO $]]*1.18</f>
        <v>3621.9391999999998</v>
      </c>
      <c r="J207" s="7">
        <f>+Tabla1[[#This Row],[PRECIO EN SOLES]]-Tabla1[[#This Row],[PC]]</f>
        <v>381.19080000000031</v>
      </c>
      <c r="K207" s="15"/>
      <c r="L207" s="15" t="str">
        <f t="shared" si="3"/>
        <v>GANCHO</v>
      </c>
    </row>
    <row r="208" spans="1:12" x14ac:dyDescent="0.25">
      <c r="A208" s="3" t="s">
        <v>867</v>
      </c>
      <c r="B208" s="3" t="s">
        <v>868</v>
      </c>
      <c r="C208" s="1">
        <v>2</v>
      </c>
      <c r="D208" s="1">
        <v>1035</v>
      </c>
      <c r="E208" s="1" t="s">
        <v>783</v>
      </c>
      <c r="F208" s="1" t="s">
        <v>2943</v>
      </c>
      <c r="G208" s="3" t="s">
        <v>4519</v>
      </c>
      <c r="H208" s="11">
        <f>ROUND(
IF(L208="GANCHO",
   IF(I208&lt;=50,I208*1.1+4,IF(I208&lt;=120,I208*1.1+7,IF(I208&lt;=250,I208*1.1+11,I208*1.1+19))),
IF(L208="NORMAL",
   IF(I208&lt;=30,I208*1.15+2,IF(I208&lt;=80,I208*1.15+4,IF(I208&lt;=150,I208*1.15+6,I208*1.15+8))),
IF(L208="COMPLEMENTO",
   IF(I208&lt;=25,I208*1.25+1.5,IF(I208&lt;=60,I208*1.25+3,IF(I208&lt;=120,I208*1.25+4,I208*1.25+5))),
""))),2)</f>
        <v>4747.87</v>
      </c>
      <c r="I208" s="9">
        <f>($K$2+0.02)*Tabla1[[#This Row],[PRECIO $]]*1.18</f>
        <v>4298.9759999999997</v>
      </c>
      <c r="J208" s="7">
        <f>+Tabla1[[#This Row],[PRECIO EN SOLES]]-Tabla1[[#This Row],[PC]]</f>
        <v>448.89400000000023</v>
      </c>
      <c r="K208" s="15"/>
      <c r="L208" s="15" t="str">
        <f t="shared" si="3"/>
        <v>GANCHO</v>
      </c>
    </row>
    <row r="209" spans="1:12" x14ac:dyDescent="0.25">
      <c r="A209" s="3" t="s">
        <v>869</v>
      </c>
      <c r="B209" s="3" t="s">
        <v>870</v>
      </c>
      <c r="C209" s="1">
        <v>20</v>
      </c>
      <c r="D209" s="1">
        <v>967</v>
      </c>
      <c r="E209" s="1" t="s">
        <v>783</v>
      </c>
      <c r="F209" s="1" t="s">
        <v>2944</v>
      </c>
      <c r="G209" s="3" t="s">
        <v>4519</v>
      </c>
      <c r="H209" s="11">
        <f>ROUND(
IF(L209="GANCHO",
   IF(I209&lt;=50,I209*1.1+4,IF(I209&lt;=120,I209*1.1+7,IF(I209&lt;=250,I209*1.1+11,I209*1.1+19))),
IF(L209="NORMAL",
   IF(I209&lt;=30,I209*1.15+2,IF(I209&lt;=80,I209*1.15+4,IF(I209&lt;=150,I209*1.15+6,I209*1.15+8))),
IF(L209="COMPLEMENTO",
   IF(I209&lt;=25,I209*1.25+1.5,IF(I209&lt;=60,I209*1.25+3,IF(I209&lt;=120,I209*1.25+4,I209*1.25+5))),
""))),2)</f>
        <v>4437.18</v>
      </c>
      <c r="I209" s="9">
        <f>($K$2+0.02)*Tabla1[[#This Row],[PRECIO $]]*1.18</f>
        <v>4016.5311999999999</v>
      </c>
      <c r="J209" s="7">
        <f>+Tabla1[[#This Row],[PRECIO EN SOLES]]-Tabla1[[#This Row],[PC]]</f>
        <v>420.64880000000039</v>
      </c>
      <c r="K209" s="15"/>
      <c r="L209" s="15" t="str">
        <f t="shared" si="3"/>
        <v>GANCHO</v>
      </c>
    </row>
    <row r="210" spans="1:12" x14ac:dyDescent="0.25">
      <c r="A210" s="3" t="s">
        <v>871</v>
      </c>
      <c r="B210" s="3" t="s">
        <v>872</v>
      </c>
      <c r="C210" s="1">
        <v>5</v>
      </c>
      <c r="D210" s="1">
        <v>419</v>
      </c>
      <c r="E210" s="1" t="s">
        <v>54</v>
      </c>
      <c r="F210" s="1" t="s">
        <v>2945</v>
      </c>
      <c r="G210" s="3" t="s">
        <v>873</v>
      </c>
      <c r="H210" s="11">
        <f>ROUND(
IF(L210="GANCHO",
   IF(I210&lt;=50,I210*1.1+4,IF(I210&lt;=120,I210*1.1+7,IF(I210&lt;=250,I210*1.1+11,I210*1.1+19))),
IF(L210="NORMAL",
   IF(I210&lt;=30,I210*1.15+2,IF(I210&lt;=80,I210*1.15+4,IF(I210&lt;=150,I210*1.15+6,I210*1.15+8))),
IF(L210="COMPLEMENTO",
   IF(I210&lt;=25,I210*1.25+1.5,IF(I210&lt;=60,I210*1.25+3,IF(I210&lt;=120,I210*1.25+4,I210*1.25+5))),
""))),2)</f>
        <v>1933.39</v>
      </c>
      <c r="I210" s="9">
        <f>($K$2+0.02)*Tabla1[[#This Row],[PRECIO $]]*1.18</f>
        <v>1740.3584000000001</v>
      </c>
      <c r="J210" s="7">
        <f>+Tabla1[[#This Row],[PRECIO EN SOLES]]-Tabla1[[#This Row],[PC]]</f>
        <v>193.03160000000003</v>
      </c>
      <c r="K210" s="15"/>
      <c r="L210" s="15" t="str">
        <f t="shared" si="3"/>
        <v>GANCHO</v>
      </c>
    </row>
    <row r="211" spans="1:12" x14ac:dyDescent="0.25">
      <c r="A211" s="3" t="s">
        <v>874</v>
      </c>
      <c r="B211" s="3" t="s">
        <v>875</v>
      </c>
      <c r="C211" s="1">
        <v>20</v>
      </c>
      <c r="D211" s="1">
        <v>477</v>
      </c>
      <c r="E211" s="1" t="s">
        <v>74</v>
      </c>
      <c r="F211" s="1" t="s">
        <v>2946</v>
      </c>
      <c r="G211" s="3" t="s">
        <v>145</v>
      </c>
      <c r="H211" s="11">
        <f>ROUND(
IF(L211="GANCHO",
   IF(I211&lt;=50,I211*1.1+4,IF(I211&lt;=120,I211*1.1+7,IF(I211&lt;=250,I211*1.1+11,I211*1.1+19))),
IF(L211="NORMAL",
   IF(I211&lt;=30,I211*1.15+2,IF(I211&lt;=80,I211*1.15+4,IF(I211&lt;=150,I211*1.15+6,I211*1.15+8))),
IF(L211="COMPLEMENTO",
   IF(I211&lt;=25,I211*1.25+1.5,IF(I211&lt;=60,I211*1.25+3,IF(I211&lt;=120,I211*1.25+4,I211*1.25+5))),
""))),2)</f>
        <v>2198.39</v>
      </c>
      <c r="I211" s="9">
        <f>($K$2+0.02)*Tabla1[[#This Row],[PRECIO $]]*1.18</f>
        <v>1981.2671999999998</v>
      </c>
      <c r="J211" s="7">
        <f>+Tabla1[[#This Row],[PRECIO EN SOLES]]-Tabla1[[#This Row],[PC]]</f>
        <v>217.1228000000001</v>
      </c>
      <c r="K211" s="15"/>
      <c r="L211" s="15" t="str">
        <f t="shared" si="3"/>
        <v>GANCHO</v>
      </c>
    </row>
    <row r="212" spans="1:12" x14ac:dyDescent="0.25">
      <c r="A212" s="3" t="s">
        <v>146</v>
      </c>
      <c r="B212" s="3" t="s">
        <v>147</v>
      </c>
      <c r="C212" s="1">
        <v>0</v>
      </c>
      <c r="D212" s="1">
        <v>380.5</v>
      </c>
      <c r="E212" s="1" t="s">
        <v>74</v>
      </c>
      <c r="F212" s="1" t="s">
        <v>2947</v>
      </c>
      <c r="G212" s="3" t="s">
        <v>145</v>
      </c>
      <c r="H212" s="11">
        <f>ROUND(
IF(L212="GANCHO",
   IF(I212&lt;=50,I212*1.1+4,IF(I212&lt;=120,I212*1.1+7,IF(I212&lt;=250,I212*1.1+11,I212*1.1+19))),
IF(L212="NORMAL",
   IF(I212&lt;=30,I212*1.15+2,IF(I212&lt;=80,I212*1.15+4,IF(I212&lt;=150,I212*1.15+6,I212*1.15+8))),
IF(L212="COMPLEMENTO",
   IF(I212&lt;=25,I212*1.25+1.5,IF(I212&lt;=60,I212*1.25+3,IF(I212&lt;=120,I212*1.25+4,I212*1.25+5))),
""))),2)</f>
        <v>1757.49</v>
      </c>
      <c r="I212" s="9">
        <f>($K$2+0.02)*Tabla1[[#This Row],[PRECIO $]]*1.18</f>
        <v>1580.4447999999998</v>
      </c>
      <c r="J212" s="7">
        <f>+Tabla1[[#This Row],[PRECIO EN SOLES]]-Tabla1[[#This Row],[PC]]</f>
        <v>177.04520000000025</v>
      </c>
      <c r="K212" s="15"/>
      <c r="L212" s="15" t="str">
        <f t="shared" si="3"/>
        <v>GANCHO</v>
      </c>
    </row>
    <row r="213" spans="1:12" x14ac:dyDescent="0.25">
      <c r="A213" s="3" t="s">
        <v>4077</v>
      </c>
      <c r="B213" s="3" t="s">
        <v>4078</v>
      </c>
      <c r="C213" s="1">
        <v>20</v>
      </c>
      <c r="D213" s="1">
        <v>650</v>
      </c>
      <c r="E213" s="1" t="s">
        <v>851</v>
      </c>
      <c r="F213" s="1" t="s">
        <v>4079</v>
      </c>
      <c r="G213" s="3" t="s">
        <v>4080</v>
      </c>
      <c r="H213" s="11">
        <f>ROUND(
IF(L213="GANCHO",
   IF(I213&lt;=50,I213*1.1+4,IF(I213&lt;=120,I213*1.1+7,IF(I213&lt;=250,I213*1.1+11,I213*1.1+19))),
IF(L213="NORMAL",
   IF(I213&lt;=30,I213*1.15+2,IF(I213&lt;=80,I213*1.15+4,IF(I213&lt;=150,I213*1.15+6,I213*1.15+8))),
IF(L213="COMPLEMENTO",
   IF(I213&lt;=25,I213*1.25+1.5,IF(I213&lt;=60,I213*1.25+3,IF(I213&lt;=120,I213*1.25+4,I213*1.25+5))),
""))),2)</f>
        <v>2988.82</v>
      </c>
      <c r="I213" s="9">
        <f>($K$2+0.02)*Tabla1[[#This Row],[PRECIO $]]*1.18</f>
        <v>2699.8399999999997</v>
      </c>
      <c r="J213" s="7">
        <f>+Tabla1[[#This Row],[PRECIO EN SOLES]]-Tabla1[[#This Row],[PC]]</f>
        <v>288.98000000000047</v>
      </c>
      <c r="K213" s="15"/>
      <c r="L213" s="15" t="str">
        <f t="shared" si="3"/>
        <v>GANCHO</v>
      </c>
    </row>
    <row r="214" spans="1:12" x14ac:dyDescent="0.25">
      <c r="A214" s="3" t="s">
        <v>876</v>
      </c>
      <c r="B214" s="3" t="s">
        <v>877</v>
      </c>
      <c r="C214" s="1">
        <v>20</v>
      </c>
      <c r="D214" s="1">
        <v>727</v>
      </c>
      <c r="E214" s="1" t="s">
        <v>74</v>
      </c>
      <c r="F214" s="1" t="s">
        <v>2948</v>
      </c>
      <c r="G214" s="3" t="s">
        <v>878</v>
      </c>
      <c r="H214" s="11">
        <f>ROUND(
IF(L214="GANCHO",
   IF(I214&lt;=50,I214*1.1+4,IF(I214&lt;=120,I214*1.1+7,IF(I214&lt;=250,I214*1.1+11,I214*1.1+19))),
IF(L214="NORMAL",
   IF(I214&lt;=30,I214*1.15+2,IF(I214&lt;=80,I214*1.15+4,IF(I214&lt;=150,I214*1.15+6,I214*1.15+8))),
IF(L214="COMPLEMENTO",
   IF(I214&lt;=25,I214*1.25+1.5,IF(I214&lt;=60,I214*1.25+3,IF(I214&lt;=120,I214*1.25+4,I214*1.25+5))),
""))),2)</f>
        <v>3340.63</v>
      </c>
      <c r="I214" s="9">
        <f>($K$2+0.02)*Tabla1[[#This Row],[PRECIO $]]*1.18</f>
        <v>3019.6671999999999</v>
      </c>
      <c r="J214" s="7">
        <f>+Tabla1[[#This Row],[PRECIO EN SOLES]]-Tabla1[[#This Row],[PC]]</f>
        <v>320.96280000000024</v>
      </c>
      <c r="K214" s="15"/>
      <c r="L214" s="15" t="str">
        <f t="shared" si="3"/>
        <v>GANCHO</v>
      </c>
    </row>
    <row r="215" spans="1:12" x14ac:dyDescent="0.25">
      <c r="A215" s="3" t="s">
        <v>6401</v>
      </c>
      <c r="B215" s="3" t="s">
        <v>6402</v>
      </c>
      <c r="C215" s="1">
        <v>20</v>
      </c>
      <c r="D215" s="1">
        <v>664</v>
      </c>
      <c r="E215" s="1" t="s">
        <v>74</v>
      </c>
      <c r="F215" s="1" t="s">
        <v>6403</v>
      </c>
      <c r="G215" s="3" t="s">
        <v>6404</v>
      </c>
      <c r="H215" s="11">
        <f>ROUND(
IF(L215="GANCHO",
   IF(I215&lt;=50,I215*1.1+4,IF(I215&lt;=120,I215*1.1+7,IF(I215&lt;=250,I215*1.1+11,I215*1.1+19))),
IF(L215="NORMAL",
   IF(I215&lt;=30,I215*1.15+2,IF(I215&lt;=80,I215*1.15+4,IF(I215&lt;=150,I215*1.15+6,I215*1.15+8))),
IF(L215="COMPLEMENTO",
   IF(I215&lt;=25,I215*1.25+1.5,IF(I215&lt;=60,I215*1.25+3,IF(I215&lt;=120,I215*1.25+4,I215*1.25+5))),
""))),2)</f>
        <v>3052.79</v>
      </c>
      <c r="I215" s="9">
        <f>($K$2+0.02)*Tabla1[[#This Row],[PRECIO $]]*1.18</f>
        <v>2757.9904000000001</v>
      </c>
      <c r="J215" s="7">
        <f>+Tabla1[[#This Row],[PRECIO EN SOLES]]-Tabla1[[#This Row],[PC]]</f>
        <v>294.79959999999983</v>
      </c>
      <c r="K215" s="15"/>
      <c r="L215" s="15" t="str">
        <f t="shared" si="3"/>
        <v>GANCHO</v>
      </c>
    </row>
    <row r="216" spans="1:12" x14ac:dyDescent="0.25">
      <c r="A216" s="3" t="s">
        <v>6046</v>
      </c>
      <c r="B216" s="3" t="s">
        <v>6047</v>
      </c>
      <c r="C216" s="1">
        <v>20</v>
      </c>
      <c r="D216" s="1">
        <v>567</v>
      </c>
      <c r="E216" s="1" t="s">
        <v>74</v>
      </c>
      <c r="F216" s="1" t="s">
        <v>6048</v>
      </c>
      <c r="G216" s="3" t="s">
        <v>3956</v>
      </c>
      <c r="H216" s="11">
        <f>ROUND(
IF(L216="GANCHO",
   IF(I216&lt;=50,I216*1.1+4,IF(I216&lt;=120,I216*1.1+7,IF(I216&lt;=250,I216*1.1+11,I216*1.1+19))),
IF(L216="NORMAL",
   IF(I216&lt;=30,I216*1.15+2,IF(I216&lt;=80,I216*1.15+4,IF(I216&lt;=150,I216*1.15+6,I216*1.15+8))),
IF(L216="COMPLEMENTO",
   IF(I216&lt;=25,I216*1.25+1.5,IF(I216&lt;=60,I216*1.25+3,IF(I216&lt;=120,I216*1.25+4,I216*1.25+5))),
""))),2)</f>
        <v>2609.6</v>
      </c>
      <c r="I216" s="9">
        <f>($K$2+0.02)*Tabla1[[#This Row],[PRECIO $]]*1.18</f>
        <v>2355.0911999999998</v>
      </c>
      <c r="J216" s="7">
        <f>+Tabla1[[#This Row],[PRECIO EN SOLES]]-Tabla1[[#This Row],[PC]]</f>
        <v>254.50880000000006</v>
      </c>
      <c r="K216" s="15"/>
      <c r="L216" s="15" t="str">
        <f t="shared" si="3"/>
        <v>GANCHO</v>
      </c>
    </row>
    <row r="217" spans="1:12" x14ac:dyDescent="0.25">
      <c r="A217" s="3" t="s">
        <v>3957</v>
      </c>
      <c r="B217" s="3" t="s">
        <v>3958</v>
      </c>
      <c r="C217" s="1">
        <v>20</v>
      </c>
      <c r="D217" s="1">
        <v>625</v>
      </c>
      <c r="E217" s="1" t="s">
        <v>74</v>
      </c>
      <c r="F217" s="1" t="s">
        <v>3959</v>
      </c>
      <c r="G217" s="3" t="s">
        <v>3956</v>
      </c>
      <c r="H217" s="11">
        <f>ROUND(
IF(L217="GANCHO",
   IF(I217&lt;=50,I217*1.1+4,IF(I217&lt;=120,I217*1.1+7,IF(I217&lt;=250,I217*1.1+11,I217*1.1+19))),
IF(L217="NORMAL",
   IF(I217&lt;=30,I217*1.15+2,IF(I217&lt;=80,I217*1.15+4,IF(I217&lt;=150,I217*1.15+6,I217*1.15+8))),
IF(L217="COMPLEMENTO",
   IF(I217&lt;=25,I217*1.25+1.5,IF(I217&lt;=60,I217*1.25+3,IF(I217&lt;=120,I217*1.25+4,I217*1.25+5))),
""))),2)</f>
        <v>2874.6</v>
      </c>
      <c r="I217" s="9">
        <f>($K$2+0.02)*Tabla1[[#This Row],[PRECIO $]]*1.18</f>
        <v>2596</v>
      </c>
      <c r="J217" s="7">
        <f>+Tabla1[[#This Row],[PRECIO EN SOLES]]-Tabla1[[#This Row],[PC]]</f>
        <v>278.59999999999991</v>
      </c>
      <c r="K217" s="15"/>
      <c r="L217" s="15" t="str">
        <f t="shared" si="3"/>
        <v>GANCHO</v>
      </c>
    </row>
    <row r="218" spans="1:12" x14ac:dyDescent="0.25">
      <c r="A218" s="3" t="s">
        <v>879</v>
      </c>
      <c r="B218" s="3" t="s">
        <v>880</v>
      </c>
      <c r="C218" s="1">
        <v>11</v>
      </c>
      <c r="D218" s="1">
        <v>917</v>
      </c>
      <c r="E218" s="1" t="s">
        <v>783</v>
      </c>
      <c r="F218" s="1" t="s">
        <v>2949</v>
      </c>
      <c r="G218" s="3" t="s">
        <v>881</v>
      </c>
      <c r="H218" s="11">
        <f>ROUND(
IF(L218="GANCHO",
   IF(I218&lt;=50,I218*1.1+4,IF(I218&lt;=120,I218*1.1+7,IF(I218&lt;=250,I218*1.1+11,I218*1.1+19))),
IF(L218="NORMAL",
   IF(I218&lt;=30,I218*1.15+2,IF(I218&lt;=80,I218*1.15+4,IF(I218&lt;=150,I218*1.15+6,I218*1.15+8))),
IF(L218="COMPLEMENTO",
   IF(I218&lt;=25,I218*1.25+1.5,IF(I218&lt;=60,I218*1.25+3,IF(I218&lt;=120,I218*1.25+4,I218*1.25+5))),
""))),2)</f>
        <v>4208.74</v>
      </c>
      <c r="I218" s="9">
        <f>($K$2+0.02)*Tabla1[[#This Row],[PRECIO $]]*1.18</f>
        <v>3808.8512000000001</v>
      </c>
      <c r="J218" s="7">
        <f>+Tabla1[[#This Row],[PRECIO EN SOLES]]-Tabla1[[#This Row],[PC]]</f>
        <v>399.88879999999972</v>
      </c>
      <c r="K218" s="15"/>
      <c r="L218" s="15" t="str">
        <f t="shared" si="3"/>
        <v>GANCHO</v>
      </c>
    </row>
    <row r="219" spans="1:12" x14ac:dyDescent="0.25">
      <c r="A219" s="3" t="s">
        <v>4829</v>
      </c>
      <c r="B219" s="3" t="s">
        <v>4830</v>
      </c>
      <c r="C219" s="1">
        <v>20</v>
      </c>
      <c r="D219" s="1">
        <v>747</v>
      </c>
      <c r="E219" s="1" t="s">
        <v>74</v>
      </c>
      <c r="F219" s="1" t="s">
        <v>4831</v>
      </c>
      <c r="G219" s="3" t="s">
        <v>5828</v>
      </c>
      <c r="H219" s="11">
        <f>ROUND(
IF(L219="GANCHO",
   IF(I219&lt;=50,I219*1.1+4,IF(I219&lt;=120,I219*1.1+7,IF(I219&lt;=250,I219*1.1+11,I219*1.1+19))),
IF(L219="NORMAL",
   IF(I219&lt;=30,I219*1.15+2,IF(I219&lt;=80,I219*1.15+4,IF(I219&lt;=150,I219*1.15+6,I219*1.15+8))),
IF(L219="COMPLEMENTO",
   IF(I219&lt;=25,I219*1.25+1.5,IF(I219&lt;=60,I219*1.25+3,IF(I219&lt;=120,I219*1.25+4,I219*1.25+5))),
""))),2)</f>
        <v>3432.01</v>
      </c>
      <c r="I219" s="9">
        <f>($K$2+0.02)*Tabla1[[#This Row],[PRECIO $]]*1.18</f>
        <v>3102.7392</v>
      </c>
      <c r="J219" s="7">
        <f>+Tabla1[[#This Row],[PRECIO EN SOLES]]-Tabla1[[#This Row],[PC]]</f>
        <v>329.27080000000024</v>
      </c>
      <c r="K219" s="15"/>
      <c r="L219" s="15" t="str">
        <f t="shared" si="3"/>
        <v>GANCHO</v>
      </c>
    </row>
    <row r="220" spans="1:12" x14ac:dyDescent="0.25">
      <c r="A220" s="3" t="s">
        <v>6049</v>
      </c>
      <c r="B220" s="3" t="s">
        <v>6050</v>
      </c>
      <c r="C220" s="1">
        <v>4</v>
      </c>
      <c r="D220" s="1">
        <v>867</v>
      </c>
      <c r="E220" s="1" t="s">
        <v>74</v>
      </c>
      <c r="F220" s="1" t="s">
        <v>6051</v>
      </c>
      <c r="G220" s="3" t="s">
        <v>5828</v>
      </c>
      <c r="H220" s="11">
        <f>ROUND(
IF(L220="GANCHO",
   IF(I220&lt;=50,I220*1.1+4,IF(I220&lt;=120,I220*1.1+7,IF(I220&lt;=250,I220*1.1+11,I220*1.1+19))),
IF(L220="NORMAL",
   IF(I220&lt;=30,I220*1.15+2,IF(I220&lt;=80,I220*1.15+4,IF(I220&lt;=150,I220*1.15+6,I220*1.15+8))),
IF(L220="COMPLEMENTO",
   IF(I220&lt;=25,I220*1.25+1.5,IF(I220&lt;=60,I220*1.25+3,IF(I220&lt;=120,I220*1.25+4,I220*1.25+5))),
""))),2)</f>
        <v>3980.29</v>
      </c>
      <c r="I220" s="9">
        <f>($K$2+0.02)*Tabla1[[#This Row],[PRECIO $]]*1.18</f>
        <v>3601.1711999999998</v>
      </c>
      <c r="J220" s="7">
        <f>+Tabla1[[#This Row],[PRECIO EN SOLES]]-Tabla1[[#This Row],[PC]]</f>
        <v>379.11880000000019</v>
      </c>
      <c r="K220" s="15"/>
      <c r="L220" s="15" t="str">
        <f t="shared" si="3"/>
        <v>GANCHO</v>
      </c>
    </row>
    <row r="221" spans="1:12" x14ac:dyDescent="0.25">
      <c r="A221" s="3" t="s">
        <v>882</v>
      </c>
      <c r="B221" s="3" t="s">
        <v>883</v>
      </c>
      <c r="C221" s="1">
        <v>20</v>
      </c>
      <c r="D221" s="1">
        <v>827</v>
      </c>
      <c r="E221" s="1" t="s">
        <v>74</v>
      </c>
      <c r="F221" s="1" t="s">
        <v>2950</v>
      </c>
      <c r="G221" s="3" t="s">
        <v>884</v>
      </c>
      <c r="H221" s="11">
        <f>ROUND(
IF(L221="GANCHO",
   IF(I221&lt;=50,I221*1.1+4,IF(I221&lt;=120,I221*1.1+7,IF(I221&lt;=250,I221*1.1+11,I221*1.1+19))),
IF(L221="NORMAL",
   IF(I221&lt;=30,I221*1.15+2,IF(I221&lt;=80,I221*1.15+4,IF(I221&lt;=150,I221*1.15+6,I221*1.15+8))),
IF(L221="COMPLEMENTO",
   IF(I221&lt;=25,I221*1.25+1.5,IF(I221&lt;=60,I221*1.25+3,IF(I221&lt;=120,I221*1.25+4,I221*1.25+5))),
""))),2)</f>
        <v>3797.53</v>
      </c>
      <c r="I221" s="9">
        <f>($K$2+0.02)*Tabla1[[#This Row],[PRECIO $]]*1.18</f>
        <v>3435.0272</v>
      </c>
      <c r="J221" s="7">
        <f>+Tabla1[[#This Row],[PRECIO EN SOLES]]-Tabla1[[#This Row],[PC]]</f>
        <v>362.50280000000021</v>
      </c>
      <c r="K221" s="15"/>
      <c r="L221" s="15" t="str">
        <f t="shared" si="3"/>
        <v>GANCHO</v>
      </c>
    </row>
    <row r="222" spans="1:12" x14ac:dyDescent="0.25">
      <c r="A222" s="3" t="s">
        <v>885</v>
      </c>
      <c r="B222" s="3" t="s">
        <v>886</v>
      </c>
      <c r="C222" s="1">
        <v>14</v>
      </c>
      <c r="D222" s="1">
        <v>780</v>
      </c>
      <c r="E222" s="1" t="s">
        <v>148</v>
      </c>
      <c r="F222" s="1" t="s">
        <v>2951</v>
      </c>
      <c r="G222" s="3" t="s">
        <v>887</v>
      </c>
      <c r="H222" s="11">
        <f>ROUND(
IF(L222="GANCHO",
   IF(I222&lt;=50,I222*1.1+4,IF(I222&lt;=120,I222*1.1+7,IF(I222&lt;=250,I222*1.1+11,I222*1.1+19))),
IF(L222="NORMAL",
   IF(I222&lt;=30,I222*1.15+2,IF(I222&lt;=80,I222*1.15+4,IF(I222&lt;=150,I222*1.15+6,I222*1.15+8))),
IF(L222="COMPLEMENTO",
   IF(I222&lt;=25,I222*1.25+1.5,IF(I222&lt;=60,I222*1.25+3,IF(I222&lt;=120,I222*1.25+4,I222*1.25+5))),
""))),2)</f>
        <v>3582.79</v>
      </c>
      <c r="I222" s="9">
        <f>($K$2+0.02)*Tabla1[[#This Row],[PRECIO $]]*1.18</f>
        <v>3239.8079999999995</v>
      </c>
      <c r="J222" s="7">
        <f>+Tabla1[[#This Row],[PRECIO EN SOLES]]-Tabla1[[#This Row],[PC]]</f>
        <v>342.98200000000043</v>
      </c>
      <c r="K222" s="15"/>
      <c r="L222" s="15" t="str">
        <f t="shared" si="3"/>
        <v>GANCHO</v>
      </c>
    </row>
    <row r="223" spans="1:12" x14ac:dyDescent="0.25">
      <c r="A223" s="3" t="s">
        <v>888</v>
      </c>
      <c r="B223" s="3" t="s">
        <v>889</v>
      </c>
      <c r="C223" s="1">
        <v>0</v>
      </c>
      <c r="D223" s="1">
        <v>606</v>
      </c>
      <c r="E223" s="1" t="s">
        <v>74</v>
      </c>
      <c r="F223" s="1" t="s">
        <v>2952</v>
      </c>
      <c r="G223" s="3" t="s">
        <v>890</v>
      </c>
      <c r="H223" s="11">
        <f>ROUND(
IF(L223="GANCHO",
   IF(I223&lt;=50,I223*1.1+4,IF(I223&lt;=120,I223*1.1+7,IF(I223&lt;=250,I223*1.1+11,I223*1.1+19))),
IF(L223="NORMAL",
   IF(I223&lt;=30,I223*1.15+2,IF(I223&lt;=80,I223*1.15+4,IF(I223&lt;=150,I223*1.15+6,I223*1.15+8))),
IF(L223="COMPLEMENTO",
   IF(I223&lt;=25,I223*1.25+1.5,IF(I223&lt;=60,I223*1.25+3,IF(I223&lt;=120,I223*1.25+4,I223*1.25+5))),
""))),2)</f>
        <v>2787.79</v>
      </c>
      <c r="I223" s="9">
        <f>($K$2+0.02)*Tabla1[[#This Row],[PRECIO $]]*1.18</f>
        <v>2517.0815999999995</v>
      </c>
      <c r="J223" s="7">
        <f>+Tabla1[[#This Row],[PRECIO EN SOLES]]-Tabla1[[#This Row],[PC]]</f>
        <v>270.70840000000044</v>
      </c>
      <c r="K223" s="15"/>
      <c r="L223" s="15" t="str">
        <f t="shared" si="3"/>
        <v>GANCHO</v>
      </c>
    </row>
    <row r="224" spans="1:12" x14ac:dyDescent="0.25">
      <c r="A224" s="3" t="s">
        <v>891</v>
      </c>
      <c r="B224" s="3" t="s">
        <v>892</v>
      </c>
      <c r="C224" s="1">
        <v>2</v>
      </c>
      <c r="D224" s="1">
        <v>887</v>
      </c>
      <c r="E224" s="1" t="s">
        <v>148</v>
      </c>
      <c r="F224" s="1" t="s">
        <v>2953</v>
      </c>
      <c r="G224" s="3" t="s">
        <v>893</v>
      </c>
      <c r="H224" s="11">
        <f>ROUND(
IF(L224="GANCHO",
   IF(I224&lt;=50,I224*1.1+4,IF(I224&lt;=120,I224*1.1+7,IF(I224&lt;=250,I224*1.1+11,I224*1.1+19))),
IF(L224="NORMAL",
   IF(I224&lt;=30,I224*1.15+2,IF(I224&lt;=80,I224*1.15+4,IF(I224&lt;=150,I224*1.15+6,I224*1.15+8))),
IF(L224="COMPLEMENTO",
   IF(I224&lt;=25,I224*1.25+1.5,IF(I224&lt;=60,I224*1.25+3,IF(I224&lt;=120,I224*1.25+4,I224*1.25+5))),
""))),2)</f>
        <v>4071.67</v>
      </c>
      <c r="I224" s="9">
        <f>($K$2+0.02)*Tabla1[[#This Row],[PRECIO $]]*1.18</f>
        <v>3684.2431999999999</v>
      </c>
      <c r="J224" s="7">
        <f>+Tabla1[[#This Row],[PRECIO EN SOLES]]-Tabla1[[#This Row],[PC]]</f>
        <v>387.42680000000018</v>
      </c>
      <c r="K224" s="15"/>
      <c r="L224" s="15" t="str">
        <f t="shared" si="3"/>
        <v>GANCHO</v>
      </c>
    </row>
    <row r="225" spans="1:12" x14ac:dyDescent="0.25">
      <c r="A225" s="3" t="s">
        <v>895</v>
      </c>
      <c r="B225" s="3" t="s">
        <v>896</v>
      </c>
      <c r="C225" s="1">
        <v>20</v>
      </c>
      <c r="D225" s="1">
        <v>677</v>
      </c>
      <c r="E225" s="1" t="s">
        <v>74</v>
      </c>
      <c r="F225" s="1" t="s">
        <v>2954</v>
      </c>
      <c r="G225" s="3" t="s">
        <v>894</v>
      </c>
      <c r="H225" s="11">
        <f>ROUND(
IF(L225="GANCHO",
   IF(I225&lt;=50,I225*1.1+4,IF(I225&lt;=120,I225*1.1+7,IF(I225&lt;=250,I225*1.1+11,I225*1.1+19))),
IF(L225="NORMAL",
   IF(I225&lt;=30,I225*1.15+2,IF(I225&lt;=80,I225*1.15+4,IF(I225&lt;=150,I225*1.15+6,I225*1.15+8))),
IF(L225="COMPLEMENTO",
   IF(I225&lt;=25,I225*1.25+1.5,IF(I225&lt;=60,I225*1.25+3,IF(I225&lt;=120,I225*1.25+4,I225*1.25+5))),
""))),2)</f>
        <v>3112.19</v>
      </c>
      <c r="I225" s="9">
        <f>($K$2+0.02)*Tabla1[[#This Row],[PRECIO $]]*1.18</f>
        <v>2811.9872</v>
      </c>
      <c r="J225" s="7">
        <f>+Tabla1[[#This Row],[PRECIO EN SOLES]]-Tabla1[[#This Row],[PC]]</f>
        <v>300.20280000000002</v>
      </c>
      <c r="K225" s="15"/>
      <c r="L225" s="15" t="str">
        <f t="shared" si="3"/>
        <v>GANCHO</v>
      </c>
    </row>
    <row r="226" spans="1:12" x14ac:dyDescent="0.25">
      <c r="A226" s="3" t="s">
        <v>897</v>
      </c>
      <c r="B226" s="3" t="s">
        <v>898</v>
      </c>
      <c r="C226" s="1">
        <v>20</v>
      </c>
      <c r="D226" s="1">
        <v>965</v>
      </c>
      <c r="E226" s="1" t="s">
        <v>148</v>
      </c>
      <c r="F226" s="1" t="s">
        <v>2955</v>
      </c>
      <c r="G226" s="3" t="s">
        <v>899</v>
      </c>
      <c r="H226" s="11">
        <f>ROUND(
IF(L226="GANCHO",
   IF(I226&lt;=50,I226*1.1+4,IF(I226&lt;=120,I226*1.1+7,IF(I226&lt;=250,I226*1.1+11,I226*1.1+19))),
IF(L226="NORMAL",
   IF(I226&lt;=30,I226*1.15+2,IF(I226&lt;=80,I226*1.15+4,IF(I226&lt;=150,I226*1.15+6,I226*1.15+8))),
IF(L226="COMPLEMENTO",
   IF(I226&lt;=25,I226*1.25+1.5,IF(I226&lt;=60,I226*1.25+3,IF(I226&lt;=120,I226*1.25+4,I226*1.25+5))),
""))),2)</f>
        <v>4428.05</v>
      </c>
      <c r="I226" s="9">
        <f>($K$2+0.02)*Tabla1[[#This Row],[PRECIO $]]*1.18</f>
        <v>4008.2240000000002</v>
      </c>
      <c r="J226" s="7">
        <f>+Tabla1[[#This Row],[PRECIO EN SOLES]]-Tabla1[[#This Row],[PC]]</f>
        <v>419.82600000000002</v>
      </c>
      <c r="K226" s="15"/>
      <c r="L226" s="15" t="str">
        <f t="shared" si="3"/>
        <v>GANCHO</v>
      </c>
    </row>
    <row r="227" spans="1:12" x14ac:dyDescent="0.25">
      <c r="A227" s="3" t="s">
        <v>4520</v>
      </c>
      <c r="B227" s="3" t="s">
        <v>4521</v>
      </c>
      <c r="C227" s="1">
        <v>20</v>
      </c>
      <c r="D227" s="1">
        <v>1175</v>
      </c>
      <c r="E227" s="1" t="s">
        <v>56</v>
      </c>
      <c r="F227" s="1" t="s">
        <v>4522</v>
      </c>
      <c r="G227" s="3" t="s">
        <v>6934</v>
      </c>
      <c r="H227" s="11">
        <f>ROUND(
IF(L227="GANCHO",
   IF(I227&lt;=50,I227*1.1+4,IF(I227&lt;=120,I227*1.1+7,IF(I227&lt;=250,I227*1.1+11,I227*1.1+19))),
IF(L227="NORMAL",
   IF(I227&lt;=30,I227*1.15+2,IF(I227&lt;=80,I227*1.15+4,IF(I227&lt;=150,I227*1.15+6,I227*1.15+8))),
IF(L227="COMPLEMENTO",
   IF(I227&lt;=25,I227*1.25+1.5,IF(I227&lt;=60,I227*1.25+3,IF(I227&lt;=120,I227*1.25+4,I227*1.25+5))),
""))),2)</f>
        <v>5387.53</v>
      </c>
      <c r="I227" s="9">
        <f>($K$2+0.02)*Tabla1[[#This Row],[PRECIO $]]*1.18</f>
        <v>4880.4799999999996</v>
      </c>
      <c r="J227" s="7">
        <f>+Tabla1[[#This Row],[PRECIO EN SOLES]]-Tabla1[[#This Row],[PC]]</f>
        <v>507.05000000000018</v>
      </c>
      <c r="K227" s="15"/>
      <c r="L227" s="15" t="str">
        <f t="shared" si="3"/>
        <v>GANCHO</v>
      </c>
    </row>
    <row r="228" spans="1:12" x14ac:dyDescent="0.25">
      <c r="A228" s="3" t="s">
        <v>5306</v>
      </c>
      <c r="B228" s="3" t="s">
        <v>5307</v>
      </c>
      <c r="C228" s="1">
        <v>2</v>
      </c>
      <c r="D228" s="1">
        <v>337</v>
      </c>
      <c r="E228" s="1" t="s">
        <v>54</v>
      </c>
      <c r="F228" s="1" t="s">
        <v>5308</v>
      </c>
      <c r="G228" s="3" t="s">
        <v>5309</v>
      </c>
      <c r="H228" s="11">
        <f>ROUND(
IF(L228="GANCHO",
   IF(I228&lt;=50,I228*1.1+4,IF(I228&lt;=120,I228*1.1+7,IF(I228&lt;=250,I228*1.1+11,I228*1.1+19))),
IF(L228="NORMAL",
   IF(I228&lt;=30,I228*1.15+2,IF(I228&lt;=80,I228*1.15+4,IF(I228&lt;=150,I228*1.15+6,I228*1.15+8))),
IF(L228="COMPLEMENTO",
   IF(I228&lt;=25,I228*1.25+1.5,IF(I228&lt;=60,I228*1.25+3,IF(I228&lt;=120,I228*1.25+4,I228*1.25+5))),
""))),2)</f>
        <v>1558.74</v>
      </c>
      <c r="I228" s="9">
        <f>($K$2+0.02)*Tabla1[[#This Row],[PRECIO $]]*1.18</f>
        <v>1399.7631999999999</v>
      </c>
      <c r="J228" s="7">
        <f>+Tabla1[[#This Row],[PRECIO EN SOLES]]-Tabla1[[#This Row],[PC]]</f>
        <v>158.97680000000014</v>
      </c>
      <c r="K228" s="15"/>
      <c r="L228" s="15" t="str">
        <f t="shared" si="3"/>
        <v>GANCHO</v>
      </c>
    </row>
    <row r="229" spans="1:12" x14ac:dyDescent="0.25">
      <c r="A229" s="3" t="s">
        <v>6808</v>
      </c>
      <c r="B229" s="3" t="s">
        <v>6809</v>
      </c>
      <c r="C229" s="1">
        <v>20</v>
      </c>
      <c r="D229" s="1">
        <v>427</v>
      </c>
      <c r="E229" s="1" t="s">
        <v>54</v>
      </c>
      <c r="F229" s="1" t="s">
        <v>6810</v>
      </c>
      <c r="G229" s="3" t="s">
        <v>6811</v>
      </c>
      <c r="H229" s="11">
        <f>ROUND(
IF(L229="GANCHO",
   IF(I229&lt;=50,I229*1.1+4,IF(I229&lt;=120,I229*1.1+7,IF(I229&lt;=250,I229*1.1+11,I229*1.1+19))),
IF(L229="NORMAL",
   IF(I229&lt;=30,I229*1.15+2,IF(I229&lt;=80,I229*1.15+4,IF(I229&lt;=150,I229*1.15+6,I229*1.15+8))),
IF(L229="COMPLEMENTO",
   IF(I229&lt;=25,I229*1.25+1.5,IF(I229&lt;=60,I229*1.25+3,IF(I229&lt;=120,I229*1.25+4,I229*1.25+5))),
""))),2)</f>
        <v>1969.95</v>
      </c>
      <c r="I229" s="9">
        <f>($K$2+0.02)*Tabla1[[#This Row],[PRECIO $]]*1.18</f>
        <v>1773.5871999999999</v>
      </c>
      <c r="J229" s="7">
        <f>+Tabla1[[#This Row],[PRECIO EN SOLES]]-Tabla1[[#This Row],[PC]]</f>
        <v>196.36280000000011</v>
      </c>
      <c r="K229" s="15"/>
      <c r="L229" s="15" t="str">
        <f t="shared" si="3"/>
        <v>GANCHO</v>
      </c>
    </row>
    <row r="230" spans="1:12" x14ac:dyDescent="0.25">
      <c r="A230" s="3" t="s">
        <v>5310</v>
      </c>
      <c r="B230" s="3" t="s">
        <v>5311</v>
      </c>
      <c r="C230" s="1">
        <v>2</v>
      </c>
      <c r="D230" s="1">
        <v>1097</v>
      </c>
      <c r="E230" s="1" t="s">
        <v>54</v>
      </c>
      <c r="F230" s="1" t="s">
        <v>5312</v>
      </c>
      <c r="G230" s="3"/>
      <c r="H230" s="11">
        <f>ROUND(
IF(L230="GANCHO",
   IF(I230&lt;=50,I230*1.1+4,IF(I230&lt;=120,I230*1.1+7,IF(I230&lt;=250,I230*1.1+11,I230*1.1+19))),
IF(L230="NORMAL",
   IF(I230&lt;=30,I230*1.15+2,IF(I230&lt;=80,I230*1.15+4,IF(I230&lt;=150,I230*1.15+6,I230*1.15+8))),
IF(L230="COMPLEMENTO",
   IF(I230&lt;=25,I230*1.25+1.5,IF(I230&lt;=60,I230*1.25+3,IF(I230&lt;=120,I230*1.25+4,I230*1.25+5))),
""))),2)</f>
        <v>5031.1499999999996</v>
      </c>
      <c r="I230" s="9">
        <f>($K$2+0.02)*Tabla1[[#This Row],[PRECIO $]]*1.18</f>
        <v>4556.4992000000002</v>
      </c>
      <c r="J230" s="7">
        <f>+Tabla1[[#This Row],[PRECIO EN SOLES]]-Tabla1[[#This Row],[PC]]</f>
        <v>474.65079999999944</v>
      </c>
      <c r="K230" s="15"/>
      <c r="L230" s="15" t="str">
        <f t="shared" si="3"/>
        <v>GANCHO</v>
      </c>
    </row>
    <row r="231" spans="1:12" x14ac:dyDescent="0.25">
      <c r="A231" s="3" t="s">
        <v>900</v>
      </c>
      <c r="B231" s="3" t="s">
        <v>901</v>
      </c>
      <c r="C231" s="1">
        <v>20</v>
      </c>
      <c r="D231" s="1">
        <v>897</v>
      </c>
      <c r="E231" s="1" t="s">
        <v>56</v>
      </c>
      <c r="F231" s="1" t="s">
        <v>2956</v>
      </c>
      <c r="G231" s="3" t="s">
        <v>902</v>
      </c>
      <c r="H231" s="11">
        <f>ROUND(
IF(L231="GANCHO",
   IF(I231&lt;=50,I231*1.1+4,IF(I231&lt;=120,I231*1.1+7,IF(I231&lt;=250,I231*1.1+11,I231*1.1+19))),
IF(L231="NORMAL",
   IF(I231&lt;=30,I231*1.15+2,IF(I231&lt;=80,I231*1.15+4,IF(I231&lt;=150,I231*1.15+6,I231*1.15+8))),
IF(L231="COMPLEMENTO",
   IF(I231&lt;=25,I231*1.25+1.5,IF(I231&lt;=60,I231*1.25+3,IF(I231&lt;=120,I231*1.25+4,I231*1.25+5))),
""))),2)</f>
        <v>4117.3599999999997</v>
      </c>
      <c r="I231" s="9">
        <f>($K$2+0.02)*Tabla1[[#This Row],[PRECIO $]]*1.18</f>
        <v>3725.7791999999999</v>
      </c>
      <c r="J231" s="7">
        <f>+Tabla1[[#This Row],[PRECIO EN SOLES]]-Tabla1[[#This Row],[PC]]</f>
        <v>391.58079999999973</v>
      </c>
      <c r="K231" s="15"/>
      <c r="L231" s="15" t="str">
        <f t="shared" si="3"/>
        <v>GANCHO</v>
      </c>
    </row>
    <row r="232" spans="1:12" x14ac:dyDescent="0.25">
      <c r="A232" s="3" t="s">
        <v>2822</v>
      </c>
      <c r="B232" s="3" t="s">
        <v>2823</v>
      </c>
      <c r="C232" s="1">
        <v>5</v>
      </c>
      <c r="D232" s="1">
        <v>477</v>
      </c>
      <c r="E232" s="1" t="s">
        <v>54</v>
      </c>
      <c r="F232" s="1" t="s">
        <v>2957</v>
      </c>
      <c r="G232" s="3" t="s">
        <v>2824</v>
      </c>
      <c r="H232" s="11">
        <f>ROUND(
IF(L232="GANCHO",
   IF(I232&lt;=50,I232*1.1+4,IF(I232&lt;=120,I232*1.1+7,IF(I232&lt;=250,I232*1.1+11,I232*1.1+19))),
IF(L232="NORMAL",
   IF(I232&lt;=30,I232*1.15+2,IF(I232&lt;=80,I232*1.15+4,IF(I232&lt;=150,I232*1.15+6,I232*1.15+8))),
IF(L232="COMPLEMENTO",
   IF(I232&lt;=25,I232*1.25+1.5,IF(I232&lt;=60,I232*1.25+3,IF(I232&lt;=120,I232*1.25+4,I232*1.25+5))),
""))),2)</f>
        <v>2198.39</v>
      </c>
      <c r="I232" s="9">
        <f>($K$2+0.02)*Tabla1[[#This Row],[PRECIO $]]*1.18</f>
        <v>1981.2671999999998</v>
      </c>
      <c r="J232" s="7">
        <f>+Tabla1[[#This Row],[PRECIO EN SOLES]]-Tabla1[[#This Row],[PC]]</f>
        <v>217.1228000000001</v>
      </c>
      <c r="K232" s="15"/>
      <c r="L232" s="15" t="str">
        <f t="shared" si="3"/>
        <v>GANCHO</v>
      </c>
    </row>
    <row r="233" spans="1:12" x14ac:dyDescent="0.25">
      <c r="A233" s="3" t="s">
        <v>903</v>
      </c>
      <c r="B233" s="3" t="s">
        <v>904</v>
      </c>
      <c r="C233" s="1">
        <v>20</v>
      </c>
      <c r="D233" s="1">
        <v>997</v>
      </c>
      <c r="E233" s="1" t="s">
        <v>56</v>
      </c>
      <c r="F233" s="1" t="s">
        <v>2958</v>
      </c>
      <c r="G233" s="3" t="s">
        <v>905</v>
      </c>
      <c r="H233" s="11">
        <f>ROUND(
IF(L233="GANCHO",
   IF(I233&lt;=50,I233*1.1+4,IF(I233&lt;=120,I233*1.1+7,IF(I233&lt;=250,I233*1.1+11,I233*1.1+19))),
IF(L233="NORMAL",
   IF(I233&lt;=30,I233*1.15+2,IF(I233&lt;=80,I233*1.15+4,IF(I233&lt;=150,I233*1.15+6,I233*1.15+8))),
IF(L233="COMPLEMENTO",
   IF(I233&lt;=25,I233*1.25+1.5,IF(I233&lt;=60,I233*1.25+3,IF(I233&lt;=120,I233*1.25+4,I233*1.25+5))),
""))),2)</f>
        <v>4574.25</v>
      </c>
      <c r="I233" s="9">
        <f>($K$2+0.02)*Tabla1[[#This Row],[PRECIO $]]*1.18</f>
        <v>4141.1391999999996</v>
      </c>
      <c r="J233" s="7">
        <f>+Tabla1[[#This Row],[PRECIO EN SOLES]]-Tabla1[[#This Row],[PC]]</f>
        <v>433.11080000000038</v>
      </c>
      <c r="K233" s="15"/>
      <c r="L233" s="15" t="str">
        <f t="shared" si="3"/>
        <v>GANCHO</v>
      </c>
    </row>
    <row r="234" spans="1:12" x14ac:dyDescent="0.25">
      <c r="A234" s="3" t="s">
        <v>5313</v>
      </c>
      <c r="B234" s="3" t="s">
        <v>5314</v>
      </c>
      <c r="C234" s="1">
        <v>0</v>
      </c>
      <c r="D234" s="1">
        <v>734</v>
      </c>
      <c r="E234" s="1" t="s">
        <v>783</v>
      </c>
      <c r="F234" s="1" t="s">
        <v>5315</v>
      </c>
      <c r="G234" s="3" t="s">
        <v>6405</v>
      </c>
      <c r="H234" s="11">
        <f>ROUND(
IF(L234="GANCHO",
   IF(I234&lt;=50,I234*1.1+4,IF(I234&lt;=120,I234*1.1+7,IF(I234&lt;=250,I234*1.1+11,I234*1.1+19))),
IF(L234="NORMAL",
   IF(I234&lt;=30,I234*1.15+2,IF(I234&lt;=80,I234*1.15+4,IF(I234&lt;=150,I234*1.15+6,I234*1.15+8))),
IF(L234="COMPLEMENTO",
   IF(I234&lt;=25,I234*1.25+1.5,IF(I234&lt;=60,I234*1.25+3,IF(I234&lt;=120,I234*1.25+4,I234*1.25+5))),
""))),2)</f>
        <v>3372.62</v>
      </c>
      <c r="I234" s="9">
        <f>($K$2+0.02)*Tabla1[[#This Row],[PRECIO $]]*1.18</f>
        <v>3048.7423999999996</v>
      </c>
      <c r="J234" s="7">
        <f>+Tabla1[[#This Row],[PRECIO EN SOLES]]-Tabla1[[#This Row],[PC]]</f>
        <v>323.87760000000026</v>
      </c>
      <c r="K234" s="15"/>
      <c r="L234" s="15" t="str">
        <f t="shared" si="3"/>
        <v>GANCHO</v>
      </c>
    </row>
    <row r="235" spans="1:12" x14ac:dyDescent="0.25">
      <c r="A235" s="3" t="s">
        <v>906</v>
      </c>
      <c r="B235" s="3" t="s">
        <v>147</v>
      </c>
      <c r="C235" s="1">
        <v>20</v>
      </c>
      <c r="D235" s="1">
        <v>334</v>
      </c>
      <c r="E235" s="1" t="s">
        <v>783</v>
      </c>
      <c r="F235" s="1" t="s">
        <v>2959</v>
      </c>
      <c r="G235" s="3" t="s">
        <v>907</v>
      </c>
      <c r="H235" s="11">
        <f>ROUND(
IF(L235="GANCHO",
   IF(I235&lt;=50,I235*1.1+4,IF(I235&lt;=120,I235*1.1+7,IF(I235&lt;=250,I235*1.1+11,I235*1.1+19))),
IF(L235="NORMAL",
   IF(I235&lt;=30,I235*1.15+2,IF(I235&lt;=80,I235*1.15+4,IF(I235&lt;=150,I235*1.15+6,I235*1.15+8))),
IF(L235="COMPLEMENTO",
   IF(I235&lt;=25,I235*1.25+1.5,IF(I235&lt;=60,I235*1.25+3,IF(I235&lt;=120,I235*1.25+4,I235*1.25+5))),
""))),2)</f>
        <v>1545.03</v>
      </c>
      <c r="I235" s="9">
        <f>($K$2+0.02)*Tabla1[[#This Row],[PRECIO $]]*1.18</f>
        <v>1387.3024</v>
      </c>
      <c r="J235" s="7">
        <f>+Tabla1[[#This Row],[PRECIO EN SOLES]]-Tabla1[[#This Row],[PC]]</f>
        <v>157.72759999999994</v>
      </c>
      <c r="K235" s="15"/>
      <c r="L235" s="15" t="str">
        <f t="shared" si="3"/>
        <v>GANCHO</v>
      </c>
    </row>
    <row r="236" spans="1:12" x14ac:dyDescent="0.25">
      <c r="A236" s="3" t="s">
        <v>6406</v>
      </c>
      <c r="B236" s="3" t="s">
        <v>6407</v>
      </c>
      <c r="C236" s="1">
        <v>20</v>
      </c>
      <c r="D236" s="1">
        <v>427</v>
      </c>
      <c r="E236" s="1" t="s">
        <v>54</v>
      </c>
      <c r="F236" s="1" t="s">
        <v>6408</v>
      </c>
      <c r="G236" s="3" t="s">
        <v>6409</v>
      </c>
      <c r="H236" s="11">
        <f>ROUND(
IF(L236="GANCHO",
   IF(I236&lt;=50,I236*1.1+4,IF(I236&lt;=120,I236*1.1+7,IF(I236&lt;=250,I236*1.1+11,I236*1.1+19))),
IF(L236="NORMAL",
   IF(I236&lt;=30,I236*1.15+2,IF(I236&lt;=80,I236*1.15+4,IF(I236&lt;=150,I236*1.15+6,I236*1.15+8))),
IF(L236="COMPLEMENTO",
   IF(I236&lt;=25,I236*1.25+1.5,IF(I236&lt;=60,I236*1.25+3,IF(I236&lt;=120,I236*1.25+4,I236*1.25+5))),
""))),2)</f>
        <v>2047.63</v>
      </c>
      <c r="I236" s="9">
        <f>($K$2+0.02)*Tabla1[[#This Row],[PRECIO $]]*1.18</f>
        <v>1773.5871999999999</v>
      </c>
      <c r="J236" s="7">
        <f>+Tabla1[[#This Row],[PRECIO EN SOLES]]-Tabla1[[#This Row],[PC]]</f>
        <v>274.04280000000017</v>
      </c>
      <c r="K236" s="15"/>
      <c r="L236" s="15" t="str">
        <f t="shared" si="3"/>
        <v>NORMAL</v>
      </c>
    </row>
    <row r="237" spans="1:12" x14ac:dyDescent="0.25">
      <c r="A237" s="3" t="s">
        <v>6052</v>
      </c>
      <c r="B237" s="3" t="s">
        <v>6053</v>
      </c>
      <c r="C237" s="1">
        <v>1</v>
      </c>
      <c r="D237" s="1">
        <v>641</v>
      </c>
      <c r="E237" s="1" t="s">
        <v>54</v>
      </c>
      <c r="F237" s="1" t="s">
        <v>6054</v>
      </c>
      <c r="G237" s="3"/>
      <c r="H237" s="11">
        <f>ROUND(
IF(L237="GANCHO",
   IF(I237&lt;=50,I237*1.1+4,IF(I237&lt;=120,I237*1.1+7,IF(I237&lt;=250,I237*1.1+11,I237*1.1+19))),
IF(L237="NORMAL",
   IF(I237&lt;=30,I237*1.15+2,IF(I237&lt;=80,I237*1.15+4,IF(I237&lt;=150,I237*1.15+6,I237*1.15+8))),
IF(L237="COMPLEMENTO",
   IF(I237&lt;=25,I237*1.25+1.5,IF(I237&lt;=60,I237*1.25+3,IF(I237&lt;=120,I237*1.25+4,I237*1.25+5))),
""))),2)</f>
        <v>2947.7</v>
      </c>
      <c r="I237" s="9">
        <f>($K$2+0.02)*Tabla1[[#This Row],[PRECIO $]]*1.18</f>
        <v>2662.4576000000002</v>
      </c>
      <c r="J237" s="7">
        <f>+Tabla1[[#This Row],[PRECIO EN SOLES]]-Tabla1[[#This Row],[PC]]</f>
        <v>285.24239999999963</v>
      </c>
      <c r="K237" s="15"/>
      <c r="L237" s="15" t="str">
        <f t="shared" si="3"/>
        <v>GANCHO</v>
      </c>
    </row>
    <row r="238" spans="1:12" x14ac:dyDescent="0.25">
      <c r="A238" s="3" t="s">
        <v>908</v>
      </c>
      <c r="B238" s="3" t="s">
        <v>909</v>
      </c>
      <c r="C238" s="1">
        <v>0</v>
      </c>
      <c r="D238" s="1">
        <v>685</v>
      </c>
      <c r="E238" s="1" t="s">
        <v>56</v>
      </c>
      <c r="F238" s="1" t="s">
        <v>2960</v>
      </c>
      <c r="G238" s="3" t="s">
        <v>910</v>
      </c>
      <c r="H238" s="11">
        <f>ROUND(
IF(L238="GANCHO",
   IF(I238&lt;=50,I238*1.1+4,IF(I238&lt;=120,I238*1.1+7,IF(I238&lt;=250,I238*1.1+11,I238*1.1+19))),
IF(L238="NORMAL",
   IF(I238&lt;=30,I238*1.15+2,IF(I238&lt;=80,I238*1.15+4,IF(I238&lt;=150,I238*1.15+6,I238*1.15+8))),
IF(L238="COMPLEMENTO",
   IF(I238&lt;=25,I238*1.25+1.5,IF(I238&lt;=60,I238*1.25+3,IF(I238&lt;=120,I238*1.25+4,I238*1.25+5))),
""))),2)</f>
        <v>3148.74</v>
      </c>
      <c r="I238" s="9">
        <f>($K$2+0.02)*Tabla1[[#This Row],[PRECIO $]]*1.18</f>
        <v>2845.2159999999994</v>
      </c>
      <c r="J238" s="7">
        <f>+Tabla1[[#This Row],[PRECIO EN SOLES]]-Tabla1[[#This Row],[PC]]</f>
        <v>303.52400000000034</v>
      </c>
      <c r="K238" s="15"/>
      <c r="L238" s="15" t="str">
        <f t="shared" si="3"/>
        <v>GANCHO</v>
      </c>
    </row>
    <row r="239" spans="1:12" x14ac:dyDescent="0.25">
      <c r="A239" s="3" t="s">
        <v>149</v>
      </c>
      <c r="B239" s="3" t="s">
        <v>150</v>
      </c>
      <c r="C239" s="1">
        <v>0</v>
      </c>
      <c r="D239" s="1">
        <v>810</v>
      </c>
      <c r="E239" s="1" t="s">
        <v>56</v>
      </c>
      <c r="F239" s="1" t="s">
        <v>2961</v>
      </c>
      <c r="G239" s="3" t="s">
        <v>151</v>
      </c>
      <c r="H239" s="11">
        <f>ROUND(
IF(L239="GANCHO",
   IF(I239&lt;=50,I239*1.1+4,IF(I239&lt;=120,I239*1.1+7,IF(I239&lt;=250,I239*1.1+11,I239*1.1+19))),
IF(L239="NORMAL",
   IF(I239&lt;=30,I239*1.15+2,IF(I239&lt;=80,I239*1.15+4,IF(I239&lt;=150,I239*1.15+6,I239*1.15+8))),
IF(L239="COMPLEMENTO",
   IF(I239&lt;=25,I239*1.25+1.5,IF(I239&lt;=60,I239*1.25+3,IF(I239&lt;=120,I239*1.25+4,I239*1.25+5))),
""))),2)</f>
        <v>3719.86</v>
      </c>
      <c r="I239" s="9">
        <f>($K$2+0.02)*Tabla1[[#This Row],[PRECIO $]]*1.18</f>
        <v>3364.4159999999997</v>
      </c>
      <c r="J239" s="7">
        <f>+Tabla1[[#This Row],[PRECIO EN SOLES]]-Tabla1[[#This Row],[PC]]</f>
        <v>355.44400000000041</v>
      </c>
      <c r="K239" s="15"/>
      <c r="L239" s="15" t="str">
        <f t="shared" si="3"/>
        <v>GANCHO</v>
      </c>
    </row>
    <row r="240" spans="1:12" x14ac:dyDescent="0.25">
      <c r="A240" s="3" t="s">
        <v>5316</v>
      </c>
      <c r="B240" s="3" t="s">
        <v>5317</v>
      </c>
      <c r="C240" s="1">
        <v>20</v>
      </c>
      <c r="D240" s="1">
        <v>747</v>
      </c>
      <c r="E240" s="1" t="s">
        <v>54</v>
      </c>
      <c r="F240" s="1" t="s">
        <v>5318</v>
      </c>
      <c r="G240" s="3" t="s">
        <v>5319</v>
      </c>
      <c r="H240" s="11">
        <f>ROUND(
IF(L240="GANCHO",
   IF(I240&lt;=50,I240*1.1+4,IF(I240&lt;=120,I240*1.1+7,IF(I240&lt;=250,I240*1.1+11,I240*1.1+19))),
IF(L240="NORMAL",
   IF(I240&lt;=30,I240*1.15+2,IF(I240&lt;=80,I240*1.15+4,IF(I240&lt;=150,I240*1.15+6,I240*1.15+8))),
IF(L240="COMPLEMENTO",
   IF(I240&lt;=25,I240*1.25+1.5,IF(I240&lt;=60,I240*1.25+3,IF(I240&lt;=120,I240*1.25+4,I240*1.25+5))),
""))),2)</f>
        <v>3432.01</v>
      </c>
      <c r="I240" s="9">
        <f>($K$2+0.02)*Tabla1[[#This Row],[PRECIO $]]*1.18</f>
        <v>3102.7392</v>
      </c>
      <c r="J240" s="7">
        <f>+Tabla1[[#This Row],[PRECIO EN SOLES]]-Tabla1[[#This Row],[PC]]</f>
        <v>329.27080000000024</v>
      </c>
      <c r="K240" s="15"/>
      <c r="L240" s="15" t="str">
        <f t="shared" si="3"/>
        <v>GANCHO</v>
      </c>
    </row>
    <row r="241" spans="1:12" x14ac:dyDescent="0.25">
      <c r="A241" s="3" t="s">
        <v>4751</v>
      </c>
      <c r="B241" s="3" t="s">
        <v>4752</v>
      </c>
      <c r="C241" s="1">
        <v>20</v>
      </c>
      <c r="D241" s="1">
        <v>1287</v>
      </c>
      <c r="E241" s="1" t="s">
        <v>74</v>
      </c>
      <c r="F241" s="1" t="s">
        <v>4753</v>
      </c>
      <c r="G241" s="3" t="s">
        <v>5320</v>
      </c>
      <c r="H241" s="11">
        <f>ROUND(
IF(L241="GANCHO",
   IF(I241&lt;=50,I241*1.1+4,IF(I241&lt;=120,I241*1.1+7,IF(I241&lt;=250,I241*1.1+11,I241*1.1+19))),
IF(L241="NORMAL",
   IF(I241&lt;=30,I241*1.15+2,IF(I241&lt;=80,I241*1.15+4,IF(I241&lt;=150,I241*1.15+6,I241*1.15+8))),
IF(L241="COMPLEMENTO",
   IF(I241&lt;=25,I241*1.25+1.5,IF(I241&lt;=60,I241*1.25+3,IF(I241&lt;=120,I241*1.25+4,I241*1.25+5))),
""))),2)</f>
        <v>5899.25</v>
      </c>
      <c r="I241" s="9">
        <f>($K$2+0.02)*Tabla1[[#This Row],[PRECIO $]]*1.18</f>
        <v>5345.6831999999995</v>
      </c>
      <c r="J241" s="7">
        <f>+Tabla1[[#This Row],[PRECIO EN SOLES]]-Tabla1[[#This Row],[PC]]</f>
        <v>553.56680000000051</v>
      </c>
      <c r="K241" s="15"/>
      <c r="L241" s="15" t="str">
        <f t="shared" si="3"/>
        <v>GANCHO</v>
      </c>
    </row>
    <row r="242" spans="1:12" x14ac:dyDescent="0.25">
      <c r="A242" s="3" t="s">
        <v>5321</v>
      </c>
      <c r="B242" s="3" t="s">
        <v>5322</v>
      </c>
      <c r="C242" s="1">
        <v>0</v>
      </c>
      <c r="D242" s="1">
        <v>875</v>
      </c>
      <c r="E242" s="1" t="s">
        <v>52</v>
      </c>
      <c r="F242" s="1" t="s">
        <v>5323</v>
      </c>
      <c r="G242" s="3" t="s">
        <v>5324</v>
      </c>
      <c r="H242" s="11">
        <f>ROUND(
IF(L242="GANCHO",
   IF(I242&lt;=50,I242*1.1+4,IF(I242&lt;=120,I242*1.1+7,IF(I242&lt;=250,I242*1.1+11,I242*1.1+19))),
IF(L242="NORMAL",
   IF(I242&lt;=30,I242*1.15+2,IF(I242&lt;=80,I242*1.15+4,IF(I242&lt;=150,I242*1.15+6,I242*1.15+8))),
IF(L242="COMPLEMENTO",
   IF(I242&lt;=25,I242*1.25+1.5,IF(I242&lt;=60,I242*1.25+3,IF(I242&lt;=120,I242*1.25+4,I242*1.25+5))),
""))),2)</f>
        <v>4016.84</v>
      </c>
      <c r="I242" s="9">
        <f>($K$2+0.02)*Tabla1[[#This Row],[PRECIO $]]*1.18</f>
        <v>3634.3999999999996</v>
      </c>
      <c r="J242" s="7">
        <f>+Tabla1[[#This Row],[PRECIO EN SOLES]]-Tabla1[[#This Row],[PC]]</f>
        <v>382.44000000000051</v>
      </c>
      <c r="K242" s="15"/>
      <c r="L242" s="15" t="str">
        <f t="shared" si="3"/>
        <v>GANCHO</v>
      </c>
    </row>
    <row r="243" spans="1:12" x14ac:dyDescent="0.25">
      <c r="A243" s="3" t="s">
        <v>7048</v>
      </c>
      <c r="B243" s="3" t="s">
        <v>7049</v>
      </c>
      <c r="C243" s="1">
        <v>20</v>
      </c>
      <c r="D243" s="1">
        <v>927</v>
      </c>
      <c r="E243" s="1" t="s">
        <v>52</v>
      </c>
      <c r="F243" s="1" t="s">
        <v>7050</v>
      </c>
      <c r="G243" s="3" t="s">
        <v>7051</v>
      </c>
      <c r="H243" s="11">
        <f>ROUND(
IF(L243="GANCHO",
   IF(I243&lt;=50,I243*1.1+4,IF(I243&lt;=120,I243*1.1+7,IF(I243&lt;=250,I243*1.1+11,I243*1.1+19))),
IF(L243="NORMAL",
   IF(I243&lt;=30,I243*1.15+2,IF(I243&lt;=80,I243*1.15+4,IF(I243&lt;=150,I243*1.15+6,I243*1.15+8))),
IF(L243="COMPLEMENTO",
   IF(I243&lt;=25,I243*1.25+1.5,IF(I243&lt;=60,I243*1.25+3,IF(I243&lt;=120,I243*1.25+4,I243*1.25+5))),
""))),2)</f>
        <v>4254.43</v>
      </c>
      <c r="I243" s="9">
        <f>($K$2+0.02)*Tabla1[[#This Row],[PRECIO $]]*1.18</f>
        <v>3850.3871999999997</v>
      </c>
      <c r="J243" s="7">
        <f>+Tabla1[[#This Row],[PRECIO EN SOLES]]-Tabla1[[#This Row],[PC]]</f>
        <v>404.04280000000063</v>
      </c>
      <c r="K243" s="15"/>
      <c r="L243" s="15" t="str">
        <f t="shared" si="3"/>
        <v>GANCHO</v>
      </c>
    </row>
    <row r="244" spans="1:12" x14ac:dyDescent="0.25">
      <c r="A244" s="3" t="s">
        <v>4159</v>
      </c>
      <c r="B244" s="3" t="s">
        <v>4160</v>
      </c>
      <c r="C244" s="1">
        <v>3</v>
      </c>
      <c r="D244" s="1">
        <v>1080</v>
      </c>
      <c r="E244" s="1" t="s">
        <v>851</v>
      </c>
      <c r="F244" s="1" t="s">
        <v>4161</v>
      </c>
      <c r="G244" s="3" t="s">
        <v>4162</v>
      </c>
      <c r="H244" s="11">
        <f>ROUND(
IF(L244="GANCHO",
   IF(I244&lt;=50,I244*1.1+4,IF(I244&lt;=120,I244*1.1+7,IF(I244&lt;=250,I244*1.1+11,I244*1.1+19))),
IF(L244="NORMAL",
   IF(I244&lt;=30,I244*1.15+2,IF(I244&lt;=80,I244*1.15+4,IF(I244&lt;=150,I244*1.15+6,I244*1.15+8))),
IF(L244="COMPLEMENTO",
   IF(I244&lt;=25,I244*1.25+1.5,IF(I244&lt;=60,I244*1.25+3,IF(I244&lt;=120,I244*1.25+4,I244*1.25+5))),
""))),2)</f>
        <v>4953.4799999999996</v>
      </c>
      <c r="I244" s="9">
        <f>($K$2+0.02)*Tabla1[[#This Row],[PRECIO $]]*1.18</f>
        <v>4485.8879999999999</v>
      </c>
      <c r="J244" s="7">
        <f>+Tabla1[[#This Row],[PRECIO EN SOLES]]-Tabla1[[#This Row],[PC]]</f>
        <v>467.59199999999964</v>
      </c>
      <c r="K244" s="15"/>
      <c r="L244" s="15" t="str">
        <f t="shared" si="3"/>
        <v>GANCHO</v>
      </c>
    </row>
    <row r="245" spans="1:12" x14ac:dyDescent="0.25">
      <c r="A245" s="3" t="s">
        <v>5829</v>
      </c>
      <c r="B245" s="3" t="s">
        <v>5830</v>
      </c>
      <c r="C245" s="1">
        <v>20</v>
      </c>
      <c r="D245" s="1">
        <v>1097</v>
      </c>
      <c r="E245" s="1" t="s">
        <v>56</v>
      </c>
      <c r="F245" s="1" t="s">
        <v>5831</v>
      </c>
      <c r="G245" s="3"/>
      <c r="H245" s="11">
        <f>ROUND(
IF(L245="GANCHO",
   IF(I245&lt;=50,I245*1.1+4,IF(I245&lt;=120,I245*1.1+7,IF(I245&lt;=250,I245*1.1+11,I245*1.1+19))),
IF(L245="NORMAL",
   IF(I245&lt;=30,I245*1.15+2,IF(I245&lt;=80,I245*1.15+4,IF(I245&lt;=150,I245*1.15+6,I245*1.15+8))),
IF(L245="COMPLEMENTO",
   IF(I245&lt;=25,I245*1.25+1.5,IF(I245&lt;=60,I245*1.25+3,IF(I245&lt;=120,I245*1.25+4,I245*1.25+5))),
""))),2)</f>
        <v>5031.1499999999996</v>
      </c>
      <c r="I245" s="9">
        <f>($K$2+0.02)*Tabla1[[#This Row],[PRECIO $]]*1.18</f>
        <v>4556.4992000000002</v>
      </c>
      <c r="J245" s="7">
        <f>+Tabla1[[#This Row],[PRECIO EN SOLES]]-Tabla1[[#This Row],[PC]]</f>
        <v>474.65079999999944</v>
      </c>
      <c r="K245" s="15"/>
      <c r="L245" s="15" t="str">
        <f t="shared" si="3"/>
        <v>GANCHO</v>
      </c>
    </row>
    <row r="246" spans="1:12" x14ac:dyDescent="0.25">
      <c r="A246" s="3" t="s">
        <v>6410</v>
      </c>
      <c r="B246" s="3" t="s">
        <v>4226</v>
      </c>
      <c r="C246" s="1">
        <v>2</v>
      </c>
      <c r="D246" s="1">
        <v>1029</v>
      </c>
      <c r="E246" s="1" t="s">
        <v>56</v>
      </c>
      <c r="F246" s="1" t="s">
        <v>6411</v>
      </c>
      <c r="G246" s="3"/>
      <c r="H246" s="11">
        <f>ROUND(
IF(L246="GANCHO",
   IF(I246&lt;=50,I246*1.1+4,IF(I246&lt;=120,I246*1.1+7,IF(I246&lt;=250,I246*1.1+11,I246*1.1+19))),
IF(L246="NORMAL",
   IF(I246&lt;=30,I246*1.15+2,IF(I246&lt;=80,I246*1.15+4,IF(I246&lt;=150,I246*1.15+6,I246*1.15+8))),
IF(L246="COMPLEMENTO",
   IF(I246&lt;=25,I246*1.25+1.5,IF(I246&lt;=60,I246*1.25+3,IF(I246&lt;=120,I246*1.25+4,I246*1.25+5))),
""))),2)</f>
        <v>4720.46</v>
      </c>
      <c r="I246" s="9">
        <f>($K$2+0.02)*Tabla1[[#This Row],[PRECIO $]]*1.18</f>
        <v>4274.0544</v>
      </c>
      <c r="J246" s="7">
        <f>+Tabla1[[#This Row],[PRECIO EN SOLES]]-Tabla1[[#This Row],[PC]]</f>
        <v>446.40560000000005</v>
      </c>
      <c r="K246" s="15"/>
      <c r="L246" s="15" t="str">
        <f t="shared" si="3"/>
        <v>GANCHO</v>
      </c>
    </row>
    <row r="247" spans="1:12" x14ac:dyDescent="0.25">
      <c r="A247" s="3" t="s">
        <v>4225</v>
      </c>
      <c r="B247" s="3" t="s">
        <v>4226</v>
      </c>
      <c r="C247" s="1">
        <v>20</v>
      </c>
      <c r="D247" s="1">
        <v>1185</v>
      </c>
      <c r="E247" s="1" t="s">
        <v>56</v>
      </c>
      <c r="F247" s="1" t="s">
        <v>4227</v>
      </c>
      <c r="G247" s="3"/>
      <c r="H247" s="11">
        <f>ROUND(
IF(L247="GANCHO",
   IF(I247&lt;=50,I247*1.1+4,IF(I247&lt;=120,I247*1.1+7,IF(I247&lt;=250,I247*1.1+11,I247*1.1+19))),
IF(L247="NORMAL",
   IF(I247&lt;=30,I247*1.15+2,IF(I247&lt;=80,I247*1.15+4,IF(I247&lt;=150,I247*1.15+6,I247*1.15+8))),
IF(L247="COMPLEMENTO",
   IF(I247&lt;=25,I247*1.25+1.5,IF(I247&lt;=60,I247*1.25+3,IF(I247&lt;=120,I247*1.25+4,I247*1.25+5))),
""))),2)</f>
        <v>5433.22</v>
      </c>
      <c r="I247" s="9">
        <f>($K$2+0.02)*Tabla1[[#This Row],[PRECIO $]]*1.18</f>
        <v>4922.0159999999996</v>
      </c>
      <c r="J247" s="7">
        <f>+Tabla1[[#This Row],[PRECIO EN SOLES]]-Tabla1[[#This Row],[PC]]</f>
        <v>511.20400000000063</v>
      </c>
      <c r="K247" s="15"/>
      <c r="L247" s="15" t="str">
        <f t="shared" si="3"/>
        <v>GANCHO</v>
      </c>
    </row>
    <row r="248" spans="1:12" x14ac:dyDescent="0.25">
      <c r="A248" s="3" t="s">
        <v>911</v>
      </c>
      <c r="B248" s="3" t="s">
        <v>912</v>
      </c>
      <c r="C248" s="1">
        <v>0</v>
      </c>
      <c r="D248" s="1">
        <v>1135</v>
      </c>
      <c r="E248" s="1" t="s">
        <v>783</v>
      </c>
      <c r="F248" s="1" t="s">
        <v>2962</v>
      </c>
      <c r="G248" s="3" t="s">
        <v>913</v>
      </c>
      <c r="H248" s="11">
        <f>ROUND(
IF(L248="GANCHO",
   IF(I248&lt;=50,I248*1.1+4,IF(I248&lt;=120,I248*1.1+7,IF(I248&lt;=250,I248*1.1+11,I248*1.1+19))),
IF(L248="NORMAL",
   IF(I248&lt;=30,I248*1.15+2,IF(I248&lt;=80,I248*1.15+4,IF(I248&lt;=150,I248*1.15+6,I248*1.15+8))),
IF(L248="COMPLEMENTO",
   IF(I248&lt;=25,I248*1.25+1.5,IF(I248&lt;=60,I248*1.25+3,IF(I248&lt;=120,I248*1.25+4,I248*1.25+5))),
""))),2)</f>
        <v>5204.7700000000004</v>
      </c>
      <c r="I248" s="9">
        <f>($K$2+0.02)*Tabla1[[#This Row],[PRECIO $]]*1.18</f>
        <v>4714.3359999999993</v>
      </c>
      <c r="J248" s="7">
        <f>+Tabla1[[#This Row],[PRECIO EN SOLES]]-Tabla1[[#This Row],[PC]]</f>
        <v>490.43400000000111</v>
      </c>
      <c r="K248" s="15"/>
      <c r="L248" s="15" t="str">
        <f t="shared" si="3"/>
        <v>GANCHO</v>
      </c>
    </row>
    <row r="249" spans="1:12" x14ac:dyDescent="0.25">
      <c r="A249" s="3" t="s">
        <v>6412</v>
      </c>
      <c r="B249" s="3" t="s">
        <v>6413</v>
      </c>
      <c r="C249" s="1">
        <v>20</v>
      </c>
      <c r="D249" s="1">
        <v>917</v>
      </c>
      <c r="E249" s="1" t="s">
        <v>783</v>
      </c>
      <c r="F249" s="1" t="s">
        <v>6414</v>
      </c>
      <c r="G249" s="3" t="s">
        <v>6415</v>
      </c>
      <c r="H249" s="11">
        <f>ROUND(
IF(L249="GANCHO",
   IF(I249&lt;=50,I249*1.1+4,IF(I249&lt;=120,I249*1.1+7,IF(I249&lt;=250,I249*1.1+11,I249*1.1+19))),
IF(L249="NORMAL",
   IF(I249&lt;=30,I249*1.15+2,IF(I249&lt;=80,I249*1.15+4,IF(I249&lt;=150,I249*1.15+6,I249*1.15+8))),
IF(L249="COMPLEMENTO",
   IF(I249&lt;=25,I249*1.25+1.5,IF(I249&lt;=60,I249*1.25+3,IF(I249&lt;=120,I249*1.25+4,I249*1.25+5))),
""))),2)</f>
        <v>4208.74</v>
      </c>
      <c r="I249" s="9">
        <f>($K$2+0.02)*Tabla1[[#This Row],[PRECIO $]]*1.18</f>
        <v>3808.8512000000001</v>
      </c>
      <c r="J249" s="7">
        <f>+Tabla1[[#This Row],[PRECIO EN SOLES]]-Tabla1[[#This Row],[PC]]</f>
        <v>399.88879999999972</v>
      </c>
      <c r="K249" s="15"/>
      <c r="L249" s="15" t="str">
        <f t="shared" si="3"/>
        <v>GANCHO</v>
      </c>
    </row>
    <row r="250" spans="1:12" x14ac:dyDescent="0.25">
      <c r="A250" s="3" t="s">
        <v>5325</v>
      </c>
      <c r="B250" s="3" t="s">
        <v>5326</v>
      </c>
      <c r="C250" s="1">
        <v>20</v>
      </c>
      <c r="D250" s="1">
        <v>844</v>
      </c>
      <c r="E250" s="1" t="s">
        <v>783</v>
      </c>
      <c r="F250" s="1" t="s">
        <v>5327</v>
      </c>
      <c r="G250" s="3" t="s">
        <v>6055</v>
      </c>
      <c r="H250" s="11">
        <f>ROUND(
IF(L250="GANCHO",
   IF(I250&lt;=50,I250*1.1+4,IF(I250&lt;=120,I250*1.1+7,IF(I250&lt;=250,I250*1.1+11,I250*1.1+19))),
IF(L250="NORMAL",
   IF(I250&lt;=30,I250*1.15+2,IF(I250&lt;=80,I250*1.15+4,IF(I250&lt;=150,I250*1.15+6,I250*1.15+8))),
IF(L250="COMPLEMENTO",
   IF(I250&lt;=25,I250*1.25+1.5,IF(I250&lt;=60,I250*1.25+3,IF(I250&lt;=120,I250*1.25+4,I250*1.25+5))),
""))),2)</f>
        <v>3875.2</v>
      </c>
      <c r="I250" s="9">
        <f>($K$2+0.02)*Tabla1[[#This Row],[PRECIO $]]*1.18</f>
        <v>3505.6383999999998</v>
      </c>
      <c r="J250" s="7">
        <f>+Tabla1[[#This Row],[PRECIO EN SOLES]]-Tabla1[[#This Row],[PC]]</f>
        <v>369.5616</v>
      </c>
      <c r="K250" s="15"/>
      <c r="L250" s="15" t="str">
        <f t="shared" si="3"/>
        <v>GANCHO</v>
      </c>
    </row>
    <row r="251" spans="1:12" x14ac:dyDescent="0.25">
      <c r="A251" s="3" t="s">
        <v>5328</v>
      </c>
      <c r="B251" s="3" t="s">
        <v>5329</v>
      </c>
      <c r="C251" s="1">
        <v>20</v>
      </c>
      <c r="D251" s="1">
        <v>1035</v>
      </c>
      <c r="E251" s="1" t="s">
        <v>783</v>
      </c>
      <c r="F251" s="1" t="s">
        <v>5330</v>
      </c>
      <c r="G251" s="3" t="s">
        <v>6055</v>
      </c>
      <c r="H251" s="11">
        <f>ROUND(
IF(L251="GANCHO",
   IF(I251&lt;=50,I251*1.1+4,IF(I251&lt;=120,I251*1.1+7,IF(I251&lt;=250,I251*1.1+11,I251*1.1+19))),
IF(L251="NORMAL",
   IF(I251&lt;=30,I251*1.15+2,IF(I251&lt;=80,I251*1.15+4,IF(I251&lt;=150,I251*1.15+6,I251*1.15+8))),
IF(L251="COMPLEMENTO",
   IF(I251&lt;=25,I251*1.25+1.5,IF(I251&lt;=60,I251*1.25+3,IF(I251&lt;=120,I251*1.25+4,I251*1.25+5))),
""))),2)</f>
        <v>4747.87</v>
      </c>
      <c r="I251" s="9">
        <f>($K$2+0.02)*Tabla1[[#This Row],[PRECIO $]]*1.18</f>
        <v>4298.9759999999997</v>
      </c>
      <c r="J251" s="7">
        <f>+Tabla1[[#This Row],[PRECIO EN SOLES]]-Tabla1[[#This Row],[PC]]</f>
        <v>448.89400000000023</v>
      </c>
      <c r="K251" s="15"/>
      <c r="L251" s="15" t="str">
        <f t="shared" si="3"/>
        <v>GANCHO</v>
      </c>
    </row>
    <row r="252" spans="1:12" x14ac:dyDescent="0.25">
      <c r="A252" s="3" t="s">
        <v>5331</v>
      </c>
      <c r="B252" s="3" t="s">
        <v>5332</v>
      </c>
      <c r="C252" s="1">
        <v>8</v>
      </c>
      <c r="D252" s="1">
        <v>1295</v>
      </c>
      <c r="E252" s="1" t="s">
        <v>52</v>
      </c>
      <c r="F252" s="1" t="s">
        <v>5333</v>
      </c>
      <c r="G252" s="3" t="s">
        <v>5334</v>
      </c>
      <c r="H252" s="11">
        <f>ROUND(
IF(L252="GANCHO",
   IF(I252&lt;=50,I252*1.1+4,IF(I252&lt;=120,I252*1.1+7,IF(I252&lt;=250,I252*1.1+11,I252*1.1+19))),
IF(L252="NORMAL",
   IF(I252&lt;=30,I252*1.15+2,IF(I252&lt;=80,I252*1.15+4,IF(I252&lt;=150,I252*1.15+6,I252*1.15+8))),
IF(L252="COMPLEMENTO",
   IF(I252&lt;=25,I252*1.25+1.5,IF(I252&lt;=60,I252*1.25+3,IF(I252&lt;=120,I252*1.25+4,I252*1.25+5))),
""))),2)</f>
        <v>5935.8</v>
      </c>
      <c r="I252" s="9">
        <f>($K$2+0.02)*Tabla1[[#This Row],[PRECIO $]]*1.18</f>
        <v>5378.9119999999994</v>
      </c>
      <c r="J252" s="7">
        <f>+Tabla1[[#This Row],[PRECIO EN SOLES]]-Tabla1[[#This Row],[PC]]</f>
        <v>556.88800000000083</v>
      </c>
      <c r="K252" s="15"/>
      <c r="L252" s="15" t="str">
        <f t="shared" si="3"/>
        <v>GANCHO</v>
      </c>
    </row>
    <row r="253" spans="1:12" x14ac:dyDescent="0.25">
      <c r="A253" s="3" t="s">
        <v>4472</v>
      </c>
      <c r="B253" s="3" t="s">
        <v>4473</v>
      </c>
      <c r="C253" s="1">
        <v>1</v>
      </c>
      <c r="D253" s="1">
        <v>1449</v>
      </c>
      <c r="E253" s="1" t="s">
        <v>54</v>
      </c>
      <c r="F253" s="1" t="s">
        <v>4474</v>
      </c>
      <c r="G253" s="3" t="s">
        <v>4523</v>
      </c>
      <c r="H253" s="11">
        <f>ROUND(
IF(L253="GANCHO",
   IF(I253&lt;=50,I253*1.1+4,IF(I253&lt;=120,I253*1.1+7,IF(I253&lt;=250,I253*1.1+11,I253*1.1+19))),
IF(L253="NORMAL",
   IF(I253&lt;=30,I253*1.15+2,IF(I253&lt;=80,I253*1.15+4,IF(I253&lt;=150,I253*1.15+6,I253*1.15+8))),
IF(L253="COMPLEMENTO",
   IF(I253&lt;=25,I253*1.25+1.5,IF(I253&lt;=60,I253*1.25+3,IF(I253&lt;=120,I253*1.25+4,I253*1.25+5))),
""))),2)</f>
        <v>6639.42</v>
      </c>
      <c r="I253" s="9">
        <f>($K$2+0.02)*Tabla1[[#This Row],[PRECIO $]]*1.18</f>
        <v>6018.5664000000006</v>
      </c>
      <c r="J253" s="7">
        <f>+Tabla1[[#This Row],[PRECIO EN SOLES]]-Tabla1[[#This Row],[PC]]</f>
        <v>620.85359999999946</v>
      </c>
      <c r="K253" s="15"/>
      <c r="L253" s="15" t="str">
        <f t="shared" si="3"/>
        <v>GANCHO</v>
      </c>
    </row>
    <row r="254" spans="1:12" x14ac:dyDescent="0.25">
      <c r="A254" s="3" t="s">
        <v>916</v>
      </c>
      <c r="B254" s="3" t="s">
        <v>914</v>
      </c>
      <c r="C254" s="1">
        <v>17</v>
      </c>
      <c r="D254" s="1">
        <v>1442</v>
      </c>
      <c r="E254" s="1" t="s">
        <v>56</v>
      </c>
      <c r="F254" s="1" t="s">
        <v>2963</v>
      </c>
      <c r="G254" s="3" t="s">
        <v>915</v>
      </c>
      <c r="H254" s="11">
        <f>ROUND(
IF(L254="GANCHO",
   IF(I254&lt;=50,I254*1.1+4,IF(I254&lt;=120,I254*1.1+7,IF(I254&lt;=250,I254*1.1+11,I254*1.1+19))),
IF(L254="NORMAL",
   IF(I254&lt;=30,I254*1.15+2,IF(I254&lt;=80,I254*1.15+4,IF(I254&lt;=150,I254*1.15+6,I254*1.15+8))),
IF(L254="COMPLEMENTO",
   IF(I254&lt;=25,I254*1.25+1.5,IF(I254&lt;=60,I254*1.25+3,IF(I254&lt;=120,I254*1.25+4,I254*1.25+5))),
""))),2)</f>
        <v>6607.44</v>
      </c>
      <c r="I254" s="9">
        <f>($K$2+0.02)*Tabla1[[#This Row],[PRECIO $]]*1.18</f>
        <v>5989.4911999999995</v>
      </c>
      <c r="J254" s="7">
        <f>+Tabla1[[#This Row],[PRECIO EN SOLES]]-Tabla1[[#This Row],[PC]]</f>
        <v>617.94880000000012</v>
      </c>
      <c r="K254" s="15"/>
      <c r="L254" s="15" t="str">
        <f t="shared" si="3"/>
        <v>GANCHO</v>
      </c>
    </row>
    <row r="255" spans="1:12" x14ac:dyDescent="0.25">
      <c r="A255" s="3" t="s">
        <v>4524</v>
      </c>
      <c r="B255" s="3" t="s">
        <v>4525</v>
      </c>
      <c r="C255" s="1">
        <v>20</v>
      </c>
      <c r="D255" s="1">
        <v>2236</v>
      </c>
      <c r="E255" s="1" t="s">
        <v>56</v>
      </c>
      <c r="F255" s="1" t="s">
        <v>4526</v>
      </c>
      <c r="G255" s="3" t="s">
        <v>6935</v>
      </c>
      <c r="H255" s="11">
        <f>ROUND(
IF(L255="GANCHO",
   IF(I255&lt;=50,I255*1.1+4,IF(I255&lt;=120,I255*1.1+7,IF(I255&lt;=250,I255*1.1+11,I255*1.1+19))),
IF(L255="NORMAL",
   IF(I255&lt;=30,I255*1.15+2,IF(I255&lt;=80,I255*1.15+4,IF(I255&lt;=150,I255*1.15+6,I255*1.15+8))),
IF(L255="COMPLEMENTO",
   IF(I255&lt;=25,I255*1.25+1.5,IF(I255&lt;=60,I255*1.25+3,IF(I255&lt;=120,I255*1.25+4,I255*1.25+5))),
""))),2)</f>
        <v>10235.19</v>
      </c>
      <c r="I255" s="9">
        <f>($K$2+0.02)*Tabla1[[#This Row],[PRECIO $]]*1.18</f>
        <v>9287.4495999999999</v>
      </c>
      <c r="J255" s="7">
        <f>+Tabla1[[#This Row],[PRECIO EN SOLES]]-Tabla1[[#This Row],[PC]]</f>
        <v>947.74040000000059</v>
      </c>
      <c r="K255" s="15"/>
      <c r="L255" s="15" t="str">
        <f t="shared" si="3"/>
        <v>GANCHO</v>
      </c>
    </row>
    <row r="256" spans="1:12" x14ac:dyDescent="0.25">
      <c r="A256" s="3" t="s">
        <v>4527</v>
      </c>
      <c r="B256" s="3" t="s">
        <v>4528</v>
      </c>
      <c r="C256" s="1">
        <v>7</v>
      </c>
      <c r="D256" s="1">
        <v>2735</v>
      </c>
      <c r="E256" s="1" t="s">
        <v>56</v>
      </c>
      <c r="F256" s="1" t="s">
        <v>4529</v>
      </c>
      <c r="G256" s="3"/>
      <c r="H256" s="11">
        <f>ROUND(
IF(L256="GANCHO",
   IF(I256&lt;=50,I256*1.1+4,IF(I256&lt;=120,I256*1.1+7,IF(I256&lt;=250,I256*1.1+11,I256*1.1+19))),
IF(L256="NORMAL",
   IF(I256&lt;=30,I256*1.15+2,IF(I256&lt;=80,I256*1.15+4,IF(I256&lt;=150,I256*1.15+6,I256*1.15+8))),
IF(L256="COMPLEMENTO",
   IF(I256&lt;=25,I256*1.25+1.5,IF(I256&lt;=60,I256*1.25+3,IF(I256&lt;=120,I256*1.25+4,I256*1.25+5))),
""))),2)</f>
        <v>12515.11</v>
      </c>
      <c r="I256" s="9">
        <f>($K$2+0.02)*Tabla1[[#This Row],[PRECIO $]]*1.18</f>
        <v>11360.096</v>
      </c>
      <c r="J256" s="7">
        <f>+Tabla1[[#This Row],[PRECIO EN SOLES]]-Tabla1[[#This Row],[PC]]</f>
        <v>1155.014000000001</v>
      </c>
      <c r="K256" s="15"/>
      <c r="L256" s="15" t="str">
        <f t="shared" si="3"/>
        <v>GANCHO</v>
      </c>
    </row>
    <row r="257" spans="1:12" x14ac:dyDescent="0.25">
      <c r="A257" s="3" t="s">
        <v>4530</v>
      </c>
      <c r="B257" s="3" t="s">
        <v>4531</v>
      </c>
      <c r="C257" s="1">
        <v>6</v>
      </c>
      <c r="D257" s="1">
        <v>2535</v>
      </c>
      <c r="E257" s="1" t="s">
        <v>56</v>
      </c>
      <c r="F257" s="1" t="s">
        <v>4532</v>
      </c>
      <c r="G257" s="3" t="s">
        <v>6936</v>
      </c>
      <c r="H257" s="11">
        <f>ROUND(
IF(L257="GANCHO",
   IF(I257&lt;=50,I257*1.1+4,IF(I257&lt;=120,I257*1.1+7,IF(I257&lt;=250,I257*1.1+11,I257*1.1+19))),
IF(L257="NORMAL",
   IF(I257&lt;=30,I257*1.15+2,IF(I257&lt;=80,I257*1.15+4,IF(I257&lt;=150,I257*1.15+6,I257*1.15+8))),
IF(L257="COMPLEMENTO",
   IF(I257&lt;=25,I257*1.25+1.5,IF(I257&lt;=60,I257*1.25+3,IF(I257&lt;=120,I257*1.25+4,I257*1.25+5))),
""))),2)</f>
        <v>11601.31</v>
      </c>
      <c r="I257" s="9">
        <f>($K$2+0.02)*Tabla1[[#This Row],[PRECIO $]]*1.18</f>
        <v>10529.376</v>
      </c>
      <c r="J257" s="7">
        <f>+Tabla1[[#This Row],[PRECIO EN SOLES]]-Tabla1[[#This Row],[PC]]</f>
        <v>1071.9339999999993</v>
      </c>
      <c r="K257" s="15"/>
      <c r="L257" s="15" t="str">
        <f t="shared" si="3"/>
        <v>GANCHO</v>
      </c>
    </row>
    <row r="258" spans="1:12" x14ac:dyDescent="0.25">
      <c r="A258" s="3" t="s">
        <v>4533</v>
      </c>
      <c r="B258" s="3" t="s">
        <v>4534</v>
      </c>
      <c r="C258" s="1">
        <v>4</v>
      </c>
      <c r="D258" s="1">
        <v>2225</v>
      </c>
      <c r="E258" s="1" t="s">
        <v>56</v>
      </c>
      <c r="F258" s="1" t="s">
        <v>4535</v>
      </c>
      <c r="G258" s="3" t="s">
        <v>6937</v>
      </c>
      <c r="H258" s="11">
        <f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10184.94</v>
      </c>
      <c r="I258" s="9">
        <f>($K$2+0.02)*Tabla1[[#This Row],[PRECIO $]]*1.18</f>
        <v>9241.76</v>
      </c>
      <c r="J258" s="7">
        <f>+Tabla1[[#This Row],[PRECIO EN SOLES]]-Tabla1[[#This Row],[PC]]</f>
        <v>943.18000000000029</v>
      </c>
      <c r="K258" s="15"/>
      <c r="L258" s="15" t="str">
        <f t="shared" si="3"/>
        <v>GANCHO</v>
      </c>
    </row>
    <row r="259" spans="1:12" x14ac:dyDescent="0.25">
      <c r="A259" s="3" t="s">
        <v>4536</v>
      </c>
      <c r="B259" s="3" t="s">
        <v>4537</v>
      </c>
      <c r="C259" s="1">
        <v>9</v>
      </c>
      <c r="D259" s="1">
        <v>2695</v>
      </c>
      <c r="E259" s="1" t="s">
        <v>56</v>
      </c>
      <c r="F259" s="1" t="s">
        <v>4538</v>
      </c>
      <c r="G259" s="3" t="s">
        <v>6938</v>
      </c>
      <c r="H259" s="11">
        <f>ROUND(
IF(L259="GANCHO",
   IF(I259&lt;=50,I259*1.1+4,IF(I259&lt;=120,I259*1.1+7,IF(I259&lt;=250,I259*1.1+11,I259*1.1+19))),
IF(L259="NORMAL",
   IF(I259&lt;=30,I259*1.15+2,IF(I259&lt;=80,I259*1.15+4,IF(I259&lt;=150,I259*1.15+6,I259*1.15+8))),
IF(L259="COMPLEMENTO",
   IF(I259&lt;=25,I259*1.25+1.5,IF(I259&lt;=60,I259*1.25+3,IF(I259&lt;=120,I259*1.25+4,I259*1.25+5))),
""))),2)</f>
        <v>12332.35</v>
      </c>
      <c r="I259" s="9">
        <f>($K$2+0.02)*Tabla1[[#This Row],[PRECIO $]]*1.18</f>
        <v>11193.951999999999</v>
      </c>
      <c r="J259" s="7">
        <f>+Tabla1[[#This Row],[PRECIO EN SOLES]]-Tabla1[[#This Row],[PC]]</f>
        <v>1138.398000000001</v>
      </c>
      <c r="K259" s="15"/>
      <c r="L259" s="15" t="str">
        <f t="shared" ref="L259:L322" si="4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4832</v>
      </c>
      <c r="B260" s="3" t="s">
        <v>4833</v>
      </c>
      <c r="C260" s="1">
        <v>20</v>
      </c>
      <c r="D260" s="1">
        <v>3145</v>
      </c>
      <c r="E260" s="1" t="s">
        <v>783</v>
      </c>
      <c r="F260" s="1" t="s">
        <v>4834</v>
      </c>
      <c r="G260" s="3" t="s">
        <v>4835</v>
      </c>
      <c r="H260" s="11">
        <f>ROUND(
IF(L260="GANCHO",
   IF(I260&lt;=50,I260*1.1+4,IF(I260&lt;=120,I260*1.1+7,IF(I260&lt;=250,I260*1.1+11,I260*1.1+19))),
IF(L260="NORMAL",
   IF(I260&lt;=30,I260*1.15+2,IF(I260&lt;=80,I260*1.15+4,IF(I260&lt;=150,I260*1.15+6,I260*1.15+8))),
IF(L260="COMPLEMENTO",
   IF(I260&lt;=25,I260*1.25+1.5,IF(I260&lt;=60,I260*1.25+3,IF(I260&lt;=120,I260*1.25+4,I260*1.25+5))),
""))),2)</f>
        <v>14388.38</v>
      </c>
      <c r="I260" s="9">
        <f>($K$2+0.02)*Tabla1[[#This Row],[PRECIO $]]*1.18</f>
        <v>13063.071999999998</v>
      </c>
      <c r="J260" s="7">
        <f>+Tabla1[[#This Row],[PRECIO EN SOLES]]-Tabla1[[#This Row],[PC]]</f>
        <v>1325.3080000000009</v>
      </c>
      <c r="K260" s="15"/>
      <c r="L260" s="15" t="str">
        <f t="shared" si="4"/>
        <v>GANCHO</v>
      </c>
    </row>
    <row r="261" spans="1:12" x14ac:dyDescent="0.25">
      <c r="A261" s="3" t="s">
        <v>4475</v>
      </c>
      <c r="B261" s="3" t="s">
        <v>4476</v>
      </c>
      <c r="C261" s="1">
        <v>2</v>
      </c>
      <c r="D261" s="1">
        <v>3232</v>
      </c>
      <c r="E261" s="1" t="s">
        <v>783</v>
      </c>
      <c r="F261" s="1" t="s">
        <v>4477</v>
      </c>
      <c r="G261" s="3" t="s">
        <v>4539</v>
      </c>
      <c r="H261" s="11">
        <f>ROUND(
IF(L261="GANCHO",
   IF(I261&lt;=50,I261*1.1+4,IF(I261&lt;=120,I261*1.1+7,IF(I261&lt;=250,I261*1.1+11,I261*1.1+19))),
IF(L261="NORMAL",
   IF(I261&lt;=30,I261*1.15+2,IF(I261&lt;=80,I261*1.15+4,IF(I261&lt;=150,I261*1.15+6,I261*1.15+8))),
IF(L261="COMPLEMENTO",
   IF(I261&lt;=25,I261*1.25+1.5,IF(I261&lt;=60,I261*1.25+3,IF(I261&lt;=120,I261*1.25+4,I261*1.25+5))),
""))),2)</f>
        <v>14785.88</v>
      </c>
      <c r="I261" s="9">
        <f>($K$2+0.02)*Tabla1[[#This Row],[PRECIO $]]*1.18</f>
        <v>13424.435199999998</v>
      </c>
      <c r="J261" s="7">
        <f>+Tabla1[[#This Row],[PRECIO EN SOLES]]-Tabla1[[#This Row],[PC]]</f>
        <v>1361.4448000000011</v>
      </c>
      <c r="K261" s="15"/>
      <c r="L261" s="15" t="str">
        <f t="shared" si="4"/>
        <v>GANCHO</v>
      </c>
    </row>
    <row r="262" spans="1:12" x14ac:dyDescent="0.25">
      <c r="A262" s="3" t="s">
        <v>4836</v>
      </c>
      <c r="B262" s="3" t="s">
        <v>4837</v>
      </c>
      <c r="C262" s="1">
        <v>20</v>
      </c>
      <c r="D262" s="1">
        <v>2645</v>
      </c>
      <c r="E262" s="1" t="s">
        <v>783</v>
      </c>
      <c r="F262" s="1" t="s">
        <v>4838</v>
      </c>
      <c r="G262" s="3" t="s">
        <v>4839</v>
      </c>
      <c r="H262" s="11">
        <f>ROUND(
IF(L262="GANCHO",
   IF(I262&lt;=50,I262*1.1+4,IF(I262&lt;=120,I262*1.1+7,IF(I262&lt;=250,I262*1.1+11,I262*1.1+19))),
IF(L262="NORMAL",
   IF(I262&lt;=30,I262*1.15+2,IF(I262&lt;=80,I262*1.15+4,IF(I262&lt;=150,I262*1.15+6,I262*1.15+8))),
IF(L262="COMPLEMENTO",
   IF(I262&lt;=25,I262*1.25+1.5,IF(I262&lt;=60,I262*1.25+3,IF(I262&lt;=120,I262*1.25+4,I262*1.25+5))),
""))),2)</f>
        <v>12103.9</v>
      </c>
      <c r="I262" s="9">
        <f>($K$2+0.02)*Tabla1[[#This Row],[PRECIO $]]*1.18</f>
        <v>10986.271999999999</v>
      </c>
      <c r="J262" s="7">
        <f>+Tabla1[[#This Row],[PRECIO EN SOLES]]-Tabla1[[#This Row],[PC]]</f>
        <v>1117.6280000000006</v>
      </c>
      <c r="K262" s="15"/>
      <c r="L262" s="15" t="str">
        <f t="shared" si="4"/>
        <v>GANCHO</v>
      </c>
    </row>
    <row r="263" spans="1:12" x14ac:dyDescent="0.25">
      <c r="A263" s="3" t="s">
        <v>4840</v>
      </c>
      <c r="B263" s="3" t="s">
        <v>4841</v>
      </c>
      <c r="C263" s="1">
        <v>20</v>
      </c>
      <c r="D263" s="1">
        <v>2975</v>
      </c>
      <c r="E263" s="1" t="s">
        <v>783</v>
      </c>
      <c r="F263" s="1" t="s">
        <v>4842</v>
      </c>
      <c r="G263" s="3" t="s">
        <v>4839</v>
      </c>
      <c r="H263" s="11">
        <f>ROUND(
IF(L263="GANCHO",
   IF(I263&lt;=50,I263*1.1+4,IF(I263&lt;=120,I263*1.1+7,IF(I263&lt;=250,I263*1.1+11,I263*1.1+19))),
IF(L263="NORMAL",
   IF(I263&lt;=30,I263*1.15+2,IF(I263&lt;=80,I263*1.15+4,IF(I263&lt;=150,I263*1.15+6,I263*1.15+8))),
IF(L263="COMPLEMENTO",
   IF(I263&lt;=25,I263*1.25+1.5,IF(I263&lt;=60,I263*1.25+3,IF(I263&lt;=120,I263*1.25+4,I263*1.25+5))),
""))),2)</f>
        <v>13611.66</v>
      </c>
      <c r="I263" s="9">
        <f>($K$2+0.02)*Tabla1[[#This Row],[PRECIO $]]*1.18</f>
        <v>12356.96</v>
      </c>
      <c r="J263" s="7">
        <f>+Tabla1[[#This Row],[PRECIO EN SOLES]]-Tabla1[[#This Row],[PC]]</f>
        <v>1254.7000000000007</v>
      </c>
      <c r="K263" s="15"/>
      <c r="L263" s="15" t="str">
        <f t="shared" si="4"/>
        <v>GANCHO</v>
      </c>
    </row>
    <row r="264" spans="1:12" x14ac:dyDescent="0.25">
      <c r="A264" s="3" t="s">
        <v>4478</v>
      </c>
      <c r="B264" s="3" t="s">
        <v>4479</v>
      </c>
      <c r="C264" s="1">
        <v>20</v>
      </c>
      <c r="D264" s="1">
        <v>3075</v>
      </c>
      <c r="E264" s="1" t="s">
        <v>783</v>
      </c>
      <c r="F264" s="1" t="s">
        <v>4480</v>
      </c>
      <c r="G264" s="3" t="s">
        <v>4481</v>
      </c>
      <c r="H264" s="11">
        <f>ROUND(
IF(L264="GANCHO",
   IF(I264&lt;=50,I264*1.1+4,IF(I264&lt;=120,I264*1.1+7,IF(I264&lt;=250,I264*1.1+11,I264*1.1+19))),
IF(L264="NORMAL",
   IF(I264&lt;=30,I264*1.15+2,IF(I264&lt;=80,I264*1.15+4,IF(I264&lt;=150,I264*1.15+6,I264*1.15+8))),
IF(L264="COMPLEMENTO",
   IF(I264&lt;=25,I264*1.25+1.5,IF(I264&lt;=60,I264*1.25+3,IF(I264&lt;=120,I264*1.25+4,I264*1.25+5))),
""))),2)</f>
        <v>14068.55</v>
      </c>
      <c r="I264" s="9">
        <f>($K$2+0.02)*Tabla1[[#This Row],[PRECIO $]]*1.18</f>
        <v>12772.32</v>
      </c>
      <c r="J264" s="7">
        <f>+Tabla1[[#This Row],[PRECIO EN SOLES]]-Tabla1[[#This Row],[PC]]</f>
        <v>1296.2299999999996</v>
      </c>
      <c r="K264" s="15"/>
      <c r="L264" s="15" t="str">
        <f t="shared" si="4"/>
        <v>GANCHO</v>
      </c>
    </row>
    <row r="265" spans="1:12" x14ac:dyDescent="0.25">
      <c r="A265" s="3" t="s">
        <v>917</v>
      </c>
      <c r="B265" s="3" t="s">
        <v>918</v>
      </c>
      <c r="C265" s="1">
        <v>20</v>
      </c>
      <c r="D265" s="1">
        <v>1865</v>
      </c>
      <c r="E265" s="1" t="s">
        <v>783</v>
      </c>
      <c r="F265" s="1" t="s">
        <v>2964</v>
      </c>
      <c r="G265" s="3" t="s">
        <v>4540</v>
      </c>
      <c r="H265" s="11">
        <f>ROUND(
IF(L265="GANCHO",
   IF(I265&lt;=50,I265*1.1+4,IF(I265&lt;=120,I265*1.1+7,IF(I265&lt;=250,I265*1.1+11,I265*1.1+19))),
IF(L265="NORMAL",
   IF(I265&lt;=30,I265*1.15+2,IF(I265&lt;=80,I265*1.15+4,IF(I265&lt;=150,I265*1.15+6,I265*1.15+8))),
IF(L265="COMPLEMENTO",
   IF(I265&lt;=25,I265*1.25+1.5,IF(I265&lt;=60,I265*1.25+3,IF(I265&lt;=120,I265*1.25+4,I265*1.25+5))),
""))),2)</f>
        <v>8540.11</v>
      </c>
      <c r="I265" s="9">
        <f>($K$2+0.02)*Tabla1[[#This Row],[PRECIO $]]*1.18</f>
        <v>7746.4639999999999</v>
      </c>
      <c r="J265" s="7">
        <f>+Tabla1[[#This Row],[PRECIO EN SOLES]]-Tabla1[[#This Row],[PC]]</f>
        <v>793.64600000000064</v>
      </c>
      <c r="K265" s="15"/>
      <c r="L265" s="15" t="str">
        <f t="shared" si="4"/>
        <v>GANCHO</v>
      </c>
    </row>
    <row r="266" spans="1:12" x14ac:dyDescent="0.25">
      <c r="A266" s="3" t="s">
        <v>1658</v>
      </c>
      <c r="B266" s="3" t="s">
        <v>1659</v>
      </c>
      <c r="C266" s="1">
        <v>20</v>
      </c>
      <c r="D266" s="1">
        <v>82</v>
      </c>
      <c r="E266" s="1" t="s">
        <v>121</v>
      </c>
      <c r="F266" s="1" t="s">
        <v>3419</v>
      </c>
      <c r="G266" s="3" t="s">
        <v>2701</v>
      </c>
      <c r="H266" s="11">
        <f>ROUND(
IF(L266="GANCHO",
   IF(I266&lt;=50,I266*1.1+4,IF(I266&lt;=120,I266*1.1+7,IF(I266&lt;=250,I266*1.1+11,I266*1.1+19))),
IF(L266="NORMAL",
   IF(I266&lt;=30,I266*1.15+2,IF(I266&lt;=80,I266*1.15+4,IF(I266&lt;=150,I266*1.15+6,I266*1.15+8))),
IF(L266="COMPLEMENTO",
   IF(I266&lt;=25,I266*1.25+1.5,IF(I266&lt;=60,I266*1.25+3,IF(I266&lt;=120,I266*1.25+4,I266*1.25+5))),
""))),2)</f>
        <v>399.68</v>
      </c>
      <c r="I266" s="9">
        <f>($K$2+0.02)*Tabla1[[#This Row],[PRECIO $]]*1.18</f>
        <v>340.59519999999998</v>
      </c>
      <c r="J266" s="7">
        <f>+Tabla1[[#This Row],[PRECIO EN SOLES]]-Tabla1[[#This Row],[PC]]</f>
        <v>59.08480000000003</v>
      </c>
      <c r="K266" s="15"/>
      <c r="L266" s="15" t="str">
        <f t="shared" si="4"/>
        <v>NORMAL</v>
      </c>
    </row>
    <row r="267" spans="1:12" x14ac:dyDescent="0.25">
      <c r="A267" s="3" t="s">
        <v>152</v>
      </c>
      <c r="B267" s="3" t="s">
        <v>153</v>
      </c>
      <c r="C267" s="1">
        <v>20</v>
      </c>
      <c r="D267" s="1">
        <v>126.5</v>
      </c>
      <c r="E267" s="1" t="s">
        <v>154</v>
      </c>
      <c r="F267" s="1" t="s">
        <v>2965</v>
      </c>
      <c r="G267" s="3" t="s">
        <v>155</v>
      </c>
      <c r="H267" s="11">
        <f>ROUND(
IF(L267="GANCHO",
   IF(I267&lt;=50,I267*1.1+4,IF(I267&lt;=120,I267*1.1+7,IF(I267&lt;=250,I267*1.1+11,I267*1.1+19))),
IF(L267="NORMAL",
   IF(I267&lt;=30,I267*1.15+2,IF(I267&lt;=80,I267*1.15+4,IF(I267&lt;=150,I267*1.15+6,I267*1.15+8))),
IF(L267="COMPLEMENTO",
   IF(I267&lt;=25,I267*1.25+1.5,IF(I267&lt;=60,I267*1.25+3,IF(I267&lt;=120,I267*1.25+4,I267*1.25+5))),
""))),2)</f>
        <v>596.97</v>
      </c>
      <c r="I267" s="9">
        <f>($K$2+0.02)*Tabla1[[#This Row],[PRECIO $]]*1.18</f>
        <v>525.43039999999996</v>
      </c>
      <c r="J267" s="7">
        <f>+Tabla1[[#This Row],[PRECIO EN SOLES]]-Tabla1[[#This Row],[PC]]</f>
        <v>71.539600000000064</v>
      </c>
      <c r="K267" s="15"/>
      <c r="L267" s="15" t="str">
        <f t="shared" si="4"/>
        <v>GANCHO</v>
      </c>
    </row>
    <row r="268" spans="1:12" x14ac:dyDescent="0.25">
      <c r="A268" s="3" t="s">
        <v>919</v>
      </c>
      <c r="B268" s="3" t="s">
        <v>920</v>
      </c>
      <c r="C268" s="1">
        <v>0</v>
      </c>
      <c r="D268" s="1">
        <v>153</v>
      </c>
      <c r="E268" s="1" t="s">
        <v>154</v>
      </c>
      <c r="F268" s="1" t="s">
        <v>2966</v>
      </c>
      <c r="G268" s="3" t="s">
        <v>921</v>
      </c>
      <c r="H268" s="11">
        <f>ROUND(
IF(L268="GANCHO",
   IF(I268&lt;=50,I268*1.1+4,IF(I268&lt;=120,I268*1.1+7,IF(I268&lt;=250,I268*1.1+11,I268*1.1+19))),
IF(L268="NORMAL",
   IF(I268&lt;=30,I268*1.15+2,IF(I268&lt;=80,I268*1.15+4,IF(I268&lt;=150,I268*1.15+6,I268*1.15+8))),
IF(L268="COMPLEMENTO",
   IF(I268&lt;=25,I268*1.25+1.5,IF(I268&lt;=60,I268*1.25+3,IF(I268&lt;=120,I268*1.25+4,I268*1.25+5))),
""))),2)</f>
        <v>718.05</v>
      </c>
      <c r="I268" s="9">
        <f>($K$2+0.02)*Tabla1[[#This Row],[PRECIO $]]*1.18</f>
        <v>635.50080000000003</v>
      </c>
      <c r="J268" s="7">
        <f>+Tabla1[[#This Row],[PRECIO EN SOLES]]-Tabla1[[#This Row],[PC]]</f>
        <v>82.549199999999928</v>
      </c>
      <c r="K268" s="15"/>
      <c r="L268" s="15" t="str">
        <f t="shared" si="4"/>
        <v>GANCHO</v>
      </c>
    </row>
    <row r="269" spans="1:12" x14ac:dyDescent="0.25">
      <c r="A269" s="3" t="s">
        <v>7052</v>
      </c>
      <c r="B269" s="3" t="s">
        <v>7053</v>
      </c>
      <c r="C269" s="1">
        <v>8</v>
      </c>
      <c r="D269" s="1">
        <v>80</v>
      </c>
      <c r="E269" s="1" t="s">
        <v>148</v>
      </c>
      <c r="F269" s="1" t="s">
        <v>7054</v>
      </c>
      <c r="G269" s="3" t="s">
        <v>7055</v>
      </c>
      <c r="H269" s="11">
        <f>ROUND(
IF(L269="GANCHO",
   IF(I269&lt;=50,I269*1.1+4,IF(I269&lt;=120,I269*1.1+7,IF(I269&lt;=250,I269*1.1+11,I269*1.1+19))),
IF(L269="NORMAL",
   IF(I269&lt;=30,I269*1.15+2,IF(I269&lt;=80,I269*1.15+4,IF(I269&lt;=150,I269*1.15+6,I269*1.15+8))),
IF(L269="COMPLEMENTO",
   IF(I269&lt;=25,I269*1.25+1.5,IF(I269&lt;=60,I269*1.25+3,IF(I269&lt;=120,I269*1.25+4,I269*1.25+5))),
""))),2)</f>
        <v>384.52</v>
      </c>
      <c r="I269" s="9">
        <f>($K$2+0.02)*Tabla1[[#This Row],[PRECIO $]]*1.18</f>
        <v>332.28800000000001</v>
      </c>
      <c r="J269" s="7">
        <f>+Tabla1[[#This Row],[PRECIO EN SOLES]]-Tabla1[[#This Row],[PC]]</f>
        <v>52.231999999999971</v>
      </c>
      <c r="K269" s="15"/>
      <c r="L269" s="15" t="str">
        <f t="shared" si="4"/>
        <v>GANCHO</v>
      </c>
    </row>
    <row r="270" spans="1:12" x14ac:dyDescent="0.25">
      <c r="A270" s="3" t="s">
        <v>3960</v>
      </c>
      <c r="B270" s="3" t="s">
        <v>3961</v>
      </c>
      <c r="C270" s="1">
        <v>20</v>
      </c>
      <c r="D270" s="1">
        <v>523</v>
      </c>
      <c r="E270" s="1" t="s">
        <v>154</v>
      </c>
      <c r="F270" s="1" t="s">
        <v>3962</v>
      </c>
      <c r="G270" s="3" t="s">
        <v>3963</v>
      </c>
      <c r="H270" s="11">
        <f>ROUND(
IF(L270="GANCHO",
   IF(I270&lt;=50,I270*1.1+4,IF(I270&lt;=120,I270*1.1+7,IF(I270&lt;=250,I270*1.1+11,I270*1.1+19))),
IF(L270="NORMAL",
   IF(I270&lt;=30,I270*1.15+2,IF(I270&lt;=80,I270*1.15+4,IF(I270&lt;=150,I270*1.15+6,I270*1.15+8))),
IF(L270="COMPLEMENTO",
   IF(I270&lt;=25,I270*1.25+1.5,IF(I270&lt;=60,I270*1.25+3,IF(I270&lt;=120,I270*1.25+4,I270*1.25+5))),
""))),2)</f>
        <v>2408.5700000000002</v>
      </c>
      <c r="I270" s="9">
        <f>($K$2+0.02)*Tabla1[[#This Row],[PRECIO $]]*1.18</f>
        <v>2172.3328000000001</v>
      </c>
      <c r="J270" s="7">
        <f>+Tabla1[[#This Row],[PRECIO EN SOLES]]-Tabla1[[#This Row],[PC]]</f>
        <v>236.23720000000003</v>
      </c>
      <c r="K270" s="15"/>
      <c r="L270" s="15" t="str">
        <f t="shared" si="4"/>
        <v>GANCHO</v>
      </c>
    </row>
    <row r="271" spans="1:12" x14ac:dyDescent="0.25">
      <c r="A271" s="3" t="s">
        <v>594</v>
      </c>
      <c r="B271" s="3" t="s">
        <v>595</v>
      </c>
      <c r="C271" s="1">
        <v>20</v>
      </c>
      <c r="D271" s="1">
        <v>151.5</v>
      </c>
      <c r="E271" s="1" t="s">
        <v>154</v>
      </c>
      <c r="F271" s="1" t="s">
        <v>2967</v>
      </c>
      <c r="G271" s="3" t="s">
        <v>596</v>
      </c>
      <c r="H271" s="11">
        <f>ROUND(
IF(L271="GANCHO",
   IF(I271&lt;=50,I271*1.1+4,IF(I271&lt;=120,I271*1.1+7,IF(I271&lt;=250,I271*1.1+11,I271*1.1+19))),
IF(L271="NORMAL",
   IF(I271&lt;=30,I271*1.15+2,IF(I271&lt;=80,I271*1.15+4,IF(I271&lt;=150,I271*1.15+6,I271*1.15+8))),
IF(L271="COMPLEMENTO",
   IF(I271&lt;=25,I271*1.25+1.5,IF(I271&lt;=60,I271*1.25+3,IF(I271&lt;=120,I271*1.25+4,I271*1.25+5))),
""))),2)</f>
        <v>711.2</v>
      </c>
      <c r="I271" s="9">
        <f>($K$2+0.02)*Tabla1[[#This Row],[PRECIO $]]*1.18</f>
        <v>629.27039999999988</v>
      </c>
      <c r="J271" s="7">
        <f>+Tabla1[[#This Row],[PRECIO EN SOLES]]-Tabla1[[#This Row],[PC]]</f>
        <v>81.929600000000164</v>
      </c>
      <c r="K271" s="15"/>
      <c r="L271" s="15" t="str">
        <f t="shared" si="4"/>
        <v>GANCHO</v>
      </c>
    </row>
    <row r="272" spans="1:12" x14ac:dyDescent="0.25">
      <c r="A272" s="3" t="s">
        <v>156</v>
      </c>
      <c r="B272" s="3" t="s">
        <v>157</v>
      </c>
      <c r="C272" s="1">
        <v>20</v>
      </c>
      <c r="D272" s="1">
        <v>171.3</v>
      </c>
      <c r="E272" s="1" t="s">
        <v>154</v>
      </c>
      <c r="F272" s="1" t="s">
        <v>2968</v>
      </c>
      <c r="G272" s="3" t="s">
        <v>158</v>
      </c>
      <c r="H272" s="11">
        <f>ROUND(
IF(L272="GANCHO",
   IF(I272&lt;=50,I272*1.1+4,IF(I272&lt;=120,I272*1.1+7,IF(I272&lt;=250,I272*1.1+11,I272*1.1+19))),
IF(L272="NORMAL",
   IF(I272&lt;=30,I272*1.15+2,IF(I272&lt;=80,I272*1.15+4,IF(I272&lt;=150,I272*1.15+6,I272*1.15+8))),
IF(L272="COMPLEMENTO",
   IF(I272&lt;=25,I272*1.25+1.5,IF(I272&lt;=60,I272*1.25+3,IF(I272&lt;=120,I272*1.25+4,I272*1.25+5))),
""))),2)</f>
        <v>801.66</v>
      </c>
      <c r="I272" s="9">
        <f>($K$2+0.02)*Tabla1[[#This Row],[PRECIO $]]*1.18</f>
        <v>711.51167999999996</v>
      </c>
      <c r="J272" s="7">
        <f>+Tabla1[[#This Row],[PRECIO EN SOLES]]-Tabla1[[#This Row],[PC]]</f>
        <v>90.148320000000012</v>
      </c>
      <c r="K272" s="15"/>
      <c r="L272" s="15" t="str">
        <f t="shared" si="4"/>
        <v>GANCHO</v>
      </c>
    </row>
    <row r="273" spans="1:12" x14ac:dyDescent="0.25">
      <c r="A273" s="3" t="s">
        <v>159</v>
      </c>
      <c r="B273" s="3" t="s">
        <v>160</v>
      </c>
      <c r="C273" s="1">
        <v>0</v>
      </c>
      <c r="D273" s="1">
        <v>200</v>
      </c>
      <c r="E273" s="1" t="s">
        <v>154</v>
      </c>
      <c r="F273" s="1" t="s">
        <v>2969</v>
      </c>
      <c r="G273" s="3" t="s">
        <v>161</v>
      </c>
      <c r="H273" s="11">
        <f>ROUND(
IF(L273="GANCHO",
   IF(I273&lt;=50,I273*1.1+4,IF(I273&lt;=120,I273*1.1+7,IF(I273&lt;=250,I273*1.1+11,I273*1.1+19))),
IF(L273="NORMAL",
   IF(I273&lt;=30,I273*1.15+2,IF(I273&lt;=80,I273*1.15+4,IF(I273&lt;=150,I273*1.15+6,I273*1.15+8))),
IF(L273="COMPLEMENTO",
   IF(I273&lt;=25,I273*1.25+1.5,IF(I273&lt;=60,I273*1.25+3,IF(I273&lt;=120,I273*1.25+4,I273*1.25+5))),
""))),2)</f>
        <v>932.79</v>
      </c>
      <c r="I273" s="9">
        <f>($K$2+0.02)*Tabla1[[#This Row],[PRECIO $]]*1.18</f>
        <v>830.71999999999991</v>
      </c>
      <c r="J273" s="7">
        <f>+Tabla1[[#This Row],[PRECIO EN SOLES]]-Tabla1[[#This Row],[PC]]</f>
        <v>102.07000000000005</v>
      </c>
      <c r="K273" s="15"/>
      <c r="L273" s="15" t="str">
        <f t="shared" si="4"/>
        <v>GANCHO</v>
      </c>
    </row>
    <row r="274" spans="1:12" x14ac:dyDescent="0.25">
      <c r="A274" s="3" t="s">
        <v>922</v>
      </c>
      <c r="B274" s="3" t="s">
        <v>923</v>
      </c>
      <c r="C274" s="1">
        <v>20</v>
      </c>
      <c r="D274" s="1">
        <v>226</v>
      </c>
      <c r="E274" s="1" t="s">
        <v>154</v>
      </c>
      <c r="F274" s="1" t="s">
        <v>2970</v>
      </c>
      <c r="G274" s="3" t="s">
        <v>924</v>
      </c>
      <c r="H274" s="11">
        <f>ROUND(
IF(L274="GANCHO",
   IF(I274&lt;=50,I274*1.1+4,IF(I274&lt;=120,I274*1.1+7,IF(I274&lt;=250,I274*1.1+11,I274*1.1+19))),
IF(L274="NORMAL",
   IF(I274&lt;=30,I274*1.15+2,IF(I274&lt;=80,I274*1.15+4,IF(I274&lt;=150,I274*1.15+6,I274*1.15+8))),
IF(L274="COMPLEMENTO",
   IF(I274&lt;=25,I274*1.25+1.5,IF(I274&lt;=60,I274*1.25+3,IF(I274&lt;=120,I274*1.25+4,I274*1.25+5))),
""))),2)</f>
        <v>1051.58</v>
      </c>
      <c r="I274" s="9">
        <f>($K$2+0.02)*Tabla1[[#This Row],[PRECIO $]]*1.18</f>
        <v>938.71359999999993</v>
      </c>
      <c r="J274" s="7">
        <f>+Tabla1[[#This Row],[PRECIO EN SOLES]]-Tabla1[[#This Row],[PC]]</f>
        <v>112.8664</v>
      </c>
      <c r="K274" s="15"/>
      <c r="L274" s="15" t="str">
        <f t="shared" si="4"/>
        <v>GANCHO</v>
      </c>
    </row>
    <row r="275" spans="1:12" x14ac:dyDescent="0.25">
      <c r="A275" s="3" t="s">
        <v>3964</v>
      </c>
      <c r="B275" s="3" t="s">
        <v>3965</v>
      </c>
      <c r="C275" s="1">
        <v>20</v>
      </c>
      <c r="D275" s="1">
        <v>315.2</v>
      </c>
      <c r="E275" s="1" t="s">
        <v>154</v>
      </c>
      <c r="F275" s="1" t="s">
        <v>3966</v>
      </c>
      <c r="G275" s="3" t="s">
        <v>3967</v>
      </c>
      <c r="H275" s="11">
        <f>ROUND(
IF(L275="GANCHO",
   IF(I275&lt;=50,I275*1.1+4,IF(I275&lt;=120,I275*1.1+7,IF(I275&lt;=250,I275*1.1+11,I275*1.1+19))),
IF(L275="NORMAL",
   IF(I275&lt;=30,I275*1.15+2,IF(I275&lt;=80,I275*1.15+4,IF(I275&lt;=150,I275*1.15+6,I275*1.15+8))),
IF(L275="COMPLEMENTO",
   IF(I275&lt;=25,I275*1.25+1.5,IF(I275&lt;=60,I275*1.25+3,IF(I275&lt;=120,I275*1.25+4,I275*1.25+5))),
""))),2)</f>
        <v>1459.14</v>
      </c>
      <c r="I275" s="9">
        <f>($K$2+0.02)*Tabla1[[#This Row],[PRECIO $]]*1.18</f>
        <v>1309.2147199999997</v>
      </c>
      <c r="J275" s="7">
        <f>+Tabla1[[#This Row],[PRECIO EN SOLES]]-Tabla1[[#This Row],[PC]]</f>
        <v>149.92528000000038</v>
      </c>
      <c r="K275" s="15"/>
      <c r="L275" s="15" t="str">
        <f t="shared" si="4"/>
        <v>GANCHO</v>
      </c>
    </row>
    <row r="276" spans="1:12" x14ac:dyDescent="0.25">
      <c r="A276" s="3" t="s">
        <v>3968</v>
      </c>
      <c r="B276" s="3" t="s">
        <v>3969</v>
      </c>
      <c r="C276" s="1">
        <v>20</v>
      </c>
      <c r="D276" s="1">
        <v>266</v>
      </c>
      <c r="E276" s="1" t="s">
        <v>154</v>
      </c>
      <c r="F276" s="1" t="s">
        <v>3970</v>
      </c>
      <c r="G276" s="3" t="s">
        <v>3971</v>
      </c>
      <c r="H276" s="11">
        <f>ROUND(
IF(L276="GANCHO",
   IF(I276&lt;=50,I276*1.1+4,IF(I276&lt;=120,I276*1.1+7,IF(I276&lt;=250,I276*1.1+11,I276*1.1+19))),
IF(L276="NORMAL",
   IF(I276&lt;=30,I276*1.15+2,IF(I276&lt;=80,I276*1.15+4,IF(I276&lt;=150,I276*1.15+6,I276*1.15+8))),
IF(L276="COMPLEMENTO",
   IF(I276&lt;=25,I276*1.25+1.5,IF(I276&lt;=60,I276*1.25+3,IF(I276&lt;=120,I276*1.25+4,I276*1.25+5))),
""))),2)</f>
        <v>1234.3399999999999</v>
      </c>
      <c r="I276" s="9">
        <f>($K$2+0.02)*Tabla1[[#This Row],[PRECIO $]]*1.18</f>
        <v>1104.8576</v>
      </c>
      <c r="J276" s="7">
        <f>+Tabla1[[#This Row],[PRECIO EN SOLES]]-Tabla1[[#This Row],[PC]]</f>
        <v>129.48239999999987</v>
      </c>
      <c r="K276" s="15"/>
      <c r="L276" s="15" t="str">
        <f t="shared" si="4"/>
        <v>GANCHO</v>
      </c>
    </row>
    <row r="277" spans="1:12" x14ac:dyDescent="0.25">
      <c r="A277" s="3" t="s">
        <v>162</v>
      </c>
      <c r="B277" s="3" t="s">
        <v>163</v>
      </c>
      <c r="C277" s="1">
        <v>20</v>
      </c>
      <c r="D277" s="1">
        <v>150</v>
      </c>
      <c r="E277" s="1" t="s">
        <v>148</v>
      </c>
      <c r="F277" s="1" t="s">
        <v>2971</v>
      </c>
      <c r="G277" s="3" t="s">
        <v>164</v>
      </c>
      <c r="H277" s="11">
        <f>ROUND(
IF(L277="GANCHO",
   IF(I277&lt;=50,I277*1.1+4,IF(I277&lt;=120,I277*1.1+7,IF(I277&lt;=250,I277*1.1+11,I277*1.1+19))),
IF(L277="NORMAL",
   IF(I277&lt;=30,I277*1.15+2,IF(I277&lt;=80,I277*1.15+4,IF(I277&lt;=150,I277*1.15+6,I277*1.15+8))),
IF(L277="COMPLEMENTO",
   IF(I277&lt;=25,I277*1.25+1.5,IF(I277&lt;=60,I277*1.25+3,IF(I277&lt;=120,I277*1.25+4,I277*1.25+5))),
""))),2)</f>
        <v>704.34</v>
      </c>
      <c r="I277" s="9">
        <f>($K$2+0.02)*Tabla1[[#This Row],[PRECIO $]]*1.18</f>
        <v>623.04</v>
      </c>
      <c r="J277" s="7">
        <f>+Tabla1[[#This Row],[PRECIO EN SOLES]]-Tabla1[[#This Row],[PC]]</f>
        <v>81.300000000000068</v>
      </c>
      <c r="K277" s="15"/>
      <c r="L277" s="15" t="str">
        <f t="shared" si="4"/>
        <v>GANCHO</v>
      </c>
    </row>
    <row r="278" spans="1:12" x14ac:dyDescent="0.25">
      <c r="A278" s="3" t="s">
        <v>925</v>
      </c>
      <c r="B278" s="3" t="s">
        <v>926</v>
      </c>
      <c r="C278" s="1">
        <v>0</v>
      </c>
      <c r="D278" s="1">
        <v>150</v>
      </c>
      <c r="E278" s="1" t="s">
        <v>148</v>
      </c>
      <c r="F278" s="1" t="s">
        <v>2972</v>
      </c>
      <c r="G278" s="3" t="s">
        <v>5335</v>
      </c>
      <c r="H278" s="11">
        <f>ROUND(
IF(L278="GANCHO",
   IF(I278&lt;=50,I278*1.1+4,IF(I278&lt;=120,I278*1.1+7,IF(I278&lt;=250,I278*1.1+11,I278*1.1+19))),
IF(L278="NORMAL",
   IF(I278&lt;=30,I278*1.15+2,IF(I278&lt;=80,I278*1.15+4,IF(I278&lt;=150,I278*1.15+6,I278*1.15+8))),
IF(L278="COMPLEMENTO",
   IF(I278&lt;=25,I278*1.25+1.5,IF(I278&lt;=60,I278*1.25+3,IF(I278&lt;=120,I278*1.25+4,I278*1.25+5))),
""))),2)</f>
        <v>704.34</v>
      </c>
      <c r="I278" s="9">
        <f>($K$2+0.02)*Tabla1[[#This Row],[PRECIO $]]*1.18</f>
        <v>623.04</v>
      </c>
      <c r="J278" s="7">
        <f>+Tabla1[[#This Row],[PRECIO EN SOLES]]-Tabla1[[#This Row],[PC]]</f>
        <v>81.300000000000068</v>
      </c>
      <c r="K278" s="15"/>
      <c r="L278" s="15" t="str">
        <f t="shared" si="4"/>
        <v>GANCHO</v>
      </c>
    </row>
    <row r="279" spans="1:12" x14ac:dyDescent="0.25">
      <c r="A279" s="3" t="s">
        <v>4180</v>
      </c>
      <c r="B279" s="3" t="s">
        <v>4181</v>
      </c>
      <c r="C279" s="1">
        <v>20</v>
      </c>
      <c r="D279" s="1">
        <v>170</v>
      </c>
      <c r="E279" s="1" t="s">
        <v>148</v>
      </c>
      <c r="F279" s="1" t="s">
        <v>4182</v>
      </c>
      <c r="G279" s="3" t="s">
        <v>5336</v>
      </c>
      <c r="H279" s="11">
        <f>ROUND(
IF(L279="GANCHO",
   IF(I279&lt;=50,I279*1.1+4,IF(I279&lt;=120,I279*1.1+7,IF(I279&lt;=250,I279*1.1+11,I279*1.1+19))),
IF(L279="NORMAL",
   IF(I279&lt;=30,I279*1.15+2,IF(I279&lt;=80,I279*1.15+4,IF(I279&lt;=150,I279*1.15+6,I279*1.15+8))),
IF(L279="COMPLEMENTO",
   IF(I279&lt;=25,I279*1.25+1.5,IF(I279&lt;=60,I279*1.25+3,IF(I279&lt;=120,I279*1.25+4,I279*1.25+5))),
""))),2)</f>
        <v>795.72</v>
      </c>
      <c r="I279" s="9">
        <f>($K$2+0.02)*Tabla1[[#This Row],[PRECIO $]]*1.18</f>
        <v>706.11199999999997</v>
      </c>
      <c r="J279" s="7">
        <f>+Tabla1[[#This Row],[PRECIO EN SOLES]]-Tabla1[[#This Row],[PC]]</f>
        <v>89.608000000000061</v>
      </c>
      <c r="K279" s="15"/>
      <c r="L279" s="15" t="str">
        <f t="shared" si="4"/>
        <v>GANCHO</v>
      </c>
    </row>
    <row r="280" spans="1:12" x14ac:dyDescent="0.25">
      <c r="A280" s="3" t="s">
        <v>4541</v>
      </c>
      <c r="B280" s="3" t="s">
        <v>4542</v>
      </c>
      <c r="C280" s="1">
        <v>3</v>
      </c>
      <c r="D280" s="1">
        <v>286</v>
      </c>
      <c r="E280" s="1" t="s">
        <v>148</v>
      </c>
      <c r="F280" s="1" t="s">
        <v>4543</v>
      </c>
      <c r="G280" s="3" t="s">
        <v>4544</v>
      </c>
      <c r="H280" s="11">
        <f>ROUND(
IF(L280="GANCHO",
   IF(I280&lt;=50,I280*1.1+4,IF(I280&lt;=120,I280*1.1+7,IF(I280&lt;=250,I280*1.1+11,I280*1.1+19))),
IF(L280="NORMAL",
   IF(I280&lt;=30,I280*1.15+2,IF(I280&lt;=80,I280*1.15+4,IF(I280&lt;=150,I280*1.15+6,I280*1.15+8))),
IF(L280="COMPLEMENTO",
   IF(I280&lt;=25,I280*1.25+1.5,IF(I280&lt;=60,I280*1.25+3,IF(I280&lt;=120,I280*1.25+4,I280*1.25+5))),
""))),2)</f>
        <v>1325.72</v>
      </c>
      <c r="I280" s="9">
        <f>($K$2+0.02)*Tabla1[[#This Row],[PRECIO $]]*1.18</f>
        <v>1187.9295999999999</v>
      </c>
      <c r="J280" s="7">
        <f>+Tabla1[[#This Row],[PRECIO EN SOLES]]-Tabla1[[#This Row],[PC]]</f>
        <v>137.79040000000009</v>
      </c>
      <c r="K280" s="15"/>
      <c r="L280" s="15" t="str">
        <f t="shared" si="4"/>
        <v>GANCHO</v>
      </c>
    </row>
    <row r="281" spans="1:12" x14ac:dyDescent="0.25">
      <c r="A281" s="3" t="s">
        <v>165</v>
      </c>
      <c r="B281" s="3" t="s">
        <v>166</v>
      </c>
      <c r="C281" s="1">
        <v>1</v>
      </c>
      <c r="D281" s="1">
        <v>150</v>
      </c>
      <c r="E281" s="1" t="s">
        <v>148</v>
      </c>
      <c r="F281" s="1" t="s">
        <v>2973</v>
      </c>
      <c r="G281" s="3" t="s">
        <v>167</v>
      </c>
      <c r="H281" s="11">
        <f>ROUND(
IF(L281="GANCHO",
   IF(I281&lt;=50,I281*1.1+4,IF(I281&lt;=120,I281*1.1+7,IF(I281&lt;=250,I281*1.1+11,I281*1.1+19))),
IF(L281="NORMAL",
   IF(I281&lt;=30,I281*1.15+2,IF(I281&lt;=80,I281*1.15+4,IF(I281&lt;=150,I281*1.15+6,I281*1.15+8))),
IF(L281="COMPLEMENTO",
   IF(I281&lt;=25,I281*1.25+1.5,IF(I281&lt;=60,I281*1.25+3,IF(I281&lt;=120,I281*1.25+4,I281*1.25+5))),
""))),2)</f>
        <v>704.34</v>
      </c>
      <c r="I281" s="9">
        <f>($K$2+0.02)*Tabla1[[#This Row],[PRECIO $]]*1.18</f>
        <v>623.04</v>
      </c>
      <c r="J281" s="7">
        <f>+Tabla1[[#This Row],[PRECIO EN SOLES]]-Tabla1[[#This Row],[PC]]</f>
        <v>81.300000000000068</v>
      </c>
      <c r="K281" s="15"/>
      <c r="L281" s="15" t="str">
        <f t="shared" si="4"/>
        <v>GANCHO</v>
      </c>
    </row>
    <row r="282" spans="1:12" x14ac:dyDescent="0.25">
      <c r="A282" s="3" t="s">
        <v>5706</v>
      </c>
      <c r="B282" s="3" t="s">
        <v>5707</v>
      </c>
      <c r="C282" s="1">
        <v>20</v>
      </c>
      <c r="D282" s="1">
        <v>30.3</v>
      </c>
      <c r="E282" s="1" t="s">
        <v>52</v>
      </c>
      <c r="F282" s="1" t="s">
        <v>5708</v>
      </c>
      <c r="G282" s="3" t="s">
        <v>5709</v>
      </c>
      <c r="H282" s="11">
        <f>ROUND(
IF(L282="GANCHO",
   IF(I282&lt;=50,I282*1.1+4,IF(I282&lt;=120,I282*1.1+7,IF(I282&lt;=250,I282*1.1+11,I282*1.1+19))),
IF(L282="NORMAL",
   IF(I282&lt;=30,I282*1.15+2,IF(I282&lt;=80,I282*1.15+4,IF(I282&lt;=150,I282*1.15+6,I282*1.15+8))),
IF(L282="COMPLEMENTO",
   IF(I282&lt;=25,I282*1.25+1.5,IF(I282&lt;=60,I282*1.25+3,IF(I282&lt;=120,I282*1.25+4,I282*1.25+5))),
""))),2)</f>
        <v>150.72999999999999</v>
      </c>
      <c r="I282" s="9">
        <f>($K$2+0.02)*Tabla1[[#This Row],[PRECIO $]]*1.18</f>
        <v>125.85408</v>
      </c>
      <c r="J282" s="7">
        <f>+Tabla1[[#This Row],[PRECIO EN SOLES]]-Tabla1[[#This Row],[PC]]</f>
        <v>24.875919999999994</v>
      </c>
      <c r="K282" s="15"/>
      <c r="L282" s="15" t="str">
        <f t="shared" si="4"/>
        <v>NORMAL</v>
      </c>
    </row>
    <row r="283" spans="1:12" x14ac:dyDescent="0.25">
      <c r="A283" s="3" t="s">
        <v>927</v>
      </c>
      <c r="B283" s="3" t="s">
        <v>928</v>
      </c>
      <c r="C283" s="1">
        <v>20</v>
      </c>
      <c r="D283" s="1">
        <v>42.2</v>
      </c>
      <c r="E283" s="1" t="s">
        <v>52</v>
      </c>
      <c r="F283" s="1" t="s">
        <v>2974</v>
      </c>
      <c r="G283" s="3" t="s">
        <v>4427</v>
      </c>
      <c r="H283" s="11">
        <f>ROUND(
IF(L283="GANCHO",
   IF(I283&lt;=50,I283*1.1+4,IF(I283&lt;=120,I283*1.1+7,IF(I283&lt;=250,I283*1.1+11,I283*1.1+19))),
IF(L283="NORMAL",
   IF(I283&lt;=30,I283*1.15+2,IF(I283&lt;=80,I283*1.15+4,IF(I283&lt;=150,I283*1.15+6,I283*1.15+8))),
IF(L283="COMPLEMENTO",
   IF(I283&lt;=25,I283*1.25+1.5,IF(I283&lt;=60,I283*1.25+3,IF(I283&lt;=120,I283*1.25+4,I283*1.25+5))),
""))),2)</f>
        <v>209.57</v>
      </c>
      <c r="I283" s="9">
        <f>($K$2+0.02)*Tabla1[[#This Row],[PRECIO $]]*1.18</f>
        <v>175.28192000000001</v>
      </c>
      <c r="J283" s="7">
        <f>+Tabla1[[#This Row],[PRECIO EN SOLES]]-Tabla1[[#This Row],[PC]]</f>
        <v>34.288079999999979</v>
      </c>
      <c r="K283" s="15"/>
      <c r="L283" s="15" t="str">
        <f t="shared" si="4"/>
        <v>NORMAL</v>
      </c>
    </row>
    <row r="284" spans="1:12" x14ac:dyDescent="0.25">
      <c r="A284" s="3" t="s">
        <v>4228</v>
      </c>
      <c r="B284" s="3" t="s">
        <v>4229</v>
      </c>
      <c r="C284" s="1">
        <v>2</v>
      </c>
      <c r="D284" s="1">
        <v>56.55</v>
      </c>
      <c r="E284" s="1" t="s">
        <v>223</v>
      </c>
      <c r="F284" s="1" t="s">
        <v>4230</v>
      </c>
      <c r="G284" s="3" t="s">
        <v>4231</v>
      </c>
      <c r="H284" s="11">
        <f>ROUND(
IF(L284="GANCHO",
   IF(I284&lt;=50,I284*1.1+4,IF(I284&lt;=120,I284*1.1+7,IF(I284&lt;=250,I284*1.1+11,I284*1.1+19))),
IF(L284="NORMAL",
   IF(I284&lt;=30,I284*1.15+2,IF(I284&lt;=80,I284*1.15+4,IF(I284&lt;=150,I284*1.15+6,I284*1.15+8))),
IF(L284="COMPLEMENTO",
   IF(I284&lt;=25,I284*1.25+1.5,IF(I284&lt;=60,I284*1.25+3,IF(I284&lt;=120,I284*1.25+4,I284*1.25+5))),
""))),2)</f>
        <v>269.37</v>
      </c>
      <c r="I284" s="9">
        <f>($K$2+0.02)*Tabla1[[#This Row],[PRECIO $]]*1.18</f>
        <v>234.88607999999996</v>
      </c>
      <c r="J284" s="7">
        <f>+Tabla1[[#This Row],[PRECIO EN SOLES]]-Tabla1[[#This Row],[PC]]</f>
        <v>34.48392000000004</v>
      </c>
      <c r="K284" s="15"/>
      <c r="L284" s="15" t="str">
        <f t="shared" si="4"/>
        <v>GANCHO</v>
      </c>
    </row>
    <row r="285" spans="1:12" x14ac:dyDescent="0.25">
      <c r="A285" s="3" t="s">
        <v>5337</v>
      </c>
      <c r="B285" s="3" t="s">
        <v>5338</v>
      </c>
      <c r="C285" s="1">
        <v>20</v>
      </c>
      <c r="D285" s="1">
        <v>52.6</v>
      </c>
      <c r="E285" s="1" t="s">
        <v>121</v>
      </c>
      <c r="F285" s="1" t="s">
        <v>5339</v>
      </c>
      <c r="G285" s="3" t="s">
        <v>5340</v>
      </c>
      <c r="H285" s="11">
        <f>ROUND(
IF(L285="GANCHO",
   IF(I285&lt;=50,I285*1.1+4,IF(I285&lt;=120,I285*1.1+7,IF(I285&lt;=250,I285*1.1+11,I285*1.1+19))),
IF(L285="NORMAL",
   IF(I285&lt;=30,I285*1.15+2,IF(I285&lt;=80,I285*1.15+4,IF(I285&lt;=150,I285*1.15+6,I285*1.15+8))),
IF(L285="COMPLEMENTO",
   IF(I285&lt;=25,I285*1.25+1.5,IF(I285&lt;=60,I285*1.25+3,IF(I285&lt;=120,I285*1.25+4,I285*1.25+5))),
""))),2)</f>
        <v>259.25</v>
      </c>
      <c r="I285" s="9">
        <f>($K$2+0.02)*Tabla1[[#This Row],[PRECIO $]]*1.18</f>
        <v>218.47936000000001</v>
      </c>
      <c r="J285" s="7">
        <f>+Tabla1[[#This Row],[PRECIO EN SOLES]]-Tabla1[[#This Row],[PC]]</f>
        <v>40.770639999999986</v>
      </c>
      <c r="K285" s="15"/>
      <c r="L285" s="15" t="str">
        <f t="shared" si="4"/>
        <v>NORMAL</v>
      </c>
    </row>
    <row r="286" spans="1:12" x14ac:dyDescent="0.25">
      <c r="A286" s="3" t="s">
        <v>5341</v>
      </c>
      <c r="B286" s="3" t="s">
        <v>5342</v>
      </c>
      <c r="C286" s="1">
        <v>20</v>
      </c>
      <c r="D286" s="1">
        <v>55.9</v>
      </c>
      <c r="E286" s="1" t="s">
        <v>121</v>
      </c>
      <c r="F286" s="1" t="s">
        <v>5343</v>
      </c>
      <c r="G286" s="3" t="s">
        <v>5344</v>
      </c>
      <c r="H286" s="11">
        <f>ROUND(
IF(L286="GANCHO",
   IF(I286&lt;=50,I286*1.1+4,IF(I286&lt;=120,I286*1.1+7,IF(I286&lt;=250,I286*1.1+11,I286*1.1+19))),
IF(L286="NORMAL",
   IF(I286&lt;=30,I286*1.15+2,IF(I286&lt;=80,I286*1.15+4,IF(I286&lt;=150,I286*1.15+6,I286*1.15+8))),
IF(L286="COMPLEMENTO",
   IF(I286&lt;=25,I286*1.25+1.5,IF(I286&lt;=60,I286*1.25+3,IF(I286&lt;=120,I286*1.25+4,I286*1.25+5))),
""))),2)</f>
        <v>275.01</v>
      </c>
      <c r="I286" s="9">
        <f>($K$2+0.02)*Tabla1[[#This Row],[PRECIO $]]*1.18</f>
        <v>232.18624</v>
      </c>
      <c r="J286" s="7">
        <f>+Tabla1[[#This Row],[PRECIO EN SOLES]]-Tabla1[[#This Row],[PC]]</f>
        <v>42.823759999999993</v>
      </c>
      <c r="K286" s="15"/>
      <c r="L286" s="15" t="str">
        <f t="shared" si="4"/>
        <v>NORMAL</v>
      </c>
    </row>
    <row r="287" spans="1:12" x14ac:dyDescent="0.25">
      <c r="A287" s="3" t="s">
        <v>2825</v>
      </c>
      <c r="B287" s="3" t="s">
        <v>2826</v>
      </c>
      <c r="C287" s="1">
        <v>20</v>
      </c>
      <c r="D287" s="1">
        <v>54</v>
      </c>
      <c r="E287" s="1" t="s">
        <v>2821</v>
      </c>
      <c r="F287" s="1" t="s">
        <v>2975</v>
      </c>
      <c r="G287" s="3" t="s">
        <v>4545</v>
      </c>
      <c r="H287" s="11">
        <f>ROUND(
IF(L287="GANCHO",
   IF(I287&lt;=50,I287*1.1+4,IF(I287&lt;=120,I287*1.1+7,IF(I287&lt;=250,I287*1.1+11,I287*1.1+19))),
IF(L287="NORMAL",
   IF(I287&lt;=30,I287*1.15+2,IF(I287&lt;=80,I287*1.15+4,IF(I287&lt;=150,I287*1.15+6,I287*1.15+8))),
IF(L287="COMPLEMENTO",
   IF(I287&lt;=25,I287*1.25+1.5,IF(I287&lt;=60,I287*1.25+3,IF(I287&lt;=120,I287*1.25+4,I287*1.25+5))),
""))),2)</f>
        <v>265.94</v>
      </c>
      <c r="I287" s="9">
        <f>($K$2+0.02)*Tabla1[[#This Row],[PRECIO $]]*1.18</f>
        <v>224.2944</v>
      </c>
      <c r="J287" s="7">
        <f>+Tabla1[[#This Row],[PRECIO EN SOLES]]-Tabla1[[#This Row],[PC]]</f>
        <v>41.645600000000002</v>
      </c>
      <c r="K287" s="15"/>
      <c r="L287" s="15" t="str">
        <f t="shared" si="4"/>
        <v>NORMAL</v>
      </c>
    </row>
    <row r="288" spans="1:12" x14ac:dyDescent="0.25">
      <c r="A288" s="3" t="s">
        <v>5345</v>
      </c>
      <c r="B288" s="3" t="s">
        <v>5346</v>
      </c>
      <c r="C288" s="1">
        <v>5</v>
      </c>
      <c r="D288" s="1">
        <v>188</v>
      </c>
      <c r="E288" s="1" t="s">
        <v>847</v>
      </c>
      <c r="F288" s="1" t="s">
        <v>5347</v>
      </c>
      <c r="G288" s="3"/>
      <c r="H288" s="11">
        <f>ROUND(
IF(L288="GANCHO",
   IF(I288&lt;=50,I288*1.1+4,IF(I288&lt;=120,I288*1.1+7,IF(I288&lt;=250,I288*1.1+11,I288*1.1+19))),
IF(L288="NORMAL",
   IF(I288&lt;=30,I288*1.15+2,IF(I288&lt;=80,I288*1.15+4,IF(I288&lt;=150,I288*1.15+6,I288*1.15+8))),
IF(L288="COMPLEMENTO",
   IF(I288&lt;=25,I288*1.25+1.5,IF(I288&lt;=60,I288*1.25+3,IF(I288&lt;=120,I288*1.25+4,I288*1.25+5))),
""))),2)</f>
        <v>906.01</v>
      </c>
      <c r="I288" s="9">
        <f>($K$2+0.02)*Tabla1[[#This Row],[PRECIO $]]*1.18</f>
        <v>780.8768</v>
      </c>
      <c r="J288" s="7">
        <f>+Tabla1[[#This Row],[PRECIO EN SOLES]]-Tabla1[[#This Row],[PC]]</f>
        <v>125.13319999999999</v>
      </c>
      <c r="K288" s="15"/>
      <c r="L288" s="15" t="str">
        <f t="shared" si="4"/>
        <v>NORMAL</v>
      </c>
    </row>
    <row r="289" spans="1:12" x14ac:dyDescent="0.25">
      <c r="A289" s="3" t="s">
        <v>2728</v>
      </c>
      <c r="B289" s="3" t="s">
        <v>2729</v>
      </c>
      <c r="C289" s="1">
        <v>0</v>
      </c>
      <c r="D289" s="1">
        <v>222.75</v>
      </c>
      <c r="E289" s="1" t="s">
        <v>115</v>
      </c>
      <c r="F289" s="1" t="s">
        <v>2976</v>
      </c>
      <c r="G289" s="3" t="s">
        <v>2730</v>
      </c>
      <c r="H289" s="11">
        <f>ROUND(
IF(L289="GANCHO",
   IF(I289&lt;=50,I289*1.1+4,IF(I289&lt;=120,I289*1.1+7,IF(I289&lt;=250,I289*1.1+11,I289*1.1+19))),
IF(L289="NORMAL",
   IF(I289&lt;=30,I289*1.15+2,IF(I289&lt;=80,I289*1.15+4,IF(I289&lt;=150,I289*1.15+6,I289*1.15+8))),
IF(L289="COMPLEMENTO",
   IF(I289&lt;=25,I289*1.25+1.5,IF(I289&lt;=60,I289*1.25+3,IF(I289&lt;=120,I289*1.25+4,I289*1.25+5))),
""))),2)</f>
        <v>1072</v>
      </c>
      <c r="I289" s="9">
        <f>($K$2+0.02)*Tabla1[[#This Row],[PRECIO $]]*1.18</f>
        <v>925.21439999999996</v>
      </c>
      <c r="J289" s="7">
        <f>+Tabla1[[#This Row],[PRECIO EN SOLES]]-Tabla1[[#This Row],[PC]]</f>
        <v>146.78560000000004</v>
      </c>
      <c r="K289" s="15"/>
      <c r="L289" s="15" t="str">
        <f t="shared" si="4"/>
        <v>NORMAL</v>
      </c>
    </row>
    <row r="290" spans="1:12" x14ac:dyDescent="0.25">
      <c r="A290" s="3" t="s">
        <v>2827</v>
      </c>
      <c r="B290" s="3" t="s">
        <v>2828</v>
      </c>
      <c r="C290" s="1">
        <v>12</v>
      </c>
      <c r="D290" s="1">
        <v>78</v>
      </c>
      <c r="E290" s="1" t="s">
        <v>2821</v>
      </c>
      <c r="F290" s="1" t="s">
        <v>2977</v>
      </c>
      <c r="G290" s="3" t="s">
        <v>4546</v>
      </c>
      <c r="H290" s="11">
        <f>ROUND(
IF(L290="GANCHO",
   IF(I290&lt;=50,I290*1.1+4,IF(I290&lt;=120,I290*1.1+7,IF(I290&lt;=250,I290*1.1+11,I290*1.1+19))),
IF(L290="NORMAL",
   IF(I290&lt;=30,I290*1.15+2,IF(I290&lt;=80,I290*1.15+4,IF(I290&lt;=150,I290*1.15+6,I290*1.15+8))),
IF(L290="COMPLEMENTO",
   IF(I290&lt;=25,I290*1.25+1.5,IF(I290&lt;=60,I290*1.25+3,IF(I290&lt;=120,I290*1.25+4,I290*1.25+5))),
""))),2)</f>
        <v>380.58</v>
      </c>
      <c r="I290" s="9">
        <f>($K$2+0.02)*Tabla1[[#This Row],[PRECIO $]]*1.18</f>
        <v>323.98079999999999</v>
      </c>
      <c r="J290" s="7">
        <f>+Tabla1[[#This Row],[PRECIO EN SOLES]]-Tabla1[[#This Row],[PC]]</f>
        <v>56.599199999999996</v>
      </c>
      <c r="K290" s="15"/>
      <c r="L290" s="15" t="str">
        <f t="shared" si="4"/>
        <v>NORMAL</v>
      </c>
    </row>
    <row r="291" spans="1:12" x14ac:dyDescent="0.25">
      <c r="A291" s="3" t="s">
        <v>6416</v>
      </c>
      <c r="B291" s="3" t="s">
        <v>6417</v>
      </c>
      <c r="C291" s="1">
        <v>20</v>
      </c>
      <c r="D291" s="1">
        <v>59.35</v>
      </c>
      <c r="E291" s="1" t="s">
        <v>121</v>
      </c>
      <c r="F291" s="1" t="s">
        <v>6418</v>
      </c>
      <c r="G291" s="3" t="s">
        <v>6419</v>
      </c>
      <c r="H291" s="11">
        <f>ROUND(
IF(L291="GANCHO",
   IF(I291&lt;=50,I291*1.1+4,IF(I291&lt;=120,I291*1.1+7,IF(I291&lt;=250,I291*1.1+11,I291*1.1+19))),
IF(L291="NORMAL",
   IF(I291&lt;=30,I291*1.15+2,IF(I291&lt;=80,I291*1.15+4,IF(I291&lt;=150,I291*1.15+6,I291*1.15+8))),
IF(L291="COMPLEMENTO",
   IF(I291&lt;=25,I291*1.25+1.5,IF(I291&lt;=60,I291*1.25+3,IF(I291&lt;=120,I291*1.25+4,I291*1.25+5))),
""))),2)</f>
        <v>291.49</v>
      </c>
      <c r="I291" s="9">
        <f>($K$2+0.02)*Tabla1[[#This Row],[PRECIO $]]*1.18</f>
        <v>246.51615999999999</v>
      </c>
      <c r="J291" s="7">
        <f>+Tabla1[[#This Row],[PRECIO EN SOLES]]-Tabla1[[#This Row],[PC]]</f>
        <v>44.973840000000024</v>
      </c>
      <c r="K291" s="15"/>
      <c r="L291" s="15" t="str">
        <f t="shared" si="4"/>
        <v>NORMAL</v>
      </c>
    </row>
    <row r="292" spans="1:12" x14ac:dyDescent="0.25">
      <c r="A292" s="3" t="s">
        <v>2731</v>
      </c>
      <c r="B292" s="3" t="s">
        <v>2732</v>
      </c>
      <c r="C292" s="1">
        <v>0</v>
      </c>
      <c r="D292" s="1">
        <v>70</v>
      </c>
      <c r="E292" s="1" t="s">
        <v>121</v>
      </c>
      <c r="F292" s="1" t="s">
        <v>2978</v>
      </c>
      <c r="G292" s="3" t="s">
        <v>2733</v>
      </c>
      <c r="H292" s="11">
        <f>ROUND(
IF(L292="GANCHO",
   IF(I292&lt;=50,I292*1.1+4,IF(I292&lt;=120,I292*1.1+7,IF(I292&lt;=250,I292*1.1+11,I292*1.1+19))),
IF(L292="NORMAL",
   IF(I292&lt;=30,I292*1.15+2,IF(I292&lt;=80,I292*1.15+4,IF(I292&lt;=150,I292*1.15+6,I292*1.15+8))),
IF(L292="COMPLEMENTO",
   IF(I292&lt;=25,I292*1.25+1.5,IF(I292&lt;=60,I292*1.25+3,IF(I292&lt;=120,I292*1.25+4,I292*1.25+5))),
""))),2)</f>
        <v>342.36</v>
      </c>
      <c r="I292" s="9">
        <f>($K$2+0.02)*Tabla1[[#This Row],[PRECIO $]]*1.18</f>
        <v>290.75200000000001</v>
      </c>
      <c r="J292" s="7">
        <f>+Tabla1[[#This Row],[PRECIO EN SOLES]]-Tabla1[[#This Row],[PC]]</f>
        <v>51.608000000000004</v>
      </c>
      <c r="K292" s="15"/>
      <c r="L292" s="15" t="str">
        <f t="shared" si="4"/>
        <v>NORMAL</v>
      </c>
    </row>
    <row r="293" spans="1:12" x14ac:dyDescent="0.25">
      <c r="A293" s="3" t="s">
        <v>4843</v>
      </c>
      <c r="B293" s="3" t="s">
        <v>4844</v>
      </c>
      <c r="C293" s="1">
        <v>14</v>
      </c>
      <c r="D293" s="1">
        <v>72.7</v>
      </c>
      <c r="E293" s="1" t="s">
        <v>121</v>
      </c>
      <c r="F293" s="1" t="s">
        <v>4845</v>
      </c>
      <c r="G293" s="3" t="s">
        <v>4846</v>
      </c>
      <c r="H293" s="11">
        <f>ROUND(
IF(L293="GANCHO",
   IF(I293&lt;=50,I293*1.1+4,IF(I293&lt;=120,I293*1.1+7,IF(I293&lt;=250,I293*1.1+11,I293*1.1+19))),
IF(L293="NORMAL",
   IF(I293&lt;=30,I293*1.15+2,IF(I293&lt;=80,I293*1.15+4,IF(I293&lt;=150,I293*1.15+6,I293*1.15+8))),
IF(L293="COMPLEMENTO",
   IF(I293&lt;=25,I293*1.25+1.5,IF(I293&lt;=60,I293*1.25+3,IF(I293&lt;=120,I293*1.25+4,I293*1.25+5))),
""))),2)</f>
        <v>355.26</v>
      </c>
      <c r="I293" s="9">
        <f>($K$2+0.02)*Tabla1[[#This Row],[PRECIO $]]*1.18</f>
        <v>301.96672000000001</v>
      </c>
      <c r="J293" s="7">
        <f>+Tabla1[[#This Row],[PRECIO EN SOLES]]-Tabla1[[#This Row],[PC]]</f>
        <v>53.293279999999982</v>
      </c>
      <c r="K293" s="15"/>
      <c r="L293" s="15" t="str">
        <f t="shared" si="4"/>
        <v>NORMAL</v>
      </c>
    </row>
    <row r="294" spans="1:12" x14ac:dyDescent="0.25">
      <c r="A294" s="3" t="s">
        <v>4847</v>
      </c>
      <c r="B294" s="3" t="s">
        <v>4848</v>
      </c>
      <c r="C294" s="1">
        <v>20</v>
      </c>
      <c r="D294" s="1">
        <v>73.3</v>
      </c>
      <c r="E294" s="1" t="s">
        <v>121</v>
      </c>
      <c r="F294" s="1" t="s">
        <v>4849</v>
      </c>
      <c r="G294" s="3" t="s">
        <v>4850</v>
      </c>
      <c r="H294" s="11">
        <f>ROUND(
IF(L294="GANCHO",
   IF(I294&lt;=50,I294*1.1+4,IF(I294&lt;=120,I294*1.1+7,IF(I294&lt;=250,I294*1.1+11,I294*1.1+19))),
IF(L294="NORMAL",
   IF(I294&lt;=30,I294*1.15+2,IF(I294&lt;=80,I294*1.15+4,IF(I294&lt;=150,I294*1.15+6,I294*1.15+8))),
IF(L294="COMPLEMENTO",
   IF(I294&lt;=25,I294*1.25+1.5,IF(I294&lt;=60,I294*1.25+3,IF(I294&lt;=120,I294*1.25+4,I294*1.25+5))),
""))),2)</f>
        <v>358.13</v>
      </c>
      <c r="I294" s="9">
        <f>($K$2+0.02)*Tabla1[[#This Row],[PRECIO $]]*1.18</f>
        <v>304.45888000000002</v>
      </c>
      <c r="J294" s="7">
        <f>+Tabla1[[#This Row],[PRECIO EN SOLES]]-Tabla1[[#This Row],[PC]]</f>
        <v>53.671119999999974</v>
      </c>
      <c r="K294" s="15"/>
      <c r="L294" s="15" t="str">
        <f t="shared" si="4"/>
        <v>NORMAL</v>
      </c>
    </row>
    <row r="295" spans="1:12" x14ac:dyDescent="0.25">
      <c r="A295" s="3" t="s">
        <v>168</v>
      </c>
      <c r="B295" s="3" t="s">
        <v>169</v>
      </c>
      <c r="C295" s="1">
        <v>20</v>
      </c>
      <c r="D295" s="1">
        <v>32.75</v>
      </c>
      <c r="E295" s="1" t="s">
        <v>170</v>
      </c>
      <c r="F295" s="1" t="s">
        <v>2979</v>
      </c>
      <c r="G295" s="3" t="s">
        <v>171</v>
      </c>
      <c r="H295" s="11">
        <f>ROUND(
IF(L295="GANCHO",
   IF(I295&lt;=50,I295*1.1+4,IF(I295&lt;=120,I295*1.1+7,IF(I295&lt;=250,I295*1.1+11,I295*1.1+19))),
IF(L295="NORMAL",
   IF(I295&lt;=30,I295*1.15+2,IF(I295&lt;=80,I295*1.15+4,IF(I295&lt;=150,I295*1.15+6,I295*1.15+8))),
IF(L295="COMPLEMENTO",
   IF(I295&lt;=25,I295*1.25+1.5,IF(I295&lt;=60,I295*1.25+3,IF(I295&lt;=120,I295*1.25+4,I295*1.25+5))),
""))),2)</f>
        <v>162.43</v>
      </c>
      <c r="I295" s="9">
        <f>($K$2+0.02)*Tabla1[[#This Row],[PRECIO $]]*1.18</f>
        <v>136.03039999999999</v>
      </c>
      <c r="J295" s="7">
        <f>+Tabla1[[#This Row],[PRECIO EN SOLES]]-Tabla1[[#This Row],[PC]]</f>
        <v>26.399600000000021</v>
      </c>
      <c r="K295" s="15"/>
      <c r="L295" s="15" t="str">
        <f t="shared" si="4"/>
        <v>NORMAL</v>
      </c>
    </row>
    <row r="296" spans="1:12" x14ac:dyDescent="0.25">
      <c r="A296" s="3" t="s">
        <v>4081</v>
      </c>
      <c r="B296" s="3" t="s">
        <v>4082</v>
      </c>
      <c r="C296" s="1">
        <v>20</v>
      </c>
      <c r="D296" s="1">
        <v>89.5</v>
      </c>
      <c r="E296" s="1" t="s">
        <v>170</v>
      </c>
      <c r="F296" s="1" t="s">
        <v>4083</v>
      </c>
      <c r="G296" s="3" t="s">
        <v>4084</v>
      </c>
      <c r="H296" s="11">
        <f>ROUND(
IF(L296="GANCHO",
   IF(I296&lt;=50,I296*1.1+4,IF(I296&lt;=120,I296*1.1+7,IF(I296&lt;=250,I296*1.1+11,I296*1.1+19))),
IF(L296="NORMAL",
   IF(I296&lt;=30,I296*1.15+2,IF(I296&lt;=80,I296*1.15+4,IF(I296&lt;=150,I296*1.15+6,I296*1.15+8))),
IF(L296="COMPLEMENTO",
   IF(I296&lt;=25,I296*1.25+1.5,IF(I296&lt;=60,I296*1.25+3,IF(I296&lt;=120,I296*1.25+4,I296*1.25+5))),
""))),2)</f>
        <v>435.51</v>
      </c>
      <c r="I296" s="9">
        <f>($K$2+0.02)*Tabla1[[#This Row],[PRECIO $]]*1.18</f>
        <v>371.74720000000002</v>
      </c>
      <c r="J296" s="7">
        <f>+Tabla1[[#This Row],[PRECIO EN SOLES]]-Tabla1[[#This Row],[PC]]</f>
        <v>63.76279999999997</v>
      </c>
      <c r="K296" s="15"/>
      <c r="L296" s="15" t="str">
        <f t="shared" si="4"/>
        <v>NORMAL</v>
      </c>
    </row>
    <row r="297" spans="1:12" x14ac:dyDescent="0.25">
      <c r="A297" s="3" t="s">
        <v>5832</v>
      </c>
      <c r="B297" s="3" t="s">
        <v>5833</v>
      </c>
      <c r="C297" s="1">
        <v>0</v>
      </c>
      <c r="D297" s="1">
        <v>239</v>
      </c>
      <c r="E297" s="1" t="s">
        <v>170</v>
      </c>
      <c r="F297" s="1" t="s">
        <v>5834</v>
      </c>
      <c r="G297" s="3" t="s">
        <v>5835</v>
      </c>
      <c r="H297" s="11">
        <f>ROUND(
IF(L297="GANCHO",
   IF(I297&lt;=50,I297*1.1+4,IF(I297&lt;=120,I297*1.1+7,IF(I297&lt;=250,I297*1.1+11,I297*1.1+19))),
IF(L297="NORMAL",
   IF(I297&lt;=30,I297*1.15+2,IF(I297&lt;=80,I297*1.15+4,IF(I297&lt;=150,I297*1.15+6,I297*1.15+8))),
IF(L297="COMPLEMENTO",
   IF(I297&lt;=25,I297*1.25+1.5,IF(I297&lt;=60,I297*1.25+3,IF(I297&lt;=120,I297*1.25+4,I297*1.25+5))),
""))),2)</f>
        <v>1149.6199999999999</v>
      </c>
      <c r="I297" s="9">
        <f>($K$2+0.02)*Tabla1[[#This Row],[PRECIO $]]*1.18</f>
        <v>992.71039999999994</v>
      </c>
      <c r="J297" s="7">
        <f>+Tabla1[[#This Row],[PRECIO EN SOLES]]-Tabla1[[#This Row],[PC]]</f>
        <v>156.90959999999995</v>
      </c>
      <c r="K297" s="15"/>
      <c r="L297" s="15" t="str">
        <f t="shared" si="4"/>
        <v>NORMAL</v>
      </c>
    </row>
    <row r="298" spans="1:12" x14ac:dyDescent="0.25">
      <c r="A298" s="3" t="s">
        <v>5836</v>
      </c>
      <c r="B298" s="3" t="s">
        <v>5837</v>
      </c>
      <c r="C298" s="1">
        <v>20</v>
      </c>
      <c r="D298" s="1">
        <v>149.5</v>
      </c>
      <c r="E298" s="1" t="s">
        <v>170</v>
      </c>
      <c r="F298" s="1" t="s">
        <v>5838</v>
      </c>
      <c r="G298" s="3" t="s">
        <v>5839</v>
      </c>
      <c r="H298" s="11">
        <f>ROUND(
IF(L298="GANCHO",
   IF(I298&lt;=50,I298*1.1+4,IF(I298&lt;=120,I298*1.1+7,IF(I298&lt;=250,I298*1.1+11,I298*1.1+19))),
IF(L298="NORMAL",
   IF(I298&lt;=30,I298*1.15+2,IF(I298&lt;=80,I298*1.15+4,IF(I298&lt;=150,I298*1.15+6,I298*1.15+8))),
IF(L298="COMPLEMENTO",
   IF(I298&lt;=25,I298*1.25+1.5,IF(I298&lt;=60,I298*1.25+3,IF(I298&lt;=120,I298*1.25+4,I298*1.25+5))),
""))),2)</f>
        <v>722.11</v>
      </c>
      <c r="I298" s="9">
        <f>($K$2+0.02)*Tabla1[[#This Row],[PRECIO $]]*1.18</f>
        <v>620.96320000000003</v>
      </c>
      <c r="J298" s="7">
        <f>+Tabla1[[#This Row],[PRECIO EN SOLES]]-Tabla1[[#This Row],[PC]]</f>
        <v>101.14679999999998</v>
      </c>
      <c r="K298" s="15"/>
      <c r="L298" s="15" t="str">
        <f t="shared" si="4"/>
        <v>NORMAL</v>
      </c>
    </row>
    <row r="299" spans="1:12" x14ac:dyDescent="0.25">
      <c r="A299" s="3" t="s">
        <v>929</v>
      </c>
      <c r="B299" s="3" t="s">
        <v>930</v>
      </c>
      <c r="C299" s="1">
        <v>20</v>
      </c>
      <c r="D299" s="1">
        <v>205.1</v>
      </c>
      <c r="E299" s="1" t="s">
        <v>170</v>
      </c>
      <c r="F299" s="1" t="s">
        <v>2980</v>
      </c>
      <c r="G299" s="3" t="s">
        <v>931</v>
      </c>
      <c r="H299" s="11">
        <f>ROUND(
IF(L299="GANCHO",
   IF(I299&lt;=50,I299*1.1+4,IF(I299&lt;=120,I299*1.1+7,IF(I299&lt;=250,I299*1.1+11,I299*1.1+19))),
IF(L299="NORMAL",
   IF(I299&lt;=30,I299*1.15+2,IF(I299&lt;=80,I299*1.15+4,IF(I299&lt;=150,I299*1.15+6,I299*1.15+8))),
IF(L299="COMPLEMENTO",
   IF(I299&lt;=25,I299*1.25+1.5,IF(I299&lt;=60,I299*1.25+3,IF(I299&lt;=120,I299*1.25+4,I299*1.25+5))),
""))),2)</f>
        <v>987.69</v>
      </c>
      <c r="I299" s="9">
        <f>($K$2+0.02)*Tabla1[[#This Row],[PRECIO $]]*1.18</f>
        <v>851.90335999999991</v>
      </c>
      <c r="J299" s="7">
        <f>+Tabla1[[#This Row],[PRECIO EN SOLES]]-Tabla1[[#This Row],[PC]]</f>
        <v>135.78664000000015</v>
      </c>
      <c r="K299" s="15"/>
      <c r="L299" s="15" t="str">
        <f t="shared" si="4"/>
        <v>NORMAL</v>
      </c>
    </row>
    <row r="300" spans="1:12" x14ac:dyDescent="0.25">
      <c r="A300" s="3" t="s">
        <v>5840</v>
      </c>
      <c r="B300" s="3" t="s">
        <v>5841</v>
      </c>
      <c r="C300" s="1">
        <v>20</v>
      </c>
      <c r="D300" s="1">
        <v>129.69999999999999</v>
      </c>
      <c r="E300" s="1" t="s">
        <v>170</v>
      </c>
      <c r="F300" s="1" t="s">
        <v>5842</v>
      </c>
      <c r="G300" s="3" t="s">
        <v>5843</v>
      </c>
      <c r="H300" s="11">
        <f>ROUND(
IF(L300="GANCHO",
   IF(I300&lt;=50,I300*1.1+4,IF(I300&lt;=120,I300*1.1+7,IF(I300&lt;=250,I300*1.1+11,I300*1.1+19))),
IF(L300="NORMAL",
   IF(I300&lt;=30,I300*1.15+2,IF(I300&lt;=80,I300*1.15+4,IF(I300&lt;=150,I300*1.15+6,I300*1.15+8))),
IF(L300="COMPLEMENTO",
   IF(I300&lt;=25,I300*1.25+1.5,IF(I300&lt;=60,I300*1.25+3,IF(I300&lt;=120,I300*1.25+4,I300*1.25+5))),
""))),2)</f>
        <v>627.53</v>
      </c>
      <c r="I300" s="9">
        <f>($K$2+0.02)*Tabla1[[#This Row],[PRECIO $]]*1.18</f>
        <v>538.72191999999995</v>
      </c>
      <c r="J300" s="7">
        <f>+Tabla1[[#This Row],[PRECIO EN SOLES]]-Tabla1[[#This Row],[PC]]</f>
        <v>88.808080000000018</v>
      </c>
      <c r="K300" s="15"/>
      <c r="L300" s="15" t="str">
        <f t="shared" si="4"/>
        <v>NORMAL</v>
      </c>
    </row>
    <row r="301" spans="1:12" x14ac:dyDescent="0.25">
      <c r="A301" s="3" t="s">
        <v>932</v>
      </c>
      <c r="B301" s="3" t="s">
        <v>933</v>
      </c>
      <c r="C301" s="1">
        <v>20</v>
      </c>
      <c r="D301" s="1">
        <v>159</v>
      </c>
      <c r="E301" s="1" t="s">
        <v>170</v>
      </c>
      <c r="F301" s="1" t="s">
        <v>2981</v>
      </c>
      <c r="G301" s="3" t="s">
        <v>934</v>
      </c>
      <c r="H301" s="11">
        <f>ROUND(
IF(L301="GANCHO",
   IF(I301&lt;=50,I301*1.1+4,IF(I301&lt;=120,I301*1.1+7,IF(I301&lt;=250,I301*1.1+11,I301*1.1+19))),
IF(L301="NORMAL",
   IF(I301&lt;=30,I301*1.15+2,IF(I301&lt;=80,I301*1.15+4,IF(I301&lt;=150,I301*1.15+6,I301*1.15+8))),
IF(L301="COMPLEMENTO",
   IF(I301&lt;=25,I301*1.25+1.5,IF(I301&lt;=60,I301*1.25+3,IF(I301&lt;=120,I301*1.25+4,I301*1.25+5))),
""))),2)</f>
        <v>767.49</v>
      </c>
      <c r="I301" s="9">
        <f>($K$2+0.02)*Tabla1[[#This Row],[PRECIO $]]*1.18</f>
        <v>660.42239999999993</v>
      </c>
      <c r="J301" s="7">
        <f>+Tabla1[[#This Row],[PRECIO EN SOLES]]-Tabla1[[#This Row],[PC]]</f>
        <v>107.06760000000008</v>
      </c>
      <c r="K301" s="15"/>
      <c r="L301" s="15" t="str">
        <f t="shared" si="4"/>
        <v>NORMAL</v>
      </c>
    </row>
    <row r="302" spans="1:12" x14ac:dyDescent="0.25">
      <c r="A302" s="3" t="s">
        <v>935</v>
      </c>
      <c r="B302" s="3" t="s">
        <v>936</v>
      </c>
      <c r="C302" s="1">
        <v>20</v>
      </c>
      <c r="D302" s="1">
        <v>216.2</v>
      </c>
      <c r="E302" s="1" t="s">
        <v>170</v>
      </c>
      <c r="F302" s="1" t="s">
        <v>2982</v>
      </c>
      <c r="G302" s="3" t="s">
        <v>937</v>
      </c>
      <c r="H302" s="11">
        <f>ROUND(
IF(L302="GANCHO",
   IF(I302&lt;=50,I302*1.1+4,IF(I302&lt;=120,I302*1.1+7,IF(I302&lt;=250,I302*1.1+11,I302*1.1+19))),
IF(L302="NORMAL",
   IF(I302&lt;=30,I302*1.15+2,IF(I302&lt;=80,I302*1.15+4,IF(I302&lt;=150,I302*1.15+6,I302*1.15+8))),
IF(L302="COMPLEMENTO",
   IF(I302&lt;=25,I302*1.25+1.5,IF(I302&lt;=60,I302*1.25+3,IF(I302&lt;=120,I302*1.25+4,I302*1.25+5))),
""))),2)</f>
        <v>1040.71</v>
      </c>
      <c r="I302" s="9">
        <f>($K$2+0.02)*Tabla1[[#This Row],[PRECIO $]]*1.18</f>
        <v>898.00831999999991</v>
      </c>
      <c r="J302" s="7">
        <f>+Tabla1[[#This Row],[PRECIO EN SOLES]]-Tabla1[[#This Row],[PC]]</f>
        <v>142.70168000000012</v>
      </c>
      <c r="K302" s="15"/>
      <c r="L302" s="15" t="str">
        <f t="shared" si="4"/>
        <v>NORMAL</v>
      </c>
    </row>
    <row r="303" spans="1:12" x14ac:dyDescent="0.25">
      <c r="A303" s="3" t="s">
        <v>5348</v>
      </c>
      <c r="B303" s="3" t="s">
        <v>5349</v>
      </c>
      <c r="C303" s="1">
        <v>20</v>
      </c>
      <c r="D303" s="1">
        <v>134.19999999999999</v>
      </c>
      <c r="E303" s="1" t="s">
        <v>170</v>
      </c>
      <c r="F303" s="1" t="s">
        <v>5350</v>
      </c>
      <c r="G303" s="3" t="s">
        <v>5351</v>
      </c>
      <c r="H303" s="11">
        <f>ROUND(
IF(L303="GANCHO",
   IF(I303&lt;=50,I303*1.1+4,IF(I303&lt;=120,I303*1.1+7,IF(I303&lt;=250,I303*1.1+11,I303*1.1+19))),
IF(L303="NORMAL",
   IF(I303&lt;=30,I303*1.15+2,IF(I303&lt;=80,I303*1.15+4,IF(I303&lt;=150,I303*1.15+6,I303*1.15+8))),
IF(L303="COMPLEMENTO",
   IF(I303&lt;=25,I303*1.25+1.5,IF(I303&lt;=60,I303*1.25+3,IF(I303&lt;=120,I303*1.25+4,I303*1.25+5))),
""))),2)</f>
        <v>649.03</v>
      </c>
      <c r="I303" s="9">
        <f>($K$2+0.02)*Tabla1[[#This Row],[PRECIO $]]*1.18</f>
        <v>557.41311999999994</v>
      </c>
      <c r="J303" s="7">
        <f>+Tabla1[[#This Row],[PRECIO EN SOLES]]-Tabla1[[#This Row],[PC]]</f>
        <v>91.616880000000037</v>
      </c>
      <c r="K303" s="15"/>
      <c r="L303" s="15" t="str">
        <f t="shared" si="4"/>
        <v>NORMAL</v>
      </c>
    </row>
    <row r="304" spans="1:12" x14ac:dyDescent="0.25">
      <c r="A304" s="3" t="s">
        <v>5844</v>
      </c>
      <c r="B304" s="3" t="s">
        <v>5845</v>
      </c>
      <c r="C304" s="1">
        <v>20</v>
      </c>
      <c r="D304" s="1">
        <v>181</v>
      </c>
      <c r="E304" s="1" t="s">
        <v>170</v>
      </c>
      <c r="F304" s="1" t="s">
        <v>5846</v>
      </c>
      <c r="G304" s="3" t="s">
        <v>5847</v>
      </c>
      <c r="H304" s="11">
        <f>ROUND(
IF(L304="GANCHO",
   IF(I304&lt;=50,I304*1.1+4,IF(I304&lt;=120,I304*1.1+7,IF(I304&lt;=250,I304*1.1+11,I304*1.1+19))),
IF(L304="NORMAL",
   IF(I304&lt;=30,I304*1.15+2,IF(I304&lt;=80,I304*1.15+4,IF(I304&lt;=150,I304*1.15+6,I304*1.15+8))),
IF(L304="COMPLEMENTO",
   IF(I304&lt;=25,I304*1.25+1.5,IF(I304&lt;=60,I304*1.25+3,IF(I304&lt;=120,I304*1.25+4,I304*1.25+5))),
""))),2)</f>
        <v>872.57</v>
      </c>
      <c r="I304" s="9">
        <f>($K$2+0.02)*Tabla1[[#This Row],[PRECIO $]]*1.18</f>
        <v>751.80160000000001</v>
      </c>
      <c r="J304" s="7">
        <f>+Tabla1[[#This Row],[PRECIO EN SOLES]]-Tabla1[[#This Row],[PC]]</f>
        <v>120.76840000000004</v>
      </c>
      <c r="K304" s="15"/>
      <c r="L304" s="15" t="str">
        <f t="shared" si="4"/>
        <v>NORMAL</v>
      </c>
    </row>
    <row r="305" spans="1:12" x14ac:dyDescent="0.25">
      <c r="A305" s="3" t="s">
        <v>4547</v>
      </c>
      <c r="B305" s="3" t="s">
        <v>4548</v>
      </c>
      <c r="C305" s="1">
        <v>20</v>
      </c>
      <c r="D305" s="1">
        <v>189</v>
      </c>
      <c r="E305" s="1" t="s">
        <v>170</v>
      </c>
      <c r="F305" s="1" t="s">
        <v>4549</v>
      </c>
      <c r="G305" s="3" t="s">
        <v>4550</v>
      </c>
      <c r="H305" s="11">
        <f>ROUND(
IF(L305="GANCHO",
   IF(I305&lt;=50,I305*1.1+4,IF(I305&lt;=120,I305*1.1+7,IF(I305&lt;=250,I305*1.1+11,I305*1.1+19))),
IF(L305="NORMAL",
   IF(I305&lt;=30,I305*1.15+2,IF(I305&lt;=80,I305*1.15+4,IF(I305&lt;=150,I305*1.15+6,I305*1.15+8))),
IF(L305="COMPLEMENTO",
   IF(I305&lt;=25,I305*1.25+1.5,IF(I305&lt;=60,I305*1.25+3,IF(I305&lt;=120,I305*1.25+4,I305*1.25+5))),
""))),2)</f>
        <v>910.78</v>
      </c>
      <c r="I305" s="9">
        <f>($K$2+0.02)*Tabla1[[#This Row],[PRECIO $]]*1.18</f>
        <v>785.03039999999987</v>
      </c>
      <c r="J305" s="7">
        <f>+Tabla1[[#This Row],[PRECIO EN SOLES]]-Tabla1[[#This Row],[PC]]</f>
        <v>125.7496000000001</v>
      </c>
      <c r="K305" s="15"/>
      <c r="L305" s="15" t="str">
        <f t="shared" si="4"/>
        <v>NORMAL</v>
      </c>
    </row>
    <row r="306" spans="1:12" x14ac:dyDescent="0.25">
      <c r="A306" s="3" t="s">
        <v>938</v>
      </c>
      <c r="B306" s="3" t="s">
        <v>939</v>
      </c>
      <c r="C306" s="1">
        <v>20</v>
      </c>
      <c r="D306" s="1">
        <v>304</v>
      </c>
      <c r="E306" s="1" t="s">
        <v>170</v>
      </c>
      <c r="F306" s="1" t="s">
        <v>2983</v>
      </c>
      <c r="G306" s="3" t="s">
        <v>940</v>
      </c>
      <c r="H306" s="11">
        <f>ROUND(
IF(L306="GANCHO",
   IF(I306&lt;=50,I306*1.1+4,IF(I306&lt;=120,I306*1.1+7,IF(I306&lt;=250,I306*1.1+11,I306*1.1+19))),
IF(L306="NORMAL",
   IF(I306&lt;=30,I306*1.15+2,IF(I306&lt;=80,I306*1.15+4,IF(I306&lt;=150,I306*1.15+6,I306*1.15+8))),
IF(L306="COMPLEMENTO",
   IF(I306&lt;=25,I306*1.25+1.5,IF(I306&lt;=60,I306*1.25+3,IF(I306&lt;=120,I306*1.25+4,I306*1.25+5))),
""))),2)</f>
        <v>1460.1</v>
      </c>
      <c r="I306" s="9">
        <f>($K$2+0.02)*Tabla1[[#This Row],[PRECIO $]]*1.18</f>
        <v>1262.6943999999999</v>
      </c>
      <c r="J306" s="7">
        <f>+Tabla1[[#This Row],[PRECIO EN SOLES]]-Tabla1[[#This Row],[PC]]</f>
        <v>197.40560000000005</v>
      </c>
      <c r="K306" s="15"/>
      <c r="L306" s="15" t="str">
        <f t="shared" si="4"/>
        <v>NORMAL</v>
      </c>
    </row>
    <row r="307" spans="1:12" x14ac:dyDescent="0.25">
      <c r="A307" s="3" t="s">
        <v>4428</v>
      </c>
      <c r="B307" s="3" t="s">
        <v>4429</v>
      </c>
      <c r="C307" s="1">
        <v>20</v>
      </c>
      <c r="D307" s="1">
        <v>404.5</v>
      </c>
      <c r="E307" s="1" t="s">
        <v>170</v>
      </c>
      <c r="F307" s="1" t="s">
        <v>4430</v>
      </c>
      <c r="G307" s="3" t="s">
        <v>4431</v>
      </c>
      <c r="H307" s="11">
        <f>ROUND(
IF(L307="GANCHO",
   IF(I307&lt;=50,I307*1.1+4,IF(I307&lt;=120,I307*1.1+7,IF(I307&lt;=250,I307*1.1+11,I307*1.1+19))),
IF(L307="NORMAL",
   IF(I307&lt;=30,I307*1.15+2,IF(I307&lt;=80,I307*1.15+4,IF(I307&lt;=150,I307*1.15+6,I307*1.15+8))),
IF(L307="COMPLEMENTO",
   IF(I307&lt;=25,I307*1.25+1.5,IF(I307&lt;=60,I307*1.25+3,IF(I307&lt;=120,I307*1.25+4,I307*1.25+5))),
""))),2)</f>
        <v>1940.15</v>
      </c>
      <c r="I307" s="9">
        <f>($K$2+0.02)*Tabla1[[#This Row],[PRECIO $]]*1.18</f>
        <v>1680.1311999999998</v>
      </c>
      <c r="J307" s="7">
        <f>+Tabla1[[#This Row],[PRECIO EN SOLES]]-Tabla1[[#This Row],[PC]]</f>
        <v>260.01880000000028</v>
      </c>
      <c r="K307" s="15"/>
      <c r="L307" s="15" t="str">
        <f t="shared" si="4"/>
        <v>NORMAL</v>
      </c>
    </row>
    <row r="308" spans="1:12" x14ac:dyDescent="0.25">
      <c r="A308" s="3" t="s">
        <v>941</v>
      </c>
      <c r="B308" s="3" t="s">
        <v>942</v>
      </c>
      <c r="C308" s="1">
        <v>20</v>
      </c>
      <c r="D308" s="1">
        <v>210.6</v>
      </c>
      <c r="E308" s="1" t="s">
        <v>170</v>
      </c>
      <c r="F308" s="1" t="s">
        <v>2984</v>
      </c>
      <c r="G308" s="3" t="s">
        <v>943</v>
      </c>
      <c r="H308" s="11">
        <f>ROUND(
IF(L308="GANCHO",
   IF(I308&lt;=50,I308*1.1+4,IF(I308&lt;=120,I308*1.1+7,IF(I308&lt;=250,I308*1.1+11,I308*1.1+19))),
IF(L308="NORMAL",
   IF(I308&lt;=30,I308*1.15+2,IF(I308&lt;=80,I308*1.15+4,IF(I308&lt;=150,I308*1.15+6,I308*1.15+8))),
IF(L308="COMPLEMENTO",
   IF(I308&lt;=25,I308*1.25+1.5,IF(I308&lt;=60,I308*1.25+3,IF(I308&lt;=120,I308*1.25+4,I308*1.25+5))),
""))),2)</f>
        <v>1013.96</v>
      </c>
      <c r="I308" s="9">
        <f>($K$2+0.02)*Tabla1[[#This Row],[PRECIO $]]*1.18</f>
        <v>874.74815999999998</v>
      </c>
      <c r="J308" s="7">
        <f>+Tabla1[[#This Row],[PRECIO EN SOLES]]-Tabla1[[#This Row],[PC]]</f>
        <v>139.21184000000005</v>
      </c>
      <c r="K308" s="15"/>
      <c r="L308" s="15" t="str">
        <f t="shared" si="4"/>
        <v>NORMAL</v>
      </c>
    </row>
    <row r="309" spans="1:12" x14ac:dyDescent="0.25">
      <c r="A309" s="3" t="s">
        <v>944</v>
      </c>
      <c r="B309" s="3" t="s">
        <v>945</v>
      </c>
      <c r="C309" s="1">
        <v>20</v>
      </c>
      <c r="D309" s="1">
        <v>220.2</v>
      </c>
      <c r="E309" s="1" t="s">
        <v>170</v>
      </c>
      <c r="F309" s="1" t="s">
        <v>2985</v>
      </c>
      <c r="G309" s="3" t="s">
        <v>946</v>
      </c>
      <c r="H309" s="11">
        <f>ROUND(
IF(L309="GANCHO",
   IF(I309&lt;=50,I309*1.1+4,IF(I309&lt;=120,I309*1.1+7,IF(I309&lt;=250,I309*1.1+11,I309*1.1+19))),
IF(L309="NORMAL",
   IF(I309&lt;=30,I309*1.15+2,IF(I309&lt;=80,I309*1.15+4,IF(I309&lt;=150,I309*1.15+6,I309*1.15+8))),
IF(L309="COMPLEMENTO",
   IF(I309&lt;=25,I309*1.25+1.5,IF(I309&lt;=60,I309*1.25+3,IF(I309&lt;=120,I309*1.25+4,I309*1.25+5))),
""))),2)</f>
        <v>1059.82</v>
      </c>
      <c r="I309" s="9">
        <f>($K$2+0.02)*Tabla1[[#This Row],[PRECIO $]]*1.18</f>
        <v>914.62271999999984</v>
      </c>
      <c r="J309" s="7">
        <f>+Tabla1[[#This Row],[PRECIO EN SOLES]]-Tabla1[[#This Row],[PC]]</f>
        <v>145.19728000000009</v>
      </c>
      <c r="K309" s="15"/>
      <c r="L309" s="15" t="str">
        <f t="shared" si="4"/>
        <v>NORMAL</v>
      </c>
    </row>
    <row r="310" spans="1:12" x14ac:dyDescent="0.25">
      <c r="A310" s="3" t="s">
        <v>947</v>
      </c>
      <c r="B310" s="3" t="s">
        <v>948</v>
      </c>
      <c r="C310" s="1">
        <v>20</v>
      </c>
      <c r="D310" s="1">
        <v>318.5</v>
      </c>
      <c r="E310" s="1" t="s">
        <v>170</v>
      </c>
      <c r="F310" s="1" t="s">
        <v>2986</v>
      </c>
      <c r="G310" s="3" t="s">
        <v>949</v>
      </c>
      <c r="H310" s="11">
        <f>ROUND(
IF(L310="GANCHO",
   IF(I310&lt;=50,I310*1.1+4,IF(I310&lt;=120,I310*1.1+7,IF(I310&lt;=250,I310*1.1+11,I310*1.1+19))),
IF(L310="NORMAL",
   IF(I310&lt;=30,I310*1.15+2,IF(I310&lt;=80,I310*1.15+4,IF(I310&lt;=150,I310*1.15+6,I310*1.15+8))),
IF(L310="COMPLEMENTO",
   IF(I310&lt;=25,I310*1.25+1.5,IF(I310&lt;=60,I310*1.25+3,IF(I310&lt;=120,I310*1.25+4,I310*1.25+5))),
""))),2)</f>
        <v>1529.36</v>
      </c>
      <c r="I310" s="9">
        <f>($K$2+0.02)*Tabla1[[#This Row],[PRECIO $]]*1.18</f>
        <v>1322.9216000000001</v>
      </c>
      <c r="J310" s="7">
        <f>+Tabla1[[#This Row],[PRECIO EN SOLES]]-Tabla1[[#This Row],[PC]]</f>
        <v>206.43839999999977</v>
      </c>
      <c r="K310" s="15"/>
      <c r="L310" s="15" t="str">
        <f t="shared" si="4"/>
        <v>NORMAL</v>
      </c>
    </row>
    <row r="311" spans="1:12" x14ac:dyDescent="0.25">
      <c r="A311" s="3" t="s">
        <v>4551</v>
      </c>
      <c r="B311" s="3" t="s">
        <v>4552</v>
      </c>
      <c r="C311" s="1">
        <v>20</v>
      </c>
      <c r="D311" s="1">
        <v>481</v>
      </c>
      <c r="E311" s="1" t="s">
        <v>170</v>
      </c>
      <c r="F311" s="1" t="s">
        <v>4553</v>
      </c>
      <c r="G311" s="3" t="s">
        <v>4554</v>
      </c>
      <c r="H311" s="11">
        <f>ROUND(
IF(L311="GANCHO",
   IF(I311&lt;=50,I311*1.1+4,IF(I311&lt;=120,I311*1.1+7,IF(I311&lt;=250,I311*1.1+11,I311*1.1+19))),
IF(L311="NORMAL",
   IF(I311&lt;=30,I311*1.15+2,IF(I311&lt;=80,I311*1.15+4,IF(I311&lt;=150,I311*1.15+6,I311*1.15+8))),
IF(L311="COMPLEMENTO",
   IF(I311&lt;=25,I311*1.25+1.5,IF(I311&lt;=60,I311*1.25+3,IF(I311&lt;=120,I311*1.25+4,I311*1.25+5))),
""))),2)</f>
        <v>2305.56</v>
      </c>
      <c r="I311" s="9">
        <f>($K$2+0.02)*Tabla1[[#This Row],[PRECIO $]]*1.18</f>
        <v>1997.8815999999999</v>
      </c>
      <c r="J311" s="7">
        <f>+Tabla1[[#This Row],[PRECIO EN SOLES]]-Tabla1[[#This Row],[PC]]</f>
        <v>307.67840000000001</v>
      </c>
      <c r="K311" s="15"/>
      <c r="L311" s="15" t="str">
        <f t="shared" si="4"/>
        <v>NORMAL</v>
      </c>
    </row>
    <row r="312" spans="1:12" x14ac:dyDescent="0.25">
      <c r="A312" s="3" t="s">
        <v>950</v>
      </c>
      <c r="B312" s="3" t="s">
        <v>951</v>
      </c>
      <c r="C312" s="1">
        <v>20</v>
      </c>
      <c r="D312" s="1">
        <v>337</v>
      </c>
      <c r="E312" s="1" t="s">
        <v>170</v>
      </c>
      <c r="F312" s="1" t="s">
        <v>2987</v>
      </c>
      <c r="G312" s="3" t="s">
        <v>952</v>
      </c>
      <c r="H312" s="11">
        <f>ROUND(
IF(L312="GANCHO",
   IF(I312&lt;=50,I312*1.1+4,IF(I312&lt;=120,I312*1.1+7,IF(I312&lt;=250,I312*1.1+11,I312*1.1+19))),
IF(L312="NORMAL",
   IF(I312&lt;=30,I312*1.15+2,IF(I312&lt;=80,I312*1.15+4,IF(I312&lt;=150,I312*1.15+6,I312*1.15+8))),
IF(L312="COMPLEMENTO",
   IF(I312&lt;=25,I312*1.25+1.5,IF(I312&lt;=60,I312*1.25+3,IF(I312&lt;=120,I312*1.25+4,I312*1.25+5))),
""))),2)</f>
        <v>1617.73</v>
      </c>
      <c r="I312" s="9">
        <f>($K$2+0.02)*Tabla1[[#This Row],[PRECIO $]]*1.18</f>
        <v>1399.7631999999999</v>
      </c>
      <c r="J312" s="7">
        <f>+Tabla1[[#This Row],[PRECIO EN SOLES]]-Tabla1[[#This Row],[PC]]</f>
        <v>217.96680000000015</v>
      </c>
      <c r="K312" s="15"/>
      <c r="L312" s="15" t="str">
        <f t="shared" si="4"/>
        <v>NORMAL</v>
      </c>
    </row>
    <row r="313" spans="1:12" x14ac:dyDescent="0.25">
      <c r="A313" s="3" t="s">
        <v>4555</v>
      </c>
      <c r="B313" s="3" t="s">
        <v>4556</v>
      </c>
      <c r="C313" s="1">
        <v>9</v>
      </c>
      <c r="D313" s="1">
        <v>576</v>
      </c>
      <c r="E313" s="1" t="s">
        <v>170</v>
      </c>
      <c r="F313" s="1" t="s">
        <v>4557</v>
      </c>
      <c r="G313" s="3" t="s">
        <v>4558</v>
      </c>
      <c r="H313" s="11">
        <f>ROUND(
IF(L313="GANCHO",
   IF(I313&lt;=50,I313*1.1+4,IF(I313&lt;=120,I313*1.1+7,IF(I313&lt;=250,I313*1.1+11,I313*1.1+19))),
IF(L313="NORMAL",
   IF(I313&lt;=30,I313*1.15+2,IF(I313&lt;=80,I313*1.15+4,IF(I313&lt;=150,I313*1.15+6,I313*1.15+8))),
IF(L313="COMPLEMENTO",
   IF(I313&lt;=25,I313*1.25+1.5,IF(I313&lt;=60,I313*1.25+3,IF(I313&lt;=120,I313*1.25+4,I313*1.25+5))),
""))),2)</f>
        <v>2759.34</v>
      </c>
      <c r="I313" s="9">
        <f>($K$2+0.02)*Tabla1[[#This Row],[PRECIO $]]*1.18</f>
        <v>2392.4735999999998</v>
      </c>
      <c r="J313" s="7">
        <f>+Tabla1[[#This Row],[PRECIO EN SOLES]]-Tabla1[[#This Row],[PC]]</f>
        <v>366.86640000000034</v>
      </c>
      <c r="K313" s="15"/>
      <c r="L313" s="15" t="str">
        <f t="shared" si="4"/>
        <v>NORMAL</v>
      </c>
    </row>
    <row r="314" spans="1:12" x14ac:dyDescent="0.25">
      <c r="A314" s="3" t="s">
        <v>172</v>
      </c>
      <c r="B314" s="3" t="s">
        <v>173</v>
      </c>
      <c r="C314" s="1">
        <v>20</v>
      </c>
      <c r="D314" s="1">
        <v>400</v>
      </c>
      <c r="E314" s="1" t="s">
        <v>170</v>
      </c>
      <c r="F314" s="1" t="s">
        <v>2988</v>
      </c>
      <c r="G314" s="3" t="s">
        <v>174</v>
      </c>
      <c r="H314" s="11">
        <f>ROUND(
IF(L314="GANCHO",
   IF(I314&lt;=50,I314*1.1+4,IF(I314&lt;=120,I314*1.1+7,IF(I314&lt;=250,I314*1.1+11,I314*1.1+19))),
IF(L314="NORMAL",
   IF(I314&lt;=30,I314*1.15+2,IF(I314&lt;=80,I314*1.15+4,IF(I314&lt;=150,I314*1.15+6,I314*1.15+8))),
IF(L314="COMPLEMENTO",
   IF(I314&lt;=25,I314*1.25+1.5,IF(I314&lt;=60,I314*1.25+3,IF(I314&lt;=120,I314*1.25+4,I314*1.25+5))),
""))),2)</f>
        <v>1918.66</v>
      </c>
      <c r="I314" s="9">
        <f>($K$2+0.02)*Tabla1[[#This Row],[PRECIO $]]*1.18</f>
        <v>1661.4399999999998</v>
      </c>
      <c r="J314" s="7">
        <f>+Tabla1[[#This Row],[PRECIO EN SOLES]]-Tabla1[[#This Row],[PC]]</f>
        <v>257.22000000000025</v>
      </c>
      <c r="K314" s="15"/>
      <c r="L314" s="15" t="str">
        <f t="shared" si="4"/>
        <v>NORMAL</v>
      </c>
    </row>
    <row r="315" spans="1:12" x14ac:dyDescent="0.25">
      <c r="A315" s="3" t="s">
        <v>953</v>
      </c>
      <c r="B315" s="3" t="s">
        <v>954</v>
      </c>
      <c r="C315" s="1">
        <v>16</v>
      </c>
      <c r="D315" s="1">
        <v>559</v>
      </c>
      <c r="E315" s="1" t="s">
        <v>170</v>
      </c>
      <c r="F315" s="1" t="s">
        <v>2989</v>
      </c>
      <c r="G315" s="3" t="s">
        <v>955</v>
      </c>
      <c r="H315" s="11">
        <f>ROUND(
IF(L315="GANCHO",
   IF(I315&lt;=50,I315*1.1+4,IF(I315&lt;=120,I315*1.1+7,IF(I315&lt;=250,I315*1.1+11,I315*1.1+19))),
IF(L315="NORMAL",
   IF(I315&lt;=30,I315*1.15+2,IF(I315&lt;=80,I315*1.15+4,IF(I315&lt;=150,I315*1.15+6,I315*1.15+8))),
IF(L315="COMPLEMENTO",
   IF(I315&lt;=25,I315*1.25+1.5,IF(I315&lt;=60,I315*1.25+3,IF(I315&lt;=120,I315*1.25+4,I315*1.25+5))),
""))),2)</f>
        <v>2678.14</v>
      </c>
      <c r="I315" s="9">
        <f>($K$2+0.02)*Tabla1[[#This Row],[PRECIO $]]*1.18</f>
        <v>2321.8624</v>
      </c>
      <c r="J315" s="7">
        <f>+Tabla1[[#This Row],[PRECIO EN SOLES]]-Tabla1[[#This Row],[PC]]</f>
        <v>356.27759999999989</v>
      </c>
      <c r="K315" s="15"/>
      <c r="L315" s="15" t="str">
        <f t="shared" si="4"/>
        <v>NORMAL</v>
      </c>
    </row>
    <row r="316" spans="1:12" x14ac:dyDescent="0.25">
      <c r="A316" s="3" t="s">
        <v>956</v>
      </c>
      <c r="B316" s="3" t="s">
        <v>957</v>
      </c>
      <c r="C316" s="1">
        <v>20</v>
      </c>
      <c r="D316" s="1">
        <v>674</v>
      </c>
      <c r="E316" s="1" t="s">
        <v>170</v>
      </c>
      <c r="F316" s="1" t="s">
        <v>2990</v>
      </c>
      <c r="G316" s="3" t="s">
        <v>958</v>
      </c>
      <c r="H316" s="11">
        <f>ROUND(
IF(L316="GANCHO",
   IF(I316&lt;=50,I316*1.1+4,IF(I316&lt;=120,I316*1.1+7,IF(I316&lt;=250,I316*1.1+11,I316*1.1+19))),
IF(L316="NORMAL",
   IF(I316&lt;=30,I316*1.15+2,IF(I316&lt;=80,I316*1.15+4,IF(I316&lt;=150,I316*1.15+6,I316*1.15+8))),
IF(L316="COMPLEMENTO",
   IF(I316&lt;=25,I316*1.25+1.5,IF(I316&lt;=60,I316*1.25+3,IF(I316&lt;=120,I316*1.25+4,I316*1.25+5))),
""))),2)</f>
        <v>3227.46</v>
      </c>
      <c r="I316" s="9">
        <f>($K$2+0.02)*Tabla1[[#This Row],[PRECIO $]]*1.18</f>
        <v>2799.5263999999997</v>
      </c>
      <c r="J316" s="7">
        <f>+Tabla1[[#This Row],[PRECIO EN SOLES]]-Tabla1[[#This Row],[PC]]</f>
        <v>427.9336000000003</v>
      </c>
      <c r="K316" s="15"/>
      <c r="L316" s="15" t="str">
        <f t="shared" si="4"/>
        <v>NORMAL</v>
      </c>
    </row>
    <row r="317" spans="1:12" x14ac:dyDescent="0.25">
      <c r="A317" s="3" t="s">
        <v>5976</v>
      </c>
      <c r="B317" s="3" t="s">
        <v>5977</v>
      </c>
      <c r="C317" s="1">
        <v>16</v>
      </c>
      <c r="D317" s="1">
        <v>193</v>
      </c>
      <c r="E317" s="1" t="s">
        <v>175</v>
      </c>
      <c r="F317" s="1" t="s">
        <v>5978</v>
      </c>
      <c r="G317" s="3" t="s">
        <v>5979</v>
      </c>
      <c r="H317" s="11">
        <f>ROUND(
IF(L317="GANCHO",
   IF(I317&lt;=50,I317*1.1+4,IF(I317&lt;=120,I317*1.1+7,IF(I317&lt;=250,I317*1.1+11,I317*1.1+19))),
IF(L317="NORMAL",
   IF(I317&lt;=30,I317*1.15+2,IF(I317&lt;=80,I317*1.15+4,IF(I317&lt;=150,I317*1.15+6,I317*1.15+8))),
IF(L317="COMPLEMENTO",
   IF(I317&lt;=25,I317*1.25+1.5,IF(I317&lt;=60,I317*1.25+3,IF(I317&lt;=120,I317*1.25+4,I317*1.25+5))),
""))),2)</f>
        <v>929.89</v>
      </c>
      <c r="I317" s="9">
        <f>($K$2+0.02)*Tabla1[[#This Row],[PRECIO $]]*1.18</f>
        <v>801.64479999999992</v>
      </c>
      <c r="J317" s="7">
        <f>+Tabla1[[#This Row],[PRECIO EN SOLES]]-Tabla1[[#This Row],[PC]]</f>
        <v>128.24520000000007</v>
      </c>
      <c r="K317" s="15"/>
      <c r="L317" s="15" t="str">
        <f t="shared" si="4"/>
        <v>NORMAL</v>
      </c>
    </row>
    <row r="318" spans="1:12" x14ac:dyDescent="0.25">
      <c r="A318" s="3" t="s">
        <v>5848</v>
      </c>
      <c r="B318" s="3" t="s">
        <v>5849</v>
      </c>
      <c r="C318" s="1">
        <v>15</v>
      </c>
      <c r="D318" s="1">
        <v>85.5</v>
      </c>
      <c r="E318" s="1" t="s">
        <v>175</v>
      </c>
      <c r="F318" s="1" t="s">
        <v>5850</v>
      </c>
      <c r="G318" s="3" t="s">
        <v>5851</v>
      </c>
      <c r="H318" s="11">
        <f>ROUND(
IF(L318="GANCHO",
   IF(I318&lt;=50,I318*1.1+4,IF(I318&lt;=120,I318*1.1+7,IF(I318&lt;=250,I318*1.1+11,I318*1.1+19))),
IF(L318="NORMAL",
   IF(I318&lt;=30,I318*1.15+2,IF(I318&lt;=80,I318*1.15+4,IF(I318&lt;=150,I318*1.15+6,I318*1.15+8))),
IF(L318="COMPLEMENTO",
   IF(I318&lt;=25,I318*1.25+1.5,IF(I318&lt;=60,I318*1.25+3,IF(I318&lt;=120,I318*1.25+4,I318*1.25+5))),
""))),2)</f>
        <v>416.4</v>
      </c>
      <c r="I318" s="9">
        <f>($K$2+0.02)*Tabla1[[#This Row],[PRECIO $]]*1.18</f>
        <v>355.13279999999997</v>
      </c>
      <c r="J318" s="7">
        <f>+Tabla1[[#This Row],[PRECIO EN SOLES]]-Tabla1[[#This Row],[PC]]</f>
        <v>61.267200000000003</v>
      </c>
      <c r="K318" s="15"/>
      <c r="L318" s="15" t="str">
        <f t="shared" si="4"/>
        <v>NORMAL</v>
      </c>
    </row>
    <row r="319" spans="1:12" x14ac:dyDescent="0.25">
      <c r="A319" s="3" t="s">
        <v>5352</v>
      </c>
      <c r="B319" s="3" t="s">
        <v>5353</v>
      </c>
      <c r="C319" s="1">
        <v>20</v>
      </c>
      <c r="D319" s="1">
        <v>183</v>
      </c>
      <c r="E319" s="1" t="s">
        <v>4853</v>
      </c>
      <c r="F319" s="1" t="s">
        <v>5354</v>
      </c>
      <c r="G319" s="3" t="s">
        <v>5355</v>
      </c>
      <c r="H319" s="11">
        <f>ROUND(
IF(L319="GANCHO",
   IF(I319&lt;=50,I319*1.1+4,IF(I319&lt;=120,I319*1.1+7,IF(I319&lt;=250,I319*1.1+11,I319*1.1+19))),
IF(L319="NORMAL",
   IF(I319&lt;=30,I319*1.15+2,IF(I319&lt;=80,I319*1.15+4,IF(I319&lt;=150,I319*1.15+6,I319*1.15+8))),
IF(L319="COMPLEMENTO",
   IF(I319&lt;=25,I319*1.25+1.5,IF(I319&lt;=60,I319*1.25+3,IF(I319&lt;=120,I319*1.25+4,I319*1.25+5))),
""))),2)</f>
        <v>882.13</v>
      </c>
      <c r="I319" s="9">
        <f>($K$2+0.02)*Tabla1[[#This Row],[PRECIO $]]*1.18</f>
        <v>760.10879999999997</v>
      </c>
      <c r="J319" s="7">
        <f>+Tabla1[[#This Row],[PRECIO EN SOLES]]-Tabla1[[#This Row],[PC]]</f>
        <v>122.02120000000002</v>
      </c>
      <c r="K319" s="15"/>
      <c r="L319" s="15" t="str">
        <f t="shared" si="4"/>
        <v>NORMAL</v>
      </c>
    </row>
    <row r="320" spans="1:12" x14ac:dyDescent="0.25">
      <c r="A320" s="3" t="s">
        <v>5852</v>
      </c>
      <c r="B320" s="3" t="s">
        <v>5853</v>
      </c>
      <c r="C320" s="1">
        <v>0</v>
      </c>
      <c r="D320" s="1">
        <v>260.89999999999998</v>
      </c>
      <c r="E320" s="1" t="s">
        <v>175</v>
      </c>
      <c r="F320" s="1" t="s">
        <v>5854</v>
      </c>
      <c r="G320" s="3" t="s">
        <v>5855</v>
      </c>
      <c r="H320" s="11">
        <f>ROUND(
IF(L320="GANCHO",
   IF(I320&lt;=50,I320*1.1+4,IF(I320&lt;=120,I320*1.1+7,IF(I320&lt;=250,I320*1.1+11,I320*1.1+19))),
IF(L320="NORMAL",
   IF(I320&lt;=30,I320*1.15+2,IF(I320&lt;=80,I320*1.15+4,IF(I320&lt;=150,I320*1.15+6,I320*1.15+8))),
IF(L320="COMPLEMENTO",
   IF(I320&lt;=25,I320*1.25+1.5,IF(I320&lt;=60,I320*1.25+3,IF(I320&lt;=120,I320*1.25+4,I320*1.25+5))),
""))),2)</f>
        <v>1254.23</v>
      </c>
      <c r="I320" s="9">
        <f>($K$2+0.02)*Tabla1[[#This Row],[PRECIO $]]*1.18</f>
        <v>1083.6742399999998</v>
      </c>
      <c r="J320" s="7">
        <f>+Tabla1[[#This Row],[PRECIO EN SOLES]]-Tabla1[[#This Row],[PC]]</f>
        <v>170.55576000000019</v>
      </c>
      <c r="K320" s="15"/>
      <c r="L320" s="15" t="str">
        <f t="shared" si="4"/>
        <v>NORMAL</v>
      </c>
    </row>
    <row r="321" spans="1:12" x14ac:dyDescent="0.25">
      <c r="A321" s="3" t="s">
        <v>6812</v>
      </c>
      <c r="B321" s="3" t="s">
        <v>4852</v>
      </c>
      <c r="C321" s="1">
        <v>20</v>
      </c>
      <c r="D321" s="1">
        <v>281</v>
      </c>
      <c r="E321" s="1" t="s">
        <v>175</v>
      </c>
      <c r="F321" s="1" t="s">
        <v>6813</v>
      </c>
      <c r="G321" s="3" t="s">
        <v>4855</v>
      </c>
      <c r="H321" s="11">
        <f>ROUND(
IF(L321="GANCHO",
   IF(I321&lt;=50,I321*1.1+4,IF(I321&lt;=120,I321*1.1+7,IF(I321&lt;=250,I321*1.1+11,I321*1.1+19))),
IF(L321="NORMAL",
   IF(I321&lt;=30,I321*1.15+2,IF(I321&lt;=80,I321*1.15+4,IF(I321&lt;=150,I321*1.15+6,I321*1.15+8))),
IF(L321="COMPLEMENTO",
   IF(I321&lt;=25,I321*1.25+1.5,IF(I321&lt;=60,I321*1.25+3,IF(I321&lt;=120,I321*1.25+4,I321*1.25+5))),
""))),2)</f>
        <v>1350.24</v>
      </c>
      <c r="I321" s="9">
        <f>($K$2+0.02)*Tabla1[[#This Row],[PRECIO $]]*1.18</f>
        <v>1167.1615999999999</v>
      </c>
      <c r="J321" s="7">
        <f>+Tabla1[[#This Row],[PRECIO EN SOLES]]-Tabla1[[#This Row],[PC]]</f>
        <v>183.0784000000001</v>
      </c>
      <c r="K321" s="15"/>
      <c r="L321" s="15" t="str">
        <f t="shared" si="4"/>
        <v>NORMAL</v>
      </c>
    </row>
    <row r="322" spans="1:12" x14ac:dyDescent="0.25">
      <c r="A322" s="3" t="s">
        <v>4851</v>
      </c>
      <c r="B322" s="3" t="s">
        <v>4852</v>
      </c>
      <c r="C322" s="1">
        <v>0</v>
      </c>
      <c r="D322" s="1">
        <v>238</v>
      </c>
      <c r="E322" s="1" t="s">
        <v>4853</v>
      </c>
      <c r="F322" s="1" t="s">
        <v>4854</v>
      </c>
      <c r="G322" s="3" t="s">
        <v>4855</v>
      </c>
      <c r="H322" s="11">
        <f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1144.8399999999999</v>
      </c>
      <c r="I322" s="9">
        <f>($K$2+0.02)*Tabla1[[#This Row],[PRECIO $]]*1.18</f>
        <v>988.55679999999995</v>
      </c>
      <c r="J322" s="7">
        <f>+Tabla1[[#This Row],[PRECIO EN SOLES]]-Tabla1[[#This Row],[PC]]</f>
        <v>156.28319999999997</v>
      </c>
      <c r="K322" s="15"/>
      <c r="L322" s="15" t="str">
        <f t="shared" si="4"/>
        <v>NORMAL</v>
      </c>
    </row>
    <row r="323" spans="1:12" x14ac:dyDescent="0.25">
      <c r="A323" s="3" t="s">
        <v>4856</v>
      </c>
      <c r="B323" s="3" t="s">
        <v>4857</v>
      </c>
      <c r="C323" s="1">
        <v>20</v>
      </c>
      <c r="D323" s="1">
        <v>328</v>
      </c>
      <c r="E323" s="1" t="s">
        <v>4853</v>
      </c>
      <c r="F323" s="1" t="s">
        <v>4858</v>
      </c>
      <c r="G323" s="3" t="s">
        <v>4859</v>
      </c>
      <c r="H323" s="11">
        <f>ROUND(
IF(L323="GANCHO",
   IF(I323&lt;=50,I323*1.1+4,IF(I323&lt;=120,I323*1.1+7,IF(I323&lt;=250,I323*1.1+11,I323*1.1+19))),
IF(L323="NORMAL",
   IF(I323&lt;=30,I323*1.15+2,IF(I323&lt;=80,I323*1.15+4,IF(I323&lt;=150,I323*1.15+6,I323*1.15+8))),
IF(L323="COMPLEMENTO",
   IF(I323&lt;=25,I323*1.25+1.5,IF(I323&lt;=60,I323*1.25+3,IF(I323&lt;=120,I323*1.25+4,I323*1.25+5))),
""))),2)</f>
        <v>1574.74</v>
      </c>
      <c r="I323" s="9">
        <f>($K$2+0.02)*Tabla1[[#This Row],[PRECIO $]]*1.18</f>
        <v>1362.3807999999999</v>
      </c>
      <c r="J323" s="7">
        <f>+Tabla1[[#This Row],[PRECIO EN SOLES]]-Tabla1[[#This Row],[PC]]</f>
        <v>212.3592000000001</v>
      </c>
      <c r="K323" s="15"/>
      <c r="L323" s="15" t="str">
        <f t="shared" ref="L323:L386" si="5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6814</v>
      </c>
      <c r="B324" s="3" t="s">
        <v>6815</v>
      </c>
      <c r="C324" s="1">
        <v>20</v>
      </c>
      <c r="D324" s="1">
        <v>438</v>
      </c>
      <c r="E324" s="1" t="s">
        <v>175</v>
      </c>
      <c r="F324" s="1" t="s">
        <v>6816</v>
      </c>
      <c r="G324" s="3" t="s">
        <v>5359</v>
      </c>
      <c r="H324" s="11">
        <f>ROUND(
IF(L324="GANCHO",
   IF(I324&lt;=50,I324*1.1+4,IF(I324&lt;=120,I324*1.1+7,IF(I324&lt;=250,I324*1.1+11,I324*1.1+19))),
IF(L324="NORMAL",
   IF(I324&lt;=30,I324*1.15+2,IF(I324&lt;=80,I324*1.15+4,IF(I324&lt;=150,I324*1.15+6,I324*1.15+8))),
IF(L324="COMPLEMENTO",
   IF(I324&lt;=25,I324*1.25+1.5,IF(I324&lt;=60,I324*1.25+3,IF(I324&lt;=120,I324*1.25+4,I324*1.25+5))),
""))),2)</f>
        <v>2100.17</v>
      </c>
      <c r="I324" s="9">
        <f>($K$2+0.02)*Tabla1[[#This Row],[PRECIO $]]*1.18</f>
        <v>1819.2767999999999</v>
      </c>
      <c r="J324" s="7">
        <f>+Tabla1[[#This Row],[PRECIO EN SOLES]]-Tabla1[[#This Row],[PC]]</f>
        <v>280.89320000000021</v>
      </c>
      <c r="K324" s="15"/>
      <c r="L324" s="15" t="str">
        <f t="shared" si="5"/>
        <v>NORMAL</v>
      </c>
    </row>
    <row r="325" spans="1:12" x14ac:dyDescent="0.25">
      <c r="A325" s="3" t="s">
        <v>5356</v>
      </c>
      <c r="B325" s="3" t="s">
        <v>5357</v>
      </c>
      <c r="C325" s="1">
        <v>17</v>
      </c>
      <c r="D325" s="1">
        <v>398</v>
      </c>
      <c r="E325" s="1" t="s">
        <v>4853</v>
      </c>
      <c r="F325" s="1" t="s">
        <v>5358</v>
      </c>
      <c r="G325" s="3" t="s">
        <v>5359</v>
      </c>
      <c r="H325" s="11">
        <f>ROUND(
IF(L325="GANCHO",
   IF(I325&lt;=50,I325*1.1+4,IF(I325&lt;=120,I325*1.1+7,IF(I325&lt;=250,I325*1.1+11,I325*1.1+19))),
IF(L325="NORMAL",
   IF(I325&lt;=30,I325*1.15+2,IF(I325&lt;=80,I325*1.15+4,IF(I325&lt;=150,I325*1.15+6,I325*1.15+8))),
IF(L325="COMPLEMENTO",
   IF(I325&lt;=25,I325*1.25+1.5,IF(I325&lt;=60,I325*1.25+3,IF(I325&lt;=120,I325*1.25+4,I325*1.25+5))),
""))),2)</f>
        <v>1909.1</v>
      </c>
      <c r="I325" s="9">
        <f>($K$2+0.02)*Tabla1[[#This Row],[PRECIO $]]*1.18</f>
        <v>1653.1327999999999</v>
      </c>
      <c r="J325" s="7">
        <f>+Tabla1[[#This Row],[PRECIO EN SOLES]]-Tabla1[[#This Row],[PC]]</f>
        <v>255.96720000000005</v>
      </c>
      <c r="K325" s="15"/>
      <c r="L325" s="15" t="str">
        <f t="shared" si="5"/>
        <v>NORMAL</v>
      </c>
    </row>
    <row r="326" spans="1:12" x14ac:dyDescent="0.25">
      <c r="A326" s="3" t="s">
        <v>3896</v>
      </c>
      <c r="B326" s="3" t="s">
        <v>3897</v>
      </c>
      <c r="C326" s="1">
        <v>20</v>
      </c>
      <c r="D326" s="1">
        <v>329</v>
      </c>
      <c r="E326" s="1" t="s">
        <v>175</v>
      </c>
      <c r="F326" s="1" t="s">
        <v>3938</v>
      </c>
      <c r="G326" s="3" t="s">
        <v>3898</v>
      </c>
      <c r="H326" s="11">
        <f>ROUND(
IF(L326="GANCHO",
   IF(I326&lt;=50,I326*1.1+4,IF(I326&lt;=120,I326*1.1+7,IF(I326&lt;=250,I326*1.1+11,I326*1.1+19))),
IF(L326="NORMAL",
   IF(I326&lt;=30,I326*1.15+2,IF(I326&lt;=80,I326*1.15+4,IF(I326&lt;=150,I326*1.15+6,I326*1.15+8))),
IF(L326="COMPLEMENTO",
   IF(I326&lt;=25,I326*1.25+1.5,IF(I326&lt;=60,I326*1.25+3,IF(I326&lt;=120,I326*1.25+4,I326*1.25+5))),
""))),2)</f>
        <v>1579.51</v>
      </c>
      <c r="I326" s="9">
        <f>($K$2+0.02)*Tabla1[[#This Row],[PRECIO $]]*1.18</f>
        <v>1366.5343999999998</v>
      </c>
      <c r="J326" s="7">
        <f>+Tabla1[[#This Row],[PRECIO EN SOLES]]-Tabla1[[#This Row],[PC]]</f>
        <v>212.97560000000021</v>
      </c>
      <c r="K326" s="15"/>
      <c r="L326" s="15" t="str">
        <f t="shared" si="5"/>
        <v>NORMAL</v>
      </c>
    </row>
    <row r="327" spans="1:12" x14ac:dyDescent="0.25">
      <c r="A327" s="3" t="s">
        <v>959</v>
      </c>
      <c r="B327" s="3" t="s">
        <v>960</v>
      </c>
      <c r="C327" s="1">
        <v>20</v>
      </c>
      <c r="D327" s="1">
        <v>374</v>
      </c>
      <c r="E327" s="1" t="s">
        <v>175</v>
      </c>
      <c r="F327" s="1" t="s">
        <v>2991</v>
      </c>
      <c r="G327" s="3" t="s">
        <v>961</v>
      </c>
      <c r="H327" s="11">
        <f>ROUND(
IF(L327="GANCHO",
   IF(I327&lt;=50,I327*1.1+4,IF(I327&lt;=120,I327*1.1+7,IF(I327&lt;=250,I327*1.1+11,I327*1.1+19))),
IF(L327="NORMAL",
   IF(I327&lt;=30,I327*1.15+2,IF(I327&lt;=80,I327*1.15+4,IF(I327&lt;=150,I327*1.15+6,I327*1.15+8))),
IF(L327="COMPLEMENTO",
   IF(I327&lt;=25,I327*1.25+1.5,IF(I327&lt;=60,I327*1.25+3,IF(I327&lt;=120,I327*1.25+4,I327*1.25+5))),
""))),2)</f>
        <v>1794.46</v>
      </c>
      <c r="I327" s="9">
        <f>($K$2+0.02)*Tabla1[[#This Row],[PRECIO $]]*1.18</f>
        <v>1553.4464</v>
      </c>
      <c r="J327" s="7">
        <f>+Tabla1[[#This Row],[PRECIO EN SOLES]]-Tabla1[[#This Row],[PC]]</f>
        <v>241.0136</v>
      </c>
      <c r="K327" s="15"/>
      <c r="L327" s="15" t="str">
        <f t="shared" si="5"/>
        <v>NORMAL</v>
      </c>
    </row>
    <row r="328" spans="1:12" x14ac:dyDescent="0.25">
      <c r="A328" s="3" t="s">
        <v>176</v>
      </c>
      <c r="B328" s="3" t="s">
        <v>177</v>
      </c>
      <c r="C328" s="1">
        <v>12</v>
      </c>
      <c r="D328" s="1">
        <v>352</v>
      </c>
      <c r="E328" s="1" t="s">
        <v>175</v>
      </c>
      <c r="F328" s="1" t="s">
        <v>2992</v>
      </c>
      <c r="G328" s="3" t="s">
        <v>178</v>
      </c>
      <c r="H328" s="11">
        <f>ROUND(
IF(L328="GANCHO",
   IF(I328&lt;=50,I328*1.1+4,IF(I328&lt;=120,I328*1.1+7,IF(I328&lt;=250,I328*1.1+11,I328*1.1+19))),
IF(L328="NORMAL",
   IF(I328&lt;=30,I328*1.15+2,IF(I328&lt;=80,I328*1.15+4,IF(I328&lt;=150,I328*1.15+6,I328*1.15+8))),
IF(L328="COMPLEMENTO",
   IF(I328&lt;=25,I328*1.25+1.5,IF(I328&lt;=60,I328*1.25+3,IF(I328&lt;=120,I328*1.25+4,I328*1.25+5))),
""))),2)</f>
        <v>1689.38</v>
      </c>
      <c r="I328" s="9">
        <f>($K$2+0.02)*Tabla1[[#This Row],[PRECIO $]]*1.18</f>
        <v>1462.0672</v>
      </c>
      <c r="J328" s="7">
        <f>+Tabla1[[#This Row],[PRECIO EN SOLES]]-Tabla1[[#This Row],[PC]]</f>
        <v>227.31280000000015</v>
      </c>
      <c r="K328" s="15"/>
      <c r="L328" s="15" t="str">
        <f t="shared" si="5"/>
        <v>NORMAL</v>
      </c>
    </row>
    <row r="329" spans="1:12" x14ac:dyDescent="0.25">
      <c r="A329" s="3" t="s">
        <v>4163</v>
      </c>
      <c r="B329" s="3" t="s">
        <v>4164</v>
      </c>
      <c r="C329" s="1">
        <v>3</v>
      </c>
      <c r="D329" s="1">
        <v>420</v>
      </c>
      <c r="E329" s="1" t="s">
        <v>175</v>
      </c>
      <c r="F329" s="1" t="s">
        <v>4165</v>
      </c>
      <c r="G329" s="3" t="s">
        <v>4166</v>
      </c>
      <c r="H329" s="11">
        <f>ROUND(
IF(L329="GANCHO",
   IF(I329&lt;=50,I329*1.1+4,IF(I329&lt;=120,I329*1.1+7,IF(I329&lt;=250,I329*1.1+11,I329*1.1+19))),
IF(L329="NORMAL",
   IF(I329&lt;=30,I329*1.15+2,IF(I329&lt;=80,I329*1.15+4,IF(I329&lt;=150,I329*1.15+6,I329*1.15+8))),
IF(L329="COMPLEMENTO",
   IF(I329&lt;=25,I329*1.25+1.5,IF(I329&lt;=60,I329*1.25+3,IF(I329&lt;=120,I329*1.25+4,I329*1.25+5))),
""))),2)</f>
        <v>2014.19</v>
      </c>
      <c r="I329" s="9">
        <f>($K$2+0.02)*Tabla1[[#This Row],[PRECIO $]]*1.18</f>
        <v>1744.5119999999999</v>
      </c>
      <c r="J329" s="7">
        <f>+Tabla1[[#This Row],[PRECIO EN SOLES]]-Tabla1[[#This Row],[PC]]</f>
        <v>269.67800000000011</v>
      </c>
      <c r="K329" s="15"/>
      <c r="L329" s="15" t="str">
        <f t="shared" si="5"/>
        <v>NORMAL</v>
      </c>
    </row>
    <row r="330" spans="1:12" x14ac:dyDescent="0.25">
      <c r="A330" s="3" t="s">
        <v>4559</v>
      </c>
      <c r="B330" s="3" t="s">
        <v>4560</v>
      </c>
      <c r="C330" s="1">
        <v>16</v>
      </c>
      <c r="D330" s="1">
        <v>391</v>
      </c>
      <c r="E330" s="1" t="s">
        <v>175</v>
      </c>
      <c r="F330" s="1" t="s">
        <v>4561</v>
      </c>
      <c r="G330" s="3" t="s">
        <v>4562</v>
      </c>
      <c r="H330" s="11">
        <f>ROUND(
IF(L330="GANCHO",
   IF(I330&lt;=50,I330*1.1+4,IF(I330&lt;=120,I330*1.1+7,IF(I330&lt;=250,I330*1.1+11,I330*1.1+19))),
IF(L330="NORMAL",
   IF(I330&lt;=30,I330*1.15+2,IF(I330&lt;=80,I330*1.15+4,IF(I330&lt;=150,I330*1.15+6,I330*1.15+8))),
IF(L330="COMPLEMENTO",
   IF(I330&lt;=25,I330*1.25+1.5,IF(I330&lt;=60,I330*1.25+3,IF(I330&lt;=120,I330*1.25+4,I330*1.25+5))),
""))),2)</f>
        <v>1875.67</v>
      </c>
      <c r="I330" s="9">
        <f>($K$2+0.02)*Tabla1[[#This Row],[PRECIO $]]*1.18</f>
        <v>1624.0575999999999</v>
      </c>
      <c r="J330" s="7">
        <f>+Tabla1[[#This Row],[PRECIO EN SOLES]]-Tabla1[[#This Row],[PC]]</f>
        <v>251.61240000000021</v>
      </c>
      <c r="K330" s="15"/>
      <c r="L330" s="15" t="str">
        <f t="shared" si="5"/>
        <v>NORMAL</v>
      </c>
    </row>
    <row r="331" spans="1:12" x14ac:dyDescent="0.25">
      <c r="A331" s="3" t="s">
        <v>4167</v>
      </c>
      <c r="B331" s="3" t="s">
        <v>4168</v>
      </c>
      <c r="C331" s="1">
        <v>20</v>
      </c>
      <c r="D331" s="1">
        <v>611</v>
      </c>
      <c r="E331" s="1" t="s">
        <v>175</v>
      </c>
      <c r="F331" s="1" t="s">
        <v>4169</v>
      </c>
      <c r="G331" s="3" t="s">
        <v>4170</v>
      </c>
      <c r="H331" s="11">
        <f>ROUND(
IF(L331="GANCHO",
   IF(I331&lt;=50,I331*1.1+4,IF(I331&lt;=120,I331*1.1+7,IF(I331&lt;=250,I331*1.1+11,I331*1.1+19))),
IF(L331="NORMAL",
   IF(I331&lt;=30,I331*1.15+2,IF(I331&lt;=80,I331*1.15+4,IF(I331&lt;=150,I331*1.15+6,I331*1.15+8))),
IF(L331="COMPLEMENTO",
   IF(I331&lt;=25,I331*1.25+1.5,IF(I331&lt;=60,I331*1.25+3,IF(I331&lt;=120,I331*1.25+4,I331*1.25+5))),
""))),2)</f>
        <v>2926.53</v>
      </c>
      <c r="I331" s="9">
        <f>($K$2+0.02)*Tabla1[[#This Row],[PRECIO $]]*1.18</f>
        <v>2537.8495999999996</v>
      </c>
      <c r="J331" s="7">
        <f>+Tabla1[[#This Row],[PRECIO EN SOLES]]-Tabla1[[#This Row],[PC]]</f>
        <v>388.68040000000065</v>
      </c>
      <c r="K331" s="15"/>
      <c r="L331" s="15" t="str">
        <f t="shared" si="5"/>
        <v>NORMAL</v>
      </c>
    </row>
    <row r="332" spans="1:12" x14ac:dyDescent="0.25">
      <c r="A332" s="3" t="s">
        <v>962</v>
      </c>
      <c r="B332" s="3" t="s">
        <v>963</v>
      </c>
      <c r="C332" s="1">
        <v>20</v>
      </c>
      <c r="D332" s="1">
        <v>568.86</v>
      </c>
      <c r="E332" s="1" t="s">
        <v>175</v>
      </c>
      <c r="F332" s="1" t="s">
        <v>2993</v>
      </c>
      <c r="G332" s="3" t="s">
        <v>964</v>
      </c>
      <c r="H332" s="11">
        <f>ROUND(
IF(L332="GANCHO",
   IF(I332&lt;=50,I332*1.1+4,IF(I332&lt;=120,I332*1.1+7,IF(I332&lt;=250,I332*1.1+11,I332*1.1+19))),
IF(L332="NORMAL",
   IF(I332&lt;=30,I332*1.15+2,IF(I332&lt;=80,I332*1.15+4,IF(I332&lt;=150,I332*1.15+6,I332*1.15+8))),
IF(L332="COMPLEMENTO",
   IF(I332&lt;=25,I332*1.25+1.5,IF(I332&lt;=60,I332*1.25+3,IF(I332&lt;=120,I332*1.25+4,I332*1.25+5))),
""))),2)</f>
        <v>2725.24</v>
      </c>
      <c r="I332" s="9">
        <f>($K$2+0.02)*Tabla1[[#This Row],[PRECIO $]]*1.18</f>
        <v>2362.8168959999998</v>
      </c>
      <c r="J332" s="7">
        <f>+Tabla1[[#This Row],[PRECIO EN SOLES]]-Tabla1[[#This Row],[PC]]</f>
        <v>362.42310399999997</v>
      </c>
      <c r="K332" s="15"/>
      <c r="L332" s="15" t="str">
        <f t="shared" si="5"/>
        <v>NORMAL</v>
      </c>
    </row>
    <row r="333" spans="1:12" x14ac:dyDescent="0.25">
      <c r="A333" s="3" t="s">
        <v>965</v>
      </c>
      <c r="B333" s="3" t="s">
        <v>966</v>
      </c>
      <c r="C333" s="1">
        <v>20</v>
      </c>
      <c r="D333" s="1">
        <v>508</v>
      </c>
      <c r="E333" s="1" t="s">
        <v>175</v>
      </c>
      <c r="F333" s="1" t="s">
        <v>2994</v>
      </c>
      <c r="G333" s="3" t="s">
        <v>967</v>
      </c>
      <c r="H333" s="11">
        <f>ROUND(
IF(L333="GANCHO",
   IF(I333&lt;=50,I333*1.1+4,IF(I333&lt;=120,I333*1.1+7,IF(I333&lt;=250,I333*1.1+11,I333*1.1+19))),
IF(L333="NORMAL",
   IF(I333&lt;=30,I333*1.15+2,IF(I333&lt;=80,I333*1.15+4,IF(I333&lt;=150,I333*1.15+6,I333*1.15+8))),
IF(L333="COMPLEMENTO",
   IF(I333&lt;=25,I333*1.25+1.5,IF(I333&lt;=60,I333*1.25+3,IF(I333&lt;=120,I333*1.25+4,I333*1.25+5))),
""))),2)</f>
        <v>2434.5300000000002</v>
      </c>
      <c r="I333" s="9">
        <f>($K$2+0.02)*Tabla1[[#This Row],[PRECIO $]]*1.18</f>
        <v>2110.0288</v>
      </c>
      <c r="J333" s="7">
        <f>+Tabla1[[#This Row],[PRECIO EN SOLES]]-Tabla1[[#This Row],[PC]]</f>
        <v>324.50120000000015</v>
      </c>
      <c r="K333" s="15"/>
      <c r="L333" s="15" t="str">
        <f t="shared" si="5"/>
        <v>NORMAL</v>
      </c>
    </row>
    <row r="334" spans="1:12" x14ac:dyDescent="0.25">
      <c r="A334" s="3" t="s">
        <v>179</v>
      </c>
      <c r="B334" s="3" t="s">
        <v>180</v>
      </c>
      <c r="C334" s="1">
        <v>20</v>
      </c>
      <c r="D334" s="1">
        <v>493</v>
      </c>
      <c r="E334" s="1" t="s">
        <v>175</v>
      </c>
      <c r="F334" s="1" t="s">
        <v>2995</v>
      </c>
      <c r="G334" s="3" t="s">
        <v>181</v>
      </c>
      <c r="H334" s="11">
        <f>ROUND(
IF(L334="GANCHO",
   IF(I334&lt;=50,I334*1.1+4,IF(I334&lt;=120,I334*1.1+7,IF(I334&lt;=250,I334*1.1+11,I334*1.1+19))),
IF(L334="NORMAL",
   IF(I334&lt;=30,I334*1.15+2,IF(I334&lt;=80,I334*1.15+4,IF(I334&lt;=150,I334*1.15+6,I334*1.15+8))),
IF(L334="COMPLEMENTO",
   IF(I334&lt;=25,I334*1.25+1.5,IF(I334&lt;=60,I334*1.25+3,IF(I334&lt;=120,I334*1.25+4,I334*1.25+5))),
""))),2)</f>
        <v>2362.88</v>
      </c>
      <c r="I334" s="9">
        <f>($K$2+0.02)*Tabla1[[#This Row],[PRECIO $]]*1.18</f>
        <v>2047.7247999999997</v>
      </c>
      <c r="J334" s="7">
        <f>+Tabla1[[#This Row],[PRECIO EN SOLES]]-Tabla1[[#This Row],[PC]]</f>
        <v>315.15520000000038</v>
      </c>
      <c r="K334" s="15"/>
      <c r="L334" s="15" t="str">
        <f t="shared" si="5"/>
        <v>NORMAL</v>
      </c>
    </row>
    <row r="335" spans="1:12" x14ac:dyDescent="0.25">
      <c r="A335" s="3" t="s">
        <v>4171</v>
      </c>
      <c r="B335" s="3" t="s">
        <v>4172</v>
      </c>
      <c r="C335" s="1">
        <v>3</v>
      </c>
      <c r="D335" s="1">
        <v>710.63</v>
      </c>
      <c r="E335" s="1" t="s">
        <v>175</v>
      </c>
      <c r="F335" s="1" t="s">
        <v>4173</v>
      </c>
      <c r="G335" s="3" t="s">
        <v>4174</v>
      </c>
      <c r="H335" s="11">
        <f>ROUND(
IF(L335="GANCHO",
   IF(I335&lt;=50,I335*1.1+4,IF(I335&lt;=120,I335*1.1+7,IF(I335&lt;=250,I335*1.1+11,I335*1.1+19))),
IF(L335="NORMAL",
   IF(I335&lt;=30,I335*1.15+2,IF(I335&lt;=80,I335*1.15+4,IF(I335&lt;=150,I335*1.15+6,I335*1.15+8))),
IF(L335="COMPLEMENTO",
   IF(I335&lt;=25,I335*1.25+1.5,IF(I335&lt;=60,I335*1.25+3,IF(I335&lt;=120,I335*1.25+4,I335*1.25+5))),
""))),2)</f>
        <v>3402.42</v>
      </c>
      <c r="I335" s="9">
        <f>($K$2+0.02)*Tabla1[[#This Row],[PRECIO $]]*1.18</f>
        <v>2951.6727679999999</v>
      </c>
      <c r="J335" s="7">
        <f>+Tabla1[[#This Row],[PRECIO EN SOLES]]-Tabla1[[#This Row],[PC]]</f>
        <v>450.74723200000017</v>
      </c>
      <c r="K335" s="15"/>
      <c r="L335" s="15" t="str">
        <f t="shared" si="5"/>
        <v>NORMAL</v>
      </c>
    </row>
    <row r="336" spans="1:12" x14ac:dyDescent="0.25">
      <c r="A336" s="3" t="s">
        <v>7056</v>
      </c>
      <c r="B336" s="3" t="s">
        <v>7057</v>
      </c>
      <c r="C336" s="1">
        <v>20</v>
      </c>
      <c r="D336" s="1">
        <v>179</v>
      </c>
      <c r="E336" s="1" t="s">
        <v>175</v>
      </c>
      <c r="F336" s="1" t="s">
        <v>7058</v>
      </c>
      <c r="G336" s="3" t="s">
        <v>7059</v>
      </c>
      <c r="H336" s="11">
        <f>ROUND(
IF(L336="GANCHO",
   IF(I336&lt;=50,I336*1.1+4,IF(I336&lt;=120,I336*1.1+7,IF(I336&lt;=250,I336*1.1+11,I336*1.1+19))),
IF(L336="NORMAL",
   IF(I336&lt;=30,I336*1.15+2,IF(I336&lt;=80,I336*1.15+4,IF(I336&lt;=150,I336*1.15+6,I336*1.15+8))),
IF(L336="COMPLEMENTO",
   IF(I336&lt;=25,I336*1.25+1.5,IF(I336&lt;=60,I336*1.25+3,IF(I336&lt;=120,I336*1.25+4,I336*1.25+5))),
""))),2)</f>
        <v>863.02</v>
      </c>
      <c r="I336" s="9">
        <f>($K$2+0.02)*Tabla1[[#This Row],[PRECIO $]]*1.18</f>
        <v>743.49440000000004</v>
      </c>
      <c r="J336" s="7">
        <f>+Tabla1[[#This Row],[PRECIO EN SOLES]]-Tabla1[[#This Row],[PC]]</f>
        <v>119.52559999999994</v>
      </c>
      <c r="K336" s="15"/>
      <c r="L336" s="15" t="str">
        <f t="shared" si="5"/>
        <v>NORMAL</v>
      </c>
    </row>
    <row r="337" spans="1:12" x14ac:dyDescent="0.25">
      <c r="A337" s="3" t="s">
        <v>4563</v>
      </c>
      <c r="B337" s="3" t="s">
        <v>4564</v>
      </c>
      <c r="C337" s="1">
        <v>3</v>
      </c>
      <c r="D337" s="1">
        <v>158</v>
      </c>
      <c r="E337" s="1" t="s">
        <v>175</v>
      </c>
      <c r="F337" s="1" t="s">
        <v>4565</v>
      </c>
      <c r="G337" s="3" t="s">
        <v>4566</v>
      </c>
      <c r="H337" s="11">
        <f>ROUND(
IF(L337="GANCHO",
   IF(I337&lt;=50,I337*1.1+4,IF(I337&lt;=120,I337*1.1+7,IF(I337&lt;=250,I337*1.1+11,I337*1.1+19))),
IF(L337="NORMAL",
   IF(I337&lt;=30,I337*1.15+2,IF(I337&lt;=80,I337*1.15+4,IF(I337&lt;=150,I337*1.15+6,I337*1.15+8))),
IF(L337="COMPLEMENTO",
   IF(I337&lt;=25,I337*1.25+1.5,IF(I337&lt;=60,I337*1.25+3,IF(I337&lt;=120,I337*1.25+4,I337*1.25+5))),
""))),2)</f>
        <v>762.71</v>
      </c>
      <c r="I337" s="9">
        <f>($K$2+0.02)*Tabla1[[#This Row],[PRECIO $]]*1.18</f>
        <v>656.26879999999994</v>
      </c>
      <c r="J337" s="7">
        <f>+Tabla1[[#This Row],[PRECIO EN SOLES]]-Tabla1[[#This Row],[PC]]</f>
        <v>106.44120000000009</v>
      </c>
      <c r="K337" s="15"/>
      <c r="L337" s="15" t="str">
        <f t="shared" si="5"/>
        <v>NORMAL</v>
      </c>
    </row>
    <row r="338" spans="1:12" x14ac:dyDescent="0.25">
      <c r="A338" s="3" t="s">
        <v>3972</v>
      </c>
      <c r="B338" s="3" t="s">
        <v>3973</v>
      </c>
      <c r="C338" s="1">
        <v>20</v>
      </c>
      <c r="D338" s="1">
        <v>219.89</v>
      </c>
      <c r="E338" s="1" t="s">
        <v>175</v>
      </c>
      <c r="F338" s="1" t="s">
        <v>3974</v>
      </c>
      <c r="G338" s="3" t="s">
        <v>3975</v>
      </c>
      <c r="H338" s="11">
        <f>ROUND(
IF(L338="GANCHO",
   IF(I338&lt;=50,I338*1.1+4,IF(I338&lt;=120,I338*1.1+7,IF(I338&lt;=250,I338*1.1+11,I338*1.1+19))),
IF(L338="NORMAL",
   IF(I338&lt;=30,I338*1.15+2,IF(I338&lt;=80,I338*1.15+4,IF(I338&lt;=150,I338*1.15+6,I338*1.15+8))),
IF(L338="COMPLEMENTO",
   IF(I338&lt;=25,I338*1.25+1.5,IF(I338&lt;=60,I338*1.25+3,IF(I338&lt;=120,I338*1.25+4,I338*1.25+5))),
""))),2)</f>
        <v>1058.3399999999999</v>
      </c>
      <c r="I338" s="9">
        <f>($K$2+0.02)*Tabla1[[#This Row],[PRECIO $]]*1.18</f>
        <v>913.33510399999989</v>
      </c>
      <c r="J338" s="7">
        <f>+Tabla1[[#This Row],[PRECIO EN SOLES]]-Tabla1[[#This Row],[PC]]</f>
        <v>145.00489600000003</v>
      </c>
      <c r="K338" s="15"/>
      <c r="L338" s="15" t="str">
        <f t="shared" si="5"/>
        <v>NORMAL</v>
      </c>
    </row>
    <row r="339" spans="1:12" x14ac:dyDescent="0.25">
      <c r="A339" s="3" t="s">
        <v>3976</v>
      </c>
      <c r="B339" s="3" t="s">
        <v>3977</v>
      </c>
      <c r="C339" s="1">
        <v>20</v>
      </c>
      <c r="D339" s="1">
        <v>207.5</v>
      </c>
      <c r="E339" s="1" t="s">
        <v>175</v>
      </c>
      <c r="F339" s="1" t="s">
        <v>3978</v>
      </c>
      <c r="G339" s="3" t="s">
        <v>3979</v>
      </c>
      <c r="H339" s="11">
        <f>ROUND(
IF(L339="GANCHO",
   IF(I339&lt;=50,I339*1.1+4,IF(I339&lt;=120,I339*1.1+7,IF(I339&lt;=250,I339*1.1+11,I339*1.1+19))),
IF(L339="NORMAL",
   IF(I339&lt;=30,I339*1.15+2,IF(I339&lt;=80,I339*1.15+4,IF(I339&lt;=150,I339*1.15+6,I339*1.15+8))),
IF(L339="COMPLEMENTO",
   IF(I339&lt;=25,I339*1.25+1.5,IF(I339&lt;=60,I339*1.25+3,IF(I339&lt;=120,I339*1.25+4,I339*1.25+5))),
""))),2)</f>
        <v>999.15</v>
      </c>
      <c r="I339" s="9">
        <f>($K$2+0.02)*Tabla1[[#This Row],[PRECIO $]]*1.18</f>
        <v>861.87199999999996</v>
      </c>
      <c r="J339" s="7">
        <f>+Tabla1[[#This Row],[PRECIO EN SOLES]]-Tabla1[[#This Row],[PC]]</f>
        <v>137.27800000000002</v>
      </c>
      <c r="K339" s="15"/>
      <c r="L339" s="15" t="str">
        <f t="shared" si="5"/>
        <v>NORMAL</v>
      </c>
    </row>
    <row r="340" spans="1:12" x14ac:dyDescent="0.25">
      <c r="A340" s="3" t="s">
        <v>4567</v>
      </c>
      <c r="B340" s="3" t="s">
        <v>4568</v>
      </c>
      <c r="C340" s="1">
        <v>20</v>
      </c>
      <c r="D340" s="1">
        <v>361</v>
      </c>
      <c r="E340" s="1" t="s">
        <v>175</v>
      </c>
      <c r="F340" s="1" t="s">
        <v>4569</v>
      </c>
      <c r="G340" s="3" t="s">
        <v>4570</v>
      </c>
      <c r="H340" s="11">
        <f>ROUND(
IF(L340="GANCHO",
   IF(I340&lt;=50,I340*1.1+4,IF(I340&lt;=120,I340*1.1+7,IF(I340&lt;=250,I340*1.1+11,I340*1.1+19))),
IF(L340="NORMAL",
   IF(I340&lt;=30,I340*1.15+2,IF(I340&lt;=80,I340*1.15+4,IF(I340&lt;=150,I340*1.15+6,I340*1.15+8))),
IF(L340="COMPLEMENTO",
   IF(I340&lt;=25,I340*1.25+1.5,IF(I340&lt;=60,I340*1.25+3,IF(I340&lt;=120,I340*1.25+4,I340*1.25+5))),
""))),2)</f>
        <v>1732.37</v>
      </c>
      <c r="I340" s="9">
        <f>($K$2+0.02)*Tabla1[[#This Row],[PRECIO $]]*1.18</f>
        <v>1499.4495999999999</v>
      </c>
      <c r="J340" s="7">
        <f>+Tabla1[[#This Row],[PRECIO EN SOLES]]-Tabla1[[#This Row],[PC]]</f>
        <v>232.92039999999997</v>
      </c>
      <c r="K340" s="15"/>
      <c r="L340" s="15" t="str">
        <f t="shared" si="5"/>
        <v>NORMAL</v>
      </c>
    </row>
    <row r="341" spans="1:12" x14ac:dyDescent="0.25">
      <c r="A341" s="3" t="s">
        <v>4571</v>
      </c>
      <c r="B341" s="3" t="s">
        <v>4572</v>
      </c>
      <c r="C341" s="1">
        <v>20</v>
      </c>
      <c r="D341" s="1">
        <v>345</v>
      </c>
      <c r="E341" s="1" t="s">
        <v>175</v>
      </c>
      <c r="F341" s="1" t="s">
        <v>4573</v>
      </c>
      <c r="G341" s="3" t="s">
        <v>4574</v>
      </c>
      <c r="H341" s="11">
        <f>ROUND(
IF(L341="GANCHO",
   IF(I341&lt;=50,I341*1.1+4,IF(I341&lt;=120,I341*1.1+7,IF(I341&lt;=250,I341*1.1+11,I341*1.1+19))),
IF(L341="NORMAL",
   IF(I341&lt;=30,I341*1.15+2,IF(I341&lt;=80,I341*1.15+4,IF(I341&lt;=150,I341*1.15+6,I341*1.15+8))),
IF(L341="COMPLEMENTO",
   IF(I341&lt;=25,I341*1.25+1.5,IF(I341&lt;=60,I341*1.25+3,IF(I341&lt;=120,I341*1.25+4,I341*1.25+5))),
""))),2)</f>
        <v>1655.94</v>
      </c>
      <c r="I341" s="9">
        <f>($K$2+0.02)*Tabla1[[#This Row],[PRECIO $]]*1.18</f>
        <v>1432.992</v>
      </c>
      <c r="J341" s="7">
        <f>+Tabla1[[#This Row],[PRECIO EN SOLES]]-Tabla1[[#This Row],[PC]]</f>
        <v>222.94800000000009</v>
      </c>
      <c r="K341" s="15"/>
      <c r="L341" s="15" t="str">
        <f t="shared" si="5"/>
        <v>NORMAL</v>
      </c>
    </row>
    <row r="342" spans="1:12" x14ac:dyDescent="0.25">
      <c r="A342" s="3" t="s">
        <v>3980</v>
      </c>
      <c r="B342" s="3" t="s">
        <v>3981</v>
      </c>
      <c r="C342" s="1">
        <v>20</v>
      </c>
      <c r="D342" s="1">
        <v>308.5</v>
      </c>
      <c r="E342" s="1" t="s">
        <v>175</v>
      </c>
      <c r="F342" s="1" t="s">
        <v>3982</v>
      </c>
      <c r="G342" s="3" t="s">
        <v>3983</v>
      </c>
      <c r="H342" s="11">
        <f>ROUND(
IF(L342="GANCHO",
   IF(I342&lt;=50,I342*1.1+4,IF(I342&lt;=120,I342*1.1+7,IF(I342&lt;=250,I342*1.1+11,I342*1.1+19))),
IF(L342="NORMAL",
   IF(I342&lt;=30,I342*1.15+2,IF(I342&lt;=80,I342*1.15+4,IF(I342&lt;=150,I342*1.15+6,I342*1.15+8))),
IF(L342="COMPLEMENTO",
   IF(I342&lt;=25,I342*1.25+1.5,IF(I342&lt;=60,I342*1.25+3,IF(I342&lt;=120,I342*1.25+4,I342*1.25+5))),
""))),2)</f>
        <v>1481.59</v>
      </c>
      <c r="I342" s="9">
        <f>($K$2+0.02)*Tabla1[[#This Row],[PRECIO $]]*1.18</f>
        <v>1281.3856000000001</v>
      </c>
      <c r="J342" s="7">
        <f>+Tabla1[[#This Row],[PRECIO EN SOLES]]-Tabla1[[#This Row],[PC]]</f>
        <v>200.20439999999985</v>
      </c>
      <c r="K342" s="15"/>
      <c r="L342" s="15" t="str">
        <f t="shared" si="5"/>
        <v>NORMAL</v>
      </c>
    </row>
    <row r="343" spans="1:12" x14ac:dyDescent="0.25">
      <c r="A343" s="3" t="s">
        <v>5360</v>
      </c>
      <c r="B343" s="3" t="s">
        <v>5361</v>
      </c>
      <c r="C343" s="1">
        <v>20</v>
      </c>
      <c r="D343" s="1">
        <v>331</v>
      </c>
      <c r="E343" s="1" t="s">
        <v>5362</v>
      </c>
      <c r="F343" s="1" t="s">
        <v>5363</v>
      </c>
      <c r="G343" s="3" t="s">
        <v>5364</v>
      </c>
      <c r="H343" s="11">
        <f>ROUND(
IF(L343="GANCHO",
   IF(I343&lt;=50,I343*1.1+4,IF(I343&lt;=120,I343*1.1+7,IF(I343&lt;=250,I343*1.1+11,I343*1.1+19))),
IF(L343="NORMAL",
   IF(I343&lt;=30,I343*1.15+2,IF(I343&lt;=80,I343*1.15+4,IF(I343&lt;=150,I343*1.15+6,I343*1.15+8))),
IF(L343="COMPLEMENTO",
   IF(I343&lt;=25,I343*1.25+1.5,IF(I343&lt;=60,I343*1.25+3,IF(I343&lt;=120,I343*1.25+4,I343*1.25+5))),
""))),2)</f>
        <v>1589.07</v>
      </c>
      <c r="I343" s="9">
        <f>($K$2+0.02)*Tabla1[[#This Row],[PRECIO $]]*1.18</f>
        <v>1374.8416</v>
      </c>
      <c r="J343" s="7">
        <f>+Tabla1[[#This Row],[PRECIO EN SOLES]]-Tabla1[[#This Row],[PC]]</f>
        <v>214.22839999999997</v>
      </c>
      <c r="K343" s="15"/>
      <c r="L343" s="15" t="str">
        <f t="shared" si="5"/>
        <v>NORMAL</v>
      </c>
    </row>
    <row r="344" spans="1:12" x14ac:dyDescent="0.25">
      <c r="A344" s="3" t="s">
        <v>968</v>
      </c>
      <c r="B344" s="3" t="s">
        <v>969</v>
      </c>
      <c r="C344" s="1">
        <v>20</v>
      </c>
      <c r="D344" s="1">
        <v>591.80999999999995</v>
      </c>
      <c r="E344" s="1" t="s">
        <v>175</v>
      </c>
      <c r="F344" s="1" t="s">
        <v>2996</v>
      </c>
      <c r="G344" s="3" t="s">
        <v>970</v>
      </c>
      <c r="H344" s="11">
        <f>ROUND(
IF(L344="GANCHO",
   IF(I344&lt;=50,I344*1.1+4,IF(I344&lt;=120,I344*1.1+7,IF(I344&lt;=250,I344*1.1+11,I344*1.1+19))),
IF(L344="NORMAL",
   IF(I344&lt;=30,I344*1.15+2,IF(I344&lt;=80,I344*1.15+4,IF(I344&lt;=150,I344*1.15+6,I344*1.15+8))),
IF(L344="COMPLEMENTO",
   IF(I344&lt;=25,I344*1.25+1.5,IF(I344&lt;=60,I344*1.25+3,IF(I344&lt;=120,I344*1.25+4,I344*1.25+5))),
""))),2)</f>
        <v>2834.86</v>
      </c>
      <c r="I344" s="9">
        <f>($K$2+0.02)*Tabla1[[#This Row],[PRECIO $]]*1.18</f>
        <v>2458.1420159999998</v>
      </c>
      <c r="J344" s="7">
        <f>+Tabla1[[#This Row],[PRECIO EN SOLES]]-Tabla1[[#This Row],[PC]]</f>
        <v>376.71798400000034</v>
      </c>
      <c r="K344" s="15"/>
      <c r="L344" s="15" t="str">
        <f t="shared" si="5"/>
        <v>NORMAL</v>
      </c>
    </row>
    <row r="345" spans="1:12" x14ac:dyDescent="0.25">
      <c r="A345" s="3" t="s">
        <v>971</v>
      </c>
      <c r="B345" s="3" t="s">
        <v>972</v>
      </c>
      <c r="C345" s="1">
        <v>20</v>
      </c>
      <c r="D345" s="1">
        <v>602.45000000000005</v>
      </c>
      <c r="E345" s="1" t="s">
        <v>175</v>
      </c>
      <c r="F345" s="1" t="s">
        <v>2997</v>
      </c>
      <c r="G345" s="3" t="s">
        <v>973</v>
      </c>
      <c r="H345" s="11">
        <f>ROUND(
IF(L345="GANCHO",
   IF(I345&lt;=50,I345*1.1+4,IF(I345&lt;=120,I345*1.1+7,IF(I345&lt;=250,I345*1.1+11,I345*1.1+19))),
IF(L345="NORMAL",
   IF(I345&lt;=30,I345*1.15+2,IF(I345&lt;=80,I345*1.15+4,IF(I345&lt;=150,I345*1.15+6,I345*1.15+8))),
IF(L345="COMPLEMENTO",
   IF(I345&lt;=25,I345*1.25+1.5,IF(I345&lt;=60,I345*1.25+3,IF(I345&lt;=120,I345*1.25+4,I345*1.25+5))),
""))),2)</f>
        <v>2885.69</v>
      </c>
      <c r="I345" s="9">
        <f>($K$2+0.02)*Tabla1[[#This Row],[PRECIO $]]*1.18</f>
        <v>2502.3363200000003</v>
      </c>
      <c r="J345" s="7">
        <f>+Tabla1[[#This Row],[PRECIO EN SOLES]]-Tabla1[[#This Row],[PC]]</f>
        <v>383.35367999999971</v>
      </c>
      <c r="K345" s="15"/>
      <c r="L345" s="15" t="str">
        <f t="shared" si="5"/>
        <v>NORMAL</v>
      </c>
    </row>
    <row r="346" spans="1:12" x14ac:dyDescent="0.25">
      <c r="A346" s="3" t="s">
        <v>6420</v>
      </c>
      <c r="B346" s="3" t="s">
        <v>6421</v>
      </c>
      <c r="C346" s="1">
        <v>20</v>
      </c>
      <c r="D346" s="1">
        <v>202</v>
      </c>
      <c r="E346" s="1" t="s">
        <v>182</v>
      </c>
      <c r="F346" s="1" t="s">
        <v>6422</v>
      </c>
      <c r="G346" s="3" t="s">
        <v>6423</v>
      </c>
      <c r="H346" s="11">
        <f>ROUND(
IF(L346="GANCHO",
   IF(I346&lt;=50,I346*1.1+4,IF(I346&lt;=120,I346*1.1+7,IF(I346&lt;=250,I346*1.1+11,I346*1.1+19))),
IF(L346="NORMAL",
   IF(I346&lt;=30,I346*1.15+2,IF(I346&lt;=80,I346*1.15+4,IF(I346&lt;=150,I346*1.15+6,I346*1.15+8))),
IF(L346="COMPLEMENTO",
   IF(I346&lt;=25,I346*1.25+1.5,IF(I346&lt;=60,I346*1.25+3,IF(I346&lt;=120,I346*1.25+4,I346*1.25+5))),
""))),2)</f>
        <v>972.88</v>
      </c>
      <c r="I346" s="9">
        <f>($K$2+0.02)*Tabla1[[#This Row],[PRECIO $]]*1.18</f>
        <v>839.02719999999988</v>
      </c>
      <c r="J346" s="7">
        <f>+Tabla1[[#This Row],[PRECIO EN SOLES]]-Tabla1[[#This Row],[PC]]</f>
        <v>133.85280000000012</v>
      </c>
      <c r="K346" s="15"/>
      <c r="L346" s="15" t="str">
        <f t="shared" si="5"/>
        <v>NORMAL</v>
      </c>
    </row>
    <row r="347" spans="1:12" x14ac:dyDescent="0.25">
      <c r="A347" s="3" t="s">
        <v>3984</v>
      </c>
      <c r="B347" s="3" t="s">
        <v>3985</v>
      </c>
      <c r="C347" s="1">
        <v>9</v>
      </c>
      <c r="D347" s="1">
        <v>299.5</v>
      </c>
      <c r="E347" s="1" t="s">
        <v>183</v>
      </c>
      <c r="F347" s="1" t="s">
        <v>3986</v>
      </c>
      <c r="G347" s="3" t="s">
        <v>3987</v>
      </c>
      <c r="H347" s="11">
        <f>ROUND(
IF(L347="GANCHO",
   IF(I347&lt;=50,I347*1.1+4,IF(I347&lt;=120,I347*1.1+7,IF(I347&lt;=250,I347*1.1+11,I347*1.1+19))),
IF(L347="NORMAL",
   IF(I347&lt;=30,I347*1.15+2,IF(I347&lt;=80,I347*1.15+4,IF(I347&lt;=150,I347*1.15+6,I347*1.15+8))),
IF(L347="COMPLEMENTO",
   IF(I347&lt;=25,I347*1.25+1.5,IF(I347&lt;=60,I347*1.25+3,IF(I347&lt;=120,I347*1.25+4,I347*1.25+5))),
""))),2)</f>
        <v>1438.6</v>
      </c>
      <c r="I347" s="9">
        <f>($K$2+0.02)*Tabla1[[#This Row],[PRECIO $]]*1.18</f>
        <v>1244.0031999999999</v>
      </c>
      <c r="J347" s="7">
        <f>+Tabla1[[#This Row],[PRECIO EN SOLES]]-Tabla1[[#This Row],[PC]]</f>
        <v>194.59680000000003</v>
      </c>
      <c r="K347" s="15"/>
      <c r="L347" s="15" t="str">
        <f t="shared" si="5"/>
        <v>NORMAL</v>
      </c>
    </row>
    <row r="348" spans="1:12" x14ac:dyDescent="0.25">
      <c r="A348" s="3" t="s">
        <v>974</v>
      </c>
      <c r="B348" s="3" t="s">
        <v>975</v>
      </c>
      <c r="C348" s="1">
        <v>5</v>
      </c>
      <c r="D348" s="1">
        <v>305.3</v>
      </c>
      <c r="E348" s="1" t="s">
        <v>183</v>
      </c>
      <c r="F348" s="1" t="s">
        <v>2998</v>
      </c>
      <c r="G348" s="3" t="s">
        <v>976</v>
      </c>
      <c r="H348" s="11">
        <f>ROUND(
IF(L348="GANCHO",
   IF(I348&lt;=50,I348*1.1+4,IF(I348&lt;=120,I348*1.1+7,IF(I348&lt;=250,I348*1.1+11,I348*1.1+19))),
IF(L348="NORMAL",
   IF(I348&lt;=30,I348*1.15+2,IF(I348&lt;=80,I348*1.15+4,IF(I348&lt;=150,I348*1.15+6,I348*1.15+8))),
IF(L348="COMPLEMENTO",
   IF(I348&lt;=25,I348*1.25+1.5,IF(I348&lt;=60,I348*1.25+3,IF(I348&lt;=120,I348*1.25+4,I348*1.25+5))),
""))),2)</f>
        <v>1466.31</v>
      </c>
      <c r="I348" s="9">
        <f>($K$2+0.02)*Tabla1[[#This Row],[PRECIO $]]*1.18</f>
        <v>1268.0940799999998</v>
      </c>
      <c r="J348" s="7">
        <f>+Tabla1[[#This Row],[PRECIO EN SOLES]]-Tabla1[[#This Row],[PC]]</f>
        <v>198.2159200000001</v>
      </c>
      <c r="K348" s="15"/>
      <c r="L348" s="15" t="str">
        <f t="shared" si="5"/>
        <v>NORMAL</v>
      </c>
    </row>
    <row r="349" spans="1:12" x14ac:dyDescent="0.25">
      <c r="A349" s="3" t="s">
        <v>6056</v>
      </c>
      <c r="B349" s="3" t="s">
        <v>6057</v>
      </c>
      <c r="C349" s="1">
        <v>20</v>
      </c>
      <c r="D349" s="1">
        <v>264.5</v>
      </c>
      <c r="E349" s="1" t="s">
        <v>184</v>
      </c>
      <c r="F349" s="1" t="s">
        <v>6058</v>
      </c>
      <c r="G349" s="3" t="s">
        <v>6059</v>
      </c>
      <c r="H349" s="11">
        <f>ROUND(
IF(L349="GANCHO",
   IF(I349&lt;=50,I349*1.1+4,IF(I349&lt;=120,I349*1.1+7,IF(I349&lt;=250,I349*1.1+11,I349*1.1+19))),
IF(L349="NORMAL",
   IF(I349&lt;=30,I349*1.15+2,IF(I349&lt;=80,I349*1.15+4,IF(I349&lt;=150,I349*1.15+6,I349*1.15+8))),
IF(L349="COMPLEMENTO",
   IF(I349&lt;=25,I349*1.25+1.5,IF(I349&lt;=60,I349*1.25+3,IF(I349&lt;=120,I349*1.25+4,I349*1.25+5))),
""))),2)</f>
        <v>1271.42</v>
      </c>
      <c r="I349" s="9">
        <f>($K$2+0.02)*Tabla1[[#This Row],[PRECIO $]]*1.18</f>
        <v>1098.6271999999999</v>
      </c>
      <c r="J349" s="7">
        <f>+Tabla1[[#This Row],[PRECIO EN SOLES]]-Tabla1[[#This Row],[PC]]</f>
        <v>172.79280000000017</v>
      </c>
      <c r="K349" s="15"/>
      <c r="L349" s="15" t="str">
        <f t="shared" si="5"/>
        <v>NORMAL</v>
      </c>
    </row>
    <row r="350" spans="1:12" x14ac:dyDescent="0.25">
      <c r="A350" s="3" t="s">
        <v>6939</v>
      </c>
      <c r="B350" s="3" t="s">
        <v>6940</v>
      </c>
      <c r="C350" s="1">
        <v>1</v>
      </c>
      <c r="D350" s="1">
        <v>326.5</v>
      </c>
      <c r="E350" s="1" t="s">
        <v>184</v>
      </c>
      <c r="F350" s="1" t="s">
        <v>6941</v>
      </c>
      <c r="G350" s="3" t="s">
        <v>6942</v>
      </c>
      <c r="H350" s="11">
        <f>ROUND(
IF(L350="GANCHO",
   IF(I350&lt;=50,I350*1.1+4,IF(I350&lt;=120,I350*1.1+7,IF(I350&lt;=250,I350*1.1+11,I350*1.1+19))),
IF(L350="NORMAL",
   IF(I350&lt;=30,I350*1.15+2,IF(I350&lt;=80,I350*1.15+4,IF(I350&lt;=150,I350*1.15+6,I350*1.15+8))),
IF(L350="COMPLEMENTO",
   IF(I350&lt;=25,I350*1.25+1.5,IF(I350&lt;=60,I350*1.25+3,IF(I350&lt;=120,I350*1.25+4,I350*1.25+5))),
""))),2)</f>
        <v>1567.57</v>
      </c>
      <c r="I350" s="9">
        <f>($K$2+0.02)*Tabla1[[#This Row],[PRECIO $]]*1.18</f>
        <v>1356.1504</v>
      </c>
      <c r="J350" s="7">
        <f>+Tabla1[[#This Row],[PRECIO EN SOLES]]-Tabla1[[#This Row],[PC]]</f>
        <v>211.41959999999995</v>
      </c>
      <c r="K350" s="15"/>
      <c r="L350" s="15" t="str">
        <f t="shared" si="5"/>
        <v>NORMAL</v>
      </c>
    </row>
    <row r="351" spans="1:12" x14ac:dyDescent="0.25">
      <c r="A351" s="3" t="s">
        <v>6060</v>
      </c>
      <c r="B351" s="3" t="s">
        <v>6061</v>
      </c>
      <c r="C351" s="1">
        <v>20</v>
      </c>
      <c r="D351" s="1">
        <v>310.5</v>
      </c>
      <c r="E351" s="1" t="s">
        <v>184</v>
      </c>
      <c r="F351" s="1" t="s">
        <v>6062</v>
      </c>
      <c r="G351" s="3" t="s">
        <v>6063</v>
      </c>
      <c r="H351" s="11">
        <f>ROUND(
IF(L351="GANCHO",
   IF(I351&lt;=50,I351*1.1+4,IF(I351&lt;=120,I351*1.1+7,IF(I351&lt;=250,I351*1.1+11,I351*1.1+19))),
IF(L351="NORMAL",
   IF(I351&lt;=30,I351*1.15+2,IF(I351&lt;=80,I351*1.15+4,IF(I351&lt;=150,I351*1.15+6,I351*1.15+8))),
IF(L351="COMPLEMENTO",
   IF(I351&lt;=25,I351*1.25+1.5,IF(I351&lt;=60,I351*1.25+3,IF(I351&lt;=120,I351*1.25+4,I351*1.25+5))),
""))),2)</f>
        <v>1491.15</v>
      </c>
      <c r="I351" s="9">
        <f>($K$2+0.02)*Tabla1[[#This Row],[PRECIO $]]*1.18</f>
        <v>1289.6928</v>
      </c>
      <c r="J351" s="7">
        <f>+Tabla1[[#This Row],[PRECIO EN SOLES]]-Tabla1[[#This Row],[PC]]</f>
        <v>201.45720000000006</v>
      </c>
      <c r="K351" s="15"/>
      <c r="L351" s="15" t="str">
        <f t="shared" si="5"/>
        <v>NORMAL</v>
      </c>
    </row>
    <row r="352" spans="1:12" x14ac:dyDescent="0.25">
      <c r="A352" s="3" t="s">
        <v>5365</v>
      </c>
      <c r="B352" s="3" t="s">
        <v>5366</v>
      </c>
      <c r="C352" s="1">
        <v>20</v>
      </c>
      <c r="D352" s="1">
        <v>78.2</v>
      </c>
      <c r="E352" s="1" t="s">
        <v>184</v>
      </c>
      <c r="F352" s="1" t="s">
        <v>5367</v>
      </c>
      <c r="G352" s="3" t="s">
        <v>5368</v>
      </c>
      <c r="H352" s="11">
        <f>ROUND(
IF(L352="GANCHO",
   IF(I352&lt;=50,I352*1.1+4,IF(I352&lt;=120,I352*1.1+7,IF(I352&lt;=250,I352*1.1+11,I352*1.1+19))),
IF(L352="NORMAL",
   IF(I352&lt;=30,I352*1.15+2,IF(I352&lt;=80,I352*1.15+4,IF(I352&lt;=150,I352*1.15+6,I352*1.15+8))),
IF(L352="COMPLEMENTO",
   IF(I352&lt;=25,I352*1.25+1.5,IF(I352&lt;=60,I352*1.25+3,IF(I352&lt;=120,I352*1.25+4,I352*1.25+5))),
""))),2)</f>
        <v>381.53</v>
      </c>
      <c r="I352" s="9">
        <f>($K$2+0.02)*Tabla1[[#This Row],[PRECIO $]]*1.18</f>
        <v>324.81151999999997</v>
      </c>
      <c r="J352" s="7">
        <f>+Tabla1[[#This Row],[PRECIO EN SOLES]]-Tabla1[[#This Row],[PC]]</f>
        <v>56.71848</v>
      </c>
      <c r="K352" s="15"/>
      <c r="L352" s="15" t="str">
        <f t="shared" si="5"/>
        <v>NORMAL</v>
      </c>
    </row>
    <row r="353" spans="1:12" x14ac:dyDescent="0.25">
      <c r="A353" s="3" t="s">
        <v>5369</v>
      </c>
      <c r="B353" s="3" t="s">
        <v>5370</v>
      </c>
      <c r="C353" s="1">
        <v>20</v>
      </c>
      <c r="D353" s="1">
        <v>294.3</v>
      </c>
      <c r="E353" s="1" t="s">
        <v>184</v>
      </c>
      <c r="F353" s="1" t="s">
        <v>5371</v>
      </c>
      <c r="G353" s="3" t="s">
        <v>5372</v>
      </c>
      <c r="H353" s="11">
        <f>ROUND(
IF(L353="GANCHO",
   IF(I353&lt;=50,I353*1.1+4,IF(I353&lt;=120,I353*1.1+7,IF(I353&lt;=250,I353*1.1+11,I353*1.1+19))),
IF(L353="NORMAL",
   IF(I353&lt;=30,I353*1.15+2,IF(I353&lt;=80,I353*1.15+4,IF(I353&lt;=150,I353*1.15+6,I353*1.15+8))),
IF(L353="COMPLEMENTO",
   IF(I353&lt;=25,I353*1.25+1.5,IF(I353&lt;=60,I353*1.25+3,IF(I353&lt;=120,I353*1.25+4,I353*1.25+5))),
""))),2)</f>
        <v>1413.77</v>
      </c>
      <c r="I353" s="9">
        <f>($K$2+0.02)*Tabla1[[#This Row],[PRECIO $]]*1.18</f>
        <v>1222.4044800000001</v>
      </c>
      <c r="J353" s="7">
        <f>+Tabla1[[#This Row],[PRECIO EN SOLES]]-Tabla1[[#This Row],[PC]]</f>
        <v>191.36551999999983</v>
      </c>
      <c r="K353" s="15"/>
      <c r="L353" s="15" t="str">
        <f t="shared" si="5"/>
        <v>NORMAL</v>
      </c>
    </row>
    <row r="354" spans="1:12" x14ac:dyDescent="0.25">
      <c r="A354" s="3" t="s">
        <v>5856</v>
      </c>
      <c r="B354" s="3" t="s">
        <v>5857</v>
      </c>
      <c r="C354" s="1">
        <v>20</v>
      </c>
      <c r="D354" s="1">
        <v>322.5</v>
      </c>
      <c r="E354" s="1" t="s">
        <v>184</v>
      </c>
      <c r="F354" s="1" t="s">
        <v>5858</v>
      </c>
      <c r="G354" s="3" t="s">
        <v>5859</v>
      </c>
      <c r="H354" s="11">
        <f>ROUND(
IF(L354="GANCHO",
   IF(I354&lt;=50,I354*1.1+4,IF(I354&lt;=120,I354*1.1+7,IF(I354&lt;=250,I354*1.1+11,I354*1.1+19))),
IF(L354="NORMAL",
   IF(I354&lt;=30,I354*1.15+2,IF(I354&lt;=80,I354*1.15+4,IF(I354&lt;=150,I354*1.15+6,I354*1.15+8))),
IF(L354="COMPLEMENTO",
   IF(I354&lt;=25,I354*1.25+1.5,IF(I354&lt;=60,I354*1.25+3,IF(I354&lt;=120,I354*1.25+4,I354*1.25+5))),
""))),2)</f>
        <v>1548.47</v>
      </c>
      <c r="I354" s="9">
        <f>($K$2+0.02)*Tabla1[[#This Row],[PRECIO $]]*1.18</f>
        <v>1339.5360000000001</v>
      </c>
      <c r="J354" s="7">
        <f>+Tabla1[[#This Row],[PRECIO EN SOLES]]-Tabla1[[#This Row],[PC]]</f>
        <v>208.93399999999997</v>
      </c>
      <c r="K354" s="15"/>
      <c r="L354" s="15" t="str">
        <f t="shared" si="5"/>
        <v>NORMAL</v>
      </c>
    </row>
    <row r="355" spans="1:12" x14ac:dyDescent="0.25">
      <c r="A355" s="3" t="s">
        <v>5373</v>
      </c>
      <c r="B355" s="3" t="s">
        <v>5374</v>
      </c>
      <c r="C355" s="1">
        <v>20</v>
      </c>
      <c r="D355" s="1">
        <v>348.5</v>
      </c>
      <c r="E355" s="1" t="s">
        <v>184</v>
      </c>
      <c r="F355" s="1" t="s">
        <v>5375</v>
      </c>
      <c r="G355" s="3" t="s">
        <v>5376</v>
      </c>
      <c r="H355" s="11">
        <f>ROUND(
IF(L355="GANCHO",
   IF(I355&lt;=50,I355*1.1+4,IF(I355&lt;=120,I355*1.1+7,IF(I355&lt;=250,I355*1.1+11,I355*1.1+19))),
IF(L355="NORMAL",
   IF(I355&lt;=30,I355*1.15+2,IF(I355&lt;=80,I355*1.15+4,IF(I355&lt;=150,I355*1.15+6,I355*1.15+8))),
IF(L355="COMPLEMENTO",
   IF(I355&lt;=25,I355*1.25+1.5,IF(I355&lt;=60,I355*1.25+3,IF(I355&lt;=120,I355*1.25+4,I355*1.25+5))),
""))),2)</f>
        <v>1672.66</v>
      </c>
      <c r="I355" s="9">
        <f>($K$2+0.02)*Tabla1[[#This Row],[PRECIO $]]*1.18</f>
        <v>1447.5295999999998</v>
      </c>
      <c r="J355" s="7">
        <f>+Tabla1[[#This Row],[PRECIO EN SOLES]]-Tabla1[[#This Row],[PC]]</f>
        <v>225.13040000000024</v>
      </c>
      <c r="K355" s="15"/>
      <c r="L355" s="15" t="str">
        <f t="shared" si="5"/>
        <v>NORMAL</v>
      </c>
    </row>
    <row r="356" spans="1:12" x14ac:dyDescent="0.25">
      <c r="A356" s="3" t="s">
        <v>4085</v>
      </c>
      <c r="B356" s="3" t="s">
        <v>4086</v>
      </c>
      <c r="C356" s="1">
        <v>11</v>
      </c>
      <c r="D356" s="1">
        <v>460.5</v>
      </c>
      <c r="E356" s="1" t="s">
        <v>184</v>
      </c>
      <c r="F356" s="1" t="s">
        <v>4087</v>
      </c>
      <c r="G356" s="3" t="s">
        <v>4088</v>
      </c>
      <c r="H356" s="11">
        <f>ROUND(
IF(L356="GANCHO",
   IF(I356&lt;=50,I356*1.1+4,IF(I356&lt;=120,I356*1.1+7,IF(I356&lt;=250,I356*1.1+11,I356*1.1+19))),
IF(L356="NORMAL",
   IF(I356&lt;=30,I356*1.15+2,IF(I356&lt;=80,I356*1.15+4,IF(I356&lt;=150,I356*1.15+6,I356*1.15+8))),
IF(L356="COMPLEMENTO",
   IF(I356&lt;=25,I356*1.25+1.5,IF(I356&lt;=60,I356*1.25+3,IF(I356&lt;=120,I356*1.25+4,I356*1.25+5))),
""))),2)</f>
        <v>2207.64</v>
      </c>
      <c r="I356" s="9">
        <f>($K$2+0.02)*Tabla1[[#This Row],[PRECIO $]]*1.18</f>
        <v>1912.7328</v>
      </c>
      <c r="J356" s="7">
        <f>+Tabla1[[#This Row],[PRECIO EN SOLES]]-Tabla1[[#This Row],[PC]]</f>
        <v>294.90719999999988</v>
      </c>
      <c r="K356" s="15"/>
      <c r="L356" s="15" t="str">
        <f t="shared" si="5"/>
        <v>NORMAL</v>
      </c>
    </row>
    <row r="357" spans="1:12" x14ac:dyDescent="0.25">
      <c r="A357" s="3" t="s">
        <v>5860</v>
      </c>
      <c r="B357" s="3" t="s">
        <v>5861</v>
      </c>
      <c r="C357" s="1">
        <v>2</v>
      </c>
      <c r="D357" s="1">
        <v>464.5</v>
      </c>
      <c r="E357" s="1" t="s">
        <v>184</v>
      </c>
      <c r="F357" s="1" t="s">
        <v>5862</v>
      </c>
      <c r="G357" s="3" t="s">
        <v>5863</v>
      </c>
      <c r="H357" s="11">
        <f>ROUND(
IF(L357="GANCHO",
   IF(I357&lt;=50,I357*1.1+4,IF(I357&lt;=120,I357*1.1+7,IF(I357&lt;=250,I357*1.1+11,I357*1.1+19))),
IF(L357="NORMAL",
   IF(I357&lt;=30,I357*1.15+2,IF(I357&lt;=80,I357*1.15+4,IF(I357&lt;=150,I357*1.15+6,I357*1.15+8))),
IF(L357="COMPLEMENTO",
   IF(I357&lt;=25,I357*1.25+1.5,IF(I357&lt;=60,I357*1.25+3,IF(I357&lt;=120,I357*1.25+4,I357*1.25+5))),
""))),2)</f>
        <v>2226.75</v>
      </c>
      <c r="I357" s="9">
        <f>($K$2+0.02)*Tabla1[[#This Row],[PRECIO $]]*1.18</f>
        <v>1929.3471999999999</v>
      </c>
      <c r="J357" s="7">
        <f>+Tabla1[[#This Row],[PRECIO EN SOLES]]-Tabla1[[#This Row],[PC]]</f>
        <v>297.40280000000007</v>
      </c>
      <c r="K357" s="15"/>
      <c r="L357" s="15" t="str">
        <f t="shared" si="5"/>
        <v>NORMAL</v>
      </c>
    </row>
    <row r="358" spans="1:12" x14ac:dyDescent="0.25">
      <c r="A358" s="3" t="s">
        <v>5377</v>
      </c>
      <c r="B358" s="3" t="s">
        <v>5378</v>
      </c>
      <c r="C358" s="1">
        <v>20</v>
      </c>
      <c r="D358" s="1">
        <v>76.7</v>
      </c>
      <c r="E358" s="1" t="s">
        <v>184</v>
      </c>
      <c r="F358" s="1" t="s">
        <v>5379</v>
      </c>
      <c r="G358" s="3" t="s">
        <v>5380</v>
      </c>
      <c r="H358" s="11">
        <f>ROUND(
IF(L358="GANCHO",
   IF(I358&lt;=50,I358*1.1+4,IF(I358&lt;=120,I358*1.1+7,IF(I358&lt;=250,I358*1.1+11,I358*1.1+19))),
IF(L358="NORMAL",
   IF(I358&lt;=30,I358*1.15+2,IF(I358&lt;=80,I358*1.15+4,IF(I358&lt;=150,I358*1.15+6,I358*1.15+8))),
IF(L358="COMPLEMENTO",
   IF(I358&lt;=25,I358*1.25+1.5,IF(I358&lt;=60,I358*1.25+3,IF(I358&lt;=120,I358*1.25+4,I358*1.25+5))),
""))),2)</f>
        <v>374.37</v>
      </c>
      <c r="I358" s="9">
        <f>($K$2+0.02)*Tabla1[[#This Row],[PRECIO $]]*1.18</f>
        <v>318.58112000000006</v>
      </c>
      <c r="J358" s="7">
        <f>+Tabla1[[#This Row],[PRECIO EN SOLES]]-Tabla1[[#This Row],[PC]]</f>
        <v>55.788879999999949</v>
      </c>
      <c r="K358" s="15"/>
      <c r="L358" s="15" t="str">
        <f t="shared" si="5"/>
        <v>NORMAL</v>
      </c>
    </row>
    <row r="359" spans="1:12" x14ac:dyDescent="0.25">
      <c r="A359" s="3" t="s">
        <v>5200</v>
      </c>
      <c r="B359" s="3" t="s">
        <v>5201</v>
      </c>
      <c r="C359" s="1">
        <v>0</v>
      </c>
      <c r="D359" s="1">
        <v>89.3</v>
      </c>
      <c r="E359" s="1" t="s">
        <v>184</v>
      </c>
      <c r="F359" s="1" t="s">
        <v>5202</v>
      </c>
      <c r="G359" s="3" t="s">
        <v>5203</v>
      </c>
      <c r="H359" s="11">
        <f>ROUND(
IF(L359="GANCHO",
   IF(I359&lt;=50,I359*1.1+4,IF(I359&lt;=120,I359*1.1+7,IF(I359&lt;=250,I359*1.1+11,I359*1.1+19))),
IF(L359="NORMAL",
   IF(I359&lt;=30,I359*1.15+2,IF(I359&lt;=80,I359*1.15+4,IF(I359&lt;=150,I359*1.15+6,I359*1.15+8))),
IF(L359="COMPLEMENTO",
   IF(I359&lt;=25,I359*1.25+1.5,IF(I359&lt;=60,I359*1.25+3,IF(I359&lt;=120,I359*1.25+4,I359*1.25+5))),
""))),2)</f>
        <v>434.55</v>
      </c>
      <c r="I359" s="9">
        <f>($K$2+0.02)*Tabla1[[#This Row],[PRECIO $]]*1.18</f>
        <v>370.91647999999998</v>
      </c>
      <c r="J359" s="7">
        <f>+Tabla1[[#This Row],[PRECIO EN SOLES]]-Tabla1[[#This Row],[PC]]</f>
        <v>63.633520000000033</v>
      </c>
      <c r="K359" s="15"/>
      <c r="L359" s="15" t="str">
        <f t="shared" si="5"/>
        <v>NORMAL</v>
      </c>
    </row>
    <row r="360" spans="1:12" x14ac:dyDescent="0.25">
      <c r="A360" s="3" t="s">
        <v>6424</v>
      </c>
      <c r="B360" s="3" t="s">
        <v>6425</v>
      </c>
      <c r="C360" s="1">
        <v>20</v>
      </c>
      <c r="D360" s="1">
        <v>117.5</v>
      </c>
      <c r="E360" s="1" t="s">
        <v>184</v>
      </c>
      <c r="F360" s="1" t="s">
        <v>6426</v>
      </c>
      <c r="G360" s="3"/>
      <c r="H360" s="11">
        <f>ROUND(
IF(L360="GANCHO",
   IF(I360&lt;=50,I360*1.1+4,IF(I360&lt;=120,I360*1.1+7,IF(I360&lt;=250,I360*1.1+11,I360*1.1+19))),
IF(L360="NORMAL",
   IF(I360&lt;=30,I360*1.15+2,IF(I360&lt;=80,I360*1.15+4,IF(I360&lt;=150,I360*1.15+6,I360*1.15+8))),
IF(L360="COMPLEMENTO",
   IF(I360&lt;=25,I360*1.25+1.5,IF(I360&lt;=60,I360*1.25+3,IF(I360&lt;=120,I360*1.25+4,I360*1.25+5))),
""))),2)</f>
        <v>569.26</v>
      </c>
      <c r="I360" s="9">
        <f>($K$2+0.02)*Tabla1[[#This Row],[PRECIO $]]*1.18</f>
        <v>488.048</v>
      </c>
      <c r="J360" s="7">
        <f>+Tabla1[[#This Row],[PRECIO EN SOLES]]-Tabla1[[#This Row],[PC]]</f>
        <v>81.211999999999989</v>
      </c>
      <c r="K360" s="15"/>
      <c r="L360" s="15" t="str">
        <f t="shared" si="5"/>
        <v>NORMAL</v>
      </c>
    </row>
    <row r="361" spans="1:12" x14ac:dyDescent="0.25">
      <c r="A361" s="3" t="s">
        <v>977</v>
      </c>
      <c r="B361" s="3" t="s">
        <v>978</v>
      </c>
      <c r="C361" s="1">
        <v>20</v>
      </c>
      <c r="D361" s="1">
        <v>119.3</v>
      </c>
      <c r="E361" s="1" t="s">
        <v>184</v>
      </c>
      <c r="F361" s="1" t="s">
        <v>2999</v>
      </c>
      <c r="G361" s="3" t="s">
        <v>2592</v>
      </c>
      <c r="H361" s="11">
        <f>ROUND(
IF(L361="GANCHO",
   IF(I361&lt;=50,I361*1.1+4,IF(I361&lt;=120,I361*1.1+7,IF(I361&lt;=250,I361*1.1+11,I361*1.1+19))),
IF(L361="NORMAL",
   IF(I361&lt;=30,I361*1.15+2,IF(I361&lt;=80,I361*1.15+4,IF(I361&lt;=150,I361*1.15+6,I361*1.15+8))),
IF(L361="COMPLEMENTO",
   IF(I361&lt;=25,I361*1.25+1.5,IF(I361&lt;=60,I361*1.25+3,IF(I361&lt;=120,I361*1.25+4,I361*1.25+5))),
""))),2)</f>
        <v>577.85</v>
      </c>
      <c r="I361" s="9">
        <f>($K$2+0.02)*Tabla1[[#This Row],[PRECIO $]]*1.18</f>
        <v>495.52447999999993</v>
      </c>
      <c r="J361" s="7">
        <f>+Tabla1[[#This Row],[PRECIO EN SOLES]]-Tabla1[[#This Row],[PC]]</f>
        <v>82.325520000000097</v>
      </c>
      <c r="K361" s="15"/>
      <c r="L361" s="15" t="str">
        <f t="shared" si="5"/>
        <v>NORMAL</v>
      </c>
    </row>
    <row r="362" spans="1:12" x14ac:dyDescent="0.25">
      <c r="A362" s="3" t="s">
        <v>5864</v>
      </c>
      <c r="B362" s="3" t="s">
        <v>5865</v>
      </c>
      <c r="C362" s="1">
        <v>10</v>
      </c>
      <c r="D362" s="1">
        <v>173.5</v>
      </c>
      <c r="E362" s="1" t="s">
        <v>184</v>
      </c>
      <c r="F362" s="1" t="s">
        <v>5866</v>
      </c>
      <c r="G362" s="3" t="s">
        <v>5867</v>
      </c>
      <c r="H362" s="11">
        <f>ROUND(
IF(L362="GANCHO",
   IF(I362&lt;=50,I362*1.1+4,IF(I362&lt;=120,I362*1.1+7,IF(I362&lt;=250,I362*1.1+11,I362*1.1+19))),
IF(L362="NORMAL",
   IF(I362&lt;=30,I362*1.15+2,IF(I362&lt;=80,I362*1.15+4,IF(I362&lt;=150,I362*1.15+6,I362*1.15+8))),
IF(L362="COMPLEMENTO",
   IF(I362&lt;=25,I362*1.25+1.5,IF(I362&lt;=60,I362*1.25+3,IF(I362&lt;=120,I362*1.25+4,I362*1.25+5))),
""))),2)</f>
        <v>836.75</v>
      </c>
      <c r="I362" s="9">
        <f>($K$2+0.02)*Tabla1[[#This Row],[PRECIO $]]*1.18</f>
        <v>720.64959999999996</v>
      </c>
      <c r="J362" s="7">
        <f>+Tabla1[[#This Row],[PRECIO EN SOLES]]-Tabla1[[#This Row],[PC]]</f>
        <v>116.10040000000004</v>
      </c>
      <c r="K362" s="15"/>
      <c r="L362" s="15" t="str">
        <f t="shared" si="5"/>
        <v>NORMAL</v>
      </c>
    </row>
    <row r="363" spans="1:12" x14ac:dyDescent="0.25">
      <c r="A363" s="3" t="s">
        <v>185</v>
      </c>
      <c r="B363" s="3" t="s">
        <v>186</v>
      </c>
      <c r="C363" s="1">
        <v>20</v>
      </c>
      <c r="D363" s="1">
        <v>173.3</v>
      </c>
      <c r="E363" s="1" t="s">
        <v>184</v>
      </c>
      <c r="F363" s="1" t="s">
        <v>3000</v>
      </c>
      <c r="G363" s="3" t="s">
        <v>187</v>
      </c>
      <c r="H363" s="11">
        <f>ROUND(
IF(L363="GANCHO",
   IF(I363&lt;=50,I363*1.1+4,IF(I363&lt;=120,I363*1.1+7,IF(I363&lt;=250,I363*1.1+11,I363*1.1+19))),
IF(L363="NORMAL",
   IF(I363&lt;=30,I363*1.15+2,IF(I363&lt;=80,I363*1.15+4,IF(I363&lt;=150,I363*1.15+6,I363*1.15+8))),
IF(L363="COMPLEMENTO",
   IF(I363&lt;=25,I363*1.25+1.5,IF(I363&lt;=60,I363*1.25+3,IF(I363&lt;=120,I363*1.25+4,I363*1.25+5))),
""))),2)</f>
        <v>835.79</v>
      </c>
      <c r="I363" s="9">
        <f>($K$2+0.02)*Tabla1[[#This Row],[PRECIO $]]*1.18</f>
        <v>719.81888000000004</v>
      </c>
      <c r="J363" s="7">
        <f>+Tabla1[[#This Row],[PRECIO EN SOLES]]-Tabla1[[#This Row],[PC]]</f>
        <v>115.97111999999993</v>
      </c>
      <c r="K363" s="15"/>
      <c r="L363" s="15" t="str">
        <f t="shared" si="5"/>
        <v>NORMAL</v>
      </c>
    </row>
    <row r="364" spans="1:12" x14ac:dyDescent="0.25">
      <c r="A364" s="3" t="s">
        <v>6064</v>
      </c>
      <c r="B364" s="3" t="s">
        <v>6065</v>
      </c>
      <c r="C364" s="1">
        <v>20</v>
      </c>
      <c r="D364" s="1">
        <v>232.5</v>
      </c>
      <c r="E364" s="1" t="s">
        <v>184</v>
      </c>
      <c r="F364" s="1" t="s">
        <v>6066</v>
      </c>
      <c r="G364" s="3" t="s">
        <v>6067</v>
      </c>
      <c r="H364" s="11">
        <f>ROUND(
IF(L364="GANCHO",
   IF(I364&lt;=50,I364*1.1+4,IF(I364&lt;=120,I364*1.1+7,IF(I364&lt;=250,I364*1.1+11,I364*1.1+19))),
IF(L364="NORMAL",
   IF(I364&lt;=30,I364*1.15+2,IF(I364&lt;=80,I364*1.15+4,IF(I364&lt;=150,I364*1.15+6,I364*1.15+8))),
IF(L364="COMPLEMENTO",
   IF(I364&lt;=25,I364*1.25+1.5,IF(I364&lt;=60,I364*1.25+3,IF(I364&lt;=120,I364*1.25+4,I364*1.25+5))),
""))),2)</f>
        <v>1118.57</v>
      </c>
      <c r="I364" s="9">
        <f>($K$2+0.02)*Tabla1[[#This Row],[PRECIO $]]*1.18</f>
        <v>965.71199999999988</v>
      </c>
      <c r="J364" s="7">
        <f>+Tabla1[[#This Row],[PRECIO EN SOLES]]-Tabla1[[#This Row],[PC]]</f>
        <v>152.85800000000006</v>
      </c>
      <c r="K364" s="15"/>
      <c r="L364" s="15" t="str">
        <f t="shared" si="5"/>
        <v>NORMAL</v>
      </c>
    </row>
    <row r="365" spans="1:12" x14ac:dyDescent="0.25">
      <c r="A365" s="3" t="s">
        <v>979</v>
      </c>
      <c r="B365" s="3" t="s">
        <v>980</v>
      </c>
      <c r="C365" s="1">
        <v>20</v>
      </c>
      <c r="D365" s="1">
        <v>234.5</v>
      </c>
      <c r="E365" s="1" t="s">
        <v>183</v>
      </c>
      <c r="F365" s="1" t="s">
        <v>3001</v>
      </c>
      <c r="G365" s="3" t="s">
        <v>981</v>
      </c>
      <c r="H365" s="11">
        <f>ROUND(
IF(L365="GANCHO",
   IF(I365&lt;=50,I365*1.1+4,IF(I365&lt;=120,I365*1.1+7,IF(I365&lt;=250,I365*1.1+11,I365*1.1+19))),
IF(L365="NORMAL",
   IF(I365&lt;=30,I365*1.15+2,IF(I365&lt;=80,I365*1.15+4,IF(I365&lt;=150,I365*1.15+6,I365*1.15+8))),
IF(L365="COMPLEMENTO",
   IF(I365&lt;=25,I365*1.25+1.5,IF(I365&lt;=60,I365*1.25+3,IF(I365&lt;=120,I365*1.25+4,I365*1.25+5))),
""))),2)</f>
        <v>1128.1199999999999</v>
      </c>
      <c r="I365" s="9">
        <f>($K$2+0.02)*Tabla1[[#This Row],[PRECIO $]]*1.18</f>
        <v>974.01920000000007</v>
      </c>
      <c r="J365" s="7">
        <f>+Tabla1[[#This Row],[PRECIO EN SOLES]]-Tabla1[[#This Row],[PC]]</f>
        <v>154.10079999999982</v>
      </c>
      <c r="K365" s="15"/>
      <c r="L365" s="15" t="str">
        <f t="shared" si="5"/>
        <v>NORMAL</v>
      </c>
    </row>
    <row r="366" spans="1:12" x14ac:dyDescent="0.25">
      <c r="A366" s="3" t="s">
        <v>5381</v>
      </c>
      <c r="B366" s="3" t="s">
        <v>5382</v>
      </c>
      <c r="C366" s="1">
        <v>17</v>
      </c>
      <c r="D366" s="1">
        <v>268.39999999999998</v>
      </c>
      <c r="E366" s="1" t="s">
        <v>183</v>
      </c>
      <c r="F366" s="1" t="s">
        <v>5383</v>
      </c>
      <c r="G366" s="3" t="s">
        <v>5384</v>
      </c>
      <c r="H366" s="11">
        <f>ROUND(
IF(L366="GANCHO",
   IF(I366&lt;=50,I366*1.1+4,IF(I366&lt;=120,I366*1.1+7,IF(I366&lt;=250,I366*1.1+11,I366*1.1+19))),
IF(L366="NORMAL",
   IF(I366&lt;=30,I366*1.15+2,IF(I366&lt;=80,I366*1.15+4,IF(I366&lt;=150,I366*1.15+6,I366*1.15+8))),
IF(L366="COMPLEMENTO",
   IF(I366&lt;=25,I366*1.25+1.5,IF(I366&lt;=60,I366*1.25+3,IF(I366&lt;=120,I366*1.25+4,I366*1.25+5))),
""))),2)</f>
        <v>1290.05</v>
      </c>
      <c r="I366" s="9">
        <f>($K$2+0.02)*Tabla1[[#This Row],[PRECIO $]]*1.18</f>
        <v>1114.8262399999999</v>
      </c>
      <c r="J366" s="7">
        <f>+Tabla1[[#This Row],[PRECIO EN SOLES]]-Tabla1[[#This Row],[PC]]</f>
        <v>175.22376000000008</v>
      </c>
      <c r="K366" s="15"/>
      <c r="L366" s="15" t="str">
        <f t="shared" si="5"/>
        <v>NORMAL</v>
      </c>
    </row>
    <row r="367" spans="1:12" x14ac:dyDescent="0.25">
      <c r="A367" s="3" t="s">
        <v>982</v>
      </c>
      <c r="B367" s="3" t="s">
        <v>983</v>
      </c>
      <c r="C367" s="1">
        <v>20</v>
      </c>
      <c r="D367" s="1">
        <v>254.3</v>
      </c>
      <c r="E367" s="1" t="s">
        <v>183</v>
      </c>
      <c r="F367" s="1" t="s">
        <v>3002</v>
      </c>
      <c r="G367" s="3" t="s">
        <v>984</v>
      </c>
      <c r="H367" s="11">
        <f>ROUND(
IF(L367="GANCHO",
   IF(I367&lt;=50,I367*1.1+4,IF(I367&lt;=120,I367*1.1+7,IF(I367&lt;=250,I367*1.1+11,I367*1.1+19))),
IF(L367="NORMAL",
   IF(I367&lt;=30,I367*1.15+2,IF(I367&lt;=80,I367*1.15+4,IF(I367&lt;=150,I367*1.15+6,I367*1.15+8))),
IF(L367="COMPLEMENTO",
   IF(I367&lt;=25,I367*1.25+1.5,IF(I367&lt;=60,I367*1.25+3,IF(I367&lt;=120,I367*1.25+4,I367*1.25+5))),
""))),2)</f>
        <v>1222.7</v>
      </c>
      <c r="I367" s="9">
        <f>($K$2+0.02)*Tabla1[[#This Row],[PRECIO $]]*1.18</f>
        <v>1056.2604800000001</v>
      </c>
      <c r="J367" s="7">
        <f>+Tabla1[[#This Row],[PRECIO EN SOLES]]-Tabla1[[#This Row],[PC]]</f>
        <v>166.4395199999999</v>
      </c>
      <c r="K367" s="15"/>
      <c r="L367" s="15" t="str">
        <f t="shared" si="5"/>
        <v>NORMAL</v>
      </c>
    </row>
    <row r="368" spans="1:12" x14ac:dyDescent="0.25">
      <c r="A368" s="3" t="s">
        <v>985</v>
      </c>
      <c r="B368" s="3" t="s">
        <v>986</v>
      </c>
      <c r="C368" s="1">
        <v>4</v>
      </c>
      <c r="D368" s="1">
        <v>283.3</v>
      </c>
      <c r="E368" s="1" t="s">
        <v>183</v>
      </c>
      <c r="F368" s="1" t="s">
        <v>3003</v>
      </c>
      <c r="G368" s="3" t="s">
        <v>987</v>
      </c>
      <c r="H368" s="11">
        <f>ROUND(
IF(L368="GANCHO",
   IF(I368&lt;=50,I368*1.1+4,IF(I368&lt;=120,I368*1.1+7,IF(I368&lt;=250,I368*1.1+11,I368*1.1+19))),
IF(L368="NORMAL",
   IF(I368&lt;=30,I368*1.15+2,IF(I368&lt;=80,I368*1.15+4,IF(I368&lt;=150,I368*1.15+6,I368*1.15+8))),
IF(L368="COMPLEMENTO",
   IF(I368&lt;=25,I368*1.25+1.5,IF(I368&lt;=60,I368*1.25+3,IF(I368&lt;=120,I368*1.25+4,I368*1.25+5))),
""))),2)</f>
        <v>1361.22</v>
      </c>
      <c r="I368" s="9">
        <f>($K$2+0.02)*Tabla1[[#This Row],[PRECIO $]]*1.18</f>
        <v>1176.71488</v>
      </c>
      <c r="J368" s="7">
        <f>+Tabla1[[#This Row],[PRECIO EN SOLES]]-Tabla1[[#This Row],[PC]]</f>
        <v>184.50512000000003</v>
      </c>
      <c r="K368" s="15"/>
      <c r="L368" s="15" t="str">
        <f t="shared" si="5"/>
        <v>NORMAL</v>
      </c>
    </row>
    <row r="369" spans="1:12" x14ac:dyDescent="0.25">
      <c r="A369" s="3" t="s">
        <v>5204</v>
      </c>
      <c r="B369" s="3" t="s">
        <v>5205</v>
      </c>
      <c r="C369" s="1">
        <v>20</v>
      </c>
      <c r="D369" s="1">
        <v>325</v>
      </c>
      <c r="E369" s="1" t="s">
        <v>183</v>
      </c>
      <c r="F369" s="1" t="s">
        <v>5206</v>
      </c>
      <c r="G369" s="3" t="s">
        <v>5207</v>
      </c>
      <c r="H369" s="11">
        <f>ROUND(
IF(L369="GANCHO",
   IF(I369&lt;=50,I369*1.1+4,IF(I369&lt;=120,I369*1.1+7,IF(I369&lt;=250,I369*1.1+11,I369*1.1+19))),
IF(L369="NORMAL",
   IF(I369&lt;=30,I369*1.15+2,IF(I369&lt;=80,I369*1.15+4,IF(I369&lt;=150,I369*1.15+6,I369*1.15+8))),
IF(L369="COMPLEMENTO",
   IF(I369&lt;=25,I369*1.25+1.5,IF(I369&lt;=60,I369*1.25+3,IF(I369&lt;=120,I369*1.25+4,I369*1.25+5))),
""))),2)</f>
        <v>1560.41</v>
      </c>
      <c r="I369" s="9">
        <f>($K$2+0.02)*Tabla1[[#This Row],[PRECIO $]]*1.18</f>
        <v>1349.9199999999998</v>
      </c>
      <c r="J369" s="7">
        <f>+Tabla1[[#This Row],[PRECIO EN SOLES]]-Tabla1[[#This Row],[PC]]</f>
        <v>210.49000000000024</v>
      </c>
      <c r="K369" s="15"/>
      <c r="L369" s="15" t="str">
        <f t="shared" si="5"/>
        <v>NORMAL</v>
      </c>
    </row>
    <row r="370" spans="1:12" x14ac:dyDescent="0.25">
      <c r="A370" s="3" t="s">
        <v>988</v>
      </c>
      <c r="B370" s="3" t="s">
        <v>989</v>
      </c>
      <c r="C370" s="1">
        <v>0</v>
      </c>
      <c r="D370" s="1">
        <v>450.5</v>
      </c>
      <c r="E370" s="1" t="s">
        <v>183</v>
      </c>
      <c r="F370" s="1" t="s">
        <v>3004</v>
      </c>
      <c r="G370" s="3" t="s">
        <v>990</v>
      </c>
      <c r="H370" s="11">
        <f>ROUND(
IF(L370="GANCHO",
   IF(I370&lt;=50,I370*1.1+4,IF(I370&lt;=120,I370*1.1+7,IF(I370&lt;=250,I370*1.1+11,I370*1.1+19))),
IF(L370="NORMAL",
   IF(I370&lt;=30,I370*1.15+2,IF(I370&lt;=80,I370*1.15+4,IF(I370&lt;=150,I370*1.15+6,I370*1.15+8))),
IF(L370="COMPLEMENTO",
   IF(I370&lt;=25,I370*1.25+1.5,IF(I370&lt;=60,I370*1.25+3,IF(I370&lt;=120,I370*1.25+4,I370*1.25+5))),
""))),2)</f>
        <v>2159.88</v>
      </c>
      <c r="I370" s="9">
        <f>($K$2+0.02)*Tabla1[[#This Row],[PRECIO $]]*1.18</f>
        <v>1871.1967999999999</v>
      </c>
      <c r="J370" s="7">
        <f>+Tabla1[[#This Row],[PRECIO EN SOLES]]-Tabla1[[#This Row],[PC]]</f>
        <v>288.68320000000017</v>
      </c>
      <c r="K370" s="15"/>
      <c r="L370" s="15" t="str">
        <f t="shared" si="5"/>
        <v>NORMAL</v>
      </c>
    </row>
    <row r="371" spans="1:12" x14ac:dyDescent="0.25">
      <c r="A371" s="3" t="s">
        <v>991</v>
      </c>
      <c r="B371" s="3" t="s">
        <v>992</v>
      </c>
      <c r="C371" s="1">
        <v>7</v>
      </c>
      <c r="D371" s="1">
        <v>216.4</v>
      </c>
      <c r="E371" s="1" t="s">
        <v>183</v>
      </c>
      <c r="F371" s="1" t="s">
        <v>3005</v>
      </c>
      <c r="G371" s="3" t="s">
        <v>993</v>
      </c>
      <c r="H371" s="11">
        <f>ROUND(
IF(L371="GANCHO",
   IF(I371&lt;=50,I371*1.1+4,IF(I371&lt;=120,I371*1.1+7,IF(I371&lt;=250,I371*1.1+11,I371*1.1+19))),
IF(L371="NORMAL",
   IF(I371&lt;=30,I371*1.15+2,IF(I371&lt;=80,I371*1.15+4,IF(I371&lt;=150,I371*1.15+6,I371*1.15+8))),
IF(L371="COMPLEMENTO",
   IF(I371&lt;=25,I371*1.25+1.5,IF(I371&lt;=60,I371*1.25+3,IF(I371&lt;=120,I371*1.25+4,I371*1.25+5))),
""))),2)</f>
        <v>1041.6600000000001</v>
      </c>
      <c r="I371" s="9">
        <f>($K$2+0.02)*Tabla1[[#This Row],[PRECIO $]]*1.18</f>
        <v>898.83904000000007</v>
      </c>
      <c r="J371" s="7">
        <f>+Tabla1[[#This Row],[PRECIO EN SOLES]]-Tabla1[[#This Row],[PC]]</f>
        <v>142.82096000000001</v>
      </c>
      <c r="K371" s="15"/>
      <c r="L371" s="15" t="str">
        <f t="shared" si="5"/>
        <v>NORMAL</v>
      </c>
    </row>
    <row r="372" spans="1:12" x14ac:dyDescent="0.25">
      <c r="A372" s="3" t="s">
        <v>188</v>
      </c>
      <c r="B372" s="3" t="s">
        <v>189</v>
      </c>
      <c r="C372" s="1">
        <v>20</v>
      </c>
      <c r="D372" s="1">
        <v>60.5</v>
      </c>
      <c r="E372" s="1" t="s">
        <v>183</v>
      </c>
      <c r="F372" s="1" t="s">
        <v>3006</v>
      </c>
      <c r="G372" s="3" t="s">
        <v>190</v>
      </c>
      <c r="H372" s="11">
        <f>ROUND(
IF(L372="GANCHO",
   IF(I372&lt;=50,I372*1.1+4,IF(I372&lt;=120,I372*1.1+7,IF(I372&lt;=250,I372*1.1+11,I372*1.1+19))),
IF(L372="NORMAL",
   IF(I372&lt;=30,I372*1.15+2,IF(I372&lt;=80,I372*1.15+4,IF(I372&lt;=150,I372*1.15+6,I372*1.15+8))),
IF(L372="COMPLEMENTO",
   IF(I372&lt;=25,I372*1.25+1.5,IF(I372&lt;=60,I372*1.25+3,IF(I372&lt;=120,I372*1.25+4,I372*1.25+5))),
""))),2)</f>
        <v>296.99</v>
      </c>
      <c r="I372" s="9">
        <f>($K$2+0.02)*Tabla1[[#This Row],[PRECIO $]]*1.18</f>
        <v>251.2928</v>
      </c>
      <c r="J372" s="7">
        <f>+Tabla1[[#This Row],[PRECIO EN SOLES]]-Tabla1[[#This Row],[PC]]</f>
        <v>45.697200000000009</v>
      </c>
      <c r="K372" s="15"/>
      <c r="L372" s="15" t="str">
        <f t="shared" si="5"/>
        <v>NORMAL</v>
      </c>
    </row>
    <row r="373" spans="1:12" x14ac:dyDescent="0.25">
      <c r="A373" s="3" t="s">
        <v>6427</v>
      </c>
      <c r="B373" s="3" t="s">
        <v>6428</v>
      </c>
      <c r="C373" s="1">
        <v>20</v>
      </c>
      <c r="D373" s="1">
        <v>64.2</v>
      </c>
      <c r="E373" s="1" t="s">
        <v>183</v>
      </c>
      <c r="F373" s="1" t="s">
        <v>6429</v>
      </c>
      <c r="G373" s="3"/>
      <c r="H373" s="11">
        <f>ROUND(
IF(L373="GANCHO",
   IF(I373&lt;=50,I373*1.1+4,IF(I373&lt;=120,I373*1.1+7,IF(I373&lt;=250,I373*1.1+11,I373*1.1+19))),
IF(L373="NORMAL",
   IF(I373&lt;=30,I373*1.15+2,IF(I373&lt;=80,I373*1.15+4,IF(I373&lt;=150,I373*1.15+6,I373*1.15+8))),
IF(L373="COMPLEMENTO",
   IF(I373&lt;=25,I373*1.25+1.5,IF(I373&lt;=60,I373*1.25+3,IF(I373&lt;=120,I373*1.25+4,I373*1.25+5))),
""))),2)</f>
        <v>314.66000000000003</v>
      </c>
      <c r="I373" s="9">
        <f>($K$2+0.02)*Tabla1[[#This Row],[PRECIO $]]*1.18</f>
        <v>266.66111999999998</v>
      </c>
      <c r="J373" s="7">
        <f>+Tabla1[[#This Row],[PRECIO EN SOLES]]-Tabla1[[#This Row],[PC]]</f>
        <v>47.998880000000042</v>
      </c>
      <c r="K373" s="15"/>
      <c r="L373" s="15" t="str">
        <f t="shared" si="5"/>
        <v>NORMAL</v>
      </c>
    </row>
    <row r="374" spans="1:12" x14ac:dyDescent="0.25">
      <c r="A374" s="3" t="s">
        <v>5208</v>
      </c>
      <c r="B374" s="3" t="s">
        <v>5209</v>
      </c>
      <c r="C374" s="1">
        <v>20</v>
      </c>
      <c r="D374" s="1">
        <v>120.3</v>
      </c>
      <c r="E374" s="1" t="s">
        <v>183</v>
      </c>
      <c r="F374" s="1" t="s">
        <v>5210</v>
      </c>
      <c r="G374" s="3" t="s">
        <v>5211</v>
      </c>
      <c r="H374" s="11">
        <f>ROUND(
IF(L374="GANCHO",
   IF(I374&lt;=50,I374*1.1+4,IF(I374&lt;=120,I374*1.1+7,IF(I374&lt;=250,I374*1.1+11,I374*1.1+19))),
IF(L374="NORMAL",
   IF(I374&lt;=30,I374*1.15+2,IF(I374&lt;=80,I374*1.15+4,IF(I374&lt;=150,I374*1.15+6,I374*1.15+8))),
IF(L374="COMPLEMENTO",
   IF(I374&lt;=25,I374*1.25+1.5,IF(I374&lt;=60,I374*1.25+3,IF(I374&lt;=120,I374*1.25+4,I374*1.25+5))),
""))),2)</f>
        <v>582.63</v>
      </c>
      <c r="I374" s="9">
        <f>($K$2+0.02)*Tabla1[[#This Row],[PRECIO $]]*1.18</f>
        <v>499.67807999999997</v>
      </c>
      <c r="J374" s="7">
        <f>+Tabla1[[#This Row],[PRECIO EN SOLES]]-Tabla1[[#This Row],[PC]]</f>
        <v>82.95192000000003</v>
      </c>
      <c r="K374" s="15"/>
      <c r="L374" s="15" t="str">
        <f t="shared" si="5"/>
        <v>NORMAL</v>
      </c>
    </row>
    <row r="375" spans="1:12" x14ac:dyDescent="0.25">
      <c r="A375" s="3" t="s">
        <v>6430</v>
      </c>
      <c r="B375" s="3" t="s">
        <v>6431</v>
      </c>
      <c r="C375" s="1">
        <v>19</v>
      </c>
      <c r="D375" s="1">
        <v>122.3</v>
      </c>
      <c r="E375" s="1" t="s">
        <v>183</v>
      </c>
      <c r="F375" s="1" t="s">
        <v>6432</v>
      </c>
      <c r="G375" s="3" t="s">
        <v>6433</v>
      </c>
      <c r="H375" s="11">
        <f>ROUND(
IF(L375="GANCHO",
   IF(I375&lt;=50,I375*1.1+4,IF(I375&lt;=120,I375*1.1+7,IF(I375&lt;=250,I375*1.1+11,I375*1.1+19))),
IF(L375="NORMAL",
   IF(I375&lt;=30,I375*1.15+2,IF(I375&lt;=80,I375*1.15+4,IF(I375&lt;=150,I375*1.15+6,I375*1.15+8))),
IF(L375="COMPLEMENTO",
   IF(I375&lt;=25,I375*1.25+1.5,IF(I375&lt;=60,I375*1.25+3,IF(I375&lt;=120,I375*1.25+4,I375*1.25+5))),
""))),2)</f>
        <v>592.17999999999995</v>
      </c>
      <c r="I375" s="9">
        <f>($K$2+0.02)*Tabla1[[#This Row],[PRECIO $]]*1.18</f>
        <v>507.98527999999993</v>
      </c>
      <c r="J375" s="7">
        <f>+Tabla1[[#This Row],[PRECIO EN SOLES]]-Tabla1[[#This Row],[PC]]</f>
        <v>84.194720000000018</v>
      </c>
      <c r="K375" s="15"/>
      <c r="L375" s="15" t="str">
        <f t="shared" si="5"/>
        <v>NORMAL</v>
      </c>
    </row>
    <row r="376" spans="1:12" x14ac:dyDescent="0.25">
      <c r="A376" s="3" t="s">
        <v>2593</v>
      </c>
      <c r="B376" s="3" t="s">
        <v>2594</v>
      </c>
      <c r="C376" s="1">
        <v>20</v>
      </c>
      <c r="D376" s="1">
        <v>76.2</v>
      </c>
      <c r="E376" s="1" t="s">
        <v>183</v>
      </c>
      <c r="F376" s="1" t="s">
        <v>3007</v>
      </c>
      <c r="G376" s="3" t="s">
        <v>2595</v>
      </c>
      <c r="H376" s="11">
        <f>ROUND(
IF(L376="GANCHO",
   IF(I376&lt;=50,I376*1.1+4,IF(I376&lt;=120,I376*1.1+7,IF(I376&lt;=250,I376*1.1+11,I376*1.1+19))),
IF(L376="NORMAL",
   IF(I376&lt;=30,I376*1.15+2,IF(I376&lt;=80,I376*1.15+4,IF(I376&lt;=150,I376*1.15+6,I376*1.15+8))),
IF(L376="COMPLEMENTO",
   IF(I376&lt;=25,I376*1.25+1.5,IF(I376&lt;=60,I376*1.25+3,IF(I376&lt;=120,I376*1.25+4,I376*1.25+5))),
""))),2)</f>
        <v>371.98</v>
      </c>
      <c r="I376" s="9">
        <f>($K$2+0.02)*Tabla1[[#This Row],[PRECIO $]]*1.18</f>
        <v>316.50431999999995</v>
      </c>
      <c r="J376" s="7">
        <f>+Tabla1[[#This Row],[PRECIO EN SOLES]]-Tabla1[[#This Row],[PC]]</f>
        <v>55.475680000000068</v>
      </c>
      <c r="K376" s="15"/>
      <c r="L376" s="15" t="str">
        <f t="shared" si="5"/>
        <v>NORMAL</v>
      </c>
    </row>
    <row r="377" spans="1:12" x14ac:dyDescent="0.25">
      <c r="A377" s="3" t="s">
        <v>5212</v>
      </c>
      <c r="B377" s="3" t="s">
        <v>5213</v>
      </c>
      <c r="C377" s="1">
        <v>20</v>
      </c>
      <c r="D377" s="1">
        <v>70</v>
      </c>
      <c r="E377" s="1" t="s">
        <v>182</v>
      </c>
      <c r="F377" s="1" t="s">
        <v>5214</v>
      </c>
      <c r="G377" s="3" t="s">
        <v>5710</v>
      </c>
      <c r="H377" s="11">
        <f>ROUND(
IF(L377="GANCHO",
   IF(I377&lt;=50,I377*1.1+4,IF(I377&lt;=120,I377*1.1+7,IF(I377&lt;=250,I377*1.1+11,I377*1.1+19))),
IF(L377="NORMAL",
   IF(I377&lt;=30,I377*1.15+2,IF(I377&lt;=80,I377*1.15+4,IF(I377&lt;=150,I377*1.15+6,I377*1.15+8))),
IF(L377="COMPLEMENTO",
   IF(I377&lt;=25,I377*1.25+1.5,IF(I377&lt;=60,I377*1.25+3,IF(I377&lt;=120,I377*1.25+4,I377*1.25+5))),
""))),2)</f>
        <v>342.36</v>
      </c>
      <c r="I377" s="9">
        <f>($K$2+0.02)*Tabla1[[#This Row],[PRECIO $]]*1.18</f>
        <v>290.75200000000001</v>
      </c>
      <c r="J377" s="7">
        <f>+Tabla1[[#This Row],[PRECIO EN SOLES]]-Tabla1[[#This Row],[PC]]</f>
        <v>51.608000000000004</v>
      </c>
      <c r="K377" s="15"/>
      <c r="L377" s="15" t="str">
        <f t="shared" si="5"/>
        <v>NORMAL</v>
      </c>
    </row>
    <row r="378" spans="1:12" x14ac:dyDescent="0.25">
      <c r="A378" s="3" t="s">
        <v>191</v>
      </c>
      <c r="B378" s="3" t="s">
        <v>192</v>
      </c>
      <c r="C378" s="1">
        <v>8</v>
      </c>
      <c r="D378" s="1">
        <v>2.0099999999999998</v>
      </c>
      <c r="E378" s="1" t="s">
        <v>193</v>
      </c>
      <c r="F378" s="1" t="s">
        <v>3008</v>
      </c>
      <c r="G378" s="3" t="s">
        <v>194</v>
      </c>
      <c r="H378" s="11">
        <f>ROUND(
IF(L378="GANCHO",
   IF(I378&lt;=50,I378*1.1+4,IF(I378&lt;=120,I378*1.1+7,IF(I378&lt;=250,I378*1.1+11,I378*1.1+19))),
IF(L378="NORMAL",
   IF(I378&lt;=30,I378*1.15+2,IF(I378&lt;=80,I378*1.15+4,IF(I378&lt;=150,I378*1.15+6,I378*1.15+8))),
IF(L378="COMPLEMENTO",
   IF(I378&lt;=25,I378*1.25+1.5,IF(I378&lt;=60,I378*1.25+3,IF(I378&lt;=120,I378*1.25+4,I378*1.25+5))),
""))),2)</f>
        <v>11.6</v>
      </c>
      <c r="I378" s="9">
        <f>($K$2+0.02)*Tabla1[[#This Row],[PRECIO $]]*1.18</f>
        <v>8.3487359999999988</v>
      </c>
      <c r="J378" s="7">
        <f>+Tabla1[[#This Row],[PRECIO EN SOLES]]-Tabla1[[#This Row],[PC]]</f>
        <v>3.2512640000000008</v>
      </c>
      <c r="K378" s="15"/>
      <c r="L378" s="15" t="str">
        <f t="shared" si="5"/>
        <v>NORMAL</v>
      </c>
    </row>
    <row r="379" spans="1:12" x14ac:dyDescent="0.25">
      <c r="A379" s="3" t="s">
        <v>994</v>
      </c>
      <c r="B379" s="3" t="s">
        <v>995</v>
      </c>
      <c r="C379" s="1">
        <v>1</v>
      </c>
      <c r="D379" s="1">
        <v>140.30000000000001</v>
      </c>
      <c r="E379" s="1" t="s">
        <v>193</v>
      </c>
      <c r="F379" s="1" t="s">
        <v>3009</v>
      </c>
      <c r="G379" s="3" t="s">
        <v>996</v>
      </c>
      <c r="H379" s="11">
        <f>ROUND(
IF(L379="GANCHO",
   IF(I379&lt;=50,I379*1.1+4,IF(I379&lt;=120,I379*1.1+7,IF(I379&lt;=250,I379*1.1+11,I379*1.1+19))),
IF(L379="NORMAL",
   IF(I379&lt;=30,I379*1.15+2,IF(I379&lt;=80,I379*1.15+4,IF(I379&lt;=150,I379*1.15+6,I379*1.15+8))),
IF(L379="COMPLEMENTO",
   IF(I379&lt;=25,I379*1.25+1.5,IF(I379&lt;=60,I379*1.25+3,IF(I379&lt;=120,I379*1.25+4,I379*1.25+5))),
""))),2)</f>
        <v>678.16</v>
      </c>
      <c r="I379" s="9">
        <f>($K$2+0.02)*Tabla1[[#This Row],[PRECIO $]]*1.18</f>
        <v>582.75008000000003</v>
      </c>
      <c r="J379" s="7">
        <f>+Tabla1[[#This Row],[PRECIO EN SOLES]]-Tabla1[[#This Row],[PC]]</f>
        <v>95.409919999999943</v>
      </c>
      <c r="K379" s="15"/>
      <c r="L379" s="15" t="str">
        <f t="shared" si="5"/>
        <v>NORMAL</v>
      </c>
    </row>
    <row r="380" spans="1:12" x14ac:dyDescent="0.25">
      <c r="A380" s="3" t="s">
        <v>197</v>
      </c>
      <c r="B380" s="3" t="s">
        <v>198</v>
      </c>
      <c r="C380" s="1">
        <v>20</v>
      </c>
      <c r="D380" s="1">
        <v>134.30000000000001</v>
      </c>
      <c r="E380" s="1" t="s">
        <v>193</v>
      </c>
      <c r="F380" s="1" t="s">
        <v>3010</v>
      </c>
      <c r="G380" s="3" t="s">
        <v>199</v>
      </c>
      <c r="H380" s="11">
        <f>ROUND(
IF(L380="GANCHO",
   IF(I380&lt;=50,I380*1.1+4,IF(I380&lt;=120,I380*1.1+7,IF(I380&lt;=250,I380*1.1+11,I380*1.1+19))),
IF(L380="NORMAL",
   IF(I380&lt;=30,I380*1.15+2,IF(I380&lt;=80,I380*1.15+4,IF(I380&lt;=150,I380*1.15+6,I380*1.15+8))),
IF(L380="COMPLEMENTO",
   IF(I380&lt;=25,I380*1.25+1.5,IF(I380&lt;=60,I380*1.25+3,IF(I380&lt;=120,I380*1.25+4,I380*1.25+5))),
""))),2)</f>
        <v>649.5</v>
      </c>
      <c r="I380" s="9">
        <f>($K$2+0.02)*Tabla1[[#This Row],[PRECIO $]]*1.18</f>
        <v>557.82848000000001</v>
      </c>
      <c r="J380" s="7">
        <f>+Tabla1[[#This Row],[PRECIO EN SOLES]]-Tabla1[[#This Row],[PC]]</f>
        <v>91.671519999999987</v>
      </c>
      <c r="K380" s="15"/>
      <c r="L380" s="15" t="str">
        <f t="shared" si="5"/>
        <v>NORMAL</v>
      </c>
    </row>
    <row r="381" spans="1:12" x14ac:dyDescent="0.25">
      <c r="A381" s="3" t="s">
        <v>200</v>
      </c>
      <c r="B381" s="3" t="s">
        <v>201</v>
      </c>
      <c r="C381" s="1">
        <v>20</v>
      </c>
      <c r="D381" s="1">
        <v>232</v>
      </c>
      <c r="E381" s="1" t="s">
        <v>193</v>
      </c>
      <c r="F381" s="1" t="s">
        <v>3011</v>
      </c>
      <c r="G381" s="3" t="s">
        <v>202</v>
      </c>
      <c r="H381" s="11">
        <f>ROUND(
IF(L381="GANCHO",
   IF(I381&lt;=50,I381*1.1+4,IF(I381&lt;=120,I381*1.1+7,IF(I381&lt;=250,I381*1.1+11,I381*1.1+19))),
IF(L381="NORMAL",
   IF(I381&lt;=30,I381*1.15+2,IF(I381&lt;=80,I381*1.15+4,IF(I381&lt;=150,I381*1.15+6,I381*1.15+8))),
IF(L381="COMPLEMENTO",
   IF(I381&lt;=25,I381*1.25+1.5,IF(I381&lt;=60,I381*1.25+3,IF(I381&lt;=120,I381*1.25+4,I381*1.25+5))),
""))),2)</f>
        <v>1116.18</v>
      </c>
      <c r="I381" s="9">
        <f>($K$2+0.02)*Tabla1[[#This Row],[PRECIO $]]*1.18</f>
        <v>963.63519999999994</v>
      </c>
      <c r="J381" s="7">
        <f>+Tabla1[[#This Row],[PRECIO EN SOLES]]-Tabla1[[#This Row],[PC]]</f>
        <v>152.54480000000012</v>
      </c>
      <c r="K381" s="15"/>
      <c r="L381" s="15" t="str">
        <f t="shared" si="5"/>
        <v>NORMAL</v>
      </c>
    </row>
    <row r="382" spans="1:12" x14ac:dyDescent="0.25">
      <c r="A382" s="3" t="s">
        <v>203</v>
      </c>
      <c r="B382" s="3" t="s">
        <v>204</v>
      </c>
      <c r="C382" s="1">
        <v>20</v>
      </c>
      <c r="D382" s="1">
        <v>134.30000000000001</v>
      </c>
      <c r="E382" s="1" t="s">
        <v>193</v>
      </c>
      <c r="F382" s="1" t="s">
        <v>3012</v>
      </c>
      <c r="G382" s="3" t="s">
        <v>205</v>
      </c>
      <c r="H382" s="11">
        <f>ROUND(
IF(L382="GANCHO",
   IF(I382&lt;=50,I382*1.1+4,IF(I382&lt;=120,I382*1.1+7,IF(I382&lt;=250,I382*1.1+11,I382*1.1+19))),
IF(L382="NORMAL",
   IF(I382&lt;=30,I382*1.15+2,IF(I382&lt;=80,I382*1.15+4,IF(I382&lt;=150,I382*1.15+6,I382*1.15+8))),
IF(L382="COMPLEMENTO",
   IF(I382&lt;=25,I382*1.25+1.5,IF(I382&lt;=60,I382*1.25+3,IF(I382&lt;=120,I382*1.25+4,I382*1.25+5))),
""))),2)</f>
        <v>649.5</v>
      </c>
      <c r="I382" s="9">
        <f>($K$2+0.02)*Tabla1[[#This Row],[PRECIO $]]*1.18</f>
        <v>557.82848000000001</v>
      </c>
      <c r="J382" s="7">
        <f>+Tabla1[[#This Row],[PRECIO EN SOLES]]-Tabla1[[#This Row],[PC]]</f>
        <v>91.671519999999987</v>
      </c>
      <c r="K382" s="15"/>
      <c r="L382" s="15" t="str">
        <f t="shared" si="5"/>
        <v>NORMAL</v>
      </c>
    </row>
    <row r="383" spans="1:12" x14ac:dyDescent="0.25">
      <c r="A383" s="3" t="s">
        <v>206</v>
      </c>
      <c r="B383" s="3" t="s">
        <v>207</v>
      </c>
      <c r="C383" s="1">
        <v>20</v>
      </c>
      <c r="D383" s="1">
        <v>232</v>
      </c>
      <c r="E383" s="1" t="s">
        <v>193</v>
      </c>
      <c r="F383" s="1" t="s">
        <v>3013</v>
      </c>
      <c r="G383" s="3" t="s">
        <v>208</v>
      </c>
      <c r="H383" s="11">
        <f>ROUND(
IF(L383="GANCHO",
   IF(I383&lt;=50,I383*1.1+4,IF(I383&lt;=120,I383*1.1+7,IF(I383&lt;=250,I383*1.1+11,I383*1.1+19))),
IF(L383="NORMAL",
   IF(I383&lt;=30,I383*1.15+2,IF(I383&lt;=80,I383*1.15+4,IF(I383&lt;=150,I383*1.15+6,I383*1.15+8))),
IF(L383="COMPLEMENTO",
   IF(I383&lt;=25,I383*1.25+1.5,IF(I383&lt;=60,I383*1.25+3,IF(I383&lt;=120,I383*1.25+4,I383*1.25+5))),
""))),2)</f>
        <v>1116.18</v>
      </c>
      <c r="I383" s="9">
        <f>($K$2+0.02)*Tabla1[[#This Row],[PRECIO $]]*1.18</f>
        <v>963.63519999999994</v>
      </c>
      <c r="J383" s="7">
        <f>+Tabla1[[#This Row],[PRECIO EN SOLES]]-Tabla1[[#This Row],[PC]]</f>
        <v>152.54480000000012</v>
      </c>
      <c r="K383" s="15"/>
      <c r="L383" s="15" t="str">
        <f t="shared" si="5"/>
        <v>NORMAL</v>
      </c>
    </row>
    <row r="384" spans="1:12" x14ac:dyDescent="0.25">
      <c r="A384" s="3" t="s">
        <v>209</v>
      </c>
      <c r="B384" s="3" t="s">
        <v>210</v>
      </c>
      <c r="C384" s="1">
        <v>20</v>
      </c>
      <c r="D384" s="1">
        <v>162.30000000000001</v>
      </c>
      <c r="E384" s="1" t="s">
        <v>193</v>
      </c>
      <c r="F384" s="1" t="s">
        <v>3014</v>
      </c>
      <c r="G384" s="3" t="s">
        <v>211</v>
      </c>
      <c r="H384" s="11">
        <f>ROUND(
IF(L384="GANCHO",
   IF(I384&lt;=50,I384*1.1+4,IF(I384&lt;=120,I384*1.1+7,IF(I384&lt;=250,I384*1.1+11,I384*1.1+19))),
IF(L384="NORMAL",
   IF(I384&lt;=30,I384*1.15+2,IF(I384&lt;=80,I384*1.15+4,IF(I384&lt;=150,I384*1.15+6,I384*1.15+8))),
IF(L384="COMPLEMENTO",
   IF(I384&lt;=25,I384*1.25+1.5,IF(I384&lt;=60,I384*1.25+3,IF(I384&lt;=120,I384*1.25+4,I384*1.25+5))),
""))),2)</f>
        <v>783.25</v>
      </c>
      <c r="I384" s="9">
        <f>($K$2+0.02)*Tabla1[[#This Row],[PRECIO $]]*1.18</f>
        <v>674.12927999999999</v>
      </c>
      <c r="J384" s="7">
        <f>+Tabla1[[#This Row],[PRECIO EN SOLES]]-Tabla1[[#This Row],[PC]]</f>
        <v>109.12072000000001</v>
      </c>
      <c r="K384" s="15"/>
      <c r="L384" s="15" t="str">
        <f t="shared" si="5"/>
        <v>NORMAL</v>
      </c>
    </row>
    <row r="385" spans="1:12" x14ac:dyDescent="0.25">
      <c r="A385" s="3" t="s">
        <v>597</v>
      </c>
      <c r="B385" s="3" t="s">
        <v>598</v>
      </c>
      <c r="C385" s="1">
        <v>20</v>
      </c>
      <c r="D385" s="1">
        <v>275.5</v>
      </c>
      <c r="E385" s="1" t="s">
        <v>193</v>
      </c>
      <c r="F385" s="1" t="s">
        <v>3015</v>
      </c>
      <c r="G385" s="3" t="s">
        <v>599</v>
      </c>
      <c r="H385" s="11">
        <f>ROUND(
IF(L385="GANCHO",
   IF(I385&lt;=50,I385*1.1+4,IF(I385&lt;=120,I385*1.1+7,IF(I385&lt;=250,I385*1.1+11,I385*1.1+19))),
IF(L385="NORMAL",
   IF(I385&lt;=30,I385*1.15+2,IF(I385&lt;=80,I385*1.15+4,IF(I385&lt;=150,I385*1.15+6,I385*1.15+8))),
IF(L385="COMPLEMENTO",
   IF(I385&lt;=25,I385*1.25+1.5,IF(I385&lt;=60,I385*1.25+3,IF(I385&lt;=120,I385*1.25+4,I385*1.25+5))),
""))),2)</f>
        <v>1323.96</v>
      </c>
      <c r="I385" s="9">
        <f>($K$2+0.02)*Tabla1[[#This Row],[PRECIO $]]*1.18</f>
        <v>1144.3167999999998</v>
      </c>
      <c r="J385" s="7">
        <f>+Tabla1[[#This Row],[PRECIO EN SOLES]]-Tabla1[[#This Row],[PC]]</f>
        <v>179.64320000000021</v>
      </c>
      <c r="K385" s="15"/>
      <c r="L385" s="15" t="str">
        <f t="shared" si="5"/>
        <v>NORMAL</v>
      </c>
    </row>
    <row r="386" spans="1:12" x14ac:dyDescent="0.25">
      <c r="A386" s="3" t="s">
        <v>212</v>
      </c>
      <c r="B386" s="3" t="s">
        <v>213</v>
      </c>
      <c r="C386" s="1">
        <v>20</v>
      </c>
      <c r="D386" s="1">
        <v>476.5</v>
      </c>
      <c r="E386" s="1" t="s">
        <v>193</v>
      </c>
      <c r="F386" s="1" t="s">
        <v>3016</v>
      </c>
      <c r="G386" s="3" t="s">
        <v>214</v>
      </c>
      <c r="H386" s="11">
        <f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2284.0700000000002</v>
      </c>
      <c r="I386" s="9">
        <f>($K$2+0.02)*Tabla1[[#This Row],[PRECIO $]]*1.18</f>
        <v>1979.1904</v>
      </c>
      <c r="J386" s="7">
        <f>+Tabla1[[#This Row],[PRECIO EN SOLES]]-Tabla1[[#This Row],[PC]]</f>
        <v>304.87960000000021</v>
      </c>
      <c r="K386" s="15"/>
      <c r="L386" s="15" t="str">
        <f t="shared" si="5"/>
        <v>NORMAL</v>
      </c>
    </row>
    <row r="387" spans="1:12" x14ac:dyDescent="0.25">
      <c r="A387" s="3" t="s">
        <v>6943</v>
      </c>
      <c r="B387" s="3" t="s">
        <v>6944</v>
      </c>
      <c r="C387" s="1">
        <v>4</v>
      </c>
      <c r="D387" s="1">
        <v>106.3</v>
      </c>
      <c r="E387" s="1" t="s">
        <v>193</v>
      </c>
      <c r="F387" s="1" t="s">
        <v>6945</v>
      </c>
      <c r="G387" s="3" t="s">
        <v>6946</v>
      </c>
      <c r="H387" s="11">
        <f>ROUND(
IF(L387="GANCHO",
   IF(I387&lt;=50,I387*1.1+4,IF(I387&lt;=120,I387*1.1+7,IF(I387&lt;=250,I387*1.1+11,I387*1.1+19))),
IF(L387="NORMAL",
   IF(I387&lt;=30,I387*1.15+2,IF(I387&lt;=80,I387*1.15+4,IF(I387&lt;=150,I387*1.15+6,I387*1.15+8))),
IF(L387="COMPLEMENTO",
   IF(I387&lt;=25,I387*1.25+1.5,IF(I387&lt;=60,I387*1.25+3,IF(I387&lt;=120,I387*1.25+4,I387*1.25+5))),
""))),2)</f>
        <v>515.76</v>
      </c>
      <c r="I387" s="9">
        <f>($K$2+0.02)*Tabla1[[#This Row],[PRECIO $]]*1.18</f>
        <v>441.52767999999998</v>
      </c>
      <c r="J387" s="7">
        <f>+Tabla1[[#This Row],[PRECIO EN SOLES]]-Tabla1[[#This Row],[PC]]</f>
        <v>74.232320000000016</v>
      </c>
      <c r="K387" s="15"/>
      <c r="L387" s="15" t="str">
        <f t="shared" ref="L387:L450" si="6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5711</v>
      </c>
      <c r="B388" s="3" t="s">
        <v>5712</v>
      </c>
      <c r="C388" s="1">
        <v>0</v>
      </c>
      <c r="D388" s="1">
        <v>221</v>
      </c>
      <c r="E388" s="1" t="s">
        <v>215</v>
      </c>
      <c r="F388" s="1" t="s">
        <v>5713</v>
      </c>
      <c r="G388" s="3" t="s">
        <v>5714</v>
      </c>
      <c r="H388" s="11">
        <f>ROUND(
IF(L388="GANCHO",
   IF(I388&lt;=50,I388*1.1+4,IF(I388&lt;=120,I388*1.1+7,IF(I388&lt;=250,I388*1.1+11,I388*1.1+19))),
IF(L388="NORMAL",
   IF(I388&lt;=30,I388*1.15+2,IF(I388&lt;=80,I388*1.15+4,IF(I388&lt;=150,I388*1.15+6,I388*1.15+8))),
IF(L388="COMPLEMENTO",
   IF(I388&lt;=25,I388*1.25+1.5,IF(I388&lt;=60,I388*1.25+3,IF(I388&lt;=120,I388*1.25+4,I388*1.25+5))),
""))),2)</f>
        <v>1063.6400000000001</v>
      </c>
      <c r="I388" s="9">
        <f>($K$2+0.02)*Tabla1[[#This Row],[PRECIO $]]*1.18</f>
        <v>917.9455999999999</v>
      </c>
      <c r="J388" s="7">
        <f>+Tabla1[[#This Row],[PRECIO EN SOLES]]-Tabla1[[#This Row],[PC]]</f>
        <v>145.6944000000002</v>
      </c>
      <c r="K388" s="15"/>
      <c r="L388" s="15" t="str">
        <f t="shared" si="6"/>
        <v>NORMAL</v>
      </c>
    </row>
    <row r="389" spans="1:12" x14ac:dyDescent="0.25">
      <c r="A389" s="3" t="s">
        <v>997</v>
      </c>
      <c r="B389" s="3" t="s">
        <v>998</v>
      </c>
      <c r="C389" s="1">
        <v>20</v>
      </c>
      <c r="D389" s="1">
        <v>22.6</v>
      </c>
      <c r="E389" s="1" t="s">
        <v>216</v>
      </c>
      <c r="F389" s="1" t="s">
        <v>3017</v>
      </c>
      <c r="G389" s="3" t="s">
        <v>999</v>
      </c>
      <c r="H389" s="11">
        <f>ROUND(
IF(L389="GANCHO",
   IF(I389&lt;=50,I389*1.1+4,IF(I389&lt;=120,I389*1.1+7,IF(I389&lt;=250,I389*1.1+11,I389*1.1+19))),
IF(L389="NORMAL",
   IF(I389&lt;=30,I389*1.15+2,IF(I389&lt;=80,I389*1.15+4,IF(I389&lt;=150,I389*1.15+6,I389*1.15+8))),
IF(L389="COMPLEMENTO",
   IF(I389&lt;=25,I389*1.25+1.5,IF(I389&lt;=60,I389*1.25+3,IF(I389&lt;=120,I389*1.25+4,I389*1.25+5))),
""))),2)</f>
        <v>113.95</v>
      </c>
      <c r="I389" s="9">
        <f>($K$2+0.02)*Tabla1[[#This Row],[PRECIO $]]*1.18</f>
        <v>93.87136000000001</v>
      </c>
      <c r="J389" s="7">
        <f>+Tabla1[[#This Row],[PRECIO EN SOLES]]-Tabla1[[#This Row],[PC]]</f>
        <v>20.078639999999993</v>
      </c>
      <c r="K389" s="15"/>
      <c r="L389" s="15" t="str">
        <f t="shared" si="6"/>
        <v>NORMAL</v>
      </c>
    </row>
    <row r="390" spans="1:12" x14ac:dyDescent="0.25">
      <c r="A390" s="3" t="s">
        <v>1000</v>
      </c>
      <c r="B390" s="3" t="s">
        <v>1001</v>
      </c>
      <c r="C390" s="1">
        <v>6</v>
      </c>
      <c r="D390" s="1">
        <v>217</v>
      </c>
      <c r="E390" s="1" t="s">
        <v>1002</v>
      </c>
      <c r="F390" s="1" t="s">
        <v>3018</v>
      </c>
      <c r="G390" s="3" t="s">
        <v>1003</v>
      </c>
      <c r="H390" s="11">
        <f>ROUND(
IF(L390="GANCHO",
   IF(I390&lt;=50,I390*1.1+4,IF(I390&lt;=120,I390*1.1+7,IF(I390&lt;=250,I390*1.1+11,I390*1.1+19))),
IF(L390="NORMAL",
   IF(I390&lt;=30,I390*1.15+2,IF(I390&lt;=80,I390*1.15+4,IF(I390&lt;=150,I390*1.15+6,I390*1.15+8))),
IF(L390="COMPLEMENTO",
   IF(I390&lt;=25,I390*1.25+1.5,IF(I390&lt;=60,I390*1.25+3,IF(I390&lt;=120,I390*1.25+4,I390*1.25+5))),
""))),2)</f>
        <v>1044.53</v>
      </c>
      <c r="I390" s="9">
        <f>($K$2+0.02)*Tabla1[[#This Row],[PRECIO $]]*1.18</f>
        <v>901.33119999999997</v>
      </c>
      <c r="J390" s="7">
        <f>+Tabla1[[#This Row],[PRECIO EN SOLES]]-Tabla1[[#This Row],[PC]]</f>
        <v>143.19880000000001</v>
      </c>
      <c r="K390" s="15"/>
      <c r="L390" s="15" t="str">
        <f t="shared" si="6"/>
        <v>NORMAL</v>
      </c>
    </row>
    <row r="391" spans="1:12" x14ac:dyDescent="0.25">
      <c r="A391" s="3" t="s">
        <v>1004</v>
      </c>
      <c r="B391" s="3" t="s">
        <v>1005</v>
      </c>
      <c r="C391" s="1">
        <v>5</v>
      </c>
      <c r="D391" s="1">
        <v>48</v>
      </c>
      <c r="E391" s="1" t="s">
        <v>52</v>
      </c>
      <c r="F391" s="1" t="s">
        <v>3019</v>
      </c>
      <c r="G391" s="3" t="s">
        <v>1006</v>
      </c>
      <c r="H391" s="11">
        <f>ROUND(
IF(L391="GANCHO",
   IF(I391&lt;=50,I391*1.1+4,IF(I391&lt;=120,I391*1.1+7,IF(I391&lt;=250,I391*1.1+11,I391*1.1+19))),
IF(L391="NORMAL",
   IF(I391&lt;=30,I391*1.15+2,IF(I391&lt;=80,I391*1.15+4,IF(I391&lt;=150,I391*1.15+6,I391*1.15+8))),
IF(L391="COMPLEMENTO",
   IF(I391&lt;=25,I391*1.25+1.5,IF(I391&lt;=60,I391*1.25+3,IF(I391&lt;=120,I391*1.25+4,I391*1.25+5))),
""))),2)</f>
        <v>237.28</v>
      </c>
      <c r="I391" s="9">
        <f>($K$2+0.02)*Tabla1[[#This Row],[PRECIO $]]*1.18</f>
        <v>199.37280000000001</v>
      </c>
      <c r="J391" s="7">
        <f>+Tabla1[[#This Row],[PRECIO EN SOLES]]-Tabla1[[#This Row],[PC]]</f>
        <v>37.907199999999989</v>
      </c>
      <c r="K391" s="15"/>
      <c r="L391" s="15" t="str">
        <f t="shared" si="6"/>
        <v>NORMAL</v>
      </c>
    </row>
    <row r="392" spans="1:12" x14ac:dyDescent="0.25">
      <c r="A392" s="3" t="s">
        <v>2734</v>
      </c>
      <c r="B392" s="3" t="s">
        <v>2735</v>
      </c>
      <c r="C392" s="1">
        <v>20</v>
      </c>
      <c r="D392" s="1">
        <v>8.8000000000000007</v>
      </c>
      <c r="E392" s="1" t="s">
        <v>221</v>
      </c>
      <c r="F392" s="1" t="s">
        <v>3020</v>
      </c>
      <c r="G392" s="3" t="s">
        <v>2736</v>
      </c>
      <c r="H392" s="11">
        <f>ROUND(
IF(L392="GANCHO",
   IF(I392&lt;=50,I392*1.1+4,IF(I392&lt;=120,I392*1.1+7,IF(I392&lt;=250,I392*1.1+11,I392*1.1+19))),
IF(L392="NORMAL",
   IF(I392&lt;=30,I392*1.15+2,IF(I392&lt;=80,I392*1.15+4,IF(I392&lt;=150,I392*1.15+6,I392*1.15+8))),
IF(L392="COMPLEMENTO",
   IF(I392&lt;=25,I392*1.25+1.5,IF(I392&lt;=60,I392*1.25+3,IF(I392&lt;=120,I392*1.25+4,I392*1.25+5))),
""))),2)</f>
        <v>46.03</v>
      </c>
      <c r="I392" s="9">
        <f>($K$2+0.02)*Tabla1[[#This Row],[PRECIO $]]*1.18</f>
        <v>36.551680000000005</v>
      </c>
      <c r="J392" s="7">
        <f>+Tabla1[[#This Row],[PRECIO EN SOLES]]-Tabla1[[#This Row],[PC]]</f>
        <v>9.4783199999999965</v>
      </c>
      <c r="K392" s="15"/>
      <c r="L392" s="15" t="str">
        <f t="shared" si="6"/>
        <v>NORMAL</v>
      </c>
    </row>
    <row r="393" spans="1:12" x14ac:dyDescent="0.25">
      <c r="A393" s="3" t="s">
        <v>218</v>
      </c>
      <c r="B393" s="3" t="s">
        <v>219</v>
      </c>
      <c r="C393" s="1">
        <v>20</v>
      </c>
      <c r="D393" s="1">
        <v>30.5</v>
      </c>
      <c r="E393" s="1" t="s">
        <v>217</v>
      </c>
      <c r="F393" s="1" t="s">
        <v>3021</v>
      </c>
      <c r="G393" s="3" t="s">
        <v>220</v>
      </c>
      <c r="H393" s="11">
        <f>ROUND(
IF(L393="GANCHO",
   IF(I393&lt;=50,I393*1.1+4,IF(I393&lt;=120,I393*1.1+7,IF(I393&lt;=250,I393*1.1+11,I393*1.1+19))),
IF(L393="NORMAL",
   IF(I393&lt;=30,I393*1.15+2,IF(I393&lt;=80,I393*1.15+4,IF(I393&lt;=150,I393*1.15+6,I393*1.15+8))),
IF(L393="COMPLEMENTO",
   IF(I393&lt;=25,I393*1.25+1.5,IF(I393&lt;=60,I393*1.25+3,IF(I393&lt;=120,I393*1.25+4,I393*1.25+5))),
""))),2)</f>
        <v>151.69</v>
      </c>
      <c r="I393" s="9">
        <f>($K$2+0.02)*Tabla1[[#This Row],[PRECIO $]]*1.18</f>
        <v>126.6848</v>
      </c>
      <c r="J393" s="7">
        <f>+Tabla1[[#This Row],[PRECIO EN SOLES]]-Tabla1[[#This Row],[PC]]</f>
        <v>25.005200000000002</v>
      </c>
      <c r="K393" s="15"/>
      <c r="L393" s="15" t="str">
        <f t="shared" si="6"/>
        <v>NORMAL</v>
      </c>
    </row>
    <row r="394" spans="1:12" x14ac:dyDescent="0.25">
      <c r="A394" s="3" t="s">
        <v>1007</v>
      </c>
      <c r="B394" s="3" t="s">
        <v>1008</v>
      </c>
      <c r="C394" s="1">
        <v>5</v>
      </c>
      <c r="D394" s="1">
        <v>30</v>
      </c>
      <c r="E394" s="1" t="s">
        <v>217</v>
      </c>
      <c r="F394" s="1" t="s">
        <v>3022</v>
      </c>
      <c r="G394" s="3" t="s">
        <v>1009</v>
      </c>
      <c r="H394" s="11">
        <f>ROUND(
IF(L394="GANCHO",
   IF(I394&lt;=50,I394*1.1+4,IF(I394&lt;=120,I394*1.1+7,IF(I394&lt;=250,I394*1.1+11,I394*1.1+19))),
IF(L394="NORMAL",
   IF(I394&lt;=30,I394*1.15+2,IF(I394&lt;=80,I394*1.15+4,IF(I394&lt;=150,I394*1.15+6,I394*1.15+8))),
IF(L394="COMPLEMENTO",
   IF(I394&lt;=25,I394*1.25+1.5,IF(I394&lt;=60,I394*1.25+3,IF(I394&lt;=120,I394*1.25+4,I394*1.25+5))),
""))),2)</f>
        <v>149.30000000000001</v>
      </c>
      <c r="I394" s="9">
        <f>($K$2+0.02)*Tabla1[[#This Row],[PRECIO $]]*1.18</f>
        <v>124.60799999999999</v>
      </c>
      <c r="J394" s="7">
        <f>+Tabla1[[#This Row],[PRECIO EN SOLES]]-Tabla1[[#This Row],[PC]]</f>
        <v>24.692000000000021</v>
      </c>
      <c r="K394" s="15"/>
      <c r="L394" s="15" t="str">
        <f t="shared" si="6"/>
        <v>NORMAL</v>
      </c>
    </row>
    <row r="395" spans="1:12" x14ac:dyDescent="0.25">
      <c r="A395" s="3" t="s">
        <v>600</v>
      </c>
      <c r="B395" s="3" t="s">
        <v>601</v>
      </c>
      <c r="C395" s="1">
        <v>9</v>
      </c>
      <c r="D395" s="1">
        <v>125</v>
      </c>
      <c r="E395" s="1" t="s">
        <v>217</v>
      </c>
      <c r="F395" s="1" t="s">
        <v>3023</v>
      </c>
      <c r="G395" s="3" t="s">
        <v>4232</v>
      </c>
      <c r="H395" s="11">
        <f>ROUND(
IF(L395="GANCHO",
   IF(I395&lt;=50,I395*1.1+4,IF(I395&lt;=120,I395*1.1+7,IF(I395&lt;=250,I395*1.1+11,I395*1.1+19))),
IF(L395="NORMAL",
   IF(I395&lt;=30,I395*1.15+2,IF(I395&lt;=80,I395*1.15+4,IF(I395&lt;=150,I395*1.15+6,I395*1.15+8))),
IF(L395="COMPLEMENTO",
   IF(I395&lt;=25,I395*1.25+1.5,IF(I395&lt;=60,I395*1.25+3,IF(I395&lt;=120,I395*1.25+4,I395*1.25+5))),
""))),2)</f>
        <v>605.08000000000004</v>
      </c>
      <c r="I395" s="9">
        <f>($K$2+0.02)*Tabla1[[#This Row],[PRECIO $]]*1.18</f>
        <v>519.19999999999993</v>
      </c>
      <c r="J395" s="7">
        <f>+Tabla1[[#This Row],[PRECIO EN SOLES]]-Tabla1[[#This Row],[PC]]</f>
        <v>85.880000000000109</v>
      </c>
      <c r="K395" s="15"/>
      <c r="L395" s="15" t="str">
        <f t="shared" si="6"/>
        <v>NORMAL</v>
      </c>
    </row>
    <row r="396" spans="1:12" x14ac:dyDescent="0.25">
      <c r="A396" s="3" t="s">
        <v>4575</v>
      </c>
      <c r="B396" s="3" t="s">
        <v>4576</v>
      </c>
      <c r="C396" s="1">
        <v>8</v>
      </c>
      <c r="D396" s="1">
        <v>343</v>
      </c>
      <c r="E396" s="1" t="s">
        <v>217</v>
      </c>
      <c r="F396" s="1" t="s">
        <v>4577</v>
      </c>
      <c r="G396" s="3" t="s">
        <v>4578</v>
      </c>
      <c r="H396" s="11">
        <f>ROUND(
IF(L396="GANCHO",
   IF(I396&lt;=50,I396*1.1+4,IF(I396&lt;=120,I396*1.1+7,IF(I396&lt;=250,I396*1.1+11,I396*1.1+19))),
IF(L396="NORMAL",
   IF(I396&lt;=30,I396*1.15+2,IF(I396&lt;=80,I396*1.15+4,IF(I396&lt;=150,I396*1.15+6,I396*1.15+8))),
IF(L396="COMPLEMENTO",
   IF(I396&lt;=25,I396*1.25+1.5,IF(I396&lt;=60,I396*1.25+3,IF(I396&lt;=120,I396*1.25+4,I396*1.25+5))),
""))),2)</f>
        <v>1646.39</v>
      </c>
      <c r="I396" s="9">
        <f>($K$2+0.02)*Tabla1[[#This Row],[PRECIO $]]*1.18</f>
        <v>1424.6847999999998</v>
      </c>
      <c r="J396" s="7">
        <f>+Tabla1[[#This Row],[PRECIO EN SOLES]]-Tabla1[[#This Row],[PC]]</f>
        <v>221.70520000000033</v>
      </c>
      <c r="K396" s="15"/>
      <c r="L396" s="15" t="str">
        <f t="shared" si="6"/>
        <v>NORMAL</v>
      </c>
    </row>
    <row r="397" spans="1:12" x14ac:dyDescent="0.25">
      <c r="A397" s="3" t="s">
        <v>1010</v>
      </c>
      <c r="B397" s="3" t="s">
        <v>1011</v>
      </c>
      <c r="C397" s="1">
        <v>6</v>
      </c>
      <c r="D397" s="1">
        <v>875</v>
      </c>
      <c r="E397" s="1" t="s">
        <v>217</v>
      </c>
      <c r="F397" s="1" t="s">
        <v>3024</v>
      </c>
      <c r="G397" s="3" t="s">
        <v>1012</v>
      </c>
      <c r="H397" s="11">
        <f>ROUND(
IF(L397="GANCHO",
   IF(I397&lt;=50,I397*1.1+4,IF(I397&lt;=120,I397*1.1+7,IF(I397&lt;=250,I397*1.1+11,I397*1.1+19))),
IF(L397="NORMAL",
   IF(I397&lt;=30,I397*1.15+2,IF(I397&lt;=80,I397*1.15+4,IF(I397&lt;=150,I397*1.15+6,I397*1.15+8))),
IF(L397="COMPLEMENTO",
   IF(I397&lt;=25,I397*1.25+1.5,IF(I397&lt;=60,I397*1.25+3,IF(I397&lt;=120,I397*1.25+4,I397*1.25+5))),
""))),2)</f>
        <v>4187.5600000000004</v>
      </c>
      <c r="I397" s="9">
        <f>($K$2+0.02)*Tabla1[[#This Row],[PRECIO $]]*1.18</f>
        <v>3634.3999999999996</v>
      </c>
      <c r="J397" s="7">
        <f>+Tabla1[[#This Row],[PRECIO EN SOLES]]-Tabla1[[#This Row],[PC]]</f>
        <v>553.16000000000076</v>
      </c>
      <c r="K397" s="15"/>
      <c r="L397" s="15" t="str">
        <f t="shared" si="6"/>
        <v>NORMAL</v>
      </c>
    </row>
    <row r="398" spans="1:12" x14ac:dyDescent="0.25">
      <c r="A398" s="3" t="s">
        <v>6068</v>
      </c>
      <c r="B398" s="3" t="s">
        <v>6069</v>
      </c>
      <c r="C398" s="1">
        <v>12</v>
      </c>
      <c r="D398" s="1">
        <v>44</v>
      </c>
      <c r="E398" s="1" t="s">
        <v>221</v>
      </c>
      <c r="F398" s="1" t="s">
        <v>6070</v>
      </c>
      <c r="G398" s="3" t="s">
        <v>6071</v>
      </c>
      <c r="H398" s="11">
        <f>ROUND(
IF(L398="GANCHO",
   IF(I398&lt;=50,I398*1.1+4,IF(I398&lt;=120,I398*1.1+7,IF(I398&lt;=250,I398*1.1+11,I398*1.1+19))),
IF(L398="NORMAL",
   IF(I398&lt;=30,I398*1.15+2,IF(I398&lt;=80,I398*1.15+4,IF(I398&lt;=150,I398*1.15+6,I398*1.15+8))),
IF(L398="COMPLEMENTO",
   IF(I398&lt;=25,I398*1.25+1.5,IF(I398&lt;=60,I398*1.25+3,IF(I398&lt;=120,I398*1.25+4,I398*1.25+5))),
""))),2)</f>
        <v>218.17</v>
      </c>
      <c r="I398" s="9">
        <f>($K$2+0.02)*Tabla1[[#This Row],[PRECIO $]]*1.18</f>
        <v>182.75839999999999</v>
      </c>
      <c r="J398" s="7">
        <f>+Tabla1[[#This Row],[PRECIO EN SOLES]]-Tabla1[[#This Row],[PC]]</f>
        <v>35.411599999999993</v>
      </c>
      <c r="K398" s="15"/>
      <c r="L398" s="15" t="str">
        <f t="shared" si="6"/>
        <v>NORMAL</v>
      </c>
    </row>
    <row r="399" spans="1:12" x14ac:dyDescent="0.25">
      <c r="A399" s="3" t="s">
        <v>5385</v>
      </c>
      <c r="B399" s="3" t="s">
        <v>5386</v>
      </c>
      <c r="C399" s="1">
        <v>20</v>
      </c>
      <c r="D399" s="1">
        <v>19</v>
      </c>
      <c r="E399" s="1" t="s">
        <v>221</v>
      </c>
      <c r="F399" s="1" t="s">
        <v>5387</v>
      </c>
      <c r="G399" s="3" t="s">
        <v>5388</v>
      </c>
      <c r="H399" s="11">
        <f>ROUND(
IF(L399="GANCHO",
   IF(I399&lt;=50,I399*1.1+4,IF(I399&lt;=120,I399*1.1+7,IF(I399&lt;=250,I399*1.1+11,I399*1.1+19))),
IF(L399="NORMAL",
   IF(I399&lt;=30,I399*1.15+2,IF(I399&lt;=80,I399*1.15+4,IF(I399&lt;=150,I399*1.15+6,I399*1.15+8))),
IF(L399="COMPLEMENTO",
   IF(I399&lt;=25,I399*1.25+1.5,IF(I399&lt;=60,I399*1.25+3,IF(I399&lt;=120,I399*1.25+4,I399*1.25+5))),
""))),2)</f>
        <v>94.76</v>
      </c>
      <c r="I399" s="9">
        <f>($K$2+0.02)*Tabla1[[#This Row],[PRECIO $]]*1.18</f>
        <v>78.918399999999991</v>
      </c>
      <c r="J399" s="7">
        <f>+Tabla1[[#This Row],[PRECIO EN SOLES]]-Tabla1[[#This Row],[PC]]</f>
        <v>15.841600000000014</v>
      </c>
      <c r="K399" s="15"/>
      <c r="L399" s="15" t="str">
        <f t="shared" si="6"/>
        <v>NORMAL</v>
      </c>
    </row>
    <row r="400" spans="1:12" x14ac:dyDescent="0.25">
      <c r="A400" s="3" t="s">
        <v>6947</v>
      </c>
      <c r="B400" s="3" t="s">
        <v>6948</v>
      </c>
      <c r="C400" s="1">
        <v>0</v>
      </c>
      <c r="D400" s="1">
        <v>10.7</v>
      </c>
      <c r="E400" s="1" t="s">
        <v>221</v>
      </c>
      <c r="F400" s="1" t="s">
        <v>6949</v>
      </c>
      <c r="G400" s="3" t="s">
        <v>6950</v>
      </c>
      <c r="H400" s="11">
        <f>ROUND(
IF(L400="GANCHO",
   IF(I400&lt;=50,I400*1.1+4,IF(I400&lt;=120,I400*1.1+7,IF(I400&lt;=250,I400*1.1+11,I400*1.1+19))),
IF(L400="NORMAL",
   IF(I400&lt;=30,I400*1.15+2,IF(I400&lt;=80,I400*1.15+4,IF(I400&lt;=150,I400*1.15+6,I400*1.15+8))),
IF(L400="COMPLEMENTO",
   IF(I400&lt;=25,I400*1.25+1.5,IF(I400&lt;=60,I400*1.25+3,IF(I400&lt;=120,I400*1.25+4,I400*1.25+5))),
""))),2)</f>
        <v>55.11</v>
      </c>
      <c r="I400" s="9">
        <f>($K$2+0.02)*Tabla1[[#This Row],[PRECIO $]]*1.18</f>
        <v>44.443519999999992</v>
      </c>
      <c r="J400" s="7">
        <f>+Tabla1[[#This Row],[PRECIO EN SOLES]]-Tabla1[[#This Row],[PC]]</f>
        <v>10.666480000000007</v>
      </c>
      <c r="K400" s="15"/>
      <c r="L400" s="15" t="str">
        <f t="shared" si="6"/>
        <v>NORMAL</v>
      </c>
    </row>
    <row r="401" spans="1:12" x14ac:dyDescent="0.25">
      <c r="A401" s="3" t="s">
        <v>5868</v>
      </c>
      <c r="B401" s="3" t="s">
        <v>222</v>
      </c>
      <c r="C401" s="1">
        <v>20</v>
      </c>
      <c r="D401" s="1">
        <v>12.8</v>
      </c>
      <c r="E401" s="1" t="s">
        <v>52</v>
      </c>
      <c r="F401" s="1" t="s">
        <v>5869</v>
      </c>
      <c r="G401" s="3" t="s">
        <v>5870</v>
      </c>
      <c r="H401" s="11">
        <f>ROUND(
IF(L401="GANCHO",
   IF(I401&lt;=50,I401*1.1+4,IF(I401&lt;=120,I401*1.1+7,IF(I401&lt;=250,I401*1.1+11,I401*1.1+19))),
IF(L401="NORMAL",
   IF(I401&lt;=30,I401*1.15+2,IF(I401&lt;=80,I401*1.15+4,IF(I401&lt;=150,I401*1.15+6,I401*1.15+8))),
IF(L401="COMPLEMENTO",
   IF(I401&lt;=25,I401*1.25+1.5,IF(I401&lt;=60,I401*1.25+3,IF(I401&lt;=120,I401*1.25+4,I401*1.25+5))),
""))),2)</f>
        <v>65.14</v>
      </c>
      <c r="I401" s="9">
        <f>($K$2+0.02)*Tabla1[[#This Row],[PRECIO $]]*1.18</f>
        <v>53.166080000000001</v>
      </c>
      <c r="J401" s="7">
        <f>+Tabla1[[#This Row],[PRECIO EN SOLES]]-Tabla1[[#This Row],[PC]]</f>
        <v>11.97392</v>
      </c>
      <c r="K401" s="15"/>
      <c r="L401" s="15" t="str">
        <f t="shared" si="6"/>
        <v>NORMAL</v>
      </c>
    </row>
    <row r="402" spans="1:12" x14ac:dyDescent="0.25">
      <c r="A402" s="3" t="s">
        <v>1013</v>
      </c>
      <c r="B402" s="3" t="s">
        <v>1014</v>
      </c>
      <c r="C402" s="1">
        <v>7</v>
      </c>
      <c r="D402" s="1">
        <v>150</v>
      </c>
      <c r="E402" s="1" t="s">
        <v>217</v>
      </c>
      <c r="F402" s="1" t="s">
        <v>3025</v>
      </c>
      <c r="G402" s="3" t="s">
        <v>1015</v>
      </c>
      <c r="H402" s="11">
        <f>ROUND(
IF(L402="GANCHO",
   IF(I402&lt;=50,I402*1.1+4,IF(I402&lt;=120,I402*1.1+7,IF(I402&lt;=250,I402*1.1+11,I402*1.1+19))),
IF(L402="NORMAL",
   IF(I402&lt;=30,I402*1.15+2,IF(I402&lt;=80,I402*1.15+4,IF(I402&lt;=150,I402*1.15+6,I402*1.15+8))),
IF(L402="COMPLEMENTO",
   IF(I402&lt;=25,I402*1.25+1.5,IF(I402&lt;=60,I402*1.25+3,IF(I402&lt;=120,I402*1.25+4,I402*1.25+5))),
""))),2)</f>
        <v>724.5</v>
      </c>
      <c r="I402" s="9">
        <f>($K$2+0.02)*Tabla1[[#This Row],[PRECIO $]]*1.18</f>
        <v>623.04</v>
      </c>
      <c r="J402" s="7">
        <f>+Tabla1[[#This Row],[PRECIO EN SOLES]]-Tabla1[[#This Row],[PC]]</f>
        <v>101.46000000000004</v>
      </c>
      <c r="K402" s="15"/>
      <c r="L402" s="15" t="str">
        <f t="shared" si="6"/>
        <v>NORMAL</v>
      </c>
    </row>
    <row r="403" spans="1:12" x14ac:dyDescent="0.25">
      <c r="A403" s="3" t="s">
        <v>1016</v>
      </c>
      <c r="B403" s="3" t="s">
        <v>1017</v>
      </c>
      <c r="C403" s="1">
        <v>4</v>
      </c>
      <c r="D403" s="1">
        <v>158</v>
      </c>
      <c r="E403" s="1" t="s">
        <v>217</v>
      </c>
      <c r="F403" s="1" t="s">
        <v>3026</v>
      </c>
      <c r="G403" s="3" t="s">
        <v>1018</v>
      </c>
      <c r="H403" s="11">
        <f>ROUND(
IF(L403="GANCHO",
   IF(I403&lt;=50,I403*1.1+4,IF(I403&lt;=120,I403*1.1+7,IF(I403&lt;=250,I403*1.1+11,I403*1.1+19))),
IF(L403="NORMAL",
   IF(I403&lt;=30,I403*1.15+2,IF(I403&lt;=80,I403*1.15+4,IF(I403&lt;=150,I403*1.15+6,I403*1.15+8))),
IF(L403="COMPLEMENTO",
   IF(I403&lt;=25,I403*1.25+1.5,IF(I403&lt;=60,I403*1.25+3,IF(I403&lt;=120,I403*1.25+4,I403*1.25+5))),
""))),2)</f>
        <v>762.71</v>
      </c>
      <c r="I403" s="9">
        <f>($K$2+0.02)*Tabla1[[#This Row],[PRECIO $]]*1.18</f>
        <v>656.26879999999994</v>
      </c>
      <c r="J403" s="7">
        <f>+Tabla1[[#This Row],[PRECIO EN SOLES]]-Tabla1[[#This Row],[PC]]</f>
        <v>106.44120000000009</v>
      </c>
      <c r="K403" s="15"/>
      <c r="L403" s="15" t="str">
        <f t="shared" si="6"/>
        <v>NORMAL</v>
      </c>
    </row>
    <row r="404" spans="1:12" x14ac:dyDescent="0.25">
      <c r="A404" s="3" t="s">
        <v>1019</v>
      </c>
      <c r="B404" s="3" t="s">
        <v>222</v>
      </c>
      <c r="C404" s="1">
        <v>0</v>
      </c>
      <c r="D404" s="1">
        <v>999</v>
      </c>
      <c r="E404" s="1" t="s">
        <v>184</v>
      </c>
      <c r="F404" s="1" t="s">
        <v>3027</v>
      </c>
      <c r="G404" s="3"/>
      <c r="H404" s="11">
        <f>ROUND(
IF(L404="GANCHO",
   IF(I404&lt;=50,I404*1.1+4,IF(I404&lt;=120,I404*1.1+7,IF(I404&lt;=250,I404*1.1+11,I404*1.1+19))),
IF(L404="NORMAL",
   IF(I404&lt;=30,I404*1.15+2,IF(I404&lt;=80,I404*1.15+4,IF(I404&lt;=150,I404*1.15+6,I404*1.15+8))),
IF(L404="COMPLEMENTO",
   IF(I404&lt;=25,I404*1.25+1.5,IF(I404&lt;=60,I404*1.25+3,IF(I404&lt;=120,I404*1.25+4,I404*1.25+5))),
""))),2)</f>
        <v>4779.8599999999997</v>
      </c>
      <c r="I404" s="9">
        <f>($K$2+0.02)*Tabla1[[#This Row],[PRECIO $]]*1.18</f>
        <v>4149.4463999999998</v>
      </c>
      <c r="J404" s="7">
        <f>+Tabla1[[#This Row],[PRECIO EN SOLES]]-Tabla1[[#This Row],[PC]]</f>
        <v>630.41359999999986</v>
      </c>
      <c r="K404" s="15"/>
      <c r="L404" s="15" t="str">
        <f t="shared" si="6"/>
        <v>NORMAL</v>
      </c>
    </row>
    <row r="405" spans="1:12" x14ac:dyDescent="0.25">
      <c r="A405" s="3" t="s">
        <v>4860</v>
      </c>
      <c r="B405" s="3" t="s">
        <v>4861</v>
      </c>
      <c r="C405" s="1">
        <v>0</v>
      </c>
      <c r="D405" s="1">
        <v>110</v>
      </c>
      <c r="E405" s="1" t="s">
        <v>54</v>
      </c>
      <c r="F405" s="1" t="s">
        <v>4862</v>
      </c>
      <c r="G405" s="3"/>
      <c r="H405" s="11">
        <f>ROUND(
IF(L405="GANCHO",
   IF(I405&lt;=50,I405*1.1+4,IF(I405&lt;=120,I405*1.1+7,IF(I405&lt;=250,I405*1.1+11,I405*1.1+19))),
IF(L405="NORMAL",
   IF(I405&lt;=30,I405*1.15+2,IF(I405&lt;=80,I405*1.15+4,IF(I405&lt;=150,I405*1.15+6,I405*1.15+8))),
IF(L405="COMPLEMENTO",
   IF(I405&lt;=25,I405*1.25+1.5,IF(I405&lt;=60,I405*1.25+3,IF(I405&lt;=120,I405*1.25+4,I405*1.25+5))),
""))),2)</f>
        <v>533.42999999999995</v>
      </c>
      <c r="I405" s="9">
        <f>($K$2+0.02)*Tabla1[[#This Row],[PRECIO $]]*1.18</f>
        <v>456.89599999999996</v>
      </c>
      <c r="J405" s="7">
        <f>+Tabla1[[#This Row],[PRECIO EN SOLES]]-Tabla1[[#This Row],[PC]]</f>
        <v>76.533999999999992</v>
      </c>
      <c r="K405" s="15"/>
      <c r="L405" s="15" t="str">
        <f t="shared" si="6"/>
        <v>NORMAL</v>
      </c>
    </row>
    <row r="406" spans="1:12" x14ac:dyDescent="0.25">
      <c r="A406" s="3" t="s">
        <v>4176</v>
      </c>
      <c r="B406" s="3" t="s">
        <v>4177</v>
      </c>
      <c r="C406" s="1">
        <v>20</v>
      </c>
      <c r="D406" s="1">
        <v>21.6</v>
      </c>
      <c r="E406" s="1" t="s">
        <v>4175</v>
      </c>
      <c r="F406" s="1" t="s">
        <v>4178</v>
      </c>
      <c r="G406" s="3" t="s">
        <v>4179</v>
      </c>
      <c r="H406" s="11">
        <f>ROUND(
IF(L406="GANCHO",
   IF(I406&lt;=50,I406*1.1+4,IF(I406&lt;=120,I406*1.1+7,IF(I406&lt;=250,I406*1.1+11,I406*1.1+19))),
IF(L406="NORMAL",
   IF(I406&lt;=30,I406*1.15+2,IF(I406&lt;=80,I406*1.15+4,IF(I406&lt;=150,I406*1.15+6,I406*1.15+8))),
IF(L406="COMPLEMENTO",
   IF(I406&lt;=25,I406*1.25+1.5,IF(I406&lt;=60,I406*1.25+3,IF(I406&lt;=120,I406*1.25+4,I406*1.25+5))),
""))),2)</f>
        <v>109.18</v>
      </c>
      <c r="I406" s="9">
        <f>($K$2+0.02)*Tabla1[[#This Row],[PRECIO $]]*1.18</f>
        <v>89.717760000000013</v>
      </c>
      <c r="J406" s="7">
        <f>+Tabla1[[#This Row],[PRECIO EN SOLES]]-Tabla1[[#This Row],[PC]]</f>
        <v>19.462239999999994</v>
      </c>
      <c r="K406" s="15"/>
      <c r="L406" s="15" t="str">
        <f t="shared" si="6"/>
        <v>NORMAL</v>
      </c>
    </row>
    <row r="407" spans="1:12" x14ac:dyDescent="0.25">
      <c r="A407" s="3" t="s">
        <v>602</v>
      </c>
      <c r="B407" s="3" t="s">
        <v>603</v>
      </c>
      <c r="C407" s="1">
        <v>20</v>
      </c>
      <c r="D407" s="1">
        <v>4.75</v>
      </c>
      <c r="E407" s="1" t="s">
        <v>52</v>
      </c>
      <c r="F407" s="1" t="s">
        <v>3028</v>
      </c>
      <c r="G407" s="3" t="s">
        <v>4482</v>
      </c>
      <c r="H407" s="11">
        <f>ROUND(
IF(L407="GANCHO",
   IF(I407&lt;=50,I407*1.1+4,IF(I407&lt;=120,I407*1.1+7,IF(I407&lt;=250,I407*1.1+11,I407*1.1+19))),
IF(L407="NORMAL",
   IF(I407&lt;=30,I407*1.15+2,IF(I407&lt;=80,I407*1.15+4,IF(I407&lt;=150,I407*1.15+6,I407*1.15+8))),
IF(L407="COMPLEMENTO",
   IF(I407&lt;=25,I407*1.25+1.5,IF(I407&lt;=60,I407*1.25+3,IF(I407&lt;=120,I407*1.25+4,I407*1.25+5))),
""))),2)</f>
        <v>24.69</v>
      </c>
      <c r="I407" s="9">
        <f>($K$2+0.02)*Tabla1[[#This Row],[PRECIO $]]*1.18</f>
        <v>19.729599999999998</v>
      </c>
      <c r="J407" s="7">
        <f>+Tabla1[[#This Row],[PRECIO EN SOLES]]-Tabla1[[#This Row],[PC]]</f>
        <v>4.9604000000000035</v>
      </c>
      <c r="K407" s="15"/>
      <c r="L407" s="15" t="str">
        <f t="shared" si="6"/>
        <v>NORMAL</v>
      </c>
    </row>
    <row r="408" spans="1:12" x14ac:dyDescent="0.25">
      <c r="A408" s="3" t="s">
        <v>224</v>
      </c>
      <c r="B408" s="3" t="s">
        <v>225</v>
      </c>
      <c r="C408" s="1">
        <v>20</v>
      </c>
      <c r="D408" s="1">
        <v>15.8</v>
      </c>
      <c r="E408" s="1" t="s">
        <v>52</v>
      </c>
      <c r="F408" s="1" t="s">
        <v>3029</v>
      </c>
      <c r="G408" s="3" t="s">
        <v>4483</v>
      </c>
      <c r="H408" s="11">
        <f>ROUND(
IF(L408="GANCHO",
   IF(I408&lt;=50,I408*1.1+4,IF(I408&lt;=120,I408*1.1+7,IF(I408&lt;=250,I408*1.1+11,I408*1.1+19))),
IF(L408="NORMAL",
   IF(I408&lt;=30,I408*1.15+2,IF(I408&lt;=80,I408*1.15+4,IF(I408&lt;=150,I408*1.15+6,I408*1.15+8))),
IF(L408="COMPLEMENTO",
   IF(I408&lt;=25,I408*1.25+1.5,IF(I408&lt;=60,I408*1.25+3,IF(I408&lt;=120,I408*1.25+4,I408*1.25+5))),
""))),2)</f>
        <v>79.47</v>
      </c>
      <c r="I408" s="9">
        <f>($K$2+0.02)*Tabla1[[#This Row],[PRECIO $]]*1.18</f>
        <v>65.62688</v>
      </c>
      <c r="J408" s="7">
        <f>+Tabla1[[#This Row],[PRECIO EN SOLES]]-Tabla1[[#This Row],[PC]]</f>
        <v>13.843119999999999</v>
      </c>
      <c r="K408" s="15"/>
      <c r="L408" s="15" t="str">
        <f t="shared" si="6"/>
        <v>NORMAL</v>
      </c>
    </row>
    <row r="409" spans="1:12" x14ac:dyDescent="0.25">
      <c r="A409" s="3" t="s">
        <v>226</v>
      </c>
      <c r="B409" s="3" t="s">
        <v>227</v>
      </c>
      <c r="C409" s="1">
        <v>20</v>
      </c>
      <c r="D409" s="1">
        <v>10.5</v>
      </c>
      <c r="E409" s="1" t="s">
        <v>52</v>
      </c>
      <c r="F409" s="1" t="s">
        <v>3030</v>
      </c>
      <c r="G409" s="3" t="s">
        <v>228</v>
      </c>
      <c r="H409" s="11">
        <f>ROUND(
IF(L409="GANCHO",
   IF(I409&lt;=50,I409*1.1+4,IF(I409&lt;=120,I409*1.1+7,IF(I409&lt;=250,I409*1.1+11,I409*1.1+19))),
IF(L409="NORMAL",
   IF(I409&lt;=30,I409*1.15+2,IF(I409&lt;=80,I409*1.15+4,IF(I409&lt;=150,I409*1.15+6,I409*1.15+8))),
IF(L409="COMPLEMENTO",
   IF(I409&lt;=25,I409*1.25+1.5,IF(I409&lt;=60,I409*1.25+3,IF(I409&lt;=120,I409*1.25+4,I409*1.25+5))),
""))),2)</f>
        <v>54.15</v>
      </c>
      <c r="I409" s="9">
        <f>($K$2+0.02)*Tabla1[[#This Row],[PRECIO $]]*1.18</f>
        <v>43.6128</v>
      </c>
      <c r="J409" s="7">
        <f>+Tabla1[[#This Row],[PRECIO EN SOLES]]-Tabla1[[#This Row],[PC]]</f>
        <v>10.537199999999999</v>
      </c>
      <c r="K409" s="15"/>
      <c r="L409" s="15" t="str">
        <f t="shared" si="6"/>
        <v>NORMAL</v>
      </c>
    </row>
    <row r="410" spans="1:12" x14ac:dyDescent="0.25">
      <c r="A410" s="3" t="s">
        <v>229</v>
      </c>
      <c r="B410" s="3" t="s">
        <v>230</v>
      </c>
      <c r="C410" s="1">
        <v>20</v>
      </c>
      <c r="D410" s="1">
        <v>24.3</v>
      </c>
      <c r="E410" s="1" t="s">
        <v>52</v>
      </c>
      <c r="F410" s="1" t="s">
        <v>3031</v>
      </c>
      <c r="G410" s="3" t="s">
        <v>231</v>
      </c>
      <c r="H410" s="11">
        <f>ROUND(
IF(L410="GANCHO",
   IF(I410&lt;=50,I410*1.1+4,IF(I410&lt;=120,I410*1.1+7,IF(I410&lt;=250,I410*1.1+11,I410*1.1+19))),
IF(L410="NORMAL",
   IF(I410&lt;=30,I410*1.15+2,IF(I410&lt;=80,I410*1.15+4,IF(I410&lt;=150,I410*1.15+6,I410*1.15+8))),
IF(L410="COMPLEMENTO",
   IF(I410&lt;=25,I410*1.25+1.5,IF(I410&lt;=60,I410*1.25+3,IF(I410&lt;=120,I410*1.25+4,I410*1.25+5))),
""))),2)</f>
        <v>122.07</v>
      </c>
      <c r="I410" s="9">
        <f>($K$2+0.02)*Tabla1[[#This Row],[PRECIO $]]*1.18</f>
        <v>100.93248</v>
      </c>
      <c r="J410" s="7">
        <f>+Tabla1[[#This Row],[PRECIO EN SOLES]]-Tabla1[[#This Row],[PC]]</f>
        <v>21.137519999999995</v>
      </c>
      <c r="K410" s="15"/>
      <c r="L410" s="15" t="str">
        <f t="shared" si="6"/>
        <v>NORMAL</v>
      </c>
    </row>
    <row r="411" spans="1:12" x14ac:dyDescent="0.25">
      <c r="A411" s="3" t="s">
        <v>4863</v>
      </c>
      <c r="B411" s="3" t="s">
        <v>4864</v>
      </c>
      <c r="C411" s="1">
        <v>20</v>
      </c>
      <c r="D411" s="1">
        <v>14.75</v>
      </c>
      <c r="E411" s="1" t="s">
        <v>121</v>
      </c>
      <c r="F411" s="1" t="s">
        <v>4865</v>
      </c>
      <c r="G411" s="3"/>
      <c r="H411" s="11">
        <f>ROUND(
IF(L411="GANCHO",
   IF(I411&lt;=50,I411*1.1+4,IF(I411&lt;=120,I411*1.1+7,IF(I411&lt;=250,I411*1.1+11,I411*1.1+19))),
IF(L411="NORMAL",
   IF(I411&lt;=30,I411*1.15+2,IF(I411&lt;=80,I411*1.15+4,IF(I411&lt;=150,I411*1.15+6,I411*1.15+8))),
IF(L411="COMPLEMENTO",
   IF(I411&lt;=25,I411*1.25+1.5,IF(I411&lt;=60,I411*1.25+3,IF(I411&lt;=120,I411*1.25+4,I411*1.25+5))),
""))),2)</f>
        <v>74.459999999999994</v>
      </c>
      <c r="I411" s="9">
        <f>($K$2+0.02)*Tabla1[[#This Row],[PRECIO $]]*1.18</f>
        <v>61.265599999999999</v>
      </c>
      <c r="J411" s="7">
        <f>+Tabla1[[#This Row],[PRECIO EN SOLES]]-Tabla1[[#This Row],[PC]]</f>
        <v>13.194399999999995</v>
      </c>
      <c r="K411" s="15"/>
      <c r="L411" s="15" t="str">
        <f t="shared" si="6"/>
        <v>NORMAL</v>
      </c>
    </row>
    <row r="412" spans="1:12" x14ac:dyDescent="0.25">
      <c r="A412" s="3" t="s">
        <v>1020</v>
      </c>
      <c r="B412" s="3" t="s">
        <v>1021</v>
      </c>
      <c r="C412" s="1">
        <v>1</v>
      </c>
      <c r="D412" s="1">
        <v>54</v>
      </c>
      <c r="E412" s="1" t="s">
        <v>154</v>
      </c>
      <c r="F412" s="1" t="s">
        <v>3032</v>
      </c>
      <c r="G412" s="3"/>
      <c r="H412" s="11">
        <f>ROUND(
IF(L412="GANCHO",
   IF(I412&lt;=50,I412*1.1+4,IF(I412&lt;=120,I412*1.1+7,IF(I412&lt;=250,I412*1.1+11,I412*1.1+19))),
IF(L412="NORMAL",
   IF(I412&lt;=30,I412*1.15+2,IF(I412&lt;=80,I412*1.15+4,IF(I412&lt;=150,I412*1.15+6,I412*1.15+8))),
IF(L412="COMPLEMENTO",
   IF(I412&lt;=25,I412*1.25+1.5,IF(I412&lt;=60,I412*1.25+3,IF(I412&lt;=120,I412*1.25+4,I412*1.25+5))),
""))),2)</f>
        <v>265.94</v>
      </c>
      <c r="I412" s="9">
        <f>($K$2+0.02)*Tabla1[[#This Row],[PRECIO $]]*1.18</f>
        <v>224.2944</v>
      </c>
      <c r="J412" s="7">
        <f>+Tabla1[[#This Row],[PRECIO EN SOLES]]-Tabla1[[#This Row],[PC]]</f>
        <v>41.645600000000002</v>
      </c>
      <c r="K412" s="15"/>
      <c r="L412" s="15" t="str">
        <f t="shared" si="6"/>
        <v>NORMAL</v>
      </c>
    </row>
    <row r="413" spans="1:12" x14ac:dyDescent="0.25">
      <c r="A413" s="3" t="s">
        <v>1022</v>
      </c>
      <c r="B413" s="3" t="s">
        <v>1023</v>
      </c>
      <c r="C413" s="1">
        <v>13</v>
      </c>
      <c r="D413" s="1">
        <v>67.91</v>
      </c>
      <c r="E413" s="1" t="s">
        <v>154</v>
      </c>
      <c r="F413" s="1" t="s">
        <v>3033</v>
      </c>
      <c r="G413" s="3"/>
      <c r="H413" s="11">
        <f>ROUND(
IF(L413="GANCHO",
   IF(I413&lt;=50,I413*1.1+4,IF(I413&lt;=120,I413*1.1+7,IF(I413&lt;=250,I413*1.1+11,I413*1.1+19))),
IF(L413="NORMAL",
   IF(I413&lt;=30,I413*1.15+2,IF(I413&lt;=80,I413*1.15+4,IF(I413&lt;=150,I413*1.15+6,I413*1.15+8))),
IF(L413="COMPLEMENTO",
   IF(I413&lt;=25,I413*1.25+1.5,IF(I413&lt;=60,I413*1.25+3,IF(I413&lt;=120,I413*1.25+4,I413*1.25+5))),
""))),2)</f>
        <v>332.38</v>
      </c>
      <c r="I413" s="9">
        <f>($K$2+0.02)*Tabla1[[#This Row],[PRECIO $]]*1.18</f>
        <v>282.07097599999997</v>
      </c>
      <c r="J413" s="7">
        <f>+Tabla1[[#This Row],[PRECIO EN SOLES]]-Tabla1[[#This Row],[PC]]</f>
        <v>50.309024000000022</v>
      </c>
      <c r="K413" s="15"/>
      <c r="L413" s="15" t="str">
        <f t="shared" si="6"/>
        <v>NORMAL</v>
      </c>
    </row>
    <row r="414" spans="1:12" x14ac:dyDescent="0.25">
      <c r="A414" s="3" t="s">
        <v>1025</v>
      </c>
      <c r="B414" s="3" t="s">
        <v>1026</v>
      </c>
      <c r="C414" s="1">
        <v>1</v>
      </c>
      <c r="D414" s="1">
        <v>908</v>
      </c>
      <c r="E414" s="1" t="s">
        <v>56</v>
      </c>
      <c r="F414" s="1" t="s">
        <v>3034</v>
      </c>
      <c r="G414" s="3" t="s">
        <v>1027</v>
      </c>
      <c r="H414" s="11">
        <f>ROUND(
IF(L414="GANCHO",
   IF(I414&lt;=50,I414*1.1+4,IF(I414&lt;=120,I414*1.1+7,IF(I414&lt;=250,I414*1.1+11,I414*1.1+19))),
IF(L414="NORMAL",
   IF(I414&lt;=30,I414*1.15+2,IF(I414&lt;=80,I414*1.15+4,IF(I414&lt;=150,I414*1.15+6,I414*1.15+8))),
IF(L414="COMPLEMENTO",
   IF(I414&lt;=25,I414*1.25+1.5,IF(I414&lt;=60,I414*1.25+3,IF(I414&lt;=120,I414*1.25+4,I414*1.25+5))),
""))),2)</f>
        <v>4345.1899999999996</v>
      </c>
      <c r="I414" s="9">
        <f>($K$2+0.02)*Tabla1[[#This Row],[PRECIO $]]*1.18</f>
        <v>3771.4687999999996</v>
      </c>
      <c r="J414" s="7">
        <f>+Tabla1[[#This Row],[PRECIO EN SOLES]]-Tabla1[[#This Row],[PC]]</f>
        <v>573.72119999999995</v>
      </c>
      <c r="K414" s="15"/>
      <c r="L414" s="15" t="str">
        <f t="shared" si="6"/>
        <v>NORMAL</v>
      </c>
    </row>
    <row r="415" spans="1:12" x14ac:dyDescent="0.25">
      <c r="A415" s="3" t="s">
        <v>1028</v>
      </c>
      <c r="B415" s="3" t="s">
        <v>1029</v>
      </c>
      <c r="C415" s="1">
        <v>1</v>
      </c>
      <c r="D415" s="1">
        <v>2000</v>
      </c>
      <c r="E415" s="1" t="s">
        <v>56</v>
      </c>
      <c r="F415" s="1" t="s">
        <v>3035</v>
      </c>
      <c r="G415" s="3"/>
      <c r="H415" s="11">
        <f>ROUND(
IF(L415="GANCHO",
   IF(I415&lt;=50,I415*1.1+4,IF(I415&lt;=120,I415*1.1+7,IF(I415&lt;=250,I415*1.1+11,I415*1.1+19))),
IF(L415="NORMAL",
   IF(I415&lt;=30,I415*1.15+2,IF(I415&lt;=80,I415*1.15+4,IF(I415&lt;=150,I415*1.15+6,I415*1.15+8))),
IF(L415="COMPLEMENTO",
   IF(I415&lt;=25,I415*1.25+1.5,IF(I415&lt;=60,I415*1.25+3,IF(I415&lt;=120,I415*1.25+4,I415*1.25+5))),
""))),2)</f>
        <v>9561.2800000000007</v>
      </c>
      <c r="I415" s="9">
        <f>($K$2+0.02)*Tabla1[[#This Row],[PRECIO $]]*1.18</f>
        <v>8307.1999999999989</v>
      </c>
      <c r="J415" s="7">
        <f>+Tabla1[[#This Row],[PRECIO EN SOLES]]-Tabla1[[#This Row],[PC]]</f>
        <v>1254.0800000000017</v>
      </c>
      <c r="K415" s="15"/>
      <c r="L415" s="15" t="str">
        <f t="shared" si="6"/>
        <v>NORMAL</v>
      </c>
    </row>
    <row r="416" spans="1:12" x14ac:dyDescent="0.25">
      <c r="A416" s="3" t="s">
        <v>1030</v>
      </c>
      <c r="B416" s="3" t="s">
        <v>1031</v>
      </c>
      <c r="C416" s="1">
        <v>5</v>
      </c>
      <c r="D416" s="1">
        <v>42</v>
      </c>
      <c r="E416" s="1" t="s">
        <v>148</v>
      </c>
      <c r="F416" s="1" t="s">
        <v>3036</v>
      </c>
      <c r="G416" s="3"/>
      <c r="H416" s="11">
        <f>ROUND(
IF(L416="GANCHO",
   IF(I416&lt;=50,I416*1.1+4,IF(I416&lt;=120,I416*1.1+7,IF(I416&lt;=250,I416*1.1+11,I416*1.1+19))),
IF(L416="NORMAL",
   IF(I416&lt;=30,I416*1.15+2,IF(I416&lt;=80,I416*1.15+4,IF(I416&lt;=150,I416*1.15+6,I416*1.15+8))),
IF(L416="COMPLEMENTO",
   IF(I416&lt;=25,I416*1.25+1.5,IF(I416&lt;=60,I416*1.25+3,IF(I416&lt;=120,I416*1.25+4,I416*1.25+5))),
""))),2)</f>
        <v>208.62</v>
      </c>
      <c r="I416" s="9">
        <f>($K$2+0.02)*Tabla1[[#This Row],[PRECIO $]]*1.18</f>
        <v>174.4512</v>
      </c>
      <c r="J416" s="7">
        <f>+Tabla1[[#This Row],[PRECIO EN SOLES]]-Tabla1[[#This Row],[PC]]</f>
        <v>34.168800000000005</v>
      </c>
      <c r="K416" s="15"/>
      <c r="L416" s="15" t="str">
        <f t="shared" si="6"/>
        <v>NORMAL</v>
      </c>
    </row>
    <row r="417" spans="1:12" x14ac:dyDescent="0.25">
      <c r="A417" s="3" t="s">
        <v>1032</v>
      </c>
      <c r="B417" s="3" t="s">
        <v>1033</v>
      </c>
      <c r="C417" s="1">
        <v>3</v>
      </c>
      <c r="D417" s="1">
        <v>100</v>
      </c>
      <c r="E417" s="1" t="s">
        <v>148</v>
      </c>
      <c r="F417" s="1" t="s">
        <v>3037</v>
      </c>
      <c r="G417" s="3" t="s">
        <v>1034</v>
      </c>
      <c r="H417" s="11">
        <f>ROUND(
IF(L417="GANCHO",
   IF(I417&lt;=50,I417*1.1+4,IF(I417&lt;=120,I417*1.1+7,IF(I417&lt;=250,I417*1.1+11,I417*1.1+19))),
IF(L417="NORMAL",
   IF(I417&lt;=30,I417*1.15+2,IF(I417&lt;=80,I417*1.15+4,IF(I417&lt;=150,I417*1.15+6,I417*1.15+8))),
IF(L417="COMPLEMENTO",
   IF(I417&lt;=25,I417*1.25+1.5,IF(I417&lt;=60,I417*1.25+3,IF(I417&lt;=120,I417*1.25+4,I417*1.25+5))),
""))),2)</f>
        <v>485.66</v>
      </c>
      <c r="I417" s="9">
        <f>($K$2+0.02)*Tabla1[[#This Row],[PRECIO $]]*1.18</f>
        <v>415.35999999999996</v>
      </c>
      <c r="J417" s="7">
        <f>+Tabla1[[#This Row],[PRECIO EN SOLES]]-Tabla1[[#This Row],[PC]]</f>
        <v>70.300000000000068</v>
      </c>
      <c r="K417" s="15"/>
      <c r="L417" s="15" t="str">
        <f t="shared" si="6"/>
        <v>NORMAL</v>
      </c>
    </row>
    <row r="418" spans="1:12" x14ac:dyDescent="0.25">
      <c r="A418" s="3" t="s">
        <v>1035</v>
      </c>
      <c r="B418" s="3" t="s">
        <v>1036</v>
      </c>
      <c r="C418" s="1">
        <v>20</v>
      </c>
      <c r="D418" s="1">
        <v>100</v>
      </c>
      <c r="E418" s="1" t="s">
        <v>783</v>
      </c>
      <c r="F418" s="1" t="s">
        <v>3038</v>
      </c>
      <c r="G418" s="3"/>
      <c r="H418" s="11">
        <f>ROUND(
IF(L418="GANCHO",
   IF(I418&lt;=50,I418*1.1+4,IF(I418&lt;=120,I418*1.1+7,IF(I418&lt;=250,I418*1.1+11,I418*1.1+19))),
IF(L418="NORMAL",
   IF(I418&lt;=30,I418*1.15+2,IF(I418&lt;=80,I418*1.15+4,IF(I418&lt;=150,I418*1.15+6,I418*1.15+8))),
IF(L418="COMPLEMENTO",
   IF(I418&lt;=25,I418*1.25+1.5,IF(I418&lt;=60,I418*1.25+3,IF(I418&lt;=120,I418*1.25+4,I418*1.25+5))),
""))),2)</f>
        <v>485.66</v>
      </c>
      <c r="I418" s="9">
        <f>($K$2+0.02)*Tabla1[[#This Row],[PRECIO $]]*1.18</f>
        <v>415.35999999999996</v>
      </c>
      <c r="J418" s="7">
        <f>+Tabla1[[#This Row],[PRECIO EN SOLES]]-Tabla1[[#This Row],[PC]]</f>
        <v>70.300000000000068</v>
      </c>
      <c r="K418" s="15"/>
      <c r="L418" s="15" t="str">
        <f t="shared" si="6"/>
        <v>NORMAL</v>
      </c>
    </row>
    <row r="419" spans="1:12" x14ac:dyDescent="0.25">
      <c r="A419" s="3" t="s">
        <v>1037</v>
      </c>
      <c r="B419" s="3" t="s">
        <v>1038</v>
      </c>
      <c r="C419" s="1">
        <v>0</v>
      </c>
      <c r="D419" s="1">
        <v>9999999.9900000002</v>
      </c>
      <c r="E419" s="1" t="s">
        <v>783</v>
      </c>
      <c r="F419" s="1" t="s">
        <v>3039</v>
      </c>
      <c r="G419" s="3"/>
      <c r="H419" s="11">
        <f>ROUND(
IF(L419="GANCHO",
   IF(I419&lt;=50,I419*1.1+4,IF(I419&lt;=120,I419*1.1+7,IF(I419&lt;=250,I419*1.1+11,I419*1.1+19))),
IF(L419="NORMAL",
   IF(I419&lt;=30,I419*1.15+2,IF(I419&lt;=80,I419*1.15+4,IF(I419&lt;=150,I419*1.15+6,I419*1.15+8))),
IF(L419="COMPLEMENTO",
   IF(I419&lt;=25,I419*1.25+1.5,IF(I419&lt;=60,I419*1.25+3,IF(I419&lt;=120,I419*1.25+4,I419*1.25+5))),
""))),2)</f>
        <v>47766407.950000003</v>
      </c>
      <c r="I419" s="9">
        <f>($K$2+0.02)*Tabla1[[#This Row],[PRECIO $]]*1.18</f>
        <v>41535999.958463997</v>
      </c>
      <c r="J419" s="7">
        <f>+Tabla1[[#This Row],[PRECIO EN SOLES]]-Tabla1[[#This Row],[PC]]</f>
        <v>6230407.9915360063</v>
      </c>
      <c r="K419" s="15"/>
      <c r="L419" s="15" t="str">
        <f t="shared" si="6"/>
        <v>NORMAL</v>
      </c>
    </row>
    <row r="420" spans="1:12" x14ac:dyDescent="0.25">
      <c r="A420" s="3" t="s">
        <v>1039</v>
      </c>
      <c r="B420" s="3" t="s">
        <v>1040</v>
      </c>
      <c r="C420" s="1">
        <v>1</v>
      </c>
      <c r="D420" s="1">
        <v>2000</v>
      </c>
      <c r="E420" s="1" t="s">
        <v>1024</v>
      </c>
      <c r="F420" s="1" t="s">
        <v>3040</v>
      </c>
      <c r="G420" s="3"/>
      <c r="H420" s="11">
        <f>ROUND(
IF(L420="GANCHO",
   IF(I420&lt;=50,I420*1.1+4,IF(I420&lt;=120,I420*1.1+7,IF(I420&lt;=250,I420*1.1+11,I420*1.1+19))),
IF(L420="NORMAL",
   IF(I420&lt;=30,I420*1.15+2,IF(I420&lt;=80,I420*1.15+4,IF(I420&lt;=150,I420*1.15+6,I420*1.15+8))),
IF(L420="COMPLEMENTO",
   IF(I420&lt;=25,I420*1.25+1.5,IF(I420&lt;=60,I420*1.25+3,IF(I420&lt;=120,I420*1.25+4,I420*1.25+5))),
""))),2)</f>
        <v>9561.2800000000007</v>
      </c>
      <c r="I420" s="9">
        <f>($K$2+0.02)*Tabla1[[#This Row],[PRECIO $]]*1.18</f>
        <v>8307.1999999999989</v>
      </c>
      <c r="J420" s="7">
        <f>+Tabla1[[#This Row],[PRECIO EN SOLES]]-Tabla1[[#This Row],[PC]]</f>
        <v>1254.0800000000017</v>
      </c>
      <c r="K420" s="15"/>
      <c r="L420" s="15" t="str">
        <f t="shared" si="6"/>
        <v>NORMAL</v>
      </c>
    </row>
    <row r="421" spans="1:12" x14ac:dyDescent="0.25">
      <c r="A421" s="3" t="s">
        <v>1041</v>
      </c>
      <c r="B421" s="3" t="s">
        <v>1042</v>
      </c>
      <c r="C421" s="1">
        <v>1</v>
      </c>
      <c r="D421" s="1">
        <v>65.27</v>
      </c>
      <c r="E421" s="1" t="s">
        <v>1024</v>
      </c>
      <c r="F421" s="1" t="s">
        <v>3041</v>
      </c>
      <c r="G421" s="3"/>
      <c r="H421" s="11">
        <f>ROUND(
IF(L421="GANCHO",
   IF(I421&lt;=50,I421*1.1+4,IF(I421&lt;=120,I421*1.1+7,IF(I421&lt;=250,I421*1.1+11,I421*1.1+19))),
IF(L421="NORMAL",
   IF(I421&lt;=30,I421*1.15+2,IF(I421&lt;=80,I421*1.15+4,IF(I421&lt;=150,I421*1.15+6,I421*1.15+8))),
IF(L421="COMPLEMENTO",
   IF(I421&lt;=25,I421*1.25+1.5,IF(I421&lt;=60,I421*1.25+3,IF(I421&lt;=120,I421*1.25+4,I421*1.25+5))),
""))),2)</f>
        <v>319.77</v>
      </c>
      <c r="I421" s="9">
        <f>($K$2+0.02)*Tabla1[[#This Row],[PRECIO $]]*1.18</f>
        <v>271.10547199999996</v>
      </c>
      <c r="J421" s="7">
        <f>+Tabla1[[#This Row],[PRECIO EN SOLES]]-Tabla1[[#This Row],[PC]]</f>
        <v>48.664528000000018</v>
      </c>
      <c r="K421" s="15"/>
      <c r="L421" s="15" t="str">
        <f t="shared" si="6"/>
        <v>NORMAL</v>
      </c>
    </row>
    <row r="422" spans="1:12" x14ac:dyDescent="0.25">
      <c r="A422" s="3" t="s">
        <v>1043</v>
      </c>
      <c r="B422" s="3" t="s">
        <v>1044</v>
      </c>
      <c r="C422" s="1">
        <v>0</v>
      </c>
      <c r="D422" s="1">
        <v>300</v>
      </c>
      <c r="E422" s="1" t="s">
        <v>1045</v>
      </c>
      <c r="F422" s="1" t="s">
        <v>3042</v>
      </c>
      <c r="G422" s="3" t="s">
        <v>1046</v>
      </c>
      <c r="H422" s="11">
        <f>ROUND(
IF(L422="GANCHO",
   IF(I422&lt;=50,I422*1.1+4,IF(I422&lt;=120,I422*1.1+7,IF(I422&lt;=250,I422*1.1+11,I422*1.1+19))),
IF(L422="NORMAL",
   IF(I422&lt;=30,I422*1.15+2,IF(I422&lt;=80,I422*1.15+4,IF(I422&lt;=150,I422*1.15+6,I422*1.15+8))),
IF(L422="COMPLEMENTO",
   IF(I422&lt;=25,I422*1.25+1.5,IF(I422&lt;=60,I422*1.25+3,IF(I422&lt;=120,I422*1.25+4,I422*1.25+5))),
""))),2)</f>
        <v>1440.99</v>
      </c>
      <c r="I422" s="9">
        <f>($K$2+0.02)*Tabla1[[#This Row],[PRECIO $]]*1.18</f>
        <v>1246.08</v>
      </c>
      <c r="J422" s="7">
        <f>+Tabla1[[#This Row],[PRECIO EN SOLES]]-Tabla1[[#This Row],[PC]]</f>
        <v>194.91000000000008</v>
      </c>
      <c r="K422" s="15"/>
      <c r="L422" s="15" t="str">
        <f t="shared" si="6"/>
        <v>NORMAL</v>
      </c>
    </row>
    <row r="423" spans="1:12" x14ac:dyDescent="0.25">
      <c r="A423" s="3" t="s">
        <v>1047</v>
      </c>
      <c r="B423" s="3" t="s">
        <v>1048</v>
      </c>
      <c r="C423" s="1">
        <v>2</v>
      </c>
      <c r="D423" s="1">
        <v>522</v>
      </c>
      <c r="E423" s="1" t="s">
        <v>1024</v>
      </c>
      <c r="F423" s="1" t="s">
        <v>3043</v>
      </c>
      <c r="G423" s="3"/>
      <c r="H423" s="11">
        <f>ROUND(
IF(L423="GANCHO",
   IF(I423&lt;=50,I423*1.1+4,IF(I423&lt;=120,I423*1.1+7,IF(I423&lt;=250,I423*1.1+11,I423*1.1+19))),
IF(L423="NORMAL",
   IF(I423&lt;=30,I423*1.15+2,IF(I423&lt;=80,I423*1.15+4,IF(I423&lt;=150,I423*1.15+6,I423*1.15+8))),
IF(L423="COMPLEMENTO",
   IF(I423&lt;=25,I423*1.25+1.5,IF(I423&lt;=60,I423*1.25+3,IF(I423&lt;=120,I423*1.25+4,I423*1.25+5))),
""))),2)</f>
        <v>2501.41</v>
      </c>
      <c r="I423" s="9">
        <f>($K$2+0.02)*Tabla1[[#This Row],[PRECIO $]]*1.18</f>
        <v>2168.1792</v>
      </c>
      <c r="J423" s="7">
        <f>+Tabla1[[#This Row],[PRECIO EN SOLES]]-Tabla1[[#This Row],[PC]]</f>
        <v>333.23079999999982</v>
      </c>
      <c r="K423" s="15"/>
      <c r="L423" s="15" t="str">
        <f t="shared" si="6"/>
        <v>NORMAL</v>
      </c>
    </row>
    <row r="424" spans="1:12" x14ac:dyDescent="0.25">
      <c r="A424" s="3" t="s">
        <v>1049</v>
      </c>
      <c r="B424" s="3" t="s">
        <v>1050</v>
      </c>
      <c r="C424" s="1">
        <v>0</v>
      </c>
      <c r="D424" s="1">
        <v>350</v>
      </c>
      <c r="E424" s="1" t="s">
        <v>1024</v>
      </c>
      <c r="F424" s="1" t="s">
        <v>3044</v>
      </c>
      <c r="G424" s="3"/>
      <c r="H424" s="11">
        <f>ROUND(
IF(L424="GANCHO",
   IF(I424&lt;=50,I424*1.1+4,IF(I424&lt;=120,I424*1.1+7,IF(I424&lt;=250,I424*1.1+11,I424*1.1+19))),
IF(L424="NORMAL",
   IF(I424&lt;=30,I424*1.15+2,IF(I424&lt;=80,I424*1.15+4,IF(I424&lt;=150,I424*1.15+6,I424*1.15+8))),
IF(L424="COMPLEMENTO",
   IF(I424&lt;=25,I424*1.25+1.5,IF(I424&lt;=60,I424*1.25+3,IF(I424&lt;=120,I424*1.25+4,I424*1.25+5))),
""))),2)</f>
        <v>1679.82</v>
      </c>
      <c r="I424" s="9">
        <f>($K$2+0.02)*Tabla1[[#This Row],[PRECIO $]]*1.18</f>
        <v>1453.76</v>
      </c>
      <c r="J424" s="7">
        <f>+Tabla1[[#This Row],[PRECIO EN SOLES]]-Tabla1[[#This Row],[PC]]</f>
        <v>226.05999999999995</v>
      </c>
      <c r="K424" s="15"/>
      <c r="L424" s="15" t="str">
        <f t="shared" si="6"/>
        <v>NORMAL</v>
      </c>
    </row>
    <row r="425" spans="1:12" x14ac:dyDescent="0.25">
      <c r="A425" s="3" t="s">
        <v>1051</v>
      </c>
      <c r="B425" s="3" t="s">
        <v>1052</v>
      </c>
      <c r="C425" s="1">
        <v>7</v>
      </c>
      <c r="D425" s="1">
        <v>60</v>
      </c>
      <c r="E425" s="1" t="s">
        <v>1024</v>
      </c>
      <c r="F425" s="1" t="s">
        <v>3045</v>
      </c>
      <c r="G425" s="3"/>
      <c r="H425" s="11">
        <f>ROUND(
IF(L425="GANCHO",
   IF(I425&lt;=50,I425*1.1+4,IF(I425&lt;=120,I425*1.1+7,IF(I425&lt;=250,I425*1.1+11,I425*1.1+19))),
IF(L425="NORMAL",
   IF(I425&lt;=30,I425*1.15+2,IF(I425&lt;=80,I425*1.15+4,IF(I425&lt;=150,I425*1.15+6,I425*1.15+8))),
IF(L425="COMPLEMENTO",
   IF(I425&lt;=25,I425*1.25+1.5,IF(I425&lt;=60,I425*1.25+3,IF(I425&lt;=120,I425*1.25+4,I425*1.25+5))),
""))),2)</f>
        <v>294.60000000000002</v>
      </c>
      <c r="I425" s="9">
        <f>($K$2+0.02)*Tabla1[[#This Row],[PRECIO $]]*1.18</f>
        <v>249.21599999999998</v>
      </c>
      <c r="J425" s="7">
        <f>+Tabla1[[#This Row],[PRECIO EN SOLES]]-Tabla1[[#This Row],[PC]]</f>
        <v>45.384000000000043</v>
      </c>
      <c r="K425" s="15"/>
      <c r="L425" s="15" t="str">
        <f t="shared" si="6"/>
        <v>NORMAL</v>
      </c>
    </row>
    <row r="426" spans="1:12" x14ac:dyDescent="0.25">
      <c r="A426" s="3" t="s">
        <v>1053</v>
      </c>
      <c r="B426" s="3" t="s">
        <v>1054</v>
      </c>
      <c r="C426" s="1">
        <v>1</v>
      </c>
      <c r="D426" s="1">
        <v>15.3</v>
      </c>
      <c r="E426" s="1" t="s">
        <v>56</v>
      </c>
      <c r="F426" s="1" t="s">
        <v>3046</v>
      </c>
      <c r="G426" s="3"/>
      <c r="H426" s="11">
        <f>ROUND(
IF(L426="GANCHO",
   IF(I426&lt;=50,I426*1.1+4,IF(I426&lt;=120,I426*1.1+7,IF(I426&lt;=250,I426*1.1+11,I426*1.1+19))),
IF(L426="NORMAL",
   IF(I426&lt;=30,I426*1.15+2,IF(I426&lt;=80,I426*1.15+4,IF(I426&lt;=150,I426*1.15+6,I426*1.15+8))),
IF(L426="COMPLEMENTO",
   IF(I426&lt;=25,I426*1.25+1.5,IF(I426&lt;=60,I426*1.25+3,IF(I426&lt;=120,I426*1.25+4,I426*1.25+5))),
""))),2)</f>
        <v>77.08</v>
      </c>
      <c r="I426" s="9">
        <f>($K$2+0.02)*Tabla1[[#This Row],[PRECIO $]]*1.18</f>
        <v>63.550080000000001</v>
      </c>
      <c r="J426" s="7">
        <f>+Tabla1[[#This Row],[PRECIO EN SOLES]]-Tabla1[[#This Row],[PC]]</f>
        <v>13.529919999999997</v>
      </c>
      <c r="K426" s="15"/>
      <c r="L426" s="15" t="str">
        <f t="shared" si="6"/>
        <v>NORMAL</v>
      </c>
    </row>
    <row r="427" spans="1:12" x14ac:dyDescent="0.25">
      <c r="A427" s="3" t="s">
        <v>1055</v>
      </c>
      <c r="B427" s="3" t="s">
        <v>1056</v>
      </c>
      <c r="C427" s="1">
        <v>1</v>
      </c>
      <c r="D427" s="1">
        <v>52</v>
      </c>
      <c r="E427" s="1" t="s">
        <v>154</v>
      </c>
      <c r="F427" s="1" t="s">
        <v>3047</v>
      </c>
      <c r="G427" s="3" t="s">
        <v>1057</v>
      </c>
      <c r="H427" s="11">
        <f>ROUND(
IF(L427="GANCHO",
   IF(I427&lt;=50,I427*1.1+4,IF(I427&lt;=120,I427*1.1+7,IF(I427&lt;=250,I427*1.1+11,I427*1.1+19))),
IF(L427="NORMAL",
   IF(I427&lt;=30,I427*1.15+2,IF(I427&lt;=80,I427*1.15+4,IF(I427&lt;=150,I427*1.15+6,I427*1.15+8))),
IF(L427="COMPLEMENTO",
   IF(I427&lt;=25,I427*1.25+1.5,IF(I427&lt;=60,I427*1.25+3,IF(I427&lt;=120,I427*1.25+4,I427*1.25+5))),
""))),2)</f>
        <v>256.39</v>
      </c>
      <c r="I427" s="9">
        <f>($K$2+0.02)*Tabla1[[#This Row],[PRECIO $]]*1.18</f>
        <v>215.98719999999997</v>
      </c>
      <c r="J427" s="7">
        <f>+Tabla1[[#This Row],[PRECIO EN SOLES]]-Tabla1[[#This Row],[PC]]</f>
        <v>40.402800000000013</v>
      </c>
      <c r="K427" s="15"/>
      <c r="L427" s="15" t="str">
        <f t="shared" si="6"/>
        <v>NORMAL</v>
      </c>
    </row>
    <row r="428" spans="1:12" x14ac:dyDescent="0.25">
      <c r="A428" s="3" t="s">
        <v>1058</v>
      </c>
      <c r="B428" s="3" t="s">
        <v>1059</v>
      </c>
      <c r="C428" s="1">
        <v>1</v>
      </c>
      <c r="D428" s="1">
        <v>67</v>
      </c>
      <c r="E428" s="1" t="s">
        <v>154</v>
      </c>
      <c r="F428" s="1" t="s">
        <v>3048</v>
      </c>
      <c r="G428" s="3" t="s">
        <v>1060</v>
      </c>
      <c r="H428" s="11">
        <f>ROUND(
IF(L428="GANCHO",
   IF(I428&lt;=50,I428*1.1+4,IF(I428&lt;=120,I428*1.1+7,IF(I428&lt;=250,I428*1.1+11,I428*1.1+19))),
IF(L428="NORMAL",
   IF(I428&lt;=30,I428*1.15+2,IF(I428&lt;=80,I428*1.15+4,IF(I428&lt;=150,I428*1.15+6,I428*1.15+8))),
IF(L428="COMPLEMENTO",
   IF(I428&lt;=25,I428*1.25+1.5,IF(I428&lt;=60,I428*1.25+3,IF(I428&lt;=120,I428*1.25+4,I428*1.25+5))),
""))),2)</f>
        <v>328.03</v>
      </c>
      <c r="I428" s="9">
        <f>($K$2+0.02)*Tabla1[[#This Row],[PRECIO $]]*1.18</f>
        <v>278.2912</v>
      </c>
      <c r="J428" s="7">
        <f>+Tabla1[[#This Row],[PRECIO EN SOLES]]-Tabla1[[#This Row],[PC]]</f>
        <v>49.738799999999969</v>
      </c>
      <c r="K428" s="15"/>
      <c r="L428" s="15" t="str">
        <f t="shared" si="6"/>
        <v>NORMAL</v>
      </c>
    </row>
    <row r="429" spans="1:12" x14ac:dyDescent="0.25">
      <c r="A429" s="3" t="s">
        <v>1061</v>
      </c>
      <c r="B429" s="3" t="s">
        <v>1062</v>
      </c>
      <c r="C429" s="1">
        <v>1</v>
      </c>
      <c r="D429" s="1">
        <v>520</v>
      </c>
      <c r="E429" s="1" t="s">
        <v>1024</v>
      </c>
      <c r="F429" s="1" t="s">
        <v>3049</v>
      </c>
      <c r="G429" s="3"/>
      <c r="H429" s="11">
        <f>ROUND(
IF(L429="GANCHO",
   IF(I429&lt;=50,I429*1.1+4,IF(I429&lt;=120,I429*1.1+7,IF(I429&lt;=250,I429*1.1+11,I429*1.1+19))),
IF(L429="NORMAL",
   IF(I429&lt;=30,I429*1.15+2,IF(I429&lt;=80,I429*1.15+4,IF(I429&lt;=150,I429*1.15+6,I429*1.15+8))),
IF(L429="COMPLEMENTO",
   IF(I429&lt;=25,I429*1.25+1.5,IF(I429&lt;=60,I429*1.25+3,IF(I429&lt;=120,I429*1.25+4,I429*1.25+5))),
""))),2)</f>
        <v>2491.85</v>
      </c>
      <c r="I429" s="9">
        <f>($K$2+0.02)*Tabla1[[#This Row],[PRECIO $]]*1.18</f>
        <v>2159.8719999999998</v>
      </c>
      <c r="J429" s="7">
        <f>+Tabla1[[#This Row],[PRECIO EN SOLES]]-Tabla1[[#This Row],[PC]]</f>
        <v>331.97800000000007</v>
      </c>
      <c r="K429" s="15"/>
      <c r="L429" s="15" t="str">
        <f t="shared" si="6"/>
        <v>NORMAL</v>
      </c>
    </row>
    <row r="430" spans="1:12" x14ac:dyDescent="0.25">
      <c r="A430" s="3" t="s">
        <v>1063</v>
      </c>
      <c r="B430" s="3" t="s">
        <v>1064</v>
      </c>
      <c r="C430" s="1">
        <v>0</v>
      </c>
      <c r="D430" s="1">
        <v>99</v>
      </c>
      <c r="E430" s="1" t="s">
        <v>56</v>
      </c>
      <c r="F430" s="1" t="s">
        <v>3050</v>
      </c>
      <c r="G430" s="3" t="s">
        <v>1065</v>
      </c>
      <c r="H430" s="11">
        <f>ROUND(
IF(L430="GANCHO",
   IF(I430&lt;=50,I430*1.1+4,IF(I430&lt;=120,I430*1.1+7,IF(I430&lt;=250,I430*1.1+11,I430*1.1+19))),
IF(L430="NORMAL",
   IF(I430&lt;=30,I430*1.15+2,IF(I430&lt;=80,I430*1.15+4,IF(I430&lt;=150,I430*1.15+6,I430*1.15+8))),
IF(L430="COMPLEMENTO",
   IF(I430&lt;=25,I430*1.25+1.5,IF(I430&lt;=60,I430*1.25+3,IF(I430&lt;=120,I430*1.25+4,I430*1.25+5))),
""))),2)</f>
        <v>480.89</v>
      </c>
      <c r="I430" s="9">
        <f>($K$2+0.02)*Tabla1[[#This Row],[PRECIO $]]*1.18</f>
        <v>411.20639999999997</v>
      </c>
      <c r="J430" s="7">
        <f>+Tabla1[[#This Row],[PRECIO EN SOLES]]-Tabla1[[#This Row],[PC]]</f>
        <v>69.683600000000013</v>
      </c>
      <c r="K430" s="15"/>
      <c r="L430" s="15" t="str">
        <f t="shared" si="6"/>
        <v>NORMAL</v>
      </c>
    </row>
    <row r="431" spans="1:12" x14ac:dyDescent="0.25">
      <c r="A431" s="3" t="s">
        <v>1066</v>
      </c>
      <c r="B431" s="3" t="s">
        <v>1067</v>
      </c>
      <c r="C431" s="1">
        <v>1</v>
      </c>
      <c r="D431" s="1">
        <v>38.6</v>
      </c>
      <c r="E431" s="1" t="s">
        <v>148</v>
      </c>
      <c r="F431" s="1" t="s">
        <v>3051</v>
      </c>
      <c r="G431" s="3" t="s">
        <v>1068</v>
      </c>
      <c r="H431" s="11">
        <f>ROUND(
IF(L431="GANCHO",
   IF(I431&lt;=50,I431*1.1+4,IF(I431&lt;=120,I431*1.1+7,IF(I431&lt;=250,I431*1.1+11,I431*1.1+19))),
IF(L431="NORMAL",
   IF(I431&lt;=30,I431*1.15+2,IF(I431&lt;=80,I431*1.15+4,IF(I431&lt;=150,I431*1.15+6,I431*1.15+8))),
IF(L431="COMPLEMENTO",
   IF(I431&lt;=25,I431*1.25+1.5,IF(I431&lt;=60,I431*1.25+3,IF(I431&lt;=120,I431*1.25+4,I431*1.25+5))),
""))),2)</f>
        <v>187.36</v>
      </c>
      <c r="I431" s="9">
        <f>($K$2+0.02)*Tabla1[[#This Row],[PRECIO $]]*1.18</f>
        <v>160.32896</v>
      </c>
      <c r="J431" s="7">
        <f>+Tabla1[[#This Row],[PRECIO EN SOLES]]-Tabla1[[#This Row],[PC]]</f>
        <v>27.031040000000019</v>
      </c>
      <c r="K431" s="15"/>
      <c r="L431" s="15" t="str">
        <f t="shared" si="6"/>
        <v>GANCHO</v>
      </c>
    </row>
    <row r="432" spans="1:12" x14ac:dyDescent="0.25">
      <c r="A432" s="3" t="s">
        <v>1069</v>
      </c>
      <c r="B432" s="3" t="s">
        <v>1070</v>
      </c>
      <c r="C432" s="1">
        <v>1</v>
      </c>
      <c r="D432" s="1">
        <v>278.89999999999998</v>
      </c>
      <c r="E432" s="1" t="s">
        <v>1024</v>
      </c>
      <c r="F432" s="1" t="s">
        <v>3052</v>
      </c>
      <c r="G432" s="3" t="s">
        <v>1071</v>
      </c>
      <c r="H432" s="11">
        <f>ROUND(
IF(L432="GANCHO",
   IF(I432&lt;=50,I432*1.1+4,IF(I432&lt;=120,I432*1.1+7,IF(I432&lt;=250,I432*1.1+11,I432*1.1+19))),
IF(L432="NORMAL",
   IF(I432&lt;=30,I432*1.15+2,IF(I432&lt;=80,I432*1.15+4,IF(I432&lt;=150,I432*1.15+6,I432*1.15+8))),
IF(L432="COMPLEMENTO",
   IF(I432&lt;=25,I432*1.25+1.5,IF(I432&lt;=60,I432*1.25+3,IF(I432&lt;=120,I432*1.25+4,I432*1.25+5))),
""))),2)</f>
        <v>1340.2</v>
      </c>
      <c r="I432" s="9">
        <f>($K$2+0.02)*Tabla1[[#This Row],[PRECIO $]]*1.18</f>
        <v>1158.43904</v>
      </c>
      <c r="J432" s="7">
        <f>+Tabla1[[#This Row],[PRECIO EN SOLES]]-Tabla1[[#This Row],[PC]]</f>
        <v>181.76096000000007</v>
      </c>
      <c r="K432" s="15"/>
      <c r="L432" s="15" t="str">
        <f t="shared" si="6"/>
        <v>NORMAL</v>
      </c>
    </row>
    <row r="433" spans="1:12" x14ac:dyDescent="0.25">
      <c r="A433" s="3" t="s">
        <v>1072</v>
      </c>
      <c r="B433" s="3" t="s">
        <v>1073</v>
      </c>
      <c r="C433" s="1">
        <v>0</v>
      </c>
      <c r="D433" s="1">
        <v>9999999.9900000002</v>
      </c>
      <c r="E433" s="1" t="s">
        <v>56</v>
      </c>
      <c r="F433" s="1" t="s">
        <v>3053</v>
      </c>
      <c r="G433" s="3" t="s">
        <v>1074</v>
      </c>
      <c r="H433" s="11">
        <f>ROUND(
IF(L433="GANCHO",
   IF(I433&lt;=50,I433*1.1+4,IF(I433&lt;=120,I433*1.1+7,IF(I433&lt;=250,I433*1.1+11,I433*1.1+19))),
IF(L433="NORMAL",
   IF(I433&lt;=30,I433*1.15+2,IF(I433&lt;=80,I433*1.15+4,IF(I433&lt;=150,I433*1.15+6,I433*1.15+8))),
IF(L433="COMPLEMENTO",
   IF(I433&lt;=25,I433*1.25+1.5,IF(I433&lt;=60,I433*1.25+3,IF(I433&lt;=120,I433*1.25+4,I433*1.25+5))),
""))),2)</f>
        <v>47766407.950000003</v>
      </c>
      <c r="I433" s="9">
        <f>($K$2+0.02)*Tabla1[[#This Row],[PRECIO $]]*1.18</f>
        <v>41535999.958463997</v>
      </c>
      <c r="J433" s="7">
        <f>+Tabla1[[#This Row],[PRECIO EN SOLES]]-Tabla1[[#This Row],[PC]]</f>
        <v>6230407.9915360063</v>
      </c>
      <c r="K433" s="15"/>
      <c r="L433" s="15" t="str">
        <f t="shared" si="6"/>
        <v>NORMAL</v>
      </c>
    </row>
    <row r="434" spans="1:12" x14ac:dyDescent="0.25">
      <c r="A434" s="3" t="s">
        <v>1075</v>
      </c>
      <c r="B434" s="3" t="s">
        <v>1076</v>
      </c>
      <c r="C434" s="1">
        <v>1</v>
      </c>
      <c r="D434" s="1">
        <v>218</v>
      </c>
      <c r="E434" s="1" t="s">
        <v>1024</v>
      </c>
      <c r="F434" s="1" t="s">
        <v>3054</v>
      </c>
      <c r="G434" s="3"/>
      <c r="H434" s="11">
        <f>ROUND(
IF(L434="GANCHO",
   IF(I434&lt;=50,I434*1.1+4,IF(I434&lt;=120,I434*1.1+7,IF(I434&lt;=250,I434*1.1+11,I434*1.1+19))),
IF(L434="NORMAL",
   IF(I434&lt;=30,I434*1.15+2,IF(I434&lt;=80,I434*1.15+4,IF(I434&lt;=150,I434*1.15+6,I434*1.15+8))),
IF(L434="COMPLEMENTO",
   IF(I434&lt;=25,I434*1.25+1.5,IF(I434&lt;=60,I434*1.25+3,IF(I434&lt;=120,I434*1.25+4,I434*1.25+5))),
""))),2)</f>
        <v>1049.31</v>
      </c>
      <c r="I434" s="9">
        <f>($K$2+0.02)*Tabla1[[#This Row],[PRECIO $]]*1.18</f>
        <v>905.48479999999995</v>
      </c>
      <c r="J434" s="7">
        <f>+Tabla1[[#This Row],[PRECIO EN SOLES]]-Tabla1[[#This Row],[PC]]</f>
        <v>143.8252</v>
      </c>
      <c r="K434" s="15"/>
      <c r="L434" s="15" t="str">
        <f t="shared" si="6"/>
        <v>NORMAL</v>
      </c>
    </row>
    <row r="435" spans="1:12" x14ac:dyDescent="0.25">
      <c r="A435" s="3" t="s">
        <v>1077</v>
      </c>
      <c r="B435" s="3" t="s">
        <v>1078</v>
      </c>
      <c r="C435" s="1">
        <v>2</v>
      </c>
      <c r="D435" s="1">
        <v>1000</v>
      </c>
      <c r="E435" s="1" t="s">
        <v>1024</v>
      </c>
      <c r="F435" s="1" t="s">
        <v>3055</v>
      </c>
      <c r="G435" s="3" t="s">
        <v>1079</v>
      </c>
      <c r="H435" s="11">
        <f>ROUND(
IF(L435="GANCHO",
   IF(I435&lt;=50,I435*1.1+4,IF(I435&lt;=120,I435*1.1+7,IF(I435&lt;=250,I435*1.1+11,I435*1.1+19))),
IF(L435="NORMAL",
   IF(I435&lt;=30,I435*1.15+2,IF(I435&lt;=80,I435*1.15+4,IF(I435&lt;=150,I435*1.15+6,I435*1.15+8))),
IF(L435="COMPLEMENTO",
   IF(I435&lt;=25,I435*1.25+1.5,IF(I435&lt;=60,I435*1.25+3,IF(I435&lt;=120,I435*1.25+4,I435*1.25+5))),
""))),2)</f>
        <v>4784.6400000000003</v>
      </c>
      <c r="I435" s="9">
        <f>($K$2+0.02)*Tabla1[[#This Row],[PRECIO $]]*1.18</f>
        <v>4153.5999999999995</v>
      </c>
      <c r="J435" s="7">
        <f>+Tabla1[[#This Row],[PRECIO EN SOLES]]-Tabla1[[#This Row],[PC]]</f>
        <v>631.04000000000087</v>
      </c>
      <c r="K435" s="15"/>
      <c r="L435" s="15" t="str">
        <f t="shared" si="6"/>
        <v>NORMAL</v>
      </c>
    </row>
    <row r="436" spans="1:12" x14ac:dyDescent="0.25">
      <c r="A436" s="3" t="s">
        <v>1080</v>
      </c>
      <c r="B436" s="3" t="s">
        <v>1081</v>
      </c>
      <c r="C436" s="1">
        <v>1</v>
      </c>
      <c r="D436" s="1">
        <v>1000</v>
      </c>
      <c r="E436" s="1" t="s">
        <v>1024</v>
      </c>
      <c r="F436" s="1" t="s">
        <v>3056</v>
      </c>
      <c r="G436" s="3" t="s">
        <v>1082</v>
      </c>
      <c r="H436" s="11">
        <f>ROUND(
IF(L436="GANCHO",
   IF(I436&lt;=50,I436*1.1+4,IF(I436&lt;=120,I436*1.1+7,IF(I436&lt;=250,I436*1.1+11,I436*1.1+19))),
IF(L436="NORMAL",
   IF(I436&lt;=30,I436*1.15+2,IF(I436&lt;=80,I436*1.15+4,IF(I436&lt;=150,I436*1.15+6,I436*1.15+8))),
IF(L436="COMPLEMENTO",
   IF(I436&lt;=25,I436*1.25+1.5,IF(I436&lt;=60,I436*1.25+3,IF(I436&lt;=120,I436*1.25+4,I436*1.25+5))),
""))),2)</f>
        <v>4784.6400000000003</v>
      </c>
      <c r="I436" s="9">
        <f>($K$2+0.02)*Tabla1[[#This Row],[PRECIO $]]*1.18</f>
        <v>4153.5999999999995</v>
      </c>
      <c r="J436" s="7">
        <f>+Tabla1[[#This Row],[PRECIO EN SOLES]]-Tabla1[[#This Row],[PC]]</f>
        <v>631.04000000000087</v>
      </c>
      <c r="K436" s="15"/>
      <c r="L436" s="15" t="str">
        <f t="shared" si="6"/>
        <v>NORMAL</v>
      </c>
    </row>
    <row r="437" spans="1:12" x14ac:dyDescent="0.25">
      <c r="A437" s="3" t="s">
        <v>1083</v>
      </c>
      <c r="B437" s="3" t="s">
        <v>1084</v>
      </c>
      <c r="C437" s="1">
        <v>20</v>
      </c>
      <c r="D437" s="1">
        <v>113</v>
      </c>
      <c r="E437" s="1" t="s">
        <v>56</v>
      </c>
      <c r="F437" s="1" t="s">
        <v>3057</v>
      </c>
      <c r="G437" s="3" t="s">
        <v>1085</v>
      </c>
      <c r="H437" s="11">
        <f>ROUND(
IF(L437="GANCHO",
   IF(I437&lt;=50,I437*1.1+4,IF(I437&lt;=120,I437*1.1+7,IF(I437&lt;=250,I437*1.1+11,I437*1.1+19))),
IF(L437="NORMAL",
   IF(I437&lt;=30,I437*1.15+2,IF(I437&lt;=80,I437*1.15+4,IF(I437&lt;=150,I437*1.15+6,I437*1.15+8))),
IF(L437="COMPLEMENTO",
   IF(I437&lt;=25,I437*1.25+1.5,IF(I437&lt;=60,I437*1.25+3,IF(I437&lt;=120,I437*1.25+4,I437*1.25+5))),
""))),2)</f>
        <v>547.76</v>
      </c>
      <c r="I437" s="9">
        <f>($K$2+0.02)*Tabla1[[#This Row],[PRECIO $]]*1.18</f>
        <v>469.35679999999996</v>
      </c>
      <c r="J437" s="7">
        <f>+Tabla1[[#This Row],[PRECIO EN SOLES]]-Tabla1[[#This Row],[PC]]</f>
        <v>78.403200000000027</v>
      </c>
      <c r="K437" s="15"/>
      <c r="L437" s="15" t="str">
        <f t="shared" si="6"/>
        <v>NORMAL</v>
      </c>
    </row>
    <row r="438" spans="1:12" x14ac:dyDescent="0.25">
      <c r="A438" s="3" t="s">
        <v>1086</v>
      </c>
      <c r="B438" s="3" t="s">
        <v>1087</v>
      </c>
      <c r="C438" s="1">
        <v>2</v>
      </c>
      <c r="D438" s="1">
        <v>150</v>
      </c>
      <c r="E438" s="1" t="s">
        <v>1088</v>
      </c>
      <c r="F438" s="1" t="s">
        <v>3058</v>
      </c>
      <c r="G438" s="3"/>
      <c r="H438" s="11">
        <f>ROUND(
IF(L438="GANCHO",
   IF(I438&lt;=50,I438*1.1+4,IF(I438&lt;=120,I438*1.1+7,IF(I438&lt;=250,I438*1.1+11,I438*1.1+19))),
IF(L438="NORMAL",
   IF(I438&lt;=30,I438*1.15+2,IF(I438&lt;=80,I438*1.15+4,IF(I438&lt;=150,I438*1.15+6,I438*1.15+8))),
IF(L438="COMPLEMENTO",
   IF(I438&lt;=25,I438*1.25+1.5,IF(I438&lt;=60,I438*1.25+3,IF(I438&lt;=120,I438*1.25+4,I438*1.25+5))),
""))),2)</f>
        <v>724.5</v>
      </c>
      <c r="I438" s="9">
        <f>($K$2+0.02)*Tabla1[[#This Row],[PRECIO $]]*1.18</f>
        <v>623.04</v>
      </c>
      <c r="J438" s="7">
        <f>+Tabla1[[#This Row],[PRECIO EN SOLES]]-Tabla1[[#This Row],[PC]]</f>
        <v>101.46000000000004</v>
      </c>
      <c r="K438" s="15"/>
      <c r="L438" s="15" t="str">
        <f t="shared" si="6"/>
        <v>NORMAL</v>
      </c>
    </row>
    <row r="439" spans="1:12" x14ac:dyDescent="0.25">
      <c r="A439" s="3" t="s">
        <v>6072</v>
      </c>
      <c r="B439" s="3" t="s">
        <v>6073</v>
      </c>
      <c r="C439" s="1">
        <v>10</v>
      </c>
      <c r="D439" s="1">
        <v>177.2</v>
      </c>
      <c r="E439" s="1" t="s">
        <v>141</v>
      </c>
      <c r="F439" s="1" t="s">
        <v>6074</v>
      </c>
      <c r="G439" s="3"/>
      <c r="H439" s="11">
        <f>ROUND(
IF(L439="GANCHO",
   IF(I439&lt;=50,I439*1.1+4,IF(I439&lt;=120,I439*1.1+7,IF(I439&lt;=250,I439*1.1+11,I439*1.1+19))),
IF(L439="NORMAL",
   IF(I439&lt;=30,I439*1.15+2,IF(I439&lt;=80,I439*1.15+4,IF(I439&lt;=150,I439*1.15+6,I439*1.15+8))),
IF(L439="COMPLEMENTO",
   IF(I439&lt;=25,I439*1.25+1.5,IF(I439&lt;=60,I439*1.25+3,IF(I439&lt;=120,I439*1.25+4,I439*1.25+5))),
""))),2)</f>
        <v>854.42</v>
      </c>
      <c r="I439" s="9">
        <f>($K$2+0.02)*Tabla1[[#This Row],[PRECIO $]]*1.18</f>
        <v>736.01791999999989</v>
      </c>
      <c r="J439" s="7">
        <f>+Tabla1[[#This Row],[PRECIO EN SOLES]]-Tabla1[[#This Row],[PC]]</f>
        <v>118.40208000000007</v>
      </c>
      <c r="K439" s="15"/>
      <c r="L439" s="15" t="str">
        <f t="shared" si="6"/>
        <v>NORMAL</v>
      </c>
    </row>
    <row r="440" spans="1:12" x14ac:dyDescent="0.25">
      <c r="A440" s="3" t="s">
        <v>1089</v>
      </c>
      <c r="B440" s="3" t="s">
        <v>1090</v>
      </c>
      <c r="C440" s="1">
        <v>2</v>
      </c>
      <c r="D440" s="1">
        <v>170.15</v>
      </c>
      <c r="E440" s="1" t="s">
        <v>154</v>
      </c>
      <c r="F440" s="1" t="s">
        <v>3059</v>
      </c>
      <c r="G440" s="3" t="s">
        <v>1091</v>
      </c>
      <c r="H440" s="11">
        <f>ROUND(
IF(L440="GANCHO",
   IF(I440&lt;=50,I440*1.1+4,IF(I440&lt;=120,I440*1.1+7,IF(I440&lt;=250,I440*1.1+11,I440*1.1+19))),
IF(L440="NORMAL",
   IF(I440&lt;=30,I440*1.15+2,IF(I440&lt;=80,I440*1.15+4,IF(I440&lt;=150,I440*1.15+6,I440*1.15+8))),
IF(L440="COMPLEMENTO",
   IF(I440&lt;=25,I440*1.25+1.5,IF(I440&lt;=60,I440*1.25+3,IF(I440&lt;=120,I440*1.25+4,I440*1.25+5))),
""))),2)</f>
        <v>820.75</v>
      </c>
      <c r="I440" s="9">
        <f>($K$2+0.02)*Tabla1[[#This Row],[PRECIO $]]*1.18</f>
        <v>706.73503999999991</v>
      </c>
      <c r="J440" s="7">
        <f>+Tabla1[[#This Row],[PRECIO EN SOLES]]-Tabla1[[#This Row],[PC]]</f>
        <v>114.01496000000009</v>
      </c>
      <c r="K440" s="15"/>
      <c r="L440" s="15" t="str">
        <f t="shared" si="6"/>
        <v>NORMAL</v>
      </c>
    </row>
    <row r="441" spans="1:12" x14ac:dyDescent="0.25">
      <c r="A441" s="3" t="s">
        <v>232</v>
      </c>
      <c r="B441" s="3" t="s">
        <v>233</v>
      </c>
      <c r="C441" s="1">
        <v>20</v>
      </c>
      <c r="D441" s="1">
        <v>29</v>
      </c>
      <c r="E441" s="1" t="s">
        <v>52</v>
      </c>
      <c r="F441" s="1" t="s">
        <v>3060</v>
      </c>
      <c r="G441" s="3" t="s">
        <v>234</v>
      </c>
      <c r="H441" s="11">
        <f>ROUND(
IF(L441="GANCHO",
   IF(I441&lt;=50,I441*1.1+4,IF(I441&lt;=120,I441*1.1+7,IF(I441&lt;=250,I441*1.1+11,I441*1.1+19))),
IF(L441="NORMAL",
   IF(I441&lt;=30,I441*1.15+2,IF(I441&lt;=80,I441*1.15+4,IF(I441&lt;=150,I441*1.15+6,I441*1.15+8))),
IF(L441="COMPLEMENTO",
   IF(I441&lt;=25,I441*1.25+1.5,IF(I441&lt;=60,I441*1.25+3,IF(I441&lt;=120,I441*1.25+4,I441*1.25+5))),
""))),2)</f>
        <v>144.52000000000001</v>
      </c>
      <c r="I441" s="9">
        <f>($K$2+0.02)*Tabla1[[#This Row],[PRECIO $]]*1.18</f>
        <v>120.45439999999999</v>
      </c>
      <c r="J441" s="7">
        <f>+Tabla1[[#This Row],[PRECIO EN SOLES]]-Tabla1[[#This Row],[PC]]</f>
        <v>24.065600000000018</v>
      </c>
      <c r="K441" s="15"/>
      <c r="L441" s="15" t="str">
        <f t="shared" si="6"/>
        <v>NORMAL</v>
      </c>
    </row>
    <row r="442" spans="1:12" x14ac:dyDescent="0.25">
      <c r="A442" s="3" t="s">
        <v>1092</v>
      </c>
      <c r="B442" s="3" t="s">
        <v>1093</v>
      </c>
      <c r="C442" s="1">
        <v>10</v>
      </c>
      <c r="D442" s="1">
        <v>44</v>
      </c>
      <c r="E442" s="1" t="s">
        <v>141</v>
      </c>
      <c r="F442" s="1" t="s">
        <v>3061</v>
      </c>
      <c r="G442" s="3"/>
      <c r="H442" s="11">
        <f>ROUND(
IF(L442="GANCHO",
   IF(I442&lt;=50,I442*1.1+4,IF(I442&lt;=120,I442*1.1+7,IF(I442&lt;=250,I442*1.1+11,I442*1.1+19))),
IF(L442="NORMAL",
   IF(I442&lt;=30,I442*1.15+2,IF(I442&lt;=80,I442*1.15+4,IF(I442&lt;=150,I442*1.15+6,I442*1.15+8))),
IF(L442="COMPLEMENTO",
   IF(I442&lt;=25,I442*1.25+1.5,IF(I442&lt;=60,I442*1.25+3,IF(I442&lt;=120,I442*1.25+4,I442*1.25+5))),
""))),2)</f>
        <v>218.17</v>
      </c>
      <c r="I442" s="9">
        <f>($K$2+0.02)*Tabla1[[#This Row],[PRECIO $]]*1.18</f>
        <v>182.75839999999999</v>
      </c>
      <c r="J442" s="7">
        <f>+Tabla1[[#This Row],[PRECIO EN SOLES]]-Tabla1[[#This Row],[PC]]</f>
        <v>35.411599999999993</v>
      </c>
      <c r="K442" s="15"/>
      <c r="L442" s="15" t="str">
        <f t="shared" si="6"/>
        <v>NORMAL</v>
      </c>
    </row>
    <row r="443" spans="1:12" x14ac:dyDescent="0.25">
      <c r="A443" s="3" t="s">
        <v>1094</v>
      </c>
      <c r="B443" s="3" t="s">
        <v>1095</v>
      </c>
      <c r="C443" s="1">
        <v>3</v>
      </c>
      <c r="D443" s="1">
        <v>300</v>
      </c>
      <c r="E443" s="1" t="s">
        <v>154</v>
      </c>
      <c r="F443" s="1" t="s">
        <v>3062</v>
      </c>
      <c r="G443" s="3" t="s">
        <v>1096</v>
      </c>
      <c r="H443" s="11">
        <f>ROUND(
IF(L443="GANCHO",
   IF(I443&lt;=50,I443*1.1+4,IF(I443&lt;=120,I443*1.1+7,IF(I443&lt;=250,I443*1.1+11,I443*1.1+19))),
IF(L443="NORMAL",
   IF(I443&lt;=30,I443*1.15+2,IF(I443&lt;=80,I443*1.15+4,IF(I443&lt;=150,I443*1.15+6,I443*1.15+8))),
IF(L443="COMPLEMENTO",
   IF(I443&lt;=25,I443*1.25+1.5,IF(I443&lt;=60,I443*1.25+3,IF(I443&lt;=120,I443*1.25+4,I443*1.25+5))),
""))),2)</f>
        <v>1440.99</v>
      </c>
      <c r="I443" s="9">
        <f>($K$2+0.02)*Tabla1[[#This Row],[PRECIO $]]*1.18</f>
        <v>1246.08</v>
      </c>
      <c r="J443" s="7">
        <f>+Tabla1[[#This Row],[PRECIO EN SOLES]]-Tabla1[[#This Row],[PC]]</f>
        <v>194.91000000000008</v>
      </c>
      <c r="K443" s="15"/>
      <c r="L443" s="15" t="str">
        <f t="shared" si="6"/>
        <v>NORMAL</v>
      </c>
    </row>
    <row r="444" spans="1:12" x14ac:dyDescent="0.25">
      <c r="A444" s="3" t="s">
        <v>1097</v>
      </c>
      <c r="B444" s="3" t="s">
        <v>1098</v>
      </c>
      <c r="C444" s="1">
        <v>2</v>
      </c>
      <c r="D444" s="1">
        <v>77.7</v>
      </c>
      <c r="E444" s="1" t="s">
        <v>141</v>
      </c>
      <c r="F444" s="1" t="s">
        <v>3063</v>
      </c>
      <c r="G444" s="3" t="s">
        <v>1099</v>
      </c>
      <c r="H444" s="11">
        <f>ROUND(
IF(L444="GANCHO",
   IF(I444&lt;=50,I444*1.1+4,IF(I444&lt;=120,I444*1.1+7,IF(I444&lt;=250,I444*1.1+11,I444*1.1+19))),
IF(L444="NORMAL",
   IF(I444&lt;=30,I444*1.15+2,IF(I444&lt;=80,I444*1.15+4,IF(I444&lt;=150,I444*1.15+6,I444*1.15+8))),
IF(L444="COMPLEMENTO",
   IF(I444&lt;=25,I444*1.25+1.5,IF(I444&lt;=60,I444*1.25+3,IF(I444&lt;=120,I444*1.25+4,I444*1.25+5))),
""))),2)</f>
        <v>379.14</v>
      </c>
      <c r="I444" s="9">
        <f>($K$2+0.02)*Tabla1[[#This Row],[PRECIO $]]*1.18</f>
        <v>322.73471999999998</v>
      </c>
      <c r="J444" s="7">
        <f>+Tabla1[[#This Row],[PRECIO EN SOLES]]-Tabla1[[#This Row],[PC]]</f>
        <v>56.405280000000005</v>
      </c>
      <c r="K444" s="15"/>
      <c r="L444" s="15" t="str">
        <f t="shared" si="6"/>
        <v>NORMAL</v>
      </c>
    </row>
    <row r="445" spans="1:12" x14ac:dyDescent="0.25">
      <c r="A445" s="3" t="s">
        <v>6951</v>
      </c>
      <c r="B445" s="3" t="s">
        <v>6952</v>
      </c>
      <c r="C445" s="1">
        <v>0</v>
      </c>
      <c r="D445" s="1">
        <v>10</v>
      </c>
      <c r="E445" s="1" t="s">
        <v>57</v>
      </c>
      <c r="F445" s="1" t="s">
        <v>6953</v>
      </c>
      <c r="G445" s="3"/>
      <c r="H445" s="11">
        <f>ROUND(
IF(L445="GANCHO",
   IF(I445&lt;=50,I445*1.1+4,IF(I445&lt;=120,I445*1.1+7,IF(I445&lt;=250,I445*1.1+11,I445*1.1+19))),
IF(L445="NORMAL",
   IF(I445&lt;=30,I445*1.15+2,IF(I445&lt;=80,I445*1.15+4,IF(I445&lt;=150,I445*1.15+6,I445*1.15+8))),
IF(L445="COMPLEMENTO",
   IF(I445&lt;=25,I445*1.25+1.5,IF(I445&lt;=60,I445*1.25+3,IF(I445&lt;=120,I445*1.25+4,I445*1.25+5))),
""))),2)</f>
        <v>51.77</v>
      </c>
      <c r="I445" s="9">
        <f>($K$2+0.02)*Tabla1[[#This Row],[PRECIO $]]*1.18</f>
        <v>41.536000000000001</v>
      </c>
      <c r="J445" s="7">
        <f>+Tabla1[[#This Row],[PRECIO EN SOLES]]-Tabla1[[#This Row],[PC]]</f>
        <v>10.234000000000002</v>
      </c>
      <c r="K445" s="15"/>
      <c r="L445" s="15" t="str">
        <f t="shared" si="6"/>
        <v>NORMAL</v>
      </c>
    </row>
    <row r="446" spans="1:12" x14ac:dyDescent="0.25">
      <c r="A446" s="3" t="s">
        <v>6075</v>
      </c>
      <c r="B446" s="3" t="s">
        <v>6076</v>
      </c>
      <c r="C446" s="1">
        <v>0</v>
      </c>
      <c r="D446" s="1">
        <v>920</v>
      </c>
      <c r="E446" s="1" t="s">
        <v>141</v>
      </c>
      <c r="F446" s="1" t="s">
        <v>6077</v>
      </c>
      <c r="G446" s="3" t="s">
        <v>6078</v>
      </c>
      <c r="H446" s="11">
        <f>ROUND(
IF(L446="GANCHO",
   IF(I446&lt;=50,I446*1.1+4,IF(I446&lt;=120,I446*1.1+7,IF(I446&lt;=250,I446*1.1+11,I446*1.1+19))),
IF(L446="NORMAL",
   IF(I446&lt;=30,I446*1.15+2,IF(I446&lt;=80,I446*1.15+4,IF(I446&lt;=150,I446*1.15+6,I446*1.15+8))),
IF(L446="COMPLEMENTO",
   IF(I446&lt;=25,I446*1.25+1.5,IF(I446&lt;=60,I446*1.25+3,IF(I446&lt;=120,I446*1.25+4,I446*1.25+5))),
""))),2)</f>
        <v>4402.51</v>
      </c>
      <c r="I446" s="9">
        <f>($K$2+0.02)*Tabla1[[#This Row],[PRECIO $]]*1.18</f>
        <v>3821.3119999999999</v>
      </c>
      <c r="J446" s="7">
        <f>+Tabla1[[#This Row],[PRECIO EN SOLES]]-Tabla1[[#This Row],[PC]]</f>
        <v>581.19800000000032</v>
      </c>
      <c r="K446" s="15"/>
      <c r="L446" s="15" t="str">
        <f t="shared" si="6"/>
        <v>NORMAL</v>
      </c>
    </row>
    <row r="447" spans="1:12" x14ac:dyDescent="0.25">
      <c r="A447" s="3" t="s">
        <v>4579</v>
      </c>
      <c r="B447" s="3" t="s">
        <v>4580</v>
      </c>
      <c r="C447" s="1">
        <v>10</v>
      </c>
      <c r="D447" s="1">
        <v>433</v>
      </c>
      <c r="E447" s="1" t="s">
        <v>141</v>
      </c>
      <c r="F447" s="1" t="s">
        <v>4581</v>
      </c>
      <c r="G447" s="3" t="s">
        <v>4582</v>
      </c>
      <c r="H447" s="11">
        <f>ROUND(
IF(L447="GANCHO",
   IF(I447&lt;=50,I447*1.1+4,IF(I447&lt;=120,I447*1.1+7,IF(I447&lt;=250,I447*1.1+11,I447*1.1+19))),
IF(L447="NORMAL",
   IF(I447&lt;=30,I447*1.15+2,IF(I447&lt;=80,I447*1.15+4,IF(I447&lt;=150,I447*1.15+6,I447*1.15+8))),
IF(L447="COMPLEMENTO",
   IF(I447&lt;=25,I447*1.25+1.5,IF(I447&lt;=60,I447*1.25+3,IF(I447&lt;=120,I447*1.25+4,I447*1.25+5))),
""))),2)</f>
        <v>2076.29</v>
      </c>
      <c r="I447" s="9">
        <f>($K$2+0.02)*Tabla1[[#This Row],[PRECIO $]]*1.18</f>
        <v>1798.5088000000001</v>
      </c>
      <c r="J447" s="7">
        <f>+Tabla1[[#This Row],[PRECIO EN SOLES]]-Tabla1[[#This Row],[PC]]</f>
        <v>277.7811999999999</v>
      </c>
      <c r="K447" s="15"/>
      <c r="L447" s="15" t="str">
        <f t="shared" si="6"/>
        <v>NORMAL</v>
      </c>
    </row>
    <row r="448" spans="1:12" x14ac:dyDescent="0.25">
      <c r="A448" s="3" t="s">
        <v>2737</v>
      </c>
      <c r="B448" s="3" t="s">
        <v>2738</v>
      </c>
      <c r="C448" s="1">
        <v>6</v>
      </c>
      <c r="D448" s="1">
        <v>250</v>
      </c>
      <c r="E448" s="1" t="s">
        <v>56</v>
      </c>
      <c r="F448" s="1" t="s">
        <v>3064</v>
      </c>
      <c r="G448" s="3"/>
      <c r="H448" s="11">
        <f>ROUND(
IF(L448="GANCHO",
   IF(I448&lt;=50,I448*1.1+4,IF(I448&lt;=120,I448*1.1+7,IF(I448&lt;=250,I448*1.1+11,I448*1.1+19))),
IF(L448="NORMAL",
   IF(I448&lt;=30,I448*1.15+2,IF(I448&lt;=80,I448*1.15+4,IF(I448&lt;=150,I448*1.15+6,I448*1.15+8))),
IF(L448="COMPLEMENTO",
   IF(I448&lt;=25,I448*1.25+1.5,IF(I448&lt;=60,I448*1.25+3,IF(I448&lt;=120,I448*1.25+4,I448*1.25+5))),
""))),2)</f>
        <v>1202.1600000000001</v>
      </c>
      <c r="I448" s="9">
        <f>($K$2+0.02)*Tabla1[[#This Row],[PRECIO $]]*1.18</f>
        <v>1038.3999999999999</v>
      </c>
      <c r="J448" s="7">
        <f>+Tabla1[[#This Row],[PRECIO EN SOLES]]-Tabla1[[#This Row],[PC]]</f>
        <v>163.76000000000022</v>
      </c>
      <c r="K448" s="15"/>
      <c r="L448" s="15" t="str">
        <f t="shared" si="6"/>
        <v>NORMAL</v>
      </c>
    </row>
    <row r="449" spans="1:12" x14ac:dyDescent="0.25">
      <c r="A449" s="3" t="s">
        <v>2739</v>
      </c>
      <c r="B449" s="3" t="s">
        <v>2740</v>
      </c>
      <c r="C449" s="1">
        <v>1</v>
      </c>
      <c r="D449" s="1">
        <v>493</v>
      </c>
      <c r="E449" s="1" t="s">
        <v>56</v>
      </c>
      <c r="F449" s="1" t="s">
        <v>3065</v>
      </c>
      <c r="G449" s="3"/>
      <c r="H449" s="11">
        <f>ROUND(
IF(L449="GANCHO",
   IF(I449&lt;=50,I449*1.1+4,IF(I449&lt;=120,I449*1.1+7,IF(I449&lt;=250,I449*1.1+11,I449*1.1+19))),
IF(L449="NORMAL",
   IF(I449&lt;=30,I449*1.15+2,IF(I449&lt;=80,I449*1.15+4,IF(I449&lt;=150,I449*1.15+6,I449*1.15+8))),
IF(L449="COMPLEMENTO",
   IF(I449&lt;=25,I449*1.25+1.5,IF(I449&lt;=60,I449*1.25+3,IF(I449&lt;=120,I449*1.25+4,I449*1.25+5))),
""))),2)</f>
        <v>2362.88</v>
      </c>
      <c r="I449" s="9">
        <f>($K$2+0.02)*Tabla1[[#This Row],[PRECIO $]]*1.18</f>
        <v>2047.7247999999997</v>
      </c>
      <c r="J449" s="7">
        <f>+Tabla1[[#This Row],[PRECIO EN SOLES]]-Tabla1[[#This Row],[PC]]</f>
        <v>315.15520000000038</v>
      </c>
      <c r="K449" s="15"/>
      <c r="L449" s="15" t="str">
        <f t="shared" si="6"/>
        <v>NORMAL</v>
      </c>
    </row>
    <row r="450" spans="1:12" x14ac:dyDescent="0.25">
      <c r="A450" s="3" t="s">
        <v>1100</v>
      </c>
      <c r="B450" s="3" t="s">
        <v>1101</v>
      </c>
      <c r="C450" s="1">
        <v>1</v>
      </c>
      <c r="D450" s="1">
        <v>1612</v>
      </c>
      <c r="E450" s="1" t="s">
        <v>141</v>
      </c>
      <c r="F450" s="1" t="s">
        <v>3066</v>
      </c>
      <c r="G450" s="3"/>
      <c r="H450" s="11">
        <f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7707.94</v>
      </c>
      <c r="I450" s="9">
        <f>($K$2+0.02)*Tabla1[[#This Row],[PRECIO $]]*1.18</f>
        <v>6695.6031999999996</v>
      </c>
      <c r="J450" s="7">
        <f>+Tabla1[[#This Row],[PRECIO EN SOLES]]-Tabla1[[#This Row],[PC]]</f>
        <v>1012.3368</v>
      </c>
      <c r="K450" s="15"/>
      <c r="L450" s="15" t="str">
        <f t="shared" si="6"/>
        <v>NORMAL</v>
      </c>
    </row>
    <row r="451" spans="1:12" x14ac:dyDescent="0.25">
      <c r="A451" s="3" t="s">
        <v>1102</v>
      </c>
      <c r="B451" s="3" t="s">
        <v>1103</v>
      </c>
      <c r="C451" s="1">
        <v>3</v>
      </c>
      <c r="D451" s="1">
        <v>612</v>
      </c>
      <c r="E451" s="1" t="s">
        <v>154</v>
      </c>
      <c r="F451" s="1" t="s">
        <v>3067</v>
      </c>
      <c r="G451" s="3" t="s">
        <v>4432</v>
      </c>
      <c r="H451" s="11">
        <f>ROUND(
IF(L451="GANCHO",
   IF(I451&lt;=50,I451*1.1+4,IF(I451&lt;=120,I451*1.1+7,IF(I451&lt;=250,I451*1.1+11,I451*1.1+19))),
IF(L451="NORMAL",
   IF(I451&lt;=30,I451*1.15+2,IF(I451&lt;=80,I451*1.15+4,IF(I451&lt;=150,I451*1.15+6,I451*1.15+8))),
IF(L451="COMPLEMENTO",
   IF(I451&lt;=25,I451*1.25+1.5,IF(I451&lt;=60,I451*1.25+3,IF(I451&lt;=120,I451*1.25+4,I451*1.25+5))),
""))),2)</f>
        <v>2931.3</v>
      </c>
      <c r="I451" s="9">
        <f>($K$2+0.02)*Tabla1[[#This Row],[PRECIO $]]*1.18</f>
        <v>2542.0032000000001</v>
      </c>
      <c r="J451" s="7">
        <f>+Tabla1[[#This Row],[PRECIO EN SOLES]]-Tabla1[[#This Row],[PC]]</f>
        <v>389.29680000000008</v>
      </c>
      <c r="K451" s="15"/>
      <c r="L451" s="15" t="str">
        <f t="shared" ref="L451:L514" si="7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1104</v>
      </c>
      <c r="B452" s="3" t="s">
        <v>1105</v>
      </c>
      <c r="C452" s="1">
        <v>4</v>
      </c>
      <c r="D452" s="1">
        <v>4235</v>
      </c>
      <c r="E452" s="1" t="s">
        <v>141</v>
      </c>
      <c r="F452" s="1" t="s">
        <v>3068</v>
      </c>
      <c r="G452" s="3" t="s">
        <v>1106</v>
      </c>
      <c r="H452" s="11">
        <f>ROUND(
IF(L452="GANCHO",
   IF(I452&lt;=50,I452*1.1+4,IF(I452&lt;=120,I452*1.1+7,IF(I452&lt;=250,I452*1.1+11,I452*1.1+19))),
IF(L452="NORMAL",
   IF(I452&lt;=30,I452*1.15+2,IF(I452&lt;=80,I452*1.15+4,IF(I452&lt;=150,I452*1.15+6,I452*1.15+8))),
IF(L452="COMPLEMENTO",
   IF(I452&lt;=25,I452*1.25+1.5,IF(I452&lt;=60,I452*1.25+3,IF(I452&lt;=120,I452*1.25+4,I452*1.25+5))),
""))),2)</f>
        <v>20237.07</v>
      </c>
      <c r="I452" s="9">
        <f>($K$2+0.02)*Tabla1[[#This Row],[PRECIO $]]*1.18</f>
        <v>17590.495999999999</v>
      </c>
      <c r="J452" s="7">
        <f>+Tabla1[[#This Row],[PRECIO EN SOLES]]-Tabla1[[#This Row],[PC]]</f>
        <v>2646.5740000000005</v>
      </c>
      <c r="K452" s="15"/>
      <c r="L452" s="15" t="str">
        <f t="shared" si="7"/>
        <v>NORMAL</v>
      </c>
    </row>
    <row r="453" spans="1:12" x14ac:dyDescent="0.25">
      <c r="A453" s="3" t="s">
        <v>1107</v>
      </c>
      <c r="B453" s="3" t="s">
        <v>1108</v>
      </c>
      <c r="C453" s="1">
        <v>4</v>
      </c>
      <c r="D453" s="1">
        <v>373</v>
      </c>
      <c r="E453" s="1" t="s">
        <v>154</v>
      </c>
      <c r="F453" s="1" t="s">
        <v>3069</v>
      </c>
      <c r="G453" s="3" t="s">
        <v>1109</v>
      </c>
      <c r="H453" s="11">
        <f>ROUND(
IF(L453="GANCHO",
   IF(I453&lt;=50,I453*1.1+4,IF(I453&lt;=120,I453*1.1+7,IF(I453&lt;=250,I453*1.1+11,I453*1.1+19))),
IF(L453="NORMAL",
   IF(I453&lt;=30,I453*1.15+2,IF(I453&lt;=80,I453*1.15+4,IF(I453&lt;=150,I453*1.15+6,I453*1.15+8))),
IF(L453="COMPLEMENTO",
   IF(I453&lt;=25,I453*1.25+1.5,IF(I453&lt;=60,I453*1.25+3,IF(I453&lt;=120,I453*1.25+4,I453*1.25+5))),
""))),2)</f>
        <v>1789.69</v>
      </c>
      <c r="I453" s="9">
        <f>($K$2+0.02)*Tabla1[[#This Row],[PRECIO $]]*1.18</f>
        <v>1549.2927999999999</v>
      </c>
      <c r="J453" s="7">
        <f>+Tabla1[[#This Row],[PRECIO EN SOLES]]-Tabla1[[#This Row],[PC]]</f>
        <v>240.39720000000011</v>
      </c>
      <c r="K453" s="15"/>
      <c r="L453" s="15" t="str">
        <f t="shared" si="7"/>
        <v>NORMAL</v>
      </c>
    </row>
    <row r="454" spans="1:12" x14ac:dyDescent="0.25">
      <c r="A454" s="3" t="s">
        <v>1110</v>
      </c>
      <c r="B454" s="3" t="s">
        <v>1111</v>
      </c>
      <c r="C454" s="1">
        <v>16</v>
      </c>
      <c r="D454" s="1">
        <v>1496</v>
      </c>
      <c r="E454" s="1" t="s">
        <v>141</v>
      </c>
      <c r="F454" s="1" t="s">
        <v>3070</v>
      </c>
      <c r="G454" s="3" t="s">
        <v>1112</v>
      </c>
      <c r="H454" s="11">
        <f>ROUND(
IF(L454="GANCHO",
   IF(I454&lt;=50,I454*1.1+4,IF(I454&lt;=120,I454*1.1+7,IF(I454&lt;=250,I454*1.1+11,I454*1.1+19))),
IF(L454="NORMAL",
   IF(I454&lt;=30,I454*1.15+2,IF(I454&lt;=80,I454*1.15+4,IF(I454&lt;=150,I454*1.15+6,I454*1.15+8))),
IF(L454="COMPLEMENTO",
   IF(I454&lt;=25,I454*1.25+1.5,IF(I454&lt;=60,I454*1.25+3,IF(I454&lt;=120,I454*1.25+4,I454*1.25+5))),
""))),2)</f>
        <v>7153.85</v>
      </c>
      <c r="I454" s="9">
        <f>($K$2+0.02)*Tabla1[[#This Row],[PRECIO $]]*1.18</f>
        <v>6213.7856000000002</v>
      </c>
      <c r="J454" s="7">
        <f>+Tabla1[[#This Row],[PRECIO EN SOLES]]-Tabla1[[#This Row],[PC]]</f>
        <v>940.06440000000021</v>
      </c>
      <c r="K454" s="15"/>
      <c r="L454" s="15" t="str">
        <f t="shared" si="7"/>
        <v>NORMAL</v>
      </c>
    </row>
    <row r="455" spans="1:12" x14ac:dyDescent="0.25">
      <c r="A455" s="3" t="s">
        <v>1113</v>
      </c>
      <c r="B455" s="3" t="s">
        <v>1114</v>
      </c>
      <c r="C455" s="1">
        <v>4</v>
      </c>
      <c r="D455" s="1">
        <v>1716</v>
      </c>
      <c r="E455" s="1" t="s">
        <v>141</v>
      </c>
      <c r="F455" s="1" t="s">
        <v>3071</v>
      </c>
      <c r="G455" s="3" t="s">
        <v>1115</v>
      </c>
      <c r="H455" s="11">
        <f>ROUND(
IF(L455="GANCHO",
   IF(I455&lt;=50,I455*1.1+4,IF(I455&lt;=120,I455*1.1+7,IF(I455&lt;=250,I455*1.1+11,I455*1.1+19))),
IF(L455="NORMAL",
   IF(I455&lt;=30,I455*1.15+2,IF(I455&lt;=80,I455*1.15+4,IF(I455&lt;=150,I455*1.15+6,I455*1.15+8))),
IF(L455="COMPLEMENTO",
   IF(I455&lt;=25,I455*1.25+1.5,IF(I455&lt;=60,I455*1.25+3,IF(I455&lt;=120,I455*1.25+4,I455*1.25+5))),
""))),2)</f>
        <v>8204.7099999999991</v>
      </c>
      <c r="I455" s="9">
        <f>($K$2+0.02)*Tabla1[[#This Row],[PRECIO $]]*1.18</f>
        <v>7127.5775999999996</v>
      </c>
      <c r="J455" s="7">
        <f>+Tabla1[[#This Row],[PRECIO EN SOLES]]-Tabla1[[#This Row],[PC]]</f>
        <v>1077.1323999999995</v>
      </c>
      <c r="K455" s="15"/>
      <c r="L455" s="15" t="str">
        <f t="shared" si="7"/>
        <v>NORMAL</v>
      </c>
    </row>
    <row r="456" spans="1:12" x14ac:dyDescent="0.25">
      <c r="A456" s="3" t="s">
        <v>1116</v>
      </c>
      <c r="B456" s="3" t="s">
        <v>1117</v>
      </c>
      <c r="C456" s="1">
        <v>3</v>
      </c>
      <c r="D456" s="1">
        <v>572</v>
      </c>
      <c r="E456" s="1" t="s">
        <v>154</v>
      </c>
      <c r="F456" s="1" t="s">
        <v>3072</v>
      </c>
      <c r="G456" s="3" t="s">
        <v>1118</v>
      </c>
      <c r="H456" s="11">
        <f>ROUND(
IF(L456="GANCHO",
   IF(I456&lt;=50,I456*1.1+4,IF(I456&lt;=120,I456*1.1+7,IF(I456&lt;=250,I456*1.1+11,I456*1.1+19))),
IF(L456="NORMAL",
   IF(I456&lt;=30,I456*1.15+2,IF(I456&lt;=80,I456*1.15+4,IF(I456&lt;=150,I456*1.15+6,I456*1.15+8))),
IF(L456="COMPLEMENTO",
   IF(I456&lt;=25,I456*1.25+1.5,IF(I456&lt;=60,I456*1.25+3,IF(I456&lt;=120,I456*1.25+4,I456*1.25+5))),
""))),2)</f>
        <v>2740.24</v>
      </c>
      <c r="I456" s="9">
        <f>($K$2+0.02)*Tabla1[[#This Row],[PRECIO $]]*1.18</f>
        <v>2375.8591999999999</v>
      </c>
      <c r="J456" s="7">
        <f>+Tabla1[[#This Row],[PRECIO EN SOLES]]-Tabla1[[#This Row],[PC]]</f>
        <v>364.38079999999991</v>
      </c>
      <c r="K456" s="15"/>
      <c r="L456" s="15" t="str">
        <f t="shared" si="7"/>
        <v>NORMAL</v>
      </c>
    </row>
    <row r="457" spans="1:12" x14ac:dyDescent="0.25">
      <c r="A457" s="3" t="s">
        <v>1119</v>
      </c>
      <c r="B457" s="3" t="s">
        <v>1117</v>
      </c>
      <c r="C457" s="1">
        <v>2</v>
      </c>
      <c r="D457" s="1">
        <v>465.5</v>
      </c>
      <c r="E457" s="1" t="s">
        <v>154</v>
      </c>
      <c r="F457" s="1" t="s">
        <v>3073</v>
      </c>
      <c r="G457" s="3" t="s">
        <v>1118</v>
      </c>
      <c r="H457" s="11">
        <f>ROUND(
IF(L457="GANCHO",
   IF(I457&lt;=50,I457*1.1+4,IF(I457&lt;=120,I457*1.1+7,IF(I457&lt;=250,I457*1.1+11,I457*1.1+19))),
IF(L457="NORMAL",
   IF(I457&lt;=30,I457*1.15+2,IF(I457&lt;=80,I457*1.15+4,IF(I457&lt;=150,I457*1.15+6,I457*1.15+8))),
IF(L457="COMPLEMENTO",
   IF(I457&lt;=25,I457*1.25+1.5,IF(I457&lt;=60,I457*1.25+3,IF(I457&lt;=120,I457*1.25+4,I457*1.25+5))),
""))),2)</f>
        <v>2231.5300000000002</v>
      </c>
      <c r="I457" s="9">
        <f>($K$2+0.02)*Tabla1[[#This Row],[PRECIO $]]*1.18</f>
        <v>1933.5007999999998</v>
      </c>
      <c r="J457" s="7">
        <f>+Tabla1[[#This Row],[PRECIO EN SOLES]]-Tabla1[[#This Row],[PC]]</f>
        <v>298.0292000000004</v>
      </c>
      <c r="K457" s="15"/>
      <c r="L457" s="15" t="str">
        <f t="shared" si="7"/>
        <v>NORMAL</v>
      </c>
    </row>
    <row r="458" spans="1:12" x14ac:dyDescent="0.25">
      <c r="A458" s="3" t="s">
        <v>4433</v>
      </c>
      <c r="B458" s="3" t="s">
        <v>4434</v>
      </c>
      <c r="C458" s="1">
        <v>2</v>
      </c>
      <c r="D458" s="1">
        <v>572</v>
      </c>
      <c r="E458" s="1" t="s">
        <v>154</v>
      </c>
      <c r="F458" s="1" t="s">
        <v>4435</v>
      </c>
      <c r="G458" s="3" t="s">
        <v>4436</v>
      </c>
      <c r="H458" s="11">
        <f>ROUND(
IF(L458="GANCHO",
   IF(I458&lt;=50,I458*1.1+4,IF(I458&lt;=120,I458*1.1+7,IF(I458&lt;=250,I458*1.1+11,I458*1.1+19))),
IF(L458="NORMAL",
   IF(I458&lt;=30,I458*1.15+2,IF(I458&lt;=80,I458*1.15+4,IF(I458&lt;=150,I458*1.15+6,I458*1.15+8))),
IF(L458="COMPLEMENTO",
   IF(I458&lt;=25,I458*1.25+1.5,IF(I458&lt;=60,I458*1.25+3,IF(I458&lt;=120,I458*1.25+4,I458*1.25+5))),
""))),2)</f>
        <v>2740.24</v>
      </c>
      <c r="I458" s="9">
        <f>($K$2+0.02)*Tabla1[[#This Row],[PRECIO $]]*1.18</f>
        <v>2375.8591999999999</v>
      </c>
      <c r="J458" s="7">
        <f>+Tabla1[[#This Row],[PRECIO EN SOLES]]-Tabla1[[#This Row],[PC]]</f>
        <v>364.38079999999991</v>
      </c>
      <c r="K458" s="15"/>
      <c r="L458" s="15" t="str">
        <f t="shared" si="7"/>
        <v>NORMAL</v>
      </c>
    </row>
    <row r="459" spans="1:12" x14ac:dyDescent="0.25">
      <c r="A459" s="3" t="s">
        <v>1120</v>
      </c>
      <c r="B459" s="3" t="s">
        <v>1121</v>
      </c>
      <c r="C459" s="1">
        <v>1</v>
      </c>
      <c r="D459" s="1">
        <v>471</v>
      </c>
      <c r="E459" s="1" t="s">
        <v>154</v>
      </c>
      <c r="F459" s="1" t="s">
        <v>3074</v>
      </c>
      <c r="G459" s="3" t="s">
        <v>4436</v>
      </c>
      <c r="H459" s="11">
        <f>ROUND(
IF(L459="GANCHO",
   IF(I459&lt;=50,I459*1.1+4,IF(I459&lt;=120,I459*1.1+7,IF(I459&lt;=250,I459*1.1+11,I459*1.1+19))),
IF(L459="NORMAL",
   IF(I459&lt;=30,I459*1.15+2,IF(I459&lt;=80,I459*1.15+4,IF(I459&lt;=150,I459*1.15+6,I459*1.15+8))),
IF(L459="COMPLEMENTO",
   IF(I459&lt;=25,I459*1.25+1.5,IF(I459&lt;=60,I459*1.25+3,IF(I459&lt;=120,I459*1.25+4,I459*1.25+5))),
""))),2)</f>
        <v>2257.8000000000002</v>
      </c>
      <c r="I459" s="9">
        <f>($K$2+0.02)*Tabla1[[#This Row],[PRECIO $]]*1.18</f>
        <v>1956.3455999999999</v>
      </c>
      <c r="J459" s="7">
        <f>+Tabla1[[#This Row],[PRECIO EN SOLES]]-Tabla1[[#This Row],[PC]]</f>
        <v>301.45440000000031</v>
      </c>
      <c r="K459" s="15"/>
      <c r="L459" s="15" t="str">
        <f t="shared" si="7"/>
        <v>NORMAL</v>
      </c>
    </row>
    <row r="460" spans="1:12" x14ac:dyDescent="0.25">
      <c r="A460" s="3" t="s">
        <v>1122</v>
      </c>
      <c r="B460" s="3" t="s">
        <v>1123</v>
      </c>
      <c r="C460" s="1">
        <v>10</v>
      </c>
      <c r="D460" s="1">
        <v>572</v>
      </c>
      <c r="E460" s="1" t="s">
        <v>154</v>
      </c>
      <c r="F460" s="1" t="s">
        <v>3075</v>
      </c>
      <c r="G460" s="3" t="s">
        <v>1124</v>
      </c>
      <c r="H460" s="11">
        <f>ROUND(
IF(L460="GANCHO",
   IF(I460&lt;=50,I460*1.1+4,IF(I460&lt;=120,I460*1.1+7,IF(I460&lt;=250,I460*1.1+11,I460*1.1+19))),
IF(L460="NORMAL",
   IF(I460&lt;=30,I460*1.15+2,IF(I460&lt;=80,I460*1.15+4,IF(I460&lt;=150,I460*1.15+6,I460*1.15+8))),
IF(L460="COMPLEMENTO",
   IF(I460&lt;=25,I460*1.25+1.5,IF(I460&lt;=60,I460*1.25+3,IF(I460&lt;=120,I460*1.25+4,I460*1.25+5))),
""))),2)</f>
        <v>2740.24</v>
      </c>
      <c r="I460" s="9">
        <f>($K$2+0.02)*Tabla1[[#This Row],[PRECIO $]]*1.18</f>
        <v>2375.8591999999999</v>
      </c>
      <c r="J460" s="7">
        <f>+Tabla1[[#This Row],[PRECIO EN SOLES]]-Tabla1[[#This Row],[PC]]</f>
        <v>364.38079999999991</v>
      </c>
      <c r="K460" s="15"/>
      <c r="L460" s="15" t="str">
        <f t="shared" si="7"/>
        <v>NORMAL</v>
      </c>
    </row>
    <row r="461" spans="1:12" x14ac:dyDescent="0.25">
      <c r="A461" s="3" t="s">
        <v>604</v>
      </c>
      <c r="B461" s="3" t="s">
        <v>605</v>
      </c>
      <c r="C461" s="1">
        <v>0</v>
      </c>
      <c r="D461" s="1">
        <v>376</v>
      </c>
      <c r="E461" s="1" t="s">
        <v>154</v>
      </c>
      <c r="F461" s="1" t="s">
        <v>3076</v>
      </c>
      <c r="G461" s="3"/>
      <c r="H461" s="11">
        <f>ROUND(
IF(L461="GANCHO",
   IF(I461&lt;=50,I461*1.1+4,IF(I461&lt;=120,I461*1.1+7,IF(I461&lt;=250,I461*1.1+11,I461*1.1+19))),
IF(L461="NORMAL",
   IF(I461&lt;=30,I461*1.15+2,IF(I461&lt;=80,I461*1.15+4,IF(I461&lt;=150,I461*1.15+6,I461*1.15+8))),
IF(L461="COMPLEMENTO",
   IF(I461&lt;=25,I461*1.25+1.5,IF(I461&lt;=60,I461*1.25+3,IF(I461&lt;=120,I461*1.25+4,I461*1.25+5))),
""))),2)</f>
        <v>1804.02</v>
      </c>
      <c r="I461" s="9">
        <f>($K$2+0.02)*Tabla1[[#This Row],[PRECIO $]]*1.18</f>
        <v>1561.7536</v>
      </c>
      <c r="J461" s="7">
        <f>+Tabla1[[#This Row],[PRECIO EN SOLES]]-Tabla1[[#This Row],[PC]]</f>
        <v>242.26639999999998</v>
      </c>
      <c r="K461" s="15"/>
      <c r="L461" s="15" t="str">
        <f t="shared" si="7"/>
        <v>NORMAL</v>
      </c>
    </row>
    <row r="462" spans="1:12" x14ac:dyDescent="0.25">
      <c r="A462" s="3" t="s">
        <v>1125</v>
      </c>
      <c r="B462" s="3" t="s">
        <v>1126</v>
      </c>
      <c r="C462" s="1">
        <v>2</v>
      </c>
      <c r="D462" s="1">
        <v>734</v>
      </c>
      <c r="E462" s="1" t="s">
        <v>154</v>
      </c>
      <c r="F462" s="1" t="s">
        <v>3077</v>
      </c>
      <c r="G462" s="3"/>
      <c r="H462" s="11">
        <f>ROUND(
IF(L462="GANCHO",
   IF(I462&lt;=50,I462*1.1+4,IF(I462&lt;=120,I462*1.1+7,IF(I462&lt;=250,I462*1.1+11,I462*1.1+19))),
IF(L462="NORMAL",
   IF(I462&lt;=30,I462*1.15+2,IF(I462&lt;=80,I462*1.15+4,IF(I462&lt;=150,I462*1.15+6,I462*1.15+8))),
IF(L462="COMPLEMENTO",
   IF(I462&lt;=25,I462*1.25+1.5,IF(I462&lt;=60,I462*1.25+3,IF(I462&lt;=120,I462*1.25+4,I462*1.25+5))),
""))),2)</f>
        <v>3514.05</v>
      </c>
      <c r="I462" s="9">
        <f>($K$2+0.02)*Tabla1[[#This Row],[PRECIO $]]*1.18</f>
        <v>3048.7423999999996</v>
      </c>
      <c r="J462" s="7">
        <f>+Tabla1[[#This Row],[PRECIO EN SOLES]]-Tabla1[[#This Row],[PC]]</f>
        <v>465.30760000000055</v>
      </c>
      <c r="K462" s="15"/>
      <c r="L462" s="15" t="str">
        <f t="shared" si="7"/>
        <v>NORMAL</v>
      </c>
    </row>
    <row r="463" spans="1:12" x14ac:dyDescent="0.25">
      <c r="A463" s="3" t="s">
        <v>235</v>
      </c>
      <c r="B463" s="3" t="s">
        <v>236</v>
      </c>
      <c r="C463" s="1">
        <v>20</v>
      </c>
      <c r="D463" s="1">
        <v>503</v>
      </c>
      <c r="E463" s="1" t="s">
        <v>154</v>
      </c>
      <c r="F463" s="1" t="s">
        <v>3078</v>
      </c>
      <c r="G463" s="3" t="s">
        <v>237</v>
      </c>
      <c r="H463" s="11">
        <f>ROUND(
IF(L463="GANCHO",
   IF(I463&lt;=50,I463*1.1+4,IF(I463&lt;=120,I463*1.1+7,IF(I463&lt;=250,I463*1.1+11,I463*1.1+19))),
IF(L463="NORMAL",
   IF(I463&lt;=30,I463*1.15+2,IF(I463&lt;=80,I463*1.15+4,IF(I463&lt;=150,I463*1.15+6,I463*1.15+8))),
IF(L463="COMPLEMENTO",
   IF(I463&lt;=25,I463*1.25+1.5,IF(I463&lt;=60,I463*1.25+3,IF(I463&lt;=120,I463*1.25+4,I463*1.25+5))),
""))),2)</f>
        <v>2410.65</v>
      </c>
      <c r="I463" s="9">
        <f>($K$2+0.02)*Tabla1[[#This Row],[PRECIO $]]*1.18</f>
        <v>2089.2608</v>
      </c>
      <c r="J463" s="7">
        <f>+Tabla1[[#This Row],[PRECIO EN SOLES]]-Tabla1[[#This Row],[PC]]</f>
        <v>321.38920000000007</v>
      </c>
      <c r="K463" s="15"/>
      <c r="L463" s="15" t="str">
        <f t="shared" si="7"/>
        <v>NORMAL</v>
      </c>
    </row>
    <row r="464" spans="1:12" x14ac:dyDescent="0.25">
      <c r="A464" s="3" t="s">
        <v>5871</v>
      </c>
      <c r="B464" s="3" t="s">
        <v>5872</v>
      </c>
      <c r="C464" s="1">
        <v>0</v>
      </c>
      <c r="D464" s="1">
        <v>44</v>
      </c>
      <c r="E464" s="1" t="s">
        <v>54</v>
      </c>
      <c r="F464" s="1" t="s">
        <v>5873</v>
      </c>
      <c r="G464" s="3" t="s">
        <v>5874</v>
      </c>
      <c r="H464" s="11">
        <f>ROUND(
IF(L464="GANCHO",
   IF(I464&lt;=50,I464*1.1+4,IF(I464&lt;=120,I464*1.1+7,IF(I464&lt;=250,I464*1.1+11,I464*1.1+19))),
IF(L464="NORMAL",
   IF(I464&lt;=30,I464*1.15+2,IF(I464&lt;=80,I464*1.15+4,IF(I464&lt;=150,I464*1.15+6,I464*1.15+8))),
IF(L464="COMPLEMENTO",
   IF(I464&lt;=25,I464*1.25+1.5,IF(I464&lt;=60,I464*1.25+3,IF(I464&lt;=120,I464*1.25+4,I464*1.25+5))),
""))),2)</f>
        <v>218.17</v>
      </c>
      <c r="I464" s="9">
        <f>($K$2+0.02)*Tabla1[[#This Row],[PRECIO $]]*1.18</f>
        <v>182.75839999999999</v>
      </c>
      <c r="J464" s="7">
        <f>+Tabla1[[#This Row],[PRECIO EN SOLES]]-Tabla1[[#This Row],[PC]]</f>
        <v>35.411599999999993</v>
      </c>
      <c r="K464" s="15"/>
      <c r="L464" s="15" t="str">
        <f t="shared" si="7"/>
        <v>NORMAL</v>
      </c>
    </row>
    <row r="465" spans="1:12" x14ac:dyDescent="0.25">
      <c r="A465" s="3" t="s">
        <v>1127</v>
      </c>
      <c r="B465" s="3" t="s">
        <v>1128</v>
      </c>
      <c r="C465" s="1">
        <v>1</v>
      </c>
      <c r="D465" s="1">
        <v>2420</v>
      </c>
      <c r="E465" s="1" t="s">
        <v>141</v>
      </c>
      <c r="F465" s="1" t="s">
        <v>3079</v>
      </c>
      <c r="G465" s="3"/>
      <c r="H465" s="11">
        <f>ROUND(
IF(L465="GANCHO",
   IF(I465&lt;=50,I465*1.1+4,IF(I465&lt;=120,I465*1.1+7,IF(I465&lt;=250,I465*1.1+11,I465*1.1+19))),
IF(L465="NORMAL",
   IF(I465&lt;=30,I465*1.15+2,IF(I465&lt;=80,I465*1.15+4,IF(I465&lt;=150,I465*1.15+6,I465*1.15+8))),
IF(L465="COMPLEMENTO",
   IF(I465&lt;=25,I465*1.25+1.5,IF(I465&lt;=60,I465*1.25+3,IF(I465&lt;=120,I465*1.25+4,I465*1.25+5))),
""))),2)</f>
        <v>11075.88</v>
      </c>
      <c r="I465" s="9">
        <f>($K$2+0.02)*Tabla1[[#This Row],[PRECIO $]]*1.18</f>
        <v>10051.712</v>
      </c>
      <c r="J465" s="7">
        <f>+Tabla1[[#This Row],[PRECIO EN SOLES]]-Tabla1[[#This Row],[PC]]</f>
        <v>1024.1679999999997</v>
      </c>
      <c r="K465" s="15"/>
      <c r="L465" s="15" t="str">
        <f t="shared" si="7"/>
        <v>GANCHO</v>
      </c>
    </row>
    <row r="466" spans="1:12" x14ac:dyDescent="0.25">
      <c r="A466" s="3" t="s">
        <v>1129</v>
      </c>
      <c r="B466" s="3" t="s">
        <v>1130</v>
      </c>
      <c r="C466" s="1">
        <v>7</v>
      </c>
      <c r="D466" s="1">
        <v>85</v>
      </c>
      <c r="E466" s="1" t="s">
        <v>1131</v>
      </c>
      <c r="F466" s="1" t="s">
        <v>3080</v>
      </c>
      <c r="G466" s="3" t="s">
        <v>1132</v>
      </c>
      <c r="H466" s="11">
        <f>ROUND(
IF(L466="GANCHO",
   IF(I466&lt;=50,I466*1.1+4,IF(I466&lt;=120,I466*1.1+7,IF(I466&lt;=250,I466*1.1+11,I466*1.1+19))),
IF(L466="NORMAL",
   IF(I466&lt;=30,I466*1.15+2,IF(I466&lt;=80,I466*1.15+4,IF(I466&lt;=150,I466*1.15+6,I466*1.15+8))),
IF(L466="COMPLEMENTO",
   IF(I466&lt;=25,I466*1.25+1.5,IF(I466&lt;=60,I466*1.25+3,IF(I466&lt;=120,I466*1.25+4,I466*1.25+5))),
""))),2)</f>
        <v>414.01</v>
      </c>
      <c r="I466" s="9">
        <f>($K$2+0.02)*Tabla1[[#This Row],[PRECIO $]]*1.18</f>
        <v>353.05599999999998</v>
      </c>
      <c r="J466" s="7">
        <f>+Tabla1[[#This Row],[PRECIO EN SOLES]]-Tabla1[[#This Row],[PC]]</f>
        <v>60.954000000000008</v>
      </c>
      <c r="K466" s="15"/>
      <c r="L466" s="15" t="str">
        <f t="shared" si="7"/>
        <v>NORMAL</v>
      </c>
    </row>
    <row r="467" spans="1:12" x14ac:dyDescent="0.25">
      <c r="A467" s="3" t="s">
        <v>1134</v>
      </c>
      <c r="B467" s="3" t="s">
        <v>1133</v>
      </c>
      <c r="C467" s="1">
        <v>20</v>
      </c>
      <c r="D467" s="1">
        <v>560</v>
      </c>
      <c r="E467" s="1" t="s">
        <v>56</v>
      </c>
      <c r="F467" s="1" t="s">
        <v>3081</v>
      </c>
      <c r="G467" s="3" t="s">
        <v>1135</v>
      </c>
      <c r="H467" s="11">
        <f>ROUND(
IF(L467="GANCHO",
   IF(I467&lt;=50,I467*1.1+4,IF(I467&lt;=120,I467*1.1+7,IF(I467&lt;=250,I467*1.1+11,I467*1.1+19))),
IF(L467="NORMAL",
   IF(I467&lt;=30,I467*1.15+2,IF(I467&lt;=80,I467*1.15+4,IF(I467&lt;=150,I467*1.15+6,I467*1.15+8))),
IF(L467="COMPLEMENTO",
   IF(I467&lt;=25,I467*1.25+1.5,IF(I467&lt;=60,I467*1.25+3,IF(I467&lt;=120,I467*1.25+4,I467*1.25+5))),
""))),2)</f>
        <v>2577.62</v>
      </c>
      <c r="I467" s="9">
        <f>($K$2+0.02)*Tabla1[[#This Row],[PRECIO $]]*1.18</f>
        <v>2326.0160000000001</v>
      </c>
      <c r="J467" s="7">
        <f>+Tabla1[[#This Row],[PRECIO EN SOLES]]-Tabla1[[#This Row],[PC]]</f>
        <v>251.60399999999981</v>
      </c>
      <c r="K467" s="15"/>
      <c r="L467" s="15" t="str">
        <f t="shared" si="7"/>
        <v>GANCHO</v>
      </c>
    </row>
    <row r="468" spans="1:12" x14ac:dyDescent="0.25">
      <c r="A468" s="3" t="s">
        <v>4437</v>
      </c>
      <c r="B468" s="3" t="s">
        <v>4438</v>
      </c>
      <c r="C468" s="1">
        <v>20</v>
      </c>
      <c r="D468" s="1">
        <v>108</v>
      </c>
      <c r="E468" s="1" t="s">
        <v>56</v>
      </c>
      <c r="F468" s="1" t="s">
        <v>4439</v>
      </c>
      <c r="G468" s="3" t="s">
        <v>4440</v>
      </c>
      <c r="H468" s="11">
        <f>ROUND(
IF(L468="GANCHO",
   IF(I468&lt;=50,I468*1.1+4,IF(I468&lt;=120,I468*1.1+7,IF(I468&lt;=250,I468*1.1+11,I468*1.1+19))),
IF(L468="NORMAL",
   IF(I468&lt;=30,I468*1.15+2,IF(I468&lt;=80,I468*1.15+4,IF(I468&lt;=150,I468*1.15+6,I468*1.15+8))),
IF(L468="COMPLEMENTO",
   IF(I468&lt;=25,I468*1.25+1.5,IF(I468&lt;=60,I468*1.25+3,IF(I468&lt;=120,I468*1.25+4,I468*1.25+5))),
""))),2)</f>
        <v>512.45000000000005</v>
      </c>
      <c r="I468" s="9">
        <f>($K$2+0.02)*Tabla1[[#This Row],[PRECIO $]]*1.18</f>
        <v>448.58879999999999</v>
      </c>
      <c r="J468" s="7">
        <f>+Tabla1[[#This Row],[PRECIO EN SOLES]]-Tabla1[[#This Row],[PC]]</f>
        <v>63.861200000000053</v>
      </c>
      <c r="K468" s="15"/>
      <c r="L468" s="15" t="str">
        <f t="shared" si="7"/>
        <v>GANCHO</v>
      </c>
    </row>
    <row r="469" spans="1:12" x14ac:dyDescent="0.25">
      <c r="A469" s="3" t="s">
        <v>4583</v>
      </c>
      <c r="B469" s="3" t="s">
        <v>4584</v>
      </c>
      <c r="C469" s="1">
        <v>18</v>
      </c>
      <c r="D469" s="1">
        <v>268</v>
      </c>
      <c r="E469" s="1" t="s">
        <v>56</v>
      </c>
      <c r="F469" s="1" t="s">
        <v>4585</v>
      </c>
      <c r="G469" s="3" t="s">
        <v>4586</v>
      </c>
      <c r="H469" s="11">
        <f>ROUND(
IF(L469="GANCHO",
   IF(I469&lt;=50,I469*1.1+4,IF(I469&lt;=120,I469*1.1+7,IF(I469&lt;=250,I469*1.1+11,I469*1.1+19))),
IF(L469="NORMAL",
   IF(I469&lt;=30,I469*1.15+2,IF(I469&lt;=80,I469*1.15+4,IF(I469&lt;=150,I469*1.15+6,I469*1.15+8))),
IF(L469="COMPLEMENTO",
   IF(I469&lt;=25,I469*1.25+1.5,IF(I469&lt;=60,I469*1.25+3,IF(I469&lt;=120,I469*1.25+4,I469*1.25+5))),
""))),2)</f>
        <v>1243.48</v>
      </c>
      <c r="I469" s="9">
        <f>($K$2+0.02)*Tabla1[[#This Row],[PRECIO $]]*1.18</f>
        <v>1113.1648</v>
      </c>
      <c r="J469" s="7">
        <f>+Tabla1[[#This Row],[PRECIO EN SOLES]]-Tabla1[[#This Row],[PC]]</f>
        <v>130.3152</v>
      </c>
      <c r="K469" s="15"/>
      <c r="L469" s="15" t="str">
        <f t="shared" si="7"/>
        <v>GANCHO</v>
      </c>
    </row>
    <row r="470" spans="1:12" x14ac:dyDescent="0.25">
      <c r="A470" s="3" t="s">
        <v>1136</v>
      </c>
      <c r="B470" s="3" t="s">
        <v>1137</v>
      </c>
      <c r="C470" s="1">
        <v>20</v>
      </c>
      <c r="D470" s="1">
        <v>423</v>
      </c>
      <c r="E470" s="1" t="s">
        <v>56</v>
      </c>
      <c r="F470" s="1" t="s">
        <v>3082</v>
      </c>
      <c r="G470" s="3" t="s">
        <v>1138</v>
      </c>
      <c r="H470" s="11">
        <f>ROUND(
IF(L470="GANCHO",
   IF(I470&lt;=50,I470*1.1+4,IF(I470&lt;=120,I470*1.1+7,IF(I470&lt;=250,I470*1.1+11,I470*1.1+19))),
IF(L470="NORMAL",
   IF(I470&lt;=30,I470*1.15+2,IF(I470&lt;=80,I470*1.15+4,IF(I470&lt;=150,I470*1.15+6,I470*1.15+8))),
IF(L470="COMPLEMENTO",
   IF(I470&lt;=25,I470*1.25+1.5,IF(I470&lt;=60,I470*1.25+3,IF(I470&lt;=120,I470*1.25+4,I470*1.25+5))),
""))),2)</f>
        <v>1951.67</v>
      </c>
      <c r="I470" s="9">
        <f>($K$2+0.02)*Tabla1[[#This Row],[PRECIO $]]*1.18</f>
        <v>1756.9728</v>
      </c>
      <c r="J470" s="7">
        <f>+Tabla1[[#This Row],[PRECIO EN SOLES]]-Tabla1[[#This Row],[PC]]</f>
        <v>194.69720000000007</v>
      </c>
      <c r="K470" s="15"/>
      <c r="L470" s="15" t="str">
        <f t="shared" si="7"/>
        <v>GANCHO</v>
      </c>
    </row>
    <row r="471" spans="1:12" x14ac:dyDescent="0.25">
      <c r="A471" s="3" t="s">
        <v>1139</v>
      </c>
      <c r="B471" s="3" t="s">
        <v>1140</v>
      </c>
      <c r="C471" s="1">
        <v>13</v>
      </c>
      <c r="D471" s="1">
        <v>417</v>
      </c>
      <c r="E471" s="1" t="s">
        <v>56</v>
      </c>
      <c r="F471" s="1" t="s">
        <v>3083</v>
      </c>
      <c r="G471" s="3"/>
      <c r="H471" s="11">
        <f>ROUND(
IF(L471="GANCHO",
   IF(I471&lt;=50,I471*1.1+4,IF(I471&lt;=120,I471*1.1+7,IF(I471&lt;=250,I471*1.1+11,I471*1.1+19))),
IF(L471="NORMAL",
   IF(I471&lt;=30,I471*1.15+2,IF(I471&lt;=80,I471*1.15+4,IF(I471&lt;=150,I471*1.15+6,I471*1.15+8))),
IF(L471="COMPLEMENTO",
   IF(I471&lt;=25,I471*1.25+1.5,IF(I471&lt;=60,I471*1.25+3,IF(I471&lt;=120,I471*1.25+4,I471*1.25+5))),
""))),2)</f>
        <v>1924.26</v>
      </c>
      <c r="I471" s="9">
        <f>($K$2+0.02)*Tabla1[[#This Row],[PRECIO $]]*1.18</f>
        <v>1732.0511999999999</v>
      </c>
      <c r="J471" s="7">
        <f>+Tabla1[[#This Row],[PRECIO EN SOLES]]-Tabla1[[#This Row],[PC]]</f>
        <v>192.20880000000011</v>
      </c>
      <c r="K471" s="15"/>
      <c r="L471" s="15" t="str">
        <f t="shared" si="7"/>
        <v>GANCHO</v>
      </c>
    </row>
    <row r="472" spans="1:12" x14ac:dyDescent="0.25">
      <c r="A472" s="3" t="s">
        <v>4151</v>
      </c>
      <c r="B472" s="3" t="s">
        <v>4152</v>
      </c>
      <c r="C472" s="1">
        <v>1</v>
      </c>
      <c r="D472" s="1">
        <v>9</v>
      </c>
      <c r="E472" s="1" t="s">
        <v>148</v>
      </c>
      <c r="F472" s="1" t="s">
        <v>4153</v>
      </c>
      <c r="G472" s="3"/>
      <c r="H472" s="11">
        <f>ROUND(
IF(L472="GANCHO",
   IF(I472&lt;=50,I472*1.1+4,IF(I472&lt;=120,I472*1.1+7,IF(I472&lt;=250,I472*1.1+11,I472*1.1+19))),
IF(L472="NORMAL",
   IF(I472&lt;=30,I472*1.15+2,IF(I472&lt;=80,I472*1.15+4,IF(I472&lt;=150,I472*1.15+6,I472*1.15+8))),
IF(L472="COMPLEMENTO",
   IF(I472&lt;=25,I472*1.25+1.5,IF(I472&lt;=60,I472*1.25+3,IF(I472&lt;=120,I472*1.25+4,I472*1.25+5))),
""))),2)</f>
        <v>45.12</v>
      </c>
      <c r="I472" s="9">
        <f>($K$2+0.02)*Tabla1[[#This Row],[PRECIO $]]*1.18</f>
        <v>37.382399999999997</v>
      </c>
      <c r="J472" s="7">
        <f>+Tabla1[[#This Row],[PRECIO EN SOLES]]-Tabla1[[#This Row],[PC]]</f>
        <v>7.7376000000000005</v>
      </c>
      <c r="K472" s="15"/>
      <c r="L472" s="15" t="str">
        <f t="shared" si="7"/>
        <v>GANCHO</v>
      </c>
    </row>
    <row r="473" spans="1:12" x14ac:dyDescent="0.25">
      <c r="A473" s="3" t="s">
        <v>5389</v>
      </c>
      <c r="B473" s="3" t="s">
        <v>5390</v>
      </c>
      <c r="C473" s="1">
        <v>0</v>
      </c>
      <c r="D473" s="1">
        <v>730</v>
      </c>
      <c r="E473" s="1" t="s">
        <v>141</v>
      </c>
      <c r="F473" s="1" t="s">
        <v>5391</v>
      </c>
      <c r="G473" s="3" t="s">
        <v>5980</v>
      </c>
      <c r="H473" s="11">
        <f>ROUND(
IF(L473="GANCHO",
   IF(I473&lt;=50,I473*1.1+4,IF(I473&lt;=120,I473*1.1+7,IF(I473&lt;=250,I473*1.1+11,I473*1.1+19))),
IF(L473="NORMAL",
   IF(I473&lt;=30,I473*1.15+2,IF(I473&lt;=80,I473*1.15+4,IF(I473&lt;=150,I473*1.15+6,I473*1.15+8))),
IF(L473="COMPLEMENTO",
   IF(I473&lt;=25,I473*1.25+1.5,IF(I473&lt;=60,I473*1.25+3,IF(I473&lt;=120,I473*1.25+4,I473*1.25+5))),
""))),2)</f>
        <v>3494.95</v>
      </c>
      <c r="I473" s="9">
        <f>($K$2+0.02)*Tabla1[[#This Row],[PRECIO $]]*1.18</f>
        <v>3032.1279999999997</v>
      </c>
      <c r="J473" s="7">
        <f>+Tabla1[[#This Row],[PRECIO EN SOLES]]-Tabla1[[#This Row],[PC]]</f>
        <v>462.82200000000012</v>
      </c>
      <c r="K473" s="15"/>
      <c r="L473" s="15" t="str">
        <f t="shared" si="7"/>
        <v>NORMAL</v>
      </c>
    </row>
    <row r="474" spans="1:12" x14ac:dyDescent="0.25">
      <c r="A474" s="3" t="s">
        <v>5715</v>
      </c>
      <c r="B474" s="3" t="s">
        <v>5716</v>
      </c>
      <c r="C474" s="1">
        <v>20</v>
      </c>
      <c r="D474" s="1">
        <v>38.700000000000003</v>
      </c>
      <c r="E474" s="1" t="s">
        <v>54</v>
      </c>
      <c r="F474" s="1" t="s">
        <v>5717</v>
      </c>
      <c r="G474" s="3" t="s">
        <v>5718</v>
      </c>
      <c r="H474" s="11">
        <f>ROUND(
IF(L474="GANCHO",
   IF(I474&lt;=50,I474*1.1+4,IF(I474&lt;=120,I474*1.1+7,IF(I474&lt;=250,I474*1.1+11,I474*1.1+19))),
IF(L474="NORMAL",
   IF(I474&lt;=30,I474*1.15+2,IF(I474&lt;=80,I474*1.15+4,IF(I474&lt;=150,I474*1.15+6,I474*1.15+8))),
IF(L474="COMPLEMENTO",
   IF(I474&lt;=25,I474*1.25+1.5,IF(I474&lt;=60,I474*1.25+3,IF(I474&lt;=120,I474*1.25+4,I474*1.25+5))),
""))),2)</f>
        <v>192.86</v>
      </c>
      <c r="I474" s="9">
        <f>($K$2+0.02)*Tabla1[[#This Row],[PRECIO $]]*1.18</f>
        <v>160.74432000000002</v>
      </c>
      <c r="J474" s="7">
        <f>+Tabla1[[#This Row],[PRECIO EN SOLES]]-Tabla1[[#This Row],[PC]]</f>
        <v>32.115679999999998</v>
      </c>
      <c r="K474" s="15"/>
      <c r="L474" s="15" t="str">
        <f t="shared" si="7"/>
        <v>NORMAL</v>
      </c>
    </row>
    <row r="475" spans="1:12" x14ac:dyDescent="0.25">
      <c r="A475" s="3" t="s">
        <v>1142</v>
      </c>
      <c r="B475" s="3" t="s">
        <v>1141</v>
      </c>
      <c r="C475" s="1">
        <v>0</v>
      </c>
      <c r="D475" s="1">
        <v>87</v>
      </c>
      <c r="E475" s="1" t="s">
        <v>54</v>
      </c>
      <c r="F475" s="1" t="s">
        <v>3084</v>
      </c>
      <c r="G475" s="3" t="s">
        <v>1143</v>
      </c>
      <c r="H475" s="11">
        <f>ROUND(
IF(L475="GANCHO",
   IF(I475&lt;=50,I475*1.1+4,IF(I475&lt;=120,I475*1.1+7,IF(I475&lt;=250,I475*1.1+11,I475*1.1+19))),
IF(L475="NORMAL",
   IF(I475&lt;=30,I475*1.15+2,IF(I475&lt;=80,I475*1.15+4,IF(I475&lt;=150,I475*1.15+6,I475*1.15+8))),
IF(L475="COMPLEMENTO",
   IF(I475&lt;=25,I475*1.25+1.5,IF(I475&lt;=60,I475*1.25+3,IF(I475&lt;=120,I475*1.25+4,I475*1.25+5))),
""))),2)</f>
        <v>416.5</v>
      </c>
      <c r="I475" s="9">
        <f>($K$2+0.02)*Tabla1[[#This Row],[PRECIO $]]*1.18</f>
        <v>361.36320000000001</v>
      </c>
      <c r="J475" s="7">
        <f>+Tabla1[[#This Row],[PRECIO EN SOLES]]-Tabla1[[#This Row],[PC]]</f>
        <v>55.136799999999994</v>
      </c>
      <c r="K475" s="15"/>
      <c r="L475" s="15" t="str">
        <f t="shared" si="7"/>
        <v>GANCHO</v>
      </c>
    </row>
    <row r="476" spans="1:12" x14ac:dyDescent="0.25">
      <c r="A476" s="3" t="s">
        <v>6079</v>
      </c>
      <c r="B476" s="3" t="s">
        <v>6080</v>
      </c>
      <c r="C476" s="1">
        <v>1</v>
      </c>
      <c r="D476" s="1">
        <v>1816</v>
      </c>
      <c r="E476" s="1" t="s">
        <v>141</v>
      </c>
      <c r="F476" s="1" t="s">
        <v>6081</v>
      </c>
      <c r="G476" s="3" t="s">
        <v>6434</v>
      </c>
      <c r="H476" s="11">
        <f>ROUND(
IF(L476="GANCHO",
   IF(I476&lt;=50,I476*1.1+4,IF(I476&lt;=120,I476*1.1+7,IF(I476&lt;=250,I476*1.1+11,I476*1.1+19))),
IF(L476="NORMAL",
   IF(I476&lt;=30,I476*1.15+2,IF(I476&lt;=80,I476*1.15+4,IF(I476&lt;=150,I476*1.15+6,I476*1.15+8))),
IF(L476="COMPLEMENTO",
   IF(I476&lt;=25,I476*1.25+1.5,IF(I476&lt;=60,I476*1.25+3,IF(I476&lt;=120,I476*1.25+4,I476*1.25+5))),
""))),2)</f>
        <v>8316.23</v>
      </c>
      <c r="I476" s="9">
        <f>($K$2+0.02)*Tabla1[[#This Row],[PRECIO $]]*1.18</f>
        <v>7542.9375999999993</v>
      </c>
      <c r="J476" s="7">
        <f>+Tabla1[[#This Row],[PRECIO EN SOLES]]-Tabla1[[#This Row],[PC]]</f>
        <v>773.29240000000027</v>
      </c>
      <c r="K476" s="15"/>
      <c r="L476" s="15" t="str">
        <f t="shared" si="7"/>
        <v>GANCHO</v>
      </c>
    </row>
    <row r="477" spans="1:12" x14ac:dyDescent="0.25">
      <c r="A477" s="3" t="s">
        <v>1144</v>
      </c>
      <c r="B477" s="3" t="s">
        <v>1145</v>
      </c>
      <c r="C477" s="1">
        <v>1</v>
      </c>
      <c r="D477" s="1">
        <v>2368</v>
      </c>
      <c r="E477" s="1" t="s">
        <v>141</v>
      </c>
      <c r="F477" s="1" t="s">
        <v>3085</v>
      </c>
      <c r="G477" s="3" t="s">
        <v>1146</v>
      </c>
      <c r="H477" s="11">
        <f>ROUND(
IF(L477="GANCHO",
   IF(I477&lt;=50,I477*1.1+4,IF(I477&lt;=120,I477*1.1+7,IF(I477&lt;=250,I477*1.1+11,I477*1.1+19))),
IF(L477="NORMAL",
   IF(I477&lt;=30,I477*1.15+2,IF(I477&lt;=80,I477*1.15+4,IF(I477&lt;=150,I477*1.15+6,I477*1.15+8))),
IF(L477="COMPLEMENTO",
   IF(I477&lt;=25,I477*1.25+1.5,IF(I477&lt;=60,I477*1.25+3,IF(I477&lt;=120,I477*1.25+4,I477*1.25+5))),
""))),2)</f>
        <v>10838.3</v>
      </c>
      <c r="I477" s="9">
        <f>($K$2+0.02)*Tabla1[[#This Row],[PRECIO $]]*1.18</f>
        <v>9835.7248</v>
      </c>
      <c r="J477" s="7">
        <f>+Tabla1[[#This Row],[PRECIO EN SOLES]]-Tabla1[[#This Row],[PC]]</f>
        <v>1002.5751999999993</v>
      </c>
      <c r="K477" s="15"/>
      <c r="L477" s="15" t="str">
        <f t="shared" si="7"/>
        <v>GANCHO</v>
      </c>
    </row>
    <row r="478" spans="1:12" x14ac:dyDescent="0.25">
      <c r="A478" s="3" t="s">
        <v>568</v>
      </c>
      <c r="B478" s="3" t="s">
        <v>569</v>
      </c>
      <c r="C478" s="1">
        <v>20</v>
      </c>
      <c r="D478" s="1">
        <v>119</v>
      </c>
      <c r="E478" s="1" t="s">
        <v>141</v>
      </c>
      <c r="F478" s="1" t="s">
        <v>3086</v>
      </c>
      <c r="G478" s="3" t="s">
        <v>570</v>
      </c>
      <c r="H478" s="11">
        <f>ROUND(
IF(L478="GANCHO",
   IF(I478&lt;=50,I478*1.1+4,IF(I478&lt;=120,I478*1.1+7,IF(I478&lt;=250,I478*1.1+11,I478*1.1+19))),
IF(L478="NORMAL",
   IF(I478&lt;=30,I478*1.15+2,IF(I478&lt;=80,I478*1.15+4,IF(I478&lt;=150,I478*1.15+6,I478*1.15+8))),
IF(L478="COMPLEMENTO",
   IF(I478&lt;=25,I478*1.25+1.5,IF(I478&lt;=60,I478*1.25+3,IF(I478&lt;=120,I478*1.25+4,I478*1.25+5))),
""))),2)</f>
        <v>562.71</v>
      </c>
      <c r="I478" s="9">
        <f>($K$2+0.02)*Tabla1[[#This Row],[PRECIO $]]*1.18</f>
        <v>494.27839999999998</v>
      </c>
      <c r="J478" s="7">
        <f>+Tabla1[[#This Row],[PRECIO EN SOLES]]-Tabla1[[#This Row],[PC]]</f>
        <v>68.43160000000006</v>
      </c>
      <c r="K478" s="15"/>
      <c r="L478" s="15" t="str">
        <f t="shared" si="7"/>
        <v>GANCHO</v>
      </c>
    </row>
    <row r="479" spans="1:12" x14ac:dyDescent="0.25">
      <c r="A479" s="3" t="s">
        <v>1147</v>
      </c>
      <c r="B479" s="3" t="s">
        <v>1148</v>
      </c>
      <c r="C479" s="1">
        <v>20</v>
      </c>
      <c r="D479" s="1">
        <v>157</v>
      </c>
      <c r="E479" s="1" t="s">
        <v>141</v>
      </c>
      <c r="F479" s="1" t="s">
        <v>3087</v>
      </c>
      <c r="G479" s="3" t="s">
        <v>1149</v>
      </c>
      <c r="H479" s="11">
        <f>ROUND(
IF(L479="GANCHO",
   IF(I479&lt;=50,I479*1.1+4,IF(I479&lt;=120,I479*1.1+7,IF(I479&lt;=250,I479*1.1+11,I479*1.1+19))),
IF(L479="NORMAL",
   IF(I479&lt;=30,I479*1.15+2,IF(I479&lt;=80,I479*1.15+4,IF(I479&lt;=150,I479*1.15+6,I479*1.15+8))),
IF(L479="COMPLEMENTO",
   IF(I479&lt;=25,I479*1.25+1.5,IF(I479&lt;=60,I479*1.25+3,IF(I479&lt;=120,I479*1.25+4,I479*1.25+5))),
""))),2)</f>
        <v>736.33</v>
      </c>
      <c r="I479" s="9">
        <f>($K$2+0.02)*Tabla1[[#This Row],[PRECIO $]]*1.18</f>
        <v>652.11519999999996</v>
      </c>
      <c r="J479" s="7">
        <f>+Tabla1[[#This Row],[PRECIO EN SOLES]]-Tabla1[[#This Row],[PC]]</f>
        <v>84.214800000000082</v>
      </c>
      <c r="K479" s="15"/>
      <c r="L479" s="15" t="str">
        <f t="shared" si="7"/>
        <v>GANCHO</v>
      </c>
    </row>
    <row r="480" spans="1:12" x14ac:dyDescent="0.25">
      <c r="A480" s="3" t="s">
        <v>1150</v>
      </c>
      <c r="B480" s="3" t="s">
        <v>1151</v>
      </c>
      <c r="C480" s="1">
        <v>20</v>
      </c>
      <c r="D480" s="1">
        <v>318</v>
      </c>
      <c r="E480" s="1" t="s">
        <v>141</v>
      </c>
      <c r="F480" s="1" t="s">
        <v>3088</v>
      </c>
      <c r="G480" s="3" t="s">
        <v>1152</v>
      </c>
      <c r="H480" s="11">
        <f>ROUND(
IF(L480="GANCHO",
   IF(I480&lt;=50,I480*1.1+4,IF(I480&lt;=120,I480*1.1+7,IF(I480&lt;=250,I480*1.1+11,I480*1.1+19))),
IF(L480="NORMAL",
   IF(I480&lt;=30,I480*1.15+2,IF(I480&lt;=80,I480*1.15+4,IF(I480&lt;=150,I480*1.15+6,I480*1.15+8))),
IF(L480="COMPLEMENTO",
   IF(I480&lt;=25,I480*1.25+1.5,IF(I480&lt;=60,I480*1.25+3,IF(I480&lt;=120,I480*1.25+4,I480*1.25+5))),
""))),2)</f>
        <v>1471.93</v>
      </c>
      <c r="I480" s="9">
        <f>($K$2+0.02)*Tabla1[[#This Row],[PRECIO $]]*1.18</f>
        <v>1320.8447999999999</v>
      </c>
      <c r="J480" s="7">
        <f>+Tabla1[[#This Row],[PRECIO EN SOLES]]-Tabla1[[#This Row],[PC]]</f>
        <v>151.08520000000021</v>
      </c>
      <c r="K480" s="15"/>
      <c r="L480" s="15" t="str">
        <f t="shared" si="7"/>
        <v>GANCHO</v>
      </c>
    </row>
    <row r="481" spans="1:12" x14ac:dyDescent="0.25">
      <c r="A481" s="3" t="s">
        <v>1153</v>
      </c>
      <c r="B481" s="3" t="s">
        <v>1154</v>
      </c>
      <c r="C481" s="1">
        <v>2</v>
      </c>
      <c r="D481" s="1">
        <v>345</v>
      </c>
      <c r="E481" s="1" t="s">
        <v>141</v>
      </c>
      <c r="F481" s="1" t="s">
        <v>3089</v>
      </c>
      <c r="G481" s="3" t="s">
        <v>1155</v>
      </c>
      <c r="H481" s="11">
        <f>ROUND(
IF(L481="GANCHO",
   IF(I481&lt;=50,I481*1.1+4,IF(I481&lt;=120,I481*1.1+7,IF(I481&lt;=250,I481*1.1+11,I481*1.1+19))),
IF(L481="NORMAL",
   IF(I481&lt;=30,I481*1.15+2,IF(I481&lt;=80,I481*1.15+4,IF(I481&lt;=150,I481*1.15+6,I481*1.15+8))),
IF(L481="COMPLEMENTO",
   IF(I481&lt;=25,I481*1.25+1.5,IF(I481&lt;=60,I481*1.25+3,IF(I481&lt;=120,I481*1.25+4,I481*1.25+5))),
""))),2)</f>
        <v>1595.29</v>
      </c>
      <c r="I481" s="9">
        <f>($K$2+0.02)*Tabla1[[#This Row],[PRECIO $]]*1.18</f>
        <v>1432.992</v>
      </c>
      <c r="J481" s="7">
        <f>+Tabla1[[#This Row],[PRECIO EN SOLES]]-Tabla1[[#This Row],[PC]]</f>
        <v>162.298</v>
      </c>
      <c r="K481" s="15"/>
      <c r="L481" s="15" t="str">
        <f t="shared" si="7"/>
        <v>GANCHO</v>
      </c>
    </row>
    <row r="482" spans="1:12" x14ac:dyDescent="0.25">
      <c r="A482" s="3" t="s">
        <v>1156</v>
      </c>
      <c r="B482" s="3" t="s">
        <v>1157</v>
      </c>
      <c r="C482" s="1">
        <v>20</v>
      </c>
      <c r="D482" s="1">
        <v>138</v>
      </c>
      <c r="E482" s="1" t="s">
        <v>141</v>
      </c>
      <c r="F482" s="1" t="s">
        <v>3090</v>
      </c>
      <c r="G482" s="3"/>
      <c r="H482" s="11">
        <f>ROUND(
IF(L482="GANCHO",
   IF(I482&lt;=50,I482*1.1+4,IF(I482&lt;=120,I482*1.1+7,IF(I482&lt;=250,I482*1.1+11,I482*1.1+19))),
IF(L482="NORMAL",
   IF(I482&lt;=30,I482*1.15+2,IF(I482&lt;=80,I482*1.15+4,IF(I482&lt;=150,I482*1.15+6,I482*1.15+8))),
IF(L482="COMPLEMENTO",
   IF(I482&lt;=25,I482*1.25+1.5,IF(I482&lt;=60,I482*1.25+3,IF(I482&lt;=120,I482*1.25+4,I482*1.25+5))),
""))),2)</f>
        <v>667.18</v>
      </c>
      <c r="I482" s="9">
        <f>($K$2+0.02)*Tabla1[[#This Row],[PRECIO $]]*1.18</f>
        <v>573.19679999999994</v>
      </c>
      <c r="J482" s="7">
        <f>+Tabla1[[#This Row],[PRECIO EN SOLES]]-Tabla1[[#This Row],[PC]]</f>
        <v>93.983200000000011</v>
      </c>
      <c r="K482" s="15"/>
      <c r="L482" s="15" t="str">
        <f t="shared" si="7"/>
        <v>NORMAL</v>
      </c>
    </row>
    <row r="483" spans="1:12" x14ac:dyDescent="0.25">
      <c r="A483" s="3" t="s">
        <v>2568</v>
      </c>
      <c r="B483" s="3" t="s">
        <v>2569</v>
      </c>
      <c r="C483" s="1">
        <v>20</v>
      </c>
      <c r="D483" s="1">
        <v>34.799999999999997</v>
      </c>
      <c r="E483" s="1" t="s">
        <v>54</v>
      </c>
      <c r="F483" s="1" t="s">
        <v>3091</v>
      </c>
      <c r="G483" s="3" t="s">
        <v>2581</v>
      </c>
      <c r="H483" s="11">
        <f>ROUND(
IF(L483="GANCHO",
   IF(I483&lt;=50,I483*1.1+4,IF(I483&lt;=120,I483*1.1+7,IF(I483&lt;=250,I483*1.1+11,I483*1.1+19))),
IF(L483="NORMAL",
   IF(I483&lt;=30,I483*1.15+2,IF(I483&lt;=80,I483*1.15+4,IF(I483&lt;=150,I483*1.15+6,I483*1.15+8))),
IF(L483="COMPLEMENTO",
   IF(I483&lt;=25,I483*1.25+1.5,IF(I483&lt;=60,I483*1.25+3,IF(I483&lt;=120,I483*1.25+4,I483*1.25+5))),
""))),2)</f>
        <v>172.23</v>
      </c>
      <c r="I483" s="9">
        <f>($K$2+0.02)*Tabla1[[#This Row],[PRECIO $]]*1.18</f>
        <v>144.54527999999999</v>
      </c>
      <c r="J483" s="7">
        <f>+Tabla1[[#This Row],[PRECIO EN SOLES]]-Tabla1[[#This Row],[PC]]</f>
        <v>27.684719999999999</v>
      </c>
      <c r="K483" s="15"/>
      <c r="L483" s="15" t="str">
        <f t="shared" si="7"/>
        <v>NORMAL</v>
      </c>
    </row>
    <row r="484" spans="1:12" x14ac:dyDescent="0.25">
      <c r="A484" s="3" t="s">
        <v>1158</v>
      </c>
      <c r="B484" s="3" t="s">
        <v>1159</v>
      </c>
      <c r="C484" s="1">
        <v>0</v>
      </c>
      <c r="D484" s="1">
        <v>373</v>
      </c>
      <c r="E484" s="1" t="s">
        <v>56</v>
      </c>
      <c r="F484" s="1" t="s">
        <v>3092</v>
      </c>
      <c r="G484" s="3" t="s">
        <v>1160</v>
      </c>
      <c r="H484" s="11">
        <f>ROUND(
IF(L484="GANCHO",
   IF(I484&lt;=50,I484*1.1+4,IF(I484&lt;=120,I484*1.1+7,IF(I484&lt;=250,I484*1.1+11,I484*1.1+19))),
IF(L484="NORMAL",
   IF(I484&lt;=30,I484*1.15+2,IF(I484&lt;=80,I484*1.15+4,IF(I484&lt;=150,I484*1.15+6,I484*1.15+8))),
IF(L484="COMPLEMENTO",
   IF(I484&lt;=25,I484*1.25+1.5,IF(I484&lt;=60,I484*1.25+3,IF(I484&lt;=120,I484*1.25+4,I484*1.25+5))),
""))),2)</f>
        <v>1789.69</v>
      </c>
      <c r="I484" s="9">
        <f>($K$2+0.02)*Tabla1[[#This Row],[PRECIO $]]*1.18</f>
        <v>1549.2927999999999</v>
      </c>
      <c r="J484" s="7">
        <f>+Tabla1[[#This Row],[PRECIO EN SOLES]]-Tabla1[[#This Row],[PC]]</f>
        <v>240.39720000000011</v>
      </c>
      <c r="K484" s="15"/>
      <c r="L484" s="15" t="str">
        <f t="shared" si="7"/>
        <v>NORMAL</v>
      </c>
    </row>
    <row r="485" spans="1:12" x14ac:dyDescent="0.25">
      <c r="A485" s="3" t="s">
        <v>6954</v>
      </c>
      <c r="B485" s="3" t="s">
        <v>6955</v>
      </c>
      <c r="C485" s="1">
        <v>0</v>
      </c>
      <c r="D485" s="1">
        <v>110</v>
      </c>
      <c r="E485" s="1" t="s">
        <v>57</v>
      </c>
      <c r="F485" s="1" t="s">
        <v>6956</v>
      </c>
      <c r="G485" s="3" t="s">
        <v>6957</v>
      </c>
      <c r="H485" s="11">
        <f>ROUND(
IF(L485="GANCHO",
   IF(I485&lt;=50,I485*1.1+4,IF(I485&lt;=120,I485*1.1+7,IF(I485&lt;=250,I485*1.1+11,I485*1.1+19))),
IF(L485="NORMAL",
   IF(I485&lt;=30,I485*1.15+2,IF(I485&lt;=80,I485*1.15+4,IF(I485&lt;=150,I485*1.15+6,I485*1.15+8))),
IF(L485="COMPLEMENTO",
   IF(I485&lt;=25,I485*1.25+1.5,IF(I485&lt;=60,I485*1.25+3,IF(I485&lt;=120,I485*1.25+4,I485*1.25+5))),
""))),2)</f>
        <v>576.12</v>
      </c>
      <c r="I485" s="9">
        <f>($K$2+0.02)*Tabla1[[#This Row],[PRECIO $]]*1.18</f>
        <v>456.89599999999996</v>
      </c>
      <c r="J485" s="7">
        <f>+Tabla1[[#This Row],[PRECIO EN SOLES]]-Tabla1[[#This Row],[PC]]</f>
        <v>119.22400000000005</v>
      </c>
      <c r="K485" s="15"/>
      <c r="L485" s="15" t="str">
        <f t="shared" si="7"/>
        <v>COMPLEMENTO</v>
      </c>
    </row>
    <row r="486" spans="1:12" x14ac:dyDescent="0.25">
      <c r="A486" s="3" t="s">
        <v>1161</v>
      </c>
      <c r="B486" s="3" t="s">
        <v>1162</v>
      </c>
      <c r="C486" s="1">
        <v>0</v>
      </c>
      <c r="D486" s="1">
        <v>1100</v>
      </c>
      <c r="E486" s="1" t="s">
        <v>56</v>
      </c>
      <c r="F486" s="1" t="s">
        <v>3093</v>
      </c>
      <c r="G486" s="3" t="s">
        <v>1163</v>
      </c>
      <c r="H486" s="11">
        <f>ROUND(
IF(L486="GANCHO",
   IF(I486&lt;=50,I486*1.1+4,IF(I486&lt;=120,I486*1.1+7,IF(I486&lt;=250,I486*1.1+11,I486*1.1+19))),
IF(L486="NORMAL",
   IF(I486&lt;=30,I486*1.15+2,IF(I486&lt;=80,I486*1.15+4,IF(I486&lt;=150,I486*1.15+6,I486*1.15+8))),
IF(L486="COMPLEMENTO",
   IF(I486&lt;=25,I486*1.25+1.5,IF(I486&lt;=60,I486*1.25+3,IF(I486&lt;=120,I486*1.25+4,I486*1.25+5))),
""))),2)</f>
        <v>5262.3</v>
      </c>
      <c r="I486" s="9">
        <f>($K$2+0.02)*Tabla1[[#This Row],[PRECIO $]]*1.18</f>
        <v>4568.96</v>
      </c>
      <c r="J486" s="7">
        <f>+Tabla1[[#This Row],[PRECIO EN SOLES]]-Tabla1[[#This Row],[PC]]</f>
        <v>693.34000000000015</v>
      </c>
      <c r="K486" s="15"/>
      <c r="L486" s="15" t="str">
        <f t="shared" si="7"/>
        <v>NORMAL</v>
      </c>
    </row>
    <row r="487" spans="1:12" x14ac:dyDescent="0.25">
      <c r="A487" s="3" t="s">
        <v>1164</v>
      </c>
      <c r="B487" s="3" t="s">
        <v>1165</v>
      </c>
      <c r="C487" s="1">
        <v>0</v>
      </c>
      <c r="D487" s="1">
        <v>9999999.9900000002</v>
      </c>
      <c r="E487" s="1" t="s">
        <v>1166</v>
      </c>
      <c r="F487" s="1" t="s">
        <v>3094</v>
      </c>
      <c r="G487" s="3"/>
      <c r="H487" s="11">
        <f>ROUND(
IF(L487="GANCHO",
   IF(I487&lt;=50,I487*1.1+4,IF(I487&lt;=120,I487*1.1+7,IF(I487&lt;=250,I487*1.1+11,I487*1.1+19))),
IF(L487="NORMAL",
   IF(I487&lt;=30,I487*1.15+2,IF(I487&lt;=80,I487*1.15+4,IF(I487&lt;=150,I487*1.15+6,I487*1.15+8))),
IF(L487="COMPLEMENTO",
   IF(I487&lt;=25,I487*1.25+1.5,IF(I487&lt;=60,I487*1.25+3,IF(I487&lt;=120,I487*1.25+4,I487*1.25+5))),
""))),2)</f>
        <v>47766407.950000003</v>
      </c>
      <c r="I487" s="9">
        <f>($K$2+0.02)*Tabla1[[#This Row],[PRECIO $]]*1.18</f>
        <v>41535999.958463997</v>
      </c>
      <c r="J487" s="7">
        <f>+Tabla1[[#This Row],[PRECIO EN SOLES]]-Tabla1[[#This Row],[PC]]</f>
        <v>6230407.9915360063</v>
      </c>
      <c r="K487" s="15"/>
      <c r="L487" s="15" t="str">
        <f t="shared" si="7"/>
        <v>NORMAL</v>
      </c>
    </row>
    <row r="488" spans="1:12" x14ac:dyDescent="0.25">
      <c r="A488" s="3" t="s">
        <v>652</v>
      </c>
      <c r="B488" s="3" t="s">
        <v>653</v>
      </c>
      <c r="C488" s="1">
        <v>20</v>
      </c>
      <c r="D488" s="1">
        <v>65</v>
      </c>
      <c r="E488" s="1" t="s">
        <v>238</v>
      </c>
      <c r="F488" s="1" t="s">
        <v>3095</v>
      </c>
      <c r="G488" s="3" t="s">
        <v>654</v>
      </c>
      <c r="H488" s="11">
        <f>ROUND(
IF(L488="GANCHO",
   IF(I488&lt;=50,I488*1.1+4,IF(I488&lt;=120,I488*1.1+7,IF(I488&lt;=250,I488*1.1+11,I488*1.1+19))),
IF(L488="NORMAL",
   IF(I488&lt;=30,I488*1.15+2,IF(I488&lt;=80,I488*1.15+4,IF(I488&lt;=150,I488*1.15+6,I488*1.15+8))),
IF(L488="COMPLEMENTO",
   IF(I488&lt;=25,I488*1.25+1.5,IF(I488&lt;=60,I488*1.25+3,IF(I488&lt;=120,I488*1.25+4,I488*1.25+5))),
""))),2)</f>
        <v>318.48</v>
      </c>
      <c r="I488" s="9">
        <f>($K$2+0.02)*Tabla1[[#This Row],[PRECIO $]]*1.18</f>
        <v>269.98399999999998</v>
      </c>
      <c r="J488" s="7">
        <f>+Tabla1[[#This Row],[PRECIO EN SOLES]]-Tabla1[[#This Row],[PC]]</f>
        <v>48.496000000000038</v>
      </c>
      <c r="K488" s="15"/>
      <c r="L488" s="15" t="str">
        <f t="shared" si="7"/>
        <v>NORMAL</v>
      </c>
    </row>
    <row r="489" spans="1:12" x14ac:dyDescent="0.25">
      <c r="A489" s="3" t="s">
        <v>655</v>
      </c>
      <c r="B489" s="3" t="s">
        <v>656</v>
      </c>
      <c r="C489" s="1">
        <v>20</v>
      </c>
      <c r="D489" s="1">
        <v>148.94</v>
      </c>
      <c r="E489" s="1" t="s">
        <v>238</v>
      </c>
      <c r="F489" s="1" t="s">
        <v>3096</v>
      </c>
      <c r="G489" s="3" t="s">
        <v>657</v>
      </c>
      <c r="H489" s="11">
        <f>ROUND(
IF(L489="GANCHO",
   IF(I489&lt;=50,I489*1.1+4,IF(I489&lt;=120,I489*1.1+7,IF(I489&lt;=250,I489*1.1+11,I489*1.1+19))),
IF(L489="NORMAL",
   IF(I489&lt;=30,I489*1.15+2,IF(I489&lt;=80,I489*1.15+4,IF(I489&lt;=150,I489*1.15+6,I489*1.15+8))),
IF(L489="COMPLEMENTO",
   IF(I489&lt;=25,I489*1.25+1.5,IF(I489&lt;=60,I489*1.25+3,IF(I489&lt;=120,I489*1.25+4,I489*1.25+5))),
""))),2)</f>
        <v>719.43</v>
      </c>
      <c r="I489" s="9">
        <f>($K$2+0.02)*Tabla1[[#This Row],[PRECIO $]]*1.18</f>
        <v>618.63718399999993</v>
      </c>
      <c r="J489" s="7">
        <f>+Tabla1[[#This Row],[PRECIO EN SOLES]]-Tabla1[[#This Row],[PC]]</f>
        <v>100.79281600000002</v>
      </c>
      <c r="K489" s="15"/>
      <c r="L489" s="15" t="str">
        <f t="shared" si="7"/>
        <v>NORMAL</v>
      </c>
    </row>
    <row r="490" spans="1:12" x14ac:dyDescent="0.25">
      <c r="A490" s="3" t="s">
        <v>658</v>
      </c>
      <c r="B490" s="3" t="s">
        <v>659</v>
      </c>
      <c r="C490" s="1">
        <v>20</v>
      </c>
      <c r="D490" s="1">
        <v>189.31</v>
      </c>
      <c r="E490" s="1" t="s">
        <v>238</v>
      </c>
      <c r="F490" s="1" t="s">
        <v>3097</v>
      </c>
      <c r="G490" s="3" t="s">
        <v>660</v>
      </c>
      <c r="H490" s="11">
        <f>ROUND(
IF(L490="GANCHO",
   IF(I490&lt;=50,I490*1.1+4,IF(I490&lt;=120,I490*1.1+7,IF(I490&lt;=250,I490*1.1+11,I490*1.1+19))),
IF(L490="NORMAL",
   IF(I490&lt;=30,I490*1.15+2,IF(I490&lt;=80,I490*1.15+4,IF(I490&lt;=150,I490*1.15+6,I490*1.15+8))),
IF(L490="COMPLEMENTO",
   IF(I490&lt;=25,I490*1.25+1.5,IF(I490&lt;=60,I490*1.25+3,IF(I490&lt;=120,I490*1.25+4,I490*1.25+5))),
""))),2)</f>
        <v>912.27</v>
      </c>
      <c r="I490" s="9">
        <f>($K$2+0.02)*Tabla1[[#This Row],[PRECIO $]]*1.18</f>
        <v>786.31801600000006</v>
      </c>
      <c r="J490" s="7">
        <f>+Tabla1[[#This Row],[PRECIO EN SOLES]]-Tabla1[[#This Row],[PC]]</f>
        <v>125.95198399999992</v>
      </c>
      <c r="K490" s="15"/>
      <c r="L490" s="15" t="str">
        <f t="shared" si="7"/>
        <v>NORMAL</v>
      </c>
    </row>
    <row r="491" spans="1:12" x14ac:dyDescent="0.25">
      <c r="A491" s="3" t="s">
        <v>661</v>
      </c>
      <c r="B491" s="3" t="s">
        <v>662</v>
      </c>
      <c r="C491" s="1">
        <v>20</v>
      </c>
      <c r="D491" s="1">
        <v>232.47</v>
      </c>
      <c r="E491" s="1" t="s">
        <v>238</v>
      </c>
      <c r="F491" s="1" t="s">
        <v>3098</v>
      </c>
      <c r="G491" s="3" t="s">
        <v>663</v>
      </c>
      <c r="H491" s="11">
        <f>ROUND(
IF(L491="GANCHO",
   IF(I491&lt;=50,I491*1.1+4,IF(I491&lt;=120,I491*1.1+7,IF(I491&lt;=250,I491*1.1+11,I491*1.1+19))),
IF(L491="NORMAL",
   IF(I491&lt;=30,I491*1.15+2,IF(I491&lt;=80,I491*1.15+4,IF(I491&lt;=150,I491*1.15+6,I491*1.15+8))),
IF(L491="COMPLEMENTO",
   IF(I491&lt;=25,I491*1.25+1.5,IF(I491&lt;=60,I491*1.25+3,IF(I491&lt;=120,I491*1.25+4,I491*1.25+5))),
""))),2)</f>
        <v>1118.43</v>
      </c>
      <c r="I491" s="9">
        <f>($K$2+0.02)*Tabla1[[#This Row],[PRECIO $]]*1.18</f>
        <v>965.58739199999991</v>
      </c>
      <c r="J491" s="7">
        <f>+Tabla1[[#This Row],[PRECIO EN SOLES]]-Tabla1[[#This Row],[PC]]</f>
        <v>152.84260800000015</v>
      </c>
      <c r="K491" s="15"/>
      <c r="L491" s="15" t="str">
        <f t="shared" si="7"/>
        <v>NORMAL</v>
      </c>
    </row>
    <row r="492" spans="1:12" x14ac:dyDescent="0.25">
      <c r="A492" s="3" t="s">
        <v>664</v>
      </c>
      <c r="B492" s="3" t="s">
        <v>665</v>
      </c>
      <c r="C492" s="1">
        <v>20</v>
      </c>
      <c r="D492" s="1">
        <v>223</v>
      </c>
      <c r="E492" s="1" t="s">
        <v>238</v>
      </c>
      <c r="F492" s="1" t="s">
        <v>3099</v>
      </c>
      <c r="G492" s="3" t="s">
        <v>666</v>
      </c>
      <c r="H492" s="11">
        <f>ROUND(
IF(L492="GANCHO",
   IF(I492&lt;=50,I492*1.1+4,IF(I492&lt;=120,I492*1.1+7,IF(I492&lt;=250,I492*1.1+11,I492*1.1+19))),
IF(L492="NORMAL",
   IF(I492&lt;=30,I492*1.15+2,IF(I492&lt;=80,I492*1.15+4,IF(I492&lt;=150,I492*1.15+6,I492*1.15+8))),
IF(L492="COMPLEMENTO",
   IF(I492&lt;=25,I492*1.25+1.5,IF(I492&lt;=60,I492*1.25+3,IF(I492&lt;=120,I492*1.25+4,I492*1.25+5))),
""))),2)</f>
        <v>1073.19</v>
      </c>
      <c r="I492" s="9">
        <f>($K$2+0.02)*Tabla1[[#This Row],[PRECIO $]]*1.18</f>
        <v>926.25279999999998</v>
      </c>
      <c r="J492" s="7">
        <f>+Tabla1[[#This Row],[PRECIO EN SOLES]]-Tabla1[[#This Row],[PC]]</f>
        <v>146.93720000000008</v>
      </c>
      <c r="K492" s="15"/>
      <c r="L492" s="15" t="str">
        <f t="shared" si="7"/>
        <v>NORMAL</v>
      </c>
    </row>
    <row r="493" spans="1:12" x14ac:dyDescent="0.25">
      <c r="A493" s="3" t="s">
        <v>667</v>
      </c>
      <c r="B493" s="3" t="s">
        <v>668</v>
      </c>
      <c r="C493" s="1">
        <v>20</v>
      </c>
      <c r="D493" s="1">
        <v>498.24</v>
      </c>
      <c r="E493" s="1" t="s">
        <v>238</v>
      </c>
      <c r="F493" s="1" t="s">
        <v>3100</v>
      </c>
      <c r="G493" s="3" t="s">
        <v>669</v>
      </c>
      <c r="H493" s="11">
        <f>ROUND(
IF(L493="GANCHO",
   IF(I493&lt;=50,I493*1.1+4,IF(I493&lt;=120,I493*1.1+7,IF(I493&lt;=250,I493*1.1+11,I493*1.1+19))),
IF(L493="NORMAL",
   IF(I493&lt;=30,I493*1.15+2,IF(I493&lt;=80,I493*1.15+4,IF(I493&lt;=150,I493*1.15+6,I493*1.15+8))),
IF(L493="COMPLEMENTO",
   IF(I493&lt;=25,I493*1.25+1.5,IF(I493&lt;=60,I493*1.25+3,IF(I493&lt;=120,I493*1.25+4,I493*1.25+5))),
""))),2)</f>
        <v>2387.91</v>
      </c>
      <c r="I493" s="9">
        <f>($K$2+0.02)*Tabla1[[#This Row],[PRECIO $]]*1.18</f>
        <v>2069.4896640000002</v>
      </c>
      <c r="J493" s="7">
        <f>+Tabla1[[#This Row],[PRECIO EN SOLES]]-Tabla1[[#This Row],[PC]]</f>
        <v>318.42033599999968</v>
      </c>
      <c r="K493" s="15"/>
      <c r="L493" s="15" t="str">
        <f t="shared" si="7"/>
        <v>NORMAL</v>
      </c>
    </row>
    <row r="494" spans="1:12" x14ac:dyDescent="0.25">
      <c r="A494" s="3" t="s">
        <v>670</v>
      </c>
      <c r="B494" s="3" t="s">
        <v>239</v>
      </c>
      <c r="C494" s="1">
        <v>20</v>
      </c>
      <c r="D494" s="1">
        <v>19.149999999999999</v>
      </c>
      <c r="E494" s="1" t="s">
        <v>238</v>
      </c>
      <c r="F494" s="1" t="s">
        <v>3101</v>
      </c>
      <c r="G494" s="3" t="s">
        <v>2829</v>
      </c>
      <c r="H494" s="11">
        <f>ROUND(
IF(L494="GANCHO",
   IF(I494&lt;=50,I494*1.1+4,IF(I494&lt;=120,I494*1.1+7,IF(I494&lt;=250,I494*1.1+11,I494*1.1+19))),
IF(L494="NORMAL",
   IF(I494&lt;=30,I494*1.15+2,IF(I494&lt;=80,I494*1.15+4,IF(I494&lt;=150,I494*1.15+6,I494*1.15+8))),
IF(L494="COMPLEMENTO",
   IF(I494&lt;=25,I494*1.25+1.5,IF(I494&lt;=60,I494*1.25+3,IF(I494&lt;=120,I494*1.25+4,I494*1.25+5))),
""))),2)</f>
        <v>103.43</v>
      </c>
      <c r="I494" s="9">
        <f>($K$2+0.02)*Tabla1[[#This Row],[PRECIO $]]*1.18</f>
        <v>79.541439999999994</v>
      </c>
      <c r="J494" s="7">
        <f>+Tabla1[[#This Row],[PRECIO EN SOLES]]-Tabla1[[#This Row],[PC]]</f>
        <v>23.888560000000012</v>
      </c>
      <c r="K494" s="15"/>
      <c r="L494" s="15" t="str">
        <f t="shared" si="7"/>
        <v>COMPLEMENTO</v>
      </c>
    </row>
    <row r="495" spans="1:12" x14ac:dyDescent="0.25">
      <c r="A495" s="3" t="s">
        <v>1167</v>
      </c>
      <c r="B495" s="3" t="s">
        <v>239</v>
      </c>
      <c r="C495" s="1">
        <v>0</v>
      </c>
      <c r="D495" s="1">
        <v>999</v>
      </c>
      <c r="E495" s="1" t="s">
        <v>238</v>
      </c>
      <c r="F495" s="1" t="s">
        <v>3102</v>
      </c>
      <c r="G495" s="3"/>
      <c r="H495" s="11">
        <f>ROUND(
IF(L495="GANCHO",
   IF(I495&lt;=50,I495*1.1+4,IF(I495&lt;=120,I495*1.1+7,IF(I495&lt;=250,I495*1.1+11,I495*1.1+19))),
IF(L495="NORMAL",
   IF(I495&lt;=30,I495*1.15+2,IF(I495&lt;=80,I495*1.15+4,IF(I495&lt;=150,I495*1.15+6,I495*1.15+8))),
IF(L495="COMPLEMENTO",
   IF(I495&lt;=25,I495*1.25+1.5,IF(I495&lt;=60,I495*1.25+3,IF(I495&lt;=120,I495*1.25+4,I495*1.25+5))),
""))),2)</f>
        <v>5191.8100000000004</v>
      </c>
      <c r="I495" s="9">
        <f>($K$2+0.02)*Tabla1[[#This Row],[PRECIO $]]*1.18</f>
        <v>4149.4463999999998</v>
      </c>
      <c r="J495" s="7">
        <f>+Tabla1[[#This Row],[PRECIO EN SOLES]]-Tabla1[[#This Row],[PC]]</f>
        <v>1042.3636000000006</v>
      </c>
      <c r="K495" s="15"/>
      <c r="L495" s="15" t="str">
        <f t="shared" si="7"/>
        <v>COMPLEMENTO</v>
      </c>
    </row>
    <row r="496" spans="1:12" x14ac:dyDescent="0.25">
      <c r="A496" s="3" t="s">
        <v>671</v>
      </c>
      <c r="B496" s="3" t="s">
        <v>672</v>
      </c>
      <c r="C496" s="1">
        <v>20</v>
      </c>
      <c r="D496" s="1">
        <v>26.81</v>
      </c>
      <c r="E496" s="1" t="s">
        <v>238</v>
      </c>
      <c r="F496" s="1" t="s">
        <v>3103</v>
      </c>
      <c r="G496" s="3" t="s">
        <v>2830</v>
      </c>
      <c r="H496" s="11">
        <f>ROUND(
IF(L496="GANCHO",
   IF(I496&lt;=50,I496*1.1+4,IF(I496&lt;=120,I496*1.1+7,IF(I496&lt;=250,I496*1.1+11,I496*1.1+19))),
IF(L496="NORMAL",
   IF(I496&lt;=30,I496*1.15+2,IF(I496&lt;=80,I496*1.15+4,IF(I496&lt;=150,I496*1.15+6,I496*1.15+8))),
IF(L496="COMPLEMENTO",
   IF(I496&lt;=25,I496*1.25+1.5,IF(I496&lt;=60,I496*1.25+3,IF(I496&lt;=120,I496*1.25+4,I496*1.25+5))),
""))),2)</f>
        <v>143.19999999999999</v>
      </c>
      <c r="I496" s="9">
        <f>($K$2+0.02)*Tabla1[[#This Row],[PRECIO $]]*1.18</f>
        <v>111.35801599999999</v>
      </c>
      <c r="J496" s="7">
        <f>+Tabla1[[#This Row],[PRECIO EN SOLES]]-Tabla1[[#This Row],[PC]]</f>
        <v>31.841983999999997</v>
      </c>
      <c r="K496" s="15"/>
      <c r="L496" s="15" t="str">
        <f t="shared" si="7"/>
        <v>COMPLEMENTO</v>
      </c>
    </row>
    <row r="497" spans="1:12" x14ac:dyDescent="0.25">
      <c r="A497" s="3" t="s">
        <v>673</v>
      </c>
      <c r="B497" s="3" t="s">
        <v>674</v>
      </c>
      <c r="C497" s="1">
        <v>20</v>
      </c>
      <c r="D497" s="1">
        <v>34.47</v>
      </c>
      <c r="E497" s="1" t="s">
        <v>238</v>
      </c>
      <c r="F497" s="1" t="s">
        <v>3104</v>
      </c>
      <c r="G497" s="3" t="s">
        <v>2831</v>
      </c>
      <c r="H497" s="11">
        <f>ROUND(
IF(L497="GANCHO",
   IF(I497&lt;=50,I497*1.1+4,IF(I497&lt;=120,I497*1.1+7,IF(I497&lt;=250,I497*1.1+11,I497*1.1+19))),
IF(L497="NORMAL",
   IF(I497&lt;=30,I497*1.15+2,IF(I497&lt;=80,I497*1.15+4,IF(I497&lt;=150,I497*1.15+6,I497*1.15+8))),
IF(L497="COMPLEMENTO",
   IF(I497&lt;=25,I497*1.25+1.5,IF(I497&lt;=60,I497*1.25+3,IF(I497&lt;=120,I497*1.25+4,I497*1.25+5))),
""))),2)</f>
        <v>183.97</v>
      </c>
      <c r="I497" s="9">
        <f>($K$2+0.02)*Tabla1[[#This Row],[PRECIO $]]*1.18</f>
        <v>143.17459199999999</v>
      </c>
      <c r="J497" s="7">
        <f>+Tabla1[[#This Row],[PRECIO EN SOLES]]-Tabla1[[#This Row],[PC]]</f>
        <v>40.795408000000009</v>
      </c>
      <c r="K497" s="15"/>
      <c r="L497" s="15" t="str">
        <f t="shared" si="7"/>
        <v>COMPLEMENTO</v>
      </c>
    </row>
    <row r="498" spans="1:12" x14ac:dyDescent="0.25">
      <c r="A498" s="3" t="s">
        <v>675</v>
      </c>
      <c r="B498" s="3" t="s">
        <v>676</v>
      </c>
      <c r="C498" s="1">
        <v>20</v>
      </c>
      <c r="D498" s="1">
        <v>48.52</v>
      </c>
      <c r="E498" s="1" t="s">
        <v>238</v>
      </c>
      <c r="F498" s="1" t="s">
        <v>3105</v>
      </c>
      <c r="G498" s="3" t="s">
        <v>2832</v>
      </c>
      <c r="H498" s="11">
        <f>ROUND(
IF(L498="GANCHO",
   IF(I498&lt;=50,I498*1.1+4,IF(I498&lt;=120,I498*1.1+7,IF(I498&lt;=250,I498*1.1+11,I498*1.1+19))),
IF(L498="NORMAL",
   IF(I498&lt;=30,I498*1.15+2,IF(I498&lt;=80,I498*1.15+4,IF(I498&lt;=150,I498*1.15+6,I498*1.15+8))),
IF(L498="COMPLEMENTO",
   IF(I498&lt;=25,I498*1.25+1.5,IF(I498&lt;=60,I498*1.25+3,IF(I498&lt;=120,I498*1.25+4,I498*1.25+5))),
""))),2)</f>
        <v>256.92</v>
      </c>
      <c r="I498" s="9">
        <f>($K$2+0.02)*Tabla1[[#This Row],[PRECIO $]]*1.18</f>
        <v>201.53267199999999</v>
      </c>
      <c r="J498" s="7">
        <f>+Tabla1[[#This Row],[PRECIO EN SOLES]]-Tabla1[[#This Row],[PC]]</f>
        <v>55.387328000000025</v>
      </c>
      <c r="K498" s="15"/>
      <c r="L498" s="15" t="str">
        <f t="shared" si="7"/>
        <v>COMPLEMENTO</v>
      </c>
    </row>
    <row r="499" spans="1:12" x14ac:dyDescent="0.25">
      <c r="A499" s="3" t="s">
        <v>677</v>
      </c>
      <c r="B499" s="3" t="s">
        <v>678</v>
      </c>
      <c r="C499" s="1">
        <v>20</v>
      </c>
      <c r="D499" s="1">
        <v>26.81</v>
      </c>
      <c r="E499" s="1" t="s">
        <v>238</v>
      </c>
      <c r="F499" s="1" t="s">
        <v>3106</v>
      </c>
      <c r="G499" s="3" t="s">
        <v>2833</v>
      </c>
      <c r="H499" s="11">
        <f>ROUND(
IF(L499="GANCHO",
   IF(I499&lt;=50,I499*1.1+4,IF(I499&lt;=120,I499*1.1+7,IF(I499&lt;=250,I499*1.1+11,I499*1.1+19))),
IF(L499="NORMAL",
   IF(I499&lt;=30,I499*1.15+2,IF(I499&lt;=80,I499*1.15+4,IF(I499&lt;=150,I499*1.15+6,I499*1.15+8))),
IF(L499="COMPLEMENTO",
   IF(I499&lt;=25,I499*1.25+1.5,IF(I499&lt;=60,I499*1.25+3,IF(I499&lt;=120,I499*1.25+4,I499*1.25+5))),
""))),2)</f>
        <v>134.06</v>
      </c>
      <c r="I499" s="9">
        <f>($K$2+0.02)*Tabla1[[#This Row],[PRECIO $]]*1.18</f>
        <v>111.35801599999999</v>
      </c>
      <c r="J499" s="7">
        <f>+Tabla1[[#This Row],[PRECIO EN SOLES]]-Tabla1[[#This Row],[PC]]</f>
        <v>22.70198400000001</v>
      </c>
      <c r="K499" s="15"/>
      <c r="L499" s="15" t="str">
        <f t="shared" si="7"/>
        <v>NORMAL</v>
      </c>
    </row>
    <row r="500" spans="1:12" x14ac:dyDescent="0.25">
      <c r="A500" s="3" t="s">
        <v>679</v>
      </c>
      <c r="B500" s="3" t="s">
        <v>680</v>
      </c>
      <c r="C500" s="1">
        <v>20</v>
      </c>
      <c r="D500" s="1">
        <v>34.47</v>
      </c>
      <c r="E500" s="1" t="s">
        <v>238</v>
      </c>
      <c r="F500" s="1" t="s">
        <v>3107</v>
      </c>
      <c r="G500" s="3" t="s">
        <v>2834</v>
      </c>
      <c r="H500" s="11">
        <f>ROUND(
IF(L500="GANCHO",
   IF(I500&lt;=50,I500*1.1+4,IF(I500&lt;=120,I500*1.1+7,IF(I500&lt;=250,I500*1.1+11,I500*1.1+19))),
IF(L500="NORMAL",
   IF(I500&lt;=30,I500*1.15+2,IF(I500&lt;=80,I500*1.15+4,IF(I500&lt;=150,I500*1.15+6,I500*1.15+8))),
IF(L500="COMPLEMENTO",
   IF(I500&lt;=25,I500*1.25+1.5,IF(I500&lt;=60,I500*1.25+3,IF(I500&lt;=120,I500*1.25+4,I500*1.25+5))),
""))),2)</f>
        <v>170.65</v>
      </c>
      <c r="I500" s="9">
        <f>($K$2+0.02)*Tabla1[[#This Row],[PRECIO $]]*1.18</f>
        <v>143.17459199999999</v>
      </c>
      <c r="J500" s="7">
        <f>+Tabla1[[#This Row],[PRECIO EN SOLES]]-Tabla1[[#This Row],[PC]]</f>
        <v>27.475408000000016</v>
      </c>
      <c r="K500" s="15"/>
      <c r="L500" s="15" t="str">
        <f t="shared" si="7"/>
        <v>NORMAL</v>
      </c>
    </row>
    <row r="501" spans="1:12" x14ac:dyDescent="0.25">
      <c r="A501" s="3" t="s">
        <v>681</v>
      </c>
      <c r="B501" s="3" t="s">
        <v>682</v>
      </c>
      <c r="C501" s="1">
        <v>20</v>
      </c>
      <c r="D501" s="1">
        <v>42.14</v>
      </c>
      <c r="E501" s="1" t="s">
        <v>238</v>
      </c>
      <c r="F501" s="1" t="s">
        <v>3108</v>
      </c>
      <c r="G501" s="3" t="s">
        <v>2835</v>
      </c>
      <c r="H501" s="11">
        <f>ROUND(
IF(L501="GANCHO",
   IF(I501&lt;=50,I501*1.1+4,IF(I501&lt;=120,I501*1.1+7,IF(I501&lt;=250,I501*1.1+11,I501*1.1+19))),
IF(L501="NORMAL",
   IF(I501&lt;=30,I501*1.15+2,IF(I501&lt;=80,I501*1.15+4,IF(I501&lt;=150,I501*1.15+6,I501*1.15+8))),
IF(L501="COMPLEMENTO",
   IF(I501&lt;=25,I501*1.25+1.5,IF(I501&lt;=60,I501*1.25+3,IF(I501&lt;=120,I501*1.25+4,I501*1.25+5))),
""))),2)</f>
        <v>209.29</v>
      </c>
      <c r="I501" s="9">
        <f>($K$2+0.02)*Tabla1[[#This Row],[PRECIO $]]*1.18</f>
        <v>175.03270399999997</v>
      </c>
      <c r="J501" s="7">
        <f>+Tabla1[[#This Row],[PRECIO EN SOLES]]-Tabla1[[#This Row],[PC]]</f>
        <v>34.257296000000025</v>
      </c>
      <c r="K501" s="15"/>
      <c r="L501" s="15" t="str">
        <f t="shared" si="7"/>
        <v>NORMAL</v>
      </c>
    </row>
    <row r="502" spans="1:12" x14ac:dyDescent="0.25">
      <c r="A502" s="3" t="s">
        <v>683</v>
      </c>
      <c r="B502" s="3" t="s">
        <v>684</v>
      </c>
      <c r="C502" s="1">
        <v>20</v>
      </c>
      <c r="D502" s="1">
        <v>54.9</v>
      </c>
      <c r="E502" s="1" t="s">
        <v>238</v>
      </c>
      <c r="F502" s="1" t="s">
        <v>3109</v>
      </c>
      <c r="G502" s="3" t="s">
        <v>2836</v>
      </c>
      <c r="H502" s="11">
        <f>ROUND(
IF(L502="GANCHO",
   IF(I502&lt;=50,I502*1.1+4,IF(I502&lt;=120,I502*1.1+7,IF(I502&lt;=250,I502*1.1+11,I502*1.1+19))),
IF(L502="NORMAL",
   IF(I502&lt;=30,I502*1.15+2,IF(I502&lt;=80,I502*1.15+4,IF(I502&lt;=150,I502*1.15+6,I502*1.15+8))),
IF(L502="COMPLEMENTO",
   IF(I502&lt;=25,I502*1.25+1.5,IF(I502&lt;=60,I502*1.25+3,IF(I502&lt;=120,I502*1.25+4,I502*1.25+5))),
""))),2)</f>
        <v>270.24</v>
      </c>
      <c r="I502" s="9">
        <f>($K$2+0.02)*Tabla1[[#This Row],[PRECIO $]]*1.18</f>
        <v>228.03263999999999</v>
      </c>
      <c r="J502" s="7">
        <f>+Tabla1[[#This Row],[PRECIO EN SOLES]]-Tabla1[[#This Row],[PC]]</f>
        <v>42.207360000000023</v>
      </c>
      <c r="K502" s="15"/>
      <c r="L502" s="15" t="str">
        <f t="shared" si="7"/>
        <v>NORMAL</v>
      </c>
    </row>
    <row r="503" spans="1:12" x14ac:dyDescent="0.25">
      <c r="A503" s="3" t="s">
        <v>685</v>
      </c>
      <c r="B503" s="3" t="s">
        <v>686</v>
      </c>
      <c r="C503" s="1">
        <v>20</v>
      </c>
      <c r="D503" s="1">
        <v>38.31</v>
      </c>
      <c r="E503" s="1" t="s">
        <v>238</v>
      </c>
      <c r="F503" s="1" t="s">
        <v>3110</v>
      </c>
      <c r="G503" s="3" t="s">
        <v>2837</v>
      </c>
      <c r="H503" s="11">
        <f>ROUND(
IF(L503="GANCHO",
   IF(I503&lt;=50,I503*1.1+4,IF(I503&lt;=120,I503*1.1+7,IF(I503&lt;=250,I503*1.1+11,I503*1.1+19))),
IF(L503="NORMAL",
   IF(I503&lt;=30,I503*1.15+2,IF(I503&lt;=80,I503*1.15+4,IF(I503&lt;=150,I503*1.15+6,I503*1.15+8))),
IF(L503="COMPLEMENTO",
   IF(I503&lt;=25,I503*1.25+1.5,IF(I503&lt;=60,I503*1.25+3,IF(I503&lt;=120,I503*1.25+4,I503*1.25+5))),
""))),2)</f>
        <v>190.99</v>
      </c>
      <c r="I503" s="9">
        <f>($K$2+0.02)*Tabla1[[#This Row],[PRECIO $]]*1.18</f>
        <v>159.124416</v>
      </c>
      <c r="J503" s="7">
        <f>+Tabla1[[#This Row],[PRECIO EN SOLES]]-Tabla1[[#This Row],[PC]]</f>
        <v>31.865584000000013</v>
      </c>
      <c r="K503" s="15"/>
      <c r="L503" s="15" t="str">
        <f t="shared" si="7"/>
        <v>NORMAL</v>
      </c>
    </row>
    <row r="504" spans="1:12" x14ac:dyDescent="0.25">
      <c r="A504" s="3" t="s">
        <v>687</v>
      </c>
      <c r="B504" s="3" t="s">
        <v>688</v>
      </c>
      <c r="C504" s="1">
        <v>20</v>
      </c>
      <c r="D504" s="1">
        <v>54</v>
      </c>
      <c r="E504" s="1" t="s">
        <v>238</v>
      </c>
      <c r="F504" s="1" t="s">
        <v>3111</v>
      </c>
      <c r="G504" s="3" t="s">
        <v>2838</v>
      </c>
      <c r="H504" s="11">
        <f>ROUND(
IF(L504="GANCHO",
   IF(I504&lt;=50,I504*1.1+4,IF(I504&lt;=120,I504*1.1+7,IF(I504&lt;=250,I504*1.1+11,I504*1.1+19))),
IF(L504="NORMAL",
   IF(I504&lt;=30,I504*1.15+2,IF(I504&lt;=80,I504*1.15+4,IF(I504&lt;=150,I504*1.15+6,I504*1.15+8))),
IF(L504="COMPLEMENTO",
   IF(I504&lt;=25,I504*1.25+1.5,IF(I504&lt;=60,I504*1.25+3,IF(I504&lt;=120,I504*1.25+4,I504*1.25+5))),
""))),2)</f>
        <v>265.94</v>
      </c>
      <c r="I504" s="9">
        <f>($K$2+0.02)*Tabla1[[#This Row],[PRECIO $]]*1.18</f>
        <v>224.2944</v>
      </c>
      <c r="J504" s="7">
        <f>+Tabla1[[#This Row],[PRECIO EN SOLES]]-Tabla1[[#This Row],[PC]]</f>
        <v>41.645600000000002</v>
      </c>
      <c r="K504" s="15"/>
      <c r="L504" s="15" t="str">
        <f t="shared" si="7"/>
        <v>NORMAL</v>
      </c>
    </row>
    <row r="505" spans="1:12" x14ac:dyDescent="0.25">
      <c r="A505" s="3" t="s">
        <v>689</v>
      </c>
      <c r="B505" s="3" t="s">
        <v>690</v>
      </c>
      <c r="C505" s="1">
        <v>20</v>
      </c>
      <c r="D505" s="1">
        <v>18.829999999999998</v>
      </c>
      <c r="E505" s="1" t="s">
        <v>238</v>
      </c>
      <c r="F505" s="1" t="s">
        <v>3112</v>
      </c>
      <c r="G505" s="3"/>
      <c r="H505" s="11">
        <f>ROUND(
IF(L505="GANCHO",
   IF(I505&lt;=50,I505*1.1+4,IF(I505&lt;=120,I505*1.1+7,IF(I505&lt;=250,I505*1.1+11,I505*1.1+19))),
IF(L505="NORMAL",
   IF(I505&lt;=30,I505*1.15+2,IF(I505&lt;=80,I505*1.15+4,IF(I505&lt;=150,I505*1.15+6,I505*1.15+8))),
IF(L505="COMPLEMENTO",
   IF(I505&lt;=25,I505*1.25+1.5,IF(I505&lt;=60,I505*1.25+3,IF(I505&lt;=120,I505*1.25+4,I505*1.25+5))),
""))),2)</f>
        <v>93.94</v>
      </c>
      <c r="I505" s="9">
        <f>($K$2+0.02)*Tabla1[[#This Row],[PRECIO $]]*1.18</f>
        <v>78.212287999999987</v>
      </c>
      <c r="J505" s="7">
        <f>+Tabla1[[#This Row],[PRECIO EN SOLES]]-Tabla1[[#This Row],[PC]]</f>
        <v>15.727712000000011</v>
      </c>
      <c r="K505" s="15"/>
      <c r="L505" s="15" t="str">
        <f t="shared" si="7"/>
        <v>NORMAL</v>
      </c>
    </row>
    <row r="506" spans="1:12" x14ac:dyDescent="0.25">
      <c r="A506" s="3" t="s">
        <v>691</v>
      </c>
      <c r="B506" s="3" t="s">
        <v>692</v>
      </c>
      <c r="C506" s="1">
        <v>20</v>
      </c>
      <c r="D506" s="1">
        <v>300</v>
      </c>
      <c r="E506" s="1" t="s">
        <v>238</v>
      </c>
      <c r="F506" s="1" t="s">
        <v>3113</v>
      </c>
      <c r="G506" s="3"/>
      <c r="H506" s="11">
        <f>ROUND(
IF(L506="GANCHO",
   IF(I506&lt;=50,I506*1.1+4,IF(I506&lt;=120,I506*1.1+7,IF(I506&lt;=250,I506*1.1+11,I506*1.1+19))),
IF(L506="NORMAL",
   IF(I506&lt;=30,I506*1.15+2,IF(I506&lt;=80,I506*1.15+4,IF(I506&lt;=150,I506*1.15+6,I506*1.15+8))),
IF(L506="COMPLEMENTO",
   IF(I506&lt;=25,I506*1.25+1.5,IF(I506&lt;=60,I506*1.25+3,IF(I506&lt;=120,I506*1.25+4,I506*1.25+5))),
""))),2)</f>
        <v>1440.99</v>
      </c>
      <c r="I506" s="9">
        <f>($K$2+0.02)*Tabla1[[#This Row],[PRECIO $]]*1.18</f>
        <v>1246.08</v>
      </c>
      <c r="J506" s="7">
        <f>+Tabla1[[#This Row],[PRECIO EN SOLES]]-Tabla1[[#This Row],[PC]]</f>
        <v>194.91000000000008</v>
      </c>
      <c r="K506" s="15"/>
      <c r="L506" s="15" t="str">
        <f t="shared" si="7"/>
        <v>NORMAL</v>
      </c>
    </row>
    <row r="507" spans="1:12" x14ac:dyDescent="0.25">
      <c r="A507" s="3" t="s">
        <v>1168</v>
      </c>
      <c r="B507" s="3" t="s">
        <v>6435</v>
      </c>
      <c r="C507" s="1">
        <v>20</v>
      </c>
      <c r="D507" s="1">
        <v>666</v>
      </c>
      <c r="E507" s="1" t="s">
        <v>240</v>
      </c>
      <c r="F507" s="1" t="s">
        <v>3114</v>
      </c>
      <c r="G507" s="3"/>
      <c r="H507" s="11">
        <f>ROUND(
IF(L507="GANCHO",
   IF(I507&lt;=50,I507*1.1+4,IF(I507&lt;=120,I507*1.1+7,IF(I507&lt;=250,I507*1.1+11,I507*1.1+19))),
IF(L507="NORMAL",
   IF(I507&lt;=30,I507*1.15+2,IF(I507&lt;=80,I507*1.15+4,IF(I507&lt;=150,I507*1.15+6,I507*1.15+8))),
IF(L507="COMPLEMENTO",
   IF(I507&lt;=25,I507*1.25+1.5,IF(I507&lt;=60,I507*1.25+3,IF(I507&lt;=120,I507*1.25+4,I507*1.25+5))),
""))),2)</f>
        <v>3189.24</v>
      </c>
      <c r="I507" s="9">
        <f>($K$2+0.02)*Tabla1[[#This Row],[PRECIO $]]*1.18</f>
        <v>2766.2975999999999</v>
      </c>
      <c r="J507" s="7">
        <f>+Tabla1[[#This Row],[PRECIO EN SOLES]]-Tabla1[[#This Row],[PC]]</f>
        <v>422.94239999999991</v>
      </c>
      <c r="K507" s="15"/>
      <c r="L507" s="15" t="str">
        <f t="shared" si="7"/>
        <v>NORMAL</v>
      </c>
    </row>
    <row r="508" spans="1:12" x14ac:dyDescent="0.25">
      <c r="A508" s="3" t="s">
        <v>6082</v>
      </c>
      <c r="B508" s="3" t="s">
        <v>6083</v>
      </c>
      <c r="C508" s="1">
        <v>20</v>
      </c>
      <c r="D508" s="1">
        <v>666</v>
      </c>
      <c r="E508" s="1" t="s">
        <v>74</v>
      </c>
      <c r="F508" s="1" t="s">
        <v>6084</v>
      </c>
      <c r="G508" s="3"/>
      <c r="H508" s="11">
        <f>ROUND(
IF(L508="GANCHO",
   IF(I508&lt;=50,I508*1.1+4,IF(I508&lt;=120,I508*1.1+7,IF(I508&lt;=250,I508*1.1+11,I508*1.1+19))),
IF(L508="NORMAL",
   IF(I508&lt;=30,I508*1.15+2,IF(I508&lt;=80,I508*1.15+4,IF(I508&lt;=150,I508*1.15+6,I508*1.15+8))),
IF(L508="COMPLEMENTO",
   IF(I508&lt;=25,I508*1.25+1.5,IF(I508&lt;=60,I508*1.25+3,IF(I508&lt;=120,I508*1.25+4,I508*1.25+5))),
""))),2)</f>
        <v>3462.87</v>
      </c>
      <c r="I508" s="9">
        <f>($K$2+0.02)*Tabla1[[#This Row],[PRECIO $]]*1.18</f>
        <v>2766.2975999999999</v>
      </c>
      <c r="J508" s="7">
        <f>+Tabla1[[#This Row],[PRECIO EN SOLES]]-Tabla1[[#This Row],[PC]]</f>
        <v>696.57240000000002</v>
      </c>
      <c r="K508" s="15"/>
      <c r="L508" s="15" t="str">
        <f t="shared" si="7"/>
        <v>COMPLEMENTO</v>
      </c>
    </row>
    <row r="509" spans="1:12" x14ac:dyDescent="0.25">
      <c r="A509" s="3" t="s">
        <v>1169</v>
      </c>
      <c r="B509" s="3" t="s">
        <v>1170</v>
      </c>
      <c r="C509" s="1">
        <v>0</v>
      </c>
      <c r="D509" s="1">
        <v>999</v>
      </c>
      <c r="E509" s="1" t="s">
        <v>240</v>
      </c>
      <c r="F509" s="1" t="s">
        <v>3115</v>
      </c>
      <c r="G509" s="3"/>
      <c r="H509" s="11">
        <f>ROUND(
IF(L509="GANCHO",
   IF(I509&lt;=50,I509*1.1+4,IF(I509&lt;=120,I509*1.1+7,IF(I509&lt;=250,I509*1.1+11,I509*1.1+19))),
IF(L509="NORMAL",
   IF(I509&lt;=30,I509*1.15+2,IF(I509&lt;=80,I509*1.15+4,IF(I509&lt;=150,I509*1.15+6,I509*1.15+8))),
IF(L509="COMPLEMENTO",
   IF(I509&lt;=25,I509*1.25+1.5,IF(I509&lt;=60,I509*1.25+3,IF(I509&lt;=120,I509*1.25+4,I509*1.25+5))),
""))),2)</f>
        <v>4779.8599999999997</v>
      </c>
      <c r="I509" s="9">
        <f>($K$2+0.02)*Tabla1[[#This Row],[PRECIO $]]*1.18</f>
        <v>4149.4463999999998</v>
      </c>
      <c r="J509" s="7">
        <f>+Tabla1[[#This Row],[PRECIO EN SOLES]]-Tabla1[[#This Row],[PC]]</f>
        <v>630.41359999999986</v>
      </c>
      <c r="K509" s="15"/>
      <c r="L509" s="15" t="str">
        <f t="shared" si="7"/>
        <v>NORMAL</v>
      </c>
    </row>
    <row r="510" spans="1:12" x14ac:dyDescent="0.25">
      <c r="A510" s="3" t="s">
        <v>4233</v>
      </c>
      <c r="B510" s="3" t="s">
        <v>4234</v>
      </c>
      <c r="C510" s="1">
        <v>0</v>
      </c>
      <c r="D510" s="1">
        <v>9999999.9900000002</v>
      </c>
      <c r="E510" s="1" t="s">
        <v>1131</v>
      </c>
      <c r="F510" s="1" t="s">
        <v>4235</v>
      </c>
      <c r="G510" s="3"/>
      <c r="H510" s="11">
        <f>ROUND(
IF(L510="GANCHO",
   IF(I510&lt;=50,I510*1.1+4,IF(I510&lt;=120,I510*1.1+7,IF(I510&lt;=250,I510*1.1+11,I510*1.1+19))),
IF(L510="NORMAL",
   IF(I510&lt;=30,I510*1.15+2,IF(I510&lt;=80,I510*1.15+4,IF(I510&lt;=150,I510*1.15+6,I510*1.15+8))),
IF(L510="COMPLEMENTO",
   IF(I510&lt;=25,I510*1.25+1.5,IF(I510&lt;=60,I510*1.25+3,IF(I510&lt;=120,I510*1.25+4,I510*1.25+5))),
""))),2)</f>
        <v>47766407.950000003</v>
      </c>
      <c r="I510" s="9">
        <f>($K$2+0.02)*Tabla1[[#This Row],[PRECIO $]]*1.18</f>
        <v>41535999.958463997</v>
      </c>
      <c r="J510" s="7">
        <f>+Tabla1[[#This Row],[PRECIO EN SOLES]]-Tabla1[[#This Row],[PC]]</f>
        <v>6230407.9915360063</v>
      </c>
      <c r="K510" s="15"/>
      <c r="L510" s="15" t="str">
        <f t="shared" si="7"/>
        <v>NORMAL</v>
      </c>
    </row>
    <row r="511" spans="1:12" x14ac:dyDescent="0.25">
      <c r="A511" s="3" t="s">
        <v>1171</v>
      </c>
      <c r="B511" s="3" t="s">
        <v>1172</v>
      </c>
      <c r="C511" s="1">
        <v>2</v>
      </c>
      <c r="D511" s="1">
        <v>8.5</v>
      </c>
      <c r="E511" s="1" t="s">
        <v>1131</v>
      </c>
      <c r="F511" s="1" t="s">
        <v>3116</v>
      </c>
      <c r="G511" s="3"/>
      <c r="H511" s="11">
        <f>ROUND(
IF(L511="GANCHO",
   IF(I511&lt;=50,I511*1.1+4,IF(I511&lt;=120,I511*1.1+7,IF(I511&lt;=250,I511*1.1+11,I511*1.1+19))),
IF(L511="NORMAL",
   IF(I511&lt;=30,I511*1.15+2,IF(I511&lt;=80,I511*1.15+4,IF(I511&lt;=150,I511*1.15+6,I511*1.15+8))),
IF(L511="COMPLEMENTO",
   IF(I511&lt;=25,I511*1.25+1.5,IF(I511&lt;=60,I511*1.25+3,IF(I511&lt;=120,I511*1.25+4,I511*1.25+5))),
""))),2)</f>
        <v>44.6</v>
      </c>
      <c r="I511" s="9">
        <f>($K$2+0.02)*Tabla1[[#This Row],[PRECIO $]]*1.18</f>
        <v>35.305599999999998</v>
      </c>
      <c r="J511" s="7">
        <f>+Tabla1[[#This Row],[PRECIO EN SOLES]]-Tabla1[[#This Row],[PC]]</f>
        <v>9.2944000000000031</v>
      </c>
      <c r="K511" s="15"/>
      <c r="L511" s="15" t="str">
        <f t="shared" si="7"/>
        <v>NORMAL</v>
      </c>
    </row>
    <row r="512" spans="1:12" x14ac:dyDescent="0.25">
      <c r="A512" s="3" t="s">
        <v>1173</v>
      </c>
      <c r="B512" s="3" t="s">
        <v>1174</v>
      </c>
      <c r="C512" s="1">
        <v>4</v>
      </c>
      <c r="D512" s="1">
        <v>21.8</v>
      </c>
      <c r="E512" s="1" t="s">
        <v>1131</v>
      </c>
      <c r="F512" s="1" t="s">
        <v>3117</v>
      </c>
      <c r="G512" s="3" t="s">
        <v>1175</v>
      </c>
      <c r="H512" s="11">
        <f>ROUND(
IF(L512="GANCHO",
   IF(I512&lt;=50,I512*1.1+4,IF(I512&lt;=120,I512*1.1+7,IF(I512&lt;=250,I512*1.1+11,I512*1.1+19))),
IF(L512="NORMAL",
   IF(I512&lt;=30,I512*1.15+2,IF(I512&lt;=80,I512*1.15+4,IF(I512&lt;=150,I512*1.15+6,I512*1.15+8))),
IF(L512="COMPLEMENTO",
   IF(I512&lt;=25,I512*1.25+1.5,IF(I512&lt;=60,I512*1.25+3,IF(I512&lt;=120,I512*1.25+4,I512*1.25+5))),
""))),2)</f>
        <v>110.13</v>
      </c>
      <c r="I512" s="9">
        <f>($K$2+0.02)*Tabla1[[#This Row],[PRECIO $]]*1.18</f>
        <v>90.548479999999998</v>
      </c>
      <c r="J512" s="7">
        <f>+Tabla1[[#This Row],[PRECIO EN SOLES]]-Tabla1[[#This Row],[PC]]</f>
        <v>19.581519999999998</v>
      </c>
      <c r="K512" s="15"/>
      <c r="L512" s="15" t="str">
        <f t="shared" si="7"/>
        <v>NORMAL</v>
      </c>
    </row>
    <row r="513" spans="1:12" x14ac:dyDescent="0.25">
      <c r="A513" s="3" t="s">
        <v>1176</v>
      </c>
      <c r="B513" s="3" t="s">
        <v>1177</v>
      </c>
      <c r="C513" s="1">
        <v>20</v>
      </c>
      <c r="D513" s="1">
        <v>4.2</v>
      </c>
      <c r="E513" s="1" t="s">
        <v>1131</v>
      </c>
      <c r="F513" s="1" t="s">
        <v>3118</v>
      </c>
      <c r="G513" s="3" t="s">
        <v>1178</v>
      </c>
      <c r="H513" s="11">
        <f>ROUND(
IF(L513="GANCHO",
   IF(I513&lt;=50,I513*1.1+4,IF(I513&lt;=120,I513*1.1+7,IF(I513&lt;=250,I513*1.1+11,I513*1.1+19))),
IF(L513="NORMAL",
   IF(I513&lt;=30,I513*1.15+2,IF(I513&lt;=80,I513*1.15+4,IF(I513&lt;=150,I513*1.15+6,I513*1.15+8))),
IF(L513="COMPLEMENTO",
   IF(I513&lt;=25,I513*1.25+1.5,IF(I513&lt;=60,I513*1.25+3,IF(I513&lt;=120,I513*1.25+4,I513*1.25+5))),
""))),2)</f>
        <v>22.06</v>
      </c>
      <c r="I513" s="9">
        <f>($K$2+0.02)*Tabla1[[#This Row],[PRECIO $]]*1.18</f>
        <v>17.445119999999999</v>
      </c>
      <c r="J513" s="7">
        <f>+Tabla1[[#This Row],[PRECIO EN SOLES]]-Tabla1[[#This Row],[PC]]</f>
        <v>4.6148799999999994</v>
      </c>
      <c r="K513" s="15"/>
      <c r="L513" s="15" t="str">
        <f t="shared" si="7"/>
        <v>NORMAL</v>
      </c>
    </row>
    <row r="514" spans="1:12" x14ac:dyDescent="0.25">
      <c r="A514" s="3" t="s">
        <v>1179</v>
      </c>
      <c r="B514" s="3" t="s">
        <v>1180</v>
      </c>
      <c r="C514" s="1">
        <v>18</v>
      </c>
      <c r="D514" s="1">
        <v>4.5999999999999996</v>
      </c>
      <c r="E514" s="1" t="s">
        <v>1131</v>
      </c>
      <c r="F514" s="1" t="s">
        <v>3119</v>
      </c>
      <c r="G514" s="3" t="s">
        <v>1181</v>
      </c>
      <c r="H514" s="11">
        <f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23.97</v>
      </c>
      <c r="I514" s="9">
        <f>($K$2+0.02)*Tabla1[[#This Row],[PRECIO $]]*1.18</f>
        <v>19.106559999999998</v>
      </c>
      <c r="J514" s="7">
        <f>+Tabla1[[#This Row],[PRECIO EN SOLES]]-Tabla1[[#This Row],[PC]]</f>
        <v>4.8634400000000007</v>
      </c>
      <c r="K514" s="15"/>
      <c r="L514" s="15" t="str">
        <f t="shared" si="7"/>
        <v>NORMAL</v>
      </c>
    </row>
    <row r="515" spans="1:12" x14ac:dyDescent="0.25">
      <c r="A515" s="3" t="s">
        <v>1182</v>
      </c>
      <c r="B515" s="3" t="s">
        <v>1177</v>
      </c>
      <c r="C515" s="1">
        <v>2</v>
      </c>
      <c r="D515" s="1">
        <v>8</v>
      </c>
      <c r="E515" s="1" t="s">
        <v>1131</v>
      </c>
      <c r="F515" s="1" t="s">
        <v>3120</v>
      </c>
      <c r="G515" s="3" t="s">
        <v>1183</v>
      </c>
      <c r="H515" s="11">
        <f>ROUND(
IF(L515="GANCHO",
   IF(I515&lt;=50,I515*1.1+4,IF(I515&lt;=120,I515*1.1+7,IF(I515&lt;=250,I515*1.1+11,I515*1.1+19))),
IF(L515="NORMAL",
   IF(I515&lt;=30,I515*1.15+2,IF(I515&lt;=80,I515*1.15+4,IF(I515&lt;=150,I515*1.15+6,I515*1.15+8))),
IF(L515="COMPLEMENTO",
   IF(I515&lt;=25,I515*1.25+1.5,IF(I515&lt;=60,I515*1.25+3,IF(I515&lt;=120,I515*1.25+4,I515*1.25+5))),
""))),2)</f>
        <v>42.21</v>
      </c>
      <c r="I515" s="9">
        <f>($K$2+0.02)*Tabla1[[#This Row],[PRECIO $]]*1.18</f>
        <v>33.2288</v>
      </c>
      <c r="J515" s="7">
        <f>+Tabla1[[#This Row],[PRECIO EN SOLES]]-Tabla1[[#This Row],[PC]]</f>
        <v>8.9812000000000012</v>
      </c>
      <c r="K515" s="15"/>
      <c r="L515" s="15" t="str">
        <f t="shared" ref="L515:L578" si="8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1184</v>
      </c>
      <c r="B516" s="3" t="s">
        <v>1177</v>
      </c>
      <c r="C516" s="1">
        <v>9</v>
      </c>
      <c r="D516" s="1">
        <v>8</v>
      </c>
      <c r="E516" s="1" t="s">
        <v>1131</v>
      </c>
      <c r="F516" s="1" t="s">
        <v>3121</v>
      </c>
      <c r="G516" s="3" t="s">
        <v>1185</v>
      </c>
      <c r="H516" s="11">
        <f>ROUND(
IF(L516="GANCHO",
   IF(I516&lt;=50,I516*1.1+4,IF(I516&lt;=120,I516*1.1+7,IF(I516&lt;=250,I516*1.1+11,I516*1.1+19))),
IF(L516="NORMAL",
   IF(I516&lt;=30,I516*1.15+2,IF(I516&lt;=80,I516*1.15+4,IF(I516&lt;=150,I516*1.15+6,I516*1.15+8))),
IF(L516="COMPLEMENTO",
   IF(I516&lt;=25,I516*1.25+1.5,IF(I516&lt;=60,I516*1.25+3,IF(I516&lt;=120,I516*1.25+4,I516*1.25+5))),
""))),2)</f>
        <v>42.21</v>
      </c>
      <c r="I516" s="9">
        <f>($K$2+0.02)*Tabla1[[#This Row],[PRECIO $]]*1.18</f>
        <v>33.2288</v>
      </c>
      <c r="J516" s="7">
        <f>+Tabla1[[#This Row],[PRECIO EN SOLES]]-Tabla1[[#This Row],[PC]]</f>
        <v>8.9812000000000012</v>
      </c>
      <c r="K516" s="15"/>
      <c r="L516" s="15" t="str">
        <f t="shared" si="8"/>
        <v>NORMAL</v>
      </c>
    </row>
    <row r="517" spans="1:12" x14ac:dyDescent="0.25">
      <c r="A517" s="3" t="s">
        <v>1186</v>
      </c>
      <c r="B517" s="3" t="s">
        <v>1187</v>
      </c>
      <c r="C517" s="1">
        <v>4</v>
      </c>
      <c r="D517" s="1">
        <v>3.1</v>
      </c>
      <c r="E517" s="1" t="s">
        <v>1131</v>
      </c>
      <c r="F517" s="1" t="s">
        <v>3122</v>
      </c>
      <c r="G517" s="3" t="s">
        <v>1188</v>
      </c>
      <c r="H517" s="11">
        <f>ROUND(
IF(L517="GANCHO",
   IF(I517&lt;=50,I517*1.1+4,IF(I517&lt;=120,I517*1.1+7,IF(I517&lt;=250,I517*1.1+11,I517*1.1+19))),
IF(L517="NORMAL",
   IF(I517&lt;=30,I517*1.15+2,IF(I517&lt;=80,I517*1.15+4,IF(I517&lt;=150,I517*1.15+6,I517*1.15+8))),
IF(L517="COMPLEMENTO",
   IF(I517&lt;=25,I517*1.25+1.5,IF(I517&lt;=60,I517*1.25+3,IF(I517&lt;=120,I517*1.25+4,I517*1.25+5))),
""))),2)</f>
        <v>16.809999999999999</v>
      </c>
      <c r="I517" s="9">
        <f>($K$2+0.02)*Tabla1[[#This Row],[PRECIO $]]*1.18</f>
        <v>12.87616</v>
      </c>
      <c r="J517" s="7">
        <f>+Tabla1[[#This Row],[PRECIO EN SOLES]]-Tabla1[[#This Row],[PC]]</f>
        <v>3.9338399999999982</v>
      </c>
      <c r="K517" s="15"/>
      <c r="L517" s="15" t="str">
        <f t="shared" si="8"/>
        <v>NORMAL</v>
      </c>
    </row>
    <row r="518" spans="1:12" x14ac:dyDescent="0.25">
      <c r="A518" s="3" t="s">
        <v>1189</v>
      </c>
      <c r="B518" s="3" t="s">
        <v>1190</v>
      </c>
      <c r="C518" s="1">
        <v>15</v>
      </c>
      <c r="D518" s="1">
        <v>54.5</v>
      </c>
      <c r="E518" s="1" t="s">
        <v>1131</v>
      </c>
      <c r="F518" s="1" t="s">
        <v>3123</v>
      </c>
      <c r="G518" s="3" t="s">
        <v>1191</v>
      </c>
      <c r="H518" s="11">
        <f>ROUND(
IF(L518="GANCHO",
   IF(I518&lt;=50,I518*1.1+4,IF(I518&lt;=120,I518*1.1+7,IF(I518&lt;=250,I518*1.1+11,I518*1.1+19))),
IF(L518="NORMAL",
   IF(I518&lt;=30,I518*1.15+2,IF(I518&lt;=80,I518*1.15+4,IF(I518&lt;=150,I518*1.15+6,I518*1.15+8))),
IF(L518="COMPLEMENTO",
   IF(I518&lt;=25,I518*1.25+1.5,IF(I518&lt;=60,I518*1.25+3,IF(I518&lt;=120,I518*1.25+4,I518*1.25+5))),
""))),2)</f>
        <v>268.33</v>
      </c>
      <c r="I518" s="9">
        <f>($K$2+0.02)*Tabla1[[#This Row],[PRECIO $]]*1.18</f>
        <v>226.37119999999999</v>
      </c>
      <c r="J518" s="7">
        <f>+Tabla1[[#This Row],[PRECIO EN SOLES]]-Tabla1[[#This Row],[PC]]</f>
        <v>41.958799999999997</v>
      </c>
      <c r="K518" s="15"/>
      <c r="L518" s="15" t="str">
        <f t="shared" si="8"/>
        <v>NORMAL</v>
      </c>
    </row>
    <row r="519" spans="1:12" x14ac:dyDescent="0.25">
      <c r="A519" s="3" t="s">
        <v>1192</v>
      </c>
      <c r="B519" s="3" t="s">
        <v>1193</v>
      </c>
      <c r="C519" s="1">
        <v>6</v>
      </c>
      <c r="D519" s="1">
        <v>17.5</v>
      </c>
      <c r="E519" s="1" t="s">
        <v>1131</v>
      </c>
      <c r="F519" s="1" t="s">
        <v>3124</v>
      </c>
      <c r="G519" s="3" t="s">
        <v>1194</v>
      </c>
      <c r="H519" s="11">
        <f>ROUND(
IF(L519="GANCHO",
   IF(I519&lt;=50,I519*1.1+4,IF(I519&lt;=120,I519*1.1+7,IF(I519&lt;=250,I519*1.1+11,I519*1.1+19))),
IF(L519="NORMAL",
   IF(I519&lt;=30,I519*1.15+2,IF(I519&lt;=80,I519*1.15+4,IF(I519&lt;=150,I519*1.15+6,I519*1.15+8))),
IF(L519="COMPLEMENTO",
   IF(I519&lt;=25,I519*1.25+1.5,IF(I519&lt;=60,I519*1.25+3,IF(I519&lt;=120,I519*1.25+4,I519*1.25+5))),
""))),2)</f>
        <v>87.59</v>
      </c>
      <c r="I519" s="9">
        <f>($K$2+0.02)*Tabla1[[#This Row],[PRECIO $]]*1.18</f>
        <v>72.688000000000002</v>
      </c>
      <c r="J519" s="7">
        <f>+Tabla1[[#This Row],[PRECIO EN SOLES]]-Tabla1[[#This Row],[PC]]</f>
        <v>14.902000000000001</v>
      </c>
      <c r="K519" s="15"/>
      <c r="L519" s="15" t="str">
        <f t="shared" si="8"/>
        <v>NORMAL</v>
      </c>
    </row>
    <row r="520" spans="1:12" x14ac:dyDescent="0.25">
      <c r="A520" s="3" t="s">
        <v>1195</v>
      </c>
      <c r="B520" s="3" t="s">
        <v>1196</v>
      </c>
      <c r="C520" s="1">
        <v>18</v>
      </c>
      <c r="D520" s="1">
        <v>5.0999999999999996</v>
      </c>
      <c r="E520" s="1" t="s">
        <v>1131</v>
      </c>
      <c r="F520" s="1" t="s">
        <v>3125</v>
      </c>
      <c r="G520" s="3" t="s">
        <v>1197</v>
      </c>
      <c r="H520" s="11">
        <f>ROUND(
IF(L520="GANCHO",
   IF(I520&lt;=50,I520*1.1+4,IF(I520&lt;=120,I520*1.1+7,IF(I520&lt;=250,I520*1.1+11,I520*1.1+19))),
IF(L520="NORMAL",
   IF(I520&lt;=30,I520*1.15+2,IF(I520&lt;=80,I520*1.15+4,IF(I520&lt;=150,I520*1.15+6,I520*1.15+8))),
IF(L520="COMPLEMENTO",
   IF(I520&lt;=25,I520*1.25+1.5,IF(I520&lt;=60,I520*1.25+3,IF(I520&lt;=120,I520*1.25+4,I520*1.25+5))),
""))),2)</f>
        <v>26.36</v>
      </c>
      <c r="I520" s="9">
        <f>($K$2+0.02)*Tabla1[[#This Row],[PRECIO $]]*1.18</f>
        <v>21.183359999999997</v>
      </c>
      <c r="J520" s="7">
        <f>+Tabla1[[#This Row],[PRECIO EN SOLES]]-Tabla1[[#This Row],[PC]]</f>
        <v>5.1766400000000026</v>
      </c>
      <c r="K520" s="15"/>
      <c r="L520" s="15" t="str">
        <f t="shared" si="8"/>
        <v>NORMAL</v>
      </c>
    </row>
    <row r="521" spans="1:12" x14ac:dyDescent="0.25">
      <c r="A521" s="3" t="s">
        <v>5392</v>
      </c>
      <c r="B521" s="3" t="s">
        <v>5393</v>
      </c>
      <c r="C521" s="1">
        <v>20</v>
      </c>
      <c r="D521" s="1">
        <v>1870</v>
      </c>
      <c r="E521" s="1" t="s">
        <v>847</v>
      </c>
      <c r="F521" s="1" t="s">
        <v>5394</v>
      </c>
      <c r="G521" s="3" t="s">
        <v>5395</v>
      </c>
      <c r="H521" s="11">
        <f>ROUND(
IF(L521="GANCHO",
   IF(I521&lt;=50,I521*1.1+4,IF(I521&lt;=120,I521*1.1+7,IF(I521&lt;=250,I521*1.1+11,I521*1.1+19))),
IF(L521="NORMAL",
   IF(I521&lt;=30,I521*1.15+2,IF(I521&lt;=80,I521*1.15+4,IF(I521&lt;=150,I521*1.15+6,I521*1.15+8))),
IF(L521="COMPLEMENTO",
   IF(I521&lt;=25,I521*1.25+1.5,IF(I521&lt;=60,I521*1.25+3,IF(I521&lt;=120,I521*1.25+4,I521*1.25+5))),
""))),2)</f>
        <v>8940.32</v>
      </c>
      <c r="I521" s="9">
        <f>($K$2+0.02)*Tabla1[[#This Row],[PRECIO $]]*1.18</f>
        <v>7767.2319999999991</v>
      </c>
      <c r="J521" s="7">
        <f>+Tabla1[[#This Row],[PRECIO EN SOLES]]-Tabla1[[#This Row],[PC]]</f>
        <v>1173.0880000000006</v>
      </c>
      <c r="K521" s="15"/>
      <c r="L521" s="15" t="str">
        <f t="shared" si="8"/>
        <v>NORMAL</v>
      </c>
    </row>
    <row r="522" spans="1:12" x14ac:dyDescent="0.25">
      <c r="A522" s="3" t="s">
        <v>4866</v>
      </c>
      <c r="B522" s="3" t="s">
        <v>4867</v>
      </c>
      <c r="C522" s="1">
        <v>20</v>
      </c>
      <c r="D522" s="1">
        <v>77.650000000000006</v>
      </c>
      <c r="E522" s="1" t="s">
        <v>115</v>
      </c>
      <c r="F522" s="1" t="s">
        <v>4868</v>
      </c>
      <c r="G522" s="3" t="s">
        <v>4869</v>
      </c>
      <c r="H522" s="11">
        <f>ROUND(
IF(L522="GANCHO",
   IF(I522&lt;=50,I522*1.1+4,IF(I522&lt;=120,I522*1.1+7,IF(I522&lt;=250,I522*1.1+11,I522*1.1+19))),
IF(L522="NORMAL",
   IF(I522&lt;=30,I522*1.15+2,IF(I522&lt;=80,I522*1.15+4,IF(I522&lt;=150,I522*1.15+6,I522*1.15+8))),
IF(L522="COMPLEMENTO",
   IF(I522&lt;=25,I522*1.25+1.5,IF(I522&lt;=60,I522*1.25+3,IF(I522&lt;=120,I522*1.25+4,I522*1.25+5))),
""))),2)</f>
        <v>378.91</v>
      </c>
      <c r="I522" s="9">
        <f>($K$2+0.02)*Tabla1[[#This Row],[PRECIO $]]*1.18</f>
        <v>322.52704</v>
      </c>
      <c r="J522" s="7">
        <f>+Tabla1[[#This Row],[PRECIO EN SOLES]]-Tabla1[[#This Row],[PC]]</f>
        <v>56.382960000000026</v>
      </c>
      <c r="K522" s="15"/>
      <c r="L522" s="15" t="str">
        <f t="shared" si="8"/>
        <v>NORMAL</v>
      </c>
    </row>
    <row r="523" spans="1:12" x14ac:dyDescent="0.25">
      <c r="A523" s="3" t="s">
        <v>4208</v>
      </c>
      <c r="B523" s="3" t="s">
        <v>4209</v>
      </c>
      <c r="C523" s="1">
        <v>0</v>
      </c>
      <c r="D523" s="1">
        <v>66.400000000000006</v>
      </c>
      <c r="E523" s="1" t="s">
        <v>115</v>
      </c>
      <c r="F523" s="1" t="s">
        <v>4210</v>
      </c>
      <c r="G523" s="3" t="s">
        <v>4211</v>
      </c>
      <c r="H523" s="11">
        <f>ROUND(
IF(L523="GANCHO",
   IF(I523&lt;=50,I523*1.1+4,IF(I523&lt;=120,I523*1.1+7,IF(I523&lt;=250,I523*1.1+11,I523*1.1+19))),
IF(L523="NORMAL",
   IF(I523&lt;=30,I523*1.15+2,IF(I523&lt;=80,I523*1.15+4,IF(I523&lt;=150,I523*1.15+6,I523*1.15+8))),
IF(L523="COMPLEMENTO",
   IF(I523&lt;=25,I523*1.25+1.5,IF(I523&lt;=60,I523*1.25+3,IF(I523&lt;=120,I523*1.25+4,I523*1.25+5))),
""))),2)</f>
        <v>325.17</v>
      </c>
      <c r="I523" s="9">
        <f>($K$2+0.02)*Tabla1[[#This Row],[PRECIO $]]*1.18</f>
        <v>275.79903999999999</v>
      </c>
      <c r="J523" s="7">
        <f>+Tabla1[[#This Row],[PRECIO EN SOLES]]-Tabla1[[#This Row],[PC]]</f>
        <v>49.370960000000025</v>
      </c>
      <c r="K523" s="15"/>
      <c r="L523" s="15" t="str">
        <f t="shared" si="8"/>
        <v>NORMAL</v>
      </c>
    </row>
    <row r="524" spans="1:12" x14ac:dyDescent="0.25">
      <c r="A524" s="3" t="s">
        <v>6436</v>
      </c>
      <c r="B524" s="3" t="s">
        <v>6437</v>
      </c>
      <c r="C524" s="1">
        <v>20</v>
      </c>
      <c r="D524" s="1">
        <v>83</v>
      </c>
      <c r="E524" s="1" t="s">
        <v>223</v>
      </c>
      <c r="F524" s="1" t="s">
        <v>6438</v>
      </c>
      <c r="G524" s="3" t="s">
        <v>6439</v>
      </c>
      <c r="H524" s="11">
        <f>ROUND(
IF(L524="GANCHO",
   IF(I524&lt;=50,I524*1.1+4,IF(I524&lt;=120,I524*1.1+7,IF(I524&lt;=250,I524*1.1+11,I524*1.1+19))),
IF(L524="NORMAL",
   IF(I524&lt;=30,I524*1.15+2,IF(I524&lt;=80,I524*1.15+4,IF(I524&lt;=150,I524*1.15+6,I524*1.15+8))),
IF(L524="COMPLEMENTO",
   IF(I524&lt;=25,I524*1.25+1.5,IF(I524&lt;=60,I524*1.25+3,IF(I524&lt;=120,I524*1.25+4,I524*1.25+5))),
""))),2)</f>
        <v>404.46</v>
      </c>
      <c r="I524" s="9">
        <f>($K$2+0.02)*Tabla1[[#This Row],[PRECIO $]]*1.18</f>
        <v>344.74880000000002</v>
      </c>
      <c r="J524" s="7">
        <f>+Tabla1[[#This Row],[PRECIO EN SOLES]]-Tabla1[[#This Row],[PC]]</f>
        <v>59.711199999999963</v>
      </c>
      <c r="K524" s="15"/>
      <c r="L524" s="15" t="str">
        <f t="shared" si="8"/>
        <v>NORMAL</v>
      </c>
    </row>
    <row r="525" spans="1:12" x14ac:dyDescent="0.25">
      <c r="A525" s="3" t="s">
        <v>4870</v>
      </c>
      <c r="B525" s="3" t="s">
        <v>4871</v>
      </c>
      <c r="C525" s="1">
        <v>0</v>
      </c>
      <c r="D525" s="1">
        <v>114</v>
      </c>
      <c r="E525" s="1" t="s">
        <v>223</v>
      </c>
      <c r="F525" s="1" t="s">
        <v>4872</v>
      </c>
      <c r="G525" s="3" t="s">
        <v>4873</v>
      </c>
      <c r="H525" s="11">
        <f>ROUND(
IF(L525="GANCHO",
   IF(I525&lt;=50,I525*1.1+4,IF(I525&lt;=120,I525*1.1+7,IF(I525&lt;=250,I525*1.1+11,I525*1.1+19))),
IF(L525="NORMAL",
   IF(I525&lt;=30,I525*1.15+2,IF(I525&lt;=80,I525*1.15+4,IF(I525&lt;=150,I525*1.15+6,I525*1.15+8))),
IF(L525="COMPLEMENTO",
   IF(I525&lt;=25,I525*1.25+1.5,IF(I525&lt;=60,I525*1.25+3,IF(I525&lt;=120,I525*1.25+4,I525*1.25+5))),
""))),2)</f>
        <v>552.54</v>
      </c>
      <c r="I525" s="9">
        <f>($K$2+0.02)*Tabla1[[#This Row],[PRECIO $]]*1.18</f>
        <v>473.5104</v>
      </c>
      <c r="J525" s="7">
        <f>+Tabla1[[#This Row],[PRECIO EN SOLES]]-Tabla1[[#This Row],[PC]]</f>
        <v>79.029599999999959</v>
      </c>
      <c r="K525" s="15"/>
      <c r="L525" s="15" t="str">
        <f t="shared" si="8"/>
        <v>NORMAL</v>
      </c>
    </row>
    <row r="526" spans="1:12" x14ac:dyDescent="0.25">
      <c r="A526" s="3" t="s">
        <v>4874</v>
      </c>
      <c r="B526" s="3" t="s">
        <v>4875</v>
      </c>
      <c r="C526" s="1">
        <v>15</v>
      </c>
      <c r="D526" s="1">
        <v>74.400000000000006</v>
      </c>
      <c r="E526" s="1" t="s">
        <v>223</v>
      </c>
      <c r="F526" s="1" t="s">
        <v>4876</v>
      </c>
      <c r="G526" s="3" t="s">
        <v>4877</v>
      </c>
      <c r="H526" s="11">
        <f>ROUND(
IF(L526="GANCHO",
   IF(I526&lt;=50,I526*1.1+4,IF(I526&lt;=120,I526*1.1+7,IF(I526&lt;=250,I526*1.1+11,I526*1.1+19))),
IF(L526="NORMAL",
   IF(I526&lt;=30,I526*1.15+2,IF(I526&lt;=80,I526*1.15+4,IF(I526&lt;=150,I526*1.15+6,I526*1.15+8))),
IF(L526="COMPLEMENTO",
   IF(I526&lt;=25,I526*1.25+1.5,IF(I526&lt;=60,I526*1.25+3,IF(I526&lt;=120,I526*1.25+4,I526*1.25+5))),
""))),2)</f>
        <v>363.38</v>
      </c>
      <c r="I526" s="9">
        <f>($K$2+0.02)*Tabla1[[#This Row],[PRECIO $]]*1.18</f>
        <v>309.02784000000003</v>
      </c>
      <c r="J526" s="7">
        <f>+Tabla1[[#This Row],[PRECIO EN SOLES]]-Tabla1[[#This Row],[PC]]</f>
        <v>54.352159999999969</v>
      </c>
      <c r="K526" s="15"/>
      <c r="L526" s="15" t="str">
        <f t="shared" si="8"/>
        <v>NORMAL</v>
      </c>
    </row>
    <row r="527" spans="1:12" x14ac:dyDescent="0.25">
      <c r="A527" s="3" t="s">
        <v>4878</v>
      </c>
      <c r="B527" s="3" t="s">
        <v>4879</v>
      </c>
      <c r="C527" s="1">
        <v>10</v>
      </c>
      <c r="D527" s="1">
        <v>71.099999999999994</v>
      </c>
      <c r="E527" s="1" t="s">
        <v>223</v>
      </c>
      <c r="F527" s="1" t="s">
        <v>4880</v>
      </c>
      <c r="G527" s="3" t="s">
        <v>4881</v>
      </c>
      <c r="H527" s="11">
        <f>ROUND(
IF(L527="GANCHO",
   IF(I527&lt;=50,I527*1.1+4,IF(I527&lt;=120,I527*1.1+7,IF(I527&lt;=250,I527*1.1+11,I527*1.1+19))),
IF(L527="NORMAL",
   IF(I527&lt;=30,I527*1.15+2,IF(I527&lt;=80,I527*1.15+4,IF(I527&lt;=150,I527*1.15+6,I527*1.15+8))),
IF(L527="COMPLEMENTO",
   IF(I527&lt;=25,I527*1.25+1.5,IF(I527&lt;=60,I527*1.25+3,IF(I527&lt;=120,I527*1.25+4,I527*1.25+5))),
""))),2)</f>
        <v>347.62</v>
      </c>
      <c r="I527" s="9">
        <f>($K$2+0.02)*Tabla1[[#This Row],[PRECIO $]]*1.18</f>
        <v>295.32095999999996</v>
      </c>
      <c r="J527" s="7">
        <f>+Tabla1[[#This Row],[PRECIO EN SOLES]]-Tabla1[[#This Row],[PC]]</f>
        <v>52.299040000000048</v>
      </c>
      <c r="K527" s="15"/>
      <c r="L527" s="15" t="str">
        <f t="shared" si="8"/>
        <v>NORMAL</v>
      </c>
    </row>
    <row r="528" spans="1:12" x14ac:dyDescent="0.25">
      <c r="A528" s="3" t="s">
        <v>1198</v>
      </c>
      <c r="B528" s="3" t="s">
        <v>1199</v>
      </c>
      <c r="C528" s="1">
        <v>20</v>
      </c>
      <c r="D528" s="1">
        <v>57.1</v>
      </c>
      <c r="E528" s="1" t="s">
        <v>223</v>
      </c>
      <c r="F528" s="1" t="s">
        <v>3126</v>
      </c>
      <c r="G528" s="3" t="s">
        <v>1200</v>
      </c>
      <c r="H528" s="11">
        <f>ROUND(
IF(L528="GANCHO",
   IF(I528&lt;=50,I528*1.1+4,IF(I528&lt;=120,I528*1.1+7,IF(I528&lt;=250,I528*1.1+11,I528*1.1+19))),
IF(L528="NORMAL",
   IF(I528&lt;=30,I528*1.15+2,IF(I528&lt;=80,I528*1.15+4,IF(I528&lt;=150,I528*1.15+6,I528*1.15+8))),
IF(L528="COMPLEMENTO",
   IF(I528&lt;=25,I528*1.25+1.5,IF(I528&lt;=60,I528*1.25+3,IF(I528&lt;=120,I528*1.25+4,I528*1.25+5))),
""))),2)</f>
        <v>280.75</v>
      </c>
      <c r="I528" s="9">
        <f>($K$2+0.02)*Tabla1[[#This Row],[PRECIO $]]*1.18</f>
        <v>237.17056000000002</v>
      </c>
      <c r="J528" s="7">
        <f>+Tabla1[[#This Row],[PRECIO EN SOLES]]-Tabla1[[#This Row],[PC]]</f>
        <v>43.579439999999977</v>
      </c>
      <c r="K528" s="15"/>
      <c r="L528" s="15" t="str">
        <f t="shared" si="8"/>
        <v>NORMAL</v>
      </c>
    </row>
    <row r="529" spans="1:12" x14ac:dyDescent="0.25">
      <c r="A529" s="3" t="s">
        <v>5396</v>
      </c>
      <c r="B529" s="3" t="s">
        <v>5397</v>
      </c>
      <c r="C529" s="1">
        <v>20</v>
      </c>
      <c r="D529" s="1">
        <v>74.2</v>
      </c>
      <c r="E529" s="1" t="s">
        <v>121</v>
      </c>
      <c r="F529" s="1" t="s">
        <v>5398</v>
      </c>
      <c r="G529" s="3" t="s">
        <v>5399</v>
      </c>
      <c r="H529" s="11">
        <f>ROUND(
IF(L529="GANCHO",
   IF(I529&lt;=50,I529*1.1+4,IF(I529&lt;=120,I529*1.1+7,IF(I529&lt;=250,I529*1.1+11,I529*1.1+19))),
IF(L529="NORMAL",
   IF(I529&lt;=30,I529*1.15+2,IF(I529&lt;=80,I529*1.15+4,IF(I529&lt;=150,I529*1.15+6,I529*1.15+8))),
IF(L529="COMPLEMENTO",
   IF(I529&lt;=25,I529*1.25+1.5,IF(I529&lt;=60,I529*1.25+3,IF(I529&lt;=120,I529*1.25+4,I529*1.25+5))),
""))),2)</f>
        <v>362.43</v>
      </c>
      <c r="I529" s="9">
        <f>($K$2+0.02)*Tabla1[[#This Row],[PRECIO $]]*1.18</f>
        <v>308.19712000000004</v>
      </c>
      <c r="J529" s="7">
        <f>+Tabla1[[#This Row],[PRECIO EN SOLES]]-Tabla1[[#This Row],[PC]]</f>
        <v>54.232879999999966</v>
      </c>
      <c r="K529" s="15"/>
      <c r="L529" s="15" t="str">
        <f t="shared" si="8"/>
        <v>NORMAL</v>
      </c>
    </row>
    <row r="530" spans="1:12" x14ac:dyDescent="0.25">
      <c r="A530" s="3" t="s">
        <v>5400</v>
      </c>
      <c r="B530" s="3" t="s">
        <v>5401</v>
      </c>
      <c r="C530" s="1">
        <v>20</v>
      </c>
      <c r="D530" s="1">
        <v>59.95</v>
      </c>
      <c r="E530" s="1" t="s">
        <v>121</v>
      </c>
      <c r="F530" s="1" t="s">
        <v>5402</v>
      </c>
      <c r="G530" s="3" t="s">
        <v>5403</v>
      </c>
      <c r="H530" s="11">
        <f>ROUND(
IF(L530="GANCHO",
   IF(I530&lt;=50,I530*1.1+4,IF(I530&lt;=120,I530*1.1+7,IF(I530&lt;=250,I530*1.1+11,I530*1.1+19))),
IF(L530="NORMAL",
   IF(I530&lt;=30,I530*1.15+2,IF(I530&lt;=80,I530*1.15+4,IF(I530&lt;=150,I530*1.15+6,I530*1.15+8))),
IF(L530="COMPLEMENTO",
   IF(I530&lt;=25,I530*1.25+1.5,IF(I530&lt;=60,I530*1.25+3,IF(I530&lt;=120,I530*1.25+4,I530*1.25+5))),
""))),2)</f>
        <v>294.36</v>
      </c>
      <c r="I530" s="9">
        <f>($K$2+0.02)*Tabla1[[#This Row],[PRECIO $]]*1.18</f>
        <v>249.00832</v>
      </c>
      <c r="J530" s="7">
        <f>+Tabla1[[#This Row],[PRECIO EN SOLES]]-Tabla1[[#This Row],[PC]]</f>
        <v>45.351680000000016</v>
      </c>
      <c r="K530" s="15"/>
      <c r="L530" s="15" t="str">
        <f t="shared" si="8"/>
        <v>NORMAL</v>
      </c>
    </row>
    <row r="531" spans="1:12" x14ac:dyDescent="0.25">
      <c r="A531" s="3" t="s">
        <v>5404</v>
      </c>
      <c r="B531" s="3" t="s">
        <v>5405</v>
      </c>
      <c r="C531" s="1">
        <v>20</v>
      </c>
      <c r="D531" s="1">
        <v>57.85</v>
      </c>
      <c r="E531" s="1" t="s">
        <v>121</v>
      </c>
      <c r="F531" s="1" t="s">
        <v>5406</v>
      </c>
      <c r="G531" s="3" t="s">
        <v>5407</v>
      </c>
      <c r="H531" s="11">
        <f>ROUND(
IF(L531="GANCHO",
   IF(I531&lt;=50,I531*1.1+4,IF(I531&lt;=120,I531*1.1+7,IF(I531&lt;=250,I531*1.1+11,I531*1.1+19))),
IF(L531="NORMAL",
   IF(I531&lt;=30,I531*1.15+2,IF(I531&lt;=80,I531*1.15+4,IF(I531&lt;=150,I531*1.15+6,I531*1.15+8))),
IF(L531="COMPLEMENTO",
   IF(I531&lt;=25,I531*1.25+1.5,IF(I531&lt;=60,I531*1.25+3,IF(I531&lt;=120,I531*1.25+4,I531*1.25+5))),
""))),2)</f>
        <v>284.33</v>
      </c>
      <c r="I531" s="9">
        <f>($K$2+0.02)*Tabla1[[#This Row],[PRECIO $]]*1.18</f>
        <v>240.28575999999998</v>
      </c>
      <c r="J531" s="7">
        <f>+Tabla1[[#This Row],[PRECIO EN SOLES]]-Tabla1[[#This Row],[PC]]</f>
        <v>44.044240000000002</v>
      </c>
      <c r="K531" s="15"/>
      <c r="L531" s="15" t="str">
        <f t="shared" si="8"/>
        <v>NORMAL</v>
      </c>
    </row>
    <row r="532" spans="1:12" x14ac:dyDescent="0.25">
      <c r="A532" s="3" t="s">
        <v>6440</v>
      </c>
      <c r="B532" s="3" t="s">
        <v>6441</v>
      </c>
      <c r="C532" s="1">
        <v>20</v>
      </c>
      <c r="D532" s="1">
        <v>94.5</v>
      </c>
      <c r="E532" s="1" t="s">
        <v>223</v>
      </c>
      <c r="F532" s="1" t="s">
        <v>6442</v>
      </c>
      <c r="G532" s="3" t="s">
        <v>6443</v>
      </c>
      <c r="H532" s="11">
        <f>ROUND(
IF(L532="GANCHO",
   IF(I532&lt;=50,I532*1.1+4,IF(I532&lt;=120,I532*1.1+7,IF(I532&lt;=250,I532*1.1+11,I532*1.1+19))),
IF(L532="NORMAL",
   IF(I532&lt;=30,I532*1.15+2,IF(I532&lt;=80,I532*1.15+4,IF(I532&lt;=150,I532*1.15+6,I532*1.15+8))),
IF(L532="COMPLEMENTO",
   IF(I532&lt;=25,I532*1.25+1.5,IF(I532&lt;=60,I532*1.25+3,IF(I532&lt;=120,I532*1.25+4,I532*1.25+5))),
""))),2)</f>
        <v>459.39</v>
      </c>
      <c r="I532" s="9">
        <f>($K$2+0.02)*Tabla1[[#This Row],[PRECIO $]]*1.18</f>
        <v>392.51519999999994</v>
      </c>
      <c r="J532" s="7">
        <f>+Tabla1[[#This Row],[PRECIO EN SOLES]]-Tabla1[[#This Row],[PC]]</f>
        <v>66.87480000000005</v>
      </c>
      <c r="K532" s="15"/>
      <c r="L532" s="15" t="str">
        <f t="shared" si="8"/>
        <v>NORMAL</v>
      </c>
    </row>
    <row r="533" spans="1:12" x14ac:dyDescent="0.25">
      <c r="A533" s="3" t="s">
        <v>1201</v>
      </c>
      <c r="B533" s="3" t="s">
        <v>1202</v>
      </c>
      <c r="C533" s="1">
        <v>12</v>
      </c>
      <c r="D533" s="1">
        <v>60.35</v>
      </c>
      <c r="E533" s="1" t="s">
        <v>847</v>
      </c>
      <c r="F533" s="1" t="s">
        <v>3127</v>
      </c>
      <c r="G533" s="3" t="s">
        <v>1203</v>
      </c>
      <c r="H533" s="11">
        <f>ROUND(
IF(L533="GANCHO",
   IF(I533&lt;=50,I533*1.1+4,IF(I533&lt;=120,I533*1.1+7,IF(I533&lt;=250,I533*1.1+11,I533*1.1+19))),
IF(L533="NORMAL",
   IF(I533&lt;=30,I533*1.15+2,IF(I533&lt;=80,I533*1.15+4,IF(I533&lt;=150,I533*1.15+6,I533*1.15+8))),
IF(L533="COMPLEMENTO",
   IF(I533&lt;=25,I533*1.25+1.5,IF(I533&lt;=60,I533*1.25+3,IF(I533&lt;=120,I533*1.25+4,I533*1.25+5))),
""))),2)</f>
        <v>296.27</v>
      </c>
      <c r="I533" s="9">
        <f>($K$2+0.02)*Tabla1[[#This Row],[PRECIO $]]*1.18</f>
        <v>250.66976</v>
      </c>
      <c r="J533" s="7">
        <f>+Tabla1[[#This Row],[PRECIO EN SOLES]]-Tabla1[[#This Row],[PC]]</f>
        <v>45.600239999999985</v>
      </c>
      <c r="K533" s="15"/>
      <c r="L533" s="15" t="str">
        <f t="shared" si="8"/>
        <v>NORMAL</v>
      </c>
    </row>
    <row r="534" spans="1:12" x14ac:dyDescent="0.25">
      <c r="A534" s="3" t="s">
        <v>4882</v>
      </c>
      <c r="B534" s="3" t="s">
        <v>4883</v>
      </c>
      <c r="C534" s="1">
        <v>20</v>
      </c>
      <c r="D534" s="1">
        <v>127.7</v>
      </c>
      <c r="E534" s="1" t="s">
        <v>115</v>
      </c>
      <c r="F534" s="1" t="s">
        <v>4884</v>
      </c>
      <c r="G534" s="3" t="s">
        <v>4885</v>
      </c>
      <c r="H534" s="11">
        <f>ROUND(
IF(L534="GANCHO",
   IF(I534&lt;=50,I534*1.1+4,IF(I534&lt;=120,I534*1.1+7,IF(I534&lt;=250,I534*1.1+11,I534*1.1+19))),
IF(L534="NORMAL",
   IF(I534&lt;=30,I534*1.15+2,IF(I534&lt;=80,I534*1.15+4,IF(I534&lt;=150,I534*1.15+6,I534*1.15+8))),
IF(L534="COMPLEMENTO",
   IF(I534&lt;=25,I534*1.25+1.5,IF(I534&lt;=60,I534*1.25+3,IF(I534&lt;=120,I534*1.25+4,I534*1.25+5))),
""))),2)</f>
        <v>617.98</v>
      </c>
      <c r="I534" s="9">
        <f>($K$2+0.02)*Tabla1[[#This Row],[PRECIO $]]*1.18</f>
        <v>530.41471999999999</v>
      </c>
      <c r="J534" s="7">
        <f>+Tabla1[[#This Row],[PRECIO EN SOLES]]-Tabla1[[#This Row],[PC]]</f>
        <v>87.56528000000003</v>
      </c>
      <c r="K534" s="15"/>
      <c r="L534" s="15" t="str">
        <f t="shared" si="8"/>
        <v>NORMAL</v>
      </c>
    </row>
    <row r="535" spans="1:12" x14ac:dyDescent="0.25">
      <c r="A535" s="3" t="s">
        <v>3988</v>
      </c>
      <c r="B535" s="3" t="s">
        <v>3989</v>
      </c>
      <c r="C535" s="1">
        <v>20</v>
      </c>
      <c r="D535" s="1">
        <v>98.5</v>
      </c>
      <c r="E535" s="1" t="s">
        <v>115</v>
      </c>
      <c r="F535" s="1" t="s">
        <v>3990</v>
      </c>
      <c r="G535" s="3" t="s">
        <v>3991</v>
      </c>
      <c r="H535" s="11">
        <f>ROUND(
IF(L535="GANCHO",
   IF(I535&lt;=50,I535*1.1+4,IF(I535&lt;=120,I535*1.1+7,IF(I535&lt;=250,I535*1.1+11,I535*1.1+19))),
IF(L535="NORMAL",
   IF(I535&lt;=30,I535*1.15+2,IF(I535&lt;=80,I535*1.15+4,IF(I535&lt;=150,I535*1.15+6,I535*1.15+8))),
IF(L535="COMPLEMENTO",
   IF(I535&lt;=25,I535*1.25+1.5,IF(I535&lt;=60,I535*1.25+3,IF(I535&lt;=120,I535*1.25+4,I535*1.25+5))),
""))),2)</f>
        <v>478.5</v>
      </c>
      <c r="I535" s="9">
        <f>($K$2+0.02)*Tabla1[[#This Row],[PRECIO $]]*1.18</f>
        <v>409.12960000000004</v>
      </c>
      <c r="J535" s="7">
        <f>+Tabla1[[#This Row],[PRECIO EN SOLES]]-Tabla1[[#This Row],[PC]]</f>
        <v>69.370399999999961</v>
      </c>
      <c r="K535" s="15"/>
      <c r="L535" s="15" t="str">
        <f t="shared" si="8"/>
        <v>NORMAL</v>
      </c>
    </row>
    <row r="536" spans="1:12" x14ac:dyDescent="0.25">
      <c r="A536" s="3" t="s">
        <v>5719</v>
      </c>
      <c r="B536" s="3" t="s">
        <v>5720</v>
      </c>
      <c r="C536" s="1">
        <v>3</v>
      </c>
      <c r="D536" s="1">
        <v>89.4</v>
      </c>
      <c r="E536" s="1" t="s">
        <v>115</v>
      </c>
      <c r="F536" s="1" t="s">
        <v>5721</v>
      </c>
      <c r="G536" s="3" t="s">
        <v>5722</v>
      </c>
      <c r="H536" s="11">
        <f>ROUND(
IF(L536="GANCHO",
   IF(I536&lt;=50,I536*1.1+4,IF(I536&lt;=120,I536*1.1+7,IF(I536&lt;=250,I536*1.1+11,I536*1.1+19))),
IF(L536="NORMAL",
   IF(I536&lt;=30,I536*1.15+2,IF(I536&lt;=80,I536*1.15+4,IF(I536&lt;=150,I536*1.15+6,I536*1.15+8))),
IF(L536="COMPLEMENTO",
   IF(I536&lt;=25,I536*1.25+1.5,IF(I536&lt;=60,I536*1.25+3,IF(I536&lt;=120,I536*1.25+4,I536*1.25+5))),
""))),2)</f>
        <v>435.03</v>
      </c>
      <c r="I536" s="9">
        <f>($K$2+0.02)*Tabla1[[#This Row],[PRECIO $]]*1.18</f>
        <v>371.33184000000006</v>
      </c>
      <c r="J536" s="7">
        <f>+Tabla1[[#This Row],[PRECIO EN SOLES]]-Tabla1[[#This Row],[PC]]</f>
        <v>63.698159999999916</v>
      </c>
      <c r="K536" s="15"/>
      <c r="L536" s="15" t="str">
        <f t="shared" si="8"/>
        <v>NORMAL</v>
      </c>
    </row>
    <row r="537" spans="1:12" x14ac:dyDescent="0.25">
      <c r="A537" s="3" t="s">
        <v>1204</v>
      </c>
      <c r="B537" s="3" t="s">
        <v>1205</v>
      </c>
      <c r="C537" s="1">
        <v>20</v>
      </c>
      <c r="D537" s="1">
        <v>63.35</v>
      </c>
      <c r="E537" s="1" t="s">
        <v>115</v>
      </c>
      <c r="F537" s="1" t="s">
        <v>3128</v>
      </c>
      <c r="G537" s="3" t="s">
        <v>1206</v>
      </c>
      <c r="H537" s="11">
        <f>ROUND(
IF(L537="GANCHO",
   IF(I537&lt;=50,I537*1.1+4,IF(I537&lt;=120,I537*1.1+7,IF(I537&lt;=250,I537*1.1+11,I537*1.1+19))),
IF(L537="NORMAL",
   IF(I537&lt;=30,I537*1.15+2,IF(I537&lt;=80,I537*1.15+4,IF(I537&lt;=150,I537*1.15+6,I537*1.15+8))),
IF(L537="COMPLEMENTO",
   IF(I537&lt;=25,I537*1.25+1.5,IF(I537&lt;=60,I537*1.25+3,IF(I537&lt;=120,I537*1.25+4,I537*1.25+5))),
""))),2)</f>
        <v>310.60000000000002</v>
      </c>
      <c r="I537" s="9">
        <f>($K$2+0.02)*Tabla1[[#This Row],[PRECIO $]]*1.18</f>
        <v>263.13056</v>
      </c>
      <c r="J537" s="7">
        <f>+Tabla1[[#This Row],[PRECIO EN SOLES]]-Tabla1[[#This Row],[PC]]</f>
        <v>47.46944000000002</v>
      </c>
      <c r="K537" s="15"/>
      <c r="L537" s="15" t="str">
        <f t="shared" si="8"/>
        <v>NORMAL</v>
      </c>
    </row>
    <row r="538" spans="1:12" x14ac:dyDescent="0.25">
      <c r="A538" s="3" t="s">
        <v>1207</v>
      </c>
      <c r="B538" s="3" t="s">
        <v>1208</v>
      </c>
      <c r="C538" s="1">
        <v>2</v>
      </c>
      <c r="D538" s="1">
        <v>115.7</v>
      </c>
      <c r="E538" s="1" t="s">
        <v>223</v>
      </c>
      <c r="F538" s="1" t="s">
        <v>3129</v>
      </c>
      <c r="G538" s="3" t="s">
        <v>1209</v>
      </c>
      <c r="H538" s="11">
        <f>ROUND(
IF(L538="GANCHO",
   IF(I538&lt;=50,I538*1.1+4,IF(I538&lt;=120,I538*1.1+7,IF(I538&lt;=250,I538*1.1+11,I538*1.1+19))),
IF(L538="NORMAL",
   IF(I538&lt;=30,I538*1.15+2,IF(I538&lt;=80,I538*1.15+4,IF(I538&lt;=150,I538*1.15+6,I538*1.15+8))),
IF(L538="COMPLEMENTO",
   IF(I538&lt;=25,I538*1.25+1.5,IF(I538&lt;=60,I538*1.25+3,IF(I538&lt;=120,I538*1.25+4,I538*1.25+5))),
""))),2)</f>
        <v>560.66</v>
      </c>
      <c r="I538" s="9">
        <f>($K$2+0.02)*Tabla1[[#This Row],[PRECIO $]]*1.18</f>
        <v>480.57151999999996</v>
      </c>
      <c r="J538" s="7">
        <f>+Tabla1[[#This Row],[PRECIO EN SOLES]]-Tabla1[[#This Row],[PC]]</f>
        <v>80.088480000000004</v>
      </c>
      <c r="K538" s="15"/>
      <c r="L538" s="15" t="str">
        <f t="shared" si="8"/>
        <v>NORMAL</v>
      </c>
    </row>
    <row r="539" spans="1:12" x14ac:dyDescent="0.25">
      <c r="A539" s="3" t="s">
        <v>6444</v>
      </c>
      <c r="B539" s="3" t="s">
        <v>6445</v>
      </c>
      <c r="C539" s="1">
        <v>5</v>
      </c>
      <c r="D539" s="1">
        <v>89.5</v>
      </c>
      <c r="E539" s="1" t="s">
        <v>223</v>
      </c>
      <c r="F539" s="1" t="s">
        <v>6446</v>
      </c>
      <c r="G539" s="3" t="s">
        <v>6447</v>
      </c>
      <c r="H539" s="11">
        <f>ROUND(
IF(L539="GANCHO",
   IF(I539&lt;=50,I539*1.1+4,IF(I539&lt;=120,I539*1.1+7,IF(I539&lt;=250,I539*1.1+11,I539*1.1+19))),
IF(L539="NORMAL",
   IF(I539&lt;=30,I539*1.15+2,IF(I539&lt;=80,I539*1.15+4,IF(I539&lt;=150,I539*1.15+6,I539*1.15+8))),
IF(L539="COMPLEMENTO",
   IF(I539&lt;=25,I539*1.25+1.5,IF(I539&lt;=60,I539*1.25+3,IF(I539&lt;=120,I539*1.25+4,I539*1.25+5))),
""))),2)</f>
        <v>435.51</v>
      </c>
      <c r="I539" s="9">
        <f>($K$2+0.02)*Tabla1[[#This Row],[PRECIO $]]*1.18</f>
        <v>371.74720000000002</v>
      </c>
      <c r="J539" s="7">
        <f>+Tabla1[[#This Row],[PRECIO EN SOLES]]-Tabla1[[#This Row],[PC]]</f>
        <v>63.76279999999997</v>
      </c>
      <c r="K539" s="15"/>
      <c r="L539" s="15" t="str">
        <f t="shared" si="8"/>
        <v>NORMAL</v>
      </c>
    </row>
    <row r="540" spans="1:12" x14ac:dyDescent="0.25">
      <c r="A540" s="3" t="s">
        <v>1210</v>
      </c>
      <c r="B540" s="3" t="s">
        <v>1211</v>
      </c>
      <c r="C540" s="1">
        <v>0</v>
      </c>
      <c r="D540" s="1">
        <v>102.5</v>
      </c>
      <c r="E540" s="1" t="s">
        <v>223</v>
      </c>
      <c r="F540" s="1" t="s">
        <v>3130</v>
      </c>
      <c r="G540" s="3" t="s">
        <v>1212</v>
      </c>
      <c r="H540" s="11">
        <f>ROUND(
IF(L540="GANCHO",
   IF(I540&lt;=50,I540*1.1+4,IF(I540&lt;=120,I540*1.1+7,IF(I540&lt;=250,I540*1.1+11,I540*1.1+19))),
IF(L540="NORMAL",
   IF(I540&lt;=30,I540*1.15+2,IF(I540&lt;=80,I540*1.15+4,IF(I540&lt;=150,I540*1.15+6,I540*1.15+8))),
IF(L540="COMPLEMENTO",
   IF(I540&lt;=25,I540*1.25+1.5,IF(I540&lt;=60,I540*1.25+3,IF(I540&lt;=120,I540*1.25+4,I540*1.25+5))),
""))),2)</f>
        <v>497.61</v>
      </c>
      <c r="I540" s="9">
        <f>($K$2+0.02)*Tabla1[[#This Row],[PRECIO $]]*1.18</f>
        <v>425.74399999999997</v>
      </c>
      <c r="J540" s="7">
        <f>+Tabla1[[#This Row],[PRECIO EN SOLES]]-Tabla1[[#This Row],[PC]]</f>
        <v>71.866000000000042</v>
      </c>
      <c r="K540" s="15"/>
      <c r="L540" s="15" t="str">
        <f t="shared" si="8"/>
        <v>NORMAL</v>
      </c>
    </row>
    <row r="541" spans="1:12" x14ac:dyDescent="0.25">
      <c r="A541" s="3" t="s">
        <v>1213</v>
      </c>
      <c r="B541" s="3" t="s">
        <v>1214</v>
      </c>
      <c r="C541" s="1">
        <v>20</v>
      </c>
      <c r="D541" s="1">
        <v>110.6</v>
      </c>
      <c r="E541" s="1" t="s">
        <v>223</v>
      </c>
      <c r="F541" s="1" t="s">
        <v>3131</v>
      </c>
      <c r="G541" s="3" t="s">
        <v>1215</v>
      </c>
      <c r="H541" s="11">
        <f>ROUND(
IF(L541="GANCHO",
   IF(I541&lt;=50,I541*1.1+4,IF(I541&lt;=120,I541*1.1+7,IF(I541&lt;=250,I541*1.1+11,I541*1.1+19))),
IF(L541="NORMAL",
   IF(I541&lt;=30,I541*1.15+2,IF(I541&lt;=80,I541*1.15+4,IF(I541&lt;=150,I541*1.15+6,I541*1.15+8))),
IF(L541="COMPLEMENTO",
   IF(I541&lt;=25,I541*1.25+1.5,IF(I541&lt;=60,I541*1.25+3,IF(I541&lt;=120,I541*1.25+4,I541*1.25+5))),
""))),2)</f>
        <v>536.29999999999995</v>
      </c>
      <c r="I541" s="9">
        <f>($K$2+0.02)*Tabla1[[#This Row],[PRECIO $]]*1.18</f>
        <v>459.38815999999991</v>
      </c>
      <c r="J541" s="7">
        <f>+Tabla1[[#This Row],[PRECIO EN SOLES]]-Tabla1[[#This Row],[PC]]</f>
        <v>76.911840000000041</v>
      </c>
      <c r="K541" s="15"/>
      <c r="L541" s="15" t="str">
        <f t="shared" si="8"/>
        <v>NORMAL</v>
      </c>
    </row>
    <row r="542" spans="1:12" x14ac:dyDescent="0.25">
      <c r="A542" s="3" t="s">
        <v>606</v>
      </c>
      <c r="B542" s="3" t="s">
        <v>607</v>
      </c>
      <c r="C542" s="1">
        <v>5</v>
      </c>
      <c r="D542" s="1">
        <v>84.1</v>
      </c>
      <c r="E542" s="1" t="s">
        <v>223</v>
      </c>
      <c r="F542" s="1" t="s">
        <v>3132</v>
      </c>
      <c r="G542" s="3" t="s">
        <v>608</v>
      </c>
      <c r="H542" s="11">
        <f>ROUND(
IF(L542="GANCHO",
   IF(I542&lt;=50,I542*1.1+4,IF(I542&lt;=120,I542*1.1+7,IF(I542&lt;=250,I542*1.1+11,I542*1.1+19))),
IF(L542="NORMAL",
   IF(I542&lt;=30,I542*1.15+2,IF(I542&lt;=80,I542*1.15+4,IF(I542&lt;=150,I542*1.15+6,I542*1.15+8))),
IF(L542="COMPLEMENTO",
   IF(I542&lt;=25,I542*1.25+1.5,IF(I542&lt;=60,I542*1.25+3,IF(I542&lt;=120,I542*1.25+4,I542*1.25+5))),
""))),2)</f>
        <v>409.72</v>
      </c>
      <c r="I542" s="9">
        <f>($K$2+0.02)*Tabla1[[#This Row],[PRECIO $]]*1.18</f>
        <v>349.31775999999996</v>
      </c>
      <c r="J542" s="7">
        <f>+Tabla1[[#This Row],[PRECIO EN SOLES]]-Tabla1[[#This Row],[PC]]</f>
        <v>60.402240000000063</v>
      </c>
      <c r="K542" s="15"/>
      <c r="L542" s="15" t="str">
        <f t="shared" si="8"/>
        <v>NORMAL</v>
      </c>
    </row>
    <row r="543" spans="1:12" x14ac:dyDescent="0.25">
      <c r="A543" s="3" t="s">
        <v>1216</v>
      </c>
      <c r="B543" s="3" t="s">
        <v>1217</v>
      </c>
      <c r="C543" s="1">
        <v>20</v>
      </c>
      <c r="D543" s="1">
        <v>59.9</v>
      </c>
      <c r="E543" s="1" t="s">
        <v>223</v>
      </c>
      <c r="F543" s="1" t="s">
        <v>3133</v>
      </c>
      <c r="G543" s="3" t="s">
        <v>1218</v>
      </c>
      <c r="H543" s="11">
        <f>ROUND(
IF(L543="GANCHO",
   IF(I543&lt;=50,I543*1.1+4,IF(I543&lt;=120,I543*1.1+7,IF(I543&lt;=250,I543*1.1+11,I543*1.1+19))),
IF(L543="NORMAL",
   IF(I543&lt;=30,I543*1.15+2,IF(I543&lt;=80,I543*1.15+4,IF(I543&lt;=150,I543*1.15+6,I543*1.15+8))),
IF(L543="COMPLEMENTO",
   IF(I543&lt;=25,I543*1.25+1.5,IF(I543&lt;=60,I543*1.25+3,IF(I543&lt;=120,I543*1.25+4,I543*1.25+5))),
""))),2)</f>
        <v>294.12</v>
      </c>
      <c r="I543" s="9">
        <f>($K$2+0.02)*Tabla1[[#This Row],[PRECIO $]]*1.18</f>
        <v>248.80063999999996</v>
      </c>
      <c r="J543" s="7">
        <f>+Tabla1[[#This Row],[PRECIO EN SOLES]]-Tabla1[[#This Row],[PC]]</f>
        <v>45.319360000000046</v>
      </c>
      <c r="K543" s="15"/>
      <c r="L543" s="15" t="str">
        <f t="shared" si="8"/>
        <v>NORMAL</v>
      </c>
    </row>
    <row r="544" spans="1:12" x14ac:dyDescent="0.25">
      <c r="A544" s="3" t="s">
        <v>5408</v>
      </c>
      <c r="B544" s="3" t="s">
        <v>5409</v>
      </c>
      <c r="C544" s="1">
        <v>20</v>
      </c>
      <c r="D544" s="1">
        <v>101.6</v>
      </c>
      <c r="E544" s="1" t="s">
        <v>121</v>
      </c>
      <c r="F544" s="1" t="s">
        <v>5410</v>
      </c>
      <c r="G544" s="3" t="s">
        <v>5411</v>
      </c>
      <c r="H544" s="11">
        <f>ROUND(
IF(L544="GANCHO",
   IF(I544&lt;=50,I544*1.1+4,IF(I544&lt;=120,I544*1.1+7,IF(I544&lt;=250,I544*1.1+11,I544*1.1+19))),
IF(L544="NORMAL",
   IF(I544&lt;=30,I544*1.15+2,IF(I544&lt;=80,I544*1.15+4,IF(I544&lt;=150,I544*1.15+6,I544*1.15+8))),
IF(L544="COMPLEMENTO",
   IF(I544&lt;=25,I544*1.25+1.5,IF(I544&lt;=60,I544*1.25+3,IF(I544&lt;=120,I544*1.25+4,I544*1.25+5))),
""))),2)</f>
        <v>493.31</v>
      </c>
      <c r="I544" s="9">
        <f>($K$2+0.02)*Tabla1[[#This Row],[PRECIO $]]*1.18</f>
        <v>422.00576000000001</v>
      </c>
      <c r="J544" s="7">
        <f>+Tabla1[[#This Row],[PRECIO EN SOLES]]-Tabla1[[#This Row],[PC]]</f>
        <v>71.304239999999993</v>
      </c>
      <c r="K544" s="15"/>
      <c r="L544" s="15" t="str">
        <f t="shared" si="8"/>
        <v>NORMAL</v>
      </c>
    </row>
    <row r="545" spans="1:12" x14ac:dyDescent="0.25">
      <c r="A545" s="3" t="s">
        <v>5412</v>
      </c>
      <c r="B545" s="3" t="s">
        <v>5413</v>
      </c>
      <c r="C545" s="1">
        <v>20</v>
      </c>
      <c r="D545" s="1">
        <v>86.5</v>
      </c>
      <c r="E545" s="1" t="s">
        <v>121</v>
      </c>
      <c r="F545" s="1" t="s">
        <v>5414</v>
      </c>
      <c r="G545" s="3" t="s">
        <v>5415</v>
      </c>
      <c r="H545" s="11">
        <f>ROUND(
IF(L545="GANCHO",
   IF(I545&lt;=50,I545*1.1+4,IF(I545&lt;=120,I545*1.1+7,IF(I545&lt;=250,I545*1.1+11,I545*1.1+19))),
IF(L545="NORMAL",
   IF(I545&lt;=30,I545*1.15+2,IF(I545&lt;=80,I545*1.15+4,IF(I545&lt;=150,I545*1.15+6,I545*1.15+8))),
IF(L545="COMPLEMENTO",
   IF(I545&lt;=25,I545*1.25+1.5,IF(I545&lt;=60,I545*1.25+3,IF(I545&lt;=120,I545*1.25+4,I545*1.25+5))),
""))),2)</f>
        <v>421.18</v>
      </c>
      <c r="I545" s="9">
        <f>($K$2+0.02)*Tabla1[[#This Row],[PRECIO $]]*1.18</f>
        <v>359.28640000000001</v>
      </c>
      <c r="J545" s="7">
        <f>+Tabla1[[#This Row],[PRECIO EN SOLES]]-Tabla1[[#This Row],[PC]]</f>
        <v>61.893599999999992</v>
      </c>
      <c r="K545" s="15"/>
      <c r="L545" s="15" t="str">
        <f t="shared" si="8"/>
        <v>NORMAL</v>
      </c>
    </row>
    <row r="546" spans="1:12" x14ac:dyDescent="0.25">
      <c r="A546" s="3" t="s">
        <v>5723</v>
      </c>
      <c r="B546" s="3" t="s">
        <v>5724</v>
      </c>
      <c r="C546" s="1">
        <v>3</v>
      </c>
      <c r="D546" s="1">
        <v>76.099999999999994</v>
      </c>
      <c r="E546" s="1" t="s">
        <v>121</v>
      </c>
      <c r="F546" s="1" t="s">
        <v>5725</v>
      </c>
      <c r="G546" s="3" t="s">
        <v>5726</v>
      </c>
      <c r="H546" s="11">
        <f>ROUND(
IF(L546="GANCHO",
   IF(I546&lt;=50,I546*1.1+4,IF(I546&lt;=120,I546*1.1+7,IF(I546&lt;=250,I546*1.1+11,I546*1.1+19))),
IF(L546="NORMAL",
   IF(I546&lt;=30,I546*1.15+2,IF(I546&lt;=80,I546*1.15+4,IF(I546&lt;=150,I546*1.15+6,I546*1.15+8))),
IF(L546="COMPLEMENTO",
   IF(I546&lt;=25,I546*1.25+1.5,IF(I546&lt;=60,I546*1.25+3,IF(I546&lt;=120,I546*1.25+4,I546*1.25+5))),
""))),2)</f>
        <v>371.5</v>
      </c>
      <c r="I546" s="9">
        <f>($K$2+0.02)*Tabla1[[#This Row],[PRECIO $]]*1.18</f>
        <v>316.08895999999993</v>
      </c>
      <c r="J546" s="7">
        <f>+Tabla1[[#This Row],[PRECIO EN SOLES]]-Tabla1[[#This Row],[PC]]</f>
        <v>55.411040000000071</v>
      </c>
      <c r="K546" s="15"/>
      <c r="L546" s="15" t="str">
        <f t="shared" si="8"/>
        <v>NORMAL</v>
      </c>
    </row>
    <row r="547" spans="1:12" x14ac:dyDescent="0.25">
      <c r="A547" s="3" t="s">
        <v>5416</v>
      </c>
      <c r="B547" s="3" t="s">
        <v>5417</v>
      </c>
      <c r="C547" s="1">
        <v>20</v>
      </c>
      <c r="D547" s="1">
        <v>91</v>
      </c>
      <c r="E547" s="1" t="s">
        <v>121</v>
      </c>
      <c r="F547" s="1" t="s">
        <v>5418</v>
      </c>
      <c r="G547" s="3" t="s">
        <v>5419</v>
      </c>
      <c r="H547" s="11">
        <f>ROUND(
IF(L547="GANCHO",
   IF(I547&lt;=50,I547*1.1+4,IF(I547&lt;=120,I547*1.1+7,IF(I547&lt;=250,I547*1.1+11,I547*1.1+19))),
IF(L547="NORMAL",
   IF(I547&lt;=30,I547*1.15+2,IF(I547&lt;=80,I547*1.15+4,IF(I547&lt;=150,I547*1.15+6,I547*1.15+8))),
IF(L547="COMPLEMENTO",
   IF(I547&lt;=25,I547*1.25+1.5,IF(I547&lt;=60,I547*1.25+3,IF(I547&lt;=120,I547*1.25+4,I547*1.25+5))),
""))),2)</f>
        <v>442.67</v>
      </c>
      <c r="I547" s="9">
        <f>($K$2+0.02)*Tabla1[[#This Row],[PRECIO $]]*1.18</f>
        <v>377.9776</v>
      </c>
      <c r="J547" s="7">
        <f>+Tabla1[[#This Row],[PRECIO EN SOLES]]-Tabla1[[#This Row],[PC]]</f>
        <v>64.692400000000021</v>
      </c>
      <c r="K547" s="15"/>
      <c r="L547" s="15" t="str">
        <f t="shared" si="8"/>
        <v>NORMAL</v>
      </c>
    </row>
    <row r="548" spans="1:12" x14ac:dyDescent="0.25">
      <c r="A548" s="3" t="s">
        <v>241</v>
      </c>
      <c r="B548" s="3" t="s">
        <v>242</v>
      </c>
      <c r="C548" s="1">
        <v>0</v>
      </c>
      <c r="D548" s="1">
        <v>60.65</v>
      </c>
      <c r="E548" s="1" t="s">
        <v>121</v>
      </c>
      <c r="F548" s="1" t="s">
        <v>3134</v>
      </c>
      <c r="G548" s="3" t="s">
        <v>243</v>
      </c>
      <c r="H548" s="11">
        <f>ROUND(
IF(L548="GANCHO",
   IF(I548&lt;=50,I548*1.1+4,IF(I548&lt;=120,I548*1.1+7,IF(I548&lt;=250,I548*1.1+11,I548*1.1+19))),
IF(L548="NORMAL",
   IF(I548&lt;=30,I548*1.15+2,IF(I548&lt;=80,I548*1.15+4,IF(I548&lt;=150,I548*1.15+6,I548*1.15+8))),
IF(L548="COMPLEMENTO",
   IF(I548&lt;=25,I548*1.25+1.5,IF(I548&lt;=60,I548*1.25+3,IF(I548&lt;=120,I548*1.25+4,I548*1.25+5))),
""))),2)</f>
        <v>297.7</v>
      </c>
      <c r="I548" s="9">
        <f>($K$2+0.02)*Tabla1[[#This Row],[PRECIO $]]*1.18</f>
        <v>251.91583999999997</v>
      </c>
      <c r="J548" s="7">
        <f>+Tabla1[[#This Row],[PRECIO EN SOLES]]-Tabla1[[#This Row],[PC]]</f>
        <v>45.784160000000014</v>
      </c>
      <c r="K548" s="15"/>
      <c r="L548" s="15" t="str">
        <f t="shared" si="8"/>
        <v>NORMAL</v>
      </c>
    </row>
    <row r="549" spans="1:12" x14ac:dyDescent="0.25">
      <c r="A549" s="3" t="s">
        <v>1219</v>
      </c>
      <c r="B549" s="3" t="s">
        <v>1220</v>
      </c>
      <c r="C549" s="1">
        <v>19</v>
      </c>
      <c r="D549" s="1">
        <v>105.5</v>
      </c>
      <c r="E549" s="1" t="s">
        <v>847</v>
      </c>
      <c r="F549" s="1" t="s">
        <v>3135</v>
      </c>
      <c r="G549" s="3" t="s">
        <v>1221</v>
      </c>
      <c r="H549" s="11">
        <f>ROUND(
IF(L549="GANCHO",
   IF(I549&lt;=50,I549*1.1+4,IF(I549&lt;=120,I549*1.1+7,IF(I549&lt;=250,I549*1.1+11,I549*1.1+19))),
IF(L549="NORMAL",
   IF(I549&lt;=30,I549*1.15+2,IF(I549&lt;=80,I549*1.15+4,IF(I549&lt;=150,I549*1.15+6,I549*1.15+8))),
IF(L549="COMPLEMENTO",
   IF(I549&lt;=25,I549*1.25+1.5,IF(I549&lt;=60,I549*1.25+3,IF(I549&lt;=120,I549*1.25+4,I549*1.25+5))),
""))),2)</f>
        <v>511.94</v>
      </c>
      <c r="I549" s="9">
        <f>($K$2+0.02)*Tabla1[[#This Row],[PRECIO $]]*1.18</f>
        <v>438.20479999999998</v>
      </c>
      <c r="J549" s="7">
        <f>+Tabla1[[#This Row],[PRECIO EN SOLES]]-Tabla1[[#This Row],[PC]]</f>
        <v>73.73520000000002</v>
      </c>
      <c r="K549" s="15"/>
      <c r="L549" s="15" t="str">
        <f t="shared" si="8"/>
        <v>NORMAL</v>
      </c>
    </row>
    <row r="550" spans="1:12" x14ac:dyDescent="0.25">
      <c r="A550" s="3" t="s">
        <v>1222</v>
      </c>
      <c r="B550" s="3" t="s">
        <v>1223</v>
      </c>
      <c r="C550" s="1">
        <v>5</v>
      </c>
      <c r="D550" s="1">
        <v>114.5</v>
      </c>
      <c r="E550" s="1" t="s">
        <v>847</v>
      </c>
      <c r="F550" s="1" t="s">
        <v>3136</v>
      </c>
      <c r="G550" s="3" t="s">
        <v>1224</v>
      </c>
      <c r="H550" s="11">
        <f>ROUND(
IF(L550="GANCHO",
   IF(I550&lt;=50,I550*1.1+4,IF(I550&lt;=120,I550*1.1+7,IF(I550&lt;=250,I550*1.1+11,I550*1.1+19))),
IF(L550="NORMAL",
   IF(I550&lt;=30,I550*1.15+2,IF(I550&lt;=80,I550*1.15+4,IF(I550&lt;=150,I550*1.15+6,I550*1.15+8))),
IF(L550="COMPLEMENTO",
   IF(I550&lt;=25,I550*1.25+1.5,IF(I550&lt;=60,I550*1.25+3,IF(I550&lt;=120,I550*1.25+4,I550*1.25+5))),
""))),2)</f>
        <v>554.92999999999995</v>
      </c>
      <c r="I550" s="9">
        <f>($K$2+0.02)*Tabla1[[#This Row],[PRECIO $]]*1.18</f>
        <v>475.5872</v>
      </c>
      <c r="J550" s="7">
        <f>+Tabla1[[#This Row],[PRECIO EN SOLES]]-Tabla1[[#This Row],[PC]]</f>
        <v>79.342799999999954</v>
      </c>
      <c r="K550" s="15"/>
      <c r="L550" s="15" t="str">
        <f t="shared" si="8"/>
        <v>NORMAL</v>
      </c>
    </row>
    <row r="551" spans="1:12" x14ac:dyDescent="0.25">
      <c r="A551" s="3" t="s">
        <v>4886</v>
      </c>
      <c r="B551" s="3" t="s">
        <v>4887</v>
      </c>
      <c r="C551" s="1">
        <v>20</v>
      </c>
      <c r="D551" s="1">
        <v>174.5</v>
      </c>
      <c r="E551" s="1" t="s">
        <v>115</v>
      </c>
      <c r="F551" s="1" t="s">
        <v>4888</v>
      </c>
      <c r="G551" s="3" t="s">
        <v>4889</v>
      </c>
      <c r="H551" s="11">
        <f>ROUND(
IF(L551="GANCHO",
   IF(I551&lt;=50,I551*1.1+4,IF(I551&lt;=120,I551*1.1+7,IF(I551&lt;=250,I551*1.1+11,I551*1.1+19))),
IF(L551="NORMAL",
   IF(I551&lt;=30,I551*1.15+2,IF(I551&lt;=80,I551*1.15+4,IF(I551&lt;=150,I551*1.15+6,I551*1.15+8))),
IF(L551="COMPLEMENTO",
   IF(I551&lt;=25,I551*1.25+1.5,IF(I551&lt;=60,I551*1.25+3,IF(I551&lt;=120,I551*1.25+4,I551*1.25+5))),
""))),2)</f>
        <v>841.52</v>
      </c>
      <c r="I551" s="9">
        <f>($K$2+0.02)*Tabla1[[#This Row],[PRECIO $]]*1.18</f>
        <v>724.80319999999995</v>
      </c>
      <c r="J551" s="7">
        <f>+Tabla1[[#This Row],[PRECIO EN SOLES]]-Tabla1[[#This Row],[PC]]</f>
        <v>116.71680000000003</v>
      </c>
      <c r="K551" s="15"/>
      <c r="L551" s="15" t="str">
        <f t="shared" si="8"/>
        <v>NORMAL</v>
      </c>
    </row>
    <row r="552" spans="1:12" x14ac:dyDescent="0.25">
      <c r="A552" s="3" t="s">
        <v>4089</v>
      </c>
      <c r="B552" s="3" t="s">
        <v>4090</v>
      </c>
      <c r="C552" s="1">
        <v>20</v>
      </c>
      <c r="D552" s="1">
        <v>161.9</v>
      </c>
      <c r="E552" s="1" t="s">
        <v>115</v>
      </c>
      <c r="F552" s="1" t="s">
        <v>4091</v>
      </c>
      <c r="G552" s="3" t="s">
        <v>4092</v>
      </c>
      <c r="H552" s="11">
        <f>ROUND(
IF(L552="GANCHO",
   IF(I552&lt;=50,I552*1.1+4,IF(I552&lt;=120,I552*1.1+7,IF(I552&lt;=250,I552*1.1+11,I552*1.1+19))),
IF(L552="NORMAL",
   IF(I552&lt;=30,I552*1.15+2,IF(I552&lt;=80,I552*1.15+4,IF(I552&lt;=150,I552*1.15+6,I552*1.15+8))),
IF(L552="COMPLEMENTO",
   IF(I552&lt;=25,I552*1.25+1.5,IF(I552&lt;=60,I552*1.25+3,IF(I552&lt;=120,I552*1.25+4,I552*1.25+5))),
""))),2)</f>
        <v>781.34</v>
      </c>
      <c r="I552" s="9">
        <f>($K$2+0.02)*Tabla1[[#This Row],[PRECIO $]]*1.18</f>
        <v>672.46784000000002</v>
      </c>
      <c r="J552" s="7">
        <f>+Tabla1[[#This Row],[PRECIO EN SOLES]]-Tabla1[[#This Row],[PC]]</f>
        <v>108.87216000000001</v>
      </c>
      <c r="K552" s="15"/>
      <c r="L552" s="15" t="str">
        <f t="shared" si="8"/>
        <v>NORMAL</v>
      </c>
    </row>
    <row r="553" spans="1:12" x14ac:dyDescent="0.25">
      <c r="A553" s="3" t="s">
        <v>6448</v>
      </c>
      <c r="B553" s="3" t="s">
        <v>6449</v>
      </c>
      <c r="C553" s="1">
        <v>8</v>
      </c>
      <c r="D553" s="1">
        <v>243.5</v>
      </c>
      <c r="E553" s="1" t="s">
        <v>223</v>
      </c>
      <c r="F553" s="1" t="s">
        <v>6450</v>
      </c>
      <c r="G553" s="3" t="s">
        <v>6451</v>
      </c>
      <c r="H553" s="11">
        <f>ROUND(
IF(L553="GANCHO",
   IF(I553&lt;=50,I553*1.1+4,IF(I553&lt;=120,I553*1.1+7,IF(I553&lt;=250,I553*1.1+11,I553*1.1+19))),
IF(L553="NORMAL",
   IF(I553&lt;=30,I553*1.15+2,IF(I553&lt;=80,I553*1.15+4,IF(I553&lt;=150,I553*1.15+6,I553*1.15+8))),
IF(L553="COMPLEMENTO",
   IF(I553&lt;=25,I553*1.25+1.5,IF(I553&lt;=60,I553*1.25+3,IF(I553&lt;=120,I553*1.25+4,I553*1.25+5))),
""))),2)</f>
        <v>1171.1099999999999</v>
      </c>
      <c r="I553" s="9">
        <f>($K$2+0.02)*Tabla1[[#This Row],[PRECIO $]]*1.18</f>
        <v>1011.4015999999999</v>
      </c>
      <c r="J553" s="7">
        <f>+Tabla1[[#This Row],[PRECIO EN SOLES]]-Tabla1[[#This Row],[PC]]</f>
        <v>159.70839999999998</v>
      </c>
      <c r="K553" s="15"/>
      <c r="L553" s="15" t="str">
        <f t="shared" si="8"/>
        <v>NORMAL</v>
      </c>
    </row>
    <row r="554" spans="1:12" x14ac:dyDescent="0.25">
      <c r="A554" s="3" t="s">
        <v>6452</v>
      </c>
      <c r="B554" s="3" t="s">
        <v>6453</v>
      </c>
      <c r="C554" s="1">
        <v>5</v>
      </c>
      <c r="D554" s="1">
        <v>211</v>
      </c>
      <c r="E554" s="1" t="s">
        <v>223</v>
      </c>
      <c r="F554" s="1" t="s">
        <v>6454</v>
      </c>
      <c r="G554" s="3" t="s">
        <v>6455</v>
      </c>
      <c r="H554" s="11">
        <f>ROUND(
IF(L554="GANCHO",
   IF(I554&lt;=50,I554*1.1+4,IF(I554&lt;=120,I554*1.1+7,IF(I554&lt;=250,I554*1.1+11,I554*1.1+19))),
IF(L554="NORMAL",
   IF(I554&lt;=30,I554*1.15+2,IF(I554&lt;=80,I554*1.15+4,IF(I554&lt;=150,I554*1.15+6,I554*1.15+8))),
IF(L554="COMPLEMENTO",
   IF(I554&lt;=25,I554*1.25+1.5,IF(I554&lt;=60,I554*1.25+3,IF(I554&lt;=120,I554*1.25+4,I554*1.25+5))),
""))),2)</f>
        <v>1015.87</v>
      </c>
      <c r="I554" s="9">
        <f>($K$2+0.02)*Tabla1[[#This Row],[PRECIO $]]*1.18</f>
        <v>876.40959999999995</v>
      </c>
      <c r="J554" s="7">
        <f>+Tabla1[[#This Row],[PRECIO EN SOLES]]-Tabla1[[#This Row],[PC]]</f>
        <v>139.46040000000005</v>
      </c>
      <c r="K554" s="15"/>
      <c r="L554" s="15" t="str">
        <f t="shared" si="8"/>
        <v>NORMAL</v>
      </c>
    </row>
    <row r="555" spans="1:12" x14ac:dyDescent="0.25">
      <c r="A555" s="3" t="s">
        <v>5420</v>
      </c>
      <c r="B555" s="3" t="s">
        <v>5421</v>
      </c>
      <c r="C555" s="1">
        <v>16</v>
      </c>
      <c r="D555" s="1">
        <v>135.19999999999999</v>
      </c>
      <c r="E555" s="1" t="s">
        <v>121</v>
      </c>
      <c r="F555" s="1" t="s">
        <v>5422</v>
      </c>
      <c r="G555" s="3" t="s">
        <v>5423</v>
      </c>
      <c r="H555" s="11">
        <f>ROUND(
IF(L555="GANCHO",
   IF(I555&lt;=50,I555*1.1+4,IF(I555&lt;=120,I555*1.1+7,IF(I555&lt;=250,I555*1.1+11,I555*1.1+19))),
IF(L555="NORMAL",
   IF(I555&lt;=30,I555*1.15+2,IF(I555&lt;=80,I555*1.15+4,IF(I555&lt;=150,I555*1.15+6,I555*1.15+8))),
IF(L555="COMPLEMENTO",
   IF(I555&lt;=25,I555*1.25+1.5,IF(I555&lt;=60,I555*1.25+3,IF(I555&lt;=120,I555*1.25+4,I555*1.25+5))),
""))),2)</f>
        <v>653.79999999999995</v>
      </c>
      <c r="I555" s="9">
        <f>($K$2+0.02)*Tabla1[[#This Row],[PRECIO $]]*1.18</f>
        <v>561.56671999999992</v>
      </c>
      <c r="J555" s="7">
        <f>+Tabla1[[#This Row],[PRECIO EN SOLES]]-Tabla1[[#This Row],[PC]]</f>
        <v>92.233280000000036</v>
      </c>
      <c r="K555" s="15"/>
      <c r="L555" s="15" t="str">
        <f t="shared" si="8"/>
        <v>NORMAL</v>
      </c>
    </row>
    <row r="556" spans="1:12" x14ac:dyDescent="0.25">
      <c r="A556" s="3" t="s">
        <v>5424</v>
      </c>
      <c r="B556" s="3" t="s">
        <v>5425</v>
      </c>
      <c r="C556" s="1">
        <v>20</v>
      </c>
      <c r="D556" s="1">
        <v>85.25</v>
      </c>
      <c r="E556" s="1" t="s">
        <v>847</v>
      </c>
      <c r="F556" s="1" t="s">
        <v>5426</v>
      </c>
      <c r="G556" s="3" t="s">
        <v>5427</v>
      </c>
      <c r="H556" s="11">
        <f>ROUND(
IF(L556="GANCHO",
   IF(I556&lt;=50,I556*1.1+4,IF(I556&lt;=120,I556*1.1+7,IF(I556&lt;=250,I556*1.1+11,I556*1.1+19))),
IF(L556="NORMAL",
   IF(I556&lt;=30,I556*1.15+2,IF(I556&lt;=80,I556*1.15+4,IF(I556&lt;=150,I556*1.15+6,I556*1.15+8))),
IF(L556="COMPLEMENTO",
   IF(I556&lt;=25,I556*1.25+1.5,IF(I556&lt;=60,I556*1.25+3,IF(I556&lt;=120,I556*1.25+4,I556*1.25+5))),
""))),2)</f>
        <v>415.21</v>
      </c>
      <c r="I556" s="9">
        <f>($K$2+0.02)*Tabla1[[#This Row],[PRECIO $]]*1.18</f>
        <v>354.09439999999995</v>
      </c>
      <c r="J556" s="7">
        <f>+Tabla1[[#This Row],[PRECIO EN SOLES]]-Tabla1[[#This Row],[PC]]</f>
        <v>61.115600000000029</v>
      </c>
      <c r="K556" s="15"/>
      <c r="L556" s="15" t="str">
        <f t="shared" si="8"/>
        <v>NORMAL</v>
      </c>
    </row>
    <row r="557" spans="1:12" x14ac:dyDescent="0.25">
      <c r="A557" s="3" t="s">
        <v>5428</v>
      </c>
      <c r="B557" s="3" t="s">
        <v>5429</v>
      </c>
      <c r="C557" s="1">
        <v>0</v>
      </c>
      <c r="D557" s="1">
        <v>93.5</v>
      </c>
      <c r="E557" s="1" t="s">
        <v>847</v>
      </c>
      <c r="F557" s="1" t="s">
        <v>5430</v>
      </c>
      <c r="G557" s="3" t="s">
        <v>5431</v>
      </c>
      <c r="H557" s="11">
        <f>ROUND(
IF(L557="GANCHO",
   IF(I557&lt;=50,I557*1.1+4,IF(I557&lt;=120,I557*1.1+7,IF(I557&lt;=250,I557*1.1+11,I557*1.1+19))),
IF(L557="NORMAL",
   IF(I557&lt;=30,I557*1.15+2,IF(I557&lt;=80,I557*1.15+4,IF(I557&lt;=150,I557*1.15+6,I557*1.15+8))),
IF(L557="COMPLEMENTO",
   IF(I557&lt;=25,I557*1.25+1.5,IF(I557&lt;=60,I557*1.25+3,IF(I557&lt;=120,I557*1.25+4,I557*1.25+5))),
""))),2)</f>
        <v>454.62</v>
      </c>
      <c r="I557" s="9">
        <f>($K$2+0.02)*Tabla1[[#This Row],[PRECIO $]]*1.18</f>
        <v>388.36160000000001</v>
      </c>
      <c r="J557" s="7">
        <f>+Tabla1[[#This Row],[PRECIO EN SOLES]]-Tabla1[[#This Row],[PC]]</f>
        <v>66.258399999999995</v>
      </c>
      <c r="K557" s="15"/>
      <c r="L557" s="15" t="str">
        <f t="shared" si="8"/>
        <v>NORMAL</v>
      </c>
    </row>
    <row r="558" spans="1:12" x14ac:dyDescent="0.25">
      <c r="A558" s="3" t="s">
        <v>6456</v>
      </c>
      <c r="B558" s="3" t="s">
        <v>6457</v>
      </c>
      <c r="C558" s="1">
        <v>20</v>
      </c>
      <c r="D558" s="1">
        <v>108.1</v>
      </c>
      <c r="E558" s="1" t="s">
        <v>115</v>
      </c>
      <c r="F558" s="1" t="s">
        <v>6458</v>
      </c>
      <c r="G558" s="3" t="s">
        <v>6459</v>
      </c>
      <c r="H558" s="11">
        <f>ROUND(
IF(L558="GANCHO",
   IF(I558&lt;=50,I558*1.1+4,IF(I558&lt;=120,I558*1.1+7,IF(I558&lt;=250,I558*1.1+11,I558*1.1+19))),
IF(L558="NORMAL",
   IF(I558&lt;=30,I558*1.15+2,IF(I558&lt;=80,I558*1.15+4,IF(I558&lt;=150,I558*1.15+6,I558*1.15+8))),
IF(L558="COMPLEMENTO",
   IF(I558&lt;=25,I558*1.25+1.5,IF(I558&lt;=60,I558*1.25+3,IF(I558&lt;=120,I558*1.25+4,I558*1.25+5))),
""))),2)</f>
        <v>524.35</v>
      </c>
      <c r="I558" s="9">
        <f>($K$2+0.02)*Tabla1[[#This Row],[PRECIO $]]*1.18</f>
        <v>449.00415999999996</v>
      </c>
      <c r="J558" s="7">
        <f>+Tabla1[[#This Row],[PRECIO EN SOLES]]-Tabla1[[#This Row],[PC]]</f>
        <v>75.345840000000067</v>
      </c>
      <c r="K558" s="15"/>
      <c r="L558" s="15" t="str">
        <f t="shared" si="8"/>
        <v>NORMAL</v>
      </c>
    </row>
    <row r="559" spans="1:12" x14ac:dyDescent="0.25">
      <c r="A559" s="3" t="s">
        <v>6460</v>
      </c>
      <c r="B559" s="3" t="s">
        <v>6461</v>
      </c>
      <c r="C559" s="1">
        <v>20</v>
      </c>
      <c r="D559" s="1">
        <v>87.08</v>
      </c>
      <c r="E559" s="1" t="s">
        <v>115</v>
      </c>
      <c r="F559" s="1" t="s">
        <v>6462</v>
      </c>
      <c r="G559" s="3" t="s">
        <v>6958</v>
      </c>
      <c r="H559" s="11">
        <f>ROUND(
IF(L559="GANCHO",
   IF(I559&lt;=50,I559*1.1+4,IF(I559&lt;=120,I559*1.1+7,IF(I559&lt;=250,I559*1.1+11,I559*1.1+19))),
IF(L559="NORMAL",
   IF(I559&lt;=30,I559*1.15+2,IF(I559&lt;=80,I559*1.15+4,IF(I559&lt;=150,I559*1.15+6,I559*1.15+8))),
IF(L559="COMPLEMENTO",
   IF(I559&lt;=25,I559*1.25+1.5,IF(I559&lt;=60,I559*1.25+3,IF(I559&lt;=120,I559*1.25+4,I559*1.25+5))),
""))),2)</f>
        <v>423.95</v>
      </c>
      <c r="I559" s="9">
        <f>($K$2+0.02)*Tabla1[[#This Row],[PRECIO $]]*1.18</f>
        <v>361.69548799999995</v>
      </c>
      <c r="J559" s="7">
        <f>+Tabla1[[#This Row],[PRECIO EN SOLES]]-Tabla1[[#This Row],[PC]]</f>
        <v>62.254512000000034</v>
      </c>
      <c r="K559" s="15"/>
      <c r="L559" s="15" t="str">
        <f t="shared" si="8"/>
        <v>NORMAL</v>
      </c>
    </row>
    <row r="560" spans="1:12" x14ac:dyDescent="0.25">
      <c r="A560" s="3" t="s">
        <v>4890</v>
      </c>
      <c r="B560" s="3" t="s">
        <v>4891</v>
      </c>
      <c r="C560" s="1">
        <v>20</v>
      </c>
      <c r="D560" s="1">
        <v>237.5</v>
      </c>
      <c r="E560" s="1" t="s">
        <v>115</v>
      </c>
      <c r="F560" s="1" t="s">
        <v>4892</v>
      </c>
      <c r="G560" s="3" t="s">
        <v>4893</v>
      </c>
      <c r="H560" s="11">
        <f>ROUND(
IF(L560="GANCHO",
   IF(I560&lt;=50,I560*1.1+4,IF(I560&lt;=120,I560*1.1+7,IF(I560&lt;=250,I560*1.1+11,I560*1.1+19))),
IF(L560="NORMAL",
   IF(I560&lt;=30,I560*1.15+2,IF(I560&lt;=80,I560*1.15+4,IF(I560&lt;=150,I560*1.15+6,I560*1.15+8))),
IF(L560="COMPLEMENTO",
   IF(I560&lt;=25,I560*1.25+1.5,IF(I560&lt;=60,I560*1.25+3,IF(I560&lt;=120,I560*1.25+4,I560*1.25+5))),
""))),2)</f>
        <v>1142.45</v>
      </c>
      <c r="I560" s="9">
        <f>($K$2+0.02)*Tabla1[[#This Row],[PRECIO $]]*1.18</f>
        <v>986.4799999999999</v>
      </c>
      <c r="J560" s="7">
        <f>+Tabla1[[#This Row],[PRECIO EN SOLES]]-Tabla1[[#This Row],[PC]]</f>
        <v>155.97000000000014</v>
      </c>
      <c r="K560" s="15"/>
      <c r="L560" s="15" t="str">
        <f t="shared" si="8"/>
        <v>NORMAL</v>
      </c>
    </row>
    <row r="561" spans="1:12" x14ac:dyDescent="0.25">
      <c r="A561" s="3" t="s">
        <v>6463</v>
      </c>
      <c r="B561" s="3" t="s">
        <v>6464</v>
      </c>
      <c r="C561" s="1">
        <v>10</v>
      </c>
      <c r="D561" s="1">
        <v>118.6</v>
      </c>
      <c r="E561" s="1" t="s">
        <v>223</v>
      </c>
      <c r="F561" s="1" t="s">
        <v>6465</v>
      </c>
      <c r="G561" s="3" t="s">
        <v>6959</v>
      </c>
      <c r="H561" s="11">
        <f>ROUND(
IF(L561="GANCHO",
   IF(I561&lt;=50,I561*1.1+4,IF(I561&lt;=120,I561*1.1+7,IF(I561&lt;=250,I561*1.1+11,I561*1.1+19))),
IF(L561="NORMAL",
   IF(I561&lt;=30,I561*1.15+2,IF(I561&lt;=80,I561*1.15+4,IF(I561&lt;=150,I561*1.15+6,I561*1.15+8))),
IF(L561="COMPLEMENTO",
   IF(I561&lt;=25,I561*1.25+1.5,IF(I561&lt;=60,I561*1.25+3,IF(I561&lt;=120,I561*1.25+4,I561*1.25+5))),
""))),2)</f>
        <v>574.51</v>
      </c>
      <c r="I561" s="9">
        <f>($K$2+0.02)*Tabla1[[#This Row],[PRECIO $]]*1.18</f>
        <v>492.61695999999995</v>
      </c>
      <c r="J561" s="7">
        <f>+Tabla1[[#This Row],[PRECIO EN SOLES]]-Tabla1[[#This Row],[PC]]</f>
        <v>81.893040000000042</v>
      </c>
      <c r="K561" s="15"/>
      <c r="L561" s="15" t="str">
        <f t="shared" si="8"/>
        <v>NORMAL</v>
      </c>
    </row>
    <row r="562" spans="1:12" x14ac:dyDescent="0.25">
      <c r="A562" s="3" t="s">
        <v>4236</v>
      </c>
      <c r="B562" s="3" t="s">
        <v>4237</v>
      </c>
      <c r="C562" s="1">
        <v>0</v>
      </c>
      <c r="D562" s="1">
        <v>103.2</v>
      </c>
      <c r="E562" s="1" t="s">
        <v>223</v>
      </c>
      <c r="F562" s="1" t="s">
        <v>4238</v>
      </c>
      <c r="G562" s="3" t="s">
        <v>4239</v>
      </c>
      <c r="H562" s="11">
        <f>ROUND(
IF(L562="GANCHO",
   IF(I562&lt;=50,I562*1.1+4,IF(I562&lt;=120,I562*1.1+7,IF(I562&lt;=250,I562*1.1+11,I562*1.1+19))),
IF(L562="NORMAL",
   IF(I562&lt;=30,I562*1.15+2,IF(I562&lt;=80,I562*1.15+4,IF(I562&lt;=150,I562*1.15+6,I562*1.15+8))),
IF(L562="COMPLEMENTO",
   IF(I562&lt;=25,I562*1.25+1.5,IF(I562&lt;=60,I562*1.25+3,IF(I562&lt;=120,I562*1.25+4,I562*1.25+5))),
""))),2)</f>
        <v>500.95</v>
      </c>
      <c r="I562" s="9">
        <f>($K$2+0.02)*Tabla1[[#This Row],[PRECIO $]]*1.18</f>
        <v>428.65152</v>
      </c>
      <c r="J562" s="7">
        <f>+Tabla1[[#This Row],[PRECIO EN SOLES]]-Tabla1[[#This Row],[PC]]</f>
        <v>72.298479999999984</v>
      </c>
      <c r="K562" s="15"/>
      <c r="L562" s="15" t="str">
        <f t="shared" si="8"/>
        <v>NORMAL</v>
      </c>
    </row>
    <row r="563" spans="1:12" x14ac:dyDescent="0.25">
      <c r="A563" s="3" t="s">
        <v>4894</v>
      </c>
      <c r="B563" s="3" t="s">
        <v>4895</v>
      </c>
      <c r="C563" s="1">
        <v>20</v>
      </c>
      <c r="D563" s="1">
        <v>94</v>
      </c>
      <c r="E563" s="1" t="s">
        <v>223</v>
      </c>
      <c r="F563" s="1" t="s">
        <v>4896</v>
      </c>
      <c r="G563" s="3" t="s">
        <v>4897</v>
      </c>
      <c r="H563" s="11">
        <f>ROUND(
IF(L563="GANCHO",
   IF(I563&lt;=50,I563*1.1+4,IF(I563&lt;=120,I563*1.1+7,IF(I563&lt;=250,I563*1.1+11,I563*1.1+19))),
IF(L563="NORMAL",
   IF(I563&lt;=30,I563*1.15+2,IF(I563&lt;=80,I563*1.15+4,IF(I563&lt;=150,I563*1.15+6,I563*1.15+8))),
IF(L563="COMPLEMENTO",
   IF(I563&lt;=25,I563*1.25+1.5,IF(I563&lt;=60,I563*1.25+3,IF(I563&lt;=120,I563*1.25+4,I563*1.25+5))),
""))),2)</f>
        <v>457</v>
      </c>
      <c r="I563" s="9">
        <f>($K$2+0.02)*Tabla1[[#This Row],[PRECIO $]]*1.18</f>
        <v>390.4384</v>
      </c>
      <c r="J563" s="7">
        <f>+Tabla1[[#This Row],[PRECIO EN SOLES]]-Tabla1[[#This Row],[PC]]</f>
        <v>66.561599999999999</v>
      </c>
      <c r="K563" s="15"/>
      <c r="L563" s="15" t="str">
        <f t="shared" si="8"/>
        <v>NORMAL</v>
      </c>
    </row>
    <row r="564" spans="1:12" x14ac:dyDescent="0.25">
      <c r="A564" s="3" t="s">
        <v>6466</v>
      </c>
      <c r="B564" s="3" t="s">
        <v>6467</v>
      </c>
      <c r="C564" s="1">
        <v>20</v>
      </c>
      <c r="D564" s="1">
        <v>78</v>
      </c>
      <c r="E564" s="1" t="s">
        <v>223</v>
      </c>
      <c r="F564" s="1" t="s">
        <v>6468</v>
      </c>
      <c r="G564" s="3" t="s">
        <v>6469</v>
      </c>
      <c r="H564" s="11">
        <f>ROUND(
IF(L564="GANCHO",
   IF(I564&lt;=50,I564*1.1+4,IF(I564&lt;=120,I564*1.1+7,IF(I564&lt;=250,I564*1.1+11,I564*1.1+19))),
IF(L564="NORMAL",
   IF(I564&lt;=30,I564*1.15+2,IF(I564&lt;=80,I564*1.15+4,IF(I564&lt;=150,I564*1.15+6,I564*1.15+8))),
IF(L564="COMPLEMENTO",
   IF(I564&lt;=25,I564*1.25+1.5,IF(I564&lt;=60,I564*1.25+3,IF(I564&lt;=120,I564*1.25+4,I564*1.25+5))),
""))),2)</f>
        <v>380.58</v>
      </c>
      <c r="I564" s="9">
        <f>($K$2+0.02)*Tabla1[[#This Row],[PRECIO $]]*1.18</f>
        <v>323.98079999999999</v>
      </c>
      <c r="J564" s="7">
        <f>+Tabla1[[#This Row],[PRECIO EN SOLES]]-Tabla1[[#This Row],[PC]]</f>
        <v>56.599199999999996</v>
      </c>
      <c r="K564" s="15"/>
      <c r="L564" s="15" t="str">
        <f t="shared" si="8"/>
        <v>NORMAL</v>
      </c>
    </row>
    <row r="565" spans="1:12" x14ac:dyDescent="0.25">
      <c r="A565" s="3" t="s">
        <v>6470</v>
      </c>
      <c r="B565" s="3" t="s">
        <v>6471</v>
      </c>
      <c r="C565" s="1">
        <v>1</v>
      </c>
      <c r="D565" s="1">
        <v>950</v>
      </c>
      <c r="E565" s="1" t="s">
        <v>223</v>
      </c>
      <c r="F565" s="1" t="s">
        <v>6472</v>
      </c>
      <c r="G565" s="3"/>
      <c r="H565" s="11">
        <f>ROUND(
IF(L565="GANCHO",
   IF(I565&lt;=50,I565*1.1+4,IF(I565&lt;=120,I565*1.1+7,IF(I565&lt;=250,I565*1.1+11,I565*1.1+19))),
IF(L565="NORMAL",
   IF(I565&lt;=30,I565*1.15+2,IF(I565&lt;=80,I565*1.15+4,IF(I565&lt;=150,I565*1.15+6,I565*1.15+8))),
IF(L565="COMPLEMENTO",
   IF(I565&lt;=25,I565*1.25+1.5,IF(I565&lt;=60,I565*1.25+3,IF(I565&lt;=120,I565*1.25+4,I565*1.25+5))),
""))),2)</f>
        <v>4545.8100000000004</v>
      </c>
      <c r="I565" s="9">
        <f>($K$2+0.02)*Tabla1[[#This Row],[PRECIO $]]*1.18</f>
        <v>3945.9199999999996</v>
      </c>
      <c r="J565" s="7">
        <f>+Tabla1[[#This Row],[PRECIO EN SOLES]]-Tabla1[[#This Row],[PC]]</f>
        <v>599.89000000000078</v>
      </c>
      <c r="K565" s="15"/>
      <c r="L565" s="15" t="str">
        <f t="shared" si="8"/>
        <v>NORMAL</v>
      </c>
    </row>
    <row r="566" spans="1:12" x14ac:dyDescent="0.25">
      <c r="A566" s="3" t="s">
        <v>6473</v>
      </c>
      <c r="B566" s="3" t="s">
        <v>6474</v>
      </c>
      <c r="C566" s="1">
        <v>16</v>
      </c>
      <c r="D566" s="1">
        <v>227</v>
      </c>
      <c r="E566" s="1" t="s">
        <v>223</v>
      </c>
      <c r="F566" s="1" t="s">
        <v>6475</v>
      </c>
      <c r="G566" s="3" t="s">
        <v>6476</v>
      </c>
      <c r="H566" s="11">
        <f>ROUND(
IF(L566="GANCHO",
   IF(I566&lt;=50,I566*1.1+4,IF(I566&lt;=120,I566*1.1+7,IF(I566&lt;=250,I566*1.1+11,I566*1.1+19))),
IF(L566="NORMAL",
   IF(I566&lt;=30,I566*1.15+2,IF(I566&lt;=80,I566*1.15+4,IF(I566&lt;=150,I566*1.15+6,I566*1.15+8))),
IF(L566="COMPLEMENTO",
   IF(I566&lt;=25,I566*1.25+1.5,IF(I566&lt;=60,I566*1.25+3,IF(I566&lt;=120,I566*1.25+4,I566*1.25+5))),
""))),2)</f>
        <v>1092.3</v>
      </c>
      <c r="I566" s="9">
        <f>($K$2+0.02)*Tabla1[[#This Row],[PRECIO $]]*1.18</f>
        <v>942.86719999999991</v>
      </c>
      <c r="J566" s="7">
        <f>+Tabla1[[#This Row],[PRECIO EN SOLES]]-Tabla1[[#This Row],[PC]]</f>
        <v>149.43280000000004</v>
      </c>
      <c r="K566" s="15"/>
      <c r="L566" s="15" t="str">
        <f t="shared" si="8"/>
        <v>NORMAL</v>
      </c>
    </row>
    <row r="567" spans="1:12" x14ac:dyDescent="0.25">
      <c r="A567" s="3" t="s">
        <v>5432</v>
      </c>
      <c r="B567" s="3" t="s">
        <v>5433</v>
      </c>
      <c r="C567" s="1">
        <v>20</v>
      </c>
      <c r="D567" s="1">
        <v>80.150000000000006</v>
      </c>
      <c r="E567" s="1" t="s">
        <v>121</v>
      </c>
      <c r="F567" s="1" t="s">
        <v>5434</v>
      </c>
      <c r="G567" s="3" t="s">
        <v>5435</v>
      </c>
      <c r="H567" s="11">
        <f>ROUND(
IF(L567="GANCHO",
   IF(I567&lt;=50,I567*1.1+4,IF(I567&lt;=120,I567*1.1+7,IF(I567&lt;=250,I567*1.1+11,I567*1.1+19))),
IF(L567="NORMAL",
   IF(I567&lt;=30,I567*1.15+2,IF(I567&lt;=80,I567*1.15+4,IF(I567&lt;=150,I567*1.15+6,I567*1.15+8))),
IF(L567="COMPLEMENTO",
   IF(I567&lt;=25,I567*1.25+1.5,IF(I567&lt;=60,I567*1.25+3,IF(I567&lt;=120,I567*1.25+4,I567*1.25+5))),
""))),2)</f>
        <v>390.85</v>
      </c>
      <c r="I567" s="9">
        <f>($K$2+0.02)*Tabla1[[#This Row],[PRECIO $]]*1.18</f>
        <v>332.91104000000001</v>
      </c>
      <c r="J567" s="7">
        <f>+Tabla1[[#This Row],[PRECIO EN SOLES]]-Tabla1[[#This Row],[PC]]</f>
        <v>57.938960000000009</v>
      </c>
      <c r="K567" s="15"/>
      <c r="L567" s="15" t="str">
        <f t="shared" si="8"/>
        <v>NORMAL</v>
      </c>
    </row>
    <row r="568" spans="1:12" x14ac:dyDescent="0.25">
      <c r="A568" s="3" t="s">
        <v>5436</v>
      </c>
      <c r="B568" s="3" t="s">
        <v>5437</v>
      </c>
      <c r="C568" s="1">
        <v>20</v>
      </c>
      <c r="D568" s="1">
        <v>201</v>
      </c>
      <c r="E568" s="1" t="s">
        <v>121</v>
      </c>
      <c r="F568" s="1" t="s">
        <v>5438</v>
      </c>
      <c r="G568" s="3" t="s">
        <v>5439</v>
      </c>
      <c r="H568" s="11">
        <f>ROUND(
IF(L568="GANCHO",
   IF(I568&lt;=50,I568*1.1+4,IF(I568&lt;=120,I568*1.1+7,IF(I568&lt;=250,I568*1.1+11,I568*1.1+19))),
IF(L568="NORMAL",
   IF(I568&lt;=30,I568*1.15+2,IF(I568&lt;=80,I568*1.15+4,IF(I568&lt;=150,I568*1.15+6,I568*1.15+8))),
IF(L568="COMPLEMENTO",
   IF(I568&lt;=25,I568*1.25+1.5,IF(I568&lt;=60,I568*1.25+3,IF(I568&lt;=120,I568*1.25+4,I568*1.25+5))),
""))),2)</f>
        <v>968.1</v>
      </c>
      <c r="I568" s="9">
        <f>($K$2+0.02)*Tabla1[[#This Row],[PRECIO $]]*1.18</f>
        <v>834.8735999999999</v>
      </c>
      <c r="J568" s="7">
        <f>+Tabla1[[#This Row],[PRECIO EN SOLES]]-Tabla1[[#This Row],[PC]]</f>
        <v>133.22640000000013</v>
      </c>
      <c r="K568" s="15"/>
      <c r="L568" s="15" t="str">
        <f t="shared" si="8"/>
        <v>NORMAL</v>
      </c>
    </row>
    <row r="569" spans="1:12" x14ac:dyDescent="0.25">
      <c r="A569" s="3" t="s">
        <v>5440</v>
      </c>
      <c r="B569" s="3" t="s">
        <v>5441</v>
      </c>
      <c r="C569" s="1">
        <v>16</v>
      </c>
      <c r="D569" s="1">
        <v>214.2</v>
      </c>
      <c r="E569" s="1" t="s">
        <v>847</v>
      </c>
      <c r="F569" s="1" t="s">
        <v>5442</v>
      </c>
      <c r="G569" s="3" t="s">
        <v>5443</v>
      </c>
      <c r="H569" s="11">
        <f>ROUND(
IF(L569="GANCHO",
   IF(I569&lt;=50,I569*1.1+4,IF(I569&lt;=120,I569*1.1+7,IF(I569&lt;=250,I569*1.1+11,I569*1.1+19))),
IF(L569="NORMAL",
   IF(I569&lt;=30,I569*1.15+2,IF(I569&lt;=80,I569*1.15+4,IF(I569&lt;=150,I569*1.15+6,I569*1.15+8))),
IF(L569="COMPLEMENTO",
   IF(I569&lt;=25,I569*1.25+1.5,IF(I569&lt;=60,I569*1.25+3,IF(I569&lt;=120,I569*1.25+4,I569*1.25+5))),
""))),2)</f>
        <v>1031.1600000000001</v>
      </c>
      <c r="I569" s="9">
        <f>($K$2+0.02)*Tabla1[[#This Row],[PRECIO $]]*1.18</f>
        <v>889.70111999999983</v>
      </c>
      <c r="J569" s="7">
        <f>+Tabla1[[#This Row],[PRECIO EN SOLES]]-Tabla1[[#This Row],[PC]]</f>
        <v>141.45888000000025</v>
      </c>
      <c r="K569" s="15"/>
      <c r="L569" s="15" t="str">
        <f t="shared" si="8"/>
        <v>NORMAL</v>
      </c>
    </row>
    <row r="570" spans="1:12" x14ac:dyDescent="0.25">
      <c r="A570" s="3" t="s">
        <v>1225</v>
      </c>
      <c r="B570" s="3" t="s">
        <v>1226</v>
      </c>
      <c r="C570" s="1">
        <v>18</v>
      </c>
      <c r="D570" s="1">
        <v>231.49</v>
      </c>
      <c r="E570" s="1" t="s">
        <v>115</v>
      </c>
      <c r="F570" s="1" t="s">
        <v>3137</v>
      </c>
      <c r="G570" s="3" t="s">
        <v>1227</v>
      </c>
      <c r="H570" s="11">
        <f>ROUND(
IF(L570="GANCHO",
   IF(I570&lt;=50,I570*1.1+4,IF(I570&lt;=120,I570*1.1+7,IF(I570&lt;=250,I570*1.1+11,I570*1.1+19))),
IF(L570="NORMAL",
   IF(I570&lt;=30,I570*1.15+2,IF(I570&lt;=80,I570*1.15+4,IF(I570&lt;=150,I570*1.15+6,I570*1.15+8))),
IF(L570="COMPLEMENTO",
   IF(I570&lt;=25,I570*1.25+1.5,IF(I570&lt;=60,I570*1.25+3,IF(I570&lt;=120,I570*1.25+4,I570*1.25+5))),
""))),2)</f>
        <v>1113.74</v>
      </c>
      <c r="I570" s="9">
        <f>($K$2+0.02)*Tabla1[[#This Row],[PRECIO $]]*1.18</f>
        <v>961.51686400000006</v>
      </c>
      <c r="J570" s="7">
        <f>+Tabla1[[#This Row],[PRECIO EN SOLES]]-Tabla1[[#This Row],[PC]]</f>
        <v>152.22313599999995</v>
      </c>
      <c r="K570" s="15"/>
      <c r="L570" s="15" t="str">
        <f t="shared" si="8"/>
        <v>NORMAL</v>
      </c>
    </row>
    <row r="571" spans="1:12" x14ac:dyDescent="0.25">
      <c r="A571" s="3" t="s">
        <v>4898</v>
      </c>
      <c r="B571" s="3" t="s">
        <v>4899</v>
      </c>
      <c r="C571" s="1">
        <v>20</v>
      </c>
      <c r="D571" s="1">
        <v>253.54</v>
      </c>
      <c r="E571" s="1" t="s">
        <v>115</v>
      </c>
      <c r="F571" s="1" t="s">
        <v>4900</v>
      </c>
      <c r="G571" s="3" t="s">
        <v>4901</v>
      </c>
      <c r="H571" s="11">
        <f>ROUND(
IF(L571="GANCHO",
   IF(I571&lt;=50,I571*1.1+4,IF(I571&lt;=120,I571*1.1+7,IF(I571&lt;=250,I571*1.1+11,I571*1.1+19))),
IF(L571="NORMAL",
   IF(I571&lt;=30,I571*1.15+2,IF(I571&lt;=80,I571*1.15+4,IF(I571&lt;=150,I571*1.15+6,I571*1.15+8))),
IF(L571="COMPLEMENTO",
   IF(I571&lt;=25,I571*1.25+1.5,IF(I571&lt;=60,I571*1.25+3,IF(I571&lt;=120,I571*1.25+4,I571*1.25+5))),
""))),2)</f>
        <v>1219.07</v>
      </c>
      <c r="I571" s="9">
        <f>($K$2+0.02)*Tabla1[[#This Row],[PRECIO $]]*1.18</f>
        <v>1053.1037439999998</v>
      </c>
      <c r="J571" s="7">
        <f>+Tabla1[[#This Row],[PRECIO EN SOLES]]-Tabla1[[#This Row],[PC]]</f>
        <v>165.96625600000016</v>
      </c>
      <c r="K571" s="15"/>
      <c r="L571" s="15" t="str">
        <f t="shared" si="8"/>
        <v>NORMAL</v>
      </c>
    </row>
    <row r="572" spans="1:12" x14ac:dyDescent="0.25">
      <c r="A572" s="3" t="s">
        <v>6477</v>
      </c>
      <c r="B572" s="3" t="s">
        <v>6478</v>
      </c>
      <c r="C572" s="1">
        <v>18</v>
      </c>
      <c r="D572" s="1">
        <v>198.42</v>
      </c>
      <c r="E572" s="1" t="s">
        <v>115</v>
      </c>
      <c r="F572" s="1" t="s">
        <v>6479</v>
      </c>
      <c r="G572" s="3" t="s">
        <v>6480</v>
      </c>
      <c r="H572" s="11">
        <f>ROUND(
IF(L572="GANCHO",
   IF(I572&lt;=50,I572*1.1+4,IF(I572&lt;=120,I572*1.1+7,IF(I572&lt;=250,I572*1.1+11,I572*1.1+19))),
IF(L572="NORMAL",
   IF(I572&lt;=30,I572*1.15+2,IF(I572&lt;=80,I572*1.15+4,IF(I572&lt;=150,I572*1.15+6,I572*1.15+8))),
IF(L572="COMPLEMENTO",
   IF(I572&lt;=25,I572*1.25+1.5,IF(I572&lt;=60,I572*1.25+3,IF(I572&lt;=120,I572*1.25+4,I572*1.25+5))),
""))),2)</f>
        <v>955.78</v>
      </c>
      <c r="I572" s="9">
        <f>($K$2+0.02)*Tabla1[[#This Row],[PRECIO $]]*1.18</f>
        <v>824.15731199999993</v>
      </c>
      <c r="J572" s="7">
        <f>+Tabla1[[#This Row],[PRECIO EN SOLES]]-Tabla1[[#This Row],[PC]]</f>
        <v>131.62268800000004</v>
      </c>
      <c r="K572" s="15"/>
      <c r="L572" s="15" t="str">
        <f t="shared" si="8"/>
        <v>NORMAL</v>
      </c>
    </row>
    <row r="573" spans="1:12" x14ac:dyDescent="0.25">
      <c r="A573" s="3" t="s">
        <v>4902</v>
      </c>
      <c r="B573" s="3" t="s">
        <v>4903</v>
      </c>
      <c r="C573" s="1">
        <v>20</v>
      </c>
      <c r="D573" s="1">
        <v>192.91</v>
      </c>
      <c r="E573" s="1" t="s">
        <v>115</v>
      </c>
      <c r="F573" s="1" t="s">
        <v>4904</v>
      </c>
      <c r="G573" s="3" t="s">
        <v>4905</v>
      </c>
      <c r="H573" s="11">
        <f>ROUND(
IF(L573="GANCHO",
   IF(I573&lt;=50,I573*1.1+4,IF(I573&lt;=120,I573*1.1+7,IF(I573&lt;=250,I573*1.1+11,I573*1.1+19))),
IF(L573="NORMAL",
   IF(I573&lt;=30,I573*1.15+2,IF(I573&lt;=80,I573*1.15+4,IF(I573&lt;=150,I573*1.15+6,I573*1.15+8))),
IF(L573="COMPLEMENTO",
   IF(I573&lt;=25,I573*1.25+1.5,IF(I573&lt;=60,I573*1.25+3,IF(I573&lt;=120,I573*1.25+4,I573*1.25+5))),
""))),2)</f>
        <v>929.46</v>
      </c>
      <c r="I573" s="9">
        <f>($K$2+0.02)*Tabla1[[#This Row],[PRECIO $]]*1.18</f>
        <v>801.27097599999991</v>
      </c>
      <c r="J573" s="7">
        <f>+Tabla1[[#This Row],[PRECIO EN SOLES]]-Tabla1[[#This Row],[PC]]</f>
        <v>128.18902400000013</v>
      </c>
      <c r="K573" s="15"/>
      <c r="L573" s="15" t="str">
        <f t="shared" si="8"/>
        <v>NORMAL</v>
      </c>
    </row>
    <row r="574" spans="1:12" x14ac:dyDescent="0.25">
      <c r="A574" s="3" t="s">
        <v>6481</v>
      </c>
      <c r="B574" s="3" t="s">
        <v>6482</v>
      </c>
      <c r="C574" s="1">
        <v>20</v>
      </c>
      <c r="D574" s="1">
        <v>128.97</v>
      </c>
      <c r="E574" s="1" t="s">
        <v>115</v>
      </c>
      <c r="F574" s="1" t="s">
        <v>6483</v>
      </c>
      <c r="G574" s="3" t="s">
        <v>6960</v>
      </c>
      <c r="H574" s="11">
        <f>ROUND(
IF(L574="GANCHO",
   IF(I574&lt;=50,I574*1.1+4,IF(I574&lt;=120,I574*1.1+7,IF(I574&lt;=250,I574*1.1+11,I574*1.1+19))),
IF(L574="NORMAL",
   IF(I574&lt;=30,I574*1.15+2,IF(I574&lt;=80,I574*1.15+4,IF(I574&lt;=150,I574*1.15+6,I574*1.15+8))),
IF(L574="COMPLEMENTO",
   IF(I574&lt;=25,I574*1.25+1.5,IF(I574&lt;=60,I574*1.25+3,IF(I574&lt;=120,I574*1.25+4,I574*1.25+5))),
""))),2)</f>
        <v>624.04</v>
      </c>
      <c r="I574" s="9">
        <f>($K$2+0.02)*Tabla1[[#This Row],[PRECIO $]]*1.18</f>
        <v>535.68979200000001</v>
      </c>
      <c r="J574" s="7">
        <f>+Tabla1[[#This Row],[PRECIO EN SOLES]]-Tabla1[[#This Row],[PC]]</f>
        <v>88.350207999999952</v>
      </c>
      <c r="K574" s="15"/>
      <c r="L574" s="15" t="str">
        <f t="shared" si="8"/>
        <v>NORMAL</v>
      </c>
    </row>
    <row r="575" spans="1:12" x14ac:dyDescent="0.25">
      <c r="A575" s="3" t="s">
        <v>4906</v>
      </c>
      <c r="B575" s="3" t="s">
        <v>4907</v>
      </c>
      <c r="C575" s="1">
        <v>10</v>
      </c>
      <c r="D575" s="1">
        <v>623</v>
      </c>
      <c r="E575" s="1" t="s">
        <v>115</v>
      </c>
      <c r="F575" s="1" t="s">
        <v>4908</v>
      </c>
      <c r="G575" s="3" t="s">
        <v>4909</v>
      </c>
      <c r="H575" s="11">
        <f>ROUND(
IF(L575="GANCHO",
   IF(I575&lt;=50,I575*1.1+4,IF(I575&lt;=120,I575*1.1+7,IF(I575&lt;=250,I575*1.1+11,I575*1.1+19))),
IF(L575="NORMAL",
   IF(I575&lt;=30,I575*1.15+2,IF(I575&lt;=80,I575*1.15+4,IF(I575&lt;=150,I575*1.15+6,I575*1.15+8))),
IF(L575="COMPLEMENTO",
   IF(I575&lt;=25,I575*1.25+1.5,IF(I575&lt;=60,I575*1.25+3,IF(I575&lt;=120,I575*1.25+4,I575*1.25+5))),
""))),2)</f>
        <v>2983.85</v>
      </c>
      <c r="I575" s="9">
        <f>($K$2+0.02)*Tabla1[[#This Row],[PRECIO $]]*1.18</f>
        <v>2587.6927999999998</v>
      </c>
      <c r="J575" s="7">
        <f>+Tabla1[[#This Row],[PRECIO EN SOLES]]-Tabla1[[#This Row],[PC]]</f>
        <v>396.1572000000001</v>
      </c>
      <c r="K575" s="15"/>
      <c r="L575" s="15" t="str">
        <f t="shared" si="8"/>
        <v>NORMAL</v>
      </c>
    </row>
    <row r="576" spans="1:12" x14ac:dyDescent="0.25">
      <c r="A576" s="3" t="s">
        <v>4910</v>
      </c>
      <c r="B576" s="3" t="s">
        <v>4911</v>
      </c>
      <c r="C576" s="1">
        <v>20</v>
      </c>
      <c r="D576" s="1">
        <v>463.5</v>
      </c>
      <c r="E576" s="1" t="s">
        <v>115</v>
      </c>
      <c r="F576" s="1" t="s">
        <v>4912</v>
      </c>
      <c r="G576" s="3" t="s">
        <v>4913</v>
      </c>
      <c r="H576" s="11">
        <f>ROUND(
IF(L576="GANCHO",
   IF(I576&lt;=50,I576*1.1+4,IF(I576&lt;=120,I576*1.1+7,IF(I576&lt;=250,I576*1.1+11,I576*1.1+19))),
IF(L576="NORMAL",
   IF(I576&lt;=30,I576*1.15+2,IF(I576&lt;=80,I576*1.15+4,IF(I576&lt;=150,I576*1.15+6,I576*1.15+8))),
IF(L576="COMPLEMENTO",
   IF(I576&lt;=25,I576*1.25+1.5,IF(I576&lt;=60,I576*1.25+3,IF(I576&lt;=120,I576*1.25+4,I576*1.25+5))),
""))),2)</f>
        <v>2221.9699999999998</v>
      </c>
      <c r="I576" s="9">
        <f>($K$2+0.02)*Tabla1[[#This Row],[PRECIO $]]*1.18</f>
        <v>1925.1935999999998</v>
      </c>
      <c r="J576" s="7">
        <f>+Tabla1[[#This Row],[PRECIO EN SOLES]]-Tabla1[[#This Row],[PC]]</f>
        <v>296.77639999999997</v>
      </c>
      <c r="K576" s="15"/>
      <c r="L576" s="15" t="str">
        <f t="shared" si="8"/>
        <v>NORMAL</v>
      </c>
    </row>
    <row r="577" spans="1:12" x14ac:dyDescent="0.25">
      <c r="A577" s="3" t="s">
        <v>5875</v>
      </c>
      <c r="B577" s="3" t="s">
        <v>4915</v>
      </c>
      <c r="C577" s="1">
        <v>1</v>
      </c>
      <c r="D577" s="1">
        <v>381</v>
      </c>
      <c r="E577" s="1" t="s">
        <v>115</v>
      </c>
      <c r="F577" s="1" t="s">
        <v>5876</v>
      </c>
      <c r="G577" s="3" t="s">
        <v>4917</v>
      </c>
      <c r="H577" s="11">
        <f>ROUND(
IF(L577="GANCHO",
   IF(I577&lt;=50,I577*1.1+4,IF(I577&lt;=120,I577*1.1+7,IF(I577&lt;=250,I577*1.1+11,I577*1.1+19))),
IF(L577="NORMAL",
   IF(I577&lt;=30,I577*1.15+2,IF(I577&lt;=80,I577*1.15+4,IF(I577&lt;=150,I577*1.15+6,I577*1.15+8))),
IF(L577="COMPLEMENTO",
   IF(I577&lt;=25,I577*1.25+1.5,IF(I577&lt;=60,I577*1.25+3,IF(I577&lt;=120,I577*1.25+4,I577*1.25+5))),
""))),2)</f>
        <v>1827.9</v>
      </c>
      <c r="I577" s="9">
        <f>($K$2+0.02)*Tabla1[[#This Row],[PRECIO $]]*1.18</f>
        <v>1582.5216</v>
      </c>
      <c r="J577" s="7">
        <f>+Tabla1[[#This Row],[PRECIO EN SOLES]]-Tabla1[[#This Row],[PC]]</f>
        <v>245.37840000000006</v>
      </c>
      <c r="K577" s="15"/>
      <c r="L577" s="15" t="str">
        <f t="shared" si="8"/>
        <v>NORMAL</v>
      </c>
    </row>
    <row r="578" spans="1:12" x14ac:dyDescent="0.25">
      <c r="A578" s="3" t="s">
        <v>4914</v>
      </c>
      <c r="B578" s="3" t="s">
        <v>4915</v>
      </c>
      <c r="C578" s="1">
        <v>20</v>
      </c>
      <c r="D578" s="1">
        <v>390.23</v>
      </c>
      <c r="E578" s="1" t="s">
        <v>115</v>
      </c>
      <c r="F578" s="1" t="s">
        <v>4916</v>
      </c>
      <c r="G578" s="3" t="s">
        <v>4917</v>
      </c>
      <c r="H578" s="11">
        <f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1871.99</v>
      </c>
      <c r="I578" s="9">
        <f>($K$2+0.02)*Tabla1[[#This Row],[PRECIO $]]*1.18</f>
        <v>1620.859328</v>
      </c>
      <c r="J578" s="7">
        <f>+Tabla1[[#This Row],[PRECIO EN SOLES]]-Tabla1[[#This Row],[PC]]</f>
        <v>251.130672</v>
      </c>
      <c r="K578" s="15"/>
      <c r="L578" s="15" t="str">
        <f t="shared" si="8"/>
        <v>NORMAL</v>
      </c>
    </row>
    <row r="579" spans="1:12" x14ac:dyDescent="0.25">
      <c r="A579" s="3" t="s">
        <v>4918</v>
      </c>
      <c r="B579" s="3" t="s">
        <v>4919</v>
      </c>
      <c r="C579" s="1">
        <v>20</v>
      </c>
      <c r="D579" s="1">
        <v>300.5</v>
      </c>
      <c r="E579" s="1" t="s">
        <v>115</v>
      </c>
      <c r="F579" s="1" t="s">
        <v>4920</v>
      </c>
      <c r="G579" s="3" t="s">
        <v>4921</v>
      </c>
      <c r="H579" s="11">
        <f>ROUND(
IF(L579="GANCHO",
   IF(I579&lt;=50,I579*1.1+4,IF(I579&lt;=120,I579*1.1+7,IF(I579&lt;=250,I579*1.1+11,I579*1.1+19))),
IF(L579="NORMAL",
   IF(I579&lt;=30,I579*1.15+2,IF(I579&lt;=80,I579*1.15+4,IF(I579&lt;=150,I579*1.15+6,I579*1.15+8))),
IF(L579="COMPLEMENTO",
   IF(I579&lt;=25,I579*1.25+1.5,IF(I579&lt;=60,I579*1.25+3,IF(I579&lt;=120,I579*1.25+4,I579*1.25+5))),
""))),2)</f>
        <v>1443.38</v>
      </c>
      <c r="I579" s="9">
        <f>($K$2+0.02)*Tabla1[[#This Row],[PRECIO $]]*1.18</f>
        <v>1248.1568</v>
      </c>
      <c r="J579" s="7">
        <f>+Tabla1[[#This Row],[PRECIO EN SOLES]]-Tabla1[[#This Row],[PC]]</f>
        <v>195.22320000000013</v>
      </c>
      <c r="K579" s="15"/>
      <c r="L579" s="15" t="str">
        <f t="shared" ref="L579:L642" si="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6484</v>
      </c>
      <c r="B580" s="3" t="s">
        <v>6485</v>
      </c>
      <c r="C580" s="1">
        <v>20</v>
      </c>
      <c r="D580" s="1">
        <v>126</v>
      </c>
      <c r="E580" s="1" t="s">
        <v>223</v>
      </c>
      <c r="F580" s="1" t="s">
        <v>6486</v>
      </c>
      <c r="G580" s="3" t="s">
        <v>6487</v>
      </c>
      <c r="H580" s="11">
        <f>ROUND(
IF(L580="GANCHO",
   IF(I580&lt;=50,I580*1.1+4,IF(I580&lt;=120,I580*1.1+7,IF(I580&lt;=250,I580*1.1+11,I580*1.1+19))),
IF(L580="NORMAL",
   IF(I580&lt;=30,I580*1.15+2,IF(I580&lt;=80,I580*1.15+4,IF(I580&lt;=150,I580*1.15+6,I580*1.15+8))),
IF(L580="COMPLEMENTO",
   IF(I580&lt;=25,I580*1.25+1.5,IF(I580&lt;=60,I580*1.25+3,IF(I580&lt;=120,I580*1.25+4,I580*1.25+5))),
""))),2)</f>
        <v>609.86</v>
      </c>
      <c r="I580" s="9">
        <f>($K$2+0.02)*Tabla1[[#This Row],[PRECIO $]]*1.18</f>
        <v>523.35359999999991</v>
      </c>
      <c r="J580" s="7">
        <f>+Tabla1[[#This Row],[PRECIO EN SOLES]]-Tabla1[[#This Row],[PC]]</f>
        <v>86.506400000000099</v>
      </c>
      <c r="K580" s="15"/>
      <c r="L580" s="15" t="str">
        <f t="shared" si="9"/>
        <v>NORMAL</v>
      </c>
    </row>
    <row r="581" spans="1:12" x14ac:dyDescent="0.25">
      <c r="A581" s="3" t="s">
        <v>4922</v>
      </c>
      <c r="B581" s="3" t="s">
        <v>4923</v>
      </c>
      <c r="C581" s="1">
        <v>9</v>
      </c>
      <c r="D581" s="1">
        <v>260.5</v>
      </c>
      <c r="E581" s="1" t="s">
        <v>223</v>
      </c>
      <c r="F581" s="1" t="s">
        <v>4924</v>
      </c>
      <c r="G581" s="3" t="s">
        <v>4925</v>
      </c>
      <c r="H581" s="11">
        <f>ROUND(
IF(L581="GANCHO",
   IF(I581&lt;=50,I581*1.1+4,IF(I581&lt;=120,I581*1.1+7,IF(I581&lt;=250,I581*1.1+11,I581*1.1+19))),
IF(L581="NORMAL",
   IF(I581&lt;=30,I581*1.15+2,IF(I581&lt;=80,I581*1.15+4,IF(I581&lt;=150,I581*1.15+6,I581*1.15+8))),
IF(L581="COMPLEMENTO",
   IF(I581&lt;=25,I581*1.25+1.5,IF(I581&lt;=60,I581*1.25+3,IF(I581&lt;=120,I581*1.25+4,I581*1.25+5))),
""))),2)</f>
        <v>1252.31</v>
      </c>
      <c r="I581" s="9">
        <f>($K$2+0.02)*Tabla1[[#This Row],[PRECIO $]]*1.18</f>
        <v>1082.0128</v>
      </c>
      <c r="J581" s="7">
        <f>+Tabla1[[#This Row],[PRECIO EN SOLES]]-Tabla1[[#This Row],[PC]]</f>
        <v>170.29719999999998</v>
      </c>
      <c r="K581" s="15"/>
      <c r="L581" s="15" t="str">
        <f t="shared" si="9"/>
        <v>NORMAL</v>
      </c>
    </row>
    <row r="582" spans="1:12" x14ac:dyDescent="0.25">
      <c r="A582" s="3" t="s">
        <v>4926</v>
      </c>
      <c r="B582" s="3" t="s">
        <v>4927</v>
      </c>
      <c r="C582" s="1">
        <v>8</v>
      </c>
      <c r="D582" s="1">
        <v>295.5</v>
      </c>
      <c r="E582" s="1" t="s">
        <v>223</v>
      </c>
      <c r="F582" s="1" t="s">
        <v>4928</v>
      </c>
      <c r="G582" s="3" t="s">
        <v>4929</v>
      </c>
      <c r="H582" s="11">
        <f>ROUND(
IF(L582="GANCHO",
   IF(I582&lt;=50,I582*1.1+4,IF(I582&lt;=120,I582*1.1+7,IF(I582&lt;=250,I582*1.1+11,I582*1.1+19))),
IF(L582="NORMAL",
   IF(I582&lt;=30,I582*1.15+2,IF(I582&lt;=80,I582*1.15+4,IF(I582&lt;=150,I582*1.15+6,I582*1.15+8))),
IF(L582="COMPLEMENTO",
   IF(I582&lt;=25,I582*1.25+1.5,IF(I582&lt;=60,I582*1.25+3,IF(I582&lt;=120,I582*1.25+4,I582*1.25+5))),
""))),2)</f>
        <v>1419.5</v>
      </c>
      <c r="I582" s="9">
        <f>($K$2+0.02)*Tabla1[[#This Row],[PRECIO $]]*1.18</f>
        <v>1227.3887999999999</v>
      </c>
      <c r="J582" s="7">
        <f>+Tabla1[[#This Row],[PRECIO EN SOLES]]-Tabla1[[#This Row],[PC]]</f>
        <v>192.11120000000005</v>
      </c>
      <c r="K582" s="15"/>
      <c r="L582" s="15" t="str">
        <f t="shared" si="9"/>
        <v>NORMAL</v>
      </c>
    </row>
    <row r="583" spans="1:12" x14ac:dyDescent="0.25">
      <c r="A583" s="3" t="s">
        <v>6488</v>
      </c>
      <c r="B583" s="3" t="s">
        <v>6489</v>
      </c>
      <c r="C583" s="1">
        <v>1</v>
      </c>
      <c r="D583" s="1">
        <v>248</v>
      </c>
      <c r="E583" s="1" t="s">
        <v>223</v>
      </c>
      <c r="F583" s="1" t="s">
        <v>6490</v>
      </c>
      <c r="G583" s="3"/>
      <c r="H583" s="11">
        <f>ROUND(
IF(L583="GANCHO",
   IF(I583&lt;=50,I583*1.1+4,IF(I583&lt;=120,I583*1.1+7,IF(I583&lt;=250,I583*1.1+11,I583*1.1+19))),
IF(L583="NORMAL",
   IF(I583&lt;=30,I583*1.15+2,IF(I583&lt;=80,I583*1.15+4,IF(I583&lt;=150,I583*1.15+6,I583*1.15+8))),
IF(L583="COMPLEMENTO",
   IF(I583&lt;=25,I583*1.25+1.5,IF(I583&lt;=60,I583*1.25+3,IF(I583&lt;=120,I583*1.25+4,I583*1.25+5))),
""))),2)</f>
        <v>1192.6099999999999</v>
      </c>
      <c r="I583" s="9">
        <f>($K$2+0.02)*Tabla1[[#This Row],[PRECIO $]]*1.18</f>
        <v>1030.0927999999999</v>
      </c>
      <c r="J583" s="7">
        <f>+Tabla1[[#This Row],[PRECIO EN SOLES]]-Tabla1[[#This Row],[PC]]</f>
        <v>162.5172</v>
      </c>
      <c r="K583" s="15"/>
      <c r="L583" s="15" t="str">
        <f t="shared" si="9"/>
        <v>NORMAL</v>
      </c>
    </row>
    <row r="584" spans="1:12" x14ac:dyDescent="0.25">
      <c r="A584" s="3" t="s">
        <v>4930</v>
      </c>
      <c r="B584" s="3" t="s">
        <v>4931</v>
      </c>
      <c r="C584" s="1">
        <v>2</v>
      </c>
      <c r="D584" s="1">
        <v>482</v>
      </c>
      <c r="E584" s="1" t="s">
        <v>223</v>
      </c>
      <c r="F584" s="1" t="s">
        <v>4932</v>
      </c>
      <c r="G584" s="3" t="s">
        <v>4933</v>
      </c>
      <c r="H584" s="11">
        <f>ROUND(
IF(L584="GANCHO",
   IF(I584&lt;=50,I584*1.1+4,IF(I584&lt;=120,I584*1.1+7,IF(I584&lt;=250,I584*1.1+11,I584*1.1+19))),
IF(L584="NORMAL",
   IF(I584&lt;=30,I584*1.15+2,IF(I584&lt;=80,I584*1.15+4,IF(I584&lt;=150,I584*1.15+6,I584*1.15+8))),
IF(L584="COMPLEMENTO",
   IF(I584&lt;=25,I584*1.25+1.5,IF(I584&lt;=60,I584*1.25+3,IF(I584&lt;=120,I584*1.25+4,I584*1.25+5))),
""))),2)</f>
        <v>2310.34</v>
      </c>
      <c r="I584" s="9">
        <f>($K$2+0.02)*Tabla1[[#This Row],[PRECIO $]]*1.18</f>
        <v>2002.0352</v>
      </c>
      <c r="J584" s="7">
        <f>+Tabla1[[#This Row],[PRECIO EN SOLES]]-Tabla1[[#This Row],[PC]]</f>
        <v>308.30480000000011</v>
      </c>
      <c r="K584" s="15"/>
      <c r="L584" s="15" t="str">
        <f t="shared" si="9"/>
        <v>NORMAL</v>
      </c>
    </row>
    <row r="585" spans="1:12" x14ac:dyDescent="0.25">
      <c r="A585" s="3" t="s">
        <v>6491</v>
      </c>
      <c r="B585" s="3" t="s">
        <v>6492</v>
      </c>
      <c r="C585" s="1">
        <v>6</v>
      </c>
      <c r="D585" s="1">
        <v>340</v>
      </c>
      <c r="E585" s="1" t="s">
        <v>223</v>
      </c>
      <c r="F585" s="1" t="s">
        <v>6493</v>
      </c>
      <c r="G585" s="3" t="s">
        <v>6494</v>
      </c>
      <c r="H585" s="11">
        <f>ROUND(
IF(L585="GANCHO",
   IF(I585&lt;=50,I585*1.1+4,IF(I585&lt;=120,I585*1.1+7,IF(I585&lt;=250,I585*1.1+11,I585*1.1+19))),
IF(L585="NORMAL",
   IF(I585&lt;=30,I585*1.15+2,IF(I585&lt;=80,I585*1.15+4,IF(I585&lt;=150,I585*1.15+6,I585*1.15+8))),
IF(L585="COMPLEMENTO",
   IF(I585&lt;=25,I585*1.25+1.5,IF(I585&lt;=60,I585*1.25+3,IF(I585&lt;=120,I585*1.25+4,I585*1.25+5))),
""))),2)</f>
        <v>1632.06</v>
      </c>
      <c r="I585" s="9">
        <f>($K$2+0.02)*Tabla1[[#This Row],[PRECIO $]]*1.18</f>
        <v>1412.2239999999999</v>
      </c>
      <c r="J585" s="7">
        <f>+Tabla1[[#This Row],[PRECIO EN SOLES]]-Tabla1[[#This Row],[PC]]</f>
        <v>219.83600000000001</v>
      </c>
      <c r="K585" s="15"/>
      <c r="L585" s="15" t="str">
        <f t="shared" si="9"/>
        <v>NORMAL</v>
      </c>
    </row>
    <row r="586" spans="1:12" x14ac:dyDescent="0.25">
      <c r="A586" s="3" t="s">
        <v>4934</v>
      </c>
      <c r="B586" s="3" t="s">
        <v>4935</v>
      </c>
      <c r="C586" s="1">
        <v>3</v>
      </c>
      <c r="D586" s="1">
        <v>220.5</v>
      </c>
      <c r="E586" s="1" t="s">
        <v>223</v>
      </c>
      <c r="F586" s="1" t="s">
        <v>4936</v>
      </c>
      <c r="G586" s="3" t="s">
        <v>4937</v>
      </c>
      <c r="H586" s="11">
        <f>ROUND(
IF(L586="GANCHO",
   IF(I586&lt;=50,I586*1.1+4,IF(I586&lt;=120,I586*1.1+7,IF(I586&lt;=250,I586*1.1+11,I586*1.1+19))),
IF(L586="NORMAL",
   IF(I586&lt;=30,I586*1.15+2,IF(I586&lt;=80,I586*1.15+4,IF(I586&lt;=150,I586*1.15+6,I586*1.15+8))),
IF(L586="COMPLEMENTO",
   IF(I586&lt;=25,I586*1.25+1.5,IF(I586&lt;=60,I586*1.25+3,IF(I586&lt;=120,I586*1.25+4,I586*1.25+5))),
""))),2)</f>
        <v>1061.25</v>
      </c>
      <c r="I586" s="9">
        <f>($K$2+0.02)*Tabla1[[#This Row],[PRECIO $]]*1.18</f>
        <v>915.86879999999996</v>
      </c>
      <c r="J586" s="7">
        <f>+Tabla1[[#This Row],[PRECIO EN SOLES]]-Tabla1[[#This Row],[PC]]</f>
        <v>145.38120000000004</v>
      </c>
      <c r="K586" s="15"/>
      <c r="L586" s="15" t="str">
        <f t="shared" si="9"/>
        <v>NORMAL</v>
      </c>
    </row>
    <row r="587" spans="1:12" x14ac:dyDescent="0.25">
      <c r="A587" s="3" t="s">
        <v>6495</v>
      </c>
      <c r="B587" s="3" t="s">
        <v>6496</v>
      </c>
      <c r="C587" s="1">
        <v>11</v>
      </c>
      <c r="D587" s="1">
        <v>203</v>
      </c>
      <c r="E587" s="1" t="s">
        <v>223</v>
      </c>
      <c r="F587" s="1" t="s">
        <v>6497</v>
      </c>
      <c r="G587" s="3" t="s">
        <v>6498</v>
      </c>
      <c r="H587" s="11">
        <f>ROUND(
IF(L587="GANCHO",
   IF(I587&lt;=50,I587*1.1+4,IF(I587&lt;=120,I587*1.1+7,IF(I587&lt;=250,I587*1.1+11,I587*1.1+19))),
IF(L587="NORMAL",
   IF(I587&lt;=30,I587*1.15+2,IF(I587&lt;=80,I587*1.15+4,IF(I587&lt;=150,I587*1.15+6,I587*1.15+8))),
IF(L587="COMPLEMENTO",
   IF(I587&lt;=25,I587*1.25+1.5,IF(I587&lt;=60,I587*1.25+3,IF(I587&lt;=120,I587*1.25+4,I587*1.25+5))),
""))),2)</f>
        <v>977.66</v>
      </c>
      <c r="I587" s="9">
        <f>($K$2+0.02)*Tabla1[[#This Row],[PRECIO $]]*1.18</f>
        <v>843.18079999999998</v>
      </c>
      <c r="J587" s="7">
        <f>+Tabla1[[#This Row],[PRECIO EN SOLES]]-Tabla1[[#This Row],[PC]]</f>
        <v>134.47919999999999</v>
      </c>
      <c r="K587" s="15"/>
      <c r="L587" s="15" t="str">
        <f t="shared" si="9"/>
        <v>NORMAL</v>
      </c>
    </row>
    <row r="588" spans="1:12" x14ac:dyDescent="0.25">
      <c r="A588" s="3" t="s">
        <v>1228</v>
      </c>
      <c r="B588" s="3" t="s">
        <v>1229</v>
      </c>
      <c r="C588" s="1">
        <v>2</v>
      </c>
      <c r="D588" s="1">
        <v>224.5</v>
      </c>
      <c r="E588" s="1" t="s">
        <v>223</v>
      </c>
      <c r="F588" s="1" t="s">
        <v>3138</v>
      </c>
      <c r="G588" s="3" t="s">
        <v>1230</v>
      </c>
      <c r="H588" s="11">
        <f>ROUND(
IF(L588="GANCHO",
   IF(I588&lt;=50,I588*1.1+4,IF(I588&lt;=120,I588*1.1+7,IF(I588&lt;=250,I588*1.1+11,I588*1.1+19))),
IF(L588="NORMAL",
   IF(I588&lt;=30,I588*1.15+2,IF(I588&lt;=80,I588*1.15+4,IF(I588&lt;=150,I588*1.15+6,I588*1.15+8))),
IF(L588="COMPLEMENTO",
   IF(I588&lt;=25,I588*1.25+1.5,IF(I588&lt;=60,I588*1.25+3,IF(I588&lt;=120,I588*1.25+4,I588*1.25+5))),
""))),2)</f>
        <v>1080.3599999999999</v>
      </c>
      <c r="I588" s="9">
        <f>($K$2+0.02)*Tabla1[[#This Row],[PRECIO $]]*1.18</f>
        <v>932.48320000000001</v>
      </c>
      <c r="J588" s="7">
        <f>+Tabla1[[#This Row],[PRECIO EN SOLES]]-Tabla1[[#This Row],[PC]]</f>
        <v>147.87679999999989</v>
      </c>
      <c r="K588" s="15"/>
      <c r="L588" s="15" t="str">
        <f t="shared" si="9"/>
        <v>NORMAL</v>
      </c>
    </row>
    <row r="589" spans="1:12" x14ac:dyDescent="0.25">
      <c r="A589" s="3" t="s">
        <v>6499</v>
      </c>
      <c r="B589" s="3" t="s">
        <v>6500</v>
      </c>
      <c r="C589" s="1">
        <v>3</v>
      </c>
      <c r="D589" s="1">
        <v>623</v>
      </c>
      <c r="E589" s="1" t="s">
        <v>223</v>
      </c>
      <c r="F589" s="1" t="s">
        <v>6501</v>
      </c>
      <c r="G589" s="3"/>
      <c r="H589" s="11">
        <f>ROUND(
IF(L589="GANCHO",
   IF(I589&lt;=50,I589*1.1+4,IF(I589&lt;=120,I589*1.1+7,IF(I589&lt;=250,I589*1.1+11,I589*1.1+19))),
IF(L589="NORMAL",
   IF(I589&lt;=30,I589*1.15+2,IF(I589&lt;=80,I589*1.15+4,IF(I589&lt;=150,I589*1.15+6,I589*1.15+8))),
IF(L589="COMPLEMENTO",
   IF(I589&lt;=25,I589*1.25+1.5,IF(I589&lt;=60,I589*1.25+3,IF(I589&lt;=120,I589*1.25+4,I589*1.25+5))),
""))),2)</f>
        <v>2983.85</v>
      </c>
      <c r="I589" s="9">
        <f>($K$2+0.02)*Tabla1[[#This Row],[PRECIO $]]*1.18</f>
        <v>2587.6927999999998</v>
      </c>
      <c r="J589" s="7">
        <f>+Tabla1[[#This Row],[PRECIO EN SOLES]]-Tabla1[[#This Row],[PC]]</f>
        <v>396.1572000000001</v>
      </c>
      <c r="K589" s="15"/>
      <c r="L589" s="15" t="str">
        <f t="shared" si="9"/>
        <v>NORMAL</v>
      </c>
    </row>
    <row r="590" spans="1:12" x14ac:dyDescent="0.25">
      <c r="A590" s="3" t="s">
        <v>5444</v>
      </c>
      <c r="B590" s="3" t="s">
        <v>5445</v>
      </c>
      <c r="C590" s="1">
        <v>0</v>
      </c>
      <c r="D590" s="1">
        <v>181</v>
      </c>
      <c r="E590" s="1" t="s">
        <v>121</v>
      </c>
      <c r="F590" s="1" t="s">
        <v>5446</v>
      </c>
      <c r="G590" s="3" t="s">
        <v>5447</v>
      </c>
      <c r="H590" s="11">
        <f>ROUND(
IF(L590="GANCHO",
   IF(I590&lt;=50,I590*1.1+4,IF(I590&lt;=120,I590*1.1+7,IF(I590&lt;=250,I590*1.1+11,I590*1.1+19))),
IF(L590="NORMAL",
   IF(I590&lt;=30,I590*1.15+2,IF(I590&lt;=80,I590*1.15+4,IF(I590&lt;=150,I590*1.15+6,I590*1.15+8))),
IF(L590="COMPLEMENTO",
   IF(I590&lt;=25,I590*1.25+1.5,IF(I590&lt;=60,I590*1.25+3,IF(I590&lt;=120,I590*1.25+4,I590*1.25+5))),
""))),2)</f>
        <v>872.57</v>
      </c>
      <c r="I590" s="9">
        <f>($K$2+0.02)*Tabla1[[#This Row],[PRECIO $]]*1.18</f>
        <v>751.80160000000001</v>
      </c>
      <c r="J590" s="7">
        <f>+Tabla1[[#This Row],[PRECIO EN SOLES]]-Tabla1[[#This Row],[PC]]</f>
        <v>120.76840000000004</v>
      </c>
      <c r="K590" s="15"/>
      <c r="L590" s="15" t="str">
        <f t="shared" si="9"/>
        <v>NORMAL</v>
      </c>
    </row>
    <row r="591" spans="1:12" x14ac:dyDescent="0.25">
      <c r="A591" s="3" t="s">
        <v>5448</v>
      </c>
      <c r="B591" s="3" t="s">
        <v>5449</v>
      </c>
      <c r="C591" s="1">
        <v>20</v>
      </c>
      <c r="D591" s="1">
        <v>46.9</v>
      </c>
      <c r="E591" s="1" t="s">
        <v>847</v>
      </c>
      <c r="F591" s="1" t="s">
        <v>5450</v>
      </c>
      <c r="G591" s="3" t="s">
        <v>5451</v>
      </c>
      <c r="H591" s="11">
        <f>ROUND(
IF(L591="GANCHO",
   IF(I591&lt;=50,I591*1.1+4,IF(I591&lt;=120,I591*1.1+7,IF(I591&lt;=250,I591*1.1+11,I591*1.1+19))),
IF(L591="NORMAL",
   IF(I591&lt;=30,I591*1.15+2,IF(I591&lt;=80,I591*1.15+4,IF(I591&lt;=150,I591*1.15+6,I591*1.15+8))),
IF(L591="COMPLEMENTO",
   IF(I591&lt;=25,I591*1.25+1.5,IF(I591&lt;=60,I591*1.25+3,IF(I591&lt;=120,I591*1.25+4,I591*1.25+5))),
""))),2)</f>
        <v>232.02</v>
      </c>
      <c r="I591" s="9">
        <f>($K$2+0.02)*Tabla1[[#This Row],[PRECIO $]]*1.18</f>
        <v>194.80383999999998</v>
      </c>
      <c r="J591" s="7">
        <f>+Tabla1[[#This Row],[PRECIO EN SOLES]]-Tabla1[[#This Row],[PC]]</f>
        <v>37.216160000000031</v>
      </c>
      <c r="K591" s="15"/>
      <c r="L591" s="15" t="str">
        <f t="shared" si="9"/>
        <v>NORMAL</v>
      </c>
    </row>
    <row r="592" spans="1:12" x14ac:dyDescent="0.25">
      <c r="A592" s="3" t="s">
        <v>6502</v>
      </c>
      <c r="B592" s="3" t="s">
        <v>6503</v>
      </c>
      <c r="C592" s="1">
        <v>20</v>
      </c>
      <c r="D592" s="1">
        <v>48.2</v>
      </c>
      <c r="E592" s="1" t="s">
        <v>115</v>
      </c>
      <c r="F592" s="1" t="s">
        <v>6504</v>
      </c>
      <c r="G592" s="3" t="s">
        <v>6505</v>
      </c>
      <c r="H592" s="11">
        <f>ROUND(
IF(L592="GANCHO",
   IF(I592&lt;=50,I592*1.1+4,IF(I592&lt;=120,I592*1.1+7,IF(I592&lt;=250,I592*1.1+11,I592*1.1+19))),
IF(L592="NORMAL",
   IF(I592&lt;=30,I592*1.15+2,IF(I592&lt;=80,I592*1.15+4,IF(I592&lt;=150,I592*1.15+6,I592*1.15+8))),
IF(L592="COMPLEMENTO",
   IF(I592&lt;=25,I592*1.25+1.5,IF(I592&lt;=60,I592*1.25+3,IF(I592&lt;=120,I592*1.25+4,I592*1.25+5))),
""))),2)</f>
        <v>238.23</v>
      </c>
      <c r="I592" s="9">
        <f>($K$2+0.02)*Tabla1[[#This Row],[PRECIO $]]*1.18</f>
        <v>200.20352</v>
      </c>
      <c r="J592" s="7">
        <f>+Tabla1[[#This Row],[PRECIO EN SOLES]]-Tabla1[[#This Row],[PC]]</f>
        <v>38.026479999999992</v>
      </c>
      <c r="K592" s="15"/>
      <c r="L592" s="15" t="str">
        <f t="shared" si="9"/>
        <v>NORMAL</v>
      </c>
    </row>
    <row r="593" spans="1:12" x14ac:dyDescent="0.25">
      <c r="A593" s="3" t="s">
        <v>6506</v>
      </c>
      <c r="B593" s="3" t="s">
        <v>6507</v>
      </c>
      <c r="C593" s="1">
        <v>16</v>
      </c>
      <c r="D593" s="1">
        <v>71.650000000000006</v>
      </c>
      <c r="E593" s="1" t="s">
        <v>223</v>
      </c>
      <c r="F593" s="1" t="s">
        <v>6508</v>
      </c>
      <c r="G593" s="3" t="s">
        <v>6509</v>
      </c>
      <c r="H593" s="11">
        <f>ROUND(
IF(L593="GANCHO",
   IF(I593&lt;=50,I593*1.1+4,IF(I593&lt;=120,I593*1.1+7,IF(I593&lt;=250,I593*1.1+11,I593*1.1+19))),
IF(L593="NORMAL",
   IF(I593&lt;=30,I593*1.15+2,IF(I593&lt;=80,I593*1.15+4,IF(I593&lt;=150,I593*1.15+6,I593*1.15+8))),
IF(L593="COMPLEMENTO",
   IF(I593&lt;=25,I593*1.25+1.5,IF(I593&lt;=60,I593*1.25+3,IF(I593&lt;=120,I593*1.25+4,I593*1.25+5))),
""))),2)</f>
        <v>350.25</v>
      </c>
      <c r="I593" s="9">
        <f>($K$2+0.02)*Tabla1[[#This Row],[PRECIO $]]*1.18</f>
        <v>297.60544000000004</v>
      </c>
      <c r="J593" s="7">
        <f>+Tabla1[[#This Row],[PRECIO EN SOLES]]-Tabla1[[#This Row],[PC]]</f>
        <v>52.644559999999956</v>
      </c>
      <c r="K593" s="15"/>
      <c r="L593" s="15" t="str">
        <f t="shared" si="9"/>
        <v>NORMAL</v>
      </c>
    </row>
    <row r="594" spans="1:12" x14ac:dyDescent="0.25">
      <c r="A594" s="3" t="s">
        <v>6510</v>
      </c>
      <c r="B594" s="3" t="s">
        <v>6511</v>
      </c>
      <c r="C594" s="1">
        <v>0</v>
      </c>
      <c r="D594" s="1">
        <v>56.75</v>
      </c>
      <c r="E594" s="1" t="s">
        <v>223</v>
      </c>
      <c r="F594" s="1" t="s">
        <v>6512</v>
      </c>
      <c r="G594" s="3" t="s">
        <v>6513</v>
      </c>
      <c r="H594" s="11">
        <f>ROUND(
IF(L594="GANCHO",
   IF(I594&lt;=50,I594*1.1+4,IF(I594&lt;=120,I594*1.1+7,IF(I594&lt;=250,I594*1.1+11,I594*1.1+19))),
IF(L594="NORMAL",
   IF(I594&lt;=30,I594*1.15+2,IF(I594&lt;=80,I594*1.15+4,IF(I594&lt;=150,I594*1.15+6,I594*1.15+8))),
IF(L594="COMPLEMENTO",
   IF(I594&lt;=25,I594*1.25+1.5,IF(I594&lt;=60,I594*1.25+3,IF(I594&lt;=120,I594*1.25+4,I594*1.25+5))),
""))),2)</f>
        <v>279.07</v>
      </c>
      <c r="I594" s="9">
        <f>($K$2+0.02)*Tabla1[[#This Row],[PRECIO $]]*1.18</f>
        <v>235.71679999999998</v>
      </c>
      <c r="J594" s="7">
        <f>+Tabla1[[#This Row],[PRECIO EN SOLES]]-Tabla1[[#This Row],[PC]]</f>
        <v>43.353200000000015</v>
      </c>
      <c r="K594" s="15"/>
      <c r="L594" s="15" t="str">
        <f t="shared" si="9"/>
        <v>NORMAL</v>
      </c>
    </row>
    <row r="595" spans="1:12" x14ac:dyDescent="0.25">
      <c r="A595" s="3" t="s">
        <v>6514</v>
      </c>
      <c r="B595" s="3" t="s">
        <v>6515</v>
      </c>
      <c r="C595" s="1">
        <v>20</v>
      </c>
      <c r="D595" s="1">
        <v>45.5</v>
      </c>
      <c r="E595" s="1" t="s">
        <v>223</v>
      </c>
      <c r="F595" s="1" t="s">
        <v>6516</v>
      </c>
      <c r="G595" s="3" t="s">
        <v>6517</v>
      </c>
      <c r="H595" s="11">
        <f>ROUND(
IF(L595="GANCHO",
   IF(I595&lt;=50,I595*1.1+4,IF(I595&lt;=120,I595*1.1+7,IF(I595&lt;=250,I595*1.1+11,I595*1.1+19))),
IF(L595="NORMAL",
   IF(I595&lt;=30,I595*1.15+2,IF(I595&lt;=80,I595*1.15+4,IF(I595&lt;=150,I595*1.15+6,I595*1.15+8))),
IF(L595="COMPLEMENTO",
   IF(I595&lt;=25,I595*1.25+1.5,IF(I595&lt;=60,I595*1.25+3,IF(I595&lt;=120,I595*1.25+4,I595*1.25+5))),
""))),2)</f>
        <v>225.34</v>
      </c>
      <c r="I595" s="9">
        <f>($K$2+0.02)*Tabla1[[#This Row],[PRECIO $]]*1.18</f>
        <v>188.9888</v>
      </c>
      <c r="J595" s="7">
        <f>+Tabla1[[#This Row],[PRECIO EN SOLES]]-Tabla1[[#This Row],[PC]]</f>
        <v>36.351200000000006</v>
      </c>
      <c r="K595" s="15"/>
      <c r="L595" s="15" t="str">
        <f t="shared" si="9"/>
        <v>NORMAL</v>
      </c>
    </row>
    <row r="596" spans="1:12" x14ac:dyDescent="0.25">
      <c r="A596" s="3" t="s">
        <v>4938</v>
      </c>
      <c r="B596" s="3" t="s">
        <v>4939</v>
      </c>
      <c r="C596" s="1">
        <v>0</v>
      </c>
      <c r="D596" s="1">
        <v>79</v>
      </c>
      <c r="E596" s="1" t="s">
        <v>223</v>
      </c>
      <c r="F596" s="1" t="s">
        <v>4940</v>
      </c>
      <c r="G596" s="3" t="s">
        <v>4941</v>
      </c>
      <c r="H596" s="11">
        <f>ROUND(
IF(L596="GANCHO",
   IF(I596&lt;=50,I596*1.1+4,IF(I596&lt;=120,I596*1.1+7,IF(I596&lt;=250,I596*1.1+11,I596*1.1+19))),
IF(L596="NORMAL",
   IF(I596&lt;=30,I596*1.15+2,IF(I596&lt;=80,I596*1.15+4,IF(I596&lt;=150,I596*1.15+6,I596*1.15+8))),
IF(L596="COMPLEMENTO",
   IF(I596&lt;=25,I596*1.25+1.5,IF(I596&lt;=60,I596*1.25+3,IF(I596&lt;=120,I596*1.25+4,I596*1.25+5))),
""))),2)</f>
        <v>385.35</v>
      </c>
      <c r="I596" s="9">
        <f>($K$2+0.02)*Tabla1[[#This Row],[PRECIO $]]*1.18</f>
        <v>328.13439999999997</v>
      </c>
      <c r="J596" s="7">
        <f>+Tabla1[[#This Row],[PRECIO EN SOLES]]-Tabla1[[#This Row],[PC]]</f>
        <v>57.215600000000052</v>
      </c>
      <c r="K596" s="15"/>
      <c r="L596" s="15" t="str">
        <f t="shared" si="9"/>
        <v>NORMAL</v>
      </c>
    </row>
    <row r="597" spans="1:12" x14ac:dyDescent="0.25">
      <c r="A597" s="3" t="s">
        <v>6518</v>
      </c>
      <c r="B597" s="3" t="s">
        <v>6519</v>
      </c>
      <c r="C597" s="1">
        <v>20</v>
      </c>
      <c r="D597" s="1">
        <v>66.900000000000006</v>
      </c>
      <c r="E597" s="1" t="s">
        <v>223</v>
      </c>
      <c r="F597" s="1" t="s">
        <v>6520</v>
      </c>
      <c r="G597" s="3" t="s">
        <v>6521</v>
      </c>
      <c r="H597" s="11">
        <f>ROUND(
IF(L597="GANCHO",
   IF(I597&lt;=50,I597*1.1+4,IF(I597&lt;=120,I597*1.1+7,IF(I597&lt;=250,I597*1.1+11,I597*1.1+19))),
IF(L597="NORMAL",
   IF(I597&lt;=30,I597*1.15+2,IF(I597&lt;=80,I597*1.15+4,IF(I597&lt;=150,I597*1.15+6,I597*1.15+8))),
IF(L597="COMPLEMENTO",
   IF(I597&lt;=25,I597*1.25+1.5,IF(I597&lt;=60,I597*1.25+3,IF(I597&lt;=120,I597*1.25+4,I597*1.25+5))),
""))),2)</f>
        <v>327.56</v>
      </c>
      <c r="I597" s="9">
        <f>($K$2+0.02)*Tabla1[[#This Row],[PRECIO $]]*1.18</f>
        <v>277.87584000000004</v>
      </c>
      <c r="J597" s="7">
        <f>+Tabla1[[#This Row],[PRECIO EN SOLES]]-Tabla1[[#This Row],[PC]]</f>
        <v>49.684159999999963</v>
      </c>
      <c r="K597" s="15"/>
      <c r="L597" s="15" t="str">
        <f t="shared" si="9"/>
        <v>NORMAL</v>
      </c>
    </row>
    <row r="598" spans="1:12" x14ac:dyDescent="0.25">
      <c r="A598" s="3" t="s">
        <v>2618</v>
      </c>
      <c r="B598" s="3" t="s">
        <v>2619</v>
      </c>
      <c r="C598" s="1">
        <v>20</v>
      </c>
      <c r="D598" s="1">
        <v>64.8</v>
      </c>
      <c r="E598" s="1" t="s">
        <v>121</v>
      </c>
      <c r="F598" s="1" t="s">
        <v>3139</v>
      </c>
      <c r="G598" s="3" t="s">
        <v>2620</v>
      </c>
      <c r="H598" s="11">
        <f>ROUND(
IF(L598="GANCHO",
   IF(I598&lt;=50,I598*1.1+4,IF(I598&lt;=120,I598*1.1+7,IF(I598&lt;=250,I598*1.1+11,I598*1.1+19))),
IF(L598="NORMAL",
   IF(I598&lt;=30,I598*1.15+2,IF(I598&lt;=80,I598*1.15+4,IF(I598&lt;=150,I598*1.15+6,I598*1.15+8))),
IF(L598="COMPLEMENTO",
   IF(I598&lt;=25,I598*1.25+1.5,IF(I598&lt;=60,I598*1.25+3,IF(I598&lt;=120,I598*1.25+4,I598*1.25+5))),
""))),2)</f>
        <v>317.52999999999997</v>
      </c>
      <c r="I598" s="9">
        <f>($K$2+0.02)*Tabla1[[#This Row],[PRECIO $]]*1.18</f>
        <v>269.15328</v>
      </c>
      <c r="J598" s="7">
        <f>+Tabla1[[#This Row],[PRECIO EN SOLES]]-Tabla1[[#This Row],[PC]]</f>
        <v>48.376719999999978</v>
      </c>
      <c r="K598" s="15"/>
      <c r="L598" s="15" t="str">
        <f t="shared" si="9"/>
        <v>NORMAL</v>
      </c>
    </row>
    <row r="599" spans="1:12" x14ac:dyDescent="0.25">
      <c r="A599" s="3" t="s">
        <v>5452</v>
      </c>
      <c r="B599" s="3" t="s">
        <v>5453</v>
      </c>
      <c r="C599" s="1">
        <v>20</v>
      </c>
      <c r="D599" s="1">
        <v>80</v>
      </c>
      <c r="E599" s="1" t="s">
        <v>847</v>
      </c>
      <c r="F599" s="1" t="s">
        <v>5454</v>
      </c>
      <c r="G599" s="3" t="s">
        <v>5455</v>
      </c>
      <c r="H599" s="11">
        <f>ROUND(
IF(L599="GANCHO",
   IF(I599&lt;=50,I599*1.1+4,IF(I599&lt;=120,I599*1.1+7,IF(I599&lt;=250,I599*1.1+11,I599*1.1+19))),
IF(L599="NORMAL",
   IF(I599&lt;=30,I599*1.15+2,IF(I599&lt;=80,I599*1.15+4,IF(I599&lt;=150,I599*1.15+6,I599*1.15+8))),
IF(L599="COMPLEMENTO",
   IF(I599&lt;=25,I599*1.25+1.5,IF(I599&lt;=60,I599*1.25+3,IF(I599&lt;=120,I599*1.25+4,I599*1.25+5))),
""))),2)</f>
        <v>390.13</v>
      </c>
      <c r="I599" s="9">
        <f>($K$2+0.02)*Tabla1[[#This Row],[PRECIO $]]*1.18</f>
        <v>332.28800000000001</v>
      </c>
      <c r="J599" s="7">
        <f>+Tabla1[[#This Row],[PRECIO EN SOLES]]-Tabla1[[#This Row],[PC]]</f>
        <v>57.841999999999985</v>
      </c>
      <c r="K599" s="15"/>
      <c r="L599" s="15" t="str">
        <f t="shared" si="9"/>
        <v>NORMAL</v>
      </c>
    </row>
    <row r="600" spans="1:12" x14ac:dyDescent="0.25">
      <c r="A600" s="3" t="s">
        <v>6522</v>
      </c>
      <c r="B600" s="3" t="s">
        <v>6523</v>
      </c>
      <c r="C600" s="1">
        <v>20</v>
      </c>
      <c r="D600" s="1">
        <v>153.5</v>
      </c>
      <c r="E600" s="1" t="s">
        <v>115</v>
      </c>
      <c r="F600" s="1" t="s">
        <v>6524</v>
      </c>
      <c r="G600" s="3" t="s">
        <v>6525</v>
      </c>
      <c r="H600" s="11">
        <f>ROUND(
IF(L600="GANCHO",
   IF(I600&lt;=50,I600*1.1+4,IF(I600&lt;=120,I600*1.1+7,IF(I600&lt;=250,I600*1.1+11,I600*1.1+19))),
IF(L600="NORMAL",
   IF(I600&lt;=30,I600*1.15+2,IF(I600&lt;=80,I600*1.15+4,IF(I600&lt;=150,I600*1.15+6,I600*1.15+8))),
IF(L600="COMPLEMENTO",
   IF(I600&lt;=25,I600*1.25+1.5,IF(I600&lt;=60,I600*1.25+3,IF(I600&lt;=120,I600*1.25+4,I600*1.25+5))),
""))),2)</f>
        <v>741.21</v>
      </c>
      <c r="I600" s="9">
        <f>($K$2+0.02)*Tabla1[[#This Row],[PRECIO $]]*1.18</f>
        <v>637.57760000000007</v>
      </c>
      <c r="J600" s="7">
        <f>+Tabla1[[#This Row],[PRECIO EN SOLES]]-Tabla1[[#This Row],[PC]]</f>
        <v>103.63239999999996</v>
      </c>
      <c r="K600" s="15"/>
      <c r="L600" s="15" t="str">
        <f t="shared" si="9"/>
        <v>NORMAL</v>
      </c>
    </row>
    <row r="601" spans="1:12" x14ac:dyDescent="0.25">
      <c r="A601" s="3" t="s">
        <v>6526</v>
      </c>
      <c r="B601" s="3" t="s">
        <v>6527</v>
      </c>
      <c r="C601" s="1">
        <v>20</v>
      </c>
      <c r="D601" s="1">
        <v>71.650000000000006</v>
      </c>
      <c r="E601" s="1" t="s">
        <v>115</v>
      </c>
      <c r="F601" s="1" t="s">
        <v>6528</v>
      </c>
      <c r="G601" s="3" t="s">
        <v>6529</v>
      </c>
      <c r="H601" s="11">
        <f>ROUND(
IF(L601="GANCHO",
   IF(I601&lt;=50,I601*1.1+4,IF(I601&lt;=120,I601*1.1+7,IF(I601&lt;=250,I601*1.1+11,I601*1.1+19))),
IF(L601="NORMAL",
   IF(I601&lt;=30,I601*1.15+2,IF(I601&lt;=80,I601*1.15+4,IF(I601&lt;=150,I601*1.15+6,I601*1.15+8))),
IF(L601="COMPLEMENTO",
   IF(I601&lt;=25,I601*1.25+1.5,IF(I601&lt;=60,I601*1.25+3,IF(I601&lt;=120,I601*1.25+4,I601*1.25+5))),
""))),2)</f>
        <v>350.25</v>
      </c>
      <c r="I601" s="9">
        <f>($K$2+0.02)*Tabla1[[#This Row],[PRECIO $]]*1.18</f>
        <v>297.60544000000004</v>
      </c>
      <c r="J601" s="7">
        <f>+Tabla1[[#This Row],[PRECIO EN SOLES]]-Tabla1[[#This Row],[PC]]</f>
        <v>52.644559999999956</v>
      </c>
      <c r="K601" s="15"/>
      <c r="L601" s="15" t="str">
        <f t="shared" si="9"/>
        <v>NORMAL</v>
      </c>
    </row>
    <row r="602" spans="1:12" x14ac:dyDescent="0.25">
      <c r="A602" s="3" t="s">
        <v>6530</v>
      </c>
      <c r="B602" s="3" t="s">
        <v>6531</v>
      </c>
      <c r="C602" s="1">
        <v>20</v>
      </c>
      <c r="D602" s="1">
        <v>142.19999999999999</v>
      </c>
      <c r="E602" s="1" t="s">
        <v>115</v>
      </c>
      <c r="F602" s="1" t="s">
        <v>6532</v>
      </c>
      <c r="G602" s="3" t="s">
        <v>6533</v>
      </c>
      <c r="H602" s="11">
        <f>ROUND(
IF(L602="GANCHO",
   IF(I602&lt;=50,I602*1.1+4,IF(I602&lt;=120,I602*1.1+7,IF(I602&lt;=250,I602*1.1+11,I602*1.1+19))),
IF(L602="NORMAL",
   IF(I602&lt;=30,I602*1.15+2,IF(I602&lt;=80,I602*1.15+4,IF(I602&lt;=150,I602*1.15+6,I602*1.15+8))),
IF(L602="COMPLEMENTO",
   IF(I602&lt;=25,I602*1.25+1.5,IF(I602&lt;=60,I602*1.25+3,IF(I602&lt;=120,I602*1.25+4,I602*1.25+5))),
""))),2)</f>
        <v>687.24</v>
      </c>
      <c r="I602" s="9">
        <f>($K$2+0.02)*Tabla1[[#This Row],[PRECIO $]]*1.18</f>
        <v>590.64191999999991</v>
      </c>
      <c r="J602" s="7">
        <f>+Tabla1[[#This Row],[PRECIO EN SOLES]]-Tabla1[[#This Row],[PC]]</f>
        <v>96.598080000000095</v>
      </c>
      <c r="K602" s="15"/>
      <c r="L602" s="15" t="str">
        <f t="shared" si="9"/>
        <v>NORMAL</v>
      </c>
    </row>
    <row r="603" spans="1:12" x14ac:dyDescent="0.25">
      <c r="A603" s="3" t="s">
        <v>6534</v>
      </c>
      <c r="B603" s="3" t="s">
        <v>6535</v>
      </c>
      <c r="C603" s="1">
        <v>6</v>
      </c>
      <c r="D603" s="1">
        <v>141</v>
      </c>
      <c r="E603" s="1" t="s">
        <v>223</v>
      </c>
      <c r="F603" s="1" t="s">
        <v>6536</v>
      </c>
      <c r="G603" s="3" t="s">
        <v>6537</v>
      </c>
      <c r="H603" s="11">
        <f>ROUND(
IF(L603="GANCHO",
   IF(I603&lt;=50,I603*1.1+4,IF(I603&lt;=120,I603*1.1+7,IF(I603&lt;=250,I603*1.1+11,I603*1.1+19))),
IF(L603="NORMAL",
   IF(I603&lt;=30,I603*1.15+2,IF(I603&lt;=80,I603*1.15+4,IF(I603&lt;=150,I603*1.15+6,I603*1.15+8))),
IF(L603="COMPLEMENTO",
   IF(I603&lt;=25,I603*1.25+1.5,IF(I603&lt;=60,I603*1.25+3,IF(I603&lt;=120,I603*1.25+4,I603*1.25+5))),
""))),2)</f>
        <v>681.51</v>
      </c>
      <c r="I603" s="9">
        <f>($K$2+0.02)*Tabla1[[#This Row],[PRECIO $]]*1.18</f>
        <v>585.6576</v>
      </c>
      <c r="J603" s="7">
        <f>+Tabla1[[#This Row],[PRECIO EN SOLES]]-Tabla1[[#This Row],[PC]]</f>
        <v>95.852399999999989</v>
      </c>
      <c r="K603" s="15"/>
      <c r="L603" s="15" t="str">
        <f t="shared" si="9"/>
        <v>NORMAL</v>
      </c>
    </row>
    <row r="604" spans="1:12" x14ac:dyDescent="0.25">
      <c r="A604" s="3" t="s">
        <v>4942</v>
      </c>
      <c r="B604" s="3" t="s">
        <v>4943</v>
      </c>
      <c r="C604" s="1">
        <v>15</v>
      </c>
      <c r="D604" s="1">
        <v>108</v>
      </c>
      <c r="E604" s="1" t="s">
        <v>223</v>
      </c>
      <c r="F604" s="1" t="s">
        <v>4944</v>
      </c>
      <c r="G604" s="3" t="s">
        <v>4945</v>
      </c>
      <c r="H604" s="11">
        <f>ROUND(
IF(L604="GANCHO",
   IF(I604&lt;=50,I604*1.1+4,IF(I604&lt;=120,I604*1.1+7,IF(I604&lt;=250,I604*1.1+11,I604*1.1+19))),
IF(L604="NORMAL",
   IF(I604&lt;=30,I604*1.15+2,IF(I604&lt;=80,I604*1.15+4,IF(I604&lt;=150,I604*1.15+6,I604*1.15+8))),
IF(L604="COMPLEMENTO",
   IF(I604&lt;=25,I604*1.25+1.5,IF(I604&lt;=60,I604*1.25+3,IF(I604&lt;=120,I604*1.25+4,I604*1.25+5))),
""))),2)</f>
        <v>523.88</v>
      </c>
      <c r="I604" s="9">
        <f>($K$2+0.02)*Tabla1[[#This Row],[PRECIO $]]*1.18</f>
        <v>448.58879999999999</v>
      </c>
      <c r="J604" s="7">
        <f>+Tabla1[[#This Row],[PRECIO EN SOLES]]-Tabla1[[#This Row],[PC]]</f>
        <v>75.291200000000003</v>
      </c>
      <c r="K604" s="15"/>
      <c r="L604" s="15" t="str">
        <f t="shared" si="9"/>
        <v>NORMAL</v>
      </c>
    </row>
    <row r="605" spans="1:12" x14ac:dyDescent="0.25">
      <c r="A605" s="3" t="s">
        <v>4946</v>
      </c>
      <c r="B605" s="3" t="s">
        <v>4947</v>
      </c>
      <c r="C605" s="1">
        <v>20</v>
      </c>
      <c r="D605" s="1">
        <v>101.6</v>
      </c>
      <c r="E605" s="1" t="s">
        <v>223</v>
      </c>
      <c r="F605" s="1" t="s">
        <v>4948</v>
      </c>
      <c r="G605" s="3" t="s">
        <v>4949</v>
      </c>
      <c r="H605" s="11">
        <f>ROUND(
IF(L605="GANCHO",
   IF(I605&lt;=50,I605*1.1+4,IF(I605&lt;=120,I605*1.1+7,IF(I605&lt;=250,I605*1.1+11,I605*1.1+19))),
IF(L605="NORMAL",
   IF(I605&lt;=30,I605*1.15+2,IF(I605&lt;=80,I605*1.15+4,IF(I605&lt;=150,I605*1.15+6,I605*1.15+8))),
IF(L605="COMPLEMENTO",
   IF(I605&lt;=25,I605*1.25+1.5,IF(I605&lt;=60,I605*1.25+3,IF(I605&lt;=120,I605*1.25+4,I605*1.25+5))),
""))),2)</f>
        <v>493.31</v>
      </c>
      <c r="I605" s="9">
        <f>($K$2+0.02)*Tabla1[[#This Row],[PRECIO $]]*1.18</f>
        <v>422.00576000000001</v>
      </c>
      <c r="J605" s="7">
        <f>+Tabla1[[#This Row],[PRECIO EN SOLES]]-Tabla1[[#This Row],[PC]]</f>
        <v>71.304239999999993</v>
      </c>
      <c r="K605" s="15"/>
      <c r="L605" s="15" t="str">
        <f t="shared" si="9"/>
        <v>NORMAL</v>
      </c>
    </row>
    <row r="606" spans="1:12" x14ac:dyDescent="0.25">
      <c r="A606" s="3" t="s">
        <v>1231</v>
      </c>
      <c r="B606" s="3" t="s">
        <v>1232</v>
      </c>
      <c r="C606" s="1">
        <v>20</v>
      </c>
      <c r="D606" s="1">
        <v>90.5</v>
      </c>
      <c r="E606" s="1" t="s">
        <v>847</v>
      </c>
      <c r="F606" s="1" t="s">
        <v>3140</v>
      </c>
      <c r="G606" s="3" t="s">
        <v>1233</v>
      </c>
      <c r="H606" s="11">
        <f>ROUND(
IF(L606="GANCHO",
   IF(I606&lt;=50,I606*1.1+4,IF(I606&lt;=120,I606*1.1+7,IF(I606&lt;=250,I606*1.1+11,I606*1.1+19))),
IF(L606="NORMAL",
   IF(I606&lt;=30,I606*1.15+2,IF(I606&lt;=80,I606*1.15+4,IF(I606&lt;=150,I606*1.15+6,I606*1.15+8))),
IF(L606="COMPLEMENTO",
   IF(I606&lt;=25,I606*1.25+1.5,IF(I606&lt;=60,I606*1.25+3,IF(I606&lt;=120,I606*1.25+4,I606*1.25+5))),
""))),2)</f>
        <v>440.29</v>
      </c>
      <c r="I606" s="9">
        <f>($K$2+0.02)*Tabla1[[#This Row],[PRECIO $]]*1.18</f>
        <v>375.9008</v>
      </c>
      <c r="J606" s="7">
        <f>+Tabla1[[#This Row],[PRECIO EN SOLES]]-Tabla1[[#This Row],[PC]]</f>
        <v>64.389200000000017</v>
      </c>
      <c r="K606" s="15"/>
      <c r="L606" s="15" t="str">
        <f t="shared" si="9"/>
        <v>NORMAL</v>
      </c>
    </row>
    <row r="607" spans="1:12" x14ac:dyDescent="0.25">
      <c r="A607" s="3" t="s">
        <v>1234</v>
      </c>
      <c r="B607" s="3" t="s">
        <v>1235</v>
      </c>
      <c r="C607" s="1">
        <v>20</v>
      </c>
      <c r="D607" s="1">
        <v>111.6</v>
      </c>
      <c r="E607" s="1" t="s">
        <v>847</v>
      </c>
      <c r="F607" s="1" t="s">
        <v>3141</v>
      </c>
      <c r="G607" s="3" t="s">
        <v>1236</v>
      </c>
      <c r="H607" s="11">
        <f>ROUND(
IF(L607="GANCHO",
   IF(I607&lt;=50,I607*1.1+4,IF(I607&lt;=120,I607*1.1+7,IF(I607&lt;=250,I607*1.1+11,I607*1.1+19))),
IF(L607="NORMAL",
   IF(I607&lt;=30,I607*1.15+2,IF(I607&lt;=80,I607*1.15+4,IF(I607&lt;=150,I607*1.15+6,I607*1.15+8))),
IF(L607="COMPLEMENTO",
   IF(I607&lt;=25,I607*1.25+1.5,IF(I607&lt;=60,I607*1.25+3,IF(I607&lt;=120,I607*1.25+4,I607*1.25+5))),
""))),2)</f>
        <v>541.07000000000005</v>
      </c>
      <c r="I607" s="9">
        <f>($K$2+0.02)*Tabla1[[#This Row],[PRECIO $]]*1.18</f>
        <v>463.54175999999995</v>
      </c>
      <c r="J607" s="7">
        <f>+Tabla1[[#This Row],[PRECIO EN SOLES]]-Tabla1[[#This Row],[PC]]</f>
        <v>77.528240000000096</v>
      </c>
      <c r="K607" s="15"/>
      <c r="L607" s="15" t="str">
        <f t="shared" si="9"/>
        <v>NORMAL</v>
      </c>
    </row>
    <row r="608" spans="1:12" x14ac:dyDescent="0.25">
      <c r="A608" s="3" t="s">
        <v>5456</v>
      </c>
      <c r="B608" s="3" t="s">
        <v>5457</v>
      </c>
      <c r="C608" s="1">
        <v>20</v>
      </c>
      <c r="D608" s="1">
        <v>115</v>
      </c>
      <c r="E608" s="1" t="s">
        <v>847</v>
      </c>
      <c r="F608" s="1" t="s">
        <v>5458</v>
      </c>
      <c r="G608" s="3" t="s">
        <v>5459</v>
      </c>
      <c r="H608" s="11">
        <f>ROUND(
IF(L608="GANCHO",
   IF(I608&lt;=50,I608*1.1+4,IF(I608&lt;=120,I608*1.1+7,IF(I608&lt;=250,I608*1.1+11,I608*1.1+19))),
IF(L608="NORMAL",
   IF(I608&lt;=30,I608*1.15+2,IF(I608&lt;=80,I608*1.15+4,IF(I608&lt;=150,I608*1.15+6,I608*1.15+8))),
IF(L608="COMPLEMENTO",
   IF(I608&lt;=25,I608*1.25+1.5,IF(I608&lt;=60,I608*1.25+3,IF(I608&lt;=120,I608*1.25+4,I608*1.25+5))),
""))),2)</f>
        <v>557.30999999999995</v>
      </c>
      <c r="I608" s="9">
        <f>($K$2+0.02)*Tabla1[[#This Row],[PRECIO $]]*1.18</f>
        <v>477.66399999999999</v>
      </c>
      <c r="J608" s="7">
        <f>+Tabla1[[#This Row],[PRECIO EN SOLES]]-Tabla1[[#This Row],[PC]]</f>
        <v>79.645999999999958</v>
      </c>
      <c r="K608" s="15"/>
      <c r="L608" s="15" t="str">
        <f t="shared" si="9"/>
        <v>NORMAL</v>
      </c>
    </row>
    <row r="609" spans="1:12" x14ac:dyDescent="0.25">
      <c r="A609" s="3" t="s">
        <v>4950</v>
      </c>
      <c r="B609" s="3" t="s">
        <v>4951</v>
      </c>
      <c r="C609" s="1">
        <v>20</v>
      </c>
      <c r="D609" s="1">
        <v>68.5</v>
      </c>
      <c r="E609" s="1" t="s">
        <v>115</v>
      </c>
      <c r="F609" s="1" t="s">
        <v>4952</v>
      </c>
      <c r="G609" s="3" t="s">
        <v>4953</v>
      </c>
      <c r="H609" s="11">
        <f>ROUND(
IF(L609="GANCHO",
   IF(I609&lt;=50,I609*1.1+4,IF(I609&lt;=120,I609*1.1+7,IF(I609&lt;=250,I609*1.1+11,I609*1.1+19))),
IF(L609="NORMAL",
   IF(I609&lt;=30,I609*1.15+2,IF(I609&lt;=80,I609*1.15+4,IF(I609&lt;=150,I609*1.15+6,I609*1.15+8))),
IF(L609="COMPLEMENTO",
   IF(I609&lt;=25,I609*1.25+1.5,IF(I609&lt;=60,I609*1.25+3,IF(I609&lt;=120,I609*1.25+4,I609*1.25+5))),
""))),2)</f>
        <v>335.2</v>
      </c>
      <c r="I609" s="9">
        <f>($K$2+0.02)*Tabla1[[#This Row],[PRECIO $]]*1.18</f>
        <v>284.52159999999998</v>
      </c>
      <c r="J609" s="7">
        <f>+Tabla1[[#This Row],[PRECIO EN SOLES]]-Tabla1[[#This Row],[PC]]</f>
        <v>50.678400000000011</v>
      </c>
      <c r="K609" s="15"/>
      <c r="L609" s="15" t="str">
        <f t="shared" si="9"/>
        <v>NORMAL</v>
      </c>
    </row>
    <row r="610" spans="1:12" x14ac:dyDescent="0.25">
      <c r="A610" s="3" t="s">
        <v>1237</v>
      </c>
      <c r="B610" s="3" t="s">
        <v>1238</v>
      </c>
      <c r="C610" s="1">
        <v>20</v>
      </c>
      <c r="D610" s="1">
        <v>110</v>
      </c>
      <c r="E610" s="1" t="s">
        <v>115</v>
      </c>
      <c r="F610" s="1" t="s">
        <v>3142</v>
      </c>
      <c r="G610" s="3" t="s">
        <v>1239</v>
      </c>
      <c r="H610" s="11">
        <f>ROUND(
IF(L610="GANCHO",
   IF(I610&lt;=50,I610*1.1+4,IF(I610&lt;=120,I610*1.1+7,IF(I610&lt;=250,I610*1.1+11,I610*1.1+19))),
IF(L610="NORMAL",
   IF(I610&lt;=30,I610*1.15+2,IF(I610&lt;=80,I610*1.15+4,IF(I610&lt;=150,I610*1.15+6,I610*1.15+8))),
IF(L610="COMPLEMENTO",
   IF(I610&lt;=25,I610*1.25+1.5,IF(I610&lt;=60,I610*1.25+3,IF(I610&lt;=120,I610*1.25+4,I610*1.25+5))),
""))),2)</f>
        <v>533.42999999999995</v>
      </c>
      <c r="I610" s="9">
        <f>($K$2+0.02)*Tabla1[[#This Row],[PRECIO $]]*1.18</f>
        <v>456.89599999999996</v>
      </c>
      <c r="J610" s="7">
        <f>+Tabla1[[#This Row],[PRECIO EN SOLES]]-Tabla1[[#This Row],[PC]]</f>
        <v>76.533999999999992</v>
      </c>
      <c r="K610" s="15"/>
      <c r="L610" s="15" t="str">
        <f t="shared" si="9"/>
        <v>NORMAL</v>
      </c>
    </row>
    <row r="611" spans="1:12" x14ac:dyDescent="0.25">
      <c r="A611" s="3" t="s">
        <v>1240</v>
      </c>
      <c r="B611" s="3" t="s">
        <v>1241</v>
      </c>
      <c r="C611" s="1">
        <v>20</v>
      </c>
      <c r="D611" s="1">
        <v>75.400000000000006</v>
      </c>
      <c r="E611" s="1" t="s">
        <v>115</v>
      </c>
      <c r="F611" s="1" t="s">
        <v>3143</v>
      </c>
      <c r="G611" s="3" t="s">
        <v>1242</v>
      </c>
      <c r="H611" s="11">
        <f>ROUND(
IF(L611="GANCHO",
   IF(I611&lt;=50,I611*1.1+4,IF(I611&lt;=120,I611*1.1+7,IF(I611&lt;=250,I611*1.1+11,I611*1.1+19))),
IF(L611="NORMAL",
   IF(I611&lt;=30,I611*1.15+2,IF(I611&lt;=80,I611*1.15+4,IF(I611&lt;=150,I611*1.15+6,I611*1.15+8))),
IF(L611="COMPLEMENTO",
   IF(I611&lt;=25,I611*1.25+1.5,IF(I611&lt;=60,I611*1.25+3,IF(I611&lt;=120,I611*1.25+4,I611*1.25+5))),
""))),2)</f>
        <v>368.16</v>
      </c>
      <c r="I611" s="9">
        <f>($K$2+0.02)*Tabla1[[#This Row],[PRECIO $]]*1.18</f>
        <v>313.18144000000001</v>
      </c>
      <c r="J611" s="7">
        <f>+Tabla1[[#This Row],[PRECIO EN SOLES]]-Tabla1[[#This Row],[PC]]</f>
        <v>54.978560000000016</v>
      </c>
      <c r="K611" s="15"/>
      <c r="L611" s="15" t="str">
        <f t="shared" si="9"/>
        <v>NORMAL</v>
      </c>
    </row>
    <row r="612" spans="1:12" x14ac:dyDescent="0.25">
      <c r="A612" s="3" t="s">
        <v>1243</v>
      </c>
      <c r="B612" s="3" t="s">
        <v>1244</v>
      </c>
      <c r="C612" s="1">
        <v>9</v>
      </c>
      <c r="D612" s="1">
        <v>91.5</v>
      </c>
      <c r="E612" s="1" t="s">
        <v>223</v>
      </c>
      <c r="F612" s="1" t="s">
        <v>3144</v>
      </c>
      <c r="G612" s="3" t="s">
        <v>1245</v>
      </c>
      <c r="H612" s="11">
        <f>ROUND(
IF(L612="GANCHO",
   IF(I612&lt;=50,I612*1.1+4,IF(I612&lt;=120,I612*1.1+7,IF(I612&lt;=250,I612*1.1+11,I612*1.1+19))),
IF(L612="NORMAL",
   IF(I612&lt;=30,I612*1.15+2,IF(I612&lt;=80,I612*1.15+4,IF(I612&lt;=150,I612*1.15+6,I612*1.15+8))),
IF(L612="COMPLEMENTO",
   IF(I612&lt;=25,I612*1.25+1.5,IF(I612&lt;=60,I612*1.25+3,IF(I612&lt;=120,I612*1.25+4,I612*1.25+5))),
""))),2)</f>
        <v>445.06</v>
      </c>
      <c r="I612" s="9">
        <f>($K$2+0.02)*Tabla1[[#This Row],[PRECIO $]]*1.18</f>
        <v>380.05439999999999</v>
      </c>
      <c r="J612" s="7">
        <f>+Tabla1[[#This Row],[PRECIO EN SOLES]]-Tabla1[[#This Row],[PC]]</f>
        <v>65.005600000000015</v>
      </c>
      <c r="K612" s="15"/>
      <c r="L612" s="15" t="str">
        <f t="shared" si="9"/>
        <v>NORMAL</v>
      </c>
    </row>
    <row r="613" spans="1:12" x14ac:dyDescent="0.25">
      <c r="A613" s="3" t="s">
        <v>4240</v>
      </c>
      <c r="B613" s="3" t="s">
        <v>4241</v>
      </c>
      <c r="C613" s="1">
        <v>20</v>
      </c>
      <c r="D613" s="1">
        <v>96.4</v>
      </c>
      <c r="E613" s="1" t="s">
        <v>223</v>
      </c>
      <c r="F613" s="1" t="s">
        <v>4242</v>
      </c>
      <c r="G613" s="3" t="s">
        <v>4243</v>
      </c>
      <c r="H613" s="11">
        <f>ROUND(
IF(L613="GANCHO",
   IF(I613&lt;=50,I613*1.1+4,IF(I613&lt;=120,I613*1.1+7,IF(I613&lt;=250,I613*1.1+11,I613*1.1+19))),
IF(L613="NORMAL",
   IF(I613&lt;=30,I613*1.15+2,IF(I613&lt;=80,I613*1.15+4,IF(I613&lt;=150,I613*1.15+6,I613*1.15+8))),
IF(L613="COMPLEMENTO",
   IF(I613&lt;=25,I613*1.25+1.5,IF(I613&lt;=60,I613*1.25+3,IF(I613&lt;=120,I613*1.25+4,I613*1.25+5))),
""))),2)</f>
        <v>468.47</v>
      </c>
      <c r="I613" s="9">
        <f>($K$2+0.02)*Tabla1[[#This Row],[PRECIO $]]*1.18</f>
        <v>400.40703999999999</v>
      </c>
      <c r="J613" s="7">
        <f>+Tabla1[[#This Row],[PRECIO EN SOLES]]-Tabla1[[#This Row],[PC]]</f>
        <v>68.062960000000032</v>
      </c>
      <c r="K613" s="15"/>
      <c r="L613" s="15" t="str">
        <f t="shared" si="9"/>
        <v>NORMAL</v>
      </c>
    </row>
    <row r="614" spans="1:12" x14ac:dyDescent="0.25">
      <c r="A614" s="3" t="s">
        <v>4244</v>
      </c>
      <c r="B614" s="3" t="s">
        <v>4245</v>
      </c>
      <c r="C614" s="1">
        <v>20</v>
      </c>
      <c r="D614" s="1">
        <v>109.2</v>
      </c>
      <c r="E614" s="1" t="s">
        <v>223</v>
      </c>
      <c r="F614" s="1" t="s">
        <v>4246</v>
      </c>
      <c r="G614" s="3" t="s">
        <v>4247</v>
      </c>
      <c r="H614" s="11">
        <f>ROUND(
IF(L614="GANCHO",
   IF(I614&lt;=50,I614*1.1+4,IF(I614&lt;=120,I614*1.1+7,IF(I614&lt;=250,I614*1.1+11,I614*1.1+19))),
IF(L614="NORMAL",
   IF(I614&lt;=30,I614*1.15+2,IF(I614&lt;=80,I614*1.15+4,IF(I614&lt;=150,I614*1.15+6,I614*1.15+8))),
IF(L614="COMPLEMENTO",
   IF(I614&lt;=25,I614*1.25+1.5,IF(I614&lt;=60,I614*1.25+3,IF(I614&lt;=120,I614*1.25+4,I614*1.25+5))),
""))),2)</f>
        <v>529.61</v>
      </c>
      <c r="I614" s="9">
        <f>($K$2+0.02)*Tabla1[[#This Row],[PRECIO $]]*1.18</f>
        <v>453.57312000000002</v>
      </c>
      <c r="J614" s="7">
        <f>+Tabla1[[#This Row],[PRECIO EN SOLES]]-Tabla1[[#This Row],[PC]]</f>
        <v>76.036879999999996</v>
      </c>
      <c r="K614" s="15"/>
      <c r="L614" s="15" t="str">
        <f t="shared" si="9"/>
        <v>NORMAL</v>
      </c>
    </row>
    <row r="615" spans="1:12" x14ac:dyDescent="0.25">
      <c r="A615" s="3" t="s">
        <v>4248</v>
      </c>
      <c r="B615" s="3" t="s">
        <v>4249</v>
      </c>
      <c r="C615" s="1">
        <v>18</v>
      </c>
      <c r="D615" s="1">
        <v>104.6</v>
      </c>
      <c r="E615" s="1" t="s">
        <v>223</v>
      </c>
      <c r="F615" s="1" t="s">
        <v>4250</v>
      </c>
      <c r="G615" s="3" t="s">
        <v>4251</v>
      </c>
      <c r="H615" s="11">
        <f>ROUND(
IF(L615="GANCHO",
   IF(I615&lt;=50,I615*1.1+4,IF(I615&lt;=120,I615*1.1+7,IF(I615&lt;=250,I615*1.1+11,I615*1.1+19))),
IF(L615="NORMAL",
   IF(I615&lt;=30,I615*1.15+2,IF(I615&lt;=80,I615*1.15+4,IF(I615&lt;=150,I615*1.15+6,I615*1.15+8))),
IF(L615="COMPLEMENTO",
   IF(I615&lt;=25,I615*1.25+1.5,IF(I615&lt;=60,I615*1.25+3,IF(I615&lt;=120,I615*1.25+4,I615*1.25+5))),
""))),2)</f>
        <v>507.64</v>
      </c>
      <c r="I615" s="9">
        <f>($K$2+0.02)*Tabla1[[#This Row],[PRECIO $]]*1.18</f>
        <v>434.46655999999996</v>
      </c>
      <c r="J615" s="7">
        <f>+Tabla1[[#This Row],[PRECIO EN SOLES]]-Tabla1[[#This Row],[PC]]</f>
        <v>73.173440000000028</v>
      </c>
      <c r="K615" s="15"/>
      <c r="L615" s="15" t="str">
        <f t="shared" si="9"/>
        <v>NORMAL</v>
      </c>
    </row>
    <row r="616" spans="1:12" x14ac:dyDescent="0.25">
      <c r="A616" s="3" t="s">
        <v>4252</v>
      </c>
      <c r="B616" s="3" t="s">
        <v>4253</v>
      </c>
      <c r="C616" s="1">
        <v>20</v>
      </c>
      <c r="D616" s="1">
        <v>107.1</v>
      </c>
      <c r="E616" s="1" t="s">
        <v>223</v>
      </c>
      <c r="F616" s="1" t="s">
        <v>4254</v>
      </c>
      <c r="G616" s="3" t="s">
        <v>4255</v>
      </c>
      <c r="H616" s="11">
        <f>ROUND(
IF(L616="GANCHO",
   IF(I616&lt;=50,I616*1.1+4,IF(I616&lt;=120,I616*1.1+7,IF(I616&lt;=250,I616*1.1+11,I616*1.1+19))),
IF(L616="NORMAL",
   IF(I616&lt;=30,I616*1.15+2,IF(I616&lt;=80,I616*1.15+4,IF(I616&lt;=150,I616*1.15+6,I616*1.15+8))),
IF(L616="COMPLEMENTO",
   IF(I616&lt;=25,I616*1.25+1.5,IF(I616&lt;=60,I616*1.25+3,IF(I616&lt;=120,I616*1.25+4,I616*1.25+5))),
""))),2)</f>
        <v>519.58000000000004</v>
      </c>
      <c r="I616" s="9">
        <f>($K$2+0.02)*Tabla1[[#This Row],[PRECIO $]]*1.18</f>
        <v>444.85055999999992</v>
      </c>
      <c r="J616" s="7">
        <f>+Tabla1[[#This Row],[PRECIO EN SOLES]]-Tabla1[[#This Row],[PC]]</f>
        <v>74.729440000000125</v>
      </c>
      <c r="K616" s="15"/>
      <c r="L616" s="15" t="str">
        <f t="shared" si="9"/>
        <v>NORMAL</v>
      </c>
    </row>
    <row r="617" spans="1:12" x14ac:dyDescent="0.25">
      <c r="A617" s="3" t="s">
        <v>4954</v>
      </c>
      <c r="B617" s="3" t="s">
        <v>4955</v>
      </c>
      <c r="C617" s="1">
        <v>20</v>
      </c>
      <c r="D617" s="1">
        <v>74.900000000000006</v>
      </c>
      <c r="E617" s="1" t="s">
        <v>223</v>
      </c>
      <c r="F617" s="1" t="s">
        <v>4956</v>
      </c>
      <c r="G617" s="3" t="s">
        <v>4957</v>
      </c>
      <c r="H617" s="11">
        <f>ROUND(
IF(L617="GANCHO",
   IF(I617&lt;=50,I617*1.1+4,IF(I617&lt;=120,I617*1.1+7,IF(I617&lt;=250,I617*1.1+11,I617*1.1+19))),
IF(L617="NORMAL",
   IF(I617&lt;=30,I617*1.15+2,IF(I617&lt;=80,I617*1.15+4,IF(I617&lt;=150,I617*1.15+6,I617*1.15+8))),
IF(L617="COMPLEMENTO",
   IF(I617&lt;=25,I617*1.25+1.5,IF(I617&lt;=60,I617*1.25+3,IF(I617&lt;=120,I617*1.25+4,I617*1.25+5))),
""))),2)</f>
        <v>365.77</v>
      </c>
      <c r="I617" s="9">
        <f>($K$2+0.02)*Tabla1[[#This Row],[PRECIO $]]*1.18</f>
        <v>311.10464000000002</v>
      </c>
      <c r="J617" s="7">
        <f>+Tabla1[[#This Row],[PRECIO EN SOLES]]-Tabla1[[#This Row],[PC]]</f>
        <v>54.665359999999964</v>
      </c>
      <c r="K617" s="15"/>
      <c r="L617" s="15" t="str">
        <f t="shared" si="9"/>
        <v>NORMAL</v>
      </c>
    </row>
    <row r="618" spans="1:12" x14ac:dyDescent="0.25">
      <c r="A618" s="3" t="s">
        <v>5460</v>
      </c>
      <c r="B618" s="3" t="s">
        <v>5461</v>
      </c>
      <c r="C618" s="1">
        <v>20</v>
      </c>
      <c r="D618" s="1">
        <v>73.45</v>
      </c>
      <c r="E618" s="1" t="s">
        <v>121</v>
      </c>
      <c r="F618" s="1" t="s">
        <v>5462</v>
      </c>
      <c r="G618" s="3" t="s">
        <v>5463</v>
      </c>
      <c r="H618" s="11">
        <f>ROUND(
IF(L618="GANCHO",
   IF(I618&lt;=50,I618*1.1+4,IF(I618&lt;=120,I618*1.1+7,IF(I618&lt;=250,I618*1.1+11,I618*1.1+19))),
IF(L618="NORMAL",
   IF(I618&lt;=30,I618*1.15+2,IF(I618&lt;=80,I618*1.15+4,IF(I618&lt;=150,I618*1.15+6,I618*1.15+8))),
IF(L618="COMPLEMENTO",
   IF(I618&lt;=25,I618*1.25+1.5,IF(I618&lt;=60,I618*1.25+3,IF(I618&lt;=120,I618*1.25+4,I618*1.25+5))),
""))),2)</f>
        <v>358.84</v>
      </c>
      <c r="I618" s="9">
        <f>($K$2+0.02)*Tabla1[[#This Row],[PRECIO $]]*1.18</f>
        <v>305.08192000000003</v>
      </c>
      <c r="J618" s="7">
        <f>+Tabla1[[#This Row],[PRECIO EN SOLES]]-Tabla1[[#This Row],[PC]]</f>
        <v>53.75807999999995</v>
      </c>
      <c r="K618" s="15"/>
      <c r="L618" s="15" t="str">
        <f t="shared" si="9"/>
        <v>NORMAL</v>
      </c>
    </row>
    <row r="619" spans="1:12" x14ac:dyDescent="0.25">
      <c r="A619" s="3" t="s">
        <v>3992</v>
      </c>
      <c r="B619" s="3" t="s">
        <v>3993</v>
      </c>
      <c r="C619" s="1">
        <v>6</v>
      </c>
      <c r="D619" s="1">
        <v>120.7</v>
      </c>
      <c r="E619" s="1" t="s">
        <v>121</v>
      </c>
      <c r="F619" s="1" t="s">
        <v>3994</v>
      </c>
      <c r="G619" s="3" t="s">
        <v>3995</v>
      </c>
      <c r="H619" s="11">
        <f>ROUND(
IF(L619="GANCHO",
   IF(I619&lt;=50,I619*1.1+4,IF(I619&lt;=120,I619*1.1+7,IF(I619&lt;=250,I619*1.1+11,I619*1.1+19))),
IF(L619="NORMAL",
   IF(I619&lt;=30,I619*1.15+2,IF(I619&lt;=80,I619*1.15+4,IF(I619&lt;=150,I619*1.15+6,I619*1.15+8))),
IF(L619="COMPLEMENTO",
   IF(I619&lt;=25,I619*1.25+1.5,IF(I619&lt;=60,I619*1.25+3,IF(I619&lt;=120,I619*1.25+4,I619*1.25+5))),
""))),2)</f>
        <v>584.54</v>
      </c>
      <c r="I619" s="9">
        <f>($K$2+0.02)*Tabla1[[#This Row],[PRECIO $]]*1.18</f>
        <v>501.33951999999999</v>
      </c>
      <c r="J619" s="7">
        <f>+Tabla1[[#This Row],[PRECIO EN SOLES]]-Tabla1[[#This Row],[PC]]</f>
        <v>83.20047999999997</v>
      </c>
      <c r="K619" s="15"/>
      <c r="L619" s="15" t="str">
        <f t="shared" si="9"/>
        <v>NORMAL</v>
      </c>
    </row>
    <row r="620" spans="1:12" x14ac:dyDescent="0.25">
      <c r="A620" s="3" t="s">
        <v>2744</v>
      </c>
      <c r="B620" s="3" t="s">
        <v>2745</v>
      </c>
      <c r="C620" s="1">
        <v>15</v>
      </c>
      <c r="D620" s="1">
        <v>231.5</v>
      </c>
      <c r="E620" s="1" t="s">
        <v>121</v>
      </c>
      <c r="F620" s="1" t="s">
        <v>3165</v>
      </c>
      <c r="G620" s="3" t="s">
        <v>4754</v>
      </c>
      <c r="H620" s="11">
        <f>ROUND(
IF(L620="GANCHO",
   IF(I620&lt;=50,I620*1.1+4,IF(I620&lt;=120,I620*1.1+7,IF(I620&lt;=250,I620*1.1+11,I620*1.1+19))),
IF(L620="NORMAL",
   IF(I620&lt;=30,I620*1.15+2,IF(I620&lt;=80,I620*1.15+4,IF(I620&lt;=150,I620*1.15+6,I620*1.15+8))),
IF(L620="COMPLEMENTO",
   IF(I620&lt;=25,I620*1.25+1.5,IF(I620&lt;=60,I620*1.25+3,IF(I620&lt;=120,I620*1.25+4,I620*1.25+5))),
""))),2)</f>
        <v>1113.79</v>
      </c>
      <c r="I620" s="9">
        <f>($K$2+0.02)*Tabla1[[#This Row],[PRECIO $]]*1.18</f>
        <v>961.55839999999989</v>
      </c>
      <c r="J620" s="7">
        <f>+Tabla1[[#This Row],[PRECIO EN SOLES]]-Tabla1[[#This Row],[PC]]</f>
        <v>152.23160000000007</v>
      </c>
      <c r="K620" s="15"/>
      <c r="L620" s="15" t="str">
        <f t="shared" si="9"/>
        <v>NORMAL</v>
      </c>
    </row>
    <row r="621" spans="1:12" x14ac:dyDescent="0.25">
      <c r="A621" s="3" t="s">
        <v>1246</v>
      </c>
      <c r="B621" s="3" t="s">
        <v>1247</v>
      </c>
      <c r="C621" s="1">
        <v>1</v>
      </c>
      <c r="D621" s="1">
        <v>182</v>
      </c>
      <c r="E621" s="1" t="s">
        <v>847</v>
      </c>
      <c r="F621" s="1" t="s">
        <v>3145</v>
      </c>
      <c r="G621" s="3" t="s">
        <v>1248</v>
      </c>
      <c r="H621" s="11">
        <f>ROUND(
IF(L621="GANCHO",
   IF(I621&lt;=50,I621*1.1+4,IF(I621&lt;=120,I621*1.1+7,IF(I621&lt;=250,I621*1.1+11,I621*1.1+19))),
IF(L621="NORMAL",
   IF(I621&lt;=30,I621*1.15+2,IF(I621&lt;=80,I621*1.15+4,IF(I621&lt;=150,I621*1.15+6,I621*1.15+8))),
IF(L621="COMPLEMENTO",
   IF(I621&lt;=25,I621*1.25+1.5,IF(I621&lt;=60,I621*1.25+3,IF(I621&lt;=120,I621*1.25+4,I621*1.25+5))),
""))),2)</f>
        <v>877.35</v>
      </c>
      <c r="I621" s="9">
        <f>($K$2+0.02)*Tabla1[[#This Row],[PRECIO $]]*1.18</f>
        <v>755.95519999999999</v>
      </c>
      <c r="J621" s="7">
        <f>+Tabla1[[#This Row],[PRECIO EN SOLES]]-Tabla1[[#This Row],[PC]]</f>
        <v>121.39480000000003</v>
      </c>
      <c r="K621" s="15"/>
      <c r="L621" s="15" t="str">
        <f t="shared" si="9"/>
        <v>NORMAL</v>
      </c>
    </row>
    <row r="622" spans="1:12" x14ac:dyDescent="0.25">
      <c r="A622" s="3" t="s">
        <v>1249</v>
      </c>
      <c r="B622" s="3" t="s">
        <v>1250</v>
      </c>
      <c r="C622" s="1">
        <v>9</v>
      </c>
      <c r="D622" s="1">
        <v>128.19999999999999</v>
      </c>
      <c r="E622" s="1" t="s">
        <v>115</v>
      </c>
      <c r="F622" s="1" t="s">
        <v>3146</v>
      </c>
      <c r="G622" s="3" t="s">
        <v>1251</v>
      </c>
      <c r="H622" s="11">
        <f>ROUND(
IF(L622="GANCHO",
   IF(I622&lt;=50,I622*1.1+4,IF(I622&lt;=120,I622*1.1+7,IF(I622&lt;=250,I622*1.1+11,I622*1.1+19))),
IF(L622="NORMAL",
   IF(I622&lt;=30,I622*1.15+2,IF(I622&lt;=80,I622*1.15+4,IF(I622&lt;=150,I622*1.15+6,I622*1.15+8))),
IF(L622="COMPLEMENTO",
   IF(I622&lt;=25,I622*1.25+1.5,IF(I622&lt;=60,I622*1.25+3,IF(I622&lt;=120,I622*1.25+4,I622*1.25+5))),
""))),2)</f>
        <v>620.37</v>
      </c>
      <c r="I622" s="9">
        <f>($K$2+0.02)*Tabla1[[#This Row],[PRECIO $]]*1.18</f>
        <v>532.49151999999992</v>
      </c>
      <c r="J622" s="7">
        <f>+Tabla1[[#This Row],[PRECIO EN SOLES]]-Tabla1[[#This Row],[PC]]</f>
        <v>87.878480000000081</v>
      </c>
      <c r="K622" s="15"/>
      <c r="L622" s="15" t="str">
        <f t="shared" si="9"/>
        <v>NORMAL</v>
      </c>
    </row>
    <row r="623" spans="1:12" x14ac:dyDescent="0.25">
      <c r="A623" s="3" t="s">
        <v>1252</v>
      </c>
      <c r="B623" s="3" t="s">
        <v>1253</v>
      </c>
      <c r="C623" s="1">
        <v>6</v>
      </c>
      <c r="D623" s="1">
        <v>305</v>
      </c>
      <c r="E623" s="1" t="s">
        <v>115</v>
      </c>
      <c r="F623" s="1" t="s">
        <v>3147</v>
      </c>
      <c r="G623" s="3" t="s">
        <v>1254</v>
      </c>
      <c r="H623" s="11">
        <f>ROUND(
IF(L623="GANCHO",
   IF(I623&lt;=50,I623*1.1+4,IF(I623&lt;=120,I623*1.1+7,IF(I623&lt;=250,I623*1.1+11,I623*1.1+19))),
IF(L623="NORMAL",
   IF(I623&lt;=30,I623*1.15+2,IF(I623&lt;=80,I623*1.15+4,IF(I623&lt;=150,I623*1.15+6,I623*1.15+8))),
IF(L623="COMPLEMENTO",
   IF(I623&lt;=25,I623*1.25+1.5,IF(I623&lt;=60,I623*1.25+3,IF(I623&lt;=120,I623*1.25+4,I623*1.25+5))),
""))),2)</f>
        <v>1464.88</v>
      </c>
      <c r="I623" s="9">
        <f>($K$2+0.02)*Tabla1[[#This Row],[PRECIO $]]*1.18</f>
        <v>1266.8479999999997</v>
      </c>
      <c r="J623" s="7">
        <f>+Tabla1[[#This Row],[PRECIO EN SOLES]]-Tabla1[[#This Row],[PC]]</f>
        <v>198.03200000000038</v>
      </c>
      <c r="K623" s="15"/>
      <c r="L623" s="15" t="str">
        <f t="shared" si="9"/>
        <v>NORMAL</v>
      </c>
    </row>
    <row r="624" spans="1:12" x14ac:dyDescent="0.25">
      <c r="A624" s="3" t="s">
        <v>244</v>
      </c>
      <c r="B624" s="3" t="s">
        <v>245</v>
      </c>
      <c r="C624" s="1">
        <v>20</v>
      </c>
      <c r="D624" s="1">
        <v>163</v>
      </c>
      <c r="E624" s="1" t="s">
        <v>115</v>
      </c>
      <c r="F624" s="1" t="s">
        <v>3148</v>
      </c>
      <c r="G624" s="3" t="s">
        <v>246</v>
      </c>
      <c r="H624" s="11">
        <f>ROUND(
IF(L624="GANCHO",
   IF(I624&lt;=50,I624*1.1+4,IF(I624&lt;=120,I624*1.1+7,IF(I624&lt;=250,I624*1.1+11,I624*1.1+19))),
IF(L624="NORMAL",
   IF(I624&lt;=30,I624*1.15+2,IF(I624&lt;=80,I624*1.15+4,IF(I624&lt;=150,I624*1.15+6,I624*1.15+8))),
IF(L624="COMPLEMENTO",
   IF(I624&lt;=25,I624*1.25+1.5,IF(I624&lt;=60,I624*1.25+3,IF(I624&lt;=120,I624*1.25+4,I624*1.25+5))),
""))),2)</f>
        <v>786.59</v>
      </c>
      <c r="I624" s="9">
        <f>($K$2+0.02)*Tabla1[[#This Row],[PRECIO $]]*1.18</f>
        <v>677.03679999999997</v>
      </c>
      <c r="J624" s="7">
        <f>+Tabla1[[#This Row],[PRECIO EN SOLES]]-Tabla1[[#This Row],[PC]]</f>
        <v>109.55320000000006</v>
      </c>
      <c r="K624" s="15"/>
      <c r="L624" s="15" t="str">
        <f t="shared" si="9"/>
        <v>NORMAL</v>
      </c>
    </row>
    <row r="625" spans="1:12" x14ac:dyDescent="0.25">
      <c r="A625" s="3" t="s">
        <v>247</v>
      </c>
      <c r="B625" s="3" t="s">
        <v>248</v>
      </c>
      <c r="C625" s="1">
        <v>8</v>
      </c>
      <c r="D625" s="1">
        <v>178.5</v>
      </c>
      <c r="E625" s="1" t="s">
        <v>115</v>
      </c>
      <c r="F625" s="1" t="s">
        <v>3149</v>
      </c>
      <c r="G625" s="3" t="s">
        <v>249</v>
      </c>
      <c r="H625" s="11">
        <f>ROUND(
IF(L625="GANCHO",
   IF(I625&lt;=50,I625*1.1+4,IF(I625&lt;=120,I625*1.1+7,IF(I625&lt;=250,I625*1.1+11,I625*1.1+19))),
IF(L625="NORMAL",
   IF(I625&lt;=30,I625*1.15+2,IF(I625&lt;=80,I625*1.15+4,IF(I625&lt;=150,I625*1.15+6,I625*1.15+8))),
IF(L625="COMPLEMENTO",
   IF(I625&lt;=25,I625*1.25+1.5,IF(I625&lt;=60,I625*1.25+3,IF(I625&lt;=120,I625*1.25+4,I625*1.25+5))),
""))),2)</f>
        <v>860.63</v>
      </c>
      <c r="I625" s="9">
        <f>($K$2+0.02)*Tabla1[[#This Row],[PRECIO $]]*1.18</f>
        <v>741.41759999999999</v>
      </c>
      <c r="J625" s="7">
        <f>+Tabla1[[#This Row],[PRECIO EN SOLES]]-Tabla1[[#This Row],[PC]]</f>
        <v>119.2124</v>
      </c>
      <c r="K625" s="15"/>
      <c r="L625" s="15" t="str">
        <f t="shared" si="9"/>
        <v>NORMAL</v>
      </c>
    </row>
    <row r="626" spans="1:12" x14ac:dyDescent="0.25">
      <c r="A626" s="3" t="s">
        <v>4958</v>
      </c>
      <c r="B626" s="3" t="s">
        <v>1256</v>
      </c>
      <c r="C626" s="1">
        <v>3</v>
      </c>
      <c r="D626" s="1">
        <v>108.9</v>
      </c>
      <c r="E626" s="1" t="s">
        <v>115</v>
      </c>
      <c r="F626" s="1" t="s">
        <v>4959</v>
      </c>
      <c r="G626" s="3"/>
      <c r="H626" s="11">
        <f>ROUND(
IF(L626="GANCHO",
   IF(I626&lt;=50,I626*1.1+4,IF(I626&lt;=120,I626*1.1+7,IF(I626&lt;=250,I626*1.1+11,I626*1.1+19))),
IF(L626="NORMAL",
   IF(I626&lt;=30,I626*1.15+2,IF(I626&lt;=80,I626*1.15+4,IF(I626&lt;=150,I626*1.15+6,I626*1.15+8))),
IF(L626="COMPLEMENTO",
   IF(I626&lt;=25,I626*1.25+1.5,IF(I626&lt;=60,I626*1.25+3,IF(I626&lt;=120,I626*1.25+4,I626*1.25+5))),
""))),2)</f>
        <v>528.17999999999995</v>
      </c>
      <c r="I626" s="9">
        <f>($K$2+0.02)*Tabla1[[#This Row],[PRECIO $]]*1.18</f>
        <v>452.32704000000001</v>
      </c>
      <c r="J626" s="7">
        <f>+Tabla1[[#This Row],[PRECIO EN SOLES]]-Tabla1[[#This Row],[PC]]</f>
        <v>75.852959999999939</v>
      </c>
      <c r="K626" s="15"/>
      <c r="L626" s="15" t="str">
        <f t="shared" si="9"/>
        <v>NORMAL</v>
      </c>
    </row>
    <row r="627" spans="1:12" x14ac:dyDescent="0.25">
      <c r="A627" s="3" t="s">
        <v>1255</v>
      </c>
      <c r="B627" s="3" t="s">
        <v>1256</v>
      </c>
      <c r="C627" s="1">
        <v>20</v>
      </c>
      <c r="D627" s="1">
        <v>114.2</v>
      </c>
      <c r="E627" s="1" t="s">
        <v>115</v>
      </c>
      <c r="F627" s="1" t="s">
        <v>3150</v>
      </c>
      <c r="G627" s="3" t="s">
        <v>1257</v>
      </c>
      <c r="H627" s="11">
        <f>ROUND(
IF(L627="GANCHO",
   IF(I627&lt;=50,I627*1.1+4,IF(I627&lt;=120,I627*1.1+7,IF(I627&lt;=250,I627*1.1+11,I627*1.1+19))),
IF(L627="NORMAL",
   IF(I627&lt;=30,I627*1.15+2,IF(I627&lt;=80,I627*1.15+4,IF(I627&lt;=150,I627*1.15+6,I627*1.15+8))),
IF(L627="COMPLEMENTO",
   IF(I627&lt;=25,I627*1.25+1.5,IF(I627&lt;=60,I627*1.25+3,IF(I627&lt;=120,I627*1.25+4,I627*1.25+5))),
""))),2)</f>
        <v>553.49</v>
      </c>
      <c r="I627" s="9">
        <f>($K$2+0.02)*Tabla1[[#This Row],[PRECIO $]]*1.18</f>
        <v>474.34112000000005</v>
      </c>
      <c r="J627" s="7">
        <f>+Tabla1[[#This Row],[PRECIO EN SOLES]]-Tabla1[[#This Row],[PC]]</f>
        <v>79.148879999999963</v>
      </c>
      <c r="K627" s="15"/>
      <c r="L627" s="15" t="str">
        <f t="shared" si="9"/>
        <v>NORMAL</v>
      </c>
    </row>
    <row r="628" spans="1:12" x14ac:dyDescent="0.25">
      <c r="A628" s="3" t="s">
        <v>4960</v>
      </c>
      <c r="B628" s="3" t="s">
        <v>4961</v>
      </c>
      <c r="C628" s="1">
        <v>20</v>
      </c>
      <c r="D628" s="1">
        <v>263.13</v>
      </c>
      <c r="E628" s="1" t="s">
        <v>115</v>
      </c>
      <c r="F628" s="1" t="s">
        <v>4962</v>
      </c>
      <c r="G628" s="3" t="s">
        <v>4963</v>
      </c>
      <c r="H628" s="11">
        <f>ROUND(
IF(L628="GANCHO",
   IF(I628&lt;=50,I628*1.1+4,IF(I628&lt;=120,I628*1.1+7,IF(I628&lt;=250,I628*1.1+11,I628*1.1+19))),
IF(L628="NORMAL",
   IF(I628&lt;=30,I628*1.15+2,IF(I628&lt;=80,I628*1.15+4,IF(I628&lt;=150,I628*1.15+6,I628*1.15+8))),
IF(L628="COMPLEMENTO",
   IF(I628&lt;=25,I628*1.25+1.5,IF(I628&lt;=60,I628*1.25+3,IF(I628&lt;=120,I628*1.25+4,I628*1.25+5))),
""))),2)</f>
        <v>1264.8800000000001</v>
      </c>
      <c r="I628" s="9">
        <f>($K$2+0.02)*Tabla1[[#This Row],[PRECIO $]]*1.18</f>
        <v>1092.9367679999998</v>
      </c>
      <c r="J628" s="7">
        <f>+Tabla1[[#This Row],[PRECIO EN SOLES]]-Tabla1[[#This Row],[PC]]</f>
        <v>171.94323200000031</v>
      </c>
      <c r="K628" s="15"/>
      <c r="L628" s="15" t="str">
        <f t="shared" si="9"/>
        <v>NORMAL</v>
      </c>
    </row>
    <row r="629" spans="1:12" x14ac:dyDescent="0.25">
      <c r="A629" s="3" t="s">
        <v>4964</v>
      </c>
      <c r="B629" s="3" t="s">
        <v>4965</v>
      </c>
      <c r="C629" s="1">
        <v>20</v>
      </c>
      <c r="D629" s="1">
        <v>354.13</v>
      </c>
      <c r="E629" s="1" t="s">
        <v>115</v>
      </c>
      <c r="F629" s="1" t="s">
        <v>4966</v>
      </c>
      <c r="G629" s="3" t="s">
        <v>4967</v>
      </c>
      <c r="H629" s="11">
        <f>ROUND(
IF(L629="GANCHO",
   IF(I629&lt;=50,I629*1.1+4,IF(I629&lt;=120,I629*1.1+7,IF(I629&lt;=250,I629*1.1+11,I629*1.1+19))),
IF(L629="NORMAL",
   IF(I629&lt;=30,I629*1.15+2,IF(I629&lt;=80,I629*1.15+4,IF(I629&lt;=150,I629*1.15+6,I629*1.15+8))),
IF(L629="COMPLEMENTO",
   IF(I629&lt;=25,I629*1.25+1.5,IF(I629&lt;=60,I629*1.25+3,IF(I629&lt;=120,I629*1.25+4,I629*1.25+5))),
""))),2)</f>
        <v>1699.55</v>
      </c>
      <c r="I629" s="9">
        <f>($K$2+0.02)*Tabla1[[#This Row],[PRECIO $]]*1.18</f>
        <v>1470.9143679999997</v>
      </c>
      <c r="J629" s="7">
        <f>+Tabla1[[#This Row],[PRECIO EN SOLES]]-Tabla1[[#This Row],[PC]]</f>
        <v>228.63563200000021</v>
      </c>
      <c r="K629" s="15"/>
      <c r="L629" s="15" t="str">
        <f t="shared" si="9"/>
        <v>NORMAL</v>
      </c>
    </row>
    <row r="630" spans="1:12" x14ac:dyDescent="0.25">
      <c r="A630" s="3" t="s">
        <v>4968</v>
      </c>
      <c r="B630" s="3" t="s">
        <v>4969</v>
      </c>
      <c r="C630" s="1">
        <v>20</v>
      </c>
      <c r="D630" s="1">
        <v>147.80000000000001</v>
      </c>
      <c r="E630" s="1" t="s">
        <v>115</v>
      </c>
      <c r="F630" s="1" t="s">
        <v>4970</v>
      </c>
      <c r="G630" s="3" t="s">
        <v>4971</v>
      </c>
      <c r="H630" s="11">
        <f>ROUND(
IF(L630="GANCHO",
   IF(I630&lt;=50,I630*1.1+4,IF(I630&lt;=120,I630*1.1+7,IF(I630&lt;=250,I630*1.1+11,I630*1.1+19))),
IF(L630="NORMAL",
   IF(I630&lt;=30,I630*1.15+2,IF(I630&lt;=80,I630*1.15+4,IF(I630&lt;=150,I630*1.15+6,I630*1.15+8))),
IF(L630="COMPLEMENTO",
   IF(I630&lt;=25,I630*1.25+1.5,IF(I630&lt;=60,I630*1.25+3,IF(I630&lt;=120,I630*1.25+4,I630*1.25+5))),
""))),2)</f>
        <v>713.99</v>
      </c>
      <c r="I630" s="9">
        <f>($K$2+0.02)*Tabla1[[#This Row],[PRECIO $]]*1.18</f>
        <v>613.90208000000007</v>
      </c>
      <c r="J630" s="7">
        <f>+Tabla1[[#This Row],[PRECIO EN SOLES]]-Tabla1[[#This Row],[PC]]</f>
        <v>100.08791999999994</v>
      </c>
      <c r="K630" s="15"/>
      <c r="L630" s="15" t="str">
        <f t="shared" si="9"/>
        <v>NORMAL</v>
      </c>
    </row>
    <row r="631" spans="1:12" x14ac:dyDescent="0.25">
      <c r="A631" s="3" t="s">
        <v>4972</v>
      </c>
      <c r="B631" s="3" t="s">
        <v>4973</v>
      </c>
      <c r="C631" s="1">
        <v>20</v>
      </c>
      <c r="D631" s="1">
        <v>203.93</v>
      </c>
      <c r="E631" s="1" t="s">
        <v>115</v>
      </c>
      <c r="F631" s="1" t="s">
        <v>4974</v>
      </c>
      <c r="G631" s="3" t="s">
        <v>4975</v>
      </c>
      <c r="H631" s="11">
        <f>ROUND(
IF(L631="GANCHO",
   IF(I631&lt;=50,I631*1.1+4,IF(I631&lt;=120,I631*1.1+7,IF(I631&lt;=250,I631*1.1+11,I631*1.1+19))),
IF(L631="NORMAL",
   IF(I631&lt;=30,I631*1.15+2,IF(I631&lt;=80,I631*1.15+4,IF(I631&lt;=150,I631*1.15+6,I631*1.15+8))),
IF(L631="COMPLEMENTO",
   IF(I631&lt;=25,I631*1.25+1.5,IF(I631&lt;=60,I631*1.25+3,IF(I631&lt;=120,I631*1.25+4,I631*1.25+5))),
""))),2)</f>
        <v>982.1</v>
      </c>
      <c r="I631" s="9">
        <f>($K$2+0.02)*Tabla1[[#This Row],[PRECIO $]]*1.18</f>
        <v>847.04364799999996</v>
      </c>
      <c r="J631" s="7">
        <f>+Tabla1[[#This Row],[PRECIO EN SOLES]]-Tabla1[[#This Row],[PC]]</f>
        <v>135.05635200000006</v>
      </c>
      <c r="K631" s="15"/>
      <c r="L631" s="15" t="str">
        <f t="shared" si="9"/>
        <v>NORMAL</v>
      </c>
    </row>
    <row r="632" spans="1:12" x14ac:dyDescent="0.25">
      <c r="A632" s="3" t="s">
        <v>4976</v>
      </c>
      <c r="B632" s="3" t="s">
        <v>4977</v>
      </c>
      <c r="C632" s="1">
        <v>20</v>
      </c>
      <c r="D632" s="1">
        <v>219.3</v>
      </c>
      <c r="E632" s="1" t="s">
        <v>115</v>
      </c>
      <c r="F632" s="1" t="s">
        <v>4978</v>
      </c>
      <c r="G632" s="3" t="s">
        <v>4979</v>
      </c>
      <c r="H632" s="11">
        <f>ROUND(
IF(L632="GANCHO",
   IF(I632&lt;=50,I632*1.1+4,IF(I632&lt;=120,I632*1.1+7,IF(I632&lt;=250,I632*1.1+11,I632*1.1+19))),
IF(L632="NORMAL",
   IF(I632&lt;=30,I632*1.15+2,IF(I632&lt;=80,I632*1.15+4,IF(I632&lt;=150,I632*1.15+6,I632*1.15+8))),
IF(L632="COMPLEMENTO",
   IF(I632&lt;=25,I632*1.25+1.5,IF(I632&lt;=60,I632*1.25+3,IF(I632&lt;=120,I632*1.25+4,I632*1.25+5))),
""))),2)</f>
        <v>1055.52</v>
      </c>
      <c r="I632" s="9">
        <f>($K$2+0.02)*Tabla1[[#This Row],[PRECIO $]]*1.18</f>
        <v>910.88447999999994</v>
      </c>
      <c r="J632" s="7">
        <f>+Tabla1[[#This Row],[PRECIO EN SOLES]]-Tabla1[[#This Row],[PC]]</f>
        <v>144.63552000000004</v>
      </c>
      <c r="K632" s="15"/>
      <c r="L632" s="15" t="str">
        <f t="shared" si="9"/>
        <v>NORMAL</v>
      </c>
    </row>
    <row r="633" spans="1:12" x14ac:dyDescent="0.25">
      <c r="A633" s="3" t="s">
        <v>4980</v>
      </c>
      <c r="B633" s="3" t="s">
        <v>4981</v>
      </c>
      <c r="C633" s="1">
        <v>20</v>
      </c>
      <c r="D633" s="1">
        <v>302.04000000000002</v>
      </c>
      <c r="E633" s="1" t="s">
        <v>115</v>
      </c>
      <c r="F633" s="1" t="s">
        <v>4982</v>
      </c>
      <c r="G633" s="3" t="s">
        <v>4983</v>
      </c>
      <c r="H633" s="11">
        <f>ROUND(
IF(L633="GANCHO",
   IF(I633&lt;=50,I633*1.1+4,IF(I633&lt;=120,I633*1.1+7,IF(I633&lt;=250,I633*1.1+11,I633*1.1+19))),
IF(L633="NORMAL",
   IF(I633&lt;=30,I633*1.15+2,IF(I633&lt;=80,I633*1.15+4,IF(I633&lt;=150,I633*1.15+6,I633*1.15+8))),
IF(L633="COMPLEMENTO",
   IF(I633&lt;=25,I633*1.25+1.5,IF(I633&lt;=60,I633*1.25+3,IF(I633&lt;=120,I633*1.25+4,I633*1.25+5))),
""))),2)</f>
        <v>1450.74</v>
      </c>
      <c r="I633" s="9">
        <f>($K$2+0.02)*Tabla1[[#This Row],[PRECIO $]]*1.18</f>
        <v>1254.5533440000002</v>
      </c>
      <c r="J633" s="7">
        <f>+Tabla1[[#This Row],[PRECIO EN SOLES]]-Tabla1[[#This Row],[PC]]</f>
        <v>196.18665599999986</v>
      </c>
      <c r="K633" s="15"/>
      <c r="L633" s="15" t="str">
        <f t="shared" si="9"/>
        <v>NORMAL</v>
      </c>
    </row>
    <row r="634" spans="1:12" x14ac:dyDescent="0.25">
      <c r="A634" s="3" t="s">
        <v>4984</v>
      </c>
      <c r="B634" s="3" t="s">
        <v>4985</v>
      </c>
      <c r="C634" s="1">
        <v>20</v>
      </c>
      <c r="D634" s="1">
        <v>274.48</v>
      </c>
      <c r="E634" s="1" t="s">
        <v>115</v>
      </c>
      <c r="F634" s="1" t="s">
        <v>4986</v>
      </c>
      <c r="G634" s="3" t="s">
        <v>4987</v>
      </c>
      <c r="H634" s="11">
        <f>ROUND(
IF(L634="GANCHO",
   IF(I634&lt;=50,I634*1.1+4,IF(I634&lt;=120,I634*1.1+7,IF(I634&lt;=250,I634*1.1+11,I634*1.1+19))),
IF(L634="NORMAL",
   IF(I634&lt;=30,I634*1.15+2,IF(I634&lt;=80,I634*1.15+4,IF(I634&lt;=150,I634*1.15+6,I634*1.15+8))),
IF(L634="COMPLEMENTO",
   IF(I634&lt;=25,I634*1.25+1.5,IF(I634&lt;=60,I634*1.25+3,IF(I634&lt;=120,I634*1.25+4,I634*1.25+5))),
""))),2)</f>
        <v>1319.09</v>
      </c>
      <c r="I634" s="9">
        <f>($K$2+0.02)*Tabla1[[#This Row],[PRECIO $]]*1.18</f>
        <v>1140.0801280000001</v>
      </c>
      <c r="J634" s="7">
        <f>+Tabla1[[#This Row],[PRECIO EN SOLES]]-Tabla1[[#This Row],[PC]]</f>
        <v>179.00987199999986</v>
      </c>
      <c r="K634" s="15"/>
      <c r="L634" s="15" t="str">
        <f t="shared" si="9"/>
        <v>NORMAL</v>
      </c>
    </row>
    <row r="635" spans="1:12" x14ac:dyDescent="0.25">
      <c r="A635" s="3" t="s">
        <v>4988</v>
      </c>
      <c r="B635" s="3" t="s">
        <v>4989</v>
      </c>
      <c r="C635" s="1">
        <v>20</v>
      </c>
      <c r="D635" s="1">
        <v>231.49</v>
      </c>
      <c r="E635" s="1" t="s">
        <v>115</v>
      </c>
      <c r="F635" s="1" t="s">
        <v>4990</v>
      </c>
      <c r="G635" s="3" t="s">
        <v>4991</v>
      </c>
      <c r="H635" s="11">
        <f>ROUND(
IF(L635="GANCHO",
   IF(I635&lt;=50,I635*1.1+4,IF(I635&lt;=120,I635*1.1+7,IF(I635&lt;=250,I635*1.1+11,I635*1.1+19))),
IF(L635="NORMAL",
   IF(I635&lt;=30,I635*1.15+2,IF(I635&lt;=80,I635*1.15+4,IF(I635&lt;=150,I635*1.15+6,I635*1.15+8))),
IF(L635="COMPLEMENTO",
   IF(I635&lt;=25,I635*1.25+1.5,IF(I635&lt;=60,I635*1.25+3,IF(I635&lt;=120,I635*1.25+4,I635*1.25+5))),
""))),2)</f>
        <v>1113.74</v>
      </c>
      <c r="I635" s="9">
        <f>($K$2+0.02)*Tabla1[[#This Row],[PRECIO $]]*1.18</f>
        <v>961.51686400000006</v>
      </c>
      <c r="J635" s="7">
        <f>+Tabla1[[#This Row],[PRECIO EN SOLES]]-Tabla1[[#This Row],[PC]]</f>
        <v>152.22313599999995</v>
      </c>
      <c r="K635" s="15"/>
      <c r="L635" s="15" t="str">
        <f t="shared" si="9"/>
        <v>NORMAL</v>
      </c>
    </row>
    <row r="636" spans="1:12" x14ac:dyDescent="0.25">
      <c r="A636" s="3" t="s">
        <v>4992</v>
      </c>
      <c r="B636" s="3" t="s">
        <v>4993</v>
      </c>
      <c r="C636" s="1">
        <v>20</v>
      </c>
      <c r="D636" s="1">
        <v>474</v>
      </c>
      <c r="E636" s="1" t="s">
        <v>115</v>
      </c>
      <c r="F636" s="1" t="s">
        <v>4994</v>
      </c>
      <c r="G636" s="3" t="s">
        <v>4995</v>
      </c>
      <c r="H636" s="11">
        <f>ROUND(
IF(L636="GANCHO",
   IF(I636&lt;=50,I636*1.1+4,IF(I636&lt;=120,I636*1.1+7,IF(I636&lt;=250,I636*1.1+11,I636*1.1+19))),
IF(L636="NORMAL",
   IF(I636&lt;=30,I636*1.15+2,IF(I636&lt;=80,I636*1.15+4,IF(I636&lt;=150,I636*1.15+6,I636*1.15+8))),
IF(L636="COMPLEMENTO",
   IF(I636&lt;=25,I636*1.25+1.5,IF(I636&lt;=60,I636*1.25+3,IF(I636&lt;=120,I636*1.25+4,I636*1.25+5))),
""))),2)</f>
        <v>2272.13</v>
      </c>
      <c r="I636" s="9">
        <f>($K$2+0.02)*Tabla1[[#This Row],[PRECIO $]]*1.18</f>
        <v>1968.8063999999999</v>
      </c>
      <c r="J636" s="7">
        <f>+Tabla1[[#This Row],[PRECIO EN SOLES]]-Tabla1[[#This Row],[PC]]</f>
        <v>303.32360000000017</v>
      </c>
      <c r="K636" s="15"/>
      <c r="L636" s="15" t="str">
        <f t="shared" si="9"/>
        <v>NORMAL</v>
      </c>
    </row>
    <row r="637" spans="1:12" x14ac:dyDescent="0.25">
      <c r="A637" s="3" t="s">
        <v>1258</v>
      </c>
      <c r="B637" s="3" t="s">
        <v>1259</v>
      </c>
      <c r="C637" s="1">
        <v>9</v>
      </c>
      <c r="D637" s="1">
        <v>185.5</v>
      </c>
      <c r="E637" s="1" t="s">
        <v>223</v>
      </c>
      <c r="F637" s="1" t="s">
        <v>3151</v>
      </c>
      <c r="G637" s="3" t="s">
        <v>1260</v>
      </c>
      <c r="H637" s="11">
        <f>ROUND(
IF(L637="GANCHO",
   IF(I637&lt;=50,I637*1.1+4,IF(I637&lt;=120,I637*1.1+7,IF(I637&lt;=250,I637*1.1+11,I637*1.1+19))),
IF(L637="NORMAL",
   IF(I637&lt;=30,I637*1.15+2,IF(I637&lt;=80,I637*1.15+4,IF(I637&lt;=150,I637*1.15+6,I637*1.15+8))),
IF(L637="COMPLEMENTO",
   IF(I637&lt;=25,I637*1.25+1.5,IF(I637&lt;=60,I637*1.25+3,IF(I637&lt;=120,I637*1.25+4,I637*1.25+5))),
""))),2)</f>
        <v>894.07</v>
      </c>
      <c r="I637" s="9">
        <f>($K$2+0.02)*Tabla1[[#This Row],[PRECIO $]]*1.18</f>
        <v>770.49279999999999</v>
      </c>
      <c r="J637" s="7">
        <f>+Tabla1[[#This Row],[PRECIO EN SOLES]]-Tabla1[[#This Row],[PC]]</f>
        <v>123.57720000000006</v>
      </c>
      <c r="K637" s="15"/>
      <c r="L637" s="15" t="str">
        <f t="shared" si="9"/>
        <v>NORMAL</v>
      </c>
    </row>
    <row r="638" spans="1:12" x14ac:dyDescent="0.25">
      <c r="A638" s="3" t="s">
        <v>1261</v>
      </c>
      <c r="B638" s="3" t="s">
        <v>1262</v>
      </c>
      <c r="C638" s="1">
        <v>5</v>
      </c>
      <c r="D638" s="1">
        <v>183</v>
      </c>
      <c r="E638" s="1" t="s">
        <v>223</v>
      </c>
      <c r="F638" s="1" t="s">
        <v>3152</v>
      </c>
      <c r="G638" s="3" t="s">
        <v>1263</v>
      </c>
      <c r="H638" s="11">
        <f>ROUND(
IF(L638="GANCHO",
   IF(I638&lt;=50,I638*1.1+4,IF(I638&lt;=120,I638*1.1+7,IF(I638&lt;=250,I638*1.1+11,I638*1.1+19))),
IF(L638="NORMAL",
   IF(I638&lt;=30,I638*1.15+2,IF(I638&lt;=80,I638*1.15+4,IF(I638&lt;=150,I638*1.15+6,I638*1.15+8))),
IF(L638="COMPLEMENTO",
   IF(I638&lt;=25,I638*1.25+1.5,IF(I638&lt;=60,I638*1.25+3,IF(I638&lt;=120,I638*1.25+4,I638*1.25+5))),
""))),2)</f>
        <v>882.13</v>
      </c>
      <c r="I638" s="9">
        <f>($K$2+0.02)*Tabla1[[#This Row],[PRECIO $]]*1.18</f>
        <v>760.10879999999997</v>
      </c>
      <c r="J638" s="7">
        <f>+Tabla1[[#This Row],[PRECIO EN SOLES]]-Tabla1[[#This Row],[PC]]</f>
        <v>122.02120000000002</v>
      </c>
      <c r="K638" s="15"/>
      <c r="L638" s="15" t="str">
        <f t="shared" si="9"/>
        <v>NORMAL</v>
      </c>
    </row>
    <row r="639" spans="1:12" x14ac:dyDescent="0.25">
      <c r="A639" s="3" t="s">
        <v>1264</v>
      </c>
      <c r="B639" s="3" t="s">
        <v>1265</v>
      </c>
      <c r="C639" s="1">
        <v>11</v>
      </c>
      <c r="D639" s="1">
        <v>142.80000000000001</v>
      </c>
      <c r="E639" s="1" t="s">
        <v>223</v>
      </c>
      <c r="F639" s="1" t="s">
        <v>3153</v>
      </c>
      <c r="G639" s="3" t="s">
        <v>1266</v>
      </c>
      <c r="H639" s="11">
        <f>ROUND(
IF(L639="GANCHO",
   IF(I639&lt;=50,I639*1.1+4,IF(I639&lt;=120,I639*1.1+7,IF(I639&lt;=250,I639*1.1+11,I639*1.1+19))),
IF(L639="NORMAL",
   IF(I639&lt;=30,I639*1.15+2,IF(I639&lt;=80,I639*1.15+4,IF(I639&lt;=150,I639*1.15+6,I639*1.15+8))),
IF(L639="COMPLEMENTO",
   IF(I639&lt;=25,I639*1.25+1.5,IF(I639&lt;=60,I639*1.25+3,IF(I639&lt;=120,I639*1.25+4,I639*1.25+5))),
""))),2)</f>
        <v>690.1</v>
      </c>
      <c r="I639" s="9">
        <f>($K$2+0.02)*Tabla1[[#This Row],[PRECIO $]]*1.18</f>
        <v>593.13408000000004</v>
      </c>
      <c r="J639" s="7">
        <f>+Tabla1[[#This Row],[PRECIO EN SOLES]]-Tabla1[[#This Row],[PC]]</f>
        <v>96.965919999999983</v>
      </c>
      <c r="K639" s="15"/>
      <c r="L639" s="15" t="str">
        <f t="shared" si="9"/>
        <v>NORMAL</v>
      </c>
    </row>
    <row r="640" spans="1:12" x14ac:dyDescent="0.25">
      <c r="A640" s="3" t="s">
        <v>4256</v>
      </c>
      <c r="B640" s="3" t="s">
        <v>4257</v>
      </c>
      <c r="C640" s="1">
        <v>20</v>
      </c>
      <c r="D640" s="1">
        <v>151</v>
      </c>
      <c r="E640" s="1" t="s">
        <v>223</v>
      </c>
      <c r="F640" s="1" t="s">
        <v>4258</v>
      </c>
      <c r="G640" s="3" t="s">
        <v>4259</v>
      </c>
      <c r="H640" s="11">
        <f>ROUND(
IF(L640="GANCHO",
   IF(I640&lt;=50,I640*1.1+4,IF(I640&lt;=120,I640*1.1+7,IF(I640&lt;=250,I640*1.1+11,I640*1.1+19))),
IF(L640="NORMAL",
   IF(I640&lt;=30,I640*1.15+2,IF(I640&lt;=80,I640*1.15+4,IF(I640&lt;=150,I640*1.15+6,I640*1.15+8))),
IF(L640="COMPLEMENTO",
   IF(I640&lt;=25,I640*1.25+1.5,IF(I640&lt;=60,I640*1.25+3,IF(I640&lt;=120,I640*1.25+4,I640*1.25+5))),
""))),2)</f>
        <v>729.27</v>
      </c>
      <c r="I640" s="9">
        <f>($K$2+0.02)*Tabla1[[#This Row],[PRECIO $]]*1.18</f>
        <v>627.19359999999995</v>
      </c>
      <c r="J640" s="7">
        <f>+Tabla1[[#This Row],[PRECIO EN SOLES]]-Tabla1[[#This Row],[PC]]</f>
        <v>102.07640000000004</v>
      </c>
      <c r="K640" s="15"/>
      <c r="L640" s="15" t="str">
        <f t="shared" si="9"/>
        <v>NORMAL</v>
      </c>
    </row>
    <row r="641" spans="1:12" x14ac:dyDescent="0.25">
      <c r="A641" s="3" t="s">
        <v>1267</v>
      </c>
      <c r="B641" s="3" t="s">
        <v>1268</v>
      </c>
      <c r="C641" s="1">
        <v>2</v>
      </c>
      <c r="D641" s="1">
        <v>169</v>
      </c>
      <c r="E641" s="1" t="s">
        <v>223</v>
      </c>
      <c r="F641" s="1" t="s">
        <v>3154</v>
      </c>
      <c r="G641" s="3" t="s">
        <v>1269</v>
      </c>
      <c r="H641" s="11">
        <f>ROUND(
IF(L641="GANCHO",
   IF(I641&lt;=50,I641*1.1+4,IF(I641&lt;=120,I641*1.1+7,IF(I641&lt;=250,I641*1.1+11,I641*1.1+19))),
IF(L641="NORMAL",
   IF(I641&lt;=30,I641*1.15+2,IF(I641&lt;=80,I641*1.15+4,IF(I641&lt;=150,I641*1.15+6,I641*1.15+8))),
IF(L641="COMPLEMENTO",
   IF(I641&lt;=25,I641*1.25+1.5,IF(I641&lt;=60,I641*1.25+3,IF(I641&lt;=120,I641*1.25+4,I641*1.25+5))),
""))),2)</f>
        <v>815.25</v>
      </c>
      <c r="I641" s="9">
        <f>($K$2+0.02)*Tabla1[[#This Row],[PRECIO $]]*1.18</f>
        <v>701.95839999999998</v>
      </c>
      <c r="J641" s="7">
        <f>+Tabla1[[#This Row],[PRECIO EN SOLES]]-Tabla1[[#This Row],[PC]]</f>
        <v>113.29160000000002</v>
      </c>
      <c r="K641" s="15"/>
      <c r="L641" s="15" t="str">
        <f t="shared" si="9"/>
        <v>NORMAL</v>
      </c>
    </row>
    <row r="642" spans="1:12" x14ac:dyDescent="0.25">
      <c r="A642" s="3" t="s">
        <v>1270</v>
      </c>
      <c r="B642" s="3" t="s">
        <v>1271</v>
      </c>
      <c r="C642" s="1">
        <v>15</v>
      </c>
      <c r="D642" s="1">
        <v>166.5</v>
      </c>
      <c r="E642" s="1" t="s">
        <v>223</v>
      </c>
      <c r="F642" s="1" t="s">
        <v>3155</v>
      </c>
      <c r="G642" s="3" t="s">
        <v>1272</v>
      </c>
      <c r="H642" s="11">
        <f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803.31</v>
      </c>
      <c r="I642" s="9">
        <f>($K$2+0.02)*Tabla1[[#This Row],[PRECIO $]]*1.18</f>
        <v>691.57439999999997</v>
      </c>
      <c r="J642" s="7">
        <f>+Tabla1[[#This Row],[PRECIO EN SOLES]]-Tabla1[[#This Row],[PC]]</f>
        <v>111.73559999999998</v>
      </c>
      <c r="K642" s="15"/>
      <c r="L642" s="15" t="str">
        <f t="shared" si="9"/>
        <v>NORMAL</v>
      </c>
    </row>
    <row r="643" spans="1:12" x14ac:dyDescent="0.25">
      <c r="A643" s="3" t="s">
        <v>4996</v>
      </c>
      <c r="B643" s="3" t="s">
        <v>4997</v>
      </c>
      <c r="C643" s="1">
        <v>20</v>
      </c>
      <c r="D643" s="1">
        <v>127.7</v>
      </c>
      <c r="E643" s="1" t="s">
        <v>223</v>
      </c>
      <c r="F643" s="1" t="s">
        <v>4998</v>
      </c>
      <c r="G643" s="3" t="s">
        <v>4999</v>
      </c>
      <c r="H643" s="11">
        <f>ROUND(
IF(L643="GANCHO",
   IF(I643&lt;=50,I643*1.1+4,IF(I643&lt;=120,I643*1.1+7,IF(I643&lt;=250,I643*1.1+11,I643*1.1+19))),
IF(L643="NORMAL",
   IF(I643&lt;=30,I643*1.15+2,IF(I643&lt;=80,I643*1.15+4,IF(I643&lt;=150,I643*1.15+6,I643*1.15+8))),
IF(L643="COMPLEMENTO",
   IF(I643&lt;=25,I643*1.25+1.5,IF(I643&lt;=60,I643*1.25+3,IF(I643&lt;=120,I643*1.25+4,I643*1.25+5))),
""))),2)</f>
        <v>617.98</v>
      </c>
      <c r="I643" s="9">
        <f>($K$2+0.02)*Tabla1[[#This Row],[PRECIO $]]*1.18</f>
        <v>530.41471999999999</v>
      </c>
      <c r="J643" s="7">
        <f>+Tabla1[[#This Row],[PRECIO EN SOLES]]-Tabla1[[#This Row],[PC]]</f>
        <v>87.56528000000003</v>
      </c>
      <c r="K643" s="15"/>
      <c r="L643" s="15" t="str">
        <f t="shared" ref="L643:L706" si="10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1273</v>
      </c>
      <c r="B644" s="3" t="s">
        <v>1274</v>
      </c>
      <c r="C644" s="1">
        <v>1</v>
      </c>
      <c r="D644" s="1">
        <v>105.2</v>
      </c>
      <c r="E644" s="1" t="s">
        <v>223</v>
      </c>
      <c r="F644" s="1" t="s">
        <v>3156</v>
      </c>
      <c r="G644" s="3" t="s">
        <v>1275</v>
      </c>
      <c r="H644" s="11">
        <f>ROUND(
IF(L644="GANCHO",
   IF(I644&lt;=50,I644*1.1+4,IF(I644&lt;=120,I644*1.1+7,IF(I644&lt;=250,I644*1.1+11,I644*1.1+19))),
IF(L644="NORMAL",
   IF(I644&lt;=30,I644*1.15+2,IF(I644&lt;=80,I644*1.15+4,IF(I644&lt;=150,I644*1.15+6,I644*1.15+8))),
IF(L644="COMPLEMENTO",
   IF(I644&lt;=25,I644*1.25+1.5,IF(I644&lt;=60,I644*1.25+3,IF(I644&lt;=120,I644*1.25+4,I644*1.25+5))),
""))),2)</f>
        <v>510.5</v>
      </c>
      <c r="I644" s="9">
        <f>($K$2+0.02)*Tabla1[[#This Row],[PRECIO $]]*1.18</f>
        <v>436.95872000000003</v>
      </c>
      <c r="J644" s="7">
        <f>+Tabla1[[#This Row],[PRECIO EN SOLES]]-Tabla1[[#This Row],[PC]]</f>
        <v>73.541279999999972</v>
      </c>
      <c r="K644" s="15"/>
      <c r="L644" s="15" t="str">
        <f t="shared" si="10"/>
        <v>NORMAL</v>
      </c>
    </row>
    <row r="645" spans="1:12" x14ac:dyDescent="0.25">
      <c r="A645" s="3" t="s">
        <v>6538</v>
      </c>
      <c r="B645" s="3" t="s">
        <v>6539</v>
      </c>
      <c r="C645" s="1">
        <v>15</v>
      </c>
      <c r="D645" s="1">
        <v>151.80000000000001</v>
      </c>
      <c r="E645" s="1" t="s">
        <v>223</v>
      </c>
      <c r="F645" s="1" t="s">
        <v>6540</v>
      </c>
      <c r="G645" s="3" t="s">
        <v>6541</v>
      </c>
      <c r="H645" s="11">
        <f>ROUND(
IF(L645="GANCHO",
   IF(I645&lt;=50,I645*1.1+4,IF(I645&lt;=120,I645*1.1+7,IF(I645&lt;=250,I645*1.1+11,I645*1.1+19))),
IF(L645="NORMAL",
   IF(I645&lt;=30,I645*1.15+2,IF(I645&lt;=80,I645*1.15+4,IF(I645&lt;=150,I645*1.15+6,I645*1.15+8))),
IF(L645="COMPLEMENTO",
   IF(I645&lt;=25,I645*1.25+1.5,IF(I645&lt;=60,I645*1.25+3,IF(I645&lt;=120,I645*1.25+4,I645*1.25+5))),
""))),2)</f>
        <v>733.09</v>
      </c>
      <c r="I645" s="9">
        <f>($K$2+0.02)*Tabla1[[#This Row],[PRECIO $]]*1.18</f>
        <v>630.51648</v>
      </c>
      <c r="J645" s="7">
        <f>+Tabla1[[#This Row],[PRECIO EN SOLES]]-Tabla1[[#This Row],[PC]]</f>
        <v>102.57352000000003</v>
      </c>
      <c r="K645" s="15"/>
      <c r="L645" s="15" t="str">
        <f t="shared" si="10"/>
        <v>NORMAL</v>
      </c>
    </row>
    <row r="646" spans="1:12" x14ac:dyDescent="0.25">
      <c r="A646" s="3" t="s">
        <v>1276</v>
      </c>
      <c r="B646" s="3" t="s">
        <v>1277</v>
      </c>
      <c r="C646" s="1">
        <v>10</v>
      </c>
      <c r="D646" s="1">
        <v>180</v>
      </c>
      <c r="E646" s="1" t="s">
        <v>223</v>
      </c>
      <c r="F646" s="1" t="s">
        <v>3157</v>
      </c>
      <c r="G646" s="3" t="s">
        <v>1278</v>
      </c>
      <c r="H646" s="11">
        <f>ROUND(
IF(L646="GANCHO",
   IF(I646&lt;=50,I646*1.1+4,IF(I646&lt;=120,I646*1.1+7,IF(I646&lt;=250,I646*1.1+11,I646*1.1+19))),
IF(L646="NORMAL",
   IF(I646&lt;=30,I646*1.15+2,IF(I646&lt;=80,I646*1.15+4,IF(I646&lt;=150,I646*1.15+6,I646*1.15+8))),
IF(L646="COMPLEMENTO",
   IF(I646&lt;=25,I646*1.25+1.5,IF(I646&lt;=60,I646*1.25+3,IF(I646&lt;=120,I646*1.25+4,I646*1.25+5))),
""))),2)</f>
        <v>867.8</v>
      </c>
      <c r="I646" s="9">
        <f>($K$2+0.02)*Tabla1[[#This Row],[PRECIO $]]*1.18</f>
        <v>747.64800000000002</v>
      </c>
      <c r="J646" s="7">
        <f>+Tabla1[[#This Row],[PRECIO EN SOLES]]-Tabla1[[#This Row],[PC]]</f>
        <v>120.15199999999993</v>
      </c>
      <c r="K646" s="15"/>
      <c r="L646" s="15" t="str">
        <f t="shared" si="10"/>
        <v>NORMAL</v>
      </c>
    </row>
    <row r="647" spans="1:12" x14ac:dyDescent="0.25">
      <c r="A647" s="3" t="s">
        <v>6542</v>
      </c>
      <c r="B647" s="3" t="s">
        <v>6543</v>
      </c>
      <c r="C647" s="1">
        <v>16</v>
      </c>
      <c r="D647" s="1">
        <v>174.5</v>
      </c>
      <c r="E647" s="1" t="s">
        <v>223</v>
      </c>
      <c r="F647" s="1" t="s">
        <v>6544</v>
      </c>
      <c r="G647" s="3"/>
      <c r="H647" s="11">
        <f>ROUND(
IF(L647="GANCHO",
   IF(I647&lt;=50,I647*1.1+4,IF(I647&lt;=120,I647*1.1+7,IF(I647&lt;=250,I647*1.1+11,I647*1.1+19))),
IF(L647="NORMAL",
   IF(I647&lt;=30,I647*1.15+2,IF(I647&lt;=80,I647*1.15+4,IF(I647&lt;=150,I647*1.15+6,I647*1.15+8))),
IF(L647="COMPLEMENTO",
   IF(I647&lt;=25,I647*1.25+1.5,IF(I647&lt;=60,I647*1.25+3,IF(I647&lt;=120,I647*1.25+4,I647*1.25+5))),
""))),2)</f>
        <v>841.52</v>
      </c>
      <c r="I647" s="9">
        <f>($K$2+0.02)*Tabla1[[#This Row],[PRECIO $]]*1.18</f>
        <v>724.80319999999995</v>
      </c>
      <c r="J647" s="7">
        <f>+Tabla1[[#This Row],[PRECIO EN SOLES]]-Tabla1[[#This Row],[PC]]</f>
        <v>116.71680000000003</v>
      </c>
      <c r="K647" s="15"/>
      <c r="L647" s="15" t="str">
        <f t="shared" si="10"/>
        <v>NORMAL</v>
      </c>
    </row>
    <row r="648" spans="1:12" x14ac:dyDescent="0.25">
      <c r="A648" s="3" t="s">
        <v>4260</v>
      </c>
      <c r="B648" s="3" t="s">
        <v>4261</v>
      </c>
      <c r="C648" s="1">
        <v>20</v>
      </c>
      <c r="D648" s="1">
        <v>185.3</v>
      </c>
      <c r="E648" s="1" t="s">
        <v>223</v>
      </c>
      <c r="F648" s="1" t="s">
        <v>4262</v>
      </c>
      <c r="G648" s="3" t="s">
        <v>4587</v>
      </c>
      <c r="H648" s="11">
        <f>ROUND(
IF(L648="GANCHO",
   IF(I648&lt;=50,I648*1.1+4,IF(I648&lt;=120,I648*1.1+7,IF(I648&lt;=250,I648*1.1+11,I648*1.1+19))),
IF(L648="NORMAL",
   IF(I648&lt;=30,I648*1.15+2,IF(I648&lt;=80,I648*1.15+4,IF(I648&lt;=150,I648*1.15+6,I648*1.15+8))),
IF(L648="COMPLEMENTO",
   IF(I648&lt;=25,I648*1.25+1.5,IF(I648&lt;=60,I648*1.25+3,IF(I648&lt;=120,I648*1.25+4,I648*1.25+5))),
""))),2)</f>
        <v>893.11</v>
      </c>
      <c r="I648" s="9">
        <f>($K$2+0.02)*Tabla1[[#This Row],[PRECIO $]]*1.18</f>
        <v>769.66208000000006</v>
      </c>
      <c r="J648" s="7">
        <f>+Tabla1[[#This Row],[PRECIO EN SOLES]]-Tabla1[[#This Row],[PC]]</f>
        <v>123.44791999999995</v>
      </c>
      <c r="K648" s="15"/>
      <c r="L648" s="15" t="str">
        <f t="shared" si="10"/>
        <v>NORMAL</v>
      </c>
    </row>
    <row r="649" spans="1:12" x14ac:dyDescent="0.25">
      <c r="A649" s="3" t="s">
        <v>6545</v>
      </c>
      <c r="B649" s="3" t="s">
        <v>6546</v>
      </c>
      <c r="C649" s="1">
        <v>20</v>
      </c>
      <c r="D649" s="1">
        <v>118.6</v>
      </c>
      <c r="E649" s="1" t="s">
        <v>223</v>
      </c>
      <c r="F649" s="1" t="s">
        <v>6547</v>
      </c>
      <c r="G649" s="3" t="s">
        <v>6548</v>
      </c>
      <c r="H649" s="11">
        <f>ROUND(
IF(L649="GANCHO",
   IF(I649&lt;=50,I649*1.1+4,IF(I649&lt;=120,I649*1.1+7,IF(I649&lt;=250,I649*1.1+11,I649*1.1+19))),
IF(L649="NORMAL",
   IF(I649&lt;=30,I649*1.15+2,IF(I649&lt;=80,I649*1.15+4,IF(I649&lt;=150,I649*1.15+6,I649*1.15+8))),
IF(L649="COMPLEMENTO",
   IF(I649&lt;=25,I649*1.25+1.5,IF(I649&lt;=60,I649*1.25+3,IF(I649&lt;=120,I649*1.25+4,I649*1.25+5))),
""))),2)</f>
        <v>574.51</v>
      </c>
      <c r="I649" s="9">
        <f>($K$2+0.02)*Tabla1[[#This Row],[PRECIO $]]*1.18</f>
        <v>492.61695999999995</v>
      </c>
      <c r="J649" s="7">
        <f>+Tabla1[[#This Row],[PRECIO EN SOLES]]-Tabla1[[#This Row],[PC]]</f>
        <v>81.893040000000042</v>
      </c>
      <c r="K649" s="15"/>
      <c r="L649" s="15" t="str">
        <f t="shared" si="10"/>
        <v>NORMAL</v>
      </c>
    </row>
    <row r="650" spans="1:12" x14ac:dyDescent="0.25">
      <c r="A650" s="3" t="s">
        <v>4263</v>
      </c>
      <c r="B650" s="3" t="s">
        <v>4264</v>
      </c>
      <c r="C650" s="1">
        <v>15</v>
      </c>
      <c r="D650" s="1">
        <v>145.80000000000001</v>
      </c>
      <c r="E650" s="1" t="s">
        <v>223</v>
      </c>
      <c r="F650" s="1" t="s">
        <v>4265</v>
      </c>
      <c r="G650" s="3" t="s">
        <v>4266</v>
      </c>
      <c r="H650" s="11">
        <f>ROUND(
IF(L650="GANCHO",
   IF(I650&lt;=50,I650*1.1+4,IF(I650&lt;=120,I650*1.1+7,IF(I650&lt;=250,I650*1.1+11,I650*1.1+19))),
IF(L650="NORMAL",
   IF(I650&lt;=30,I650*1.15+2,IF(I650&lt;=80,I650*1.15+4,IF(I650&lt;=150,I650*1.15+6,I650*1.15+8))),
IF(L650="COMPLEMENTO",
   IF(I650&lt;=25,I650*1.25+1.5,IF(I650&lt;=60,I650*1.25+3,IF(I650&lt;=120,I650*1.25+4,I650*1.25+5))),
""))),2)</f>
        <v>704.43</v>
      </c>
      <c r="I650" s="9">
        <f>($K$2+0.02)*Tabla1[[#This Row],[PRECIO $]]*1.18</f>
        <v>605.59487999999999</v>
      </c>
      <c r="J650" s="7">
        <f>+Tabla1[[#This Row],[PRECIO EN SOLES]]-Tabla1[[#This Row],[PC]]</f>
        <v>98.835119999999961</v>
      </c>
      <c r="K650" s="15"/>
      <c r="L650" s="15" t="str">
        <f t="shared" si="10"/>
        <v>NORMAL</v>
      </c>
    </row>
    <row r="651" spans="1:12" x14ac:dyDescent="0.25">
      <c r="A651" s="3" t="s">
        <v>5000</v>
      </c>
      <c r="B651" s="3" t="s">
        <v>5001</v>
      </c>
      <c r="C651" s="1">
        <v>7</v>
      </c>
      <c r="D651" s="1">
        <v>251.5</v>
      </c>
      <c r="E651" s="1" t="s">
        <v>223</v>
      </c>
      <c r="F651" s="1" t="s">
        <v>5002</v>
      </c>
      <c r="G651" s="3" t="s">
        <v>5003</v>
      </c>
      <c r="H651" s="11">
        <f>ROUND(
IF(L651="GANCHO",
   IF(I651&lt;=50,I651*1.1+4,IF(I651&lt;=120,I651*1.1+7,IF(I651&lt;=250,I651*1.1+11,I651*1.1+19))),
IF(L651="NORMAL",
   IF(I651&lt;=30,I651*1.15+2,IF(I651&lt;=80,I651*1.15+4,IF(I651&lt;=150,I651*1.15+6,I651*1.15+8))),
IF(L651="COMPLEMENTO",
   IF(I651&lt;=25,I651*1.25+1.5,IF(I651&lt;=60,I651*1.25+3,IF(I651&lt;=120,I651*1.25+4,I651*1.25+5))),
""))),2)</f>
        <v>1209.32</v>
      </c>
      <c r="I651" s="9">
        <f>($K$2+0.02)*Tabla1[[#This Row],[PRECIO $]]*1.18</f>
        <v>1044.6304</v>
      </c>
      <c r="J651" s="7">
        <f>+Tabla1[[#This Row],[PRECIO EN SOLES]]-Tabla1[[#This Row],[PC]]</f>
        <v>164.68959999999993</v>
      </c>
      <c r="K651" s="15"/>
      <c r="L651" s="15" t="str">
        <f t="shared" si="10"/>
        <v>NORMAL</v>
      </c>
    </row>
    <row r="652" spans="1:12" x14ac:dyDescent="0.25">
      <c r="A652" s="3" t="s">
        <v>6549</v>
      </c>
      <c r="B652" s="3" t="s">
        <v>6550</v>
      </c>
      <c r="C652" s="1">
        <v>5</v>
      </c>
      <c r="D652" s="1">
        <v>248</v>
      </c>
      <c r="E652" s="1" t="s">
        <v>223</v>
      </c>
      <c r="F652" s="1" t="s">
        <v>6551</v>
      </c>
      <c r="G652" s="3" t="s">
        <v>6552</v>
      </c>
      <c r="H652" s="11">
        <f>ROUND(
IF(L652="GANCHO",
   IF(I652&lt;=50,I652*1.1+4,IF(I652&lt;=120,I652*1.1+7,IF(I652&lt;=250,I652*1.1+11,I652*1.1+19))),
IF(L652="NORMAL",
   IF(I652&lt;=30,I652*1.15+2,IF(I652&lt;=80,I652*1.15+4,IF(I652&lt;=150,I652*1.15+6,I652*1.15+8))),
IF(L652="COMPLEMENTO",
   IF(I652&lt;=25,I652*1.25+1.5,IF(I652&lt;=60,I652*1.25+3,IF(I652&lt;=120,I652*1.25+4,I652*1.25+5))),
""))),2)</f>
        <v>1192.6099999999999</v>
      </c>
      <c r="I652" s="9">
        <f>($K$2+0.02)*Tabla1[[#This Row],[PRECIO $]]*1.18</f>
        <v>1030.0927999999999</v>
      </c>
      <c r="J652" s="7">
        <f>+Tabla1[[#This Row],[PRECIO EN SOLES]]-Tabla1[[#This Row],[PC]]</f>
        <v>162.5172</v>
      </c>
      <c r="K652" s="15"/>
      <c r="L652" s="15" t="str">
        <f t="shared" si="10"/>
        <v>NORMAL</v>
      </c>
    </row>
    <row r="653" spans="1:12" x14ac:dyDescent="0.25">
      <c r="A653" s="3" t="s">
        <v>5004</v>
      </c>
      <c r="B653" s="3" t="s">
        <v>5005</v>
      </c>
      <c r="C653" s="1">
        <v>1</v>
      </c>
      <c r="D653" s="1">
        <v>329</v>
      </c>
      <c r="E653" s="1" t="s">
        <v>223</v>
      </c>
      <c r="F653" s="1" t="s">
        <v>5006</v>
      </c>
      <c r="G653" s="3" t="s">
        <v>5007</v>
      </c>
      <c r="H653" s="11">
        <f>ROUND(
IF(L653="GANCHO",
   IF(I653&lt;=50,I653*1.1+4,IF(I653&lt;=120,I653*1.1+7,IF(I653&lt;=250,I653*1.1+11,I653*1.1+19))),
IF(L653="NORMAL",
   IF(I653&lt;=30,I653*1.15+2,IF(I653&lt;=80,I653*1.15+4,IF(I653&lt;=150,I653*1.15+6,I653*1.15+8))),
IF(L653="COMPLEMENTO",
   IF(I653&lt;=25,I653*1.25+1.5,IF(I653&lt;=60,I653*1.25+3,IF(I653&lt;=120,I653*1.25+4,I653*1.25+5))),
""))),2)</f>
        <v>1579.51</v>
      </c>
      <c r="I653" s="9">
        <f>($K$2+0.02)*Tabla1[[#This Row],[PRECIO $]]*1.18</f>
        <v>1366.5343999999998</v>
      </c>
      <c r="J653" s="7">
        <f>+Tabla1[[#This Row],[PRECIO EN SOLES]]-Tabla1[[#This Row],[PC]]</f>
        <v>212.97560000000021</v>
      </c>
      <c r="K653" s="15"/>
      <c r="L653" s="15" t="str">
        <f t="shared" si="10"/>
        <v>NORMAL</v>
      </c>
    </row>
    <row r="654" spans="1:12" x14ac:dyDescent="0.25">
      <c r="A654" s="3" t="s">
        <v>4267</v>
      </c>
      <c r="B654" s="3" t="s">
        <v>4268</v>
      </c>
      <c r="C654" s="1">
        <v>2</v>
      </c>
      <c r="D654" s="1">
        <v>284</v>
      </c>
      <c r="E654" s="1" t="s">
        <v>223</v>
      </c>
      <c r="F654" s="1" t="s">
        <v>4269</v>
      </c>
      <c r="G654" s="3" t="s">
        <v>4588</v>
      </c>
      <c r="H654" s="11">
        <f>ROUND(
IF(L654="GANCHO",
   IF(I654&lt;=50,I654*1.1+4,IF(I654&lt;=120,I654*1.1+7,IF(I654&lt;=250,I654*1.1+11,I654*1.1+19))),
IF(L654="NORMAL",
   IF(I654&lt;=30,I654*1.15+2,IF(I654&lt;=80,I654*1.15+4,IF(I654&lt;=150,I654*1.15+6,I654*1.15+8))),
IF(L654="COMPLEMENTO",
   IF(I654&lt;=25,I654*1.25+1.5,IF(I654&lt;=60,I654*1.25+3,IF(I654&lt;=120,I654*1.25+4,I654*1.25+5))),
""))),2)</f>
        <v>1364.57</v>
      </c>
      <c r="I654" s="9">
        <f>($K$2+0.02)*Tabla1[[#This Row],[PRECIO $]]*1.18</f>
        <v>1179.6224</v>
      </c>
      <c r="J654" s="7">
        <f>+Tabla1[[#This Row],[PRECIO EN SOLES]]-Tabla1[[#This Row],[PC]]</f>
        <v>184.94759999999997</v>
      </c>
      <c r="K654" s="15"/>
      <c r="L654" s="15" t="str">
        <f t="shared" si="10"/>
        <v>NORMAL</v>
      </c>
    </row>
    <row r="655" spans="1:12" x14ac:dyDescent="0.25">
      <c r="A655" s="3" t="s">
        <v>4270</v>
      </c>
      <c r="B655" s="3" t="s">
        <v>4271</v>
      </c>
      <c r="C655" s="1">
        <v>15</v>
      </c>
      <c r="D655" s="1">
        <v>204</v>
      </c>
      <c r="E655" s="1" t="s">
        <v>223</v>
      </c>
      <c r="F655" s="1" t="s">
        <v>4272</v>
      </c>
      <c r="G655" s="3" t="s">
        <v>4273</v>
      </c>
      <c r="H655" s="11">
        <f>ROUND(
IF(L655="GANCHO",
   IF(I655&lt;=50,I655*1.1+4,IF(I655&lt;=120,I655*1.1+7,IF(I655&lt;=250,I655*1.1+11,I655*1.1+19))),
IF(L655="NORMAL",
   IF(I655&lt;=30,I655*1.15+2,IF(I655&lt;=80,I655*1.15+4,IF(I655&lt;=150,I655*1.15+6,I655*1.15+8))),
IF(L655="COMPLEMENTO",
   IF(I655&lt;=25,I655*1.25+1.5,IF(I655&lt;=60,I655*1.25+3,IF(I655&lt;=120,I655*1.25+4,I655*1.25+5))),
""))),2)</f>
        <v>982.43</v>
      </c>
      <c r="I655" s="9">
        <f>($K$2+0.02)*Tabla1[[#This Row],[PRECIO $]]*1.18</f>
        <v>847.33439999999996</v>
      </c>
      <c r="J655" s="7">
        <f>+Tabla1[[#This Row],[PRECIO EN SOLES]]-Tabla1[[#This Row],[PC]]</f>
        <v>135.09559999999999</v>
      </c>
      <c r="K655" s="15"/>
      <c r="L655" s="15" t="str">
        <f t="shared" si="10"/>
        <v>NORMAL</v>
      </c>
    </row>
    <row r="656" spans="1:12" x14ac:dyDescent="0.25">
      <c r="A656" s="3" t="s">
        <v>4274</v>
      </c>
      <c r="B656" s="3" t="s">
        <v>4275</v>
      </c>
      <c r="C656" s="1">
        <v>3</v>
      </c>
      <c r="D656" s="1">
        <v>330</v>
      </c>
      <c r="E656" s="1" t="s">
        <v>223</v>
      </c>
      <c r="F656" s="1" t="s">
        <v>4276</v>
      </c>
      <c r="G656" s="3" t="s">
        <v>4277</v>
      </c>
      <c r="H656" s="11">
        <f>ROUND(
IF(L656="GANCHO",
   IF(I656&lt;=50,I656*1.1+4,IF(I656&lt;=120,I656*1.1+7,IF(I656&lt;=250,I656*1.1+11,I656*1.1+19))),
IF(L656="NORMAL",
   IF(I656&lt;=30,I656*1.15+2,IF(I656&lt;=80,I656*1.15+4,IF(I656&lt;=150,I656*1.15+6,I656*1.15+8))),
IF(L656="COMPLEMENTO",
   IF(I656&lt;=25,I656*1.25+1.5,IF(I656&lt;=60,I656*1.25+3,IF(I656&lt;=120,I656*1.25+4,I656*1.25+5))),
""))),2)</f>
        <v>1584.29</v>
      </c>
      <c r="I656" s="9">
        <f>($K$2+0.02)*Tabla1[[#This Row],[PRECIO $]]*1.18</f>
        <v>1370.6879999999999</v>
      </c>
      <c r="J656" s="7">
        <f>+Tabla1[[#This Row],[PRECIO EN SOLES]]-Tabla1[[#This Row],[PC]]</f>
        <v>213.60200000000009</v>
      </c>
      <c r="K656" s="15"/>
      <c r="L656" s="15" t="str">
        <f t="shared" si="10"/>
        <v>NORMAL</v>
      </c>
    </row>
    <row r="657" spans="1:12" x14ac:dyDescent="0.25">
      <c r="A657" s="3" t="s">
        <v>1279</v>
      </c>
      <c r="B657" s="3" t="s">
        <v>1280</v>
      </c>
      <c r="C657" s="1">
        <v>2</v>
      </c>
      <c r="D657" s="1">
        <v>216</v>
      </c>
      <c r="E657" s="1" t="s">
        <v>223</v>
      </c>
      <c r="F657" s="1" t="s">
        <v>3158</v>
      </c>
      <c r="G657" s="3" t="s">
        <v>1281</v>
      </c>
      <c r="H657" s="11">
        <f>ROUND(
IF(L657="GANCHO",
   IF(I657&lt;=50,I657*1.1+4,IF(I657&lt;=120,I657*1.1+7,IF(I657&lt;=250,I657*1.1+11,I657*1.1+19))),
IF(L657="NORMAL",
   IF(I657&lt;=30,I657*1.15+2,IF(I657&lt;=80,I657*1.15+4,IF(I657&lt;=150,I657*1.15+6,I657*1.15+8))),
IF(L657="COMPLEMENTO",
   IF(I657&lt;=25,I657*1.25+1.5,IF(I657&lt;=60,I657*1.25+3,IF(I657&lt;=120,I657*1.25+4,I657*1.25+5))),
""))),2)</f>
        <v>1039.75</v>
      </c>
      <c r="I657" s="9">
        <f>($K$2+0.02)*Tabla1[[#This Row],[PRECIO $]]*1.18</f>
        <v>897.17759999999998</v>
      </c>
      <c r="J657" s="7">
        <f>+Tabla1[[#This Row],[PRECIO EN SOLES]]-Tabla1[[#This Row],[PC]]</f>
        <v>142.57240000000002</v>
      </c>
      <c r="K657" s="15"/>
      <c r="L657" s="15" t="str">
        <f t="shared" si="10"/>
        <v>NORMAL</v>
      </c>
    </row>
    <row r="658" spans="1:12" x14ac:dyDescent="0.25">
      <c r="A658" s="3" t="s">
        <v>4278</v>
      </c>
      <c r="B658" s="3" t="s">
        <v>4279</v>
      </c>
      <c r="C658" s="1">
        <v>20</v>
      </c>
      <c r="D658" s="1">
        <v>209.5</v>
      </c>
      <c r="E658" s="1" t="s">
        <v>223</v>
      </c>
      <c r="F658" s="1" t="s">
        <v>4280</v>
      </c>
      <c r="G658" s="3" t="s">
        <v>4589</v>
      </c>
      <c r="H658" s="11">
        <f>ROUND(
IF(L658="GANCHO",
   IF(I658&lt;=50,I658*1.1+4,IF(I658&lt;=120,I658*1.1+7,IF(I658&lt;=250,I658*1.1+11,I658*1.1+19))),
IF(L658="NORMAL",
   IF(I658&lt;=30,I658*1.15+2,IF(I658&lt;=80,I658*1.15+4,IF(I658&lt;=150,I658*1.15+6,I658*1.15+8))),
IF(L658="COMPLEMENTO",
   IF(I658&lt;=25,I658*1.25+1.5,IF(I658&lt;=60,I658*1.25+3,IF(I658&lt;=120,I658*1.25+4,I658*1.25+5))),
""))),2)</f>
        <v>1008.71</v>
      </c>
      <c r="I658" s="9">
        <f>($K$2+0.02)*Tabla1[[#This Row],[PRECIO $]]*1.18</f>
        <v>870.17920000000004</v>
      </c>
      <c r="J658" s="7">
        <f>+Tabla1[[#This Row],[PRECIO EN SOLES]]-Tabla1[[#This Row],[PC]]</f>
        <v>138.5308</v>
      </c>
      <c r="K658" s="15"/>
      <c r="L658" s="15" t="str">
        <f t="shared" si="10"/>
        <v>NORMAL</v>
      </c>
    </row>
    <row r="659" spans="1:12" x14ac:dyDescent="0.25">
      <c r="A659" s="3" t="s">
        <v>4281</v>
      </c>
      <c r="B659" s="3" t="s">
        <v>4279</v>
      </c>
      <c r="C659" s="1">
        <v>5</v>
      </c>
      <c r="D659" s="1">
        <v>212.5</v>
      </c>
      <c r="E659" s="1" t="s">
        <v>223</v>
      </c>
      <c r="F659" s="1" t="s">
        <v>4282</v>
      </c>
      <c r="G659" s="3" t="s">
        <v>4590</v>
      </c>
      <c r="H659" s="11">
        <f>ROUND(
IF(L659="GANCHO",
   IF(I659&lt;=50,I659*1.1+4,IF(I659&lt;=120,I659*1.1+7,IF(I659&lt;=250,I659*1.1+11,I659*1.1+19))),
IF(L659="NORMAL",
   IF(I659&lt;=30,I659*1.15+2,IF(I659&lt;=80,I659*1.15+4,IF(I659&lt;=150,I659*1.15+6,I659*1.15+8))),
IF(L659="COMPLEMENTO",
   IF(I659&lt;=25,I659*1.25+1.5,IF(I659&lt;=60,I659*1.25+3,IF(I659&lt;=120,I659*1.25+4,I659*1.25+5))),
""))),2)</f>
        <v>1023.04</v>
      </c>
      <c r="I659" s="9">
        <f>($K$2+0.02)*Tabla1[[#This Row],[PRECIO $]]*1.18</f>
        <v>882.64</v>
      </c>
      <c r="J659" s="7">
        <f>+Tabla1[[#This Row],[PRECIO EN SOLES]]-Tabla1[[#This Row],[PC]]</f>
        <v>140.39999999999998</v>
      </c>
      <c r="K659" s="15"/>
      <c r="L659" s="15" t="str">
        <f t="shared" si="10"/>
        <v>NORMAL</v>
      </c>
    </row>
    <row r="660" spans="1:12" x14ac:dyDescent="0.25">
      <c r="A660" s="3" t="s">
        <v>1282</v>
      </c>
      <c r="B660" s="3" t="s">
        <v>1283</v>
      </c>
      <c r="C660" s="1">
        <v>9</v>
      </c>
      <c r="D660" s="1">
        <v>171.9</v>
      </c>
      <c r="E660" s="1" t="s">
        <v>121</v>
      </c>
      <c r="F660" s="1" t="s">
        <v>3159</v>
      </c>
      <c r="G660" s="3" t="s">
        <v>1284</v>
      </c>
      <c r="H660" s="11">
        <f>ROUND(
IF(L660="GANCHO",
   IF(I660&lt;=50,I660*1.1+4,IF(I660&lt;=120,I660*1.1+7,IF(I660&lt;=250,I660*1.1+11,I660*1.1+19))),
IF(L660="NORMAL",
   IF(I660&lt;=30,I660*1.15+2,IF(I660&lt;=80,I660*1.15+4,IF(I660&lt;=150,I660*1.15+6,I660*1.15+8))),
IF(L660="COMPLEMENTO",
   IF(I660&lt;=25,I660*1.25+1.5,IF(I660&lt;=60,I660*1.25+3,IF(I660&lt;=120,I660*1.25+4,I660*1.25+5))),
""))),2)</f>
        <v>829.1</v>
      </c>
      <c r="I660" s="9">
        <f>($K$2+0.02)*Tabla1[[#This Row],[PRECIO $]]*1.18</f>
        <v>714.00384000000008</v>
      </c>
      <c r="J660" s="7">
        <f>+Tabla1[[#This Row],[PRECIO EN SOLES]]-Tabla1[[#This Row],[PC]]</f>
        <v>115.09615999999994</v>
      </c>
      <c r="K660" s="15"/>
      <c r="L660" s="15" t="str">
        <f t="shared" si="10"/>
        <v>NORMAL</v>
      </c>
    </row>
    <row r="661" spans="1:12" x14ac:dyDescent="0.25">
      <c r="A661" s="3" t="s">
        <v>1285</v>
      </c>
      <c r="B661" s="3" t="s">
        <v>1286</v>
      </c>
      <c r="C661" s="1">
        <v>11</v>
      </c>
      <c r="D661" s="1">
        <v>239</v>
      </c>
      <c r="E661" s="1" t="s">
        <v>121</v>
      </c>
      <c r="F661" s="1" t="s">
        <v>3160</v>
      </c>
      <c r="G661" s="3" t="s">
        <v>1287</v>
      </c>
      <c r="H661" s="11">
        <f>ROUND(
IF(L661="GANCHO",
   IF(I661&lt;=50,I661*1.1+4,IF(I661&lt;=120,I661*1.1+7,IF(I661&lt;=250,I661*1.1+11,I661*1.1+19))),
IF(L661="NORMAL",
   IF(I661&lt;=30,I661*1.15+2,IF(I661&lt;=80,I661*1.15+4,IF(I661&lt;=150,I661*1.15+6,I661*1.15+8))),
IF(L661="COMPLEMENTO",
   IF(I661&lt;=25,I661*1.25+1.5,IF(I661&lt;=60,I661*1.25+3,IF(I661&lt;=120,I661*1.25+4,I661*1.25+5))),
""))),2)</f>
        <v>1149.6199999999999</v>
      </c>
      <c r="I661" s="9">
        <f>($K$2+0.02)*Tabla1[[#This Row],[PRECIO $]]*1.18</f>
        <v>992.71039999999994</v>
      </c>
      <c r="J661" s="7">
        <f>+Tabla1[[#This Row],[PRECIO EN SOLES]]-Tabla1[[#This Row],[PC]]</f>
        <v>156.90959999999995</v>
      </c>
      <c r="K661" s="15"/>
      <c r="L661" s="15" t="str">
        <f t="shared" si="10"/>
        <v>NORMAL</v>
      </c>
    </row>
    <row r="662" spans="1:12" x14ac:dyDescent="0.25">
      <c r="A662" s="3" t="s">
        <v>1288</v>
      </c>
      <c r="B662" s="3" t="s">
        <v>1289</v>
      </c>
      <c r="C662" s="1">
        <v>20</v>
      </c>
      <c r="D662" s="1">
        <v>109</v>
      </c>
      <c r="E662" s="1" t="s">
        <v>121</v>
      </c>
      <c r="F662" s="1" t="s">
        <v>3161</v>
      </c>
      <c r="G662" s="3" t="s">
        <v>1290</v>
      </c>
      <c r="H662" s="11">
        <f>ROUND(
IF(L662="GANCHO",
   IF(I662&lt;=50,I662*1.1+4,IF(I662&lt;=120,I662*1.1+7,IF(I662&lt;=250,I662*1.1+11,I662*1.1+19))),
IF(L662="NORMAL",
   IF(I662&lt;=30,I662*1.15+2,IF(I662&lt;=80,I662*1.15+4,IF(I662&lt;=150,I662*1.15+6,I662*1.15+8))),
IF(L662="COMPLEMENTO",
   IF(I662&lt;=25,I662*1.25+1.5,IF(I662&lt;=60,I662*1.25+3,IF(I662&lt;=120,I662*1.25+4,I662*1.25+5))),
""))),2)</f>
        <v>528.65</v>
      </c>
      <c r="I662" s="9">
        <f>($K$2+0.02)*Tabla1[[#This Row],[PRECIO $]]*1.18</f>
        <v>452.74239999999998</v>
      </c>
      <c r="J662" s="7">
        <f>+Tabla1[[#This Row],[PRECIO EN SOLES]]-Tabla1[[#This Row],[PC]]</f>
        <v>75.907600000000002</v>
      </c>
      <c r="K662" s="15"/>
      <c r="L662" s="15" t="str">
        <f t="shared" si="10"/>
        <v>NORMAL</v>
      </c>
    </row>
    <row r="663" spans="1:12" x14ac:dyDescent="0.25">
      <c r="A663" s="3" t="s">
        <v>1291</v>
      </c>
      <c r="B663" s="3" t="s">
        <v>1292</v>
      </c>
      <c r="C663" s="1">
        <v>20</v>
      </c>
      <c r="D663" s="1">
        <v>190.5</v>
      </c>
      <c r="E663" s="1" t="s">
        <v>121</v>
      </c>
      <c r="F663" s="1" t="s">
        <v>3162</v>
      </c>
      <c r="G663" s="3" t="s">
        <v>1293</v>
      </c>
      <c r="H663" s="11">
        <f>ROUND(
IF(L663="GANCHO",
   IF(I663&lt;=50,I663*1.1+4,IF(I663&lt;=120,I663*1.1+7,IF(I663&lt;=250,I663*1.1+11,I663*1.1+19))),
IF(L663="NORMAL",
   IF(I663&lt;=30,I663*1.15+2,IF(I663&lt;=80,I663*1.15+4,IF(I663&lt;=150,I663*1.15+6,I663*1.15+8))),
IF(L663="COMPLEMENTO",
   IF(I663&lt;=25,I663*1.25+1.5,IF(I663&lt;=60,I663*1.25+3,IF(I663&lt;=120,I663*1.25+4,I663*1.25+5))),
""))),2)</f>
        <v>917.95</v>
      </c>
      <c r="I663" s="9">
        <f>($K$2+0.02)*Tabla1[[#This Row],[PRECIO $]]*1.18</f>
        <v>791.26080000000002</v>
      </c>
      <c r="J663" s="7">
        <f>+Tabla1[[#This Row],[PRECIO EN SOLES]]-Tabla1[[#This Row],[PC]]</f>
        <v>126.68920000000003</v>
      </c>
      <c r="K663" s="15"/>
      <c r="L663" s="15" t="str">
        <f t="shared" si="10"/>
        <v>NORMAL</v>
      </c>
    </row>
    <row r="664" spans="1:12" x14ac:dyDescent="0.25">
      <c r="A664" s="3" t="s">
        <v>1294</v>
      </c>
      <c r="B664" s="3" t="s">
        <v>1295</v>
      </c>
      <c r="C664" s="1">
        <v>3</v>
      </c>
      <c r="D664" s="1">
        <v>222.5</v>
      </c>
      <c r="E664" s="1" t="s">
        <v>121</v>
      </c>
      <c r="F664" s="1" t="s">
        <v>3163</v>
      </c>
      <c r="G664" s="3" t="s">
        <v>1296</v>
      </c>
      <c r="H664" s="11">
        <f>ROUND(
IF(L664="GANCHO",
   IF(I664&lt;=50,I664*1.1+4,IF(I664&lt;=120,I664*1.1+7,IF(I664&lt;=250,I664*1.1+11,I664*1.1+19))),
IF(L664="NORMAL",
   IF(I664&lt;=30,I664*1.15+2,IF(I664&lt;=80,I664*1.15+4,IF(I664&lt;=150,I664*1.15+6,I664*1.15+8))),
IF(L664="COMPLEMENTO",
   IF(I664&lt;=25,I664*1.25+1.5,IF(I664&lt;=60,I664*1.25+3,IF(I664&lt;=120,I664*1.25+4,I664*1.25+5))),
""))),2)</f>
        <v>1070.8</v>
      </c>
      <c r="I664" s="9">
        <f>($K$2+0.02)*Tabla1[[#This Row],[PRECIO $]]*1.18</f>
        <v>924.17600000000004</v>
      </c>
      <c r="J664" s="7">
        <f>+Tabla1[[#This Row],[PRECIO EN SOLES]]-Tabla1[[#This Row],[PC]]</f>
        <v>146.62399999999991</v>
      </c>
      <c r="K664" s="15"/>
      <c r="L664" s="15" t="str">
        <f t="shared" si="10"/>
        <v>NORMAL</v>
      </c>
    </row>
    <row r="665" spans="1:12" x14ac:dyDescent="0.25">
      <c r="A665" s="3" t="s">
        <v>5464</v>
      </c>
      <c r="B665" s="3" t="s">
        <v>5465</v>
      </c>
      <c r="C665" s="1">
        <v>10</v>
      </c>
      <c r="D665" s="1">
        <v>230.5</v>
      </c>
      <c r="E665" s="1" t="s">
        <v>121</v>
      </c>
      <c r="F665" s="1" t="s">
        <v>5466</v>
      </c>
      <c r="G665" s="3" t="s">
        <v>5467</v>
      </c>
      <c r="H665" s="11">
        <f>ROUND(
IF(L665="GANCHO",
   IF(I665&lt;=50,I665*1.1+4,IF(I665&lt;=120,I665*1.1+7,IF(I665&lt;=250,I665*1.1+11,I665*1.1+19))),
IF(L665="NORMAL",
   IF(I665&lt;=30,I665*1.15+2,IF(I665&lt;=80,I665*1.15+4,IF(I665&lt;=150,I665*1.15+6,I665*1.15+8))),
IF(L665="COMPLEMENTO",
   IF(I665&lt;=25,I665*1.25+1.5,IF(I665&lt;=60,I665*1.25+3,IF(I665&lt;=120,I665*1.25+4,I665*1.25+5))),
""))),2)</f>
        <v>1109.02</v>
      </c>
      <c r="I665" s="9">
        <f>($K$2+0.02)*Tabla1[[#This Row],[PRECIO $]]*1.18</f>
        <v>957.40479999999991</v>
      </c>
      <c r="J665" s="7">
        <f>+Tabla1[[#This Row],[PRECIO EN SOLES]]-Tabla1[[#This Row],[PC]]</f>
        <v>151.61520000000007</v>
      </c>
      <c r="K665" s="15"/>
      <c r="L665" s="15" t="str">
        <f t="shared" si="10"/>
        <v>NORMAL</v>
      </c>
    </row>
    <row r="666" spans="1:12" x14ac:dyDescent="0.25">
      <c r="A666" s="3" t="s">
        <v>5468</v>
      </c>
      <c r="B666" s="3" t="s">
        <v>5469</v>
      </c>
      <c r="C666" s="1">
        <v>6</v>
      </c>
      <c r="D666" s="1">
        <v>435</v>
      </c>
      <c r="E666" s="1" t="s">
        <v>121</v>
      </c>
      <c r="F666" s="1" t="s">
        <v>5470</v>
      </c>
      <c r="G666" s="3" t="s">
        <v>5471</v>
      </c>
      <c r="H666" s="11">
        <f>ROUND(
IF(L666="GANCHO",
   IF(I666&lt;=50,I666*1.1+4,IF(I666&lt;=120,I666*1.1+7,IF(I666&lt;=250,I666*1.1+11,I666*1.1+19))),
IF(L666="NORMAL",
   IF(I666&lt;=30,I666*1.15+2,IF(I666&lt;=80,I666*1.15+4,IF(I666&lt;=150,I666*1.15+6,I666*1.15+8))),
IF(L666="COMPLEMENTO",
   IF(I666&lt;=25,I666*1.25+1.5,IF(I666&lt;=60,I666*1.25+3,IF(I666&lt;=120,I666*1.25+4,I666*1.25+5))),
""))),2)</f>
        <v>2085.84</v>
      </c>
      <c r="I666" s="9">
        <f>($K$2+0.02)*Tabla1[[#This Row],[PRECIO $]]*1.18</f>
        <v>1806.816</v>
      </c>
      <c r="J666" s="7">
        <f>+Tabla1[[#This Row],[PRECIO EN SOLES]]-Tabla1[[#This Row],[PC]]</f>
        <v>279.02400000000011</v>
      </c>
      <c r="K666" s="15"/>
      <c r="L666" s="15" t="str">
        <f t="shared" si="10"/>
        <v>NORMAL</v>
      </c>
    </row>
    <row r="667" spans="1:12" x14ac:dyDescent="0.25">
      <c r="A667" s="3" t="s">
        <v>2741</v>
      </c>
      <c r="B667" s="3" t="s">
        <v>2742</v>
      </c>
      <c r="C667" s="1">
        <v>11</v>
      </c>
      <c r="D667" s="1">
        <v>256.64999999999998</v>
      </c>
      <c r="E667" s="1" t="s">
        <v>121</v>
      </c>
      <c r="F667" s="1" t="s">
        <v>3164</v>
      </c>
      <c r="G667" s="3" t="s">
        <v>2743</v>
      </c>
      <c r="H667" s="11">
        <f>ROUND(
IF(L667="GANCHO",
   IF(I667&lt;=50,I667*1.1+4,IF(I667&lt;=120,I667*1.1+7,IF(I667&lt;=250,I667*1.1+11,I667*1.1+19))),
IF(L667="NORMAL",
   IF(I667&lt;=30,I667*1.15+2,IF(I667&lt;=80,I667*1.15+4,IF(I667&lt;=150,I667*1.15+6,I667*1.15+8))),
IF(L667="COMPLEMENTO",
   IF(I667&lt;=25,I667*1.25+1.5,IF(I667&lt;=60,I667*1.25+3,IF(I667&lt;=120,I667*1.25+4,I667*1.25+5))),
""))),2)</f>
        <v>1233.92</v>
      </c>
      <c r="I667" s="9">
        <f>($K$2+0.02)*Tabla1[[#This Row],[PRECIO $]]*1.18</f>
        <v>1066.0214399999998</v>
      </c>
      <c r="J667" s="7">
        <f>+Tabla1[[#This Row],[PRECIO EN SOLES]]-Tabla1[[#This Row],[PC]]</f>
        <v>167.89856000000032</v>
      </c>
      <c r="K667" s="15"/>
      <c r="L667" s="15" t="str">
        <f t="shared" si="10"/>
        <v>NORMAL</v>
      </c>
    </row>
    <row r="668" spans="1:12" x14ac:dyDescent="0.25">
      <c r="A668" s="3" t="s">
        <v>5472</v>
      </c>
      <c r="B668" s="3" t="s">
        <v>5473</v>
      </c>
      <c r="C668" s="1">
        <v>9</v>
      </c>
      <c r="D668" s="1">
        <v>291.5</v>
      </c>
      <c r="E668" s="1" t="s">
        <v>121</v>
      </c>
      <c r="F668" s="1" t="s">
        <v>5474</v>
      </c>
      <c r="G668" s="3" t="s">
        <v>5475</v>
      </c>
      <c r="H668" s="11">
        <f>ROUND(
IF(L668="GANCHO",
   IF(I668&lt;=50,I668*1.1+4,IF(I668&lt;=120,I668*1.1+7,IF(I668&lt;=250,I668*1.1+11,I668*1.1+19))),
IF(L668="NORMAL",
   IF(I668&lt;=30,I668*1.15+2,IF(I668&lt;=80,I668*1.15+4,IF(I668&lt;=150,I668*1.15+6,I668*1.15+8))),
IF(L668="COMPLEMENTO",
   IF(I668&lt;=25,I668*1.25+1.5,IF(I668&lt;=60,I668*1.25+3,IF(I668&lt;=120,I668*1.25+4,I668*1.25+5))),
""))),2)</f>
        <v>1400.39</v>
      </c>
      <c r="I668" s="9">
        <f>($K$2+0.02)*Tabla1[[#This Row],[PRECIO $]]*1.18</f>
        <v>1210.7743999999998</v>
      </c>
      <c r="J668" s="7">
        <f>+Tabla1[[#This Row],[PRECIO EN SOLES]]-Tabla1[[#This Row],[PC]]</f>
        <v>189.61560000000031</v>
      </c>
      <c r="K668" s="15"/>
      <c r="L668" s="15" t="str">
        <f t="shared" si="10"/>
        <v>NORMAL</v>
      </c>
    </row>
    <row r="669" spans="1:12" x14ac:dyDescent="0.25">
      <c r="A669" s="3" t="s">
        <v>1297</v>
      </c>
      <c r="B669" s="3" t="s">
        <v>1298</v>
      </c>
      <c r="C669" s="1">
        <v>16</v>
      </c>
      <c r="D669" s="1">
        <v>250.5</v>
      </c>
      <c r="E669" s="1" t="s">
        <v>121</v>
      </c>
      <c r="F669" s="1" t="s">
        <v>3166</v>
      </c>
      <c r="G669" s="3" t="s">
        <v>1299</v>
      </c>
      <c r="H669" s="11">
        <f>ROUND(
IF(L669="GANCHO",
   IF(I669&lt;=50,I669*1.1+4,IF(I669&lt;=120,I669*1.1+7,IF(I669&lt;=250,I669*1.1+11,I669*1.1+19))),
IF(L669="NORMAL",
   IF(I669&lt;=30,I669*1.15+2,IF(I669&lt;=80,I669*1.15+4,IF(I669&lt;=150,I669*1.15+6,I669*1.15+8))),
IF(L669="COMPLEMENTO",
   IF(I669&lt;=25,I669*1.25+1.5,IF(I669&lt;=60,I669*1.25+3,IF(I669&lt;=120,I669*1.25+4,I669*1.25+5))),
""))),2)</f>
        <v>1204.55</v>
      </c>
      <c r="I669" s="9">
        <f>($K$2+0.02)*Tabla1[[#This Row],[PRECIO $]]*1.18</f>
        <v>1040.4767999999999</v>
      </c>
      <c r="J669" s="7">
        <f>+Tabla1[[#This Row],[PRECIO EN SOLES]]-Tabla1[[#This Row],[PC]]</f>
        <v>164.07320000000004</v>
      </c>
      <c r="K669" s="15"/>
      <c r="L669" s="15" t="str">
        <f t="shared" si="10"/>
        <v>NORMAL</v>
      </c>
    </row>
    <row r="670" spans="1:12" x14ac:dyDescent="0.25">
      <c r="A670" s="3" t="s">
        <v>1300</v>
      </c>
      <c r="B670" s="3" t="s">
        <v>1301</v>
      </c>
      <c r="C670" s="1">
        <v>1</v>
      </c>
      <c r="D670" s="1">
        <v>525</v>
      </c>
      <c r="E670" s="1" t="s">
        <v>847</v>
      </c>
      <c r="F670" s="1" t="s">
        <v>3167</v>
      </c>
      <c r="G670" s="3" t="s">
        <v>1302</v>
      </c>
      <c r="H670" s="11">
        <f>ROUND(
IF(L670="GANCHO",
   IF(I670&lt;=50,I670*1.1+4,IF(I670&lt;=120,I670*1.1+7,IF(I670&lt;=250,I670*1.1+11,I670*1.1+19))),
IF(L670="NORMAL",
   IF(I670&lt;=30,I670*1.15+2,IF(I670&lt;=80,I670*1.15+4,IF(I670&lt;=150,I670*1.15+6,I670*1.15+8))),
IF(L670="COMPLEMENTO",
   IF(I670&lt;=25,I670*1.25+1.5,IF(I670&lt;=60,I670*1.25+3,IF(I670&lt;=120,I670*1.25+4,I670*1.25+5))),
""))),2)</f>
        <v>2515.7399999999998</v>
      </c>
      <c r="I670" s="9">
        <f>($K$2+0.02)*Tabla1[[#This Row],[PRECIO $]]*1.18</f>
        <v>2180.64</v>
      </c>
      <c r="J670" s="7">
        <f>+Tabla1[[#This Row],[PRECIO EN SOLES]]-Tabla1[[#This Row],[PC]]</f>
        <v>335.09999999999991</v>
      </c>
      <c r="K670" s="15"/>
      <c r="L670" s="15" t="str">
        <f t="shared" si="10"/>
        <v>NORMAL</v>
      </c>
    </row>
    <row r="671" spans="1:12" x14ac:dyDescent="0.25">
      <c r="A671" s="3" t="s">
        <v>6085</v>
      </c>
      <c r="B671" s="3" t="s">
        <v>6086</v>
      </c>
      <c r="C671" s="1">
        <v>18</v>
      </c>
      <c r="D671" s="1">
        <v>151</v>
      </c>
      <c r="E671" s="1" t="s">
        <v>6087</v>
      </c>
      <c r="F671" s="1" t="s">
        <v>6088</v>
      </c>
      <c r="G671" s="3" t="s">
        <v>6089</v>
      </c>
      <c r="H671" s="11">
        <f>ROUND(
IF(L671="GANCHO",
   IF(I671&lt;=50,I671*1.1+4,IF(I671&lt;=120,I671*1.1+7,IF(I671&lt;=250,I671*1.1+11,I671*1.1+19))),
IF(L671="NORMAL",
   IF(I671&lt;=30,I671*1.15+2,IF(I671&lt;=80,I671*1.15+4,IF(I671&lt;=150,I671*1.15+6,I671*1.15+8))),
IF(L671="COMPLEMENTO",
   IF(I671&lt;=25,I671*1.25+1.5,IF(I671&lt;=60,I671*1.25+3,IF(I671&lt;=120,I671*1.25+4,I671*1.25+5))),
""))),2)</f>
        <v>729.27</v>
      </c>
      <c r="I671" s="9">
        <f>($K$2+0.02)*Tabla1[[#This Row],[PRECIO $]]*1.18</f>
        <v>627.19359999999995</v>
      </c>
      <c r="J671" s="7">
        <f>+Tabla1[[#This Row],[PRECIO EN SOLES]]-Tabla1[[#This Row],[PC]]</f>
        <v>102.07640000000004</v>
      </c>
      <c r="K671" s="15"/>
      <c r="L671" s="15" t="str">
        <f t="shared" si="10"/>
        <v>NORMAL</v>
      </c>
    </row>
    <row r="672" spans="1:12" x14ac:dyDescent="0.25">
      <c r="A672" s="3" t="s">
        <v>6090</v>
      </c>
      <c r="B672" s="3" t="s">
        <v>6091</v>
      </c>
      <c r="C672" s="1">
        <v>20</v>
      </c>
      <c r="D672" s="1">
        <v>27.7</v>
      </c>
      <c r="E672" s="1" t="s">
        <v>442</v>
      </c>
      <c r="F672" s="1" t="s">
        <v>6092</v>
      </c>
      <c r="G672" s="3" t="s">
        <v>6093</v>
      </c>
      <c r="H672" s="11">
        <f>ROUND(
IF(L672="GANCHO",
   IF(I672&lt;=50,I672*1.1+4,IF(I672&lt;=120,I672*1.1+7,IF(I672&lt;=250,I672*1.1+11,I672*1.1+19))),
IF(L672="NORMAL",
   IF(I672&lt;=30,I672*1.15+2,IF(I672&lt;=80,I672*1.15+4,IF(I672&lt;=150,I672*1.15+6,I672*1.15+8))),
IF(L672="COMPLEMENTO",
   IF(I672&lt;=25,I672*1.25+1.5,IF(I672&lt;=60,I672*1.25+3,IF(I672&lt;=120,I672*1.25+4,I672*1.25+5))),
""))),2)</f>
        <v>138.31</v>
      </c>
      <c r="I672" s="9">
        <f>($K$2+0.02)*Tabla1[[#This Row],[PRECIO $]]*1.18</f>
        <v>115.05472</v>
      </c>
      <c r="J672" s="7">
        <f>+Tabla1[[#This Row],[PRECIO EN SOLES]]-Tabla1[[#This Row],[PC]]</f>
        <v>23.255279999999999</v>
      </c>
      <c r="K672" s="15"/>
      <c r="L672" s="15" t="str">
        <f t="shared" si="10"/>
        <v>NORMAL</v>
      </c>
    </row>
    <row r="673" spans="1:12" x14ac:dyDescent="0.25">
      <c r="A673" s="3" t="s">
        <v>6094</v>
      </c>
      <c r="B673" s="3" t="s">
        <v>6095</v>
      </c>
      <c r="C673" s="1">
        <v>20</v>
      </c>
      <c r="D673" s="1">
        <v>127.7</v>
      </c>
      <c r="E673" s="1" t="s">
        <v>777</v>
      </c>
      <c r="F673" s="1" t="s">
        <v>6096</v>
      </c>
      <c r="G673" s="3" t="s">
        <v>6097</v>
      </c>
      <c r="H673" s="11">
        <f>ROUND(
IF(L673="GANCHO",
   IF(I673&lt;=50,I673*1.1+4,IF(I673&lt;=120,I673*1.1+7,IF(I673&lt;=250,I673*1.1+11,I673*1.1+19))),
IF(L673="NORMAL",
   IF(I673&lt;=30,I673*1.15+2,IF(I673&lt;=80,I673*1.15+4,IF(I673&lt;=150,I673*1.15+6,I673*1.15+8))),
IF(L673="COMPLEMENTO",
   IF(I673&lt;=25,I673*1.25+1.5,IF(I673&lt;=60,I673*1.25+3,IF(I673&lt;=120,I673*1.25+4,I673*1.25+5))),
""))),2)</f>
        <v>617.98</v>
      </c>
      <c r="I673" s="9">
        <f>($K$2+0.02)*Tabla1[[#This Row],[PRECIO $]]*1.18</f>
        <v>530.41471999999999</v>
      </c>
      <c r="J673" s="7">
        <f>+Tabla1[[#This Row],[PRECIO EN SOLES]]-Tabla1[[#This Row],[PC]]</f>
        <v>87.56528000000003</v>
      </c>
      <c r="K673" s="15"/>
      <c r="L673" s="15" t="str">
        <f t="shared" si="10"/>
        <v>NORMAL</v>
      </c>
    </row>
    <row r="674" spans="1:12" x14ac:dyDescent="0.25">
      <c r="A674" s="3" t="s">
        <v>5008</v>
      </c>
      <c r="B674" s="3" t="s">
        <v>1303</v>
      </c>
      <c r="C674" s="1">
        <v>20</v>
      </c>
      <c r="D674" s="1">
        <v>141.69999999999999</v>
      </c>
      <c r="E674" s="1" t="s">
        <v>193</v>
      </c>
      <c r="F674" s="1" t="s">
        <v>5009</v>
      </c>
      <c r="G674" s="3" t="s">
        <v>1304</v>
      </c>
      <c r="H674" s="11">
        <f>ROUND(
IF(L674="GANCHO",
   IF(I674&lt;=50,I674*1.1+4,IF(I674&lt;=120,I674*1.1+7,IF(I674&lt;=250,I674*1.1+11,I674*1.1+19))),
IF(L674="NORMAL",
   IF(I674&lt;=30,I674*1.15+2,IF(I674&lt;=80,I674*1.15+4,IF(I674&lt;=150,I674*1.15+6,I674*1.15+8))),
IF(L674="COMPLEMENTO",
   IF(I674&lt;=25,I674*1.25+1.5,IF(I674&lt;=60,I674*1.25+3,IF(I674&lt;=120,I674*1.25+4,I674*1.25+5))),
""))),2)</f>
        <v>684.85</v>
      </c>
      <c r="I674" s="9">
        <f>($K$2+0.02)*Tabla1[[#This Row],[PRECIO $]]*1.18</f>
        <v>588.56511999999987</v>
      </c>
      <c r="J674" s="7">
        <f>+Tabla1[[#This Row],[PRECIO EN SOLES]]-Tabla1[[#This Row],[PC]]</f>
        <v>96.284880000000157</v>
      </c>
      <c r="K674" s="15"/>
      <c r="L674" s="15" t="str">
        <f t="shared" si="10"/>
        <v>NORMAL</v>
      </c>
    </row>
    <row r="675" spans="1:12" x14ac:dyDescent="0.25">
      <c r="A675" s="3" t="s">
        <v>1305</v>
      </c>
      <c r="B675" s="3" t="s">
        <v>1306</v>
      </c>
      <c r="C675" s="1">
        <v>20</v>
      </c>
      <c r="D675" s="1">
        <v>132.75</v>
      </c>
      <c r="E675" s="1" t="s">
        <v>193</v>
      </c>
      <c r="F675" s="1" t="s">
        <v>3168</v>
      </c>
      <c r="G675" s="3" t="s">
        <v>1307</v>
      </c>
      <c r="H675" s="11">
        <f>ROUND(
IF(L675="GANCHO",
   IF(I675&lt;=50,I675*1.1+4,IF(I675&lt;=120,I675*1.1+7,IF(I675&lt;=250,I675*1.1+11,I675*1.1+19))),
IF(L675="NORMAL",
   IF(I675&lt;=30,I675*1.15+2,IF(I675&lt;=80,I675*1.15+4,IF(I675&lt;=150,I675*1.15+6,I675*1.15+8))),
IF(L675="COMPLEMENTO",
   IF(I675&lt;=25,I675*1.25+1.5,IF(I675&lt;=60,I675*1.25+3,IF(I675&lt;=120,I675*1.25+4,I675*1.25+5))),
""))),2)</f>
        <v>642.1</v>
      </c>
      <c r="I675" s="9">
        <f>($K$2+0.02)*Tabla1[[#This Row],[PRECIO $]]*1.18</f>
        <v>551.3904</v>
      </c>
      <c r="J675" s="7">
        <f>+Tabla1[[#This Row],[PRECIO EN SOLES]]-Tabla1[[#This Row],[PC]]</f>
        <v>90.709600000000023</v>
      </c>
      <c r="K675" s="15"/>
      <c r="L675" s="15" t="str">
        <f t="shared" si="10"/>
        <v>NORMAL</v>
      </c>
    </row>
    <row r="676" spans="1:12" x14ac:dyDescent="0.25">
      <c r="A676" s="3" t="s">
        <v>6098</v>
      </c>
      <c r="B676" s="3" t="s">
        <v>6099</v>
      </c>
      <c r="C676" s="1">
        <v>20</v>
      </c>
      <c r="D676" s="1">
        <v>138.69999999999999</v>
      </c>
      <c r="E676" s="1" t="s">
        <v>442</v>
      </c>
      <c r="F676" s="1" t="s">
        <v>6100</v>
      </c>
      <c r="G676" s="3" t="s">
        <v>6101</v>
      </c>
      <c r="H676" s="11">
        <f>ROUND(
IF(L676="GANCHO",
   IF(I676&lt;=50,I676*1.1+4,IF(I676&lt;=120,I676*1.1+7,IF(I676&lt;=250,I676*1.1+11,I676*1.1+19))),
IF(L676="NORMAL",
   IF(I676&lt;=30,I676*1.15+2,IF(I676&lt;=80,I676*1.15+4,IF(I676&lt;=150,I676*1.15+6,I676*1.15+8))),
IF(L676="COMPLEMENTO",
   IF(I676&lt;=25,I676*1.25+1.5,IF(I676&lt;=60,I676*1.25+3,IF(I676&lt;=120,I676*1.25+4,I676*1.25+5))),
""))),2)</f>
        <v>670.52</v>
      </c>
      <c r="I676" s="9">
        <f>($K$2+0.02)*Tabla1[[#This Row],[PRECIO $]]*1.18</f>
        <v>576.10431999999992</v>
      </c>
      <c r="J676" s="7">
        <f>+Tabla1[[#This Row],[PRECIO EN SOLES]]-Tabla1[[#This Row],[PC]]</f>
        <v>94.415680000000066</v>
      </c>
      <c r="K676" s="15"/>
      <c r="L676" s="15" t="str">
        <f t="shared" si="10"/>
        <v>NORMAL</v>
      </c>
    </row>
    <row r="677" spans="1:12" x14ac:dyDescent="0.25">
      <c r="A677" s="3" t="s">
        <v>5215</v>
      </c>
      <c r="B677" s="3" t="s">
        <v>5216</v>
      </c>
      <c r="C677" s="1">
        <v>20</v>
      </c>
      <c r="D677" s="1">
        <v>110.5</v>
      </c>
      <c r="E677" s="1" t="s">
        <v>196</v>
      </c>
      <c r="F677" s="1" t="s">
        <v>5217</v>
      </c>
      <c r="G677" s="3" t="s">
        <v>5218</v>
      </c>
      <c r="H677" s="11">
        <f>ROUND(
IF(L677="GANCHO",
   IF(I677&lt;=50,I677*1.1+4,IF(I677&lt;=120,I677*1.1+7,IF(I677&lt;=250,I677*1.1+11,I677*1.1+19))),
IF(L677="NORMAL",
   IF(I677&lt;=30,I677*1.15+2,IF(I677&lt;=80,I677*1.15+4,IF(I677&lt;=150,I677*1.15+6,I677*1.15+8))),
IF(L677="COMPLEMENTO",
   IF(I677&lt;=25,I677*1.25+1.5,IF(I677&lt;=60,I677*1.25+3,IF(I677&lt;=120,I677*1.25+4,I677*1.25+5))),
""))),2)</f>
        <v>535.82000000000005</v>
      </c>
      <c r="I677" s="9">
        <f>($K$2+0.02)*Tabla1[[#This Row],[PRECIO $]]*1.18</f>
        <v>458.97279999999995</v>
      </c>
      <c r="J677" s="7">
        <f>+Tabla1[[#This Row],[PRECIO EN SOLES]]-Tabla1[[#This Row],[PC]]</f>
        <v>76.8472000000001</v>
      </c>
      <c r="K677" s="15"/>
      <c r="L677" s="15" t="str">
        <f t="shared" si="10"/>
        <v>NORMAL</v>
      </c>
    </row>
    <row r="678" spans="1:12" x14ac:dyDescent="0.25">
      <c r="A678" s="3" t="s">
        <v>1308</v>
      </c>
      <c r="B678" s="3" t="s">
        <v>1309</v>
      </c>
      <c r="C678" s="1">
        <v>20</v>
      </c>
      <c r="D678" s="1">
        <v>147.19999999999999</v>
      </c>
      <c r="E678" s="1" t="s">
        <v>193</v>
      </c>
      <c r="F678" s="1" t="s">
        <v>3169</v>
      </c>
      <c r="G678" s="3" t="s">
        <v>1310</v>
      </c>
      <c r="H678" s="11">
        <f>ROUND(
IF(L678="GANCHO",
   IF(I678&lt;=50,I678*1.1+4,IF(I678&lt;=120,I678*1.1+7,IF(I678&lt;=250,I678*1.1+11,I678*1.1+19))),
IF(L678="NORMAL",
   IF(I678&lt;=30,I678*1.15+2,IF(I678&lt;=80,I678*1.15+4,IF(I678&lt;=150,I678*1.15+6,I678*1.15+8))),
IF(L678="COMPLEMENTO",
   IF(I678&lt;=25,I678*1.25+1.5,IF(I678&lt;=60,I678*1.25+3,IF(I678&lt;=120,I678*1.25+4,I678*1.25+5))),
""))),2)</f>
        <v>711.12</v>
      </c>
      <c r="I678" s="9">
        <f>($K$2+0.02)*Tabla1[[#This Row],[PRECIO $]]*1.18</f>
        <v>611.40991999999994</v>
      </c>
      <c r="J678" s="7">
        <f>+Tabla1[[#This Row],[PRECIO EN SOLES]]-Tabla1[[#This Row],[PC]]</f>
        <v>99.710080000000062</v>
      </c>
      <c r="K678" s="15"/>
      <c r="L678" s="15" t="str">
        <f t="shared" si="10"/>
        <v>NORMAL</v>
      </c>
    </row>
    <row r="679" spans="1:12" x14ac:dyDescent="0.25">
      <c r="A679" s="3" t="s">
        <v>4441</v>
      </c>
      <c r="B679" s="3" t="s">
        <v>4442</v>
      </c>
      <c r="C679" s="1">
        <v>3</v>
      </c>
      <c r="D679" s="1">
        <v>211</v>
      </c>
      <c r="E679" s="1" t="s">
        <v>193</v>
      </c>
      <c r="F679" s="1" t="s">
        <v>4443</v>
      </c>
      <c r="G679" s="3" t="s">
        <v>5010</v>
      </c>
      <c r="H679" s="11">
        <f>ROUND(
IF(L679="GANCHO",
   IF(I679&lt;=50,I679*1.1+4,IF(I679&lt;=120,I679*1.1+7,IF(I679&lt;=250,I679*1.1+11,I679*1.1+19))),
IF(L679="NORMAL",
   IF(I679&lt;=30,I679*1.15+2,IF(I679&lt;=80,I679*1.15+4,IF(I679&lt;=150,I679*1.15+6,I679*1.15+8))),
IF(L679="COMPLEMENTO",
   IF(I679&lt;=25,I679*1.25+1.5,IF(I679&lt;=60,I679*1.25+3,IF(I679&lt;=120,I679*1.25+4,I679*1.25+5))),
""))),2)</f>
        <v>1015.87</v>
      </c>
      <c r="I679" s="9">
        <f>($K$2+0.02)*Tabla1[[#This Row],[PRECIO $]]*1.18</f>
        <v>876.40959999999995</v>
      </c>
      <c r="J679" s="7">
        <f>+Tabla1[[#This Row],[PRECIO EN SOLES]]-Tabla1[[#This Row],[PC]]</f>
        <v>139.46040000000005</v>
      </c>
      <c r="K679" s="15"/>
      <c r="L679" s="15" t="str">
        <f t="shared" si="10"/>
        <v>NORMAL</v>
      </c>
    </row>
    <row r="680" spans="1:12" x14ac:dyDescent="0.25">
      <c r="A680" s="3" t="s">
        <v>1311</v>
      </c>
      <c r="B680" s="3" t="s">
        <v>1312</v>
      </c>
      <c r="C680" s="1">
        <v>20</v>
      </c>
      <c r="D680" s="1">
        <v>121.2</v>
      </c>
      <c r="E680" s="1" t="s">
        <v>193</v>
      </c>
      <c r="F680" s="1" t="s">
        <v>3170</v>
      </c>
      <c r="G680" s="3" t="s">
        <v>1304</v>
      </c>
      <c r="H680" s="11">
        <f>ROUND(
IF(L680="GANCHO",
   IF(I680&lt;=50,I680*1.1+4,IF(I680&lt;=120,I680*1.1+7,IF(I680&lt;=250,I680*1.1+11,I680*1.1+19))),
IF(L680="NORMAL",
   IF(I680&lt;=30,I680*1.15+2,IF(I680&lt;=80,I680*1.15+4,IF(I680&lt;=150,I680*1.15+6,I680*1.15+8))),
IF(L680="COMPLEMENTO",
   IF(I680&lt;=25,I680*1.25+1.5,IF(I680&lt;=60,I680*1.25+3,IF(I680&lt;=120,I680*1.25+4,I680*1.25+5))),
""))),2)</f>
        <v>586.92999999999995</v>
      </c>
      <c r="I680" s="9">
        <f>($K$2+0.02)*Tabla1[[#This Row],[PRECIO $]]*1.18</f>
        <v>503.41631999999998</v>
      </c>
      <c r="J680" s="7">
        <f>+Tabla1[[#This Row],[PRECIO EN SOLES]]-Tabla1[[#This Row],[PC]]</f>
        <v>83.513679999999965</v>
      </c>
      <c r="K680" s="15"/>
      <c r="L680" s="15" t="str">
        <f t="shared" si="10"/>
        <v>NORMAL</v>
      </c>
    </row>
    <row r="681" spans="1:12" x14ac:dyDescent="0.25">
      <c r="A681" s="3" t="s">
        <v>6553</v>
      </c>
      <c r="B681" s="3" t="s">
        <v>6554</v>
      </c>
      <c r="C681" s="1">
        <v>20</v>
      </c>
      <c r="D681" s="1">
        <v>114.7</v>
      </c>
      <c r="E681" s="1" t="s">
        <v>52</v>
      </c>
      <c r="F681" s="1" t="s">
        <v>6555</v>
      </c>
      <c r="G681" s="3"/>
      <c r="H681" s="11">
        <f>ROUND(
IF(L681="GANCHO",
   IF(I681&lt;=50,I681*1.1+4,IF(I681&lt;=120,I681*1.1+7,IF(I681&lt;=250,I681*1.1+11,I681*1.1+19))),
IF(L681="NORMAL",
   IF(I681&lt;=30,I681*1.15+2,IF(I681&lt;=80,I681*1.15+4,IF(I681&lt;=150,I681*1.15+6,I681*1.15+8))),
IF(L681="COMPLEMENTO",
   IF(I681&lt;=25,I681*1.25+1.5,IF(I681&lt;=60,I681*1.25+3,IF(I681&lt;=120,I681*1.25+4,I681*1.25+5))),
""))),2)</f>
        <v>555.88</v>
      </c>
      <c r="I681" s="9">
        <f>($K$2+0.02)*Tabla1[[#This Row],[PRECIO $]]*1.18</f>
        <v>476.41791999999998</v>
      </c>
      <c r="J681" s="7">
        <f>+Tabla1[[#This Row],[PRECIO EN SOLES]]-Tabla1[[#This Row],[PC]]</f>
        <v>79.462080000000014</v>
      </c>
      <c r="K681" s="15"/>
      <c r="L681" s="15" t="str">
        <f t="shared" si="10"/>
        <v>NORMAL</v>
      </c>
    </row>
    <row r="682" spans="1:12" x14ac:dyDescent="0.25">
      <c r="A682" s="3" t="s">
        <v>4591</v>
      </c>
      <c r="B682" s="3" t="s">
        <v>4592</v>
      </c>
      <c r="C682" s="1">
        <v>20</v>
      </c>
      <c r="D682" s="1">
        <v>123.5</v>
      </c>
      <c r="E682" s="1" t="s">
        <v>442</v>
      </c>
      <c r="F682" s="1" t="s">
        <v>4593</v>
      </c>
      <c r="G682" s="3" t="s">
        <v>4594</v>
      </c>
      <c r="H682" s="11">
        <f>ROUND(
IF(L682="GANCHO",
   IF(I682&lt;=50,I682*1.1+4,IF(I682&lt;=120,I682*1.1+7,IF(I682&lt;=250,I682*1.1+11,I682*1.1+19))),
IF(L682="NORMAL",
   IF(I682&lt;=30,I682*1.15+2,IF(I682&lt;=80,I682*1.15+4,IF(I682&lt;=150,I682*1.15+6,I682*1.15+8))),
IF(L682="COMPLEMENTO",
   IF(I682&lt;=25,I682*1.25+1.5,IF(I682&lt;=60,I682*1.25+3,IF(I682&lt;=120,I682*1.25+4,I682*1.25+5))),
""))),2)</f>
        <v>597.91999999999996</v>
      </c>
      <c r="I682" s="9">
        <f>($K$2+0.02)*Tabla1[[#This Row],[PRECIO $]]*1.18</f>
        <v>512.96960000000001</v>
      </c>
      <c r="J682" s="7">
        <f>+Tabla1[[#This Row],[PRECIO EN SOLES]]-Tabla1[[#This Row],[PC]]</f>
        <v>84.950399999999945</v>
      </c>
      <c r="K682" s="15"/>
      <c r="L682" s="15" t="str">
        <f t="shared" si="10"/>
        <v>NORMAL</v>
      </c>
    </row>
    <row r="683" spans="1:12" x14ac:dyDescent="0.25">
      <c r="A683" s="3" t="s">
        <v>4595</v>
      </c>
      <c r="B683" s="3" t="s">
        <v>4596</v>
      </c>
      <c r="C683" s="1">
        <v>20</v>
      </c>
      <c r="D683" s="1">
        <v>127.7</v>
      </c>
      <c r="E683" s="1" t="s">
        <v>4597</v>
      </c>
      <c r="F683" s="1" t="s">
        <v>4598</v>
      </c>
      <c r="G683" s="3" t="s">
        <v>4755</v>
      </c>
      <c r="H683" s="11">
        <f>ROUND(
IF(L683="GANCHO",
   IF(I683&lt;=50,I683*1.1+4,IF(I683&lt;=120,I683*1.1+7,IF(I683&lt;=250,I683*1.1+11,I683*1.1+19))),
IF(L683="NORMAL",
   IF(I683&lt;=30,I683*1.15+2,IF(I683&lt;=80,I683*1.15+4,IF(I683&lt;=150,I683*1.15+6,I683*1.15+8))),
IF(L683="COMPLEMENTO",
   IF(I683&lt;=25,I683*1.25+1.5,IF(I683&lt;=60,I683*1.25+3,IF(I683&lt;=120,I683*1.25+4,I683*1.25+5))),
""))),2)</f>
        <v>617.98</v>
      </c>
      <c r="I683" s="9">
        <f>($K$2+0.02)*Tabla1[[#This Row],[PRECIO $]]*1.18</f>
        <v>530.41471999999999</v>
      </c>
      <c r="J683" s="7">
        <f>+Tabla1[[#This Row],[PRECIO EN SOLES]]-Tabla1[[#This Row],[PC]]</f>
        <v>87.56528000000003</v>
      </c>
      <c r="K683" s="15"/>
      <c r="L683" s="15" t="str">
        <f t="shared" si="10"/>
        <v>NORMAL</v>
      </c>
    </row>
    <row r="684" spans="1:12" x14ac:dyDescent="0.25">
      <c r="A684" s="3" t="s">
        <v>1313</v>
      </c>
      <c r="B684" s="3" t="s">
        <v>1314</v>
      </c>
      <c r="C684" s="1">
        <v>17</v>
      </c>
      <c r="D684" s="1">
        <v>285.5</v>
      </c>
      <c r="E684" s="1" t="s">
        <v>193</v>
      </c>
      <c r="F684" s="1" t="s">
        <v>3171</v>
      </c>
      <c r="G684" s="3" t="s">
        <v>1315</v>
      </c>
      <c r="H684" s="11">
        <f>ROUND(
IF(L684="GANCHO",
   IF(I684&lt;=50,I684*1.1+4,IF(I684&lt;=120,I684*1.1+7,IF(I684&lt;=250,I684*1.1+11,I684*1.1+19))),
IF(L684="NORMAL",
   IF(I684&lt;=30,I684*1.15+2,IF(I684&lt;=80,I684*1.15+4,IF(I684&lt;=150,I684*1.15+6,I684*1.15+8))),
IF(L684="COMPLEMENTO",
   IF(I684&lt;=25,I684*1.25+1.5,IF(I684&lt;=60,I684*1.25+3,IF(I684&lt;=120,I684*1.25+4,I684*1.25+5))),
""))),2)</f>
        <v>1371.73</v>
      </c>
      <c r="I684" s="9">
        <f>($K$2+0.02)*Tabla1[[#This Row],[PRECIO $]]*1.18</f>
        <v>1185.8527999999999</v>
      </c>
      <c r="J684" s="7">
        <f>+Tabla1[[#This Row],[PRECIO EN SOLES]]-Tabla1[[#This Row],[PC]]</f>
        <v>185.87720000000013</v>
      </c>
      <c r="K684" s="15"/>
      <c r="L684" s="15" t="str">
        <f t="shared" si="10"/>
        <v>NORMAL</v>
      </c>
    </row>
    <row r="685" spans="1:12" x14ac:dyDescent="0.25">
      <c r="A685" s="3" t="s">
        <v>6102</v>
      </c>
      <c r="B685" s="3" t="s">
        <v>6103</v>
      </c>
      <c r="C685" s="1">
        <v>20</v>
      </c>
      <c r="D685" s="1">
        <v>67.2</v>
      </c>
      <c r="E685" s="1" t="s">
        <v>777</v>
      </c>
      <c r="F685" s="1" t="s">
        <v>6104</v>
      </c>
      <c r="G685" s="3" t="s">
        <v>6105</v>
      </c>
      <c r="H685" s="11">
        <f>ROUND(
IF(L685="GANCHO",
   IF(I685&lt;=50,I685*1.1+4,IF(I685&lt;=120,I685*1.1+7,IF(I685&lt;=250,I685*1.1+11,I685*1.1+19))),
IF(L685="NORMAL",
   IF(I685&lt;=30,I685*1.15+2,IF(I685&lt;=80,I685*1.15+4,IF(I685&lt;=150,I685*1.15+6,I685*1.15+8))),
IF(L685="COMPLEMENTO",
   IF(I685&lt;=25,I685*1.25+1.5,IF(I685&lt;=60,I685*1.25+3,IF(I685&lt;=120,I685*1.25+4,I685*1.25+5))),
""))),2)</f>
        <v>328.99</v>
      </c>
      <c r="I685" s="9">
        <f>($K$2+0.02)*Tabla1[[#This Row],[PRECIO $]]*1.18</f>
        <v>279.12191999999999</v>
      </c>
      <c r="J685" s="7">
        <f>+Tabla1[[#This Row],[PRECIO EN SOLES]]-Tabla1[[#This Row],[PC]]</f>
        <v>49.86808000000002</v>
      </c>
      <c r="K685" s="15"/>
      <c r="L685" s="15" t="str">
        <f t="shared" si="10"/>
        <v>NORMAL</v>
      </c>
    </row>
    <row r="686" spans="1:12" x14ac:dyDescent="0.25">
      <c r="A686" s="3" t="s">
        <v>5219</v>
      </c>
      <c r="B686" s="3" t="s">
        <v>5220</v>
      </c>
      <c r="C686" s="1">
        <v>20</v>
      </c>
      <c r="D686" s="1">
        <v>65.900000000000006</v>
      </c>
      <c r="E686" s="1" t="s">
        <v>196</v>
      </c>
      <c r="F686" s="1" t="s">
        <v>5221</v>
      </c>
      <c r="G686" s="3" t="s">
        <v>5222</v>
      </c>
      <c r="H686" s="11">
        <f>ROUND(
IF(L686="GANCHO",
   IF(I686&lt;=50,I686*1.1+4,IF(I686&lt;=120,I686*1.1+7,IF(I686&lt;=250,I686*1.1+11,I686*1.1+19))),
IF(L686="NORMAL",
   IF(I686&lt;=30,I686*1.15+2,IF(I686&lt;=80,I686*1.15+4,IF(I686&lt;=150,I686*1.15+6,I686*1.15+8))),
IF(L686="COMPLEMENTO",
   IF(I686&lt;=25,I686*1.25+1.5,IF(I686&lt;=60,I686*1.25+3,IF(I686&lt;=120,I686*1.25+4,I686*1.25+5))),
""))),2)</f>
        <v>322.77999999999997</v>
      </c>
      <c r="I686" s="9">
        <f>($K$2+0.02)*Tabla1[[#This Row],[PRECIO $]]*1.18</f>
        <v>273.72224</v>
      </c>
      <c r="J686" s="7">
        <f>+Tabla1[[#This Row],[PRECIO EN SOLES]]-Tabla1[[#This Row],[PC]]</f>
        <v>49.057759999999973</v>
      </c>
      <c r="K686" s="15"/>
      <c r="L686" s="15" t="str">
        <f t="shared" si="10"/>
        <v>NORMAL</v>
      </c>
    </row>
    <row r="687" spans="1:12" x14ac:dyDescent="0.25">
      <c r="A687" s="3" t="s">
        <v>6556</v>
      </c>
      <c r="B687" s="3" t="s">
        <v>6557</v>
      </c>
      <c r="C687" s="1">
        <v>20</v>
      </c>
      <c r="D687" s="1">
        <v>83.82</v>
      </c>
      <c r="E687" s="1" t="s">
        <v>193</v>
      </c>
      <c r="F687" s="1" t="s">
        <v>6558</v>
      </c>
      <c r="G687" s="3" t="s">
        <v>6559</v>
      </c>
      <c r="H687" s="11">
        <f>ROUND(
IF(L687="GANCHO",
   IF(I687&lt;=50,I687*1.1+4,IF(I687&lt;=120,I687*1.1+7,IF(I687&lt;=250,I687*1.1+11,I687*1.1+19))),
IF(L687="NORMAL",
   IF(I687&lt;=30,I687*1.15+2,IF(I687&lt;=80,I687*1.15+4,IF(I687&lt;=150,I687*1.15+6,I687*1.15+8))),
IF(L687="COMPLEMENTO",
   IF(I687&lt;=25,I687*1.25+1.5,IF(I687&lt;=60,I687*1.25+3,IF(I687&lt;=120,I687*1.25+4,I687*1.25+5))),
""))),2)</f>
        <v>408.38</v>
      </c>
      <c r="I687" s="9">
        <f>($K$2+0.02)*Tabla1[[#This Row],[PRECIO $]]*1.18</f>
        <v>348.15475199999997</v>
      </c>
      <c r="J687" s="7">
        <f>+Tabla1[[#This Row],[PRECIO EN SOLES]]-Tabla1[[#This Row],[PC]]</f>
        <v>60.225248000000022</v>
      </c>
      <c r="K687" s="15"/>
      <c r="L687" s="15" t="str">
        <f t="shared" si="10"/>
        <v>NORMAL</v>
      </c>
    </row>
    <row r="688" spans="1:12" x14ac:dyDescent="0.25">
      <c r="A688" s="3" t="s">
        <v>1316</v>
      </c>
      <c r="B688" s="3" t="s">
        <v>1317</v>
      </c>
      <c r="C688" s="1">
        <v>20</v>
      </c>
      <c r="D688" s="1">
        <v>74</v>
      </c>
      <c r="E688" s="1" t="s">
        <v>193</v>
      </c>
      <c r="F688" s="1" t="s">
        <v>3172</v>
      </c>
      <c r="G688" s="3" t="s">
        <v>1318</v>
      </c>
      <c r="H688" s="11">
        <f>ROUND(
IF(L688="GANCHO",
   IF(I688&lt;=50,I688*1.1+4,IF(I688&lt;=120,I688*1.1+7,IF(I688&lt;=250,I688*1.1+11,I688*1.1+19))),
IF(L688="NORMAL",
   IF(I688&lt;=30,I688*1.15+2,IF(I688&lt;=80,I688*1.15+4,IF(I688&lt;=150,I688*1.15+6,I688*1.15+8))),
IF(L688="COMPLEMENTO",
   IF(I688&lt;=25,I688*1.25+1.5,IF(I688&lt;=60,I688*1.25+3,IF(I688&lt;=120,I688*1.25+4,I688*1.25+5))),
""))),2)</f>
        <v>361.47</v>
      </c>
      <c r="I688" s="9">
        <f>($K$2+0.02)*Tabla1[[#This Row],[PRECIO $]]*1.18</f>
        <v>307.3664</v>
      </c>
      <c r="J688" s="7">
        <f>+Tabla1[[#This Row],[PRECIO EN SOLES]]-Tabla1[[#This Row],[PC]]</f>
        <v>54.103600000000029</v>
      </c>
      <c r="K688" s="15"/>
      <c r="L688" s="15" t="str">
        <f t="shared" si="10"/>
        <v>NORMAL</v>
      </c>
    </row>
    <row r="689" spans="1:12" x14ac:dyDescent="0.25">
      <c r="A689" s="3" t="s">
        <v>5476</v>
      </c>
      <c r="B689" s="3" t="s">
        <v>5477</v>
      </c>
      <c r="C689" s="1">
        <v>20</v>
      </c>
      <c r="D689" s="1">
        <v>75.900000000000006</v>
      </c>
      <c r="E689" s="1" t="s">
        <v>193</v>
      </c>
      <c r="F689" s="1" t="s">
        <v>5478</v>
      </c>
      <c r="G689" s="3" t="s">
        <v>5479</v>
      </c>
      <c r="H689" s="11">
        <f>ROUND(
IF(L689="GANCHO",
   IF(I689&lt;=50,I689*1.1+4,IF(I689&lt;=120,I689*1.1+7,IF(I689&lt;=250,I689*1.1+11,I689*1.1+19))),
IF(L689="NORMAL",
   IF(I689&lt;=30,I689*1.15+2,IF(I689&lt;=80,I689*1.15+4,IF(I689&lt;=150,I689*1.15+6,I689*1.15+8))),
IF(L689="COMPLEMENTO",
   IF(I689&lt;=25,I689*1.25+1.5,IF(I689&lt;=60,I689*1.25+3,IF(I689&lt;=120,I689*1.25+4,I689*1.25+5))),
""))),2)</f>
        <v>370.55</v>
      </c>
      <c r="I689" s="9">
        <f>($K$2+0.02)*Tabla1[[#This Row],[PRECIO $]]*1.18</f>
        <v>315.25824</v>
      </c>
      <c r="J689" s="7">
        <f>+Tabla1[[#This Row],[PRECIO EN SOLES]]-Tabla1[[#This Row],[PC]]</f>
        <v>55.291760000000011</v>
      </c>
      <c r="K689" s="15"/>
      <c r="L689" s="15" t="str">
        <f t="shared" si="10"/>
        <v>NORMAL</v>
      </c>
    </row>
    <row r="690" spans="1:12" x14ac:dyDescent="0.25">
      <c r="A690" s="3" t="s">
        <v>4212</v>
      </c>
      <c r="B690" s="3" t="s">
        <v>4213</v>
      </c>
      <c r="C690" s="1">
        <v>20</v>
      </c>
      <c r="D690" s="1">
        <v>65.900000000000006</v>
      </c>
      <c r="E690" s="1" t="s">
        <v>52</v>
      </c>
      <c r="F690" s="1" t="s">
        <v>4214</v>
      </c>
      <c r="G690" s="3" t="s">
        <v>5480</v>
      </c>
      <c r="H690" s="11">
        <f>ROUND(
IF(L690="GANCHO",
   IF(I690&lt;=50,I690*1.1+4,IF(I690&lt;=120,I690*1.1+7,IF(I690&lt;=250,I690*1.1+11,I690*1.1+19))),
IF(L690="NORMAL",
   IF(I690&lt;=30,I690*1.15+2,IF(I690&lt;=80,I690*1.15+4,IF(I690&lt;=150,I690*1.15+6,I690*1.15+8))),
IF(L690="COMPLEMENTO",
   IF(I690&lt;=25,I690*1.25+1.5,IF(I690&lt;=60,I690*1.25+3,IF(I690&lt;=120,I690*1.25+4,I690*1.25+5))),
""))),2)</f>
        <v>322.77999999999997</v>
      </c>
      <c r="I690" s="9">
        <f>($K$2+0.02)*Tabla1[[#This Row],[PRECIO $]]*1.18</f>
        <v>273.72224</v>
      </c>
      <c r="J690" s="7">
        <f>+Tabla1[[#This Row],[PRECIO EN SOLES]]-Tabla1[[#This Row],[PC]]</f>
        <v>49.057759999999973</v>
      </c>
      <c r="K690" s="15"/>
      <c r="L690" s="15" t="str">
        <f t="shared" si="10"/>
        <v>NORMAL</v>
      </c>
    </row>
    <row r="691" spans="1:12" x14ac:dyDescent="0.25">
      <c r="A691" s="3" t="s">
        <v>4484</v>
      </c>
      <c r="B691" s="3" t="s">
        <v>4485</v>
      </c>
      <c r="C691" s="1">
        <v>20</v>
      </c>
      <c r="D691" s="1">
        <v>66.900000000000006</v>
      </c>
      <c r="E691" s="1" t="s">
        <v>442</v>
      </c>
      <c r="F691" s="1" t="s">
        <v>4486</v>
      </c>
      <c r="G691" s="3" t="s">
        <v>4487</v>
      </c>
      <c r="H691" s="11">
        <f>ROUND(
IF(L691="GANCHO",
   IF(I691&lt;=50,I691*1.1+4,IF(I691&lt;=120,I691*1.1+7,IF(I691&lt;=250,I691*1.1+11,I691*1.1+19))),
IF(L691="NORMAL",
   IF(I691&lt;=30,I691*1.15+2,IF(I691&lt;=80,I691*1.15+4,IF(I691&lt;=150,I691*1.15+6,I691*1.15+8))),
IF(L691="COMPLEMENTO",
   IF(I691&lt;=25,I691*1.25+1.5,IF(I691&lt;=60,I691*1.25+3,IF(I691&lt;=120,I691*1.25+4,I691*1.25+5))),
""))),2)</f>
        <v>327.56</v>
      </c>
      <c r="I691" s="9">
        <f>($K$2+0.02)*Tabla1[[#This Row],[PRECIO $]]*1.18</f>
        <v>277.87584000000004</v>
      </c>
      <c r="J691" s="7">
        <f>+Tabla1[[#This Row],[PRECIO EN SOLES]]-Tabla1[[#This Row],[PC]]</f>
        <v>49.684159999999963</v>
      </c>
      <c r="K691" s="15"/>
      <c r="L691" s="15" t="str">
        <f t="shared" si="10"/>
        <v>NORMAL</v>
      </c>
    </row>
    <row r="692" spans="1:12" x14ac:dyDescent="0.25">
      <c r="A692" s="3" t="s">
        <v>7060</v>
      </c>
      <c r="B692" s="3" t="s">
        <v>7061</v>
      </c>
      <c r="C692" s="1">
        <v>20</v>
      </c>
      <c r="D692" s="1">
        <v>75.349999999999994</v>
      </c>
      <c r="E692" s="1" t="s">
        <v>442</v>
      </c>
      <c r="F692" s="1" t="s">
        <v>7062</v>
      </c>
      <c r="G692" s="3" t="s">
        <v>7063</v>
      </c>
      <c r="H692" s="11">
        <f>ROUND(
IF(L692="GANCHO",
   IF(I692&lt;=50,I692*1.1+4,IF(I692&lt;=120,I692*1.1+7,IF(I692&lt;=250,I692*1.1+11,I692*1.1+19))),
IF(L692="NORMAL",
   IF(I692&lt;=30,I692*1.15+2,IF(I692&lt;=80,I692*1.15+4,IF(I692&lt;=150,I692*1.15+6,I692*1.15+8))),
IF(L692="COMPLEMENTO",
   IF(I692&lt;=25,I692*1.25+1.5,IF(I692&lt;=60,I692*1.25+3,IF(I692&lt;=120,I692*1.25+4,I692*1.25+5))),
""))),2)</f>
        <v>367.92</v>
      </c>
      <c r="I692" s="9">
        <f>($K$2+0.02)*Tabla1[[#This Row],[PRECIO $]]*1.18</f>
        <v>312.97375999999997</v>
      </c>
      <c r="J692" s="7">
        <f>+Tabla1[[#This Row],[PRECIO EN SOLES]]-Tabla1[[#This Row],[PC]]</f>
        <v>54.946240000000046</v>
      </c>
      <c r="K692" s="15"/>
      <c r="L692" s="15" t="str">
        <f t="shared" si="10"/>
        <v>NORMAL</v>
      </c>
    </row>
    <row r="693" spans="1:12" x14ac:dyDescent="0.25">
      <c r="A693" s="3" t="s">
        <v>4599</v>
      </c>
      <c r="B693" s="3" t="s">
        <v>4600</v>
      </c>
      <c r="C693" s="1">
        <v>20</v>
      </c>
      <c r="D693" s="1">
        <v>67.900000000000006</v>
      </c>
      <c r="E693" s="1" t="s">
        <v>4597</v>
      </c>
      <c r="F693" s="1" t="s">
        <v>4601</v>
      </c>
      <c r="G693" s="3" t="s">
        <v>4756</v>
      </c>
      <c r="H693" s="11">
        <f>ROUND(
IF(L693="GANCHO",
   IF(I693&lt;=50,I693*1.1+4,IF(I693&lt;=120,I693*1.1+7,IF(I693&lt;=250,I693*1.1+11,I693*1.1+19))),
IF(L693="NORMAL",
   IF(I693&lt;=30,I693*1.15+2,IF(I693&lt;=80,I693*1.15+4,IF(I693&lt;=150,I693*1.15+6,I693*1.15+8))),
IF(L693="COMPLEMENTO",
   IF(I693&lt;=25,I693*1.25+1.5,IF(I693&lt;=60,I693*1.25+3,IF(I693&lt;=120,I693*1.25+4,I693*1.25+5))),
""))),2)</f>
        <v>332.33</v>
      </c>
      <c r="I693" s="9">
        <f>($K$2+0.02)*Tabla1[[#This Row],[PRECIO $]]*1.18</f>
        <v>282.02944000000002</v>
      </c>
      <c r="J693" s="7">
        <f>+Tabla1[[#This Row],[PRECIO EN SOLES]]-Tabla1[[#This Row],[PC]]</f>
        <v>50.300559999999962</v>
      </c>
      <c r="K693" s="15"/>
      <c r="L693" s="15" t="str">
        <f t="shared" si="10"/>
        <v>NORMAL</v>
      </c>
    </row>
    <row r="694" spans="1:12" x14ac:dyDescent="0.25">
      <c r="A694" s="3" t="s">
        <v>571</v>
      </c>
      <c r="B694" s="3" t="s">
        <v>572</v>
      </c>
      <c r="C694" s="1">
        <v>16</v>
      </c>
      <c r="D694" s="1">
        <v>124.7</v>
      </c>
      <c r="E694" s="1" t="s">
        <v>442</v>
      </c>
      <c r="F694" s="1" t="s">
        <v>3173</v>
      </c>
      <c r="G694" s="3" t="s">
        <v>573</v>
      </c>
      <c r="H694" s="11">
        <f>ROUND(
IF(L694="GANCHO",
   IF(I694&lt;=50,I694*1.1+4,IF(I694&lt;=120,I694*1.1+7,IF(I694&lt;=250,I694*1.1+11,I694*1.1+19))),
IF(L694="NORMAL",
   IF(I694&lt;=30,I694*1.15+2,IF(I694&lt;=80,I694*1.15+4,IF(I694&lt;=150,I694*1.15+6,I694*1.15+8))),
IF(L694="COMPLEMENTO",
   IF(I694&lt;=25,I694*1.25+1.5,IF(I694&lt;=60,I694*1.25+3,IF(I694&lt;=120,I694*1.25+4,I694*1.25+5))),
""))),2)</f>
        <v>603.65</v>
      </c>
      <c r="I694" s="9">
        <f>($K$2+0.02)*Tabla1[[#This Row],[PRECIO $]]*1.18</f>
        <v>517.95392000000004</v>
      </c>
      <c r="J694" s="7">
        <f>+Tabla1[[#This Row],[PRECIO EN SOLES]]-Tabla1[[#This Row],[PC]]</f>
        <v>85.696079999999938</v>
      </c>
      <c r="K694" s="15"/>
      <c r="L694" s="15" t="str">
        <f t="shared" si="10"/>
        <v>NORMAL</v>
      </c>
    </row>
    <row r="695" spans="1:12" x14ac:dyDescent="0.25">
      <c r="A695" s="3" t="s">
        <v>1319</v>
      </c>
      <c r="B695" s="3" t="s">
        <v>572</v>
      </c>
      <c r="C695" s="1">
        <v>20</v>
      </c>
      <c r="D695" s="1">
        <v>124.7</v>
      </c>
      <c r="E695" s="1" t="s">
        <v>442</v>
      </c>
      <c r="F695" s="1" t="s">
        <v>3174</v>
      </c>
      <c r="G695" s="3" t="s">
        <v>1320</v>
      </c>
      <c r="H695" s="11">
        <f>ROUND(
IF(L695="GANCHO",
   IF(I695&lt;=50,I695*1.1+4,IF(I695&lt;=120,I695*1.1+7,IF(I695&lt;=250,I695*1.1+11,I695*1.1+19))),
IF(L695="NORMAL",
   IF(I695&lt;=30,I695*1.15+2,IF(I695&lt;=80,I695*1.15+4,IF(I695&lt;=150,I695*1.15+6,I695*1.15+8))),
IF(L695="COMPLEMENTO",
   IF(I695&lt;=25,I695*1.25+1.5,IF(I695&lt;=60,I695*1.25+3,IF(I695&lt;=120,I695*1.25+4,I695*1.25+5))),
""))),2)</f>
        <v>603.65</v>
      </c>
      <c r="I695" s="9">
        <f>($K$2+0.02)*Tabla1[[#This Row],[PRECIO $]]*1.18</f>
        <v>517.95392000000004</v>
      </c>
      <c r="J695" s="7">
        <f>+Tabla1[[#This Row],[PRECIO EN SOLES]]-Tabla1[[#This Row],[PC]]</f>
        <v>85.696079999999938</v>
      </c>
      <c r="K695" s="15"/>
      <c r="L695" s="15" t="str">
        <f t="shared" si="10"/>
        <v>NORMAL</v>
      </c>
    </row>
    <row r="696" spans="1:12" x14ac:dyDescent="0.25">
      <c r="A696" s="3" t="s">
        <v>2621</v>
      </c>
      <c r="B696" s="3" t="s">
        <v>2622</v>
      </c>
      <c r="C696" s="1">
        <v>20</v>
      </c>
      <c r="D696" s="1">
        <v>145.19999999999999</v>
      </c>
      <c r="E696" s="1" t="s">
        <v>193</v>
      </c>
      <c r="F696" s="1" t="s">
        <v>3175</v>
      </c>
      <c r="G696" s="3" t="s">
        <v>2623</v>
      </c>
      <c r="H696" s="11">
        <f>ROUND(
IF(L696="GANCHO",
   IF(I696&lt;=50,I696*1.1+4,IF(I696&lt;=120,I696*1.1+7,IF(I696&lt;=250,I696*1.1+11,I696*1.1+19))),
IF(L696="NORMAL",
   IF(I696&lt;=30,I696*1.15+2,IF(I696&lt;=80,I696*1.15+4,IF(I696&lt;=150,I696*1.15+6,I696*1.15+8))),
IF(L696="COMPLEMENTO",
   IF(I696&lt;=25,I696*1.25+1.5,IF(I696&lt;=60,I696*1.25+3,IF(I696&lt;=120,I696*1.25+4,I696*1.25+5))),
""))),2)</f>
        <v>701.57</v>
      </c>
      <c r="I696" s="9">
        <f>($K$2+0.02)*Tabla1[[#This Row],[PRECIO $]]*1.18</f>
        <v>603.10271999999998</v>
      </c>
      <c r="J696" s="7">
        <f>+Tabla1[[#This Row],[PRECIO EN SOLES]]-Tabla1[[#This Row],[PC]]</f>
        <v>98.467280000000073</v>
      </c>
      <c r="K696" s="15"/>
      <c r="L696" s="15" t="str">
        <f t="shared" si="10"/>
        <v>NORMAL</v>
      </c>
    </row>
    <row r="697" spans="1:12" x14ac:dyDescent="0.25">
      <c r="A697" s="3" t="s">
        <v>4444</v>
      </c>
      <c r="B697" s="3" t="s">
        <v>4445</v>
      </c>
      <c r="C697" s="1">
        <v>20</v>
      </c>
      <c r="D697" s="1">
        <v>84.45</v>
      </c>
      <c r="E697" s="1" t="s">
        <v>193</v>
      </c>
      <c r="F697" s="1" t="s">
        <v>4446</v>
      </c>
      <c r="G697" s="3" t="s">
        <v>4447</v>
      </c>
      <c r="H697" s="11">
        <f>ROUND(
IF(L697="GANCHO",
   IF(I697&lt;=50,I697*1.1+4,IF(I697&lt;=120,I697*1.1+7,IF(I697&lt;=250,I697*1.1+11,I697*1.1+19))),
IF(L697="NORMAL",
   IF(I697&lt;=30,I697*1.15+2,IF(I697&lt;=80,I697*1.15+4,IF(I697&lt;=150,I697*1.15+6,I697*1.15+8))),
IF(L697="COMPLEMENTO",
   IF(I697&lt;=25,I697*1.25+1.5,IF(I697&lt;=60,I697*1.25+3,IF(I697&lt;=120,I697*1.25+4,I697*1.25+5))),
""))),2)</f>
        <v>411.39</v>
      </c>
      <c r="I697" s="9">
        <f>($K$2+0.02)*Tabla1[[#This Row],[PRECIO $]]*1.18</f>
        <v>350.77152000000001</v>
      </c>
      <c r="J697" s="7">
        <f>+Tabla1[[#This Row],[PRECIO EN SOLES]]-Tabla1[[#This Row],[PC]]</f>
        <v>60.618479999999977</v>
      </c>
      <c r="K697" s="15"/>
      <c r="L697" s="15" t="str">
        <f t="shared" si="10"/>
        <v>NORMAL</v>
      </c>
    </row>
    <row r="698" spans="1:12" x14ac:dyDescent="0.25">
      <c r="A698" s="3" t="s">
        <v>5223</v>
      </c>
      <c r="B698" s="3" t="s">
        <v>5224</v>
      </c>
      <c r="C698" s="1">
        <v>20</v>
      </c>
      <c r="D698" s="1">
        <v>180</v>
      </c>
      <c r="E698" s="1" t="s">
        <v>196</v>
      </c>
      <c r="F698" s="1" t="s">
        <v>5225</v>
      </c>
      <c r="G698" s="3" t="s">
        <v>5226</v>
      </c>
      <c r="H698" s="11">
        <f>ROUND(
IF(L698="GANCHO",
   IF(I698&lt;=50,I698*1.1+4,IF(I698&lt;=120,I698*1.1+7,IF(I698&lt;=250,I698*1.1+11,I698*1.1+19))),
IF(L698="NORMAL",
   IF(I698&lt;=30,I698*1.15+2,IF(I698&lt;=80,I698*1.15+4,IF(I698&lt;=150,I698*1.15+6,I698*1.15+8))),
IF(L698="COMPLEMENTO",
   IF(I698&lt;=25,I698*1.25+1.5,IF(I698&lt;=60,I698*1.25+3,IF(I698&lt;=120,I698*1.25+4,I698*1.25+5))),
""))),2)</f>
        <v>867.8</v>
      </c>
      <c r="I698" s="9">
        <f>($K$2+0.02)*Tabla1[[#This Row],[PRECIO $]]*1.18</f>
        <v>747.64800000000002</v>
      </c>
      <c r="J698" s="7">
        <f>+Tabla1[[#This Row],[PRECIO EN SOLES]]-Tabla1[[#This Row],[PC]]</f>
        <v>120.15199999999993</v>
      </c>
      <c r="K698" s="15"/>
      <c r="L698" s="15" t="str">
        <f t="shared" si="10"/>
        <v>NORMAL</v>
      </c>
    </row>
    <row r="699" spans="1:12" x14ac:dyDescent="0.25">
      <c r="A699" s="3" t="s">
        <v>2624</v>
      </c>
      <c r="B699" s="3" t="s">
        <v>2625</v>
      </c>
      <c r="C699" s="1">
        <v>3</v>
      </c>
      <c r="D699" s="1">
        <v>207</v>
      </c>
      <c r="E699" s="1" t="s">
        <v>193</v>
      </c>
      <c r="F699" s="1" t="s">
        <v>3176</v>
      </c>
      <c r="G699" s="3" t="s">
        <v>2626</v>
      </c>
      <c r="H699" s="11">
        <f>ROUND(
IF(L699="GANCHO",
   IF(I699&lt;=50,I699*1.1+4,IF(I699&lt;=120,I699*1.1+7,IF(I699&lt;=250,I699*1.1+11,I699*1.1+19))),
IF(L699="NORMAL",
   IF(I699&lt;=30,I699*1.15+2,IF(I699&lt;=80,I699*1.15+4,IF(I699&lt;=150,I699*1.15+6,I699*1.15+8))),
IF(L699="COMPLEMENTO",
   IF(I699&lt;=25,I699*1.25+1.5,IF(I699&lt;=60,I699*1.25+3,IF(I699&lt;=120,I699*1.25+4,I699*1.25+5))),
""))),2)</f>
        <v>996.76</v>
      </c>
      <c r="I699" s="9">
        <f>($K$2+0.02)*Tabla1[[#This Row],[PRECIO $]]*1.18</f>
        <v>859.79519999999991</v>
      </c>
      <c r="J699" s="7">
        <f>+Tabla1[[#This Row],[PRECIO EN SOLES]]-Tabla1[[#This Row],[PC]]</f>
        <v>136.96480000000008</v>
      </c>
      <c r="K699" s="15"/>
      <c r="L699" s="15" t="str">
        <f t="shared" si="10"/>
        <v>NORMAL</v>
      </c>
    </row>
    <row r="700" spans="1:12" x14ac:dyDescent="0.25">
      <c r="A700" s="3" t="s">
        <v>1321</v>
      </c>
      <c r="B700" s="3" t="s">
        <v>1322</v>
      </c>
      <c r="C700" s="1">
        <v>20</v>
      </c>
      <c r="D700" s="1">
        <v>198.5</v>
      </c>
      <c r="E700" s="1" t="s">
        <v>193</v>
      </c>
      <c r="F700" s="1" t="s">
        <v>3177</v>
      </c>
      <c r="G700" s="3" t="s">
        <v>1323</v>
      </c>
      <c r="H700" s="11">
        <f>ROUND(
IF(L700="GANCHO",
   IF(I700&lt;=50,I700*1.1+4,IF(I700&lt;=120,I700*1.1+7,IF(I700&lt;=250,I700*1.1+11,I700*1.1+19))),
IF(L700="NORMAL",
   IF(I700&lt;=30,I700*1.15+2,IF(I700&lt;=80,I700*1.15+4,IF(I700&lt;=150,I700*1.15+6,I700*1.15+8))),
IF(L700="COMPLEMENTO",
   IF(I700&lt;=25,I700*1.25+1.5,IF(I700&lt;=60,I700*1.25+3,IF(I700&lt;=120,I700*1.25+4,I700*1.25+5))),
""))),2)</f>
        <v>956.16</v>
      </c>
      <c r="I700" s="9">
        <f>($K$2+0.02)*Tabla1[[#This Row],[PRECIO $]]*1.18</f>
        <v>824.4896</v>
      </c>
      <c r="J700" s="7">
        <f>+Tabla1[[#This Row],[PRECIO EN SOLES]]-Tabla1[[#This Row],[PC]]</f>
        <v>131.67039999999997</v>
      </c>
      <c r="K700" s="15"/>
      <c r="L700" s="15" t="str">
        <f t="shared" si="10"/>
        <v>NORMAL</v>
      </c>
    </row>
    <row r="701" spans="1:12" x14ac:dyDescent="0.25">
      <c r="A701" s="3" t="s">
        <v>1324</v>
      </c>
      <c r="B701" s="3" t="s">
        <v>1325</v>
      </c>
      <c r="C701" s="1">
        <v>0</v>
      </c>
      <c r="D701" s="1">
        <v>215</v>
      </c>
      <c r="E701" s="1" t="s">
        <v>193</v>
      </c>
      <c r="F701" s="1" t="s">
        <v>3178</v>
      </c>
      <c r="G701" s="3" t="s">
        <v>1326</v>
      </c>
      <c r="H701" s="11">
        <f>ROUND(
IF(L701="GANCHO",
   IF(I701&lt;=50,I701*1.1+4,IF(I701&lt;=120,I701*1.1+7,IF(I701&lt;=250,I701*1.1+11,I701*1.1+19))),
IF(L701="NORMAL",
   IF(I701&lt;=30,I701*1.15+2,IF(I701&lt;=80,I701*1.15+4,IF(I701&lt;=150,I701*1.15+6,I701*1.15+8))),
IF(L701="COMPLEMENTO",
   IF(I701&lt;=25,I701*1.25+1.5,IF(I701&lt;=60,I701*1.25+3,IF(I701&lt;=120,I701*1.25+4,I701*1.25+5))),
""))),2)</f>
        <v>1034.98</v>
      </c>
      <c r="I701" s="9">
        <f>($K$2+0.02)*Tabla1[[#This Row],[PRECIO $]]*1.18</f>
        <v>893.02399999999989</v>
      </c>
      <c r="J701" s="7">
        <f>+Tabla1[[#This Row],[PRECIO EN SOLES]]-Tabla1[[#This Row],[PC]]</f>
        <v>141.95600000000013</v>
      </c>
      <c r="K701" s="15"/>
      <c r="L701" s="15" t="str">
        <f t="shared" si="10"/>
        <v>NORMAL</v>
      </c>
    </row>
    <row r="702" spans="1:12" x14ac:dyDescent="0.25">
      <c r="A702" s="3" t="s">
        <v>6560</v>
      </c>
      <c r="B702" s="3" t="s">
        <v>6561</v>
      </c>
      <c r="C702" s="1">
        <v>20</v>
      </c>
      <c r="D702" s="1">
        <v>201.67</v>
      </c>
      <c r="E702" s="1" t="s">
        <v>193</v>
      </c>
      <c r="F702" s="1" t="s">
        <v>6562</v>
      </c>
      <c r="G702" s="3"/>
      <c r="H702" s="11">
        <f>ROUND(
IF(L702="GANCHO",
   IF(I702&lt;=50,I702*1.1+4,IF(I702&lt;=120,I702*1.1+7,IF(I702&lt;=250,I702*1.1+11,I702*1.1+19))),
IF(L702="NORMAL",
   IF(I702&lt;=30,I702*1.15+2,IF(I702&lt;=80,I702*1.15+4,IF(I702&lt;=150,I702*1.15+6,I702*1.15+8))),
IF(L702="COMPLEMENTO",
   IF(I702&lt;=25,I702*1.25+1.5,IF(I702&lt;=60,I702*1.25+3,IF(I702&lt;=120,I702*1.25+4,I702*1.25+5))),
""))),2)</f>
        <v>971.3</v>
      </c>
      <c r="I702" s="9">
        <f>($K$2+0.02)*Tabla1[[#This Row],[PRECIO $]]*1.18</f>
        <v>837.65651199999991</v>
      </c>
      <c r="J702" s="7">
        <f>+Tabla1[[#This Row],[PRECIO EN SOLES]]-Tabla1[[#This Row],[PC]]</f>
        <v>133.64348800000005</v>
      </c>
      <c r="K702" s="15"/>
      <c r="L702" s="15" t="str">
        <f t="shared" si="10"/>
        <v>NORMAL</v>
      </c>
    </row>
    <row r="703" spans="1:12" x14ac:dyDescent="0.25">
      <c r="A703" s="3" t="s">
        <v>4183</v>
      </c>
      <c r="B703" s="3" t="s">
        <v>4184</v>
      </c>
      <c r="C703" s="1">
        <v>20</v>
      </c>
      <c r="D703" s="1">
        <v>199</v>
      </c>
      <c r="E703" s="1" t="s">
        <v>1351</v>
      </c>
      <c r="F703" s="1" t="s">
        <v>4185</v>
      </c>
      <c r="G703" s="3" t="s">
        <v>4602</v>
      </c>
      <c r="H703" s="11">
        <f>ROUND(
IF(L703="GANCHO",
   IF(I703&lt;=50,I703*1.1+4,IF(I703&lt;=120,I703*1.1+7,IF(I703&lt;=250,I703*1.1+11,I703*1.1+19))),
IF(L703="NORMAL",
   IF(I703&lt;=30,I703*1.15+2,IF(I703&lt;=80,I703*1.15+4,IF(I703&lt;=150,I703*1.15+6,I703*1.15+8))),
IF(L703="COMPLEMENTO",
   IF(I703&lt;=25,I703*1.25+1.5,IF(I703&lt;=60,I703*1.25+3,IF(I703&lt;=120,I703*1.25+4,I703*1.25+5))),
""))),2)</f>
        <v>958.55</v>
      </c>
      <c r="I703" s="9">
        <f>($K$2+0.02)*Tabla1[[#This Row],[PRECIO $]]*1.18</f>
        <v>826.56639999999993</v>
      </c>
      <c r="J703" s="7">
        <f>+Tabla1[[#This Row],[PRECIO EN SOLES]]-Tabla1[[#This Row],[PC]]</f>
        <v>131.98360000000002</v>
      </c>
      <c r="K703" s="15"/>
      <c r="L703" s="15" t="str">
        <f t="shared" si="10"/>
        <v>NORMAL</v>
      </c>
    </row>
    <row r="704" spans="1:12" x14ac:dyDescent="0.25">
      <c r="A704" s="3" t="s">
        <v>4603</v>
      </c>
      <c r="B704" s="3" t="s">
        <v>4604</v>
      </c>
      <c r="C704" s="1">
        <v>20</v>
      </c>
      <c r="D704" s="1">
        <v>182</v>
      </c>
      <c r="E704" s="1" t="s">
        <v>4597</v>
      </c>
      <c r="F704" s="1" t="s">
        <v>4605</v>
      </c>
      <c r="G704" s="3" t="s">
        <v>4757</v>
      </c>
      <c r="H704" s="11">
        <f>ROUND(
IF(L704="GANCHO",
   IF(I704&lt;=50,I704*1.1+4,IF(I704&lt;=120,I704*1.1+7,IF(I704&lt;=250,I704*1.1+11,I704*1.1+19))),
IF(L704="NORMAL",
   IF(I704&lt;=30,I704*1.15+2,IF(I704&lt;=80,I704*1.15+4,IF(I704&lt;=150,I704*1.15+6,I704*1.15+8))),
IF(L704="COMPLEMENTO",
   IF(I704&lt;=25,I704*1.25+1.5,IF(I704&lt;=60,I704*1.25+3,IF(I704&lt;=120,I704*1.25+4,I704*1.25+5))),
""))),2)</f>
        <v>877.35</v>
      </c>
      <c r="I704" s="9">
        <f>($K$2+0.02)*Tabla1[[#This Row],[PRECIO $]]*1.18</f>
        <v>755.95519999999999</v>
      </c>
      <c r="J704" s="7">
        <f>+Tabla1[[#This Row],[PRECIO EN SOLES]]-Tabla1[[#This Row],[PC]]</f>
        <v>121.39480000000003</v>
      </c>
      <c r="K704" s="15"/>
      <c r="L704" s="15" t="str">
        <f t="shared" si="10"/>
        <v>NORMAL</v>
      </c>
    </row>
    <row r="705" spans="1:12" x14ac:dyDescent="0.25">
      <c r="A705" s="3" t="s">
        <v>6563</v>
      </c>
      <c r="B705" s="3" t="s">
        <v>6564</v>
      </c>
      <c r="C705" s="1">
        <v>20</v>
      </c>
      <c r="D705" s="1">
        <v>113.15</v>
      </c>
      <c r="E705" s="1" t="s">
        <v>193</v>
      </c>
      <c r="F705" s="1" t="s">
        <v>6565</v>
      </c>
      <c r="G705" s="3" t="s">
        <v>6566</v>
      </c>
      <c r="H705" s="11">
        <f>ROUND(
IF(L705="GANCHO",
   IF(I705&lt;=50,I705*1.1+4,IF(I705&lt;=120,I705*1.1+7,IF(I705&lt;=250,I705*1.1+11,I705*1.1+19))),
IF(L705="NORMAL",
   IF(I705&lt;=30,I705*1.15+2,IF(I705&lt;=80,I705*1.15+4,IF(I705&lt;=150,I705*1.15+6,I705*1.15+8))),
IF(L705="COMPLEMENTO",
   IF(I705&lt;=25,I705*1.25+1.5,IF(I705&lt;=60,I705*1.25+3,IF(I705&lt;=120,I705*1.25+4,I705*1.25+5))),
""))),2)</f>
        <v>548.48</v>
      </c>
      <c r="I705" s="9">
        <f>($K$2+0.02)*Tabla1[[#This Row],[PRECIO $]]*1.18</f>
        <v>469.97983999999997</v>
      </c>
      <c r="J705" s="7">
        <f>+Tabla1[[#This Row],[PRECIO EN SOLES]]-Tabla1[[#This Row],[PC]]</f>
        <v>78.500160000000051</v>
      </c>
      <c r="K705" s="15"/>
      <c r="L705" s="15" t="str">
        <f t="shared" si="10"/>
        <v>NORMAL</v>
      </c>
    </row>
    <row r="706" spans="1:12" x14ac:dyDescent="0.25">
      <c r="A706" s="3" t="s">
        <v>4606</v>
      </c>
      <c r="B706" s="3" t="s">
        <v>4607</v>
      </c>
      <c r="C706" s="1">
        <v>20</v>
      </c>
      <c r="D706" s="1">
        <v>113.6</v>
      </c>
      <c r="E706" s="1" t="s">
        <v>4597</v>
      </c>
      <c r="F706" s="1" t="s">
        <v>4608</v>
      </c>
      <c r="G706" s="3" t="s">
        <v>4758</v>
      </c>
      <c r="H706" s="11">
        <f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550.63</v>
      </c>
      <c r="I706" s="9">
        <f>($K$2+0.02)*Tabla1[[#This Row],[PRECIO $]]*1.18</f>
        <v>471.84895999999992</v>
      </c>
      <c r="J706" s="7">
        <f>+Tabla1[[#This Row],[PRECIO EN SOLES]]-Tabla1[[#This Row],[PC]]</f>
        <v>78.781040000000075</v>
      </c>
      <c r="K706" s="15"/>
      <c r="L706" s="15" t="str">
        <f t="shared" si="10"/>
        <v>NORMAL</v>
      </c>
    </row>
    <row r="707" spans="1:12" x14ac:dyDescent="0.25">
      <c r="A707" s="3" t="s">
        <v>4448</v>
      </c>
      <c r="B707" s="3" t="s">
        <v>4449</v>
      </c>
      <c r="C707" s="1">
        <v>20</v>
      </c>
      <c r="D707" s="1">
        <v>204.99</v>
      </c>
      <c r="E707" s="1" t="s">
        <v>193</v>
      </c>
      <c r="F707" s="1" t="s">
        <v>4450</v>
      </c>
      <c r="G707" s="3" t="s">
        <v>4451</v>
      </c>
      <c r="H707" s="11">
        <f>ROUND(
IF(L707="GANCHO",
   IF(I707&lt;=50,I707*1.1+4,IF(I707&lt;=120,I707*1.1+7,IF(I707&lt;=250,I707*1.1+11,I707*1.1+19))),
IF(L707="NORMAL",
   IF(I707&lt;=30,I707*1.15+2,IF(I707&lt;=80,I707*1.15+4,IF(I707&lt;=150,I707*1.15+6,I707*1.15+8))),
IF(L707="COMPLEMENTO",
   IF(I707&lt;=25,I707*1.25+1.5,IF(I707&lt;=60,I707*1.25+3,IF(I707&lt;=120,I707*1.25+4,I707*1.25+5))),
""))),2)</f>
        <v>987.16</v>
      </c>
      <c r="I707" s="9">
        <f>($K$2+0.02)*Tabla1[[#This Row],[PRECIO $]]*1.18</f>
        <v>851.44646399999999</v>
      </c>
      <c r="J707" s="7">
        <f>+Tabla1[[#This Row],[PRECIO EN SOLES]]-Tabla1[[#This Row],[PC]]</f>
        <v>135.71353599999998</v>
      </c>
      <c r="K707" s="15"/>
      <c r="L707" s="15" t="str">
        <f t="shared" ref="L707:L770" si="11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4452</v>
      </c>
      <c r="B708" s="3" t="s">
        <v>4453</v>
      </c>
      <c r="C708" s="1">
        <v>20</v>
      </c>
      <c r="D708" s="1">
        <v>209.69</v>
      </c>
      <c r="E708" s="1" t="s">
        <v>193</v>
      </c>
      <c r="F708" s="1" t="s">
        <v>4454</v>
      </c>
      <c r="G708" s="3" t="s">
        <v>4455</v>
      </c>
      <c r="H708" s="11">
        <f>ROUND(
IF(L708="GANCHO",
   IF(I708&lt;=50,I708*1.1+4,IF(I708&lt;=120,I708*1.1+7,IF(I708&lt;=250,I708*1.1+11,I708*1.1+19))),
IF(L708="NORMAL",
   IF(I708&lt;=30,I708*1.15+2,IF(I708&lt;=80,I708*1.15+4,IF(I708&lt;=150,I708*1.15+6,I708*1.15+8))),
IF(L708="COMPLEMENTO",
   IF(I708&lt;=25,I708*1.25+1.5,IF(I708&lt;=60,I708*1.25+3,IF(I708&lt;=120,I708*1.25+4,I708*1.25+5))),
""))),2)</f>
        <v>1009.61</v>
      </c>
      <c r="I708" s="9">
        <f>($K$2+0.02)*Tabla1[[#This Row],[PRECIO $]]*1.18</f>
        <v>870.9683839999999</v>
      </c>
      <c r="J708" s="7">
        <f>+Tabla1[[#This Row],[PRECIO EN SOLES]]-Tabla1[[#This Row],[PC]]</f>
        <v>138.64161600000011</v>
      </c>
      <c r="K708" s="15"/>
      <c r="L708" s="15" t="str">
        <f t="shared" si="11"/>
        <v>NORMAL</v>
      </c>
    </row>
    <row r="709" spans="1:12" x14ac:dyDescent="0.25">
      <c r="A709" s="3" t="s">
        <v>6567</v>
      </c>
      <c r="B709" s="3" t="s">
        <v>4453</v>
      </c>
      <c r="C709" s="1">
        <v>20</v>
      </c>
      <c r="D709" s="1">
        <v>209.69</v>
      </c>
      <c r="E709" s="1" t="s">
        <v>193</v>
      </c>
      <c r="F709" s="1" t="s">
        <v>6568</v>
      </c>
      <c r="G709" s="3" t="s">
        <v>6569</v>
      </c>
      <c r="H709" s="11">
        <f>ROUND(
IF(L709="GANCHO",
   IF(I709&lt;=50,I709*1.1+4,IF(I709&lt;=120,I709*1.1+7,IF(I709&lt;=250,I709*1.1+11,I709*1.1+19))),
IF(L709="NORMAL",
   IF(I709&lt;=30,I709*1.15+2,IF(I709&lt;=80,I709*1.15+4,IF(I709&lt;=150,I709*1.15+6,I709*1.15+8))),
IF(L709="COMPLEMENTO",
   IF(I709&lt;=25,I709*1.25+1.5,IF(I709&lt;=60,I709*1.25+3,IF(I709&lt;=120,I709*1.25+4,I709*1.25+5))),
""))),2)</f>
        <v>1009.61</v>
      </c>
      <c r="I709" s="9">
        <f>($K$2+0.02)*Tabla1[[#This Row],[PRECIO $]]*1.18</f>
        <v>870.9683839999999</v>
      </c>
      <c r="J709" s="7">
        <f>+Tabla1[[#This Row],[PRECIO EN SOLES]]-Tabla1[[#This Row],[PC]]</f>
        <v>138.64161600000011</v>
      </c>
      <c r="K709" s="15"/>
      <c r="L709" s="15" t="str">
        <f t="shared" si="11"/>
        <v>NORMAL</v>
      </c>
    </row>
    <row r="710" spans="1:12" x14ac:dyDescent="0.25">
      <c r="A710" s="3" t="s">
        <v>2839</v>
      </c>
      <c r="B710" s="3" t="s">
        <v>2840</v>
      </c>
      <c r="C710" s="1">
        <v>20</v>
      </c>
      <c r="D710" s="1">
        <v>444</v>
      </c>
      <c r="E710" s="1" t="s">
        <v>2841</v>
      </c>
      <c r="F710" s="1" t="s">
        <v>3179</v>
      </c>
      <c r="G710" s="3" t="s">
        <v>2842</v>
      </c>
      <c r="H710" s="11">
        <f>ROUND(
IF(L710="GANCHO",
   IF(I710&lt;=50,I710*1.1+4,IF(I710&lt;=120,I710*1.1+7,IF(I710&lt;=250,I710*1.1+11,I710*1.1+19))),
IF(L710="NORMAL",
   IF(I710&lt;=30,I710*1.15+2,IF(I710&lt;=80,I710*1.15+4,IF(I710&lt;=150,I710*1.15+6,I710*1.15+8))),
IF(L710="COMPLEMENTO",
   IF(I710&lt;=25,I710*1.25+1.5,IF(I710&lt;=60,I710*1.25+3,IF(I710&lt;=120,I710*1.25+4,I710*1.25+5))),
""))),2)</f>
        <v>2128.83</v>
      </c>
      <c r="I710" s="9">
        <f>($K$2+0.02)*Tabla1[[#This Row],[PRECIO $]]*1.18</f>
        <v>1844.1984</v>
      </c>
      <c r="J710" s="7">
        <f>+Tabla1[[#This Row],[PRECIO EN SOLES]]-Tabla1[[#This Row],[PC]]</f>
        <v>284.63159999999993</v>
      </c>
      <c r="K710" s="15"/>
      <c r="L710" s="15" t="str">
        <f t="shared" si="11"/>
        <v>NORMAL</v>
      </c>
    </row>
    <row r="711" spans="1:12" x14ac:dyDescent="0.25">
      <c r="A711" s="3" t="s">
        <v>2843</v>
      </c>
      <c r="B711" s="3" t="s">
        <v>2840</v>
      </c>
      <c r="C711" s="1">
        <v>12</v>
      </c>
      <c r="D711" s="1">
        <v>444</v>
      </c>
      <c r="E711" s="1" t="s">
        <v>2841</v>
      </c>
      <c r="F711" s="1" t="s">
        <v>3180</v>
      </c>
      <c r="G711" s="3" t="s">
        <v>2842</v>
      </c>
      <c r="H711" s="11">
        <f>ROUND(
IF(L711="GANCHO",
   IF(I711&lt;=50,I711*1.1+4,IF(I711&lt;=120,I711*1.1+7,IF(I711&lt;=250,I711*1.1+11,I711*1.1+19))),
IF(L711="NORMAL",
   IF(I711&lt;=30,I711*1.15+2,IF(I711&lt;=80,I711*1.15+4,IF(I711&lt;=150,I711*1.15+6,I711*1.15+8))),
IF(L711="COMPLEMENTO",
   IF(I711&lt;=25,I711*1.25+1.5,IF(I711&lt;=60,I711*1.25+3,IF(I711&lt;=120,I711*1.25+4,I711*1.25+5))),
""))),2)</f>
        <v>2128.83</v>
      </c>
      <c r="I711" s="9">
        <f>($K$2+0.02)*Tabla1[[#This Row],[PRECIO $]]*1.18</f>
        <v>1844.1984</v>
      </c>
      <c r="J711" s="7">
        <f>+Tabla1[[#This Row],[PRECIO EN SOLES]]-Tabla1[[#This Row],[PC]]</f>
        <v>284.63159999999993</v>
      </c>
      <c r="K711" s="15"/>
      <c r="L711" s="15" t="str">
        <f t="shared" si="11"/>
        <v>NORMAL</v>
      </c>
    </row>
    <row r="712" spans="1:12" x14ac:dyDescent="0.25">
      <c r="A712" s="3" t="s">
        <v>2746</v>
      </c>
      <c r="B712" s="3" t="s">
        <v>2747</v>
      </c>
      <c r="C712" s="1">
        <v>11</v>
      </c>
      <c r="D712" s="1">
        <v>907</v>
      </c>
      <c r="E712" s="1" t="s">
        <v>195</v>
      </c>
      <c r="F712" s="1" t="s">
        <v>3181</v>
      </c>
      <c r="G712" s="3" t="s">
        <v>2748</v>
      </c>
      <c r="H712" s="11">
        <f>ROUND(
IF(L712="GANCHO",
   IF(I712&lt;=50,I712*1.1+4,IF(I712&lt;=120,I712*1.1+7,IF(I712&lt;=250,I712*1.1+11,I712*1.1+19))),
IF(L712="NORMAL",
   IF(I712&lt;=30,I712*1.15+2,IF(I712&lt;=80,I712*1.15+4,IF(I712&lt;=150,I712*1.15+6,I712*1.15+8))),
IF(L712="COMPLEMENTO",
   IF(I712&lt;=25,I712*1.25+1.5,IF(I712&lt;=60,I712*1.25+3,IF(I712&lt;=120,I712*1.25+4,I712*1.25+5))),
""))),2)</f>
        <v>4340.41</v>
      </c>
      <c r="I712" s="9">
        <f>($K$2+0.02)*Tabla1[[#This Row],[PRECIO $]]*1.18</f>
        <v>3767.3151999999995</v>
      </c>
      <c r="J712" s="7">
        <f>+Tabla1[[#This Row],[PRECIO EN SOLES]]-Tabla1[[#This Row],[PC]]</f>
        <v>573.0948000000003</v>
      </c>
      <c r="K712" s="15"/>
      <c r="L712" s="15" t="str">
        <f t="shared" si="11"/>
        <v>NORMAL</v>
      </c>
    </row>
    <row r="713" spans="1:12" x14ac:dyDescent="0.25">
      <c r="A713" s="3" t="s">
        <v>6817</v>
      </c>
      <c r="B713" s="3" t="s">
        <v>6818</v>
      </c>
      <c r="C713" s="1">
        <v>20</v>
      </c>
      <c r="D713" s="1">
        <v>786</v>
      </c>
      <c r="E713" s="1" t="s">
        <v>777</v>
      </c>
      <c r="F713" s="1" t="s">
        <v>6819</v>
      </c>
      <c r="G713" s="3" t="s">
        <v>6820</v>
      </c>
      <c r="H713" s="11">
        <f>ROUND(
IF(L713="GANCHO",
   IF(I713&lt;=50,I713*1.1+4,IF(I713&lt;=120,I713*1.1+7,IF(I713&lt;=250,I713*1.1+11,I713*1.1+19))),
IF(L713="NORMAL",
   IF(I713&lt;=30,I713*1.15+2,IF(I713&lt;=80,I713*1.15+4,IF(I713&lt;=150,I713*1.15+6,I713*1.15+8))),
IF(L713="COMPLEMENTO",
   IF(I713&lt;=25,I713*1.25+1.5,IF(I713&lt;=60,I713*1.25+3,IF(I713&lt;=120,I713*1.25+4,I713*1.25+5))),
""))),2)</f>
        <v>3762.44</v>
      </c>
      <c r="I713" s="9">
        <f>($K$2+0.02)*Tabla1[[#This Row],[PRECIO $]]*1.18</f>
        <v>3264.7295999999997</v>
      </c>
      <c r="J713" s="7">
        <f>+Tabla1[[#This Row],[PRECIO EN SOLES]]-Tabla1[[#This Row],[PC]]</f>
        <v>497.71040000000039</v>
      </c>
      <c r="K713" s="15"/>
      <c r="L713" s="15" t="str">
        <f t="shared" si="11"/>
        <v>NORMAL</v>
      </c>
    </row>
    <row r="714" spans="1:12" x14ac:dyDescent="0.25">
      <c r="A714" s="3" t="s">
        <v>6570</v>
      </c>
      <c r="B714" s="3" t="s">
        <v>6571</v>
      </c>
      <c r="C714" s="1">
        <v>20</v>
      </c>
      <c r="D714" s="1">
        <v>218.55</v>
      </c>
      <c r="E714" s="1" t="s">
        <v>193</v>
      </c>
      <c r="F714" s="1" t="s">
        <v>6572</v>
      </c>
      <c r="G714" s="3" t="s">
        <v>6573</v>
      </c>
      <c r="H714" s="11">
        <f>ROUND(
IF(L714="GANCHO",
   IF(I714&lt;=50,I714*1.1+4,IF(I714&lt;=120,I714*1.1+7,IF(I714&lt;=250,I714*1.1+11,I714*1.1+19))),
IF(L714="NORMAL",
   IF(I714&lt;=30,I714*1.15+2,IF(I714&lt;=80,I714*1.15+4,IF(I714&lt;=150,I714*1.15+6,I714*1.15+8))),
IF(L714="COMPLEMENTO",
   IF(I714&lt;=25,I714*1.25+1.5,IF(I714&lt;=60,I714*1.25+3,IF(I714&lt;=120,I714*1.25+4,I714*1.25+5))),
""))),2)</f>
        <v>1051.93</v>
      </c>
      <c r="I714" s="9">
        <f>($K$2+0.02)*Tabla1[[#This Row],[PRECIO $]]*1.18</f>
        <v>907.76927999999998</v>
      </c>
      <c r="J714" s="7">
        <f>+Tabla1[[#This Row],[PRECIO EN SOLES]]-Tabla1[[#This Row],[PC]]</f>
        <v>144.16072000000008</v>
      </c>
      <c r="K714" s="15"/>
      <c r="L714" s="15" t="str">
        <f t="shared" si="11"/>
        <v>NORMAL</v>
      </c>
    </row>
    <row r="715" spans="1:12" x14ac:dyDescent="0.25">
      <c r="A715" s="3" t="s">
        <v>5011</v>
      </c>
      <c r="B715" s="3" t="s">
        <v>5012</v>
      </c>
      <c r="C715" s="1">
        <v>20</v>
      </c>
      <c r="D715" s="1">
        <v>212.4</v>
      </c>
      <c r="E715" s="1" t="s">
        <v>193</v>
      </c>
      <c r="F715" s="1" t="s">
        <v>5013</v>
      </c>
      <c r="G715" s="3" t="s">
        <v>5014</v>
      </c>
      <c r="H715" s="11">
        <f>ROUND(
IF(L715="GANCHO",
   IF(I715&lt;=50,I715*1.1+4,IF(I715&lt;=120,I715*1.1+7,IF(I715&lt;=250,I715*1.1+11,I715*1.1+19))),
IF(L715="NORMAL",
   IF(I715&lt;=30,I715*1.15+2,IF(I715&lt;=80,I715*1.15+4,IF(I715&lt;=150,I715*1.15+6,I715*1.15+8))),
IF(L715="COMPLEMENTO",
   IF(I715&lt;=25,I715*1.25+1.5,IF(I715&lt;=60,I715*1.25+3,IF(I715&lt;=120,I715*1.25+4,I715*1.25+5))),
""))),2)</f>
        <v>1022.56</v>
      </c>
      <c r="I715" s="9">
        <f>($K$2+0.02)*Tabla1[[#This Row],[PRECIO $]]*1.18</f>
        <v>882.22464000000002</v>
      </c>
      <c r="J715" s="7">
        <f>+Tabla1[[#This Row],[PRECIO EN SOLES]]-Tabla1[[#This Row],[PC]]</f>
        <v>140.33535999999992</v>
      </c>
      <c r="K715" s="15"/>
      <c r="L715" s="15" t="str">
        <f t="shared" si="11"/>
        <v>NORMAL</v>
      </c>
    </row>
    <row r="716" spans="1:12" x14ac:dyDescent="0.25">
      <c r="A716" s="3" t="s">
        <v>1327</v>
      </c>
      <c r="B716" s="3" t="s">
        <v>1328</v>
      </c>
      <c r="C716" s="1">
        <v>20</v>
      </c>
      <c r="D716" s="1">
        <v>218.55</v>
      </c>
      <c r="E716" s="1" t="s">
        <v>193</v>
      </c>
      <c r="F716" s="1" t="s">
        <v>3182</v>
      </c>
      <c r="G716" s="3" t="s">
        <v>1329</v>
      </c>
      <c r="H716" s="11">
        <f>ROUND(
IF(L716="GANCHO",
   IF(I716&lt;=50,I716*1.1+4,IF(I716&lt;=120,I716*1.1+7,IF(I716&lt;=250,I716*1.1+11,I716*1.1+19))),
IF(L716="NORMAL",
   IF(I716&lt;=30,I716*1.15+2,IF(I716&lt;=80,I716*1.15+4,IF(I716&lt;=150,I716*1.15+6,I716*1.15+8))),
IF(L716="COMPLEMENTO",
   IF(I716&lt;=25,I716*1.25+1.5,IF(I716&lt;=60,I716*1.25+3,IF(I716&lt;=120,I716*1.25+4,I716*1.25+5))),
""))),2)</f>
        <v>1051.93</v>
      </c>
      <c r="I716" s="9">
        <f>($K$2+0.02)*Tabla1[[#This Row],[PRECIO $]]*1.18</f>
        <v>907.76927999999998</v>
      </c>
      <c r="J716" s="7">
        <f>+Tabla1[[#This Row],[PRECIO EN SOLES]]-Tabla1[[#This Row],[PC]]</f>
        <v>144.16072000000008</v>
      </c>
      <c r="K716" s="15"/>
      <c r="L716" s="15" t="str">
        <f t="shared" si="11"/>
        <v>NORMAL</v>
      </c>
    </row>
    <row r="717" spans="1:12" x14ac:dyDescent="0.25">
      <c r="A717" s="3" t="s">
        <v>5877</v>
      </c>
      <c r="B717" s="3" t="s">
        <v>5878</v>
      </c>
      <c r="C717" s="1">
        <v>20</v>
      </c>
      <c r="D717" s="1">
        <v>367</v>
      </c>
      <c r="E717" s="1" t="s">
        <v>777</v>
      </c>
      <c r="F717" s="1" t="s">
        <v>5879</v>
      </c>
      <c r="G717" s="3" t="s">
        <v>7064</v>
      </c>
      <c r="H717" s="11">
        <f>ROUND(
IF(L717="GANCHO",
   IF(I717&lt;=50,I717*1.1+4,IF(I717&lt;=120,I717*1.1+7,IF(I717&lt;=250,I717*1.1+11,I717*1.1+19))),
IF(L717="NORMAL",
   IF(I717&lt;=30,I717*1.15+2,IF(I717&lt;=80,I717*1.15+4,IF(I717&lt;=150,I717*1.15+6,I717*1.15+8))),
IF(L717="COMPLEMENTO",
   IF(I717&lt;=25,I717*1.25+1.5,IF(I717&lt;=60,I717*1.25+3,IF(I717&lt;=120,I717*1.25+4,I717*1.25+5))),
""))),2)</f>
        <v>1761.03</v>
      </c>
      <c r="I717" s="9">
        <f>($K$2+0.02)*Tabla1[[#This Row],[PRECIO $]]*1.18</f>
        <v>1524.3711999999998</v>
      </c>
      <c r="J717" s="7">
        <f>+Tabla1[[#This Row],[PRECIO EN SOLES]]-Tabla1[[#This Row],[PC]]</f>
        <v>236.65880000000016</v>
      </c>
      <c r="K717" s="15"/>
      <c r="L717" s="15" t="str">
        <f t="shared" si="11"/>
        <v>NORMAL</v>
      </c>
    </row>
    <row r="718" spans="1:12" x14ac:dyDescent="0.25">
      <c r="A718" s="3" t="s">
        <v>6574</v>
      </c>
      <c r="B718" s="3" t="s">
        <v>6575</v>
      </c>
      <c r="C718" s="1">
        <v>20</v>
      </c>
      <c r="D718" s="1">
        <v>225.74</v>
      </c>
      <c r="E718" s="1" t="s">
        <v>193</v>
      </c>
      <c r="F718" s="1" t="s">
        <v>6576</v>
      </c>
      <c r="G718" s="3"/>
      <c r="H718" s="11">
        <f>ROUND(
IF(L718="GANCHO",
   IF(I718&lt;=50,I718*1.1+4,IF(I718&lt;=120,I718*1.1+7,IF(I718&lt;=250,I718*1.1+11,I718*1.1+19))),
IF(L718="NORMAL",
   IF(I718&lt;=30,I718*1.15+2,IF(I718&lt;=80,I718*1.15+4,IF(I718&lt;=150,I718*1.15+6,I718*1.15+8))),
IF(L718="COMPLEMENTO",
   IF(I718&lt;=25,I718*1.25+1.5,IF(I718&lt;=60,I718*1.25+3,IF(I718&lt;=120,I718*1.25+4,I718*1.25+5))),
""))),2)</f>
        <v>1086.28</v>
      </c>
      <c r="I718" s="9">
        <f>($K$2+0.02)*Tabla1[[#This Row],[PRECIO $]]*1.18</f>
        <v>937.63366400000007</v>
      </c>
      <c r="J718" s="7">
        <f>+Tabla1[[#This Row],[PRECIO EN SOLES]]-Tabla1[[#This Row],[PC]]</f>
        <v>148.64633599999991</v>
      </c>
      <c r="K718" s="15"/>
      <c r="L718" s="15" t="str">
        <f t="shared" si="11"/>
        <v>NORMAL</v>
      </c>
    </row>
    <row r="719" spans="1:12" x14ac:dyDescent="0.25">
      <c r="A719" s="3" t="s">
        <v>6577</v>
      </c>
      <c r="B719" s="3" t="s">
        <v>6578</v>
      </c>
      <c r="C719" s="1">
        <v>20</v>
      </c>
      <c r="D719" s="1">
        <v>225.74</v>
      </c>
      <c r="E719" s="1" t="s">
        <v>193</v>
      </c>
      <c r="F719" s="1" t="s">
        <v>6579</v>
      </c>
      <c r="G719" s="3"/>
      <c r="H719" s="11">
        <f>ROUND(
IF(L719="GANCHO",
   IF(I719&lt;=50,I719*1.1+4,IF(I719&lt;=120,I719*1.1+7,IF(I719&lt;=250,I719*1.1+11,I719*1.1+19))),
IF(L719="NORMAL",
   IF(I719&lt;=30,I719*1.15+2,IF(I719&lt;=80,I719*1.15+4,IF(I719&lt;=150,I719*1.15+6,I719*1.15+8))),
IF(L719="COMPLEMENTO",
   IF(I719&lt;=25,I719*1.25+1.5,IF(I719&lt;=60,I719*1.25+3,IF(I719&lt;=120,I719*1.25+4,I719*1.25+5))),
""))),2)</f>
        <v>1086.28</v>
      </c>
      <c r="I719" s="9">
        <f>($K$2+0.02)*Tabla1[[#This Row],[PRECIO $]]*1.18</f>
        <v>937.63366400000007</v>
      </c>
      <c r="J719" s="7">
        <f>+Tabla1[[#This Row],[PRECIO EN SOLES]]-Tabla1[[#This Row],[PC]]</f>
        <v>148.64633599999991</v>
      </c>
      <c r="K719" s="15"/>
      <c r="L719" s="15" t="str">
        <f t="shared" si="11"/>
        <v>NORMAL</v>
      </c>
    </row>
    <row r="720" spans="1:12" x14ac:dyDescent="0.25">
      <c r="A720" s="3" t="s">
        <v>2627</v>
      </c>
      <c r="B720" s="3" t="s">
        <v>2628</v>
      </c>
      <c r="C720" s="1">
        <v>20</v>
      </c>
      <c r="D720" s="1">
        <v>23.31</v>
      </c>
      <c r="E720" s="1" t="s">
        <v>193</v>
      </c>
      <c r="F720" s="1" t="s">
        <v>3183</v>
      </c>
      <c r="G720" s="3" t="s">
        <v>2629</v>
      </c>
      <c r="H720" s="11">
        <f>ROUND(
IF(L720="GANCHO",
   IF(I720&lt;=50,I720*1.1+4,IF(I720&lt;=120,I720*1.1+7,IF(I720&lt;=250,I720*1.1+11,I720*1.1+19))),
IF(L720="NORMAL",
   IF(I720&lt;=30,I720*1.15+2,IF(I720&lt;=80,I720*1.15+4,IF(I720&lt;=150,I720*1.15+6,I720*1.15+8))),
IF(L720="COMPLEMENTO",
   IF(I720&lt;=25,I720*1.25+1.5,IF(I720&lt;=60,I720*1.25+3,IF(I720&lt;=120,I720*1.25+4,I720*1.25+5))),
""))),2)</f>
        <v>117.34</v>
      </c>
      <c r="I720" s="9">
        <f>($K$2+0.02)*Tabla1[[#This Row],[PRECIO $]]*1.18</f>
        <v>96.820415999999994</v>
      </c>
      <c r="J720" s="7">
        <f>+Tabla1[[#This Row],[PRECIO EN SOLES]]-Tabla1[[#This Row],[PC]]</f>
        <v>20.519584000000009</v>
      </c>
      <c r="K720" s="15"/>
      <c r="L720" s="15" t="str">
        <f t="shared" si="11"/>
        <v>NORMAL</v>
      </c>
    </row>
    <row r="721" spans="1:12" x14ac:dyDescent="0.25">
      <c r="A721" s="3" t="s">
        <v>2630</v>
      </c>
      <c r="B721" s="3" t="s">
        <v>2631</v>
      </c>
      <c r="C721" s="1">
        <v>20</v>
      </c>
      <c r="D721" s="1">
        <v>37.51</v>
      </c>
      <c r="E721" s="1" t="s">
        <v>193</v>
      </c>
      <c r="F721" s="1" t="s">
        <v>3184</v>
      </c>
      <c r="G721" s="3" t="s">
        <v>2632</v>
      </c>
      <c r="H721" s="11">
        <f>ROUND(
IF(L721="GANCHO",
   IF(I721&lt;=50,I721*1.1+4,IF(I721&lt;=120,I721*1.1+7,IF(I721&lt;=250,I721*1.1+11,I721*1.1+19))),
IF(L721="NORMAL",
   IF(I721&lt;=30,I721*1.15+2,IF(I721&lt;=80,I721*1.15+4,IF(I721&lt;=150,I721*1.15+6,I721*1.15+8))),
IF(L721="COMPLEMENTO",
   IF(I721&lt;=25,I721*1.25+1.5,IF(I721&lt;=60,I721*1.25+3,IF(I721&lt;=120,I721*1.25+4,I721*1.25+5))),
""))),2)</f>
        <v>187.17</v>
      </c>
      <c r="I721" s="9">
        <f>($K$2+0.02)*Tabla1[[#This Row],[PRECIO $]]*1.18</f>
        <v>155.801536</v>
      </c>
      <c r="J721" s="7">
        <f>+Tabla1[[#This Row],[PRECIO EN SOLES]]-Tabla1[[#This Row],[PC]]</f>
        <v>31.368463999999989</v>
      </c>
      <c r="K721" s="15"/>
      <c r="L721" s="15" t="str">
        <f t="shared" si="11"/>
        <v>NORMAL</v>
      </c>
    </row>
    <row r="722" spans="1:12" x14ac:dyDescent="0.25">
      <c r="A722" s="3" t="s">
        <v>2633</v>
      </c>
      <c r="B722" s="3" t="s">
        <v>2634</v>
      </c>
      <c r="C722" s="1">
        <v>20</v>
      </c>
      <c r="D722" s="1">
        <v>97.1</v>
      </c>
      <c r="E722" s="1" t="s">
        <v>193</v>
      </c>
      <c r="F722" s="1" t="s">
        <v>3185</v>
      </c>
      <c r="G722" s="3" t="s">
        <v>2635</v>
      </c>
      <c r="H722" s="11">
        <f>ROUND(
IF(L722="GANCHO",
   IF(I722&lt;=50,I722*1.1+4,IF(I722&lt;=120,I722*1.1+7,IF(I722&lt;=250,I722*1.1+11,I722*1.1+19))),
IF(L722="NORMAL",
   IF(I722&lt;=30,I722*1.15+2,IF(I722&lt;=80,I722*1.15+4,IF(I722&lt;=150,I722*1.15+6,I722*1.15+8))),
IF(L722="COMPLEMENTO",
   IF(I722&lt;=25,I722*1.25+1.5,IF(I722&lt;=60,I722*1.25+3,IF(I722&lt;=120,I722*1.25+4,I722*1.25+5))),
""))),2)</f>
        <v>471.81</v>
      </c>
      <c r="I722" s="9">
        <f>($K$2+0.02)*Tabla1[[#This Row],[PRECIO $]]*1.18</f>
        <v>403.31455999999997</v>
      </c>
      <c r="J722" s="7">
        <f>+Tabla1[[#This Row],[PRECIO EN SOLES]]-Tabla1[[#This Row],[PC]]</f>
        <v>68.495440000000031</v>
      </c>
      <c r="K722" s="15"/>
      <c r="L722" s="15" t="str">
        <f t="shared" si="11"/>
        <v>NORMAL</v>
      </c>
    </row>
    <row r="723" spans="1:12" x14ac:dyDescent="0.25">
      <c r="A723" s="3" t="s">
        <v>2636</v>
      </c>
      <c r="B723" s="3" t="s">
        <v>2637</v>
      </c>
      <c r="C723" s="1">
        <v>20</v>
      </c>
      <c r="D723" s="1">
        <v>15.31</v>
      </c>
      <c r="E723" s="1" t="s">
        <v>193</v>
      </c>
      <c r="F723" s="1" t="s">
        <v>3186</v>
      </c>
      <c r="G723" s="3" t="s">
        <v>2638</v>
      </c>
      <c r="H723" s="11">
        <f>ROUND(
IF(L723="GANCHO",
   IF(I723&lt;=50,I723*1.1+4,IF(I723&lt;=120,I723*1.1+7,IF(I723&lt;=250,I723*1.1+11,I723*1.1+19))),
IF(L723="NORMAL",
   IF(I723&lt;=30,I723*1.15+2,IF(I723&lt;=80,I723*1.15+4,IF(I723&lt;=150,I723*1.15+6,I723*1.15+8))),
IF(L723="COMPLEMENTO",
   IF(I723&lt;=25,I723*1.25+1.5,IF(I723&lt;=60,I723*1.25+3,IF(I723&lt;=120,I723*1.25+4,I723*1.25+5))),
""))),2)</f>
        <v>77.13</v>
      </c>
      <c r="I723" s="9">
        <f>($K$2+0.02)*Tabla1[[#This Row],[PRECIO $]]*1.18</f>
        <v>63.591616000000002</v>
      </c>
      <c r="J723" s="7">
        <f>+Tabla1[[#This Row],[PRECIO EN SOLES]]-Tabla1[[#This Row],[PC]]</f>
        <v>13.538383999999994</v>
      </c>
      <c r="K723" s="15"/>
      <c r="L723" s="15" t="str">
        <f t="shared" si="11"/>
        <v>NORMAL</v>
      </c>
    </row>
    <row r="724" spans="1:12" x14ac:dyDescent="0.25">
      <c r="A724" s="3" t="s">
        <v>2639</v>
      </c>
      <c r="B724" s="3" t="s">
        <v>2640</v>
      </c>
      <c r="C724" s="1">
        <v>20</v>
      </c>
      <c r="D724" s="1">
        <v>27.91</v>
      </c>
      <c r="E724" s="1" t="s">
        <v>193</v>
      </c>
      <c r="F724" s="1" t="s">
        <v>3187</v>
      </c>
      <c r="G724" s="3" t="s">
        <v>2641</v>
      </c>
      <c r="H724" s="11">
        <f>ROUND(
IF(L724="GANCHO",
   IF(I724&lt;=50,I724*1.1+4,IF(I724&lt;=120,I724*1.1+7,IF(I724&lt;=250,I724*1.1+11,I724*1.1+19))),
IF(L724="NORMAL",
   IF(I724&lt;=30,I724*1.15+2,IF(I724&lt;=80,I724*1.15+4,IF(I724&lt;=150,I724*1.15+6,I724*1.15+8))),
IF(L724="COMPLEMENTO",
   IF(I724&lt;=25,I724*1.25+1.5,IF(I724&lt;=60,I724*1.25+3,IF(I724&lt;=120,I724*1.25+4,I724*1.25+5))),
""))),2)</f>
        <v>139.32</v>
      </c>
      <c r="I724" s="9">
        <f>($K$2+0.02)*Tabla1[[#This Row],[PRECIO $]]*1.18</f>
        <v>115.926976</v>
      </c>
      <c r="J724" s="7">
        <f>+Tabla1[[#This Row],[PRECIO EN SOLES]]-Tabla1[[#This Row],[PC]]</f>
        <v>23.393023999999997</v>
      </c>
      <c r="K724" s="15"/>
      <c r="L724" s="15" t="str">
        <f t="shared" si="11"/>
        <v>NORMAL</v>
      </c>
    </row>
    <row r="725" spans="1:12" x14ac:dyDescent="0.25">
      <c r="A725" s="3" t="s">
        <v>2642</v>
      </c>
      <c r="B725" s="3" t="s">
        <v>2643</v>
      </c>
      <c r="C725" s="1">
        <v>20</v>
      </c>
      <c r="D725" s="1">
        <v>63.1</v>
      </c>
      <c r="E725" s="1" t="s">
        <v>193</v>
      </c>
      <c r="F725" s="1" t="s">
        <v>3188</v>
      </c>
      <c r="G725" s="3" t="s">
        <v>2644</v>
      </c>
      <c r="H725" s="11">
        <f>ROUND(
IF(L725="GANCHO",
   IF(I725&lt;=50,I725*1.1+4,IF(I725&lt;=120,I725*1.1+7,IF(I725&lt;=250,I725*1.1+11,I725*1.1+19))),
IF(L725="NORMAL",
   IF(I725&lt;=30,I725*1.15+2,IF(I725&lt;=80,I725*1.15+4,IF(I725&lt;=150,I725*1.15+6,I725*1.15+8))),
IF(L725="COMPLEMENTO",
   IF(I725&lt;=25,I725*1.25+1.5,IF(I725&lt;=60,I725*1.25+3,IF(I725&lt;=120,I725*1.25+4,I725*1.25+5))),
""))),2)</f>
        <v>309.41000000000003</v>
      </c>
      <c r="I725" s="9">
        <f>($K$2+0.02)*Tabla1[[#This Row],[PRECIO $]]*1.18</f>
        <v>262.09215999999998</v>
      </c>
      <c r="J725" s="7">
        <f>+Tabla1[[#This Row],[PRECIO EN SOLES]]-Tabla1[[#This Row],[PC]]</f>
        <v>47.317840000000047</v>
      </c>
      <c r="K725" s="15"/>
      <c r="L725" s="15" t="str">
        <f t="shared" si="11"/>
        <v>NORMAL</v>
      </c>
    </row>
    <row r="726" spans="1:12" x14ac:dyDescent="0.25">
      <c r="A726" s="3" t="s">
        <v>2645</v>
      </c>
      <c r="B726" s="3" t="s">
        <v>2646</v>
      </c>
      <c r="C726" s="1">
        <v>20</v>
      </c>
      <c r="D726" s="1">
        <v>13.71</v>
      </c>
      <c r="E726" s="1" t="s">
        <v>193</v>
      </c>
      <c r="F726" s="1" t="s">
        <v>3189</v>
      </c>
      <c r="G726" s="3" t="s">
        <v>2647</v>
      </c>
      <c r="H726" s="11">
        <f>ROUND(
IF(L726="GANCHO",
   IF(I726&lt;=50,I726*1.1+4,IF(I726&lt;=120,I726*1.1+7,IF(I726&lt;=250,I726*1.1+11,I726*1.1+19))),
IF(L726="NORMAL",
   IF(I726&lt;=30,I726*1.15+2,IF(I726&lt;=80,I726*1.15+4,IF(I726&lt;=150,I726*1.15+6,I726*1.15+8))),
IF(L726="COMPLEMENTO",
   IF(I726&lt;=25,I726*1.25+1.5,IF(I726&lt;=60,I726*1.25+3,IF(I726&lt;=120,I726*1.25+4,I726*1.25+5))),
""))),2)</f>
        <v>69.489999999999995</v>
      </c>
      <c r="I726" s="9">
        <f>($K$2+0.02)*Tabla1[[#This Row],[PRECIO $]]*1.18</f>
        <v>56.945855999999999</v>
      </c>
      <c r="J726" s="7">
        <f>+Tabla1[[#This Row],[PRECIO EN SOLES]]-Tabla1[[#This Row],[PC]]</f>
        <v>12.544143999999996</v>
      </c>
      <c r="K726" s="15"/>
      <c r="L726" s="15" t="str">
        <f t="shared" si="11"/>
        <v>NORMAL</v>
      </c>
    </row>
    <row r="727" spans="1:12" x14ac:dyDescent="0.25">
      <c r="A727" s="3" t="s">
        <v>1330</v>
      </c>
      <c r="B727" s="3" t="s">
        <v>1331</v>
      </c>
      <c r="C727" s="1">
        <v>9</v>
      </c>
      <c r="D727" s="1">
        <v>145.30000000000001</v>
      </c>
      <c r="E727" s="1" t="s">
        <v>215</v>
      </c>
      <c r="F727" s="1" t="s">
        <v>3190</v>
      </c>
      <c r="G727" s="3" t="s">
        <v>1332</v>
      </c>
      <c r="H727" s="11">
        <f>ROUND(
IF(L727="GANCHO",
   IF(I727&lt;=50,I727*1.1+4,IF(I727&lt;=120,I727*1.1+7,IF(I727&lt;=250,I727*1.1+11,I727*1.1+19))),
IF(L727="NORMAL",
   IF(I727&lt;=30,I727*1.15+2,IF(I727&lt;=80,I727*1.15+4,IF(I727&lt;=150,I727*1.15+6,I727*1.15+8))),
IF(L727="COMPLEMENTO",
   IF(I727&lt;=25,I727*1.25+1.5,IF(I727&lt;=60,I727*1.25+3,IF(I727&lt;=120,I727*1.25+4,I727*1.25+5))),
""))),2)</f>
        <v>702.05</v>
      </c>
      <c r="I727" s="9">
        <f>($K$2+0.02)*Tabla1[[#This Row],[PRECIO $]]*1.18</f>
        <v>603.51807999999994</v>
      </c>
      <c r="J727" s="7">
        <f>+Tabla1[[#This Row],[PRECIO EN SOLES]]-Tabla1[[#This Row],[PC]]</f>
        <v>98.531920000000014</v>
      </c>
      <c r="K727" s="15"/>
      <c r="L727" s="15" t="str">
        <f t="shared" si="11"/>
        <v>NORMAL</v>
      </c>
    </row>
    <row r="728" spans="1:12" x14ac:dyDescent="0.25">
      <c r="A728" s="3" t="s">
        <v>1333</v>
      </c>
      <c r="B728" s="3" t="s">
        <v>1334</v>
      </c>
      <c r="C728" s="1">
        <v>20</v>
      </c>
      <c r="D728" s="1">
        <v>165.3</v>
      </c>
      <c r="E728" s="1" t="s">
        <v>215</v>
      </c>
      <c r="F728" s="1" t="s">
        <v>3191</v>
      </c>
      <c r="G728" s="3" t="s">
        <v>1335</v>
      </c>
      <c r="H728" s="11">
        <f>ROUND(
IF(L728="GANCHO",
   IF(I728&lt;=50,I728*1.1+4,IF(I728&lt;=120,I728*1.1+7,IF(I728&lt;=250,I728*1.1+11,I728*1.1+19))),
IF(L728="NORMAL",
   IF(I728&lt;=30,I728*1.15+2,IF(I728&lt;=80,I728*1.15+4,IF(I728&lt;=150,I728*1.15+6,I728*1.15+8))),
IF(L728="COMPLEMENTO",
   IF(I728&lt;=25,I728*1.25+1.5,IF(I728&lt;=60,I728*1.25+3,IF(I728&lt;=120,I728*1.25+4,I728*1.25+5))),
""))),2)</f>
        <v>797.58</v>
      </c>
      <c r="I728" s="9">
        <f>($K$2+0.02)*Tabla1[[#This Row],[PRECIO $]]*1.18</f>
        <v>686.59007999999994</v>
      </c>
      <c r="J728" s="7">
        <f>+Tabla1[[#This Row],[PRECIO EN SOLES]]-Tabla1[[#This Row],[PC]]</f>
        <v>110.9899200000001</v>
      </c>
      <c r="K728" s="15"/>
      <c r="L728" s="15" t="str">
        <f t="shared" si="11"/>
        <v>NORMAL</v>
      </c>
    </row>
    <row r="729" spans="1:12" x14ac:dyDescent="0.25">
      <c r="A729" s="3" t="s">
        <v>5727</v>
      </c>
      <c r="B729" s="3" t="s">
        <v>5728</v>
      </c>
      <c r="C729" s="1">
        <v>20</v>
      </c>
      <c r="D729" s="1">
        <v>16.43</v>
      </c>
      <c r="E729" s="1" t="s">
        <v>215</v>
      </c>
      <c r="F729" s="1" t="s">
        <v>5729</v>
      </c>
      <c r="G729" s="3"/>
      <c r="H729" s="11">
        <f>ROUND(
IF(L729="GANCHO",
   IF(I729&lt;=50,I729*1.1+4,IF(I729&lt;=120,I729*1.1+7,IF(I729&lt;=250,I729*1.1+11,I729*1.1+19))),
IF(L729="NORMAL",
   IF(I729&lt;=30,I729*1.15+2,IF(I729&lt;=80,I729*1.15+4,IF(I729&lt;=150,I729*1.15+6,I729*1.15+8))),
IF(L729="COMPLEMENTO",
   IF(I729&lt;=25,I729*1.25+1.5,IF(I729&lt;=60,I729*1.25+3,IF(I729&lt;=120,I729*1.25+4,I729*1.25+5))),
""))),2)</f>
        <v>82.48</v>
      </c>
      <c r="I729" s="9">
        <f>($K$2+0.02)*Tabla1[[#This Row],[PRECIO $]]*1.18</f>
        <v>68.243647999999993</v>
      </c>
      <c r="J729" s="7">
        <f>+Tabla1[[#This Row],[PRECIO EN SOLES]]-Tabla1[[#This Row],[PC]]</f>
        <v>14.236352000000011</v>
      </c>
      <c r="K729" s="15"/>
      <c r="L729" s="15" t="str">
        <f t="shared" si="11"/>
        <v>NORMAL</v>
      </c>
    </row>
    <row r="730" spans="1:12" x14ac:dyDescent="0.25">
      <c r="A730" s="3" t="s">
        <v>1336</v>
      </c>
      <c r="B730" s="3" t="s">
        <v>1337</v>
      </c>
      <c r="C730" s="1">
        <v>3</v>
      </c>
      <c r="D730" s="1">
        <v>11.01</v>
      </c>
      <c r="E730" s="1" t="s">
        <v>215</v>
      </c>
      <c r="F730" s="1" t="s">
        <v>3192</v>
      </c>
      <c r="G730" s="3" t="s">
        <v>1338</v>
      </c>
      <c r="H730" s="11">
        <f>ROUND(
IF(L730="GANCHO",
   IF(I730&lt;=50,I730*1.1+4,IF(I730&lt;=120,I730*1.1+7,IF(I730&lt;=250,I730*1.1+11,I730*1.1+19))),
IF(L730="NORMAL",
   IF(I730&lt;=30,I730*1.15+2,IF(I730&lt;=80,I730*1.15+4,IF(I730&lt;=150,I730*1.15+6,I730*1.15+8))),
IF(L730="COMPLEMENTO",
   IF(I730&lt;=25,I730*1.25+1.5,IF(I730&lt;=60,I730*1.25+3,IF(I730&lt;=120,I730*1.25+4,I730*1.25+5))),
""))),2)</f>
        <v>56.59</v>
      </c>
      <c r="I730" s="9">
        <f>($K$2+0.02)*Tabla1[[#This Row],[PRECIO $]]*1.18</f>
        <v>45.731135999999999</v>
      </c>
      <c r="J730" s="7">
        <f>+Tabla1[[#This Row],[PRECIO EN SOLES]]-Tabla1[[#This Row],[PC]]</f>
        <v>10.858864000000004</v>
      </c>
      <c r="K730" s="15"/>
      <c r="L730" s="15" t="str">
        <f t="shared" si="11"/>
        <v>NORMAL</v>
      </c>
    </row>
    <row r="731" spans="1:12" x14ac:dyDescent="0.25">
      <c r="A731" s="3" t="s">
        <v>5730</v>
      </c>
      <c r="B731" s="3" t="s">
        <v>5731</v>
      </c>
      <c r="C731" s="1">
        <v>20</v>
      </c>
      <c r="D731" s="1">
        <v>7.02</v>
      </c>
      <c r="E731" s="1" t="s">
        <v>215</v>
      </c>
      <c r="F731" s="1" t="s">
        <v>5732</v>
      </c>
      <c r="G731" s="3" t="s">
        <v>5733</v>
      </c>
      <c r="H731" s="11">
        <f>ROUND(
IF(L731="GANCHO",
   IF(I731&lt;=50,I731*1.1+4,IF(I731&lt;=120,I731*1.1+7,IF(I731&lt;=250,I731*1.1+11,I731*1.1+19))),
IF(L731="NORMAL",
   IF(I731&lt;=30,I731*1.15+2,IF(I731&lt;=80,I731*1.15+4,IF(I731&lt;=150,I731*1.15+6,I731*1.15+8))),
IF(L731="COMPLEMENTO",
   IF(I731&lt;=25,I731*1.25+1.5,IF(I731&lt;=60,I731*1.25+3,IF(I731&lt;=120,I731*1.25+4,I731*1.25+5))),
""))),2)</f>
        <v>35.53</v>
      </c>
      <c r="I731" s="9">
        <f>($K$2+0.02)*Tabla1[[#This Row],[PRECIO $]]*1.18</f>
        <v>29.158271999999997</v>
      </c>
      <c r="J731" s="7">
        <f>+Tabla1[[#This Row],[PRECIO EN SOLES]]-Tabla1[[#This Row],[PC]]</f>
        <v>6.3717280000000045</v>
      </c>
      <c r="K731" s="15"/>
      <c r="L731" s="15" t="str">
        <f t="shared" si="11"/>
        <v>NORMAL</v>
      </c>
    </row>
    <row r="732" spans="1:12" x14ac:dyDescent="0.25">
      <c r="A732" s="3" t="s">
        <v>6961</v>
      </c>
      <c r="B732" s="3" t="s">
        <v>6962</v>
      </c>
      <c r="C732" s="1">
        <v>4</v>
      </c>
      <c r="D732" s="1">
        <v>5.81</v>
      </c>
      <c r="E732" s="1" t="s">
        <v>215</v>
      </c>
      <c r="F732" s="1" t="s">
        <v>6963</v>
      </c>
      <c r="G732" s="3" t="s">
        <v>6964</v>
      </c>
      <c r="H732" s="11">
        <f>ROUND(
IF(L732="GANCHO",
   IF(I732&lt;=50,I732*1.1+4,IF(I732&lt;=120,I732*1.1+7,IF(I732&lt;=250,I732*1.1+11,I732*1.1+19))),
IF(L732="NORMAL",
   IF(I732&lt;=30,I732*1.15+2,IF(I732&lt;=80,I732*1.15+4,IF(I732&lt;=150,I732*1.15+6,I732*1.15+8))),
IF(L732="COMPLEMENTO",
   IF(I732&lt;=25,I732*1.25+1.5,IF(I732&lt;=60,I732*1.25+3,IF(I732&lt;=120,I732*1.25+4,I732*1.25+5))),
""))),2)</f>
        <v>29.75</v>
      </c>
      <c r="I732" s="9">
        <f>($K$2+0.02)*Tabla1[[#This Row],[PRECIO $]]*1.18</f>
        <v>24.132415999999999</v>
      </c>
      <c r="J732" s="7">
        <f>+Tabla1[[#This Row],[PRECIO EN SOLES]]-Tabla1[[#This Row],[PC]]</f>
        <v>5.6175840000000008</v>
      </c>
      <c r="K732" s="15"/>
      <c r="L732" s="15" t="str">
        <f t="shared" si="11"/>
        <v>NORMAL</v>
      </c>
    </row>
    <row r="733" spans="1:12" x14ac:dyDescent="0.25">
      <c r="A733" s="3" t="s">
        <v>250</v>
      </c>
      <c r="B733" s="3" t="s">
        <v>251</v>
      </c>
      <c r="C733" s="1">
        <v>20</v>
      </c>
      <c r="D733" s="1">
        <v>18.62</v>
      </c>
      <c r="E733" s="1" t="s">
        <v>193</v>
      </c>
      <c r="F733" s="1" t="s">
        <v>3193</v>
      </c>
      <c r="G733" s="3" t="s">
        <v>252</v>
      </c>
      <c r="H733" s="11">
        <f>ROUND(
IF(L733="GANCHO",
   IF(I733&lt;=50,I733*1.1+4,IF(I733&lt;=120,I733*1.1+7,IF(I733&lt;=250,I733*1.1+11,I733*1.1+19))),
IF(L733="NORMAL",
   IF(I733&lt;=30,I733*1.15+2,IF(I733&lt;=80,I733*1.15+4,IF(I733&lt;=150,I733*1.15+6,I733*1.15+8))),
IF(L733="COMPLEMENTO",
   IF(I733&lt;=25,I733*1.25+1.5,IF(I733&lt;=60,I733*1.25+3,IF(I733&lt;=120,I733*1.25+4,I733*1.25+5))),
""))),2)</f>
        <v>92.94</v>
      </c>
      <c r="I733" s="9">
        <f>($K$2+0.02)*Tabla1[[#This Row],[PRECIO $]]*1.18</f>
        <v>77.340031999999994</v>
      </c>
      <c r="J733" s="7">
        <f>+Tabla1[[#This Row],[PRECIO EN SOLES]]-Tabla1[[#This Row],[PC]]</f>
        <v>15.599968000000004</v>
      </c>
      <c r="K733" s="15"/>
      <c r="L733" s="15" t="str">
        <f t="shared" si="11"/>
        <v>NORMAL</v>
      </c>
    </row>
    <row r="734" spans="1:12" x14ac:dyDescent="0.25">
      <c r="A734" s="3" t="s">
        <v>2648</v>
      </c>
      <c r="B734" s="3" t="s">
        <v>2649</v>
      </c>
      <c r="C734" s="1">
        <v>20</v>
      </c>
      <c r="D734" s="1">
        <v>35.56</v>
      </c>
      <c r="E734" s="1" t="s">
        <v>193</v>
      </c>
      <c r="F734" s="1" t="s">
        <v>3194</v>
      </c>
      <c r="G734" s="3" t="s">
        <v>252</v>
      </c>
      <c r="H734" s="11">
        <f>ROUND(
IF(L734="GANCHO",
   IF(I734&lt;=50,I734*1.1+4,IF(I734&lt;=120,I734*1.1+7,IF(I734&lt;=250,I734*1.1+11,I734*1.1+19))),
IF(L734="NORMAL",
   IF(I734&lt;=30,I734*1.15+2,IF(I734&lt;=80,I734*1.15+4,IF(I734&lt;=150,I734*1.15+6,I734*1.15+8))),
IF(L734="COMPLEMENTO",
   IF(I734&lt;=25,I734*1.25+1.5,IF(I734&lt;=60,I734*1.25+3,IF(I734&lt;=120,I734*1.25+4,I734*1.25+5))),
""))),2)</f>
        <v>175.86</v>
      </c>
      <c r="I734" s="9">
        <f>($K$2+0.02)*Tabla1[[#This Row],[PRECIO $]]*1.18</f>
        <v>147.70201600000001</v>
      </c>
      <c r="J734" s="7">
        <f>+Tabla1[[#This Row],[PRECIO EN SOLES]]-Tabla1[[#This Row],[PC]]</f>
        <v>28.157983999999999</v>
      </c>
      <c r="K734" s="15"/>
      <c r="L734" s="15" t="str">
        <f t="shared" si="11"/>
        <v>NORMAL</v>
      </c>
    </row>
    <row r="735" spans="1:12" x14ac:dyDescent="0.25">
      <c r="A735" s="3" t="s">
        <v>253</v>
      </c>
      <c r="B735" s="3" t="s">
        <v>254</v>
      </c>
      <c r="C735" s="1">
        <v>20</v>
      </c>
      <c r="D735" s="1">
        <v>14.4</v>
      </c>
      <c r="E735" s="1" t="s">
        <v>193</v>
      </c>
      <c r="F735" s="1" t="s">
        <v>3195</v>
      </c>
      <c r="G735" s="3" t="s">
        <v>252</v>
      </c>
      <c r="H735" s="11">
        <f>ROUND(
IF(L735="GANCHO",
   IF(I735&lt;=50,I735*1.1+4,IF(I735&lt;=120,I735*1.1+7,IF(I735&lt;=250,I735*1.1+11,I735*1.1+19))),
IF(L735="NORMAL",
   IF(I735&lt;=30,I735*1.15+2,IF(I735&lt;=80,I735*1.15+4,IF(I735&lt;=150,I735*1.15+6,I735*1.15+8))),
IF(L735="COMPLEMENTO",
   IF(I735&lt;=25,I735*1.25+1.5,IF(I735&lt;=60,I735*1.25+3,IF(I735&lt;=120,I735*1.25+4,I735*1.25+5))),
""))),2)</f>
        <v>72.78</v>
      </c>
      <c r="I735" s="9">
        <f>($K$2+0.02)*Tabla1[[#This Row],[PRECIO $]]*1.18</f>
        <v>59.811839999999997</v>
      </c>
      <c r="J735" s="7">
        <f>+Tabla1[[#This Row],[PRECIO EN SOLES]]-Tabla1[[#This Row],[PC]]</f>
        <v>12.968160000000005</v>
      </c>
      <c r="K735" s="15"/>
      <c r="L735" s="15" t="str">
        <f t="shared" si="11"/>
        <v>NORMAL</v>
      </c>
    </row>
    <row r="736" spans="1:12" x14ac:dyDescent="0.25">
      <c r="A736" s="3" t="s">
        <v>2749</v>
      </c>
      <c r="B736" s="3" t="s">
        <v>2750</v>
      </c>
      <c r="C736" s="1">
        <v>20</v>
      </c>
      <c r="D736" s="1">
        <v>5.46</v>
      </c>
      <c r="E736" s="1" t="s">
        <v>193</v>
      </c>
      <c r="F736" s="1" t="s">
        <v>3196</v>
      </c>
      <c r="G736" s="3" t="s">
        <v>2751</v>
      </c>
      <c r="H736" s="11">
        <f>ROUND(
IF(L736="GANCHO",
   IF(I736&lt;=50,I736*1.1+4,IF(I736&lt;=120,I736*1.1+7,IF(I736&lt;=250,I736*1.1+11,I736*1.1+19))),
IF(L736="NORMAL",
   IF(I736&lt;=30,I736*1.15+2,IF(I736&lt;=80,I736*1.15+4,IF(I736&lt;=150,I736*1.15+6,I736*1.15+8))),
IF(L736="COMPLEMENTO",
   IF(I736&lt;=25,I736*1.25+1.5,IF(I736&lt;=60,I736*1.25+3,IF(I736&lt;=120,I736*1.25+4,I736*1.25+5))),
""))),2)</f>
        <v>28.08</v>
      </c>
      <c r="I736" s="9">
        <f>($K$2+0.02)*Tabla1[[#This Row],[PRECIO $]]*1.18</f>
        <v>22.678656</v>
      </c>
      <c r="J736" s="7">
        <f>+Tabla1[[#This Row],[PRECIO EN SOLES]]-Tabla1[[#This Row],[PC]]</f>
        <v>5.4013439999999981</v>
      </c>
      <c r="K736" s="15"/>
      <c r="L736" s="15" t="str">
        <f t="shared" si="11"/>
        <v>NORMAL</v>
      </c>
    </row>
    <row r="737" spans="1:12" x14ac:dyDescent="0.25">
      <c r="A737" s="3" t="s">
        <v>2752</v>
      </c>
      <c r="B737" s="3" t="s">
        <v>2753</v>
      </c>
      <c r="C737" s="1">
        <v>20</v>
      </c>
      <c r="D737" s="1">
        <v>5.46</v>
      </c>
      <c r="E737" s="1" t="s">
        <v>193</v>
      </c>
      <c r="F737" s="1" t="s">
        <v>3197</v>
      </c>
      <c r="G737" s="3" t="s">
        <v>2754</v>
      </c>
      <c r="H737" s="11">
        <f>ROUND(
IF(L737="GANCHO",
   IF(I737&lt;=50,I737*1.1+4,IF(I737&lt;=120,I737*1.1+7,IF(I737&lt;=250,I737*1.1+11,I737*1.1+19))),
IF(L737="NORMAL",
   IF(I737&lt;=30,I737*1.15+2,IF(I737&lt;=80,I737*1.15+4,IF(I737&lt;=150,I737*1.15+6,I737*1.15+8))),
IF(L737="COMPLEMENTO",
   IF(I737&lt;=25,I737*1.25+1.5,IF(I737&lt;=60,I737*1.25+3,IF(I737&lt;=120,I737*1.25+4,I737*1.25+5))),
""))),2)</f>
        <v>28.08</v>
      </c>
      <c r="I737" s="9">
        <f>($K$2+0.02)*Tabla1[[#This Row],[PRECIO $]]*1.18</f>
        <v>22.678656</v>
      </c>
      <c r="J737" s="7">
        <f>+Tabla1[[#This Row],[PRECIO EN SOLES]]-Tabla1[[#This Row],[PC]]</f>
        <v>5.4013439999999981</v>
      </c>
      <c r="K737" s="15"/>
      <c r="L737" s="15" t="str">
        <f t="shared" si="11"/>
        <v>NORMAL</v>
      </c>
    </row>
    <row r="738" spans="1:12" x14ac:dyDescent="0.25">
      <c r="A738" s="3" t="s">
        <v>2755</v>
      </c>
      <c r="B738" s="3" t="s">
        <v>2756</v>
      </c>
      <c r="C738" s="1">
        <v>20</v>
      </c>
      <c r="D738" s="1">
        <v>5.46</v>
      </c>
      <c r="E738" s="1" t="s">
        <v>193</v>
      </c>
      <c r="F738" s="1" t="s">
        <v>3198</v>
      </c>
      <c r="G738" s="3" t="s">
        <v>2757</v>
      </c>
      <c r="H738" s="11">
        <f>ROUND(
IF(L738="GANCHO",
   IF(I738&lt;=50,I738*1.1+4,IF(I738&lt;=120,I738*1.1+7,IF(I738&lt;=250,I738*1.1+11,I738*1.1+19))),
IF(L738="NORMAL",
   IF(I738&lt;=30,I738*1.15+2,IF(I738&lt;=80,I738*1.15+4,IF(I738&lt;=150,I738*1.15+6,I738*1.15+8))),
IF(L738="COMPLEMENTO",
   IF(I738&lt;=25,I738*1.25+1.5,IF(I738&lt;=60,I738*1.25+3,IF(I738&lt;=120,I738*1.25+4,I738*1.25+5))),
""))),2)</f>
        <v>28.08</v>
      </c>
      <c r="I738" s="9">
        <f>($K$2+0.02)*Tabla1[[#This Row],[PRECIO $]]*1.18</f>
        <v>22.678656</v>
      </c>
      <c r="J738" s="7">
        <f>+Tabla1[[#This Row],[PRECIO EN SOLES]]-Tabla1[[#This Row],[PC]]</f>
        <v>5.4013439999999981</v>
      </c>
      <c r="K738" s="15"/>
      <c r="L738" s="15" t="str">
        <f t="shared" si="11"/>
        <v>NORMAL</v>
      </c>
    </row>
    <row r="739" spans="1:12" x14ac:dyDescent="0.25">
      <c r="A739" s="3" t="s">
        <v>2650</v>
      </c>
      <c r="B739" s="3" t="s">
        <v>2651</v>
      </c>
      <c r="C739" s="1">
        <v>20</v>
      </c>
      <c r="D739" s="1">
        <v>20.61</v>
      </c>
      <c r="E739" s="1" t="s">
        <v>193</v>
      </c>
      <c r="F739" s="1" t="s">
        <v>3199</v>
      </c>
      <c r="G739" s="3" t="s">
        <v>2652</v>
      </c>
      <c r="H739" s="11">
        <f>ROUND(
IF(L739="GANCHO",
   IF(I739&lt;=50,I739*1.1+4,IF(I739&lt;=120,I739*1.1+7,IF(I739&lt;=250,I739*1.1+11,I739*1.1+19))),
IF(L739="NORMAL",
   IF(I739&lt;=30,I739*1.15+2,IF(I739&lt;=80,I739*1.15+4,IF(I739&lt;=150,I739*1.15+6,I739*1.15+8))),
IF(L739="COMPLEMENTO",
   IF(I739&lt;=25,I739*1.25+1.5,IF(I739&lt;=60,I739*1.25+3,IF(I739&lt;=120,I739*1.25+4,I739*1.25+5))),
""))),2)</f>
        <v>104.45</v>
      </c>
      <c r="I739" s="9">
        <f>($K$2+0.02)*Tabla1[[#This Row],[PRECIO $]]*1.18</f>
        <v>85.605695999999995</v>
      </c>
      <c r="J739" s="7">
        <f>+Tabla1[[#This Row],[PRECIO EN SOLES]]-Tabla1[[#This Row],[PC]]</f>
        <v>18.844304000000008</v>
      </c>
      <c r="K739" s="15"/>
      <c r="L739" s="15" t="str">
        <f t="shared" si="11"/>
        <v>NORMAL</v>
      </c>
    </row>
    <row r="740" spans="1:12" x14ac:dyDescent="0.25">
      <c r="A740" s="3" t="s">
        <v>1339</v>
      </c>
      <c r="B740" s="3" t="s">
        <v>1340</v>
      </c>
      <c r="C740" s="1">
        <v>0</v>
      </c>
      <c r="D740" s="1">
        <v>5.66</v>
      </c>
      <c r="E740" s="1" t="s">
        <v>215</v>
      </c>
      <c r="F740" s="1" t="s">
        <v>3200</v>
      </c>
      <c r="G740" s="3" t="s">
        <v>1341</v>
      </c>
      <c r="H740" s="11">
        <f>ROUND(
IF(L740="GANCHO",
   IF(I740&lt;=50,I740*1.1+4,IF(I740&lt;=120,I740*1.1+7,IF(I740&lt;=250,I740*1.1+11,I740*1.1+19))),
IF(L740="NORMAL",
   IF(I740&lt;=30,I740*1.15+2,IF(I740&lt;=80,I740*1.15+4,IF(I740&lt;=150,I740*1.15+6,I740*1.15+8))),
IF(L740="COMPLEMENTO",
   IF(I740&lt;=25,I740*1.25+1.5,IF(I740&lt;=60,I740*1.25+3,IF(I740&lt;=120,I740*1.25+4,I740*1.25+5))),
""))),2)</f>
        <v>29.04</v>
      </c>
      <c r="I740" s="9">
        <f>($K$2+0.02)*Tabla1[[#This Row],[PRECIO $]]*1.18</f>
        <v>23.509376</v>
      </c>
      <c r="J740" s="7">
        <f>+Tabla1[[#This Row],[PRECIO EN SOLES]]-Tabla1[[#This Row],[PC]]</f>
        <v>5.5306239999999995</v>
      </c>
      <c r="K740" s="15"/>
      <c r="L740" s="15" t="str">
        <f t="shared" si="11"/>
        <v>NORMAL</v>
      </c>
    </row>
    <row r="741" spans="1:12" x14ac:dyDescent="0.25">
      <c r="A741" s="3" t="s">
        <v>2758</v>
      </c>
      <c r="B741" s="3" t="s">
        <v>2759</v>
      </c>
      <c r="C741" s="1">
        <v>20</v>
      </c>
      <c r="D741" s="1">
        <v>24.97</v>
      </c>
      <c r="E741" s="1" t="s">
        <v>193</v>
      </c>
      <c r="F741" s="1" t="s">
        <v>3201</v>
      </c>
      <c r="G741" s="3" t="s">
        <v>2760</v>
      </c>
      <c r="H741" s="11">
        <f>ROUND(
IF(L741="GANCHO",
   IF(I741&lt;=50,I741*1.1+4,IF(I741&lt;=120,I741*1.1+7,IF(I741&lt;=250,I741*1.1+11,I741*1.1+19))),
IF(L741="NORMAL",
   IF(I741&lt;=30,I741*1.15+2,IF(I741&lt;=80,I741*1.15+4,IF(I741&lt;=150,I741*1.15+6,I741*1.15+8))),
IF(L741="COMPLEMENTO",
   IF(I741&lt;=25,I741*1.25+1.5,IF(I741&lt;=60,I741*1.25+3,IF(I741&lt;=120,I741*1.25+4,I741*1.25+5))),
""))),2)</f>
        <v>125.27</v>
      </c>
      <c r="I741" s="9">
        <f>($K$2+0.02)*Tabla1[[#This Row],[PRECIO $]]*1.18</f>
        <v>103.71539199999998</v>
      </c>
      <c r="J741" s="7">
        <f>+Tabla1[[#This Row],[PRECIO EN SOLES]]-Tabla1[[#This Row],[PC]]</f>
        <v>21.554608000000016</v>
      </c>
      <c r="K741" s="15"/>
      <c r="L741" s="15" t="str">
        <f t="shared" si="11"/>
        <v>NORMAL</v>
      </c>
    </row>
    <row r="742" spans="1:12" x14ac:dyDescent="0.25">
      <c r="A742" s="3" t="s">
        <v>2761</v>
      </c>
      <c r="B742" s="3" t="s">
        <v>2762</v>
      </c>
      <c r="C742" s="1">
        <v>2</v>
      </c>
      <c r="D742" s="1">
        <v>39.1</v>
      </c>
      <c r="E742" s="1" t="s">
        <v>193</v>
      </c>
      <c r="F742" s="1" t="s">
        <v>3202</v>
      </c>
      <c r="G742" s="3" t="s">
        <v>2763</v>
      </c>
      <c r="H742" s="11">
        <f>ROUND(
IF(L742="GANCHO",
   IF(I742&lt;=50,I742*1.1+4,IF(I742&lt;=120,I742*1.1+7,IF(I742&lt;=250,I742*1.1+11,I742*1.1+19))),
IF(L742="NORMAL",
   IF(I742&lt;=30,I742*1.15+2,IF(I742&lt;=80,I742*1.15+4,IF(I742&lt;=150,I742*1.15+6,I742*1.15+8))),
IF(L742="COMPLEMENTO",
   IF(I742&lt;=25,I742*1.25+1.5,IF(I742&lt;=60,I742*1.25+3,IF(I742&lt;=120,I742*1.25+4,I742*1.25+5))),
""))),2)</f>
        <v>194.77</v>
      </c>
      <c r="I742" s="9">
        <f>($K$2+0.02)*Tabla1[[#This Row],[PRECIO $]]*1.18</f>
        <v>162.40575999999999</v>
      </c>
      <c r="J742" s="7">
        <f>+Tabla1[[#This Row],[PRECIO EN SOLES]]-Tabla1[[#This Row],[PC]]</f>
        <v>32.364240000000024</v>
      </c>
      <c r="K742" s="15"/>
      <c r="L742" s="15" t="str">
        <f t="shared" si="11"/>
        <v>NORMAL</v>
      </c>
    </row>
    <row r="743" spans="1:12" x14ac:dyDescent="0.25">
      <c r="A743" s="3" t="s">
        <v>2653</v>
      </c>
      <c r="B743" s="3" t="s">
        <v>2654</v>
      </c>
      <c r="C743" s="1">
        <v>20</v>
      </c>
      <c r="D743" s="1">
        <v>19.88</v>
      </c>
      <c r="E743" s="1" t="s">
        <v>193</v>
      </c>
      <c r="F743" s="1" t="s">
        <v>3203</v>
      </c>
      <c r="G743" s="3" t="s">
        <v>2655</v>
      </c>
      <c r="H743" s="11">
        <f>ROUND(
IF(L743="GANCHO",
   IF(I743&lt;=50,I743*1.1+4,IF(I743&lt;=120,I743*1.1+7,IF(I743&lt;=250,I743*1.1+11,I743*1.1+19))),
IF(L743="NORMAL",
   IF(I743&lt;=30,I743*1.15+2,IF(I743&lt;=80,I743*1.15+4,IF(I743&lt;=150,I743*1.15+6,I743*1.15+8))),
IF(L743="COMPLEMENTO",
   IF(I743&lt;=25,I743*1.25+1.5,IF(I743&lt;=60,I743*1.25+3,IF(I743&lt;=120,I743*1.25+4,I743*1.25+5))),
""))),2)</f>
        <v>100.96</v>
      </c>
      <c r="I743" s="9">
        <f>($K$2+0.02)*Tabla1[[#This Row],[PRECIO $]]*1.18</f>
        <v>82.573567999999995</v>
      </c>
      <c r="J743" s="7">
        <f>+Tabla1[[#This Row],[PRECIO EN SOLES]]-Tabla1[[#This Row],[PC]]</f>
        <v>18.386431999999999</v>
      </c>
      <c r="K743" s="15"/>
      <c r="L743" s="15" t="str">
        <f t="shared" si="11"/>
        <v>NORMAL</v>
      </c>
    </row>
    <row r="744" spans="1:12" x14ac:dyDescent="0.25">
      <c r="A744" s="3" t="s">
        <v>1342</v>
      </c>
      <c r="B744" s="3" t="s">
        <v>1343</v>
      </c>
      <c r="C744" s="1">
        <v>20</v>
      </c>
      <c r="D744" s="1">
        <v>27.2</v>
      </c>
      <c r="E744" s="1" t="s">
        <v>193</v>
      </c>
      <c r="F744" s="1" t="s">
        <v>3204</v>
      </c>
      <c r="G744" s="3" t="s">
        <v>1344</v>
      </c>
      <c r="H744" s="11">
        <f>ROUND(
IF(L744="GANCHO",
   IF(I744&lt;=50,I744*1.1+4,IF(I744&lt;=120,I744*1.1+7,IF(I744&lt;=250,I744*1.1+11,I744*1.1+19))),
IF(L744="NORMAL",
   IF(I744&lt;=30,I744*1.15+2,IF(I744&lt;=80,I744*1.15+4,IF(I744&lt;=150,I744*1.15+6,I744*1.15+8))),
IF(L744="COMPLEMENTO",
   IF(I744&lt;=25,I744*1.25+1.5,IF(I744&lt;=60,I744*1.25+3,IF(I744&lt;=120,I744*1.25+4,I744*1.25+5))),
""))),2)</f>
        <v>135.91999999999999</v>
      </c>
      <c r="I744" s="9">
        <f>($K$2+0.02)*Tabla1[[#This Row],[PRECIO $]]*1.18</f>
        <v>112.97792</v>
      </c>
      <c r="J744" s="7">
        <f>+Tabla1[[#This Row],[PRECIO EN SOLES]]-Tabla1[[#This Row],[PC]]</f>
        <v>22.94207999999999</v>
      </c>
      <c r="K744" s="15"/>
      <c r="L744" s="15" t="str">
        <f t="shared" si="11"/>
        <v>NORMAL</v>
      </c>
    </row>
    <row r="745" spans="1:12" x14ac:dyDescent="0.25">
      <c r="A745" s="3" t="s">
        <v>2656</v>
      </c>
      <c r="B745" s="3" t="s">
        <v>2657</v>
      </c>
      <c r="C745" s="1">
        <v>20</v>
      </c>
      <c r="D745" s="1">
        <v>64.099999999999994</v>
      </c>
      <c r="E745" s="1" t="s">
        <v>193</v>
      </c>
      <c r="F745" s="1" t="s">
        <v>3205</v>
      </c>
      <c r="G745" s="3" t="s">
        <v>2658</v>
      </c>
      <c r="H745" s="11">
        <f>ROUND(
IF(L745="GANCHO",
   IF(I745&lt;=50,I745*1.1+4,IF(I745&lt;=120,I745*1.1+7,IF(I745&lt;=250,I745*1.1+11,I745*1.1+19))),
IF(L745="NORMAL",
   IF(I745&lt;=30,I745*1.15+2,IF(I745&lt;=80,I745*1.15+4,IF(I745&lt;=150,I745*1.15+6,I745*1.15+8))),
IF(L745="COMPLEMENTO",
   IF(I745&lt;=25,I745*1.25+1.5,IF(I745&lt;=60,I745*1.25+3,IF(I745&lt;=120,I745*1.25+4,I745*1.25+5))),
""))),2)</f>
        <v>314.18</v>
      </c>
      <c r="I745" s="9">
        <f>($K$2+0.02)*Tabla1[[#This Row],[PRECIO $]]*1.18</f>
        <v>266.24575999999996</v>
      </c>
      <c r="J745" s="7">
        <f>+Tabla1[[#This Row],[PRECIO EN SOLES]]-Tabla1[[#This Row],[PC]]</f>
        <v>47.934240000000045</v>
      </c>
      <c r="K745" s="15"/>
      <c r="L745" s="15" t="str">
        <f t="shared" si="11"/>
        <v>NORMAL</v>
      </c>
    </row>
    <row r="746" spans="1:12" x14ac:dyDescent="0.25">
      <c r="A746" s="3" t="s">
        <v>2764</v>
      </c>
      <c r="B746" s="3" t="s">
        <v>2765</v>
      </c>
      <c r="C746" s="1">
        <v>20</v>
      </c>
      <c r="D746" s="1">
        <v>5.46</v>
      </c>
      <c r="E746" s="1" t="s">
        <v>193</v>
      </c>
      <c r="F746" s="1" t="s">
        <v>3206</v>
      </c>
      <c r="G746" s="3" t="s">
        <v>2766</v>
      </c>
      <c r="H746" s="11">
        <f>ROUND(
IF(L746="GANCHO",
   IF(I746&lt;=50,I746*1.1+4,IF(I746&lt;=120,I746*1.1+7,IF(I746&lt;=250,I746*1.1+11,I746*1.1+19))),
IF(L746="NORMAL",
   IF(I746&lt;=30,I746*1.15+2,IF(I746&lt;=80,I746*1.15+4,IF(I746&lt;=150,I746*1.15+6,I746*1.15+8))),
IF(L746="COMPLEMENTO",
   IF(I746&lt;=25,I746*1.25+1.5,IF(I746&lt;=60,I746*1.25+3,IF(I746&lt;=120,I746*1.25+4,I746*1.25+5))),
""))),2)</f>
        <v>28.08</v>
      </c>
      <c r="I746" s="9">
        <f>($K$2+0.02)*Tabla1[[#This Row],[PRECIO $]]*1.18</f>
        <v>22.678656</v>
      </c>
      <c r="J746" s="7">
        <f>+Tabla1[[#This Row],[PRECIO EN SOLES]]-Tabla1[[#This Row],[PC]]</f>
        <v>5.4013439999999981</v>
      </c>
      <c r="K746" s="15"/>
      <c r="L746" s="15" t="str">
        <f t="shared" si="11"/>
        <v>NORMAL</v>
      </c>
    </row>
    <row r="747" spans="1:12" x14ac:dyDescent="0.25">
      <c r="A747" s="3" t="s">
        <v>2659</v>
      </c>
      <c r="B747" s="3" t="s">
        <v>2660</v>
      </c>
      <c r="C747" s="1">
        <v>20</v>
      </c>
      <c r="D747" s="1">
        <v>11.98</v>
      </c>
      <c r="E747" s="1" t="s">
        <v>193</v>
      </c>
      <c r="F747" s="1" t="s">
        <v>3207</v>
      </c>
      <c r="G747" s="3" t="s">
        <v>2661</v>
      </c>
      <c r="H747" s="11">
        <f>ROUND(
IF(L747="GANCHO",
   IF(I747&lt;=50,I747*1.1+4,IF(I747&lt;=120,I747*1.1+7,IF(I747&lt;=250,I747*1.1+11,I747*1.1+19))),
IF(L747="NORMAL",
   IF(I747&lt;=30,I747*1.15+2,IF(I747&lt;=80,I747*1.15+4,IF(I747&lt;=150,I747*1.15+6,I747*1.15+8))),
IF(L747="COMPLEMENTO",
   IF(I747&lt;=25,I747*1.25+1.5,IF(I747&lt;=60,I747*1.25+3,IF(I747&lt;=120,I747*1.25+4,I747*1.25+5))),
""))),2)</f>
        <v>61.22</v>
      </c>
      <c r="I747" s="9">
        <f>($K$2+0.02)*Tabla1[[#This Row],[PRECIO $]]*1.18</f>
        <v>49.760128000000002</v>
      </c>
      <c r="J747" s="7">
        <f>+Tabla1[[#This Row],[PRECIO EN SOLES]]-Tabla1[[#This Row],[PC]]</f>
        <v>11.459871999999997</v>
      </c>
      <c r="K747" s="15"/>
      <c r="L747" s="15" t="str">
        <f t="shared" si="11"/>
        <v>NORMAL</v>
      </c>
    </row>
    <row r="748" spans="1:12" x14ac:dyDescent="0.25">
      <c r="A748" s="3" t="s">
        <v>2662</v>
      </c>
      <c r="B748" s="3" t="s">
        <v>2663</v>
      </c>
      <c r="C748" s="1">
        <v>20</v>
      </c>
      <c r="D748" s="1">
        <v>5.61</v>
      </c>
      <c r="E748" s="1" t="s">
        <v>193</v>
      </c>
      <c r="F748" s="1" t="s">
        <v>3208</v>
      </c>
      <c r="G748" s="3" t="s">
        <v>2664</v>
      </c>
      <c r="H748" s="11">
        <f>ROUND(
IF(L748="GANCHO",
   IF(I748&lt;=50,I748*1.1+4,IF(I748&lt;=120,I748*1.1+7,IF(I748&lt;=250,I748*1.1+11,I748*1.1+19))),
IF(L748="NORMAL",
   IF(I748&lt;=30,I748*1.15+2,IF(I748&lt;=80,I748*1.15+4,IF(I748&lt;=150,I748*1.15+6,I748*1.15+8))),
IF(L748="COMPLEMENTO",
   IF(I748&lt;=25,I748*1.25+1.5,IF(I748&lt;=60,I748*1.25+3,IF(I748&lt;=120,I748*1.25+4,I748*1.25+5))),
""))),2)</f>
        <v>28.8</v>
      </c>
      <c r="I748" s="9">
        <f>($K$2+0.02)*Tabla1[[#This Row],[PRECIO $]]*1.18</f>
        <v>23.301696000000003</v>
      </c>
      <c r="J748" s="7">
        <f>+Tabla1[[#This Row],[PRECIO EN SOLES]]-Tabla1[[#This Row],[PC]]</f>
        <v>5.4983039999999974</v>
      </c>
      <c r="K748" s="15"/>
      <c r="L748" s="15" t="str">
        <f t="shared" si="11"/>
        <v>NORMAL</v>
      </c>
    </row>
    <row r="749" spans="1:12" x14ac:dyDescent="0.25">
      <c r="A749" s="3" t="s">
        <v>2665</v>
      </c>
      <c r="B749" s="3" t="s">
        <v>2666</v>
      </c>
      <c r="C749" s="1">
        <v>20</v>
      </c>
      <c r="D749" s="1">
        <v>18.61</v>
      </c>
      <c r="E749" s="1" t="s">
        <v>193</v>
      </c>
      <c r="F749" s="1" t="s">
        <v>3209</v>
      </c>
      <c r="G749" s="3" t="s">
        <v>2667</v>
      </c>
      <c r="H749" s="11">
        <f>ROUND(
IF(L749="GANCHO",
   IF(I749&lt;=50,I749*1.1+4,IF(I749&lt;=120,I749*1.1+7,IF(I749&lt;=250,I749*1.1+11,I749*1.1+19))),
IF(L749="NORMAL",
   IF(I749&lt;=30,I749*1.15+2,IF(I749&lt;=80,I749*1.15+4,IF(I749&lt;=150,I749*1.15+6,I749*1.15+8))),
IF(L749="COMPLEMENTO",
   IF(I749&lt;=25,I749*1.25+1.5,IF(I749&lt;=60,I749*1.25+3,IF(I749&lt;=120,I749*1.25+4,I749*1.25+5))),
""))),2)</f>
        <v>92.89</v>
      </c>
      <c r="I749" s="9">
        <f>($K$2+0.02)*Tabla1[[#This Row],[PRECIO $]]*1.18</f>
        <v>77.298495999999986</v>
      </c>
      <c r="J749" s="7">
        <f>+Tabla1[[#This Row],[PRECIO EN SOLES]]-Tabla1[[#This Row],[PC]]</f>
        <v>15.591504000000015</v>
      </c>
      <c r="K749" s="15"/>
      <c r="L749" s="15" t="str">
        <f t="shared" si="11"/>
        <v>NORMAL</v>
      </c>
    </row>
    <row r="750" spans="1:12" x14ac:dyDescent="0.25">
      <c r="A750" s="3" t="s">
        <v>2668</v>
      </c>
      <c r="B750" s="3" t="s">
        <v>2669</v>
      </c>
      <c r="C750" s="1">
        <v>20</v>
      </c>
      <c r="D750" s="1">
        <v>35.01</v>
      </c>
      <c r="E750" s="1" t="s">
        <v>193</v>
      </c>
      <c r="F750" s="1" t="s">
        <v>3210</v>
      </c>
      <c r="G750" s="3" t="s">
        <v>2670</v>
      </c>
      <c r="H750" s="11">
        <f>ROUND(
IF(L750="GANCHO",
   IF(I750&lt;=50,I750*1.1+4,IF(I750&lt;=120,I750*1.1+7,IF(I750&lt;=250,I750*1.1+11,I750*1.1+19))),
IF(L750="NORMAL",
   IF(I750&lt;=30,I750*1.15+2,IF(I750&lt;=80,I750*1.15+4,IF(I750&lt;=150,I750*1.15+6,I750*1.15+8))),
IF(L750="COMPLEMENTO",
   IF(I750&lt;=25,I750*1.25+1.5,IF(I750&lt;=60,I750*1.25+3,IF(I750&lt;=120,I750*1.25+4,I750*1.25+5))),
""))),2)</f>
        <v>173.23</v>
      </c>
      <c r="I750" s="9">
        <f>($K$2+0.02)*Tabla1[[#This Row],[PRECIO $]]*1.18</f>
        <v>145.41753599999998</v>
      </c>
      <c r="J750" s="7">
        <f>+Tabla1[[#This Row],[PRECIO EN SOLES]]-Tabla1[[#This Row],[PC]]</f>
        <v>27.812464000000006</v>
      </c>
      <c r="K750" s="15"/>
      <c r="L750" s="15" t="str">
        <f t="shared" si="11"/>
        <v>NORMAL</v>
      </c>
    </row>
    <row r="751" spans="1:12" x14ac:dyDescent="0.25">
      <c r="A751" s="3" t="s">
        <v>2671</v>
      </c>
      <c r="B751" s="3" t="s">
        <v>2672</v>
      </c>
      <c r="C751" s="1">
        <v>20</v>
      </c>
      <c r="D751" s="1">
        <v>64.599999999999994</v>
      </c>
      <c r="E751" s="1" t="s">
        <v>193</v>
      </c>
      <c r="F751" s="1" t="s">
        <v>3211</v>
      </c>
      <c r="G751" s="3" t="s">
        <v>2673</v>
      </c>
      <c r="H751" s="11">
        <f>ROUND(
IF(L751="GANCHO",
   IF(I751&lt;=50,I751*1.1+4,IF(I751&lt;=120,I751*1.1+7,IF(I751&lt;=250,I751*1.1+11,I751*1.1+19))),
IF(L751="NORMAL",
   IF(I751&lt;=30,I751*1.15+2,IF(I751&lt;=80,I751*1.15+4,IF(I751&lt;=150,I751*1.15+6,I751*1.15+8))),
IF(L751="COMPLEMENTO",
   IF(I751&lt;=25,I751*1.25+1.5,IF(I751&lt;=60,I751*1.25+3,IF(I751&lt;=120,I751*1.25+4,I751*1.25+5))),
""))),2)</f>
        <v>316.57</v>
      </c>
      <c r="I751" s="9">
        <f>($K$2+0.02)*Tabla1[[#This Row],[PRECIO $]]*1.18</f>
        <v>268.32255999999995</v>
      </c>
      <c r="J751" s="7">
        <f>+Tabla1[[#This Row],[PRECIO EN SOLES]]-Tabla1[[#This Row],[PC]]</f>
        <v>48.24744000000004</v>
      </c>
      <c r="K751" s="15"/>
      <c r="L751" s="15" t="str">
        <f t="shared" si="11"/>
        <v>NORMAL</v>
      </c>
    </row>
    <row r="752" spans="1:12" x14ac:dyDescent="0.25">
      <c r="A752" s="3" t="s">
        <v>255</v>
      </c>
      <c r="B752" s="3" t="s">
        <v>256</v>
      </c>
      <c r="C752" s="1">
        <v>20</v>
      </c>
      <c r="D752" s="1">
        <v>10.98</v>
      </c>
      <c r="E752" s="1" t="s">
        <v>193</v>
      </c>
      <c r="F752" s="1" t="s">
        <v>3212</v>
      </c>
      <c r="G752" s="3" t="s">
        <v>257</v>
      </c>
      <c r="H752" s="11">
        <f>ROUND(
IF(L752="GANCHO",
   IF(I752&lt;=50,I752*1.1+4,IF(I752&lt;=120,I752*1.1+7,IF(I752&lt;=250,I752*1.1+11,I752*1.1+19))),
IF(L752="NORMAL",
   IF(I752&lt;=30,I752*1.15+2,IF(I752&lt;=80,I752*1.15+4,IF(I752&lt;=150,I752*1.15+6,I752*1.15+8))),
IF(L752="COMPLEMENTO",
   IF(I752&lt;=25,I752*1.25+1.5,IF(I752&lt;=60,I752*1.25+3,IF(I752&lt;=120,I752*1.25+4,I752*1.25+5))),
""))),2)</f>
        <v>56.45</v>
      </c>
      <c r="I752" s="9">
        <f>($K$2+0.02)*Tabla1[[#This Row],[PRECIO $]]*1.18</f>
        <v>45.606527999999997</v>
      </c>
      <c r="J752" s="7">
        <f>+Tabla1[[#This Row],[PRECIO EN SOLES]]-Tabla1[[#This Row],[PC]]</f>
        <v>10.843472000000006</v>
      </c>
      <c r="K752" s="15"/>
      <c r="L752" s="15" t="str">
        <f t="shared" si="11"/>
        <v>NORMAL</v>
      </c>
    </row>
    <row r="753" spans="1:12" x14ac:dyDescent="0.25">
      <c r="A753" s="3" t="s">
        <v>258</v>
      </c>
      <c r="B753" s="3" t="s">
        <v>259</v>
      </c>
      <c r="C753" s="1">
        <v>20</v>
      </c>
      <c r="D753" s="1">
        <v>8.5</v>
      </c>
      <c r="E753" s="1" t="s">
        <v>193</v>
      </c>
      <c r="F753" s="1" t="s">
        <v>3213</v>
      </c>
      <c r="G753" s="3" t="s">
        <v>260</v>
      </c>
      <c r="H753" s="11">
        <f>ROUND(
IF(L753="GANCHO",
   IF(I753&lt;=50,I753*1.1+4,IF(I753&lt;=120,I753*1.1+7,IF(I753&lt;=250,I753*1.1+11,I753*1.1+19))),
IF(L753="NORMAL",
   IF(I753&lt;=30,I753*1.15+2,IF(I753&lt;=80,I753*1.15+4,IF(I753&lt;=150,I753*1.15+6,I753*1.15+8))),
IF(L753="COMPLEMENTO",
   IF(I753&lt;=25,I753*1.25+1.5,IF(I753&lt;=60,I753*1.25+3,IF(I753&lt;=120,I753*1.25+4,I753*1.25+5))),
""))),2)</f>
        <v>44.6</v>
      </c>
      <c r="I753" s="9">
        <f>($K$2+0.02)*Tabla1[[#This Row],[PRECIO $]]*1.18</f>
        <v>35.305599999999998</v>
      </c>
      <c r="J753" s="7">
        <f>+Tabla1[[#This Row],[PRECIO EN SOLES]]-Tabla1[[#This Row],[PC]]</f>
        <v>9.2944000000000031</v>
      </c>
      <c r="K753" s="15"/>
      <c r="L753" s="15" t="str">
        <f t="shared" si="11"/>
        <v>NORMAL</v>
      </c>
    </row>
    <row r="754" spans="1:12" x14ac:dyDescent="0.25">
      <c r="A754" s="3" t="s">
        <v>2674</v>
      </c>
      <c r="B754" s="3" t="s">
        <v>2675</v>
      </c>
      <c r="C754" s="1">
        <v>20</v>
      </c>
      <c r="D754" s="1">
        <v>20.21</v>
      </c>
      <c r="E754" s="1" t="s">
        <v>193</v>
      </c>
      <c r="F754" s="1" t="s">
        <v>3214</v>
      </c>
      <c r="G754" s="3" t="s">
        <v>2676</v>
      </c>
      <c r="H754" s="11">
        <f>ROUND(
IF(L754="GANCHO",
   IF(I754&lt;=50,I754*1.1+4,IF(I754&lt;=120,I754*1.1+7,IF(I754&lt;=250,I754*1.1+11,I754*1.1+19))),
IF(L754="NORMAL",
   IF(I754&lt;=30,I754*1.15+2,IF(I754&lt;=80,I754*1.15+4,IF(I754&lt;=150,I754*1.15+6,I754*1.15+8))),
IF(L754="COMPLEMENTO",
   IF(I754&lt;=25,I754*1.25+1.5,IF(I754&lt;=60,I754*1.25+3,IF(I754&lt;=120,I754*1.25+4,I754*1.25+5))),
""))),2)</f>
        <v>102.54</v>
      </c>
      <c r="I754" s="9">
        <f>($K$2+0.02)*Tabla1[[#This Row],[PRECIO $]]*1.18</f>
        <v>83.944255999999996</v>
      </c>
      <c r="J754" s="7">
        <f>+Tabla1[[#This Row],[PRECIO EN SOLES]]-Tabla1[[#This Row],[PC]]</f>
        <v>18.59574400000001</v>
      </c>
      <c r="K754" s="15"/>
      <c r="L754" s="15" t="str">
        <f t="shared" si="11"/>
        <v>NORMAL</v>
      </c>
    </row>
    <row r="755" spans="1:12" x14ac:dyDescent="0.25">
      <c r="A755" s="3" t="s">
        <v>2677</v>
      </c>
      <c r="B755" s="3" t="s">
        <v>2678</v>
      </c>
      <c r="C755" s="1">
        <v>20</v>
      </c>
      <c r="D755" s="1">
        <v>5.31</v>
      </c>
      <c r="E755" s="1" t="s">
        <v>193</v>
      </c>
      <c r="F755" s="1" t="s">
        <v>3215</v>
      </c>
      <c r="G755" s="3" t="s">
        <v>2679</v>
      </c>
      <c r="H755" s="11">
        <f>ROUND(
IF(L755="GANCHO",
   IF(I755&lt;=50,I755*1.1+4,IF(I755&lt;=120,I755*1.1+7,IF(I755&lt;=250,I755*1.1+11,I755*1.1+19))),
IF(L755="NORMAL",
   IF(I755&lt;=30,I755*1.15+2,IF(I755&lt;=80,I755*1.15+4,IF(I755&lt;=150,I755*1.15+6,I755*1.15+8))),
IF(L755="COMPLEMENTO",
   IF(I755&lt;=25,I755*1.25+1.5,IF(I755&lt;=60,I755*1.25+3,IF(I755&lt;=120,I755*1.25+4,I755*1.25+5))),
""))),2)</f>
        <v>27.36</v>
      </c>
      <c r="I755" s="9">
        <f>($K$2+0.02)*Tabla1[[#This Row],[PRECIO $]]*1.18</f>
        <v>22.055615999999997</v>
      </c>
      <c r="J755" s="7">
        <f>+Tabla1[[#This Row],[PRECIO EN SOLES]]-Tabla1[[#This Row],[PC]]</f>
        <v>5.3043840000000024</v>
      </c>
      <c r="K755" s="15"/>
      <c r="L755" s="15" t="str">
        <f t="shared" si="11"/>
        <v>NORMAL</v>
      </c>
    </row>
    <row r="756" spans="1:12" x14ac:dyDescent="0.25">
      <c r="A756" s="3" t="s">
        <v>2767</v>
      </c>
      <c r="B756" s="3" t="s">
        <v>2768</v>
      </c>
      <c r="C756" s="1">
        <v>20</v>
      </c>
      <c r="D756" s="1">
        <v>5.46</v>
      </c>
      <c r="E756" s="1" t="s">
        <v>193</v>
      </c>
      <c r="F756" s="1" t="s">
        <v>3216</v>
      </c>
      <c r="G756" s="3" t="s">
        <v>2769</v>
      </c>
      <c r="H756" s="11">
        <f>ROUND(
IF(L756="GANCHO",
   IF(I756&lt;=50,I756*1.1+4,IF(I756&lt;=120,I756*1.1+7,IF(I756&lt;=250,I756*1.1+11,I756*1.1+19))),
IF(L756="NORMAL",
   IF(I756&lt;=30,I756*1.15+2,IF(I756&lt;=80,I756*1.15+4,IF(I756&lt;=150,I756*1.15+6,I756*1.15+8))),
IF(L756="COMPLEMENTO",
   IF(I756&lt;=25,I756*1.25+1.5,IF(I756&lt;=60,I756*1.25+3,IF(I756&lt;=120,I756*1.25+4,I756*1.25+5))),
""))),2)</f>
        <v>28.08</v>
      </c>
      <c r="I756" s="9">
        <f>($K$2+0.02)*Tabla1[[#This Row],[PRECIO $]]*1.18</f>
        <v>22.678656</v>
      </c>
      <c r="J756" s="7">
        <f>+Tabla1[[#This Row],[PRECIO EN SOLES]]-Tabla1[[#This Row],[PC]]</f>
        <v>5.4013439999999981</v>
      </c>
      <c r="K756" s="15"/>
      <c r="L756" s="15" t="str">
        <f t="shared" si="11"/>
        <v>NORMAL</v>
      </c>
    </row>
    <row r="757" spans="1:12" x14ac:dyDescent="0.25">
      <c r="A757" s="3" t="s">
        <v>2680</v>
      </c>
      <c r="B757" s="3" t="s">
        <v>2681</v>
      </c>
      <c r="C757" s="1">
        <v>20</v>
      </c>
      <c r="D757" s="1">
        <v>20.02</v>
      </c>
      <c r="E757" s="1" t="s">
        <v>193</v>
      </c>
      <c r="F757" s="1" t="s">
        <v>3217</v>
      </c>
      <c r="G757" s="3" t="s">
        <v>2682</v>
      </c>
      <c r="H757" s="11">
        <f>ROUND(
IF(L757="GANCHO",
   IF(I757&lt;=50,I757*1.1+4,IF(I757&lt;=120,I757*1.1+7,IF(I757&lt;=250,I757*1.1+11,I757*1.1+19))),
IF(L757="NORMAL",
   IF(I757&lt;=30,I757*1.15+2,IF(I757&lt;=80,I757*1.15+4,IF(I757&lt;=150,I757*1.15+6,I757*1.15+8))),
IF(L757="COMPLEMENTO",
   IF(I757&lt;=25,I757*1.25+1.5,IF(I757&lt;=60,I757*1.25+3,IF(I757&lt;=120,I757*1.25+4,I757*1.25+5))),
""))),2)</f>
        <v>101.63</v>
      </c>
      <c r="I757" s="9">
        <f>($K$2+0.02)*Tabla1[[#This Row],[PRECIO $]]*1.18</f>
        <v>83.15507199999999</v>
      </c>
      <c r="J757" s="7">
        <f>+Tabla1[[#This Row],[PRECIO EN SOLES]]-Tabla1[[#This Row],[PC]]</f>
        <v>18.474928000000006</v>
      </c>
      <c r="K757" s="15"/>
      <c r="L757" s="15" t="str">
        <f t="shared" si="11"/>
        <v>NORMAL</v>
      </c>
    </row>
    <row r="758" spans="1:12" x14ac:dyDescent="0.25">
      <c r="A758" s="3" t="s">
        <v>2683</v>
      </c>
      <c r="B758" s="3" t="s">
        <v>2684</v>
      </c>
      <c r="C758" s="1">
        <v>20</v>
      </c>
      <c r="D758" s="1">
        <v>5.36</v>
      </c>
      <c r="E758" s="1" t="s">
        <v>193</v>
      </c>
      <c r="F758" s="1" t="s">
        <v>3218</v>
      </c>
      <c r="G758" s="3" t="s">
        <v>2685</v>
      </c>
      <c r="H758" s="11">
        <f>ROUND(
IF(L758="GANCHO",
   IF(I758&lt;=50,I758*1.1+4,IF(I758&lt;=120,I758*1.1+7,IF(I758&lt;=250,I758*1.1+11,I758*1.1+19))),
IF(L758="NORMAL",
   IF(I758&lt;=30,I758*1.15+2,IF(I758&lt;=80,I758*1.15+4,IF(I758&lt;=150,I758*1.15+6,I758*1.15+8))),
IF(L758="COMPLEMENTO",
   IF(I758&lt;=25,I758*1.25+1.5,IF(I758&lt;=60,I758*1.25+3,IF(I758&lt;=120,I758*1.25+4,I758*1.25+5))),
""))),2)</f>
        <v>27.6</v>
      </c>
      <c r="I758" s="9">
        <f>($K$2+0.02)*Tabla1[[#This Row],[PRECIO $]]*1.18</f>
        <v>22.263296</v>
      </c>
      <c r="J758" s="7">
        <f>+Tabla1[[#This Row],[PRECIO EN SOLES]]-Tabla1[[#This Row],[PC]]</f>
        <v>5.336704000000001</v>
      </c>
      <c r="K758" s="15"/>
      <c r="L758" s="15" t="str">
        <f t="shared" si="11"/>
        <v>NORMAL</v>
      </c>
    </row>
    <row r="759" spans="1:12" x14ac:dyDescent="0.25">
      <c r="A759" s="3" t="s">
        <v>261</v>
      </c>
      <c r="B759" s="3" t="s">
        <v>262</v>
      </c>
      <c r="C759" s="1">
        <v>20</v>
      </c>
      <c r="D759" s="1">
        <v>7.81</v>
      </c>
      <c r="E759" s="1" t="s">
        <v>193</v>
      </c>
      <c r="F759" s="1" t="s">
        <v>3219</v>
      </c>
      <c r="G759" s="3" t="s">
        <v>263</v>
      </c>
      <c r="H759" s="11">
        <f>ROUND(
IF(L759="GANCHO",
   IF(I759&lt;=50,I759*1.1+4,IF(I759&lt;=120,I759*1.1+7,IF(I759&lt;=250,I759*1.1+11,I759*1.1+19))),
IF(L759="NORMAL",
   IF(I759&lt;=30,I759*1.15+2,IF(I759&lt;=80,I759*1.15+4,IF(I759&lt;=150,I759*1.15+6,I759*1.15+8))),
IF(L759="COMPLEMENTO",
   IF(I759&lt;=25,I759*1.25+1.5,IF(I759&lt;=60,I759*1.25+3,IF(I759&lt;=120,I759*1.25+4,I759*1.25+5))),
""))),2)</f>
        <v>41.31</v>
      </c>
      <c r="I759" s="9">
        <f>($K$2+0.02)*Tabla1[[#This Row],[PRECIO $]]*1.18</f>
        <v>32.439615999999994</v>
      </c>
      <c r="J759" s="7">
        <f>+Tabla1[[#This Row],[PRECIO EN SOLES]]-Tabla1[[#This Row],[PC]]</f>
        <v>8.8703840000000085</v>
      </c>
      <c r="K759" s="15"/>
      <c r="L759" s="15" t="str">
        <f t="shared" si="11"/>
        <v>NORMAL</v>
      </c>
    </row>
    <row r="760" spans="1:12" x14ac:dyDescent="0.25">
      <c r="A760" s="3" t="s">
        <v>1345</v>
      </c>
      <c r="B760" s="3" t="s">
        <v>1346</v>
      </c>
      <c r="C760" s="1">
        <v>20</v>
      </c>
      <c r="D760" s="1">
        <v>42.1</v>
      </c>
      <c r="E760" s="1" t="s">
        <v>193</v>
      </c>
      <c r="F760" s="1" t="s">
        <v>3220</v>
      </c>
      <c r="G760" s="3" t="s">
        <v>1347</v>
      </c>
      <c r="H760" s="11">
        <f>ROUND(
IF(L760="GANCHO",
   IF(I760&lt;=50,I760*1.1+4,IF(I760&lt;=120,I760*1.1+7,IF(I760&lt;=250,I760*1.1+11,I760*1.1+19))),
IF(L760="NORMAL",
   IF(I760&lt;=30,I760*1.15+2,IF(I760&lt;=80,I760*1.15+4,IF(I760&lt;=150,I760*1.15+6,I760*1.15+8))),
IF(L760="COMPLEMENTO",
   IF(I760&lt;=25,I760*1.25+1.5,IF(I760&lt;=60,I760*1.25+3,IF(I760&lt;=120,I760*1.25+4,I760*1.25+5))),
""))),2)</f>
        <v>209.1</v>
      </c>
      <c r="I760" s="9">
        <f>($K$2+0.02)*Tabla1[[#This Row],[PRECIO $]]*1.18</f>
        <v>174.86655999999999</v>
      </c>
      <c r="J760" s="7">
        <f>+Tabla1[[#This Row],[PRECIO EN SOLES]]-Tabla1[[#This Row],[PC]]</f>
        <v>34.233440000000002</v>
      </c>
      <c r="K760" s="15"/>
      <c r="L760" s="15" t="str">
        <f t="shared" si="11"/>
        <v>NORMAL</v>
      </c>
    </row>
    <row r="761" spans="1:12" x14ac:dyDescent="0.25">
      <c r="A761" s="3" t="s">
        <v>2686</v>
      </c>
      <c r="B761" s="3" t="s">
        <v>2687</v>
      </c>
      <c r="C761" s="1">
        <v>20</v>
      </c>
      <c r="D761" s="1">
        <v>5.51</v>
      </c>
      <c r="E761" s="1" t="s">
        <v>193</v>
      </c>
      <c r="F761" s="1" t="s">
        <v>3221</v>
      </c>
      <c r="G761" s="3" t="s">
        <v>2688</v>
      </c>
      <c r="H761" s="11">
        <f>ROUND(
IF(L761="GANCHO",
   IF(I761&lt;=50,I761*1.1+4,IF(I761&lt;=120,I761*1.1+7,IF(I761&lt;=250,I761*1.1+11,I761*1.1+19))),
IF(L761="NORMAL",
   IF(I761&lt;=30,I761*1.15+2,IF(I761&lt;=80,I761*1.15+4,IF(I761&lt;=150,I761*1.15+6,I761*1.15+8))),
IF(L761="COMPLEMENTO",
   IF(I761&lt;=25,I761*1.25+1.5,IF(I761&lt;=60,I761*1.25+3,IF(I761&lt;=120,I761*1.25+4,I761*1.25+5))),
""))),2)</f>
        <v>28.32</v>
      </c>
      <c r="I761" s="9">
        <f>($K$2+0.02)*Tabla1[[#This Row],[PRECIO $]]*1.18</f>
        <v>22.886335999999996</v>
      </c>
      <c r="J761" s="7">
        <f>+Tabla1[[#This Row],[PRECIO EN SOLES]]-Tabla1[[#This Row],[PC]]</f>
        <v>5.4336640000000038</v>
      </c>
      <c r="K761" s="15"/>
      <c r="L761" s="15" t="str">
        <f t="shared" si="11"/>
        <v>NORMAL</v>
      </c>
    </row>
    <row r="762" spans="1:12" x14ac:dyDescent="0.25">
      <c r="A762" s="3" t="s">
        <v>1348</v>
      </c>
      <c r="B762" s="3" t="s">
        <v>1349</v>
      </c>
      <c r="C762" s="1">
        <v>20</v>
      </c>
      <c r="D762" s="1">
        <v>10.55</v>
      </c>
      <c r="E762" s="1" t="s">
        <v>196</v>
      </c>
      <c r="F762" s="1" t="s">
        <v>3222</v>
      </c>
      <c r="G762" s="3" t="s">
        <v>1350</v>
      </c>
      <c r="H762" s="11">
        <f>ROUND(
IF(L762="GANCHO",
   IF(I762&lt;=50,I762*1.1+4,IF(I762&lt;=120,I762*1.1+7,IF(I762&lt;=250,I762*1.1+11,I762*1.1+19))),
IF(L762="NORMAL",
   IF(I762&lt;=30,I762*1.15+2,IF(I762&lt;=80,I762*1.15+4,IF(I762&lt;=150,I762*1.15+6,I762*1.15+8))),
IF(L762="COMPLEMENTO",
   IF(I762&lt;=25,I762*1.25+1.5,IF(I762&lt;=60,I762*1.25+3,IF(I762&lt;=120,I762*1.25+4,I762*1.25+5))),
""))),2)</f>
        <v>54.39</v>
      </c>
      <c r="I762" s="9">
        <f>($K$2+0.02)*Tabla1[[#This Row],[PRECIO $]]*1.18</f>
        <v>43.820480000000003</v>
      </c>
      <c r="J762" s="7">
        <f>+Tabla1[[#This Row],[PRECIO EN SOLES]]-Tabla1[[#This Row],[PC]]</f>
        <v>10.569519999999997</v>
      </c>
      <c r="K762" s="15"/>
      <c r="L762" s="15" t="str">
        <f t="shared" si="11"/>
        <v>NORMAL</v>
      </c>
    </row>
    <row r="763" spans="1:12" x14ac:dyDescent="0.25">
      <c r="A763" s="3" t="s">
        <v>609</v>
      </c>
      <c r="B763" s="3" t="s">
        <v>610</v>
      </c>
      <c r="C763" s="1">
        <v>20</v>
      </c>
      <c r="D763" s="1">
        <v>10.85</v>
      </c>
      <c r="E763" s="1" t="s">
        <v>442</v>
      </c>
      <c r="F763" s="1" t="s">
        <v>3223</v>
      </c>
      <c r="G763" s="3" t="s">
        <v>611</v>
      </c>
      <c r="H763" s="11">
        <f>ROUND(
IF(L763="GANCHO",
   IF(I763&lt;=50,I763*1.1+4,IF(I763&lt;=120,I763*1.1+7,IF(I763&lt;=250,I763*1.1+11,I763*1.1+19))),
IF(L763="NORMAL",
   IF(I763&lt;=30,I763*1.15+2,IF(I763&lt;=80,I763*1.15+4,IF(I763&lt;=150,I763*1.15+6,I763*1.15+8))),
IF(L763="COMPLEMENTO",
   IF(I763&lt;=25,I763*1.25+1.5,IF(I763&lt;=60,I763*1.25+3,IF(I763&lt;=120,I763*1.25+4,I763*1.25+5))),
""))),2)</f>
        <v>55.83</v>
      </c>
      <c r="I763" s="9">
        <f>($K$2+0.02)*Tabla1[[#This Row],[PRECIO $]]*1.18</f>
        <v>45.066559999999996</v>
      </c>
      <c r="J763" s="7">
        <f>+Tabla1[[#This Row],[PRECIO EN SOLES]]-Tabla1[[#This Row],[PC]]</f>
        <v>10.763440000000003</v>
      </c>
      <c r="K763" s="15"/>
      <c r="L763" s="15" t="str">
        <f t="shared" si="11"/>
        <v>NORMAL</v>
      </c>
    </row>
    <row r="764" spans="1:12" x14ac:dyDescent="0.25">
      <c r="A764" s="3" t="s">
        <v>3996</v>
      </c>
      <c r="B764" s="3" t="s">
        <v>3997</v>
      </c>
      <c r="C764" s="1">
        <v>0</v>
      </c>
      <c r="D764" s="1">
        <v>19.2</v>
      </c>
      <c r="E764" s="1" t="s">
        <v>442</v>
      </c>
      <c r="F764" s="1" t="s">
        <v>3998</v>
      </c>
      <c r="G764" s="3" t="s">
        <v>3999</v>
      </c>
      <c r="H764" s="11">
        <f>ROUND(
IF(L764="GANCHO",
   IF(I764&lt;=50,I764*1.1+4,IF(I764&lt;=120,I764*1.1+7,IF(I764&lt;=250,I764*1.1+11,I764*1.1+19))),
IF(L764="NORMAL",
   IF(I764&lt;=30,I764*1.15+2,IF(I764&lt;=80,I764*1.15+4,IF(I764&lt;=150,I764*1.15+6,I764*1.15+8))),
IF(L764="COMPLEMENTO",
   IF(I764&lt;=25,I764*1.25+1.5,IF(I764&lt;=60,I764*1.25+3,IF(I764&lt;=120,I764*1.25+4,I764*1.25+5))),
""))),2)</f>
        <v>95.71</v>
      </c>
      <c r="I764" s="9">
        <f>($K$2+0.02)*Tabla1[[#This Row],[PRECIO $]]*1.18</f>
        <v>79.749120000000005</v>
      </c>
      <c r="J764" s="7">
        <f>+Tabla1[[#This Row],[PRECIO EN SOLES]]-Tabla1[[#This Row],[PC]]</f>
        <v>15.960879999999989</v>
      </c>
      <c r="K764" s="15"/>
      <c r="L764" s="15" t="str">
        <f t="shared" si="11"/>
        <v>NORMAL</v>
      </c>
    </row>
    <row r="765" spans="1:12" x14ac:dyDescent="0.25">
      <c r="A765" s="3" t="s">
        <v>1352</v>
      </c>
      <c r="B765" s="3" t="s">
        <v>1353</v>
      </c>
      <c r="C765" s="1">
        <v>20</v>
      </c>
      <c r="D765" s="1">
        <v>18.600000000000001</v>
      </c>
      <c r="E765" s="1" t="s">
        <v>1354</v>
      </c>
      <c r="F765" s="1" t="s">
        <v>3224</v>
      </c>
      <c r="G765" s="3"/>
      <c r="H765" s="11">
        <f>ROUND(
IF(L765="GANCHO",
   IF(I765&lt;=50,I765*1.1+4,IF(I765&lt;=120,I765*1.1+7,IF(I765&lt;=250,I765*1.1+11,I765*1.1+19))),
IF(L765="NORMAL",
   IF(I765&lt;=30,I765*1.15+2,IF(I765&lt;=80,I765*1.15+4,IF(I765&lt;=150,I765*1.15+6,I765*1.15+8))),
IF(L765="COMPLEMENTO",
   IF(I765&lt;=25,I765*1.25+1.5,IF(I765&lt;=60,I765*1.25+3,IF(I765&lt;=120,I765*1.25+4,I765*1.25+5))),
""))),2)</f>
        <v>92.85</v>
      </c>
      <c r="I765" s="9">
        <f>($K$2+0.02)*Tabla1[[#This Row],[PRECIO $]]*1.18</f>
        <v>77.256960000000007</v>
      </c>
      <c r="J765" s="7">
        <f>+Tabla1[[#This Row],[PRECIO EN SOLES]]-Tabla1[[#This Row],[PC]]</f>
        <v>15.593039999999988</v>
      </c>
      <c r="K765" s="15"/>
      <c r="L765" s="15" t="str">
        <f t="shared" si="11"/>
        <v>NORMAL</v>
      </c>
    </row>
    <row r="766" spans="1:12" x14ac:dyDescent="0.25">
      <c r="A766" s="3" t="s">
        <v>1355</v>
      </c>
      <c r="B766" s="3" t="s">
        <v>1356</v>
      </c>
      <c r="C766" s="1">
        <v>20</v>
      </c>
      <c r="D766" s="1">
        <v>80.930000000000007</v>
      </c>
      <c r="E766" s="1" t="s">
        <v>196</v>
      </c>
      <c r="F766" s="1" t="s">
        <v>3225</v>
      </c>
      <c r="G766" s="3" t="s">
        <v>4759</v>
      </c>
      <c r="H766" s="11">
        <f>ROUND(
IF(L766="GANCHO",
   IF(I766&lt;=50,I766*1.1+4,IF(I766&lt;=120,I766*1.1+7,IF(I766&lt;=250,I766*1.1+11,I766*1.1+19))),
IF(L766="NORMAL",
   IF(I766&lt;=30,I766*1.15+2,IF(I766&lt;=80,I766*1.15+4,IF(I766&lt;=150,I766*1.15+6,I766*1.15+8))),
IF(L766="COMPLEMENTO",
   IF(I766&lt;=25,I766*1.25+1.5,IF(I766&lt;=60,I766*1.25+3,IF(I766&lt;=120,I766*1.25+4,I766*1.25+5))),
""))),2)</f>
        <v>394.57</v>
      </c>
      <c r="I766" s="9">
        <f>($K$2+0.02)*Tabla1[[#This Row],[PRECIO $]]*1.18</f>
        <v>336.150848</v>
      </c>
      <c r="J766" s="7">
        <f>+Tabla1[[#This Row],[PRECIO EN SOLES]]-Tabla1[[#This Row],[PC]]</f>
        <v>58.419151999999997</v>
      </c>
      <c r="K766" s="15"/>
      <c r="L766" s="15" t="str">
        <f t="shared" si="11"/>
        <v>NORMAL</v>
      </c>
    </row>
    <row r="767" spans="1:12" x14ac:dyDescent="0.25">
      <c r="A767" s="3" t="s">
        <v>612</v>
      </c>
      <c r="B767" s="3" t="s">
        <v>613</v>
      </c>
      <c r="C767" s="1">
        <v>20</v>
      </c>
      <c r="D767" s="1">
        <v>41.2</v>
      </c>
      <c r="E767" s="1" t="s">
        <v>196</v>
      </c>
      <c r="F767" s="1" t="s">
        <v>3226</v>
      </c>
      <c r="G767" s="3" t="s">
        <v>693</v>
      </c>
      <c r="H767" s="11">
        <f>ROUND(
IF(L767="GANCHO",
   IF(I767&lt;=50,I767*1.1+4,IF(I767&lt;=120,I767*1.1+7,IF(I767&lt;=250,I767*1.1+11,I767*1.1+19))),
IF(L767="NORMAL",
   IF(I767&lt;=30,I767*1.15+2,IF(I767&lt;=80,I767*1.15+4,IF(I767&lt;=150,I767*1.15+6,I767*1.15+8))),
IF(L767="COMPLEMENTO",
   IF(I767&lt;=25,I767*1.25+1.5,IF(I767&lt;=60,I767*1.25+3,IF(I767&lt;=120,I767*1.25+4,I767*1.25+5))),
""))),2)</f>
        <v>204.8</v>
      </c>
      <c r="I767" s="9">
        <f>($K$2+0.02)*Tabla1[[#This Row],[PRECIO $]]*1.18</f>
        <v>171.12832</v>
      </c>
      <c r="J767" s="7">
        <f>+Tabla1[[#This Row],[PRECIO EN SOLES]]-Tabla1[[#This Row],[PC]]</f>
        <v>33.671680000000009</v>
      </c>
      <c r="K767" s="15"/>
      <c r="L767" s="15" t="str">
        <f t="shared" si="11"/>
        <v>NORMAL</v>
      </c>
    </row>
    <row r="768" spans="1:12" x14ac:dyDescent="0.25">
      <c r="A768" s="3" t="s">
        <v>1357</v>
      </c>
      <c r="B768" s="3" t="s">
        <v>1358</v>
      </c>
      <c r="C768" s="1">
        <v>20</v>
      </c>
      <c r="D768" s="1">
        <v>18.600000000000001</v>
      </c>
      <c r="E768" s="1" t="s">
        <v>1354</v>
      </c>
      <c r="F768" s="1" t="s">
        <v>3227</v>
      </c>
      <c r="G768" s="3"/>
      <c r="H768" s="11">
        <f>ROUND(
IF(L768="GANCHO",
   IF(I768&lt;=50,I768*1.1+4,IF(I768&lt;=120,I768*1.1+7,IF(I768&lt;=250,I768*1.1+11,I768*1.1+19))),
IF(L768="NORMAL",
   IF(I768&lt;=30,I768*1.15+2,IF(I768&lt;=80,I768*1.15+4,IF(I768&lt;=150,I768*1.15+6,I768*1.15+8))),
IF(L768="COMPLEMENTO",
   IF(I768&lt;=25,I768*1.25+1.5,IF(I768&lt;=60,I768*1.25+3,IF(I768&lt;=120,I768*1.25+4,I768*1.25+5))),
""))),2)</f>
        <v>92.85</v>
      </c>
      <c r="I768" s="9">
        <f>($K$2+0.02)*Tabla1[[#This Row],[PRECIO $]]*1.18</f>
        <v>77.256960000000007</v>
      </c>
      <c r="J768" s="7">
        <f>+Tabla1[[#This Row],[PRECIO EN SOLES]]-Tabla1[[#This Row],[PC]]</f>
        <v>15.593039999999988</v>
      </c>
      <c r="K768" s="15"/>
      <c r="L768" s="15" t="str">
        <f t="shared" si="11"/>
        <v>NORMAL</v>
      </c>
    </row>
    <row r="769" spans="1:12" x14ac:dyDescent="0.25">
      <c r="A769" s="3" t="s">
        <v>574</v>
      </c>
      <c r="B769" s="3" t="s">
        <v>575</v>
      </c>
      <c r="C769" s="1">
        <v>20</v>
      </c>
      <c r="D769" s="1">
        <v>107.6</v>
      </c>
      <c r="E769" s="1" t="s">
        <v>442</v>
      </c>
      <c r="F769" s="1" t="s">
        <v>3228</v>
      </c>
      <c r="G769" s="3" t="s">
        <v>576</v>
      </c>
      <c r="H769" s="11">
        <f>ROUND(
IF(L769="GANCHO",
   IF(I769&lt;=50,I769*1.1+4,IF(I769&lt;=120,I769*1.1+7,IF(I769&lt;=250,I769*1.1+11,I769*1.1+19))),
IF(L769="NORMAL",
   IF(I769&lt;=30,I769*1.15+2,IF(I769&lt;=80,I769*1.15+4,IF(I769&lt;=150,I769*1.15+6,I769*1.15+8))),
IF(L769="COMPLEMENTO",
   IF(I769&lt;=25,I769*1.25+1.5,IF(I769&lt;=60,I769*1.25+3,IF(I769&lt;=120,I769*1.25+4,I769*1.25+5))),
""))),2)</f>
        <v>521.97</v>
      </c>
      <c r="I769" s="9">
        <f>($K$2+0.02)*Tabla1[[#This Row],[PRECIO $]]*1.18</f>
        <v>446.92735999999996</v>
      </c>
      <c r="J769" s="7">
        <f>+Tabla1[[#This Row],[PRECIO EN SOLES]]-Tabla1[[#This Row],[PC]]</f>
        <v>75.042640000000063</v>
      </c>
      <c r="K769" s="15"/>
      <c r="L769" s="15" t="str">
        <f t="shared" si="11"/>
        <v>NORMAL</v>
      </c>
    </row>
    <row r="770" spans="1:12" x14ac:dyDescent="0.25">
      <c r="A770" s="3" t="s">
        <v>1359</v>
      </c>
      <c r="B770" s="3" t="s">
        <v>1360</v>
      </c>
      <c r="C770" s="1">
        <v>20</v>
      </c>
      <c r="D770" s="1">
        <v>95.5</v>
      </c>
      <c r="E770" s="1" t="s">
        <v>196</v>
      </c>
      <c r="F770" s="1" t="s">
        <v>3229</v>
      </c>
      <c r="G770" s="3" t="s">
        <v>1361</v>
      </c>
      <c r="H770" s="11">
        <f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464.17</v>
      </c>
      <c r="I770" s="9">
        <f>($K$2+0.02)*Tabla1[[#This Row],[PRECIO $]]*1.18</f>
        <v>396.66880000000003</v>
      </c>
      <c r="J770" s="7">
        <f>+Tabla1[[#This Row],[PRECIO EN SOLES]]-Tabla1[[#This Row],[PC]]</f>
        <v>67.501199999999983</v>
      </c>
      <c r="K770" s="15"/>
      <c r="L770" s="15" t="str">
        <f t="shared" si="11"/>
        <v>NORMAL</v>
      </c>
    </row>
    <row r="771" spans="1:12" x14ac:dyDescent="0.25">
      <c r="A771" s="3" t="s">
        <v>4456</v>
      </c>
      <c r="B771" s="3" t="s">
        <v>4457</v>
      </c>
      <c r="C771" s="1">
        <v>20</v>
      </c>
      <c r="D771" s="1">
        <v>142.5</v>
      </c>
      <c r="E771" s="1" t="s">
        <v>193</v>
      </c>
      <c r="F771" s="1" t="s">
        <v>4458</v>
      </c>
      <c r="G771" s="3" t="s">
        <v>4609</v>
      </c>
      <c r="H771" s="11">
        <f>ROUND(
IF(L771="GANCHO",
   IF(I771&lt;=50,I771*1.1+4,IF(I771&lt;=120,I771*1.1+7,IF(I771&lt;=250,I771*1.1+11,I771*1.1+19))),
IF(L771="NORMAL",
   IF(I771&lt;=30,I771*1.15+2,IF(I771&lt;=80,I771*1.15+4,IF(I771&lt;=150,I771*1.15+6,I771*1.15+8))),
IF(L771="COMPLEMENTO",
   IF(I771&lt;=25,I771*1.25+1.5,IF(I771&lt;=60,I771*1.25+3,IF(I771&lt;=120,I771*1.25+4,I771*1.25+5))),
""))),2)</f>
        <v>688.67</v>
      </c>
      <c r="I771" s="9">
        <f>($K$2+0.02)*Tabla1[[#This Row],[PRECIO $]]*1.18</f>
        <v>591.88800000000003</v>
      </c>
      <c r="J771" s="7">
        <f>+Tabla1[[#This Row],[PRECIO EN SOLES]]-Tabla1[[#This Row],[PC]]</f>
        <v>96.781999999999925</v>
      </c>
      <c r="K771" s="15"/>
      <c r="L771" s="15" t="str">
        <f t="shared" ref="L771:L834" si="12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614</v>
      </c>
      <c r="B772" s="3" t="s">
        <v>615</v>
      </c>
      <c r="C772" s="1">
        <v>20</v>
      </c>
      <c r="D772" s="1">
        <v>46.5</v>
      </c>
      <c r="E772" s="1" t="s">
        <v>196</v>
      </c>
      <c r="F772" s="1" t="s">
        <v>3230</v>
      </c>
      <c r="G772" s="3" t="s">
        <v>694</v>
      </c>
      <c r="H772" s="11">
        <f>ROUND(
IF(L772="GANCHO",
   IF(I772&lt;=50,I772*1.1+4,IF(I772&lt;=120,I772*1.1+7,IF(I772&lt;=250,I772*1.1+11,I772*1.1+19))),
IF(L772="NORMAL",
   IF(I772&lt;=30,I772*1.15+2,IF(I772&lt;=80,I772*1.15+4,IF(I772&lt;=150,I772*1.15+6,I772*1.15+8))),
IF(L772="COMPLEMENTO",
   IF(I772&lt;=25,I772*1.25+1.5,IF(I772&lt;=60,I772*1.25+3,IF(I772&lt;=120,I772*1.25+4,I772*1.25+5))),
""))),2)</f>
        <v>230.11</v>
      </c>
      <c r="I772" s="9">
        <f>($K$2+0.02)*Tabla1[[#This Row],[PRECIO $]]*1.18</f>
        <v>193.14240000000001</v>
      </c>
      <c r="J772" s="7">
        <f>+Tabla1[[#This Row],[PRECIO EN SOLES]]-Tabla1[[#This Row],[PC]]</f>
        <v>36.967600000000004</v>
      </c>
      <c r="K772" s="15"/>
      <c r="L772" s="15" t="str">
        <f t="shared" si="12"/>
        <v>NORMAL</v>
      </c>
    </row>
    <row r="773" spans="1:12" x14ac:dyDescent="0.25">
      <c r="A773" s="3" t="s">
        <v>6580</v>
      </c>
      <c r="B773" s="3" t="s">
        <v>6581</v>
      </c>
      <c r="C773" s="1">
        <v>13</v>
      </c>
      <c r="D773" s="1">
        <v>76.63</v>
      </c>
      <c r="E773" s="1" t="s">
        <v>193</v>
      </c>
      <c r="F773" s="1" t="s">
        <v>6582</v>
      </c>
      <c r="G773" s="3" t="s">
        <v>6583</v>
      </c>
      <c r="H773" s="11">
        <f>ROUND(
IF(L773="GANCHO",
   IF(I773&lt;=50,I773*1.1+4,IF(I773&lt;=120,I773*1.1+7,IF(I773&lt;=250,I773*1.1+11,I773*1.1+19))),
IF(L773="NORMAL",
   IF(I773&lt;=30,I773*1.15+2,IF(I773&lt;=80,I773*1.15+4,IF(I773&lt;=150,I773*1.15+6,I773*1.15+8))),
IF(L773="COMPLEMENTO",
   IF(I773&lt;=25,I773*1.25+1.5,IF(I773&lt;=60,I773*1.25+3,IF(I773&lt;=120,I773*1.25+4,I773*1.25+5))),
""))),2)</f>
        <v>374.03</v>
      </c>
      <c r="I773" s="9">
        <f>($K$2+0.02)*Tabla1[[#This Row],[PRECIO $]]*1.18</f>
        <v>318.29036799999994</v>
      </c>
      <c r="J773" s="7">
        <f>+Tabla1[[#This Row],[PRECIO EN SOLES]]-Tabla1[[#This Row],[PC]]</f>
        <v>55.739632000000029</v>
      </c>
      <c r="K773" s="15"/>
      <c r="L773" s="15" t="str">
        <f t="shared" si="12"/>
        <v>NORMAL</v>
      </c>
    </row>
    <row r="774" spans="1:12" x14ac:dyDescent="0.25">
      <c r="A774" s="3" t="s">
        <v>6584</v>
      </c>
      <c r="B774" s="3" t="s">
        <v>6585</v>
      </c>
      <c r="C774" s="1">
        <v>20</v>
      </c>
      <c r="D774" s="1">
        <v>76.63</v>
      </c>
      <c r="E774" s="1" t="s">
        <v>193</v>
      </c>
      <c r="F774" s="1" t="s">
        <v>6586</v>
      </c>
      <c r="G774" s="3" t="s">
        <v>6587</v>
      </c>
      <c r="H774" s="11">
        <f>ROUND(
IF(L774="GANCHO",
   IF(I774&lt;=50,I774*1.1+4,IF(I774&lt;=120,I774*1.1+7,IF(I774&lt;=250,I774*1.1+11,I774*1.1+19))),
IF(L774="NORMAL",
   IF(I774&lt;=30,I774*1.15+2,IF(I774&lt;=80,I774*1.15+4,IF(I774&lt;=150,I774*1.15+6,I774*1.15+8))),
IF(L774="COMPLEMENTO",
   IF(I774&lt;=25,I774*1.25+1.5,IF(I774&lt;=60,I774*1.25+3,IF(I774&lt;=120,I774*1.25+4,I774*1.25+5))),
""))),2)</f>
        <v>374.03</v>
      </c>
      <c r="I774" s="9">
        <f>($K$2+0.02)*Tabla1[[#This Row],[PRECIO $]]*1.18</f>
        <v>318.29036799999994</v>
      </c>
      <c r="J774" s="7">
        <f>+Tabla1[[#This Row],[PRECIO EN SOLES]]-Tabla1[[#This Row],[PC]]</f>
        <v>55.739632000000029</v>
      </c>
      <c r="K774" s="15"/>
      <c r="L774" s="15" t="str">
        <f t="shared" si="12"/>
        <v>NORMAL</v>
      </c>
    </row>
    <row r="775" spans="1:12" x14ac:dyDescent="0.25">
      <c r="A775" s="3" t="s">
        <v>4610</v>
      </c>
      <c r="B775" s="3" t="s">
        <v>4611</v>
      </c>
      <c r="C775" s="1">
        <v>20</v>
      </c>
      <c r="D775" s="1">
        <v>62.25</v>
      </c>
      <c r="E775" s="1" t="s">
        <v>442</v>
      </c>
      <c r="F775" s="1" t="s">
        <v>4612</v>
      </c>
      <c r="G775" s="3" t="s">
        <v>4613</v>
      </c>
      <c r="H775" s="11">
        <f>ROUND(
IF(L775="GANCHO",
   IF(I775&lt;=50,I775*1.1+4,IF(I775&lt;=120,I775*1.1+7,IF(I775&lt;=250,I775*1.1+11,I775*1.1+19))),
IF(L775="NORMAL",
   IF(I775&lt;=30,I775*1.15+2,IF(I775&lt;=80,I775*1.15+4,IF(I775&lt;=150,I775*1.15+6,I775*1.15+8))),
IF(L775="COMPLEMENTO",
   IF(I775&lt;=25,I775*1.25+1.5,IF(I775&lt;=60,I775*1.25+3,IF(I775&lt;=120,I775*1.25+4,I775*1.25+5))),
""))),2)</f>
        <v>305.35000000000002</v>
      </c>
      <c r="I775" s="9">
        <f>($K$2+0.02)*Tabla1[[#This Row],[PRECIO $]]*1.18</f>
        <v>258.5616</v>
      </c>
      <c r="J775" s="7">
        <f>+Tabla1[[#This Row],[PRECIO EN SOLES]]-Tabla1[[#This Row],[PC]]</f>
        <v>46.788400000000024</v>
      </c>
      <c r="K775" s="15"/>
      <c r="L775" s="15" t="str">
        <f t="shared" si="12"/>
        <v>NORMAL</v>
      </c>
    </row>
    <row r="776" spans="1:12" x14ac:dyDescent="0.25">
      <c r="A776" s="3" t="s">
        <v>1362</v>
      </c>
      <c r="B776" s="3" t="s">
        <v>1363</v>
      </c>
      <c r="C776" s="1">
        <v>1</v>
      </c>
      <c r="D776" s="1">
        <v>181</v>
      </c>
      <c r="E776" s="1" t="s">
        <v>193</v>
      </c>
      <c r="F776" s="1" t="s">
        <v>3231</v>
      </c>
      <c r="G776" s="3" t="s">
        <v>1364</v>
      </c>
      <c r="H776" s="11">
        <f>ROUND(
IF(L776="GANCHO",
   IF(I776&lt;=50,I776*1.1+4,IF(I776&lt;=120,I776*1.1+7,IF(I776&lt;=250,I776*1.1+11,I776*1.1+19))),
IF(L776="NORMAL",
   IF(I776&lt;=30,I776*1.15+2,IF(I776&lt;=80,I776*1.15+4,IF(I776&lt;=150,I776*1.15+6,I776*1.15+8))),
IF(L776="COMPLEMENTO",
   IF(I776&lt;=25,I776*1.25+1.5,IF(I776&lt;=60,I776*1.25+3,IF(I776&lt;=120,I776*1.25+4,I776*1.25+5))),
""))),2)</f>
        <v>872.57</v>
      </c>
      <c r="I776" s="9">
        <f>($K$2+0.02)*Tabla1[[#This Row],[PRECIO $]]*1.18</f>
        <v>751.80160000000001</v>
      </c>
      <c r="J776" s="7">
        <f>+Tabla1[[#This Row],[PRECIO EN SOLES]]-Tabla1[[#This Row],[PC]]</f>
        <v>120.76840000000004</v>
      </c>
      <c r="K776" s="15"/>
      <c r="L776" s="15" t="str">
        <f t="shared" si="12"/>
        <v>NORMAL</v>
      </c>
    </row>
    <row r="777" spans="1:12" x14ac:dyDescent="0.25">
      <c r="A777" s="3" t="s">
        <v>6588</v>
      </c>
      <c r="B777" s="3" t="s">
        <v>6589</v>
      </c>
      <c r="C777" s="1">
        <v>0</v>
      </c>
      <c r="D777" s="1">
        <v>200.56</v>
      </c>
      <c r="E777" s="1" t="s">
        <v>193</v>
      </c>
      <c r="F777" s="1" t="s">
        <v>6590</v>
      </c>
      <c r="G777" s="3" t="s">
        <v>6591</v>
      </c>
      <c r="H777" s="11">
        <f>ROUND(
IF(L777="GANCHO",
   IF(I777&lt;=50,I777*1.1+4,IF(I777&lt;=120,I777*1.1+7,IF(I777&lt;=250,I777*1.1+11,I777*1.1+19))),
IF(L777="NORMAL",
   IF(I777&lt;=30,I777*1.15+2,IF(I777&lt;=80,I777*1.15+4,IF(I777&lt;=150,I777*1.15+6,I777*1.15+8))),
IF(L777="COMPLEMENTO",
   IF(I777&lt;=25,I777*1.25+1.5,IF(I777&lt;=60,I777*1.25+3,IF(I777&lt;=120,I777*1.25+4,I777*1.25+5))),
""))),2)</f>
        <v>966</v>
      </c>
      <c r="I777" s="9">
        <f>($K$2+0.02)*Tabla1[[#This Row],[PRECIO $]]*1.18</f>
        <v>833.04601600000001</v>
      </c>
      <c r="J777" s="7">
        <f>+Tabla1[[#This Row],[PRECIO EN SOLES]]-Tabla1[[#This Row],[PC]]</f>
        <v>132.95398399999999</v>
      </c>
      <c r="K777" s="15"/>
      <c r="L777" s="15" t="str">
        <f t="shared" si="12"/>
        <v>NORMAL</v>
      </c>
    </row>
    <row r="778" spans="1:12" x14ac:dyDescent="0.25">
      <c r="A778" s="3" t="s">
        <v>1365</v>
      </c>
      <c r="B778" s="3" t="s">
        <v>1366</v>
      </c>
      <c r="C778" s="1">
        <v>0</v>
      </c>
      <c r="D778" s="1">
        <v>113.3</v>
      </c>
      <c r="E778" s="1" t="s">
        <v>193</v>
      </c>
      <c r="F778" s="1" t="s">
        <v>3232</v>
      </c>
      <c r="G778" s="3" t="s">
        <v>1367</v>
      </c>
      <c r="H778" s="11">
        <f>ROUND(
IF(L778="GANCHO",
   IF(I778&lt;=50,I778*1.1+4,IF(I778&lt;=120,I778*1.1+7,IF(I778&lt;=250,I778*1.1+11,I778*1.1+19))),
IF(L778="NORMAL",
   IF(I778&lt;=30,I778*1.15+2,IF(I778&lt;=80,I778*1.15+4,IF(I778&lt;=150,I778*1.15+6,I778*1.15+8))),
IF(L778="COMPLEMENTO",
   IF(I778&lt;=25,I778*1.25+1.5,IF(I778&lt;=60,I778*1.25+3,IF(I778&lt;=120,I778*1.25+4,I778*1.25+5))),
""))),2)</f>
        <v>549.19000000000005</v>
      </c>
      <c r="I778" s="9">
        <f>($K$2+0.02)*Tabla1[[#This Row],[PRECIO $]]*1.18</f>
        <v>470.60287999999997</v>
      </c>
      <c r="J778" s="7">
        <f>+Tabla1[[#This Row],[PRECIO EN SOLES]]-Tabla1[[#This Row],[PC]]</f>
        <v>78.587120000000084</v>
      </c>
      <c r="K778" s="15"/>
      <c r="L778" s="15" t="str">
        <f t="shared" si="12"/>
        <v>NORMAL</v>
      </c>
    </row>
    <row r="779" spans="1:12" x14ac:dyDescent="0.25">
      <c r="A779" s="3" t="s">
        <v>5481</v>
      </c>
      <c r="B779" s="3" t="s">
        <v>5482</v>
      </c>
      <c r="C779" s="1">
        <v>20</v>
      </c>
      <c r="D779" s="1">
        <v>203</v>
      </c>
      <c r="E779" s="1" t="s">
        <v>193</v>
      </c>
      <c r="F779" s="1" t="s">
        <v>5483</v>
      </c>
      <c r="G779" s="3" t="s">
        <v>5484</v>
      </c>
      <c r="H779" s="11">
        <f>ROUND(
IF(L779="GANCHO",
   IF(I779&lt;=50,I779*1.1+4,IF(I779&lt;=120,I779*1.1+7,IF(I779&lt;=250,I779*1.1+11,I779*1.1+19))),
IF(L779="NORMAL",
   IF(I779&lt;=30,I779*1.15+2,IF(I779&lt;=80,I779*1.15+4,IF(I779&lt;=150,I779*1.15+6,I779*1.15+8))),
IF(L779="COMPLEMENTO",
   IF(I779&lt;=25,I779*1.25+1.5,IF(I779&lt;=60,I779*1.25+3,IF(I779&lt;=120,I779*1.25+4,I779*1.25+5))),
""))),2)</f>
        <v>977.66</v>
      </c>
      <c r="I779" s="9">
        <f>($K$2+0.02)*Tabla1[[#This Row],[PRECIO $]]*1.18</f>
        <v>843.18079999999998</v>
      </c>
      <c r="J779" s="7">
        <f>+Tabla1[[#This Row],[PRECIO EN SOLES]]-Tabla1[[#This Row],[PC]]</f>
        <v>134.47919999999999</v>
      </c>
      <c r="K779" s="15"/>
      <c r="L779" s="15" t="str">
        <f t="shared" si="12"/>
        <v>NORMAL</v>
      </c>
    </row>
    <row r="780" spans="1:12" x14ac:dyDescent="0.25">
      <c r="A780" s="3" t="s">
        <v>6821</v>
      </c>
      <c r="B780" s="3" t="s">
        <v>6822</v>
      </c>
      <c r="C780" s="1">
        <v>20</v>
      </c>
      <c r="D780" s="1">
        <v>402.51</v>
      </c>
      <c r="E780" s="1" t="s">
        <v>193</v>
      </c>
      <c r="F780" s="1" t="s">
        <v>6823</v>
      </c>
      <c r="G780" s="3"/>
      <c r="H780" s="11">
        <f>ROUND(
IF(L780="GANCHO",
   IF(I780&lt;=50,I780*1.1+4,IF(I780&lt;=120,I780*1.1+7,IF(I780&lt;=250,I780*1.1+11,I780*1.1+19))),
IF(L780="NORMAL",
   IF(I780&lt;=30,I780*1.15+2,IF(I780&lt;=80,I780*1.15+4,IF(I780&lt;=150,I780*1.15+6,I780*1.15+8))),
IF(L780="COMPLEMENTO",
   IF(I780&lt;=25,I780*1.25+1.5,IF(I780&lt;=60,I780*1.25+3,IF(I780&lt;=120,I780*1.25+4,I780*1.25+5))),
""))),2)</f>
        <v>1930.65</v>
      </c>
      <c r="I780" s="9">
        <f>($K$2+0.02)*Tabla1[[#This Row],[PRECIO $]]*1.18</f>
        <v>1671.8655359999998</v>
      </c>
      <c r="J780" s="7">
        <f>+Tabla1[[#This Row],[PRECIO EN SOLES]]-Tabla1[[#This Row],[PC]]</f>
        <v>258.7844640000003</v>
      </c>
      <c r="K780" s="15"/>
      <c r="L780" s="15" t="str">
        <f t="shared" si="12"/>
        <v>NORMAL</v>
      </c>
    </row>
    <row r="781" spans="1:12" x14ac:dyDescent="0.25">
      <c r="A781" s="3" t="s">
        <v>6824</v>
      </c>
      <c r="B781" s="3" t="s">
        <v>6825</v>
      </c>
      <c r="C781" s="1">
        <v>20</v>
      </c>
      <c r="D781" s="1">
        <v>114.7</v>
      </c>
      <c r="E781" s="1" t="s">
        <v>193</v>
      </c>
      <c r="F781" s="1" t="s">
        <v>6826</v>
      </c>
      <c r="G781" s="3"/>
      <c r="H781" s="11">
        <f>ROUND(
IF(L781="GANCHO",
   IF(I781&lt;=50,I781*1.1+4,IF(I781&lt;=120,I781*1.1+7,IF(I781&lt;=250,I781*1.1+11,I781*1.1+19))),
IF(L781="NORMAL",
   IF(I781&lt;=30,I781*1.15+2,IF(I781&lt;=80,I781*1.15+4,IF(I781&lt;=150,I781*1.15+6,I781*1.15+8))),
IF(L781="COMPLEMENTO",
   IF(I781&lt;=25,I781*1.25+1.5,IF(I781&lt;=60,I781*1.25+3,IF(I781&lt;=120,I781*1.25+4,I781*1.25+5))),
""))),2)</f>
        <v>555.88</v>
      </c>
      <c r="I781" s="9">
        <f>($K$2+0.02)*Tabla1[[#This Row],[PRECIO $]]*1.18</f>
        <v>476.41791999999998</v>
      </c>
      <c r="J781" s="7">
        <f>+Tabla1[[#This Row],[PRECIO EN SOLES]]-Tabla1[[#This Row],[PC]]</f>
        <v>79.462080000000014</v>
      </c>
      <c r="K781" s="15"/>
      <c r="L781" s="15" t="str">
        <f t="shared" si="12"/>
        <v>NORMAL</v>
      </c>
    </row>
    <row r="782" spans="1:12" x14ac:dyDescent="0.25">
      <c r="A782" s="3" t="s">
        <v>1368</v>
      </c>
      <c r="B782" s="3" t="s">
        <v>1369</v>
      </c>
      <c r="C782" s="1">
        <v>20</v>
      </c>
      <c r="D782" s="1">
        <v>100</v>
      </c>
      <c r="E782" s="1" t="s">
        <v>54</v>
      </c>
      <c r="F782" s="1" t="s">
        <v>3233</v>
      </c>
      <c r="G782" s="3"/>
      <c r="H782" s="11">
        <f>ROUND(
IF(L782="GANCHO",
   IF(I782&lt;=50,I782*1.1+4,IF(I782&lt;=120,I782*1.1+7,IF(I782&lt;=250,I782*1.1+11,I782*1.1+19))),
IF(L782="NORMAL",
   IF(I782&lt;=30,I782*1.15+2,IF(I782&lt;=80,I782*1.15+4,IF(I782&lt;=150,I782*1.15+6,I782*1.15+8))),
IF(L782="COMPLEMENTO",
   IF(I782&lt;=25,I782*1.25+1.5,IF(I782&lt;=60,I782*1.25+3,IF(I782&lt;=120,I782*1.25+4,I782*1.25+5))),
""))),2)</f>
        <v>485.66</v>
      </c>
      <c r="I782" s="9">
        <f>($K$2+0.02)*Tabla1[[#This Row],[PRECIO $]]*1.18</f>
        <v>415.35999999999996</v>
      </c>
      <c r="J782" s="7">
        <f>+Tabla1[[#This Row],[PRECIO EN SOLES]]-Tabla1[[#This Row],[PC]]</f>
        <v>70.300000000000068</v>
      </c>
      <c r="K782" s="15"/>
      <c r="L782" s="15" t="str">
        <f t="shared" si="12"/>
        <v>NORMAL</v>
      </c>
    </row>
    <row r="783" spans="1:12" x14ac:dyDescent="0.25">
      <c r="A783" s="3" t="s">
        <v>2770</v>
      </c>
      <c r="B783" s="3" t="s">
        <v>2771</v>
      </c>
      <c r="C783" s="1">
        <v>20</v>
      </c>
      <c r="D783" s="1">
        <v>10</v>
      </c>
      <c r="E783" s="1" t="s">
        <v>52</v>
      </c>
      <c r="F783" s="1" t="s">
        <v>3234</v>
      </c>
      <c r="G783" s="3"/>
      <c r="H783" s="11">
        <f>ROUND(
IF(L783="GANCHO",
   IF(I783&lt;=50,I783*1.1+4,IF(I783&lt;=120,I783*1.1+7,IF(I783&lt;=250,I783*1.1+11,I783*1.1+19))),
IF(L783="NORMAL",
   IF(I783&lt;=30,I783*1.15+2,IF(I783&lt;=80,I783*1.15+4,IF(I783&lt;=150,I783*1.15+6,I783*1.15+8))),
IF(L783="COMPLEMENTO",
   IF(I783&lt;=25,I783*1.25+1.5,IF(I783&lt;=60,I783*1.25+3,IF(I783&lt;=120,I783*1.25+4,I783*1.25+5))),
""))),2)</f>
        <v>51.77</v>
      </c>
      <c r="I783" s="9">
        <f>($K$2+0.02)*Tabla1[[#This Row],[PRECIO $]]*1.18</f>
        <v>41.536000000000001</v>
      </c>
      <c r="J783" s="7">
        <f>+Tabla1[[#This Row],[PRECIO EN SOLES]]-Tabla1[[#This Row],[PC]]</f>
        <v>10.234000000000002</v>
      </c>
      <c r="K783" s="15"/>
      <c r="L783" s="15" t="str">
        <f t="shared" si="12"/>
        <v>NORMAL</v>
      </c>
    </row>
    <row r="784" spans="1:12" x14ac:dyDescent="0.25">
      <c r="A784" s="3" t="s">
        <v>5734</v>
      </c>
      <c r="B784" s="3" t="s">
        <v>5735</v>
      </c>
      <c r="C784" s="1">
        <v>20</v>
      </c>
      <c r="D784" s="1">
        <v>7</v>
      </c>
      <c r="E784" s="1" t="s">
        <v>154</v>
      </c>
      <c r="F784" s="1" t="s">
        <v>5736</v>
      </c>
      <c r="G784" s="3"/>
      <c r="H784" s="11">
        <f>ROUND(
IF(L784="GANCHO",
   IF(I784&lt;=50,I784*1.1+4,IF(I784&lt;=120,I784*1.1+7,IF(I784&lt;=250,I784*1.1+11,I784*1.1+19))),
IF(L784="NORMAL",
   IF(I784&lt;=30,I784*1.15+2,IF(I784&lt;=80,I784*1.15+4,IF(I784&lt;=150,I784*1.15+6,I784*1.15+8))),
IF(L784="COMPLEMENTO",
   IF(I784&lt;=25,I784*1.25+1.5,IF(I784&lt;=60,I784*1.25+3,IF(I784&lt;=120,I784*1.25+4,I784*1.25+5))),
""))),2)</f>
        <v>35.44</v>
      </c>
      <c r="I784" s="9">
        <f>($K$2+0.02)*Tabla1[[#This Row],[PRECIO $]]*1.18</f>
        <v>29.075199999999999</v>
      </c>
      <c r="J784" s="7">
        <f>+Tabla1[[#This Row],[PRECIO EN SOLES]]-Tabla1[[#This Row],[PC]]</f>
        <v>6.3647999999999989</v>
      </c>
      <c r="K784" s="15"/>
      <c r="L784" s="15" t="str">
        <f t="shared" si="12"/>
        <v>NORMAL</v>
      </c>
    </row>
    <row r="785" spans="1:12" x14ac:dyDescent="0.25">
      <c r="A785" s="3" t="s">
        <v>1370</v>
      </c>
      <c r="B785" s="3" t="s">
        <v>1371</v>
      </c>
      <c r="C785" s="1">
        <v>1</v>
      </c>
      <c r="D785" s="1">
        <v>60</v>
      </c>
      <c r="E785" s="1" t="s">
        <v>55</v>
      </c>
      <c r="F785" s="1" t="s">
        <v>3235</v>
      </c>
      <c r="G785" s="3"/>
      <c r="H785" s="11">
        <f>ROUND(
IF(L785="GANCHO",
   IF(I785&lt;=50,I785*1.1+4,IF(I785&lt;=120,I785*1.1+7,IF(I785&lt;=250,I785*1.1+11,I785*1.1+19))),
IF(L785="NORMAL",
   IF(I785&lt;=30,I785*1.15+2,IF(I785&lt;=80,I785*1.15+4,IF(I785&lt;=150,I785*1.15+6,I785*1.15+8))),
IF(L785="COMPLEMENTO",
   IF(I785&lt;=25,I785*1.25+1.5,IF(I785&lt;=60,I785*1.25+3,IF(I785&lt;=120,I785*1.25+4,I785*1.25+5))),
""))),2)</f>
        <v>294.60000000000002</v>
      </c>
      <c r="I785" s="9">
        <f>($K$2+0.02)*Tabla1[[#This Row],[PRECIO $]]*1.18</f>
        <v>249.21599999999998</v>
      </c>
      <c r="J785" s="7">
        <f>+Tabla1[[#This Row],[PRECIO EN SOLES]]-Tabla1[[#This Row],[PC]]</f>
        <v>45.384000000000043</v>
      </c>
      <c r="K785" s="15"/>
      <c r="L785" s="15" t="str">
        <f t="shared" si="12"/>
        <v>NORMAL</v>
      </c>
    </row>
    <row r="786" spans="1:12" x14ac:dyDescent="0.25">
      <c r="A786" s="3" t="s">
        <v>1372</v>
      </c>
      <c r="B786" s="3" t="s">
        <v>1373</v>
      </c>
      <c r="C786" s="1">
        <v>20</v>
      </c>
      <c r="D786" s="1">
        <v>37</v>
      </c>
      <c r="E786" s="1" t="s">
        <v>55</v>
      </c>
      <c r="F786" s="1" t="s">
        <v>3236</v>
      </c>
      <c r="G786" s="3" t="s">
        <v>1374</v>
      </c>
      <c r="H786" s="11">
        <f>ROUND(
IF(L786="GANCHO",
   IF(I786&lt;=50,I786*1.1+4,IF(I786&lt;=120,I786*1.1+7,IF(I786&lt;=250,I786*1.1+11,I786*1.1+19))),
IF(L786="NORMAL",
   IF(I786&lt;=30,I786*1.15+2,IF(I786&lt;=80,I786*1.15+4,IF(I786&lt;=150,I786*1.15+6,I786*1.15+8))),
IF(L786="COMPLEMENTO",
   IF(I786&lt;=25,I786*1.25+1.5,IF(I786&lt;=60,I786*1.25+3,IF(I786&lt;=120,I786*1.25+4,I786*1.25+5))),
""))),2)</f>
        <v>184.74</v>
      </c>
      <c r="I786" s="9">
        <f>($K$2+0.02)*Tabla1[[#This Row],[PRECIO $]]*1.18</f>
        <v>153.6832</v>
      </c>
      <c r="J786" s="7">
        <f>+Tabla1[[#This Row],[PRECIO EN SOLES]]-Tabla1[[#This Row],[PC]]</f>
        <v>31.05680000000001</v>
      </c>
      <c r="K786" s="15"/>
      <c r="L786" s="15" t="str">
        <f t="shared" si="12"/>
        <v>NORMAL</v>
      </c>
    </row>
    <row r="787" spans="1:12" x14ac:dyDescent="0.25">
      <c r="A787" s="3" t="s">
        <v>1377</v>
      </c>
      <c r="B787" s="3" t="s">
        <v>1378</v>
      </c>
      <c r="C787" s="1">
        <v>19</v>
      </c>
      <c r="D787" s="1">
        <v>30</v>
      </c>
      <c r="E787" s="1" t="s">
        <v>55</v>
      </c>
      <c r="F787" s="1" t="s">
        <v>3238</v>
      </c>
      <c r="G787" s="3" t="s">
        <v>1374</v>
      </c>
      <c r="H787" s="11">
        <f>ROUND(
IF(L787="GANCHO",
   IF(I787&lt;=50,I787*1.1+4,IF(I787&lt;=120,I787*1.1+7,IF(I787&lt;=250,I787*1.1+11,I787*1.1+19))),
IF(L787="NORMAL",
   IF(I787&lt;=30,I787*1.15+2,IF(I787&lt;=80,I787*1.15+4,IF(I787&lt;=150,I787*1.15+6,I787*1.15+8))),
IF(L787="COMPLEMENTO",
   IF(I787&lt;=25,I787*1.25+1.5,IF(I787&lt;=60,I787*1.25+3,IF(I787&lt;=120,I787*1.25+4,I787*1.25+5))),
""))),2)</f>
        <v>149.30000000000001</v>
      </c>
      <c r="I787" s="9">
        <f>($K$2+0.02)*Tabla1[[#This Row],[PRECIO $]]*1.18</f>
        <v>124.60799999999999</v>
      </c>
      <c r="J787" s="7">
        <f>+Tabla1[[#This Row],[PRECIO EN SOLES]]-Tabla1[[#This Row],[PC]]</f>
        <v>24.692000000000021</v>
      </c>
      <c r="K787" s="15"/>
      <c r="L787" s="15" t="str">
        <f t="shared" si="12"/>
        <v>NORMAL</v>
      </c>
    </row>
    <row r="788" spans="1:12" x14ac:dyDescent="0.25">
      <c r="A788" s="3" t="s">
        <v>5880</v>
      </c>
      <c r="B788" s="3" t="s">
        <v>5881</v>
      </c>
      <c r="C788" s="1">
        <v>20</v>
      </c>
      <c r="D788" s="1">
        <v>4</v>
      </c>
      <c r="E788" s="1" t="s">
        <v>55</v>
      </c>
      <c r="F788" s="1" t="s">
        <v>5882</v>
      </c>
      <c r="G788" s="3"/>
      <c r="H788" s="11">
        <f>ROUND(
IF(L788="GANCHO",
   IF(I788&lt;=50,I788*1.1+4,IF(I788&lt;=120,I788*1.1+7,IF(I788&lt;=250,I788*1.1+11,I788*1.1+19))),
IF(L788="NORMAL",
   IF(I788&lt;=30,I788*1.15+2,IF(I788&lt;=80,I788*1.15+4,IF(I788&lt;=150,I788*1.15+6,I788*1.15+8))),
IF(L788="COMPLEMENTO",
   IF(I788&lt;=25,I788*1.25+1.5,IF(I788&lt;=60,I788*1.25+3,IF(I788&lt;=120,I788*1.25+4,I788*1.25+5))),
""))),2)</f>
        <v>21.11</v>
      </c>
      <c r="I788" s="9">
        <f>($K$2+0.02)*Tabla1[[#This Row],[PRECIO $]]*1.18</f>
        <v>16.6144</v>
      </c>
      <c r="J788" s="7">
        <f>+Tabla1[[#This Row],[PRECIO EN SOLES]]-Tabla1[[#This Row],[PC]]</f>
        <v>4.4955999999999996</v>
      </c>
      <c r="K788" s="15"/>
      <c r="L788" s="15" t="str">
        <f t="shared" si="12"/>
        <v>NORMAL</v>
      </c>
    </row>
    <row r="789" spans="1:12" x14ac:dyDescent="0.25">
      <c r="A789" s="3" t="s">
        <v>1379</v>
      </c>
      <c r="B789" s="3" t="s">
        <v>1380</v>
      </c>
      <c r="C789" s="1">
        <v>1</v>
      </c>
      <c r="D789" s="1">
        <v>70</v>
      </c>
      <c r="E789" s="1" t="s">
        <v>55</v>
      </c>
      <c r="F789" s="1" t="s">
        <v>3239</v>
      </c>
      <c r="G789" s="3"/>
      <c r="H789" s="11">
        <f>ROUND(
IF(L789="GANCHO",
   IF(I789&lt;=50,I789*1.1+4,IF(I789&lt;=120,I789*1.1+7,IF(I789&lt;=250,I789*1.1+11,I789*1.1+19))),
IF(L789="NORMAL",
   IF(I789&lt;=30,I789*1.15+2,IF(I789&lt;=80,I789*1.15+4,IF(I789&lt;=150,I789*1.15+6,I789*1.15+8))),
IF(L789="COMPLEMENTO",
   IF(I789&lt;=25,I789*1.25+1.5,IF(I789&lt;=60,I789*1.25+3,IF(I789&lt;=120,I789*1.25+4,I789*1.25+5))),
""))),2)</f>
        <v>342.36</v>
      </c>
      <c r="I789" s="9">
        <f>($K$2+0.02)*Tabla1[[#This Row],[PRECIO $]]*1.18</f>
        <v>290.75200000000001</v>
      </c>
      <c r="J789" s="7">
        <f>+Tabla1[[#This Row],[PRECIO EN SOLES]]-Tabla1[[#This Row],[PC]]</f>
        <v>51.608000000000004</v>
      </c>
      <c r="K789" s="15"/>
      <c r="L789" s="15" t="str">
        <f t="shared" si="12"/>
        <v>NORMAL</v>
      </c>
    </row>
    <row r="790" spans="1:12" x14ac:dyDescent="0.25">
      <c r="A790" s="3" t="s">
        <v>1381</v>
      </c>
      <c r="B790" s="3" t="s">
        <v>1382</v>
      </c>
      <c r="C790" s="1">
        <v>7</v>
      </c>
      <c r="D790" s="1">
        <v>200</v>
      </c>
      <c r="E790" s="1" t="s">
        <v>55</v>
      </c>
      <c r="F790" s="1" t="s">
        <v>3240</v>
      </c>
      <c r="G790" s="3"/>
      <c r="H790" s="11">
        <f>ROUND(
IF(L790="GANCHO",
   IF(I790&lt;=50,I790*1.1+4,IF(I790&lt;=120,I790*1.1+7,IF(I790&lt;=250,I790*1.1+11,I790*1.1+19))),
IF(L790="NORMAL",
   IF(I790&lt;=30,I790*1.15+2,IF(I790&lt;=80,I790*1.15+4,IF(I790&lt;=150,I790*1.15+6,I790*1.15+8))),
IF(L790="COMPLEMENTO",
   IF(I790&lt;=25,I790*1.25+1.5,IF(I790&lt;=60,I790*1.25+3,IF(I790&lt;=120,I790*1.25+4,I790*1.25+5))),
""))),2)</f>
        <v>963.33</v>
      </c>
      <c r="I790" s="9">
        <f>($K$2+0.02)*Tabla1[[#This Row],[PRECIO $]]*1.18</f>
        <v>830.71999999999991</v>
      </c>
      <c r="J790" s="7">
        <f>+Tabla1[[#This Row],[PRECIO EN SOLES]]-Tabla1[[#This Row],[PC]]</f>
        <v>132.61000000000013</v>
      </c>
      <c r="K790" s="15"/>
      <c r="L790" s="15" t="str">
        <f t="shared" si="12"/>
        <v>NORMAL</v>
      </c>
    </row>
    <row r="791" spans="1:12" x14ac:dyDescent="0.25">
      <c r="A791" s="3" t="s">
        <v>1383</v>
      </c>
      <c r="B791" s="3" t="s">
        <v>1384</v>
      </c>
      <c r="C791" s="1">
        <v>13</v>
      </c>
      <c r="D791" s="1">
        <v>200</v>
      </c>
      <c r="E791" s="1" t="s">
        <v>55</v>
      </c>
      <c r="F791" s="1" t="s">
        <v>3241</v>
      </c>
      <c r="G791" s="3"/>
      <c r="H791" s="11">
        <f>ROUND(
IF(L791="GANCHO",
   IF(I791&lt;=50,I791*1.1+4,IF(I791&lt;=120,I791*1.1+7,IF(I791&lt;=250,I791*1.1+11,I791*1.1+19))),
IF(L791="NORMAL",
   IF(I791&lt;=30,I791*1.15+2,IF(I791&lt;=80,I791*1.15+4,IF(I791&lt;=150,I791*1.15+6,I791*1.15+8))),
IF(L791="COMPLEMENTO",
   IF(I791&lt;=25,I791*1.25+1.5,IF(I791&lt;=60,I791*1.25+3,IF(I791&lt;=120,I791*1.25+4,I791*1.25+5))),
""))),2)</f>
        <v>963.33</v>
      </c>
      <c r="I791" s="9">
        <f>($K$2+0.02)*Tabla1[[#This Row],[PRECIO $]]*1.18</f>
        <v>830.71999999999991</v>
      </c>
      <c r="J791" s="7">
        <f>+Tabla1[[#This Row],[PRECIO EN SOLES]]-Tabla1[[#This Row],[PC]]</f>
        <v>132.61000000000013</v>
      </c>
      <c r="K791" s="15"/>
      <c r="L791" s="15" t="str">
        <f t="shared" si="12"/>
        <v>NORMAL</v>
      </c>
    </row>
    <row r="792" spans="1:12" x14ac:dyDescent="0.25">
      <c r="A792" s="3" t="s">
        <v>1385</v>
      </c>
      <c r="B792" s="3" t="s">
        <v>1386</v>
      </c>
      <c r="C792" s="1">
        <v>1</v>
      </c>
      <c r="D792" s="1">
        <v>200</v>
      </c>
      <c r="E792" s="1" t="s">
        <v>55</v>
      </c>
      <c r="F792" s="1" t="s">
        <v>3242</v>
      </c>
      <c r="G792" s="3"/>
      <c r="H792" s="11">
        <f>ROUND(
IF(L792="GANCHO",
   IF(I792&lt;=50,I792*1.1+4,IF(I792&lt;=120,I792*1.1+7,IF(I792&lt;=250,I792*1.1+11,I792*1.1+19))),
IF(L792="NORMAL",
   IF(I792&lt;=30,I792*1.15+2,IF(I792&lt;=80,I792*1.15+4,IF(I792&lt;=150,I792*1.15+6,I792*1.15+8))),
IF(L792="COMPLEMENTO",
   IF(I792&lt;=25,I792*1.25+1.5,IF(I792&lt;=60,I792*1.25+3,IF(I792&lt;=120,I792*1.25+4,I792*1.25+5))),
""))),2)</f>
        <v>963.33</v>
      </c>
      <c r="I792" s="9">
        <f>($K$2+0.02)*Tabla1[[#This Row],[PRECIO $]]*1.18</f>
        <v>830.71999999999991</v>
      </c>
      <c r="J792" s="7">
        <f>+Tabla1[[#This Row],[PRECIO EN SOLES]]-Tabla1[[#This Row],[PC]]</f>
        <v>132.61000000000013</v>
      </c>
      <c r="K792" s="15"/>
      <c r="L792" s="15" t="str">
        <f t="shared" si="12"/>
        <v>NORMAL</v>
      </c>
    </row>
    <row r="793" spans="1:12" x14ac:dyDescent="0.25">
      <c r="A793" s="3" t="s">
        <v>1387</v>
      </c>
      <c r="B793" s="3" t="s">
        <v>1388</v>
      </c>
      <c r="C793" s="1">
        <v>20</v>
      </c>
      <c r="D793" s="1">
        <v>50</v>
      </c>
      <c r="E793" s="1" t="s">
        <v>54</v>
      </c>
      <c r="F793" s="1" t="s">
        <v>3243</v>
      </c>
      <c r="G793" s="3"/>
      <c r="H793" s="11">
        <f>ROUND(
IF(L793="GANCHO",
   IF(I793&lt;=50,I793*1.1+4,IF(I793&lt;=120,I793*1.1+7,IF(I793&lt;=250,I793*1.1+11,I793*1.1+19))),
IF(L793="NORMAL",
   IF(I793&lt;=30,I793*1.15+2,IF(I793&lt;=80,I793*1.15+4,IF(I793&lt;=150,I793*1.15+6,I793*1.15+8))),
IF(L793="COMPLEMENTO",
   IF(I793&lt;=25,I793*1.25+1.5,IF(I793&lt;=60,I793*1.25+3,IF(I793&lt;=120,I793*1.25+4,I793*1.25+5))),
""))),2)</f>
        <v>246.83</v>
      </c>
      <c r="I793" s="9">
        <f>($K$2+0.02)*Tabla1[[#This Row],[PRECIO $]]*1.18</f>
        <v>207.67999999999998</v>
      </c>
      <c r="J793" s="7">
        <f>+Tabla1[[#This Row],[PRECIO EN SOLES]]-Tabla1[[#This Row],[PC]]</f>
        <v>39.150000000000034</v>
      </c>
      <c r="K793" s="15"/>
      <c r="L793" s="15" t="str">
        <f t="shared" si="12"/>
        <v>NORMAL</v>
      </c>
    </row>
    <row r="794" spans="1:12" x14ac:dyDescent="0.25">
      <c r="A794" s="3" t="s">
        <v>1389</v>
      </c>
      <c r="B794" s="3" t="s">
        <v>1390</v>
      </c>
      <c r="C794" s="1">
        <v>0</v>
      </c>
      <c r="D794" s="1">
        <v>5</v>
      </c>
      <c r="E794" s="1" t="s">
        <v>55</v>
      </c>
      <c r="F794" s="1" t="s">
        <v>3244</v>
      </c>
      <c r="G794" s="3"/>
      <c r="H794" s="11">
        <f>ROUND(
IF(L794="GANCHO",
   IF(I794&lt;=50,I794*1.1+4,IF(I794&lt;=120,I794*1.1+7,IF(I794&lt;=250,I794*1.1+11,I794*1.1+19))),
IF(L794="NORMAL",
   IF(I794&lt;=30,I794*1.15+2,IF(I794&lt;=80,I794*1.15+4,IF(I794&lt;=150,I794*1.15+6,I794*1.15+8))),
IF(L794="COMPLEMENTO",
   IF(I794&lt;=25,I794*1.25+1.5,IF(I794&lt;=60,I794*1.25+3,IF(I794&lt;=120,I794*1.25+4,I794*1.25+5))),
""))),2)</f>
        <v>25.88</v>
      </c>
      <c r="I794" s="9">
        <f>($K$2+0.02)*Tabla1[[#This Row],[PRECIO $]]*1.18</f>
        <v>20.768000000000001</v>
      </c>
      <c r="J794" s="7">
        <f>+Tabla1[[#This Row],[PRECIO EN SOLES]]-Tabla1[[#This Row],[PC]]</f>
        <v>5.1119999999999983</v>
      </c>
      <c r="K794" s="15"/>
      <c r="L794" s="15" t="str">
        <f t="shared" si="12"/>
        <v>NORMAL</v>
      </c>
    </row>
    <row r="795" spans="1:12" x14ac:dyDescent="0.25">
      <c r="A795" s="3" t="s">
        <v>5981</v>
      </c>
      <c r="B795" s="3" t="s">
        <v>5982</v>
      </c>
      <c r="C795" s="1">
        <v>20</v>
      </c>
      <c r="D795" s="1">
        <v>50</v>
      </c>
      <c r="E795" s="1" t="s">
        <v>54</v>
      </c>
      <c r="F795" s="1" t="s">
        <v>5983</v>
      </c>
      <c r="G795" s="3"/>
      <c r="H795" s="11">
        <f>ROUND(
IF(L795="GANCHO",
   IF(I795&lt;=50,I795*1.1+4,IF(I795&lt;=120,I795*1.1+7,IF(I795&lt;=250,I795*1.1+11,I795*1.1+19))),
IF(L795="NORMAL",
   IF(I795&lt;=30,I795*1.15+2,IF(I795&lt;=80,I795*1.15+4,IF(I795&lt;=150,I795*1.15+6,I795*1.15+8))),
IF(L795="COMPLEMENTO",
   IF(I795&lt;=25,I795*1.25+1.5,IF(I795&lt;=60,I795*1.25+3,IF(I795&lt;=120,I795*1.25+4,I795*1.25+5))),
""))),2)</f>
        <v>246.83</v>
      </c>
      <c r="I795" s="9">
        <f>($K$2+0.02)*Tabla1[[#This Row],[PRECIO $]]*1.18</f>
        <v>207.67999999999998</v>
      </c>
      <c r="J795" s="7">
        <f>+Tabla1[[#This Row],[PRECIO EN SOLES]]-Tabla1[[#This Row],[PC]]</f>
        <v>39.150000000000034</v>
      </c>
      <c r="K795" s="15"/>
      <c r="L795" s="15" t="str">
        <f t="shared" si="12"/>
        <v>NORMAL</v>
      </c>
    </row>
    <row r="796" spans="1:12" x14ac:dyDescent="0.25">
      <c r="A796" s="3" t="s">
        <v>5984</v>
      </c>
      <c r="B796" s="3" t="s">
        <v>5985</v>
      </c>
      <c r="C796" s="1">
        <v>20</v>
      </c>
      <c r="D796" s="1">
        <v>50</v>
      </c>
      <c r="E796" s="1" t="s">
        <v>55</v>
      </c>
      <c r="F796" s="1" t="s">
        <v>5986</v>
      </c>
      <c r="G796" s="3"/>
      <c r="H796" s="11">
        <f>ROUND(
IF(L796="GANCHO",
   IF(I796&lt;=50,I796*1.1+4,IF(I796&lt;=120,I796*1.1+7,IF(I796&lt;=250,I796*1.1+11,I796*1.1+19))),
IF(L796="NORMAL",
   IF(I796&lt;=30,I796*1.15+2,IF(I796&lt;=80,I796*1.15+4,IF(I796&lt;=150,I796*1.15+6,I796*1.15+8))),
IF(L796="COMPLEMENTO",
   IF(I796&lt;=25,I796*1.25+1.5,IF(I796&lt;=60,I796*1.25+3,IF(I796&lt;=120,I796*1.25+4,I796*1.25+5))),
""))),2)</f>
        <v>246.83</v>
      </c>
      <c r="I796" s="9">
        <f>($K$2+0.02)*Tabla1[[#This Row],[PRECIO $]]*1.18</f>
        <v>207.67999999999998</v>
      </c>
      <c r="J796" s="7">
        <f>+Tabla1[[#This Row],[PRECIO EN SOLES]]-Tabla1[[#This Row],[PC]]</f>
        <v>39.150000000000034</v>
      </c>
      <c r="K796" s="15"/>
      <c r="L796" s="15" t="str">
        <f t="shared" si="12"/>
        <v>NORMAL</v>
      </c>
    </row>
    <row r="797" spans="1:12" x14ac:dyDescent="0.25">
      <c r="A797" s="3" t="s">
        <v>5987</v>
      </c>
      <c r="B797" s="3" t="s">
        <v>5988</v>
      </c>
      <c r="C797" s="1">
        <v>20</v>
      </c>
      <c r="D797" s="1">
        <v>50</v>
      </c>
      <c r="E797" s="1" t="s">
        <v>52</v>
      </c>
      <c r="F797" s="1" t="s">
        <v>5989</v>
      </c>
      <c r="G797" s="3"/>
      <c r="H797" s="11">
        <f>ROUND(
IF(L797="GANCHO",
   IF(I797&lt;=50,I797*1.1+4,IF(I797&lt;=120,I797*1.1+7,IF(I797&lt;=250,I797*1.1+11,I797*1.1+19))),
IF(L797="NORMAL",
   IF(I797&lt;=30,I797*1.15+2,IF(I797&lt;=80,I797*1.15+4,IF(I797&lt;=150,I797*1.15+6,I797*1.15+8))),
IF(L797="COMPLEMENTO",
   IF(I797&lt;=25,I797*1.25+1.5,IF(I797&lt;=60,I797*1.25+3,IF(I797&lt;=120,I797*1.25+4,I797*1.25+5))),
""))),2)</f>
        <v>246.83</v>
      </c>
      <c r="I797" s="9">
        <f>($K$2+0.02)*Tabla1[[#This Row],[PRECIO $]]*1.18</f>
        <v>207.67999999999998</v>
      </c>
      <c r="J797" s="7">
        <f>+Tabla1[[#This Row],[PRECIO EN SOLES]]-Tabla1[[#This Row],[PC]]</f>
        <v>39.150000000000034</v>
      </c>
      <c r="K797" s="15"/>
      <c r="L797" s="15" t="str">
        <f t="shared" si="12"/>
        <v>NORMAL</v>
      </c>
    </row>
    <row r="798" spans="1:12" x14ac:dyDescent="0.25">
      <c r="A798" s="3" t="s">
        <v>1391</v>
      </c>
      <c r="B798" s="3" t="s">
        <v>2596</v>
      </c>
      <c r="C798" s="1">
        <v>20</v>
      </c>
      <c r="D798" s="1">
        <v>2</v>
      </c>
      <c r="E798" s="1" t="s">
        <v>55</v>
      </c>
      <c r="F798" s="1" t="s">
        <v>3245</v>
      </c>
      <c r="G798" s="3"/>
      <c r="H798" s="11">
        <f>ROUND(
IF(L798="GANCHO",
   IF(I798&lt;=50,I798*1.1+4,IF(I798&lt;=120,I798*1.1+7,IF(I798&lt;=250,I798*1.1+11,I798*1.1+19))),
IF(L798="NORMAL",
   IF(I798&lt;=30,I798*1.15+2,IF(I798&lt;=80,I798*1.15+4,IF(I798&lt;=150,I798*1.15+6,I798*1.15+8))),
IF(L798="COMPLEMENTO",
   IF(I798&lt;=25,I798*1.25+1.5,IF(I798&lt;=60,I798*1.25+3,IF(I798&lt;=120,I798*1.25+4,I798*1.25+5))),
""))),2)</f>
        <v>11.55</v>
      </c>
      <c r="I798" s="9">
        <f>($K$2+0.02)*Tabla1[[#This Row],[PRECIO $]]*1.18</f>
        <v>8.3071999999999999</v>
      </c>
      <c r="J798" s="7">
        <f>+Tabla1[[#This Row],[PRECIO EN SOLES]]-Tabla1[[#This Row],[PC]]</f>
        <v>3.2428000000000008</v>
      </c>
      <c r="K798" s="15"/>
      <c r="L798" s="15" t="str">
        <f t="shared" si="12"/>
        <v>NORMAL</v>
      </c>
    </row>
    <row r="799" spans="1:12" x14ac:dyDescent="0.25">
      <c r="A799" s="3" t="s">
        <v>1392</v>
      </c>
      <c r="B799" s="3" t="s">
        <v>1393</v>
      </c>
      <c r="C799" s="1">
        <v>20</v>
      </c>
      <c r="D799" s="1">
        <v>19</v>
      </c>
      <c r="E799" s="1" t="s">
        <v>52</v>
      </c>
      <c r="F799" s="1" t="s">
        <v>3246</v>
      </c>
      <c r="G799" s="3"/>
      <c r="H799" s="11">
        <f>ROUND(
IF(L799="GANCHO",
   IF(I799&lt;=50,I799*1.1+4,IF(I799&lt;=120,I799*1.1+7,IF(I799&lt;=250,I799*1.1+11,I799*1.1+19))),
IF(L799="NORMAL",
   IF(I799&lt;=30,I799*1.15+2,IF(I799&lt;=80,I799*1.15+4,IF(I799&lt;=150,I799*1.15+6,I799*1.15+8))),
IF(L799="COMPLEMENTO",
   IF(I799&lt;=25,I799*1.25+1.5,IF(I799&lt;=60,I799*1.25+3,IF(I799&lt;=120,I799*1.25+4,I799*1.25+5))),
""))),2)</f>
        <v>94.76</v>
      </c>
      <c r="I799" s="9">
        <f>($K$2+0.02)*Tabla1[[#This Row],[PRECIO $]]*1.18</f>
        <v>78.918399999999991</v>
      </c>
      <c r="J799" s="7">
        <f>+Tabla1[[#This Row],[PRECIO EN SOLES]]-Tabla1[[#This Row],[PC]]</f>
        <v>15.841600000000014</v>
      </c>
      <c r="K799" s="15"/>
      <c r="L799" s="15" t="str">
        <f t="shared" si="12"/>
        <v>NORMAL</v>
      </c>
    </row>
    <row r="800" spans="1:12" x14ac:dyDescent="0.25">
      <c r="A800" s="3" t="s">
        <v>1394</v>
      </c>
      <c r="B800" s="3" t="s">
        <v>1395</v>
      </c>
      <c r="C800" s="1">
        <v>10</v>
      </c>
      <c r="D800" s="1">
        <v>666</v>
      </c>
      <c r="E800" s="1" t="s">
        <v>52</v>
      </c>
      <c r="F800" s="1" t="s">
        <v>3247</v>
      </c>
      <c r="G800" s="3"/>
      <c r="H800" s="11">
        <f>ROUND(
IF(L800="GANCHO",
   IF(I800&lt;=50,I800*1.1+4,IF(I800&lt;=120,I800*1.1+7,IF(I800&lt;=250,I800*1.1+11,I800*1.1+19))),
IF(L800="NORMAL",
   IF(I800&lt;=30,I800*1.15+2,IF(I800&lt;=80,I800*1.15+4,IF(I800&lt;=150,I800*1.15+6,I800*1.15+8))),
IF(L800="COMPLEMENTO",
   IF(I800&lt;=25,I800*1.25+1.5,IF(I800&lt;=60,I800*1.25+3,IF(I800&lt;=120,I800*1.25+4,I800*1.25+5))),
""))),2)</f>
        <v>3189.24</v>
      </c>
      <c r="I800" s="9">
        <f>($K$2+0.02)*Tabla1[[#This Row],[PRECIO $]]*1.18</f>
        <v>2766.2975999999999</v>
      </c>
      <c r="J800" s="7">
        <f>+Tabla1[[#This Row],[PRECIO EN SOLES]]-Tabla1[[#This Row],[PC]]</f>
        <v>422.94239999999991</v>
      </c>
      <c r="K800" s="15"/>
      <c r="L800" s="15" t="str">
        <f t="shared" si="12"/>
        <v>NORMAL</v>
      </c>
    </row>
    <row r="801" spans="1:12" x14ac:dyDescent="0.25">
      <c r="A801" s="3" t="s">
        <v>1396</v>
      </c>
      <c r="B801" s="3" t="s">
        <v>1397</v>
      </c>
      <c r="C801" s="1">
        <v>20</v>
      </c>
      <c r="D801" s="1">
        <v>100</v>
      </c>
      <c r="E801" s="1" t="s">
        <v>52</v>
      </c>
      <c r="F801" s="1" t="s">
        <v>3248</v>
      </c>
      <c r="G801" s="3"/>
      <c r="H801" s="11">
        <f>ROUND(
IF(L801="GANCHO",
   IF(I801&lt;=50,I801*1.1+4,IF(I801&lt;=120,I801*1.1+7,IF(I801&lt;=250,I801*1.1+11,I801*1.1+19))),
IF(L801="NORMAL",
   IF(I801&lt;=30,I801*1.15+2,IF(I801&lt;=80,I801*1.15+4,IF(I801&lt;=150,I801*1.15+6,I801*1.15+8))),
IF(L801="COMPLEMENTO",
   IF(I801&lt;=25,I801*1.25+1.5,IF(I801&lt;=60,I801*1.25+3,IF(I801&lt;=120,I801*1.25+4,I801*1.25+5))),
""))),2)</f>
        <v>485.66</v>
      </c>
      <c r="I801" s="9">
        <f>($K$2+0.02)*Tabla1[[#This Row],[PRECIO $]]*1.18</f>
        <v>415.35999999999996</v>
      </c>
      <c r="J801" s="7">
        <f>+Tabla1[[#This Row],[PRECIO EN SOLES]]-Tabla1[[#This Row],[PC]]</f>
        <v>70.300000000000068</v>
      </c>
      <c r="K801" s="15"/>
      <c r="L801" s="15" t="str">
        <f t="shared" si="12"/>
        <v>NORMAL</v>
      </c>
    </row>
    <row r="802" spans="1:12" x14ac:dyDescent="0.25">
      <c r="A802" s="3" t="s">
        <v>5883</v>
      </c>
      <c r="B802" s="3" t="s">
        <v>5884</v>
      </c>
      <c r="C802" s="1">
        <v>20</v>
      </c>
      <c r="D802" s="1">
        <v>13</v>
      </c>
      <c r="E802" s="1" t="s">
        <v>52</v>
      </c>
      <c r="F802" s="1" t="s">
        <v>5885</v>
      </c>
      <c r="G802" s="3"/>
      <c r="H802" s="11">
        <f>ROUND(
IF(L802="GANCHO",
   IF(I802&lt;=50,I802*1.1+4,IF(I802&lt;=120,I802*1.1+7,IF(I802&lt;=250,I802*1.1+11,I802*1.1+19))),
IF(L802="NORMAL",
   IF(I802&lt;=30,I802*1.15+2,IF(I802&lt;=80,I802*1.15+4,IF(I802&lt;=150,I802*1.15+6,I802*1.15+8))),
IF(L802="COMPLEMENTO",
   IF(I802&lt;=25,I802*1.25+1.5,IF(I802&lt;=60,I802*1.25+3,IF(I802&lt;=120,I802*1.25+4,I802*1.25+5))),
""))),2)</f>
        <v>66.099999999999994</v>
      </c>
      <c r="I802" s="9">
        <f>($K$2+0.02)*Tabla1[[#This Row],[PRECIO $]]*1.18</f>
        <v>53.996799999999993</v>
      </c>
      <c r="J802" s="7">
        <f>+Tabla1[[#This Row],[PRECIO EN SOLES]]-Tabla1[[#This Row],[PC]]</f>
        <v>12.103200000000001</v>
      </c>
      <c r="K802" s="15"/>
      <c r="L802" s="15" t="str">
        <f t="shared" si="12"/>
        <v>NORMAL</v>
      </c>
    </row>
    <row r="803" spans="1:12" x14ac:dyDescent="0.25">
      <c r="A803" s="3" t="s">
        <v>1398</v>
      </c>
      <c r="B803" s="3" t="s">
        <v>1399</v>
      </c>
      <c r="C803" s="1">
        <v>20</v>
      </c>
      <c r="D803" s="1">
        <v>7.6</v>
      </c>
      <c r="E803" s="1" t="s">
        <v>52</v>
      </c>
      <c r="F803" s="1" t="s">
        <v>3249</v>
      </c>
      <c r="G803" s="3"/>
      <c r="H803" s="11">
        <f>ROUND(
IF(L803="GANCHO",
   IF(I803&lt;=50,I803*1.1+4,IF(I803&lt;=120,I803*1.1+7,IF(I803&lt;=250,I803*1.1+11,I803*1.1+19))),
IF(L803="NORMAL",
   IF(I803&lt;=30,I803*1.15+2,IF(I803&lt;=80,I803*1.15+4,IF(I803&lt;=150,I803*1.15+6,I803*1.15+8))),
IF(L803="COMPLEMENTO",
   IF(I803&lt;=25,I803*1.25+1.5,IF(I803&lt;=60,I803*1.25+3,IF(I803&lt;=120,I803*1.25+4,I803*1.25+5))),
""))),2)</f>
        <v>40.299999999999997</v>
      </c>
      <c r="I803" s="9">
        <f>($K$2+0.02)*Tabla1[[#This Row],[PRECIO $]]*1.18</f>
        <v>31.567359999999997</v>
      </c>
      <c r="J803" s="7">
        <f>+Tabla1[[#This Row],[PRECIO EN SOLES]]-Tabla1[[#This Row],[PC]]</f>
        <v>8.73264</v>
      </c>
      <c r="K803" s="15"/>
      <c r="L803" s="15" t="str">
        <f t="shared" si="12"/>
        <v>NORMAL</v>
      </c>
    </row>
    <row r="804" spans="1:12" x14ac:dyDescent="0.25">
      <c r="A804" s="3" t="s">
        <v>5886</v>
      </c>
      <c r="B804" s="3" t="s">
        <v>5887</v>
      </c>
      <c r="C804" s="1">
        <v>20</v>
      </c>
      <c r="D804" s="1">
        <v>4</v>
      </c>
      <c r="E804" s="1" t="s">
        <v>52</v>
      </c>
      <c r="F804" s="1" t="s">
        <v>5888</v>
      </c>
      <c r="G804" s="3"/>
      <c r="H804" s="11">
        <f>ROUND(
IF(L804="GANCHO",
   IF(I804&lt;=50,I804*1.1+4,IF(I804&lt;=120,I804*1.1+7,IF(I804&lt;=250,I804*1.1+11,I804*1.1+19))),
IF(L804="NORMAL",
   IF(I804&lt;=30,I804*1.15+2,IF(I804&lt;=80,I804*1.15+4,IF(I804&lt;=150,I804*1.15+6,I804*1.15+8))),
IF(L804="COMPLEMENTO",
   IF(I804&lt;=25,I804*1.25+1.5,IF(I804&lt;=60,I804*1.25+3,IF(I804&lt;=120,I804*1.25+4,I804*1.25+5))),
""))),2)</f>
        <v>21.11</v>
      </c>
      <c r="I804" s="9">
        <f>($K$2+0.02)*Tabla1[[#This Row],[PRECIO $]]*1.18</f>
        <v>16.6144</v>
      </c>
      <c r="J804" s="7">
        <f>+Tabla1[[#This Row],[PRECIO EN SOLES]]-Tabla1[[#This Row],[PC]]</f>
        <v>4.4955999999999996</v>
      </c>
      <c r="K804" s="15"/>
      <c r="L804" s="15" t="str">
        <f t="shared" si="12"/>
        <v>NORMAL</v>
      </c>
    </row>
    <row r="805" spans="1:12" x14ac:dyDescent="0.25">
      <c r="A805" s="3" t="s">
        <v>1400</v>
      </c>
      <c r="B805" s="3" t="s">
        <v>1401</v>
      </c>
      <c r="C805" s="1">
        <v>0</v>
      </c>
      <c r="D805" s="1">
        <v>20</v>
      </c>
      <c r="E805" s="1" t="s">
        <v>55</v>
      </c>
      <c r="F805" s="1" t="s">
        <v>3250</v>
      </c>
      <c r="G805" s="3"/>
      <c r="H805" s="11">
        <f>ROUND(
IF(L805="GANCHO",
   IF(I805&lt;=50,I805*1.1+4,IF(I805&lt;=120,I805*1.1+7,IF(I805&lt;=250,I805*1.1+11,I805*1.1+19))),
IF(L805="NORMAL",
   IF(I805&lt;=30,I805*1.15+2,IF(I805&lt;=80,I805*1.15+4,IF(I805&lt;=150,I805*1.15+6,I805*1.15+8))),
IF(L805="COMPLEMENTO",
   IF(I805&lt;=25,I805*1.25+1.5,IF(I805&lt;=60,I805*1.25+3,IF(I805&lt;=120,I805*1.25+4,I805*1.25+5))),
""))),2)</f>
        <v>98.38</v>
      </c>
      <c r="I805" s="9">
        <f>($K$2+0.02)*Tabla1[[#This Row],[PRECIO $]]*1.18</f>
        <v>83.072000000000003</v>
      </c>
      <c r="J805" s="7">
        <f>+Tabla1[[#This Row],[PRECIO EN SOLES]]-Tabla1[[#This Row],[PC]]</f>
        <v>15.307999999999993</v>
      </c>
      <c r="K805" s="15"/>
      <c r="L805" s="15" t="str">
        <f t="shared" si="12"/>
        <v>GANCHO</v>
      </c>
    </row>
    <row r="806" spans="1:12" x14ac:dyDescent="0.25">
      <c r="A806" s="3" t="s">
        <v>1402</v>
      </c>
      <c r="B806" s="3" t="s">
        <v>1403</v>
      </c>
      <c r="C806" s="1">
        <v>20</v>
      </c>
      <c r="D806" s="1">
        <v>8</v>
      </c>
      <c r="E806" s="1" t="s">
        <v>55</v>
      </c>
      <c r="F806" s="1" t="s">
        <v>3251</v>
      </c>
      <c r="G806" s="3"/>
      <c r="H806" s="11">
        <f>ROUND(
IF(L806="GANCHO",
   IF(I806&lt;=50,I806*1.1+4,IF(I806&lt;=120,I806*1.1+7,IF(I806&lt;=250,I806*1.1+11,I806*1.1+19))),
IF(L806="NORMAL",
   IF(I806&lt;=30,I806*1.15+2,IF(I806&lt;=80,I806*1.15+4,IF(I806&lt;=150,I806*1.15+6,I806*1.15+8))),
IF(L806="COMPLEMENTO",
   IF(I806&lt;=25,I806*1.25+1.5,IF(I806&lt;=60,I806*1.25+3,IF(I806&lt;=120,I806*1.25+4,I806*1.25+5))),
""))),2)</f>
        <v>42.21</v>
      </c>
      <c r="I806" s="9">
        <f>($K$2+0.02)*Tabla1[[#This Row],[PRECIO $]]*1.18</f>
        <v>33.2288</v>
      </c>
      <c r="J806" s="7">
        <f>+Tabla1[[#This Row],[PRECIO EN SOLES]]-Tabla1[[#This Row],[PC]]</f>
        <v>8.9812000000000012</v>
      </c>
      <c r="K806" s="15"/>
      <c r="L806" s="15" t="str">
        <f t="shared" si="12"/>
        <v>NORMAL</v>
      </c>
    </row>
    <row r="807" spans="1:12" x14ac:dyDescent="0.25">
      <c r="A807" s="3" t="s">
        <v>2844</v>
      </c>
      <c r="B807" s="3" t="s">
        <v>2845</v>
      </c>
      <c r="C807" s="1">
        <v>14</v>
      </c>
      <c r="D807" s="1">
        <v>19.59</v>
      </c>
      <c r="E807" s="1" t="s">
        <v>55</v>
      </c>
      <c r="F807" s="1" t="s">
        <v>3252</v>
      </c>
      <c r="G807" s="3"/>
      <c r="H807" s="11">
        <f>ROUND(
IF(L807="GANCHO",
   IF(I807&lt;=50,I807*1.1+4,IF(I807&lt;=120,I807*1.1+7,IF(I807&lt;=250,I807*1.1+11,I807*1.1+19))),
IF(L807="NORMAL",
   IF(I807&lt;=30,I807*1.15+2,IF(I807&lt;=80,I807*1.15+4,IF(I807&lt;=150,I807*1.15+6,I807*1.15+8))),
IF(L807="COMPLEMENTO",
   IF(I807&lt;=25,I807*1.25+1.5,IF(I807&lt;=60,I807*1.25+3,IF(I807&lt;=120,I807*1.25+4,I807*1.25+5))),
""))),2)</f>
        <v>96.51</v>
      </c>
      <c r="I807" s="9">
        <f>($K$2+0.02)*Tabla1[[#This Row],[PRECIO $]]*1.18</f>
        <v>81.369023999999996</v>
      </c>
      <c r="J807" s="7">
        <f>+Tabla1[[#This Row],[PRECIO EN SOLES]]-Tabla1[[#This Row],[PC]]</f>
        <v>15.140976000000009</v>
      </c>
      <c r="K807" s="15"/>
      <c r="L807" s="15" t="str">
        <f t="shared" si="12"/>
        <v>GANCHO</v>
      </c>
    </row>
    <row r="808" spans="1:12" x14ac:dyDescent="0.25">
      <c r="A808" s="3" t="s">
        <v>1404</v>
      </c>
      <c r="B808" s="3" t="s">
        <v>1405</v>
      </c>
      <c r="C808" s="1">
        <v>20</v>
      </c>
      <c r="D808" s="1">
        <v>8.5</v>
      </c>
      <c r="E808" s="1" t="s">
        <v>55</v>
      </c>
      <c r="F808" s="1" t="s">
        <v>3253</v>
      </c>
      <c r="G808" s="3"/>
      <c r="H808" s="11">
        <f>ROUND(
IF(L808="GANCHO",
   IF(I808&lt;=50,I808*1.1+4,IF(I808&lt;=120,I808*1.1+7,IF(I808&lt;=250,I808*1.1+11,I808*1.1+19))),
IF(L808="NORMAL",
   IF(I808&lt;=30,I808*1.15+2,IF(I808&lt;=80,I808*1.15+4,IF(I808&lt;=150,I808*1.15+6,I808*1.15+8))),
IF(L808="COMPLEMENTO",
   IF(I808&lt;=25,I808*1.25+1.5,IF(I808&lt;=60,I808*1.25+3,IF(I808&lt;=120,I808*1.25+4,I808*1.25+5))),
""))),2)</f>
        <v>44.6</v>
      </c>
      <c r="I808" s="9">
        <f>($K$2+0.02)*Tabla1[[#This Row],[PRECIO $]]*1.18</f>
        <v>35.305599999999998</v>
      </c>
      <c r="J808" s="7">
        <f>+Tabla1[[#This Row],[PRECIO EN SOLES]]-Tabla1[[#This Row],[PC]]</f>
        <v>9.2944000000000031</v>
      </c>
      <c r="K808" s="15"/>
      <c r="L808" s="15" t="str">
        <f t="shared" si="12"/>
        <v>NORMAL</v>
      </c>
    </row>
    <row r="809" spans="1:12" x14ac:dyDescent="0.25">
      <c r="A809" s="3" t="s">
        <v>1406</v>
      </c>
      <c r="B809" s="3" t="s">
        <v>1405</v>
      </c>
      <c r="C809" s="1">
        <v>0</v>
      </c>
      <c r="D809" s="1">
        <v>99</v>
      </c>
      <c r="E809" s="1" t="s">
        <v>55</v>
      </c>
      <c r="F809" s="1" t="s">
        <v>3254</v>
      </c>
      <c r="G809" s="3"/>
      <c r="H809" s="11">
        <f>ROUND(
IF(L809="GANCHO",
   IF(I809&lt;=50,I809*1.1+4,IF(I809&lt;=120,I809*1.1+7,IF(I809&lt;=250,I809*1.1+11,I809*1.1+19))),
IF(L809="NORMAL",
   IF(I809&lt;=30,I809*1.15+2,IF(I809&lt;=80,I809*1.15+4,IF(I809&lt;=150,I809*1.15+6,I809*1.15+8))),
IF(L809="COMPLEMENTO",
   IF(I809&lt;=25,I809*1.25+1.5,IF(I809&lt;=60,I809*1.25+3,IF(I809&lt;=120,I809*1.25+4,I809*1.25+5))),
""))),2)</f>
        <v>480.89</v>
      </c>
      <c r="I809" s="9">
        <f>($K$2+0.02)*Tabla1[[#This Row],[PRECIO $]]*1.18</f>
        <v>411.20639999999997</v>
      </c>
      <c r="J809" s="7">
        <f>+Tabla1[[#This Row],[PRECIO EN SOLES]]-Tabla1[[#This Row],[PC]]</f>
        <v>69.683600000000013</v>
      </c>
      <c r="K809" s="15"/>
      <c r="L809" s="15" t="str">
        <f t="shared" si="12"/>
        <v>NORMAL</v>
      </c>
    </row>
    <row r="810" spans="1:12" x14ac:dyDescent="0.25">
      <c r="A810" s="3" t="s">
        <v>1407</v>
      </c>
      <c r="B810" s="3" t="s">
        <v>1408</v>
      </c>
      <c r="C810" s="1">
        <v>20</v>
      </c>
      <c r="D810" s="1">
        <v>20</v>
      </c>
      <c r="E810" s="1" t="s">
        <v>55</v>
      </c>
      <c r="F810" s="1" t="s">
        <v>3255</v>
      </c>
      <c r="G810" s="3"/>
      <c r="H810" s="11">
        <f>ROUND(
IF(L810="GANCHO",
   IF(I810&lt;=50,I810*1.1+4,IF(I810&lt;=120,I810*1.1+7,IF(I810&lt;=250,I810*1.1+11,I810*1.1+19))),
IF(L810="NORMAL",
   IF(I810&lt;=30,I810*1.15+2,IF(I810&lt;=80,I810*1.15+4,IF(I810&lt;=150,I810*1.15+6,I810*1.15+8))),
IF(L810="COMPLEMENTO",
   IF(I810&lt;=25,I810*1.25+1.5,IF(I810&lt;=60,I810*1.25+3,IF(I810&lt;=120,I810*1.25+4,I810*1.25+5))),
""))),2)</f>
        <v>101.53</v>
      </c>
      <c r="I810" s="9">
        <f>($K$2+0.02)*Tabla1[[#This Row],[PRECIO $]]*1.18</f>
        <v>83.072000000000003</v>
      </c>
      <c r="J810" s="7">
        <f>+Tabla1[[#This Row],[PRECIO EN SOLES]]-Tabla1[[#This Row],[PC]]</f>
        <v>18.457999999999998</v>
      </c>
      <c r="K810" s="15"/>
      <c r="L810" s="15" t="str">
        <f t="shared" si="12"/>
        <v>NORMAL</v>
      </c>
    </row>
    <row r="811" spans="1:12" x14ac:dyDescent="0.25">
      <c r="A811" s="3" t="s">
        <v>1409</v>
      </c>
      <c r="B811" s="3" t="s">
        <v>1410</v>
      </c>
      <c r="C811" s="1">
        <v>1</v>
      </c>
      <c r="D811" s="1">
        <v>100</v>
      </c>
      <c r="E811" s="1" t="s">
        <v>57</v>
      </c>
      <c r="F811" s="1" t="s">
        <v>3256</v>
      </c>
      <c r="G811" s="3"/>
      <c r="H811" s="11">
        <f>ROUND(
IF(L811="GANCHO",
   IF(I811&lt;=50,I811*1.1+4,IF(I811&lt;=120,I811*1.1+7,IF(I811&lt;=250,I811*1.1+11,I811*1.1+19))),
IF(L811="NORMAL",
   IF(I811&lt;=30,I811*1.15+2,IF(I811&lt;=80,I811*1.15+4,IF(I811&lt;=150,I811*1.15+6,I811*1.15+8))),
IF(L811="COMPLEMENTO",
   IF(I811&lt;=25,I811*1.25+1.5,IF(I811&lt;=60,I811*1.25+3,IF(I811&lt;=120,I811*1.25+4,I811*1.25+5))),
""))),2)</f>
        <v>485.66</v>
      </c>
      <c r="I811" s="9">
        <f>($K$2+0.02)*Tabla1[[#This Row],[PRECIO $]]*1.18</f>
        <v>415.35999999999996</v>
      </c>
      <c r="J811" s="7">
        <f>+Tabla1[[#This Row],[PRECIO EN SOLES]]-Tabla1[[#This Row],[PC]]</f>
        <v>70.300000000000068</v>
      </c>
      <c r="K811" s="15"/>
      <c r="L811" s="15" t="str">
        <f t="shared" si="12"/>
        <v>NORMAL</v>
      </c>
    </row>
    <row r="812" spans="1:12" x14ac:dyDescent="0.25">
      <c r="A812" s="3" t="s">
        <v>1411</v>
      </c>
      <c r="B812" s="3" t="s">
        <v>1412</v>
      </c>
      <c r="C812" s="1">
        <v>20</v>
      </c>
      <c r="D812" s="1">
        <v>5</v>
      </c>
      <c r="E812" s="1" t="s">
        <v>783</v>
      </c>
      <c r="F812" s="1" t="s">
        <v>3257</v>
      </c>
      <c r="G812" s="3"/>
      <c r="H812" s="11">
        <f>ROUND(
IF(L812="GANCHO",
   IF(I812&lt;=50,I812*1.1+4,IF(I812&lt;=120,I812*1.1+7,IF(I812&lt;=250,I812*1.1+11,I812*1.1+19))),
IF(L812="NORMAL",
   IF(I812&lt;=30,I812*1.15+2,IF(I812&lt;=80,I812*1.15+4,IF(I812&lt;=150,I812*1.15+6,I812*1.15+8))),
IF(L812="COMPLEMENTO",
   IF(I812&lt;=25,I812*1.25+1.5,IF(I812&lt;=60,I812*1.25+3,IF(I812&lt;=120,I812*1.25+4,I812*1.25+5))),
""))),2)</f>
        <v>25.88</v>
      </c>
      <c r="I812" s="9">
        <f>($K$2+0.02)*Tabla1[[#This Row],[PRECIO $]]*1.18</f>
        <v>20.768000000000001</v>
      </c>
      <c r="J812" s="7">
        <f>+Tabla1[[#This Row],[PRECIO EN SOLES]]-Tabla1[[#This Row],[PC]]</f>
        <v>5.1119999999999983</v>
      </c>
      <c r="K812" s="15"/>
      <c r="L812" s="15" t="str">
        <f t="shared" si="12"/>
        <v>NORMAL</v>
      </c>
    </row>
    <row r="813" spans="1:12" x14ac:dyDescent="0.25">
      <c r="A813" s="3" t="s">
        <v>1413</v>
      </c>
      <c r="B813" s="3" t="s">
        <v>2772</v>
      </c>
      <c r="C813" s="1">
        <v>20</v>
      </c>
      <c r="D813" s="1">
        <v>5</v>
      </c>
      <c r="E813" s="1" t="s">
        <v>74</v>
      </c>
      <c r="F813" s="1" t="s">
        <v>3258</v>
      </c>
      <c r="G813" s="3"/>
      <c r="H813" s="11">
        <f>ROUND(
IF(L813="GANCHO",
   IF(I813&lt;=50,I813*1.1+4,IF(I813&lt;=120,I813*1.1+7,IF(I813&lt;=250,I813*1.1+11,I813*1.1+19))),
IF(L813="NORMAL",
   IF(I813&lt;=30,I813*1.15+2,IF(I813&lt;=80,I813*1.15+4,IF(I813&lt;=150,I813*1.15+6,I813*1.15+8))),
IF(L813="COMPLEMENTO",
   IF(I813&lt;=25,I813*1.25+1.5,IF(I813&lt;=60,I813*1.25+3,IF(I813&lt;=120,I813*1.25+4,I813*1.25+5))),
""))),2)</f>
        <v>25.88</v>
      </c>
      <c r="I813" s="9">
        <f>($K$2+0.02)*Tabla1[[#This Row],[PRECIO $]]*1.18</f>
        <v>20.768000000000001</v>
      </c>
      <c r="J813" s="7">
        <f>+Tabla1[[#This Row],[PRECIO EN SOLES]]-Tabla1[[#This Row],[PC]]</f>
        <v>5.1119999999999983</v>
      </c>
      <c r="K813" s="15"/>
      <c r="L813" s="15" t="str">
        <f t="shared" si="12"/>
        <v>NORMAL</v>
      </c>
    </row>
    <row r="814" spans="1:12" x14ac:dyDescent="0.25">
      <c r="A814" s="3" t="s">
        <v>1414</v>
      </c>
      <c r="B814" s="3" t="s">
        <v>1415</v>
      </c>
      <c r="C814" s="1">
        <v>20</v>
      </c>
      <c r="D814" s="1">
        <v>100</v>
      </c>
      <c r="E814" s="1" t="s">
        <v>54</v>
      </c>
      <c r="F814" s="1" t="s">
        <v>3259</v>
      </c>
      <c r="G814" s="3"/>
      <c r="H814" s="11">
        <f>ROUND(
IF(L814="GANCHO",
   IF(I814&lt;=50,I814*1.1+4,IF(I814&lt;=120,I814*1.1+7,IF(I814&lt;=250,I814*1.1+11,I814*1.1+19))),
IF(L814="NORMAL",
   IF(I814&lt;=30,I814*1.15+2,IF(I814&lt;=80,I814*1.15+4,IF(I814&lt;=150,I814*1.15+6,I814*1.15+8))),
IF(L814="COMPLEMENTO",
   IF(I814&lt;=25,I814*1.25+1.5,IF(I814&lt;=60,I814*1.25+3,IF(I814&lt;=120,I814*1.25+4,I814*1.25+5))),
""))),2)</f>
        <v>485.66</v>
      </c>
      <c r="I814" s="9">
        <f>($K$2+0.02)*Tabla1[[#This Row],[PRECIO $]]*1.18</f>
        <v>415.35999999999996</v>
      </c>
      <c r="J814" s="7">
        <f>+Tabla1[[#This Row],[PRECIO EN SOLES]]-Tabla1[[#This Row],[PC]]</f>
        <v>70.300000000000068</v>
      </c>
      <c r="K814" s="15"/>
      <c r="L814" s="15" t="str">
        <f t="shared" si="12"/>
        <v>NORMAL</v>
      </c>
    </row>
    <row r="815" spans="1:12" x14ac:dyDescent="0.25">
      <c r="A815" s="3" t="s">
        <v>1416</v>
      </c>
      <c r="B815" s="3" t="s">
        <v>1417</v>
      </c>
      <c r="C815" s="1">
        <v>20</v>
      </c>
      <c r="D815" s="1">
        <v>100</v>
      </c>
      <c r="E815" s="1" t="s">
        <v>54</v>
      </c>
      <c r="F815" s="1" t="s">
        <v>3260</v>
      </c>
      <c r="G815" s="3"/>
      <c r="H815" s="11">
        <f>ROUND(
IF(L815="GANCHO",
   IF(I815&lt;=50,I815*1.1+4,IF(I815&lt;=120,I815*1.1+7,IF(I815&lt;=250,I815*1.1+11,I815*1.1+19))),
IF(L815="NORMAL",
   IF(I815&lt;=30,I815*1.15+2,IF(I815&lt;=80,I815*1.15+4,IF(I815&lt;=150,I815*1.15+6,I815*1.15+8))),
IF(L815="COMPLEMENTO",
   IF(I815&lt;=25,I815*1.25+1.5,IF(I815&lt;=60,I815*1.25+3,IF(I815&lt;=120,I815*1.25+4,I815*1.25+5))),
""))),2)</f>
        <v>485.66</v>
      </c>
      <c r="I815" s="9">
        <f>($K$2+0.02)*Tabla1[[#This Row],[PRECIO $]]*1.18</f>
        <v>415.35999999999996</v>
      </c>
      <c r="J815" s="7">
        <f>+Tabla1[[#This Row],[PRECIO EN SOLES]]-Tabla1[[#This Row],[PC]]</f>
        <v>70.300000000000068</v>
      </c>
      <c r="K815" s="15"/>
      <c r="L815" s="15" t="str">
        <f t="shared" si="12"/>
        <v>NORMAL</v>
      </c>
    </row>
    <row r="816" spans="1:12" x14ac:dyDescent="0.25">
      <c r="A816" s="3" t="s">
        <v>1418</v>
      </c>
      <c r="B816" s="3" t="s">
        <v>1419</v>
      </c>
      <c r="C816" s="1">
        <v>20</v>
      </c>
      <c r="D816" s="1">
        <v>666</v>
      </c>
      <c r="E816" s="1" t="s">
        <v>55</v>
      </c>
      <c r="F816" s="1" t="s">
        <v>3261</v>
      </c>
      <c r="G816" s="3"/>
      <c r="H816" s="11">
        <f>ROUND(
IF(L816="GANCHO",
   IF(I816&lt;=50,I816*1.1+4,IF(I816&lt;=120,I816*1.1+7,IF(I816&lt;=250,I816*1.1+11,I816*1.1+19))),
IF(L816="NORMAL",
   IF(I816&lt;=30,I816*1.15+2,IF(I816&lt;=80,I816*1.15+4,IF(I816&lt;=150,I816*1.15+6,I816*1.15+8))),
IF(L816="COMPLEMENTO",
   IF(I816&lt;=25,I816*1.25+1.5,IF(I816&lt;=60,I816*1.25+3,IF(I816&lt;=120,I816*1.25+4,I816*1.25+5))),
""))),2)</f>
        <v>3189.24</v>
      </c>
      <c r="I816" s="9">
        <f>($K$2+0.02)*Tabla1[[#This Row],[PRECIO $]]*1.18</f>
        <v>2766.2975999999999</v>
      </c>
      <c r="J816" s="7">
        <f>+Tabla1[[#This Row],[PRECIO EN SOLES]]-Tabla1[[#This Row],[PC]]</f>
        <v>422.94239999999991</v>
      </c>
      <c r="K816" s="15"/>
      <c r="L816" s="15" t="str">
        <f t="shared" si="12"/>
        <v>NORMAL</v>
      </c>
    </row>
    <row r="817" spans="1:12" x14ac:dyDescent="0.25">
      <c r="A817" s="3" t="s">
        <v>1420</v>
      </c>
      <c r="B817" s="3" t="s">
        <v>1421</v>
      </c>
      <c r="C817" s="1">
        <v>0</v>
      </c>
      <c r="D817" s="1">
        <v>666</v>
      </c>
      <c r="E817" s="1" t="s">
        <v>55</v>
      </c>
      <c r="F817" s="1" t="s">
        <v>3262</v>
      </c>
      <c r="G817" s="3"/>
      <c r="H817" s="11">
        <f>ROUND(
IF(L817="GANCHO",
   IF(I817&lt;=50,I817*1.1+4,IF(I817&lt;=120,I817*1.1+7,IF(I817&lt;=250,I817*1.1+11,I817*1.1+19))),
IF(L817="NORMAL",
   IF(I817&lt;=30,I817*1.15+2,IF(I817&lt;=80,I817*1.15+4,IF(I817&lt;=150,I817*1.15+6,I817*1.15+8))),
IF(L817="COMPLEMENTO",
   IF(I817&lt;=25,I817*1.25+1.5,IF(I817&lt;=60,I817*1.25+3,IF(I817&lt;=120,I817*1.25+4,I817*1.25+5))),
""))),2)</f>
        <v>3189.24</v>
      </c>
      <c r="I817" s="9">
        <f>($K$2+0.02)*Tabla1[[#This Row],[PRECIO $]]*1.18</f>
        <v>2766.2975999999999</v>
      </c>
      <c r="J817" s="7">
        <f>+Tabla1[[#This Row],[PRECIO EN SOLES]]-Tabla1[[#This Row],[PC]]</f>
        <v>422.94239999999991</v>
      </c>
      <c r="K817" s="15"/>
      <c r="L817" s="15" t="str">
        <f t="shared" si="12"/>
        <v>NORMAL</v>
      </c>
    </row>
    <row r="818" spans="1:12" x14ac:dyDescent="0.25">
      <c r="A818" s="3" t="s">
        <v>1422</v>
      </c>
      <c r="B818" s="3" t="s">
        <v>1423</v>
      </c>
      <c r="C818" s="1">
        <v>0</v>
      </c>
      <c r="D818" s="1">
        <v>99</v>
      </c>
      <c r="E818" s="1" t="s">
        <v>55</v>
      </c>
      <c r="F818" s="1" t="s">
        <v>3263</v>
      </c>
      <c r="G818" s="3"/>
      <c r="H818" s="11">
        <f>ROUND(
IF(L818="GANCHO",
   IF(I818&lt;=50,I818*1.1+4,IF(I818&lt;=120,I818*1.1+7,IF(I818&lt;=250,I818*1.1+11,I818*1.1+19))),
IF(L818="NORMAL",
   IF(I818&lt;=30,I818*1.15+2,IF(I818&lt;=80,I818*1.15+4,IF(I818&lt;=150,I818*1.15+6,I818*1.15+8))),
IF(L818="COMPLEMENTO",
   IF(I818&lt;=25,I818*1.25+1.5,IF(I818&lt;=60,I818*1.25+3,IF(I818&lt;=120,I818*1.25+4,I818*1.25+5))),
""))),2)</f>
        <v>480.89</v>
      </c>
      <c r="I818" s="9">
        <f>($K$2+0.02)*Tabla1[[#This Row],[PRECIO $]]*1.18</f>
        <v>411.20639999999997</v>
      </c>
      <c r="J818" s="7">
        <f>+Tabla1[[#This Row],[PRECIO EN SOLES]]-Tabla1[[#This Row],[PC]]</f>
        <v>69.683600000000013</v>
      </c>
      <c r="K818" s="15"/>
      <c r="L818" s="15" t="str">
        <f t="shared" si="12"/>
        <v>NORMAL</v>
      </c>
    </row>
    <row r="819" spans="1:12" x14ac:dyDescent="0.25">
      <c r="A819" s="3" t="s">
        <v>1424</v>
      </c>
      <c r="B819" s="3" t="s">
        <v>1425</v>
      </c>
      <c r="C819" s="1">
        <v>20</v>
      </c>
      <c r="D819" s="1">
        <v>6.5</v>
      </c>
      <c r="E819" s="1" t="s">
        <v>52</v>
      </c>
      <c r="F819" s="1" t="s">
        <v>3264</v>
      </c>
      <c r="G819" s="3"/>
      <c r="H819" s="11">
        <f>ROUND(
IF(L819="GANCHO",
   IF(I819&lt;=50,I819*1.1+4,IF(I819&lt;=120,I819*1.1+7,IF(I819&lt;=250,I819*1.1+11,I819*1.1+19))),
IF(L819="NORMAL",
   IF(I819&lt;=30,I819*1.15+2,IF(I819&lt;=80,I819*1.15+4,IF(I819&lt;=150,I819*1.15+6,I819*1.15+8))),
IF(L819="COMPLEMENTO",
   IF(I819&lt;=25,I819*1.25+1.5,IF(I819&lt;=60,I819*1.25+3,IF(I819&lt;=120,I819*1.25+4,I819*1.25+5))),
""))),2)</f>
        <v>33.049999999999997</v>
      </c>
      <c r="I819" s="9">
        <f>($K$2+0.02)*Tabla1[[#This Row],[PRECIO $]]*1.18</f>
        <v>26.998399999999997</v>
      </c>
      <c r="J819" s="7">
        <f>+Tabla1[[#This Row],[PRECIO EN SOLES]]-Tabla1[[#This Row],[PC]]</f>
        <v>6.0516000000000005</v>
      </c>
      <c r="K819" s="15"/>
      <c r="L819" s="15" t="str">
        <f t="shared" si="12"/>
        <v>NORMAL</v>
      </c>
    </row>
    <row r="820" spans="1:12" x14ac:dyDescent="0.25">
      <c r="A820" s="3" t="s">
        <v>1426</v>
      </c>
      <c r="B820" s="3" t="s">
        <v>1427</v>
      </c>
      <c r="C820" s="1">
        <v>0</v>
      </c>
      <c r="D820" s="1">
        <v>99</v>
      </c>
      <c r="E820" s="1" t="s">
        <v>52</v>
      </c>
      <c r="F820" s="1" t="s">
        <v>3265</v>
      </c>
      <c r="G820" s="3"/>
      <c r="H820" s="11">
        <f>ROUND(
IF(L820="GANCHO",
   IF(I820&lt;=50,I820*1.1+4,IF(I820&lt;=120,I820*1.1+7,IF(I820&lt;=250,I820*1.1+11,I820*1.1+19))),
IF(L820="NORMAL",
   IF(I820&lt;=30,I820*1.15+2,IF(I820&lt;=80,I820*1.15+4,IF(I820&lt;=150,I820*1.15+6,I820*1.15+8))),
IF(L820="COMPLEMENTO",
   IF(I820&lt;=25,I820*1.25+1.5,IF(I820&lt;=60,I820*1.25+3,IF(I820&lt;=120,I820*1.25+4,I820*1.25+5))),
""))),2)</f>
        <v>480.89</v>
      </c>
      <c r="I820" s="9">
        <f>($K$2+0.02)*Tabla1[[#This Row],[PRECIO $]]*1.18</f>
        <v>411.20639999999997</v>
      </c>
      <c r="J820" s="7">
        <f>+Tabla1[[#This Row],[PRECIO EN SOLES]]-Tabla1[[#This Row],[PC]]</f>
        <v>69.683600000000013</v>
      </c>
      <c r="K820" s="15"/>
      <c r="L820" s="15" t="str">
        <f t="shared" si="12"/>
        <v>NORMAL</v>
      </c>
    </row>
    <row r="821" spans="1:12" x14ac:dyDescent="0.25">
      <c r="A821" s="3" t="s">
        <v>1428</v>
      </c>
      <c r="B821" s="3" t="s">
        <v>1429</v>
      </c>
      <c r="C821" s="1">
        <v>0</v>
      </c>
      <c r="D821" s="1">
        <v>99</v>
      </c>
      <c r="E821" s="1" t="s">
        <v>52</v>
      </c>
      <c r="F821" s="1" t="s">
        <v>3266</v>
      </c>
      <c r="G821" s="3"/>
      <c r="H821" s="11">
        <f>ROUND(
IF(L821="GANCHO",
   IF(I821&lt;=50,I821*1.1+4,IF(I821&lt;=120,I821*1.1+7,IF(I821&lt;=250,I821*1.1+11,I821*1.1+19))),
IF(L821="NORMAL",
   IF(I821&lt;=30,I821*1.15+2,IF(I821&lt;=80,I821*1.15+4,IF(I821&lt;=150,I821*1.15+6,I821*1.15+8))),
IF(L821="COMPLEMENTO",
   IF(I821&lt;=25,I821*1.25+1.5,IF(I821&lt;=60,I821*1.25+3,IF(I821&lt;=120,I821*1.25+4,I821*1.25+5))),
""))),2)</f>
        <v>480.89</v>
      </c>
      <c r="I821" s="9">
        <f>($K$2+0.02)*Tabla1[[#This Row],[PRECIO $]]*1.18</f>
        <v>411.20639999999997</v>
      </c>
      <c r="J821" s="7">
        <f>+Tabla1[[#This Row],[PRECIO EN SOLES]]-Tabla1[[#This Row],[PC]]</f>
        <v>69.683600000000013</v>
      </c>
      <c r="K821" s="15"/>
      <c r="L821" s="15" t="str">
        <f t="shared" si="12"/>
        <v>NORMAL</v>
      </c>
    </row>
    <row r="822" spans="1:12" x14ac:dyDescent="0.25">
      <c r="A822" s="3" t="s">
        <v>1430</v>
      </c>
      <c r="B822" s="3" t="s">
        <v>1427</v>
      </c>
      <c r="C822" s="1">
        <v>20</v>
      </c>
      <c r="D822" s="1">
        <v>10</v>
      </c>
      <c r="E822" s="1" t="s">
        <v>52</v>
      </c>
      <c r="F822" s="1" t="s">
        <v>3267</v>
      </c>
      <c r="G822" s="3"/>
      <c r="H822" s="11">
        <f>ROUND(
IF(L822="GANCHO",
   IF(I822&lt;=50,I822*1.1+4,IF(I822&lt;=120,I822*1.1+7,IF(I822&lt;=250,I822*1.1+11,I822*1.1+19))),
IF(L822="NORMAL",
   IF(I822&lt;=30,I822*1.15+2,IF(I822&lt;=80,I822*1.15+4,IF(I822&lt;=150,I822*1.15+6,I822*1.15+8))),
IF(L822="COMPLEMENTO",
   IF(I822&lt;=25,I822*1.25+1.5,IF(I822&lt;=60,I822*1.25+3,IF(I822&lt;=120,I822*1.25+4,I822*1.25+5))),
""))),2)</f>
        <v>51.77</v>
      </c>
      <c r="I822" s="9">
        <f>($K$2+0.02)*Tabla1[[#This Row],[PRECIO $]]*1.18</f>
        <v>41.536000000000001</v>
      </c>
      <c r="J822" s="7">
        <f>+Tabla1[[#This Row],[PRECIO EN SOLES]]-Tabla1[[#This Row],[PC]]</f>
        <v>10.234000000000002</v>
      </c>
      <c r="K822" s="15"/>
      <c r="L822" s="15" t="str">
        <f t="shared" si="12"/>
        <v>NORMAL</v>
      </c>
    </row>
    <row r="823" spans="1:12" x14ac:dyDescent="0.25">
      <c r="A823" s="3" t="s">
        <v>1431</v>
      </c>
      <c r="B823" s="3" t="s">
        <v>1432</v>
      </c>
      <c r="C823" s="1">
        <v>20</v>
      </c>
      <c r="D823" s="1">
        <v>20</v>
      </c>
      <c r="E823" s="1" t="s">
        <v>52</v>
      </c>
      <c r="F823" s="1" t="s">
        <v>3268</v>
      </c>
      <c r="G823" s="3"/>
      <c r="H823" s="11">
        <f>ROUND(
IF(L823="GANCHO",
   IF(I823&lt;=50,I823*1.1+4,IF(I823&lt;=120,I823*1.1+7,IF(I823&lt;=250,I823*1.1+11,I823*1.1+19))),
IF(L823="NORMAL",
   IF(I823&lt;=30,I823*1.15+2,IF(I823&lt;=80,I823*1.15+4,IF(I823&lt;=150,I823*1.15+6,I823*1.15+8))),
IF(L823="COMPLEMENTO",
   IF(I823&lt;=25,I823*1.25+1.5,IF(I823&lt;=60,I823*1.25+3,IF(I823&lt;=120,I823*1.25+4,I823*1.25+5))),
""))),2)</f>
        <v>101.53</v>
      </c>
      <c r="I823" s="9">
        <f>($K$2+0.02)*Tabla1[[#This Row],[PRECIO $]]*1.18</f>
        <v>83.072000000000003</v>
      </c>
      <c r="J823" s="7">
        <f>+Tabla1[[#This Row],[PRECIO EN SOLES]]-Tabla1[[#This Row],[PC]]</f>
        <v>18.457999999999998</v>
      </c>
      <c r="K823" s="15"/>
      <c r="L823" s="15" t="str">
        <f t="shared" si="12"/>
        <v>NORMAL</v>
      </c>
    </row>
    <row r="824" spans="1:12" x14ac:dyDescent="0.25">
      <c r="A824" s="3" t="s">
        <v>4000</v>
      </c>
      <c r="B824" s="3" t="s">
        <v>4001</v>
      </c>
      <c r="C824" s="1">
        <v>20</v>
      </c>
      <c r="D824" s="1">
        <v>50</v>
      </c>
      <c r="E824" s="1" t="s">
        <v>52</v>
      </c>
      <c r="F824" s="1" t="s">
        <v>4002</v>
      </c>
      <c r="G824" s="3"/>
      <c r="H824" s="11">
        <f>ROUND(
IF(L824="GANCHO",
   IF(I824&lt;=50,I824*1.1+4,IF(I824&lt;=120,I824*1.1+7,IF(I824&lt;=250,I824*1.1+11,I824*1.1+19))),
IF(L824="NORMAL",
   IF(I824&lt;=30,I824*1.15+2,IF(I824&lt;=80,I824*1.15+4,IF(I824&lt;=150,I824*1.15+6,I824*1.15+8))),
IF(L824="COMPLEMENTO",
   IF(I824&lt;=25,I824*1.25+1.5,IF(I824&lt;=60,I824*1.25+3,IF(I824&lt;=120,I824*1.25+4,I824*1.25+5))),
""))),2)</f>
        <v>246.83</v>
      </c>
      <c r="I824" s="9">
        <f>($K$2+0.02)*Tabla1[[#This Row],[PRECIO $]]*1.18</f>
        <v>207.67999999999998</v>
      </c>
      <c r="J824" s="7">
        <f>+Tabla1[[#This Row],[PRECIO EN SOLES]]-Tabla1[[#This Row],[PC]]</f>
        <v>39.150000000000034</v>
      </c>
      <c r="K824" s="15"/>
      <c r="L824" s="15" t="str">
        <f t="shared" si="12"/>
        <v>NORMAL</v>
      </c>
    </row>
    <row r="825" spans="1:12" x14ac:dyDescent="0.25">
      <c r="A825" s="3" t="s">
        <v>1433</v>
      </c>
      <c r="B825" s="3" t="s">
        <v>1434</v>
      </c>
      <c r="C825" s="1">
        <v>20</v>
      </c>
      <c r="D825" s="1">
        <v>50</v>
      </c>
      <c r="E825" s="1" t="s">
        <v>52</v>
      </c>
      <c r="F825" s="1" t="s">
        <v>3269</v>
      </c>
      <c r="G825" s="3"/>
      <c r="H825" s="11">
        <f>ROUND(
IF(L825="GANCHO",
   IF(I825&lt;=50,I825*1.1+4,IF(I825&lt;=120,I825*1.1+7,IF(I825&lt;=250,I825*1.1+11,I825*1.1+19))),
IF(L825="NORMAL",
   IF(I825&lt;=30,I825*1.15+2,IF(I825&lt;=80,I825*1.15+4,IF(I825&lt;=150,I825*1.15+6,I825*1.15+8))),
IF(L825="COMPLEMENTO",
   IF(I825&lt;=25,I825*1.25+1.5,IF(I825&lt;=60,I825*1.25+3,IF(I825&lt;=120,I825*1.25+4,I825*1.25+5))),
""))),2)</f>
        <v>246.83</v>
      </c>
      <c r="I825" s="9">
        <f>($K$2+0.02)*Tabla1[[#This Row],[PRECIO $]]*1.18</f>
        <v>207.67999999999998</v>
      </c>
      <c r="J825" s="7">
        <f>+Tabla1[[#This Row],[PRECIO EN SOLES]]-Tabla1[[#This Row],[PC]]</f>
        <v>39.150000000000034</v>
      </c>
      <c r="K825" s="15"/>
      <c r="L825" s="15" t="str">
        <f t="shared" si="12"/>
        <v>NORMAL</v>
      </c>
    </row>
    <row r="826" spans="1:12" x14ac:dyDescent="0.25">
      <c r="A826" s="3" t="s">
        <v>2597</v>
      </c>
      <c r="B826" s="3" t="s">
        <v>2598</v>
      </c>
      <c r="C826" s="1">
        <v>5</v>
      </c>
      <c r="D826" s="1">
        <v>666</v>
      </c>
      <c r="E826" s="1" t="s">
        <v>55</v>
      </c>
      <c r="F826" s="1" t="s">
        <v>3270</v>
      </c>
      <c r="G826" s="3"/>
      <c r="H826" s="11">
        <f>ROUND(
IF(L826="GANCHO",
   IF(I826&lt;=50,I826*1.1+4,IF(I826&lt;=120,I826*1.1+7,IF(I826&lt;=250,I826*1.1+11,I826*1.1+19))),
IF(L826="NORMAL",
   IF(I826&lt;=30,I826*1.15+2,IF(I826&lt;=80,I826*1.15+4,IF(I826&lt;=150,I826*1.15+6,I826*1.15+8))),
IF(L826="COMPLEMENTO",
   IF(I826&lt;=25,I826*1.25+1.5,IF(I826&lt;=60,I826*1.25+3,IF(I826&lt;=120,I826*1.25+4,I826*1.25+5))),
""))),2)</f>
        <v>3189.24</v>
      </c>
      <c r="I826" s="9">
        <f>($K$2+0.02)*Tabla1[[#This Row],[PRECIO $]]*1.18</f>
        <v>2766.2975999999999</v>
      </c>
      <c r="J826" s="7">
        <f>+Tabla1[[#This Row],[PRECIO EN SOLES]]-Tabla1[[#This Row],[PC]]</f>
        <v>422.94239999999991</v>
      </c>
      <c r="K826" s="15"/>
      <c r="L826" s="15" t="str">
        <f t="shared" si="12"/>
        <v>NORMAL</v>
      </c>
    </row>
    <row r="827" spans="1:12" x14ac:dyDescent="0.25">
      <c r="A827" s="3" t="s">
        <v>1435</v>
      </c>
      <c r="B827" s="3" t="s">
        <v>1436</v>
      </c>
      <c r="C827" s="1">
        <v>20</v>
      </c>
      <c r="D827" s="1">
        <v>666</v>
      </c>
      <c r="E827" s="1" t="s">
        <v>55</v>
      </c>
      <c r="F827" s="1" t="s">
        <v>3271</v>
      </c>
      <c r="G827" s="3"/>
      <c r="H827" s="11">
        <f>ROUND(
IF(L827="GANCHO",
   IF(I827&lt;=50,I827*1.1+4,IF(I827&lt;=120,I827*1.1+7,IF(I827&lt;=250,I827*1.1+11,I827*1.1+19))),
IF(L827="NORMAL",
   IF(I827&lt;=30,I827*1.15+2,IF(I827&lt;=80,I827*1.15+4,IF(I827&lt;=150,I827*1.15+6,I827*1.15+8))),
IF(L827="COMPLEMENTO",
   IF(I827&lt;=25,I827*1.25+1.5,IF(I827&lt;=60,I827*1.25+3,IF(I827&lt;=120,I827*1.25+4,I827*1.25+5))),
""))),2)</f>
        <v>3189.24</v>
      </c>
      <c r="I827" s="9">
        <f>($K$2+0.02)*Tabla1[[#This Row],[PRECIO $]]*1.18</f>
        <v>2766.2975999999999</v>
      </c>
      <c r="J827" s="7">
        <f>+Tabla1[[#This Row],[PRECIO EN SOLES]]-Tabla1[[#This Row],[PC]]</f>
        <v>422.94239999999991</v>
      </c>
      <c r="K827" s="15"/>
      <c r="L827" s="15" t="str">
        <f t="shared" si="12"/>
        <v>NORMAL</v>
      </c>
    </row>
    <row r="828" spans="1:12" x14ac:dyDescent="0.25">
      <c r="A828" s="3" t="s">
        <v>2846</v>
      </c>
      <c r="B828" s="3" t="s">
        <v>2847</v>
      </c>
      <c r="C828" s="1">
        <v>20</v>
      </c>
      <c r="D828" s="1">
        <v>0.06</v>
      </c>
      <c r="E828" s="1" t="s">
        <v>57</v>
      </c>
      <c r="F828" s="1" t="s">
        <v>3272</v>
      </c>
      <c r="G828" s="3"/>
      <c r="H828" s="11">
        <f>ROUND(
IF(L828="GANCHO",
   IF(I828&lt;=50,I828*1.1+4,IF(I828&lt;=120,I828*1.1+7,IF(I828&lt;=250,I828*1.1+11,I828*1.1+19))),
IF(L828="NORMAL",
   IF(I828&lt;=30,I828*1.15+2,IF(I828&lt;=80,I828*1.15+4,IF(I828&lt;=150,I828*1.15+6,I828*1.15+8))),
IF(L828="COMPLEMENTO",
   IF(I828&lt;=25,I828*1.25+1.5,IF(I828&lt;=60,I828*1.25+3,IF(I828&lt;=120,I828*1.25+4,I828*1.25+5))),
""))),2)</f>
        <v>2.29</v>
      </c>
      <c r="I828" s="9">
        <f>($K$2+0.02)*Tabla1[[#This Row],[PRECIO $]]*1.18</f>
        <v>0.24921599999999999</v>
      </c>
      <c r="J828" s="7">
        <f>+Tabla1[[#This Row],[PRECIO EN SOLES]]-Tabla1[[#This Row],[PC]]</f>
        <v>2.0407839999999999</v>
      </c>
      <c r="K828" s="15"/>
      <c r="L828" s="15" t="str">
        <f t="shared" si="12"/>
        <v>NORMAL</v>
      </c>
    </row>
    <row r="829" spans="1:12" x14ac:dyDescent="0.25">
      <c r="A829" s="3" t="s">
        <v>5889</v>
      </c>
      <c r="B829" s="3" t="s">
        <v>5890</v>
      </c>
      <c r="C829" s="1">
        <v>0</v>
      </c>
      <c r="D829" s="1">
        <v>9999</v>
      </c>
      <c r="E829" s="1" t="s">
        <v>56</v>
      </c>
      <c r="F829" s="1" t="s">
        <v>5891</v>
      </c>
      <c r="G829" s="3"/>
      <c r="H829" s="11">
        <f>ROUND(
IF(L829="GANCHO",
   IF(I829&lt;=50,I829*1.1+4,IF(I829&lt;=120,I829*1.1+7,IF(I829&lt;=250,I829*1.1+11,I829*1.1+19))),
IF(L829="NORMAL",
   IF(I829&lt;=30,I829*1.15+2,IF(I829&lt;=80,I829*1.15+4,IF(I829&lt;=150,I829*1.15+6,I829*1.15+8))),
IF(L829="COMPLEMENTO",
   IF(I829&lt;=25,I829*1.25+1.5,IF(I829&lt;=60,I829*1.25+3,IF(I829&lt;=120,I829*1.25+4,I829*1.25+5))),
""))),2)</f>
        <v>47769.62</v>
      </c>
      <c r="I829" s="9">
        <f>($K$2+0.02)*Tabla1[[#This Row],[PRECIO $]]*1.18</f>
        <v>41531.846400000002</v>
      </c>
      <c r="J829" s="7">
        <f>+Tabla1[[#This Row],[PRECIO EN SOLES]]-Tabla1[[#This Row],[PC]]</f>
        <v>6237.7736000000004</v>
      </c>
      <c r="K829" s="15"/>
      <c r="L829" s="15" t="str">
        <f t="shared" si="12"/>
        <v>NORMAL</v>
      </c>
    </row>
    <row r="830" spans="1:12" x14ac:dyDescent="0.25">
      <c r="A830" s="3" t="s">
        <v>1437</v>
      </c>
      <c r="B830" s="3" t="s">
        <v>1438</v>
      </c>
      <c r="C830" s="1">
        <v>0</v>
      </c>
      <c r="D830" s="1">
        <v>600</v>
      </c>
      <c r="E830" s="1" t="s">
        <v>57</v>
      </c>
      <c r="F830" s="1" t="s">
        <v>3273</v>
      </c>
      <c r="G830" s="3"/>
      <c r="H830" s="11">
        <f>ROUND(
IF(L830="GANCHO",
   IF(I830&lt;=50,I830*1.1+4,IF(I830&lt;=120,I830*1.1+7,IF(I830&lt;=250,I830*1.1+11,I830*1.1+19))),
IF(L830="NORMAL",
   IF(I830&lt;=30,I830*1.15+2,IF(I830&lt;=80,I830*1.15+4,IF(I830&lt;=150,I830*1.15+6,I830*1.15+8))),
IF(L830="COMPLEMENTO",
   IF(I830&lt;=25,I830*1.25+1.5,IF(I830&lt;=60,I830*1.25+3,IF(I830&lt;=120,I830*1.25+4,I830*1.25+5))),
""))),2)</f>
        <v>2873.98</v>
      </c>
      <c r="I830" s="9">
        <f>($K$2+0.02)*Tabla1[[#This Row],[PRECIO $]]*1.18</f>
        <v>2492.16</v>
      </c>
      <c r="J830" s="7">
        <f>+Tabla1[[#This Row],[PRECIO EN SOLES]]-Tabla1[[#This Row],[PC]]</f>
        <v>381.82000000000016</v>
      </c>
      <c r="K830" s="15"/>
      <c r="L830" s="15" t="str">
        <f t="shared" si="12"/>
        <v>NORMAL</v>
      </c>
    </row>
    <row r="831" spans="1:12" x14ac:dyDescent="0.25">
      <c r="A831" s="3" t="s">
        <v>2773</v>
      </c>
      <c r="B831" s="3" t="s">
        <v>2774</v>
      </c>
      <c r="C831" s="1">
        <v>20</v>
      </c>
      <c r="D831" s="1">
        <v>666</v>
      </c>
      <c r="E831" s="1" t="s">
        <v>264</v>
      </c>
      <c r="F831" s="1" t="s">
        <v>3274</v>
      </c>
      <c r="G831" s="3"/>
      <c r="H831" s="11">
        <f>ROUND(
IF(L831="GANCHO",
   IF(I831&lt;=50,I831*1.1+4,IF(I831&lt;=120,I831*1.1+7,IF(I831&lt;=250,I831*1.1+11,I831*1.1+19))),
IF(L831="NORMAL",
   IF(I831&lt;=30,I831*1.15+2,IF(I831&lt;=80,I831*1.15+4,IF(I831&lt;=150,I831*1.15+6,I831*1.15+8))),
IF(L831="COMPLEMENTO",
   IF(I831&lt;=25,I831*1.25+1.5,IF(I831&lt;=60,I831*1.25+3,IF(I831&lt;=120,I831*1.25+4,I831*1.25+5))),
""))),2)</f>
        <v>3189.24</v>
      </c>
      <c r="I831" s="9">
        <f>($K$2+0.02)*Tabla1[[#This Row],[PRECIO $]]*1.18</f>
        <v>2766.2975999999999</v>
      </c>
      <c r="J831" s="7">
        <f>+Tabla1[[#This Row],[PRECIO EN SOLES]]-Tabla1[[#This Row],[PC]]</f>
        <v>422.94239999999991</v>
      </c>
      <c r="K831" s="15"/>
      <c r="L831" s="15" t="str">
        <f t="shared" si="12"/>
        <v>NORMAL</v>
      </c>
    </row>
    <row r="832" spans="1:12" x14ac:dyDescent="0.25">
      <c r="A832" s="3" t="s">
        <v>5892</v>
      </c>
      <c r="B832" s="3" t="s">
        <v>5893</v>
      </c>
      <c r="C832" s="1">
        <v>20</v>
      </c>
      <c r="D832" s="1">
        <v>666</v>
      </c>
      <c r="E832" s="1" t="s">
        <v>240</v>
      </c>
      <c r="F832" s="1" t="s">
        <v>5894</v>
      </c>
      <c r="G832" s="3"/>
      <c r="H832" s="11">
        <f>ROUND(
IF(L832="GANCHO",
   IF(I832&lt;=50,I832*1.1+4,IF(I832&lt;=120,I832*1.1+7,IF(I832&lt;=250,I832*1.1+11,I832*1.1+19))),
IF(L832="NORMAL",
   IF(I832&lt;=30,I832*1.15+2,IF(I832&lt;=80,I832*1.15+4,IF(I832&lt;=150,I832*1.15+6,I832*1.15+8))),
IF(L832="COMPLEMENTO",
   IF(I832&lt;=25,I832*1.25+1.5,IF(I832&lt;=60,I832*1.25+3,IF(I832&lt;=120,I832*1.25+4,I832*1.25+5))),
""))),2)</f>
        <v>3189.24</v>
      </c>
      <c r="I832" s="9">
        <f>($K$2+0.02)*Tabla1[[#This Row],[PRECIO $]]*1.18</f>
        <v>2766.2975999999999</v>
      </c>
      <c r="J832" s="7">
        <f>+Tabla1[[#This Row],[PRECIO EN SOLES]]-Tabla1[[#This Row],[PC]]</f>
        <v>422.94239999999991</v>
      </c>
      <c r="K832" s="15"/>
      <c r="L832" s="15" t="str">
        <f t="shared" si="12"/>
        <v>NORMAL</v>
      </c>
    </row>
    <row r="833" spans="1:12" x14ac:dyDescent="0.25">
      <c r="A833" s="3" t="s">
        <v>1439</v>
      </c>
      <c r="B833" s="3" t="s">
        <v>1440</v>
      </c>
      <c r="C833" s="1">
        <v>0</v>
      </c>
      <c r="D833" s="1">
        <v>600</v>
      </c>
      <c r="E833" s="1" t="s">
        <v>55</v>
      </c>
      <c r="F833" s="1" t="s">
        <v>3275</v>
      </c>
      <c r="G833" s="3"/>
      <c r="H833" s="11">
        <f>ROUND(
IF(L833="GANCHO",
   IF(I833&lt;=50,I833*1.1+4,IF(I833&lt;=120,I833*1.1+7,IF(I833&lt;=250,I833*1.1+11,I833*1.1+19))),
IF(L833="NORMAL",
   IF(I833&lt;=30,I833*1.15+2,IF(I833&lt;=80,I833*1.15+4,IF(I833&lt;=150,I833*1.15+6,I833*1.15+8))),
IF(L833="COMPLEMENTO",
   IF(I833&lt;=25,I833*1.25+1.5,IF(I833&lt;=60,I833*1.25+3,IF(I833&lt;=120,I833*1.25+4,I833*1.25+5))),
""))),2)</f>
        <v>2873.98</v>
      </c>
      <c r="I833" s="9">
        <f>($K$2+0.02)*Tabla1[[#This Row],[PRECIO $]]*1.18</f>
        <v>2492.16</v>
      </c>
      <c r="J833" s="7">
        <f>+Tabla1[[#This Row],[PRECIO EN SOLES]]-Tabla1[[#This Row],[PC]]</f>
        <v>381.82000000000016</v>
      </c>
      <c r="K833" s="15"/>
      <c r="L833" s="15" t="str">
        <f t="shared" si="12"/>
        <v>NORMAL</v>
      </c>
    </row>
    <row r="834" spans="1:12" x14ac:dyDescent="0.25">
      <c r="A834" s="3" t="s">
        <v>1441</v>
      </c>
      <c r="B834" s="3" t="s">
        <v>2599</v>
      </c>
      <c r="C834" s="1">
        <v>18</v>
      </c>
      <c r="D834" s="1">
        <v>600</v>
      </c>
      <c r="E834" s="1" t="s">
        <v>55</v>
      </c>
      <c r="F834" s="1" t="s">
        <v>3276</v>
      </c>
      <c r="G834" s="3"/>
      <c r="H834" s="11">
        <f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2873.98</v>
      </c>
      <c r="I834" s="9">
        <f>($K$2+0.02)*Tabla1[[#This Row],[PRECIO $]]*1.18</f>
        <v>2492.16</v>
      </c>
      <c r="J834" s="7">
        <f>+Tabla1[[#This Row],[PRECIO EN SOLES]]-Tabla1[[#This Row],[PC]]</f>
        <v>381.82000000000016</v>
      </c>
      <c r="K834" s="15"/>
      <c r="L834" s="15" t="str">
        <f t="shared" si="12"/>
        <v>NORMAL</v>
      </c>
    </row>
    <row r="835" spans="1:12" x14ac:dyDescent="0.25">
      <c r="A835" s="3" t="s">
        <v>2689</v>
      </c>
      <c r="B835" s="3" t="s">
        <v>2690</v>
      </c>
      <c r="C835" s="1">
        <v>0</v>
      </c>
      <c r="D835" s="1">
        <v>9999999.9900000002</v>
      </c>
      <c r="E835" s="1" t="s">
        <v>264</v>
      </c>
      <c r="F835" s="1" t="s">
        <v>3277</v>
      </c>
      <c r="G835" s="3"/>
      <c r="H835" s="11">
        <f>ROUND(
IF(L835="GANCHO",
   IF(I835&lt;=50,I835*1.1+4,IF(I835&lt;=120,I835*1.1+7,IF(I835&lt;=250,I835*1.1+11,I835*1.1+19))),
IF(L835="NORMAL",
   IF(I835&lt;=30,I835*1.15+2,IF(I835&lt;=80,I835*1.15+4,IF(I835&lt;=150,I835*1.15+6,I835*1.15+8))),
IF(L835="COMPLEMENTO",
   IF(I835&lt;=25,I835*1.25+1.5,IF(I835&lt;=60,I835*1.25+3,IF(I835&lt;=120,I835*1.25+4,I835*1.25+5))),
""))),2)</f>
        <v>47766407.950000003</v>
      </c>
      <c r="I835" s="9">
        <f>($K$2+0.02)*Tabla1[[#This Row],[PRECIO $]]*1.18</f>
        <v>41535999.958463997</v>
      </c>
      <c r="J835" s="7">
        <f>+Tabla1[[#This Row],[PRECIO EN SOLES]]-Tabla1[[#This Row],[PC]]</f>
        <v>6230407.9915360063</v>
      </c>
      <c r="K835" s="15"/>
      <c r="L835" s="15" t="str">
        <f t="shared" ref="L835:L898" si="13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1442</v>
      </c>
      <c r="B836" s="3" t="s">
        <v>1443</v>
      </c>
      <c r="C836" s="1">
        <v>20</v>
      </c>
      <c r="D836" s="1">
        <v>600</v>
      </c>
      <c r="E836" s="1" t="s">
        <v>55</v>
      </c>
      <c r="F836" s="1" t="s">
        <v>3278</v>
      </c>
      <c r="G836" s="3"/>
      <c r="H836" s="11">
        <f>ROUND(
IF(L836="GANCHO",
   IF(I836&lt;=50,I836*1.1+4,IF(I836&lt;=120,I836*1.1+7,IF(I836&lt;=250,I836*1.1+11,I836*1.1+19))),
IF(L836="NORMAL",
   IF(I836&lt;=30,I836*1.15+2,IF(I836&lt;=80,I836*1.15+4,IF(I836&lt;=150,I836*1.15+6,I836*1.15+8))),
IF(L836="COMPLEMENTO",
   IF(I836&lt;=25,I836*1.25+1.5,IF(I836&lt;=60,I836*1.25+3,IF(I836&lt;=120,I836*1.25+4,I836*1.25+5))),
""))),2)</f>
        <v>2873.98</v>
      </c>
      <c r="I836" s="9">
        <f>($K$2+0.02)*Tabla1[[#This Row],[PRECIO $]]*1.18</f>
        <v>2492.16</v>
      </c>
      <c r="J836" s="7">
        <f>+Tabla1[[#This Row],[PRECIO EN SOLES]]-Tabla1[[#This Row],[PC]]</f>
        <v>381.82000000000016</v>
      </c>
      <c r="K836" s="15"/>
      <c r="L836" s="15" t="str">
        <f t="shared" si="13"/>
        <v>NORMAL</v>
      </c>
    </row>
    <row r="837" spans="1:12" x14ac:dyDescent="0.25">
      <c r="A837" s="3" t="s">
        <v>1444</v>
      </c>
      <c r="B837" s="3" t="s">
        <v>1445</v>
      </c>
      <c r="C837" s="1">
        <v>0</v>
      </c>
      <c r="D837" s="1">
        <v>999</v>
      </c>
      <c r="E837" s="1" t="s">
        <v>1446</v>
      </c>
      <c r="F837" s="1" t="s">
        <v>3279</v>
      </c>
      <c r="G837" s="3"/>
      <c r="H837" s="11">
        <f>ROUND(
IF(L837="GANCHO",
   IF(I837&lt;=50,I837*1.1+4,IF(I837&lt;=120,I837*1.1+7,IF(I837&lt;=250,I837*1.1+11,I837*1.1+19))),
IF(L837="NORMAL",
   IF(I837&lt;=30,I837*1.15+2,IF(I837&lt;=80,I837*1.15+4,IF(I837&lt;=150,I837*1.15+6,I837*1.15+8))),
IF(L837="COMPLEMENTO",
   IF(I837&lt;=25,I837*1.25+1.5,IF(I837&lt;=60,I837*1.25+3,IF(I837&lt;=120,I837*1.25+4,I837*1.25+5))),
""))),2)</f>
        <v>4779.8599999999997</v>
      </c>
      <c r="I837" s="9">
        <f>($K$2+0.02)*Tabla1[[#This Row],[PRECIO $]]*1.18</f>
        <v>4149.4463999999998</v>
      </c>
      <c r="J837" s="7">
        <f>+Tabla1[[#This Row],[PRECIO EN SOLES]]-Tabla1[[#This Row],[PC]]</f>
        <v>630.41359999999986</v>
      </c>
      <c r="K837" s="15"/>
      <c r="L837" s="15" t="str">
        <f t="shared" si="13"/>
        <v>NORMAL</v>
      </c>
    </row>
    <row r="838" spans="1:12" x14ac:dyDescent="0.25">
      <c r="A838" s="3" t="s">
        <v>4614</v>
      </c>
      <c r="B838" s="3" t="s">
        <v>4615</v>
      </c>
      <c r="C838" s="1">
        <v>0</v>
      </c>
      <c r="D838" s="1">
        <v>666</v>
      </c>
      <c r="E838" s="1" t="s">
        <v>154</v>
      </c>
      <c r="F838" s="1" t="s">
        <v>4616</v>
      </c>
      <c r="G838" s="3"/>
      <c r="H838" s="11">
        <f>ROUND(
IF(L838="GANCHO",
   IF(I838&lt;=50,I838*1.1+4,IF(I838&lt;=120,I838*1.1+7,IF(I838&lt;=250,I838*1.1+11,I838*1.1+19))),
IF(L838="NORMAL",
   IF(I838&lt;=30,I838*1.15+2,IF(I838&lt;=80,I838*1.15+4,IF(I838&lt;=150,I838*1.15+6,I838*1.15+8))),
IF(L838="COMPLEMENTO",
   IF(I838&lt;=25,I838*1.25+1.5,IF(I838&lt;=60,I838*1.25+3,IF(I838&lt;=120,I838*1.25+4,I838*1.25+5))),
""))),2)</f>
        <v>3189.24</v>
      </c>
      <c r="I838" s="9">
        <f>($K$2+0.02)*Tabla1[[#This Row],[PRECIO $]]*1.18</f>
        <v>2766.2975999999999</v>
      </c>
      <c r="J838" s="7">
        <f>+Tabla1[[#This Row],[PRECIO EN SOLES]]-Tabla1[[#This Row],[PC]]</f>
        <v>422.94239999999991</v>
      </c>
      <c r="K838" s="15"/>
      <c r="L838" s="15" t="str">
        <f t="shared" si="13"/>
        <v>NORMAL</v>
      </c>
    </row>
    <row r="839" spans="1:12" x14ac:dyDescent="0.25">
      <c r="A839" s="3" t="s">
        <v>4003</v>
      </c>
      <c r="B839" s="3" t="s">
        <v>4004</v>
      </c>
      <c r="C839" s="1">
        <v>7</v>
      </c>
      <c r="D839" s="1">
        <v>666</v>
      </c>
      <c r="E839" s="1" t="s">
        <v>264</v>
      </c>
      <c r="F839" s="1" t="s">
        <v>4005</v>
      </c>
      <c r="G839" s="3"/>
      <c r="H839" s="11">
        <f>ROUND(
IF(L839="GANCHO",
   IF(I839&lt;=50,I839*1.1+4,IF(I839&lt;=120,I839*1.1+7,IF(I839&lt;=250,I839*1.1+11,I839*1.1+19))),
IF(L839="NORMAL",
   IF(I839&lt;=30,I839*1.15+2,IF(I839&lt;=80,I839*1.15+4,IF(I839&lt;=150,I839*1.15+6,I839*1.15+8))),
IF(L839="COMPLEMENTO",
   IF(I839&lt;=25,I839*1.25+1.5,IF(I839&lt;=60,I839*1.25+3,IF(I839&lt;=120,I839*1.25+4,I839*1.25+5))),
""))),2)</f>
        <v>3189.24</v>
      </c>
      <c r="I839" s="9">
        <f>($K$2+0.02)*Tabla1[[#This Row],[PRECIO $]]*1.18</f>
        <v>2766.2975999999999</v>
      </c>
      <c r="J839" s="7">
        <f>+Tabla1[[#This Row],[PRECIO EN SOLES]]-Tabla1[[#This Row],[PC]]</f>
        <v>422.94239999999991</v>
      </c>
      <c r="K839" s="15"/>
      <c r="L839" s="15" t="str">
        <f t="shared" si="13"/>
        <v>NORMAL</v>
      </c>
    </row>
    <row r="840" spans="1:12" x14ac:dyDescent="0.25">
      <c r="A840" s="3" t="s">
        <v>5990</v>
      </c>
      <c r="B840" s="3" t="s">
        <v>5991</v>
      </c>
      <c r="C840" s="1">
        <v>20</v>
      </c>
      <c r="D840" s="1">
        <v>666</v>
      </c>
      <c r="E840" s="1" t="s">
        <v>240</v>
      </c>
      <c r="F840" s="1" t="s">
        <v>5992</v>
      </c>
      <c r="G840" s="3"/>
      <c r="H840" s="11">
        <f>ROUND(
IF(L840="GANCHO",
   IF(I840&lt;=50,I840*1.1+4,IF(I840&lt;=120,I840*1.1+7,IF(I840&lt;=250,I840*1.1+11,I840*1.1+19))),
IF(L840="NORMAL",
   IF(I840&lt;=30,I840*1.15+2,IF(I840&lt;=80,I840*1.15+4,IF(I840&lt;=150,I840*1.15+6,I840*1.15+8))),
IF(L840="COMPLEMENTO",
   IF(I840&lt;=25,I840*1.25+1.5,IF(I840&lt;=60,I840*1.25+3,IF(I840&lt;=120,I840*1.25+4,I840*1.25+5))),
""))),2)</f>
        <v>3189.24</v>
      </c>
      <c r="I840" s="9">
        <f>($K$2+0.02)*Tabla1[[#This Row],[PRECIO $]]*1.18</f>
        <v>2766.2975999999999</v>
      </c>
      <c r="J840" s="7">
        <f>+Tabla1[[#This Row],[PRECIO EN SOLES]]-Tabla1[[#This Row],[PC]]</f>
        <v>422.94239999999991</v>
      </c>
      <c r="K840" s="15"/>
      <c r="L840" s="15" t="str">
        <f t="shared" si="13"/>
        <v>NORMAL</v>
      </c>
    </row>
    <row r="841" spans="1:12" x14ac:dyDescent="0.25">
      <c r="A841" s="3" t="s">
        <v>1447</v>
      </c>
      <c r="B841" s="3" t="s">
        <v>2600</v>
      </c>
      <c r="C841" s="1">
        <v>0</v>
      </c>
      <c r="D841" s="1">
        <v>600</v>
      </c>
      <c r="E841" s="1" t="s">
        <v>55</v>
      </c>
      <c r="F841" s="1" t="s">
        <v>3280</v>
      </c>
      <c r="G841" s="3"/>
      <c r="H841" s="11">
        <f>ROUND(
IF(L841="GANCHO",
   IF(I841&lt;=50,I841*1.1+4,IF(I841&lt;=120,I841*1.1+7,IF(I841&lt;=250,I841*1.1+11,I841*1.1+19))),
IF(L841="NORMAL",
   IF(I841&lt;=30,I841*1.15+2,IF(I841&lt;=80,I841*1.15+4,IF(I841&lt;=150,I841*1.15+6,I841*1.15+8))),
IF(L841="COMPLEMENTO",
   IF(I841&lt;=25,I841*1.25+1.5,IF(I841&lt;=60,I841*1.25+3,IF(I841&lt;=120,I841*1.25+4,I841*1.25+5))),
""))),2)</f>
        <v>2873.98</v>
      </c>
      <c r="I841" s="9">
        <f>($K$2+0.02)*Tabla1[[#This Row],[PRECIO $]]*1.18</f>
        <v>2492.16</v>
      </c>
      <c r="J841" s="7">
        <f>+Tabla1[[#This Row],[PRECIO EN SOLES]]-Tabla1[[#This Row],[PC]]</f>
        <v>381.82000000000016</v>
      </c>
      <c r="K841" s="15"/>
      <c r="L841" s="15" t="str">
        <f t="shared" si="13"/>
        <v>NORMAL</v>
      </c>
    </row>
    <row r="842" spans="1:12" x14ac:dyDescent="0.25">
      <c r="A842" s="3" t="s">
        <v>1448</v>
      </c>
      <c r="B842" s="3" t="s">
        <v>1449</v>
      </c>
      <c r="C842" s="1">
        <v>20</v>
      </c>
      <c r="D842" s="1">
        <v>666</v>
      </c>
      <c r="E842" s="1" t="s">
        <v>170</v>
      </c>
      <c r="F842" s="1" t="s">
        <v>3281</v>
      </c>
      <c r="G842" s="3"/>
      <c r="H842" s="11">
        <f>ROUND(
IF(L842="GANCHO",
   IF(I842&lt;=50,I842*1.1+4,IF(I842&lt;=120,I842*1.1+7,IF(I842&lt;=250,I842*1.1+11,I842*1.1+19))),
IF(L842="NORMAL",
   IF(I842&lt;=30,I842*1.15+2,IF(I842&lt;=80,I842*1.15+4,IF(I842&lt;=150,I842*1.15+6,I842*1.15+8))),
IF(L842="COMPLEMENTO",
   IF(I842&lt;=25,I842*1.25+1.5,IF(I842&lt;=60,I842*1.25+3,IF(I842&lt;=120,I842*1.25+4,I842*1.25+5))),
""))),2)</f>
        <v>3189.24</v>
      </c>
      <c r="I842" s="9">
        <f>($K$2+0.02)*Tabla1[[#This Row],[PRECIO $]]*1.18</f>
        <v>2766.2975999999999</v>
      </c>
      <c r="J842" s="7">
        <f>+Tabla1[[#This Row],[PRECIO EN SOLES]]-Tabla1[[#This Row],[PC]]</f>
        <v>422.94239999999991</v>
      </c>
      <c r="K842" s="15"/>
      <c r="L842" s="15" t="str">
        <f t="shared" si="13"/>
        <v>NORMAL</v>
      </c>
    </row>
    <row r="843" spans="1:12" x14ac:dyDescent="0.25">
      <c r="A843" s="3" t="s">
        <v>5227</v>
      </c>
      <c r="B843" s="3" t="s">
        <v>5228</v>
      </c>
      <c r="C843" s="1">
        <v>0</v>
      </c>
      <c r="D843" s="1">
        <v>999</v>
      </c>
      <c r="E843" s="1" t="s">
        <v>215</v>
      </c>
      <c r="F843" s="1" t="s">
        <v>5229</v>
      </c>
      <c r="G843" s="3"/>
      <c r="H843" s="11">
        <f>ROUND(
IF(L843="GANCHO",
   IF(I843&lt;=50,I843*1.1+4,IF(I843&lt;=120,I843*1.1+7,IF(I843&lt;=250,I843*1.1+11,I843*1.1+19))),
IF(L843="NORMAL",
   IF(I843&lt;=30,I843*1.15+2,IF(I843&lt;=80,I843*1.15+4,IF(I843&lt;=150,I843*1.15+6,I843*1.15+8))),
IF(L843="COMPLEMENTO",
   IF(I843&lt;=25,I843*1.25+1.5,IF(I843&lt;=60,I843*1.25+3,IF(I843&lt;=120,I843*1.25+4,I843*1.25+5))),
""))),2)</f>
        <v>4779.8599999999997</v>
      </c>
      <c r="I843" s="9">
        <f>($K$2+0.02)*Tabla1[[#This Row],[PRECIO $]]*1.18</f>
        <v>4149.4463999999998</v>
      </c>
      <c r="J843" s="7">
        <f>+Tabla1[[#This Row],[PRECIO EN SOLES]]-Tabla1[[#This Row],[PC]]</f>
        <v>630.41359999999986</v>
      </c>
      <c r="K843" s="15"/>
      <c r="L843" s="15" t="str">
        <f t="shared" si="13"/>
        <v>NORMAL</v>
      </c>
    </row>
    <row r="844" spans="1:12" x14ac:dyDescent="0.25">
      <c r="A844" s="3" t="s">
        <v>1450</v>
      </c>
      <c r="B844" s="3" t="s">
        <v>1451</v>
      </c>
      <c r="C844" s="1">
        <v>20</v>
      </c>
      <c r="D844" s="1">
        <v>666</v>
      </c>
      <c r="E844" s="1" t="s">
        <v>170</v>
      </c>
      <c r="F844" s="1" t="s">
        <v>3282</v>
      </c>
      <c r="G844" s="3"/>
      <c r="H844" s="11">
        <f>ROUND(
IF(L844="GANCHO",
   IF(I844&lt;=50,I844*1.1+4,IF(I844&lt;=120,I844*1.1+7,IF(I844&lt;=250,I844*1.1+11,I844*1.1+19))),
IF(L844="NORMAL",
   IF(I844&lt;=30,I844*1.15+2,IF(I844&lt;=80,I844*1.15+4,IF(I844&lt;=150,I844*1.15+6,I844*1.15+8))),
IF(L844="COMPLEMENTO",
   IF(I844&lt;=25,I844*1.25+1.5,IF(I844&lt;=60,I844*1.25+3,IF(I844&lt;=120,I844*1.25+4,I844*1.25+5))),
""))),2)</f>
        <v>3189.24</v>
      </c>
      <c r="I844" s="9">
        <f>($K$2+0.02)*Tabla1[[#This Row],[PRECIO $]]*1.18</f>
        <v>2766.2975999999999</v>
      </c>
      <c r="J844" s="7">
        <f>+Tabla1[[#This Row],[PRECIO EN SOLES]]-Tabla1[[#This Row],[PC]]</f>
        <v>422.94239999999991</v>
      </c>
      <c r="K844" s="15"/>
      <c r="L844" s="15" t="str">
        <f t="shared" si="13"/>
        <v>NORMAL</v>
      </c>
    </row>
    <row r="845" spans="1:12" x14ac:dyDescent="0.25">
      <c r="A845" s="3" t="s">
        <v>6106</v>
      </c>
      <c r="B845" s="3" t="s">
        <v>6107</v>
      </c>
      <c r="C845" s="1">
        <v>0</v>
      </c>
      <c r="D845" s="1">
        <v>999</v>
      </c>
      <c r="E845" s="1" t="s">
        <v>56</v>
      </c>
      <c r="F845" s="1" t="s">
        <v>6108</v>
      </c>
      <c r="G845" s="3"/>
      <c r="H845" s="11">
        <f>ROUND(
IF(L845="GANCHO",
   IF(I845&lt;=50,I845*1.1+4,IF(I845&lt;=120,I845*1.1+7,IF(I845&lt;=250,I845*1.1+11,I845*1.1+19))),
IF(L845="NORMAL",
   IF(I845&lt;=30,I845*1.15+2,IF(I845&lt;=80,I845*1.15+4,IF(I845&lt;=150,I845*1.15+6,I845*1.15+8))),
IF(L845="COMPLEMENTO",
   IF(I845&lt;=25,I845*1.25+1.5,IF(I845&lt;=60,I845*1.25+3,IF(I845&lt;=120,I845*1.25+4,I845*1.25+5))),
""))),2)</f>
        <v>4779.8599999999997</v>
      </c>
      <c r="I845" s="9">
        <f>($K$2+0.02)*Tabla1[[#This Row],[PRECIO $]]*1.18</f>
        <v>4149.4463999999998</v>
      </c>
      <c r="J845" s="7">
        <f>+Tabla1[[#This Row],[PRECIO EN SOLES]]-Tabla1[[#This Row],[PC]]</f>
        <v>630.41359999999986</v>
      </c>
      <c r="K845" s="15"/>
      <c r="L845" s="15" t="str">
        <f t="shared" si="13"/>
        <v>NORMAL</v>
      </c>
    </row>
    <row r="846" spans="1:12" x14ac:dyDescent="0.25">
      <c r="A846" s="3" t="s">
        <v>4760</v>
      </c>
      <c r="B846" s="3" t="s">
        <v>4761</v>
      </c>
      <c r="C846" s="1">
        <v>0</v>
      </c>
      <c r="D846" s="1">
        <v>999</v>
      </c>
      <c r="E846" s="1" t="s">
        <v>215</v>
      </c>
      <c r="F846" s="1" t="s">
        <v>4762</v>
      </c>
      <c r="G846" s="3"/>
      <c r="H846" s="11">
        <f>ROUND(
IF(L846="GANCHO",
   IF(I846&lt;=50,I846*1.1+4,IF(I846&lt;=120,I846*1.1+7,IF(I846&lt;=250,I846*1.1+11,I846*1.1+19))),
IF(L846="NORMAL",
   IF(I846&lt;=30,I846*1.15+2,IF(I846&lt;=80,I846*1.15+4,IF(I846&lt;=150,I846*1.15+6,I846*1.15+8))),
IF(L846="COMPLEMENTO",
   IF(I846&lt;=25,I846*1.25+1.5,IF(I846&lt;=60,I846*1.25+3,IF(I846&lt;=120,I846*1.25+4,I846*1.25+5))),
""))),2)</f>
        <v>4779.8599999999997</v>
      </c>
      <c r="I846" s="9">
        <f>($K$2+0.02)*Tabla1[[#This Row],[PRECIO $]]*1.18</f>
        <v>4149.4463999999998</v>
      </c>
      <c r="J846" s="7">
        <f>+Tabla1[[#This Row],[PRECIO EN SOLES]]-Tabla1[[#This Row],[PC]]</f>
        <v>630.41359999999986</v>
      </c>
      <c r="K846" s="15"/>
      <c r="L846" s="15" t="str">
        <f t="shared" si="13"/>
        <v>NORMAL</v>
      </c>
    </row>
    <row r="847" spans="1:12" x14ac:dyDescent="0.25">
      <c r="A847" s="3" t="s">
        <v>1452</v>
      </c>
      <c r="B847" s="3" t="s">
        <v>1453</v>
      </c>
      <c r="C847" s="1">
        <v>0</v>
      </c>
      <c r="D847" s="1">
        <v>10</v>
      </c>
      <c r="E847" s="1" t="s">
        <v>57</v>
      </c>
      <c r="F847" s="1" t="s">
        <v>3283</v>
      </c>
      <c r="G847" s="3"/>
      <c r="H847" s="11">
        <f>ROUND(
IF(L847="GANCHO",
   IF(I847&lt;=50,I847*1.1+4,IF(I847&lt;=120,I847*1.1+7,IF(I847&lt;=250,I847*1.1+11,I847*1.1+19))),
IF(L847="NORMAL",
   IF(I847&lt;=30,I847*1.15+2,IF(I847&lt;=80,I847*1.15+4,IF(I847&lt;=150,I847*1.15+6,I847*1.15+8))),
IF(L847="COMPLEMENTO",
   IF(I847&lt;=25,I847*1.25+1.5,IF(I847&lt;=60,I847*1.25+3,IF(I847&lt;=120,I847*1.25+4,I847*1.25+5))),
""))),2)</f>
        <v>51.77</v>
      </c>
      <c r="I847" s="9">
        <f>($K$2+0.02)*Tabla1[[#This Row],[PRECIO $]]*1.18</f>
        <v>41.536000000000001</v>
      </c>
      <c r="J847" s="7">
        <f>+Tabla1[[#This Row],[PRECIO EN SOLES]]-Tabla1[[#This Row],[PC]]</f>
        <v>10.234000000000002</v>
      </c>
      <c r="K847" s="15"/>
      <c r="L847" s="15" t="str">
        <f t="shared" si="13"/>
        <v>NORMAL</v>
      </c>
    </row>
    <row r="848" spans="1:12" x14ac:dyDescent="0.25">
      <c r="A848" s="3" t="s">
        <v>1454</v>
      </c>
      <c r="B848" s="3" t="s">
        <v>1455</v>
      </c>
      <c r="C848" s="1">
        <v>20</v>
      </c>
      <c r="D848" s="1">
        <v>6.2</v>
      </c>
      <c r="E848" s="1" t="s">
        <v>52</v>
      </c>
      <c r="F848" s="1" t="s">
        <v>3284</v>
      </c>
      <c r="G848" s="3"/>
      <c r="H848" s="11">
        <f>ROUND(
IF(L848="GANCHO",
   IF(I848&lt;=50,I848*1.1+4,IF(I848&lt;=120,I848*1.1+7,IF(I848&lt;=250,I848*1.1+11,I848*1.1+19))),
IF(L848="NORMAL",
   IF(I848&lt;=30,I848*1.15+2,IF(I848&lt;=80,I848*1.15+4,IF(I848&lt;=150,I848*1.15+6,I848*1.15+8))),
IF(L848="COMPLEMENTO",
   IF(I848&lt;=25,I848*1.25+1.5,IF(I848&lt;=60,I848*1.25+3,IF(I848&lt;=120,I848*1.25+4,I848*1.25+5))),
""))),2)</f>
        <v>31.62</v>
      </c>
      <c r="I848" s="9">
        <f>($K$2+0.02)*Tabla1[[#This Row],[PRECIO $]]*1.18</f>
        <v>25.752320000000001</v>
      </c>
      <c r="J848" s="7">
        <f>+Tabla1[[#This Row],[PRECIO EN SOLES]]-Tabla1[[#This Row],[PC]]</f>
        <v>5.86768</v>
      </c>
      <c r="K848" s="15"/>
      <c r="L848" s="15" t="str">
        <f t="shared" si="13"/>
        <v>NORMAL</v>
      </c>
    </row>
    <row r="849" spans="1:12" x14ac:dyDescent="0.25">
      <c r="A849" s="3" t="s">
        <v>1456</v>
      </c>
      <c r="B849" s="3" t="s">
        <v>2601</v>
      </c>
      <c r="C849" s="1">
        <v>20</v>
      </c>
      <c r="D849" s="1">
        <v>600</v>
      </c>
      <c r="E849" s="1" t="s">
        <v>55</v>
      </c>
      <c r="F849" s="1" t="s">
        <v>3285</v>
      </c>
      <c r="G849" s="3"/>
      <c r="H849" s="11">
        <f>ROUND(
IF(L849="GANCHO",
   IF(I849&lt;=50,I849*1.1+4,IF(I849&lt;=120,I849*1.1+7,IF(I849&lt;=250,I849*1.1+11,I849*1.1+19))),
IF(L849="NORMAL",
   IF(I849&lt;=30,I849*1.15+2,IF(I849&lt;=80,I849*1.15+4,IF(I849&lt;=150,I849*1.15+6,I849*1.15+8))),
IF(L849="COMPLEMENTO",
   IF(I849&lt;=25,I849*1.25+1.5,IF(I849&lt;=60,I849*1.25+3,IF(I849&lt;=120,I849*1.25+4,I849*1.25+5))),
""))),2)</f>
        <v>3120.2</v>
      </c>
      <c r="I849" s="9">
        <f>($K$2+0.02)*Tabla1[[#This Row],[PRECIO $]]*1.18</f>
        <v>2492.16</v>
      </c>
      <c r="J849" s="7">
        <f>+Tabla1[[#This Row],[PRECIO EN SOLES]]-Tabla1[[#This Row],[PC]]</f>
        <v>628.04</v>
      </c>
      <c r="K849" s="15"/>
      <c r="L849" s="15" t="str">
        <f t="shared" si="13"/>
        <v>COMPLEMENTO</v>
      </c>
    </row>
    <row r="850" spans="1:12" x14ac:dyDescent="0.25">
      <c r="A850" s="3" t="s">
        <v>1457</v>
      </c>
      <c r="B850" s="3" t="s">
        <v>5895</v>
      </c>
      <c r="C850" s="1">
        <v>8</v>
      </c>
      <c r="D850" s="1">
        <v>50</v>
      </c>
      <c r="E850" s="1" t="s">
        <v>52</v>
      </c>
      <c r="F850" s="1" t="s">
        <v>3286</v>
      </c>
      <c r="G850" s="3"/>
      <c r="H850" s="11">
        <f>ROUND(
IF(L850="GANCHO",
   IF(I850&lt;=50,I850*1.1+4,IF(I850&lt;=120,I850*1.1+7,IF(I850&lt;=250,I850*1.1+11,I850*1.1+19))),
IF(L850="NORMAL",
   IF(I850&lt;=30,I850*1.15+2,IF(I850&lt;=80,I850*1.15+4,IF(I850&lt;=150,I850*1.15+6,I850*1.15+8))),
IF(L850="COMPLEMENTO",
   IF(I850&lt;=25,I850*1.25+1.5,IF(I850&lt;=60,I850*1.25+3,IF(I850&lt;=120,I850*1.25+4,I850*1.25+5))),
""))),2)</f>
        <v>264.60000000000002</v>
      </c>
      <c r="I850" s="9">
        <f>($K$2+0.02)*Tabla1[[#This Row],[PRECIO $]]*1.18</f>
        <v>207.67999999999998</v>
      </c>
      <c r="J850" s="7">
        <f>+Tabla1[[#This Row],[PRECIO EN SOLES]]-Tabla1[[#This Row],[PC]]</f>
        <v>56.920000000000044</v>
      </c>
      <c r="K850" s="15"/>
      <c r="L850" s="15" t="str">
        <f t="shared" si="13"/>
        <v>COMPLEMENTO</v>
      </c>
    </row>
    <row r="851" spans="1:12" x14ac:dyDescent="0.25">
      <c r="A851" s="3" t="s">
        <v>5896</v>
      </c>
      <c r="B851" s="3" t="s">
        <v>5897</v>
      </c>
      <c r="C851" s="1">
        <v>20</v>
      </c>
      <c r="D851" s="1">
        <v>666</v>
      </c>
      <c r="E851" s="1" t="s">
        <v>240</v>
      </c>
      <c r="F851" s="1" t="s">
        <v>5898</v>
      </c>
      <c r="G851" s="3"/>
      <c r="H851" s="11">
        <f>ROUND(
IF(L851="GANCHO",
   IF(I851&lt;=50,I851*1.1+4,IF(I851&lt;=120,I851*1.1+7,IF(I851&lt;=250,I851*1.1+11,I851*1.1+19))),
IF(L851="NORMAL",
   IF(I851&lt;=30,I851*1.15+2,IF(I851&lt;=80,I851*1.15+4,IF(I851&lt;=150,I851*1.15+6,I851*1.15+8))),
IF(L851="COMPLEMENTO",
   IF(I851&lt;=25,I851*1.25+1.5,IF(I851&lt;=60,I851*1.25+3,IF(I851&lt;=120,I851*1.25+4,I851*1.25+5))),
""))),2)</f>
        <v>3189.24</v>
      </c>
      <c r="I851" s="9">
        <f>($K$2+0.02)*Tabla1[[#This Row],[PRECIO $]]*1.18</f>
        <v>2766.2975999999999</v>
      </c>
      <c r="J851" s="7">
        <f>+Tabla1[[#This Row],[PRECIO EN SOLES]]-Tabla1[[#This Row],[PC]]</f>
        <v>422.94239999999991</v>
      </c>
      <c r="K851" s="15"/>
      <c r="L851" s="15" t="str">
        <f t="shared" si="13"/>
        <v>NORMAL</v>
      </c>
    </row>
    <row r="852" spans="1:12" x14ac:dyDescent="0.25">
      <c r="A852" s="3" t="s">
        <v>5737</v>
      </c>
      <c r="B852" s="3" t="s">
        <v>5738</v>
      </c>
      <c r="C852" s="1">
        <v>1</v>
      </c>
      <c r="D852" s="1">
        <v>666</v>
      </c>
      <c r="E852" s="1" t="s">
        <v>57</v>
      </c>
      <c r="F852" s="1" t="s">
        <v>5739</v>
      </c>
      <c r="G852" s="3"/>
      <c r="H852" s="11">
        <f>ROUND(
IF(L852="GANCHO",
   IF(I852&lt;=50,I852*1.1+4,IF(I852&lt;=120,I852*1.1+7,IF(I852&lt;=250,I852*1.1+11,I852*1.1+19))),
IF(L852="NORMAL",
   IF(I852&lt;=30,I852*1.15+2,IF(I852&lt;=80,I852*1.15+4,IF(I852&lt;=150,I852*1.15+6,I852*1.15+8))),
IF(L852="COMPLEMENTO",
   IF(I852&lt;=25,I852*1.25+1.5,IF(I852&lt;=60,I852*1.25+3,IF(I852&lt;=120,I852*1.25+4,I852*1.25+5))),
""))),2)</f>
        <v>3189.24</v>
      </c>
      <c r="I852" s="9">
        <f>($K$2+0.02)*Tabla1[[#This Row],[PRECIO $]]*1.18</f>
        <v>2766.2975999999999</v>
      </c>
      <c r="J852" s="7">
        <f>+Tabla1[[#This Row],[PRECIO EN SOLES]]-Tabla1[[#This Row],[PC]]</f>
        <v>422.94239999999991</v>
      </c>
      <c r="K852" s="15"/>
      <c r="L852" s="15" t="str">
        <f t="shared" si="13"/>
        <v>NORMAL</v>
      </c>
    </row>
    <row r="853" spans="1:12" x14ac:dyDescent="0.25">
      <c r="A853" s="3" t="s">
        <v>1458</v>
      </c>
      <c r="B853" s="3" t="s">
        <v>1459</v>
      </c>
      <c r="C853" s="1">
        <v>20</v>
      </c>
      <c r="D853" s="1">
        <v>55</v>
      </c>
      <c r="E853" s="1" t="s">
        <v>240</v>
      </c>
      <c r="F853" s="1" t="s">
        <v>3287</v>
      </c>
      <c r="G853" s="3"/>
      <c r="H853" s="11">
        <f>ROUND(
IF(L853="GANCHO",
   IF(I853&lt;=50,I853*1.1+4,IF(I853&lt;=120,I853*1.1+7,IF(I853&lt;=250,I853*1.1+11,I853*1.1+19))),
IF(L853="NORMAL",
   IF(I853&lt;=30,I853*1.15+2,IF(I853&lt;=80,I853*1.15+4,IF(I853&lt;=150,I853*1.15+6,I853*1.15+8))),
IF(L853="COMPLEMENTO",
   IF(I853&lt;=25,I853*1.25+1.5,IF(I853&lt;=60,I853*1.25+3,IF(I853&lt;=120,I853*1.25+4,I853*1.25+5))),
""))),2)</f>
        <v>270.72000000000003</v>
      </c>
      <c r="I853" s="9">
        <f>($K$2+0.02)*Tabla1[[#This Row],[PRECIO $]]*1.18</f>
        <v>228.44799999999998</v>
      </c>
      <c r="J853" s="7">
        <f>+Tabla1[[#This Row],[PRECIO EN SOLES]]-Tabla1[[#This Row],[PC]]</f>
        <v>42.272000000000048</v>
      </c>
      <c r="K853" s="15"/>
      <c r="L853" s="15" t="str">
        <f t="shared" si="13"/>
        <v>NORMAL</v>
      </c>
    </row>
    <row r="854" spans="1:12" x14ac:dyDescent="0.25">
      <c r="A854" s="3" t="s">
        <v>1460</v>
      </c>
      <c r="B854" s="3" t="s">
        <v>1461</v>
      </c>
      <c r="C854" s="1">
        <v>5</v>
      </c>
      <c r="D854" s="1">
        <v>55</v>
      </c>
      <c r="E854" s="1" t="s">
        <v>240</v>
      </c>
      <c r="F854" s="1" t="s">
        <v>3288</v>
      </c>
      <c r="G854" s="3"/>
      <c r="H854" s="11">
        <f>ROUND(
IF(L854="GANCHO",
   IF(I854&lt;=50,I854*1.1+4,IF(I854&lt;=120,I854*1.1+7,IF(I854&lt;=250,I854*1.1+11,I854*1.1+19))),
IF(L854="NORMAL",
   IF(I854&lt;=30,I854*1.15+2,IF(I854&lt;=80,I854*1.15+4,IF(I854&lt;=150,I854*1.15+6,I854*1.15+8))),
IF(L854="COMPLEMENTO",
   IF(I854&lt;=25,I854*1.25+1.5,IF(I854&lt;=60,I854*1.25+3,IF(I854&lt;=120,I854*1.25+4,I854*1.25+5))),
""))),2)</f>
        <v>270.72000000000003</v>
      </c>
      <c r="I854" s="9">
        <f>($K$2+0.02)*Tabla1[[#This Row],[PRECIO $]]*1.18</f>
        <v>228.44799999999998</v>
      </c>
      <c r="J854" s="7">
        <f>+Tabla1[[#This Row],[PRECIO EN SOLES]]-Tabla1[[#This Row],[PC]]</f>
        <v>42.272000000000048</v>
      </c>
      <c r="K854" s="15"/>
      <c r="L854" s="15" t="str">
        <f t="shared" si="13"/>
        <v>NORMAL</v>
      </c>
    </row>
    <row r="855" spans="1:12" x14ac:dyDescent="0.25">
      <c r="A855" s="3" t="s">
        <v>1462</v>
      </c>
      <c r="B855" s="3" t="s">
        <v>1463</v>
      </c>
      <c r="C855" s="1">
        <v>20</v>
      </c>
      <c r="D855" s="1">
        <v>666</v>
      </c>
      <c r="E855" s="1" t="s">
        <v>170</v>
      </c>
      <c r="F855" s="1" t="s">
        <v>3289</v>
      </c>
      <c r="G855" s="3"/>
      <c r="H855" s="11">
        <f>ROUND(
IF(L855="GANCHO",
   IF(I855&lt;=50,I855*1.1+4,IF(I855&lt;=120,I855*1.1+7,IF(I855&lt;=250,I855*1.1+11,I855*1.1+19))),
IF(L855="NORMAL",
   IF(I855&lt;=30,I855*1.15+2,IF(I855&lt;=80,I855*1.15+4,IF(I855&lt;=150,I855*1.15+6,I855*1.15+8))),
IF(L855="COMPLEMENTO",
   IF(I855&lt;=25,I855*1.25+1.5,IF(I855&lt;=60,I855*1.25+3,IF(I855&lt;=120,I855*1.25+4,I855*1.25+5))),
""))),2)</f>
        <v>3189.24</v>
      </c>
      <c r="I855" s="9">
        <f>($K$2+0.02)*Tabla1[[#This Row],[PRECIO $]]*1.18</f>
        <v>2766.2975999999999</v>
      </c>
      <c r="J855" s="7">
        <f>+Tabla1[[#This Row],[PRECIO EN SOLES]]-Tabla1[[#This Row],[PC]]</f>
        <v>422.94239999999991</v>
      </c>
      <c r="K855" s="15"/>
      <c r="L855" s="15" t="str">
        <f t="shared" si="13"/>
        <v>NORMAL</v>
      </c>
    </row>
    <row r="856" spans="1:12" x14ac:dyDescent="0.25">
      <c r="A856" s="3" t="s">
        <v>1464</v>
      </c>
      <c r="B856" s="3" t="s">
        <v>1465</v>
      </c>
      <c r="C856" s="1">
        <v>5</v>
      </c>
      <c r="D856" s="1">
        <v>50</v>
      </c>
      <c r="E856" s="1" t="s">
        <v>154</v>
      </c>
      <c r="F856" s="1" t="s">
        <v>3290</v>
      </c>
      <c r="G856" s="3"/>
      <c r="H856" s="11">
        <f>ROUND(
IF(L856="GANCHO",
   IF(I856&lt;=50,I856*1.1+4,IF(I856&lt;=120,I856*1.1+7,IF(I856&lt;=250,I856*1.1+11,I856*1.1+19))),
IF(L856="NORMAL",
   IF(I856&lt;=30,I856*1.15+2,IF(I856&lt;=80,I856*1.15+4,IF(I856&lt;=150,I856*1.15+6,I856*1.15+8))),
IF(L856="COMPLEMENTO",
   IF(I856&lt;=25,I856*1.25+1.5,IF(I856&lt;=60,I856*1.25+3,IF(I856&lt;=120,I856*1.25+4,I856*1.25+5))),
""))),2)</f>
        <v>246.83</v>
      </c>
      <c r="I856" s="9">
        <f>($K$2+0.02)*Tabla1[[#This Row],[PRECIO $]]*1.18</f>
        <v>207.67999999999998</v>
      </c>
      <c r="J856" s="7">
        <f>+Tabla1[[#This Row],[PRECIO EN SOLES]]-Tabla1[[#This Row],[PC]]</f>
        <v>39.150000000000034</v>
      </c>
      <c r="K856" s="15"/>
      <c r="L856" s="15" t="str">
        <f t="shared" si="13"/>
        <v>NORMAL</v>
      </c>
    </row>
    <row r="857" spans="1:12" x14ac:dyDescent="0.25">
      <c r="A857" s="3" t="s">
        <v>1466</v>
      </c>
      <c r="B857" s="3" t="s">
        <v>1467</v>
      </c>
      <c r="C857" s="1">
        <v>20</v>
      </c>
      <c r="D857" s="1">
        <v>666</v>
      </c>
      <c r="E857" s="1" t="s">
        <v>170</v>
      </c>
      <c r="F857" s="1" t="s">
        <v>3291</v>
      </c>
      <c r="G857" s="3"/>
      <c r="H857" s="11">
        <f>ROUND(
IF(L857="GANCHO",
   IF(I857&lt;=50,I857*1.1+4,IF(I857&lt;=120,I857*1.1+7,IF(I857&lt;=250,I857*1.1+11,I857*1.1+19))),
IF(L857="NORMAL",
   IF(I857&lt;=30,I857*1.15+2,IF(I857&lt;=80,I857*1.15+4,IF(I857&lt;=150,I857*1.15+6,I857*1.15+8))),
IF(L857="COMPLEMENTO",
   IF(I857&lt;=25,I857*1.25+1.5,IF(I857&lt;=60,I857*1.25+3,IF(I857&lt;=120,I857*1.25+4,I857*1.25+5))),
""))),2)</f>
        <v>3189.24</v>
      </c>
      <c r="I857" s="9">
        <f>($K$2+0.02)*Tabla1[[#This Row],[PRECIO $]]*1.18</f>
        <v>2766.2975999999999</v>
      </c>
      <c r="J857" s="7">
        <f>+Tabla1[[#This Row],[PRECIO EN SOLES]]-Tabla1[[#This Row],[PC]]</f>
        <v>422.94239999999991</v>
      </c>
      <c r="K857" s="15"/>
      <c r="L857" s="15" t="str">
        <f t="shared" si="13"/>
        <v>NORMAL</v>
      </c>
    </row>
    <row r="858" spans="1:12" x14ac:dyDescent="0.25">
      <c r="A858" s="3" t="s">
        <v>6109</v>
      </c>
      <c r="B858" s="3" t="s">
        <v>6110</v>
      </c>
      <c r="C858" s="1">
        <v>12</v>
      </c>
      <c r="D858" s="1">
        <v>666</v>
      </c>
      <c r="E858" s="1" t="s">
        <v>148</v>
      </c>
      <c r="F858" s="1" t="s">
        <v>6111</v>
      </c>
      <c r="G858" s="3"/>
      <c r="H858" s="11">
        <f>ROUND(
IF(L858="GANCHO",
   IF(I858&lt;=50,I858*1.1+4,IF(I858&lt;=120,I858*1.1+7,IF(I858&lt;=250,I858*1.1+11,I858*1.1+19))),
IF(L858="NORMAL",
   IF(I858&lt;=30,I858*1.15+2,IF(I858&lt;=80,I858*1.15+4,IF(I858&lt;=150,I858*1.15+6,I858*1.15+8))),
IF(L858="COMPLEMENTO",
   IF(I858&lt;=25,I858*1.25+1.5,IF(I858&lt;=60,I858*1.25+3,IF(I858&lt;=120,I858*1.25+4,I858*1.25+5))),
""))),2)</f>
        <v>3189.24</v>
      </c>
      <c r="I858" s="9">
        <f>($K$2+0.02)*Tabla1[[#This Row],[PRECIO $]]*1.18</f>
        <v>2766.2975999999999</v>
      </c>
      <c r="J858" s="7">
        <f>+Tabla1[[#This Row],[PRECIO EN SOLES]]-Tabla1[[#This Row],[PC]]</f>
        <v>422.94239999999991</v>
      </c>
      <c r="K858" s="15"/>
      <c r="L858" s="15" t="str">
        <f t="shared" si="13"/>
        <v>NORMAL</v>
      </c>
    </row>
    <row r="859" spans="1:12" x14ac:dyDescent="0.25">
      <c r="A859" s="3" t="s">
        <v>1468</v>
      </c>
      <c r="B859" s="3" t="s">
        <v>1469</v>
      </c>
      <c r="C859" s="1">
        <v>0</v>
      </c>
      <c r="D859" s="1">
        <v>999</v>
      </c>
      <c r="E859" s="1" t="s">
        <v>57</v>
      </c>
      <c r="F859" s="1" t="s">
        <v>3292</v>
      </c>
      <c r="G859" s="3"/>
      <c r="H859" s="11">
        <f>ROUND(
IF(L859="GANCHO",
   IF(I859&lt;=50,I859*1.1+4,IF(I859&lt;=120,I859*1.1+7,IF(I859&lt;=250,I859*1.1+11,I859*1.1+19))),
IF(L859="NORMAL",
   IF(I859&lt;=30,I859*1.15+2,IF(I859&lt;=80,I859*1.15+4,IF(I859&lt;=150,I859*1.15+6,I859*1.15+8))),
IF(L859="COMPLEMENTO",
   IF(I859&lt;=25,I859*1.25+1.5,IF(I859&lt;=60,I859*1.25+3,IF(I859&lt;=120,I859*1.25+4,I859*1.25+5))),
""))),2)</f>
        <v>4779.8599999999997</v>
      </c>
      <c r="I859" s="9">
        <f>($K$2+0.02)*Tabla1[[#This Row],[PRECIO $]]*1.18</f>
        <v>4149.4463999999998</v>
      </c>
      <c r="J859" s="7">
        <f>+Tabla1[[#This Row],[PRECIO EN SOLES]]-Tabla1[[#This Row],[PC]]</f>
        <v>630.41359999999986</v>
      </c>
      <c r="K859" s="15"/>
      <c r="L859" s="15" t="str">
        <f t="shared" si="13"/>
        <v>NORMAL</v>
      </c>
    </row>
    <row r="860" spans="1:12" x14ac:dyDescent="0.25">
      <c r="A860" s="3" t="s">
        <v>1470</v>
      </c>
      <c r="B860" s="3" t="s">
        <v>2602</v>
      </c>
      <c r="C860" s="1">
        <v>20</v>
      </c>
      <c r="D860" s="1">
        <v>600</v>
      </c>
      <c r="E860" s="1" t="s">
        <v>55</v>
      </c>
      <c r="F860" s="1" t="s">
        <v>3293</v>
      </c>
      <c r="G860" s="3"/>
      <c r="H860" s="11">
        <f>ROUND(
IF(L860="GANCHO",
   IF(I860&lt;=50,I860*1.1+4,IF(I860&lt;=120,I860*1.1+7,IF(I860&lt;=250,I860*1.1+11,I860*1.1+19))),
IF(L860="NORMAL",
   IF(I860&lt;=30,I860*1.15+2,IF(I860&lt;=80,I860*1.15+4,IF(I860&lt;=150,I860*1.15+6,I860*1.15+8))),
IF(L860="COMPLEMENTO",
   IF(I860&lt;=25,I860*1.25+1.5,IF(I860&lt;=60,I860*1.25+3,IF(I860&lt;=120,I860*1.25+4,I860*1.25+5))),
""))),2)</f>
        <v>2873.98</v>
      </c>
      <c r="I860" s="9">
        <f>($K$2+0.02)*Tabla1[[#This Row],[PRECIO $]]*1.18</f>
        <v>2492.16</v>
      </c>
      <c r="J860" s="7">
        <f>+Tabla1[[#This Row],[PRECIO EN SOLES]]-Tabla1[[#This Row],[PC]]</f>
        <v>381.82000000000016</v>
      </c>
      <c r="K860" s="15"/>
      <c r="L860" s="15" t="str">
        <f t="shared" si="13"/>
        <v>NORMAL</v>
      </c>
    </row>
    <row r="861" spans="1:12" x14ac:dyDescent="0.25">
      <c r="A861" s="3" t="s">
        <v>4459</v>
      </c>
      <c r="B861" s="3" t="s">
        <v>5485</v>
      </c>
      <c r="C861" s="1">
        <v>1</v>
      </c>
      <c r="D861" s="1">
        <v>666</v>
      </c>
      <c r="E861" s="1" t="s">
        <v>154</v>
      </c>
      <c r="F861" s="1" t="s">
        <v>4460</v>
      </c>
      <c r="G861" s="3"/>
      <c r="H861" s="11">
        <f>ROUND(
IF(L861="GANCHO",
   IF(I861&lt;=50,I861*1.1+4,IF(I861&lt;=120,I861*1.1+7,IF(I861&lt;=250,I861*1.1+11,I861*1.1+19))),
IF(L861="NORMAL",
   IF(I861&lt;=30,I861*1.15+2,IF(I861&lt;=80,I861*1.15+4,IF(I861&lt;=150,I861*1.15+6,I861*1.15+8))),
IF(L861="COMPLEMENTO",
   IF(I861&lt;=25,I861*1.25+1.5,IF(I861&lt;=60,I861*1.25+3,IF(I861&lt;=120,I861*1.25+4,I861*1.25+5))),
""))),2)</f>
        <v>3189.24</v>
      </c>
      <c r="I861" s="9">
        <f>($K$2+0.02)*Tabla1[[#This Row],[PRECIO $]]*1.18</f>
        <v>2766.2975999999999</v>
      </c>
      <c r="J861" s="7">
        <f>+Tabla1[[#This Row],[PRECIO EN SOLES]]-Tabla1[[#This Row],[PC]]</f>
        <v>422.94239999999991</v>
      </c>
      <c r="K861" s="15"/>
      <c r="L861" s="15" t="str">
        <f t="shared" si="13"/>
        <v>NORMAL</v>
      </c>
    </row>
    <row r="862" spans="1:12" x14ac:dyDescent="0.25">
      <c r="A862" s="3" t="s">
        <v>6112</v>
      </c>
      <c r="B862" s="3" t="s">
        <v>6113</v>
      </c>
      <c r="C862" s="1">
        <v>20</v>
      </c>
      <c r="D862" s="1">
        <v>4.97</v>
      </c>
      <c r="E862" s="1" t="s">
        <v>52</v>
      </c>
      <c r="F862" s="1" t="s">
        <v>6114</v>
      </c>
      <c r="G862" s="3"/>
      <c r="H862" s="11">
        <f>ROUND(
IF(L862="GANCHO",
   IF(I862&lt;=50,I862*1.1+4,IF(I862&lt;=120,I862*1.1+7,IF(I862&lt;=250,I862*1.1+11,I862*1.1+19))),
IF(L862="NORMAL",
   IF(I862&lt;=30,I862*1.15+2,IF(I862&lt;=80,I862*1.15+4,IF(I862&lt;=150,I862*1.15+6,I862*1.15+8))),
IF(L862="COMPLEMENTO",
   IF(I862&lt;=25,I862*1.25+1.5,IF(I862&lt;=60,I862*1.25+3,IF(I862&lt;=120,I862*1.25+4,I862*1.25+5))),
""))),2)</f>
        <v>25.74</v>
      </c>
      <c r="I862" s="9">
        <f>($K$2+0.02)*Tabla1[[#This Row],[PRECIO $]]*1.18</f>
        <v>20.643391999999999</v>
      </c>
      <c r="J862" s="7">
        <f>+Tabla1[[#This Row],[PRECIO EN SOLES]]-Tabla1[[#This Row],[PC]]</f>
        <v>5.0966079999999998</v>
      </c>
      <c r="K862" s="15"/>
      <c r="L862" s="15" t="str">
        <f t="shared" si="13"/>
        <v>NORMAL</v>
      </c>
    </row>
    <row r="863" spans="1:12" x14ac:dyDescent="0.25">
      <c r="A863" s="3" t="s">
        <v>6115</v>
      </c>
      <c r="B863" s="3" t="s">
        <v>6116</v>
      </c>
      <c r="C863" s="1">
        <v>20</v>
      </c>
      <c r="D863" s="1">
        <v>4.97</v>
      </c>
      <c r="E863" s="1" t="s">
        <v>52</v>
      </c>
      <c r="F863" s="1" t="s">
        <v>6117</v>
      </c>
      <c r="G863" s="3"/>
      <c r="H863" s="11">
        <f>ROUND(
IF(L863="GANCHO",
   IF(I863&lt;=50,I863*1.1+4,IF(I863&lt;=120,I863*1.1+7,IF(I863&lt;=250,I863*1.1+11,I863*1.1+19))),
IF(L863="NORMAL",
   IF(I863&lt;=30,I863*1.15+2,IF(I863&lt;=80,I863*1.15+4,IF(I863&lt;=150,I863*1.15+6,I863*1.15+8))),
IF(L863="COMPLEMENTO",
   IF(I863&lt;=25,I863*1.25+1.5,IF(I863&lt;=60,I863*1.25+3,IF(I863&lt;=120,I863*1.25+4,I863*1.25+5))),
""))),2)</f>
        <v>25.74</v>
      </c>
      <c r="I863" s="9">
        <f>($K$2+0.02)*Tabla1[[#This Row],[PRECIO $]]*1.18</f>
        <v>20.643391999999999</v>
      </c>
      <c r="J863" s="7">
        <f>+Tabla1[[#This Row],[PRECIO EN SOLES]]-Tabla1[[#This Row],[PC]]</f>
        <v>5.0966079999999998</v>
      </c>
      <c r="K863" s="15"/>
      <c r="L863" s="15" t="str">
        <f t="shared" si="13"/>
        <v>NORMAL</v>
      </c>
    </row>
    <row r="864" spans="1:12" x14ac:dyDescent="0.25">
      <c r="A864" s="3" t="s">
        <v>6118</v>
      </c>
      <c r="B864" s="3" t="s">
        <v>6119</v>
      </c>
      <c r="C864" s="1">
        <v>0</v>
      </c>
      <c r="D864" s="1">
        <v>9999</v>
      </c>
      <c r="E864" s="1" t="s">
        <v>57</v>
      </c>
      <c r="F864" s="1" t="s">
        <v>6120</v>
      </c>
      <c r="G864" s="3"/>
      <c r="H864" s="11">
        <f>ROUND(
IF(L864="GANCHO",
   IF(I864&lt;=50,I864*1.1+4,IF(I864&lt;=120,I864*1.1+7,IF(I864&lt;=250,I864*1.1+11,I864*1.1+19))),
IF(L864="NORMAL",
   IF(I864&lt;=30,I864*1.15+2,IF(I864&lt;=80,I864*1.15+4,IF(I864&lt;=150,I864*1.15+6,I864*1.15+8))),
IF(L864="COMPLEMENTO",
   IF(I864&lt;=25,I864*1.25+1.5,IF(I864&lt;=60,I864*1.25+3,IF(I864&lt;=120,I864*1.25+4,I864*1.25+5))),
""))),2)</f>
        <v>47769.62</v>
      </c>
      <c r="I864" s="9">
        <f>($K$2+0.02)*Tabla1[[#This Row],[PRECIO $]]*1.18</f>
        <v>41531.846400000002</v>
      </c>
      <c r="J864" s="7">
        <f>+Tabla1[[#This Row],[PRECIO EN SOLES]]-Tabla1[[#This Row],[PC]]</f>
        <v>6237.7736000000004</v>
      </c>
      <c r="K864" s="15"/>
      <c r="L864" s="15" t="str">
        <f t="shared" si="13"/>
        <v>NORMAL</v>
      </c>
    </row>
    <row r="865" spans="1:12" x14ac:dyDescent="0.25">
      <c r="A865" s="3" t="s">
        <v>5486</v>
      </c>
      <c r="B865" s="3" t="s">
        <v>5487</v>
      </c>
      <c r="C865" s="1">
        <v>20</v>
      </c>
      <c r="D865" s="1">
        <v>666</v>
      </c>
      <c r="E865" s="1" t="s">
        <v>154</v>
      </c>
      <c r="F865" s="1" t="s">
        <v>5488</v>
      </c>
      <c r="G865" s="3"/>
      <c r="H865" s="11">
        <f>ROUND(
IF(L865="GANCHO",
   IF(I865&lt;=50,I865*1.1+4,IF(I865&lt;=120,I865*1.1+7,IF(I865&lt;=250,I865*1.1+11,I865*1.1+19))),
IF(L865="NORMAL",
   IF(I865&lt;=30,I865*1.15+2,IF(I865&lt;=80,I865*1.15+4,IF(I865&lt;=150,I865*1.15+6,I865*1.15+8))),
IF(L865="COMPLEMENTO",
   IF(I865&lt;=25,I865*1.25+1.5,IF(I865&lt;=60,I865*1.25+3,IF(I865&lt;=120,I865*1.25+4,I865*1.25+5))),
""))),2)</f>
        <v>3189.24</v>
      </c>
      <c r="I865" s="9">
        <f>($K$2+0.02)*Tabla1[[#This Row],[PRECIO $]]*1.18</f>
        <v>2766.2975999999999</v>
      </c>
      <c r="J865" s="7">
        <f>+Tabla1[[#This Row],[PRECIO EN SOLES]]-Tabla1[[#This Row],[PC]]</f>
        <v>422.94239999999991</v>
      </c>
      <c r="K865" s="15"/>
      <c r="L865" s="15" t="str">
        <f t="shared" si="13"/>
        <v>NORMAL</v>
      </c>
    </row>
    <row r="866" spans="1:12" x14ac:dyDescent="0.25">
      <c r="A866" s="3" t="s">
        <v>1471</v>
      </c>
      <c r="B866" s="3" t="s">
        <v>1472</v>
      </c>
      <c r="C866" s="1">
        <v>0</v>
      </c>
      <c r="D866" s="1">
        <v>9999999.9900000002</v>
      </c>
      <c r="E866" s="1" t="s">
        <v>56</v>
      </c>
      <c r="F866" s="1" t="s">
        <v>3294</v>
      </c>
      <c r="G866" s="3"/>
      <c r="H866" s="11">
        <f>ROUND(
IF(L866="GANCHO",
   IF(I866&lt;=50,I866*1.1+4,IF(I866&lt;=120,I866*1.1+7,IF(I866&lt;=250,I866*1.1+11,I866*1.1+19))),
IF(L866="NORMAL",
   IF(I866&lt;=30,I866*1.15+2,IF(I866&lt;=80,I866*1.15+4,IF(I866&lt;=150,I866*1.15+6,I866*1.15+8))),
IF(L866="COMPLEMENTO",
   IF(I866&lt;=25,I866*1.25+1.5,IF(I866&lt;=60,I866*1.25+3,IF(I866&lt;=120,I866*1.25+4,I866*1.25+5))),
""))),2)</f>
        <v>47766407.950000003</v>
      </c>
      <c r="I866" s="9">
        <f>($K$2+0.02)*Tabla1[[#This Row],[PRECIO $]]*1.18</f>
        <v>41535999.958463997</v>
      </c>
      <c r="J866" s="7">
        <f>+Tabla1[[#This Row],[PRECIO EN SOLES]]-Tabla1[[#This Row],[PC]]</f>
        <v>6230407.9915360063</v>
      </c>
      <c r="K866" s="15"/>
      <c r="L866" s="15" t="str">
        <f t="shared" si="13"/>
        <v>NORMAL</v>
      </c>
    </row>
    <row r="867" spans="1:12" x14ac:dyDescent="0.25">
      <c r="A867" s="3" t="s">
        <v>1473</v>
      </c>
      <c r="B867" s="3" t="s">
        <v>1474</v>
      </c>
      <c r="C867" s="1">
        <v>0</v>
      </c>
      <c r="D867" s="1">
        <v>9999999.9900000002</v>
      </c>
      <c r="E867" s="1" t="s">
        <v>56</v>
      </c>
      <c r="F867" s="1" t="s">
        <v>3295</v>
      </c>
      <c r="G867" s="3"/>
      <c r="H867" s="11">
        <f>ROUND(
IF(L867="GANCHO",
   IF(I867&lt;=50,I867*1.1+4,IF(I867&lt;=120,I867*1.1+7,IF(I867&lt;=250,I867*1.1+11,I867*1.1+19))),
IF(L867="NORMAL",
   IF(I867&lt;=30,I867*1.15+2,IF(I867&lt;=80,I867*1.15+4,IF(I867&lt;=150,I867*1.15+6,I867*1.15+8))),
IF(L867="COMPLEMENTO",
   IF(I867&lt;=25,I867*1.25+1.5,IF(I867&lt;=60,I867*1.25+3,IF(I867&lt;=120,I867*1.25+4,I867*1.25+5))),
""))),2)</f>
        <v>47766407.950000003</v>
      </c>
      <c r="I867" s="9">
        <f>($K$2+0.02)*Tabla1[[#This Row],[PRECIO $]]*1.18</f>
        <v>41535999.958463997</v>
      </c>
      <c r="J867" s="7">
        <f>+Tabla1[[#This Row],[PRECIO EN SOLES]]-Tabla1[[#This Row],[PC]]</f>
        <v>6230407.9915360063</v>
      </c>
      <c r="K867" s="15"/>
      <c r="L867" s="15" t="str">
        <f t="shared" si="13"/>
        <v>NORMAL</v>
      </c>
    </row>
    <row r="868" spans="1:12" x14ac:dyDescent="0.25">
      <c r="A868" s="3" t="s">
        <v>1475</v>
      </c>
      <c r="B868" s="3" t="s">
        <v>1476</v>
      </c>
      <c r="C868" s="1">
        <v>1</v>
      </c>
      <c r="D868" s="1">
        <v>100</v>
      </c>
      <c r="E868" s="1" t="s">
        <v>95</v>
      </c>
      <c r="F868" s="1" t="s">
        <v>3296</v>
      </c>
      <c r="G868" s="3"/>
      <c r="H868" s="11">
        <f>ROUND(
IF(L868="GANCHO",
   IF(I868&lt;=50,I868*1.1+4,IF(I868&lt;=120,I868*1.1+7,IF(I868&lt;=250,I868*1.1+11,I868*1.1+19))),
IF(L868="NORMAL",
   IF(I868&lt;=30,I868*1.15+2,IF(I868&lt;=80,I868*1.15+4,IF(I868&lt;=150,I868*1.15+6,I868*1.15+8))),
IF(L868="COMPLEMENTO",
   IF(I868&lt;=25,I868*1.25+1.5,IF(I868&lt;=60,I868*1.25+3,IF(I868&lt;=120,I868*1.25+4,I868*1.25+5))),
""))),2)</f>
        <v>485.66</v>
      </c>
      <c r="I868" s="9">
        <f>($K$2+0.02)*Tabla1[[#This Row],[PRECIO $]]*1.18</f>
        <v>415.35999999999996</v>
      </c>
      <c r="J868" s="7">
        <f>+Tabla1[[#This Row],[PRECIO EN SOLES]]-Tabla1[[#This Row],[PC]]</f>
        <v>70.300000000000068</v>
      </c>
      <c r="K868" s="15"/>
      <c r="L868" s="15" t="str">
        <f t="shared" si="13"/>
        <v>NORMAL</v>
      </c>
    </row>
    <row r="869" spans="1:12" x14ac:dyDescent="0.25">
      <c r="A869" s="3" t="s">
        <v>5899</v>
      </c>
      <c r="B869" s="3" t="s">
        <v>5900</v>
      </c>
      <c r="C869" s="1">
        <v>20</v>
      </c>
      <c r="D869" s="1">
        <v>50</v>
      </c>
      <c r="E869" s="1" t="s">
        <v>57</v>
      </c>
      <c r="F869" s="1" t="s">
        <v>5901</v>
      </c>
      <c r="G869" s="3"/>
      <c r="H869" s="11">
        <f>ROUND(
IF(L869="GANCHO",
   IF(I869&lt;=50,I869*1.1+4,IF(I869&lt;=120,I869*1.1+7,IF(I869&lt;=250,I869*1.1+11,I869*1.1+19))),
IF(L869="NORMAL",
   IF(I869&lt;=30,I869*1.15+2,IF(I869&lt;=80,I869*1.15+4,IF(I869&lt;=150,I869*1.15+6,I869*1.15+8))),
IF(L869="COMPLEMENTO",
   IF(I869&lt;=25,I869*1.25+1.5,IF(I869&lt;=60,I869*1.25+3,IF(I869&lt;=120,I869*1.25+4,I869*1.25+5))),
""))),2)</f>
        <v>246.83</v>
      </c>
      <c r="I869" s="9">
        <f>($K$2+0.02)*Tabla1[[#This Row],[PRECIO $]]*1.18</f>
        <v>207.67999999999998</v>
      </c>
      <c r="J869" s="7">
        <f>+Tabla1[[#This Row],[PRECIO EN SOLES]]-Tabla1[[#This Row],[PC]]</f>
        <v>39.150000000000034</v>
      </c>
      <c r="K869" s="15"/>
      <c r="L869" s="15" t="str">
        <f t="shared" si="13"/>
        <v>NORMAL</v>
      </c>
    </row>
    <row r="870" spans="1:12" x14ac:dyDescent="0.25">
      <c r="A870" s="3" t="s">
        <v>1477</v>
      </c>
      <c r="B870" s="3" t="s">
        <v>1478</v>
      </c>
      <c r="C870" s="1">
        <v>20</v>
      </c>
      <c r="D870" s="1">
        <v>600</v>
      </c>
      <c r="E870" s="1" t="s">
        <v>55</v>
      </c>
      <c r="F870" s="1" t="s">
        <v>3297</v>
      </c>
      <c r="G870" s="3"/>
      <c r="H870" s="11">
        <f>ROUND(
IF(L870="GANCHO",
   IF(I870&lt;=50,I870*1.1+4,IF(I870&lt;=120,I870*1.1+7,IF(I870&lt;=250,I870*1.1+11,I870*1.1+19))),
IF(L870="NORMAL",
   IF(I870&lt;=30,I870*1.15+2,IF(I870&lt;=80,I870*1.15+4,IF(I870&lt;=150,I870*1.15+6,I870*1.15+8))),
IF(L870="COMPLEMENTO",
   IF(I870&lt;=25,I870*1.25+1.5,IF(I870&lt;=60,I870*1.25+3,IF(I870&lt;=120,I870*1.25+4,I870*1.25+5))),
""))),2)</f>
        <v>2873.98</v>
      </c>
      <c r="I870" s="9">
        <f>($K$2+0.02)*Tabla1[[#This Row],[PRECIO $]]*1.18</f>
        <v>2492.16</v>
      </c>
      <c r="J870" s="7">
        <f>+Tabla1[[#This Row],[PRECIO EN SOLES]]-Tabla1[[#This Row],[PC]]</f>
        <v>381.82000000000016</v>
      </c>
      <c r="K870" s="15"/>
      <c r="L870" s="15" t="str">
        <f t="shared" si="13"/>
        <v>NORMAL</v>
      </c>
    </row>
    <row r="871" spans="1:12" x14ac:dyDescent="0.25">
      <c r="A871" s="3" t="s">
        <v>1479</v>
      </c>
      <c r="B871" s="3" t="s">
        <v>1480</v>
      </c>
      <c r="C871" s="1">
        <v>10</v>
      </c>
      <c r="D871" s="1">
        <v>11</v>
      </c>
      <c r="E871" s="1" t="s">
        <v>55</v>
      </c>
      <c r="F871" s="1" t="s">
        <v>3298</v>
      </c>
      <c r="G871" s="3"/>
      <c r="H871" s="11">
        <f>ROUND(
IF(L871="GANCHO",
   IF(I871&lt;=50,I871*1.1+4,IF(I871&lt;=120,I871*1.1+7,IF(I871&lt;=250,I871*1.1+11,I871*1.1+19))),
IF(L871="NORMAL",
   IF(I871&lt;=30,I871*1.15+2,IF(I871&lt;=80,I871*1.15+4,IF(I871&lt;=150,I871*1.15+6,I871*1.15+8))),
IF(L871="COMPLEMENTO",
   IF(I871&lt;=25,I871*1.25+1.5,IF(I871&lt;=60,I871*1.25+3,IF(I871&lt;=120,I871*1.25+4,I871*1.25+5))),
""))),2)</f>
        <v>56.54</v>
      </c>
      <c r="I871" s="9">
        <f>($K$2+0.02)*Tabla1[[#This Row],[PRECIO $]]*1.18</f>
        <v>45.689599999999999</v>
      </c>
      <c r="J871" s="7">
        <f>+Tabla1[[#This Row],[PRECIO EN SOLES]]-Tabla1[[#This Row],[PC]]</f>
        <v>10.8504</v>
      </c>
      <c r="K871" s="15"/>
      <c r="L871" s="15" t="str">
        <f t="shared" si="13"/>
        <v>NORMAL</v>
      </c>
    </row>
    <row r="872" spans="1:12" x14ac:dyDescent="0.25">
      <c r="A872" s="3" t="s">
        <v>1481</v>
      </c>
      <c r="B872" s="3" t="s">
        <v>1482</v>
      </c>
      <c r="C872" s="1">
        <v>0</v>
      </c>
      <c r="D872" s="1">
        <v>2</v>
      </c>
      <c r="E872" s="1" t="s">
        <v>55</v>
      </c>
      <c r="F872" s="1" t="s">
        <v>3299</v>
      </c>
      <c r="G872" s="3"/>
      <c r="H872" s="11">
        <f>ROUND(
IF(L872="GANCHO",
   IF(I872&lt;=50,I872*1.1+4,IF(I872&lt;=120,I872*1.1+7,IF(I872&lt;=250,I872*1.1+11,I872*1.1+19))),
IF(L872="NORMAL",
   IF(I872&lt;=30,I872*1.15+2,IF(I872&lt;=80,I872*1.15+4,IF(I872&lt;=150,I872*1.15+6,I872*1.15+8))),
IF(L872="COMPLEMENTO",
   IF(I872&lt;=25,I872*1.25+1.5,IF(I872&lt;=60,I872*1.25+3,IF(I872&lt;=120,I872*1.25+4,I872*1.25+5))),
""))),2)</f>
        <v>11.88</v>
      </c>
      <c r="I872" s="9">
        <f>($K$2+0.02)*Tabla1[[#This Row],[PRECIO $]]*1.18</f>
        <v>8.3071999999999999</v>
      </c>
      <c r="J872" s="7">
        <f>+Tabla1[[#This Row],[PRECIO EN SOLES]]-Tabla1[[#This Row],[PC]]</f>
        <v>3.5728000000000009</v>
      </c>
      <c r="K872" s="15"/>
      <c r="L872" s="15" t="str">
        <f t="shared" si="13"/>
        <v>COMPLEMENTO</v>
      </c>
    </row>
    <row r="873" spans="1:12" x14ac:dyDescent="0.25">
      <c r="A873" s="3" t="s">
        <v>1483</v>
      </c>
      <c r="B873" s="3" t="s">
        <v>1484</v>
      </c>
      <c r="C873" s="1">
        <v>0</v>
      </c>
      <c r="D873" s="1">
        <v>2</v>
      </c>
      <c r="E873" s="1" t="s">
        <v>55</v>
      </c>
      <c r="F873" s="1" t="s">
        <v>3300</v>
      </c>
      <c r="G873" s="3"/>
      <c r="H873" s="11">
        <f>ROUND(
IF(L873="GANCHO",
   IF(I873&lt;=50,I873*1.1+4,IF(I873&lt;=120,I873*1.1+7,IF(I873&lt;=250,I873*1.1+11,I873*1.1+19))),
IF(L873="NORMAL",
   IF(I873&lt;=30,I873*1.15+2,IF(I873&lt;=80,I873*1.15+4,IF(I873&lt;=150,I873*1.15+6,I873*1.15+8))),
IF(L873="COMPLEMENTO",
   IF(I873&lt;=25,I873*1.25+1.5,IF(I873&lt;=60,I873*1.25+3,IF(I873&lt;=120,I873*1.25+4,I873*1.25+5))),
""))),2)</f>
        <v>11.88</v>
      </c>
      <c r="I873" s="9">
        <f>($K$2+0.02)*Tabla1[[#This Row],[PRECIO $]]*1.18</f>
        <v>8.3071999999999999</v>
      </c>
      <c r="J873" s="7">
        <f>+Tabla1[[#This Row],[PRECIO EN SOLES]]-Tabla1[[#This Row],[PC]]</f>
        <v>3.5728000000000009</v>
      </c>
      <c r="K873" s="15"/>
      <c r="L873" s="15" t="str">
        <f t="shared" si="13"/>
        <v>COMPLEMENTO</v>
      </c>
    </row>
    <row r="874" spans="1:12" x14ac:dyDescent="0.25">
      <c r="A874" s="3" t="s">
        <v>5740</v>
      </c>
      <c r="B874" s="3" t="s">
        <v>5741</v>
      </c>
      <c r="C874" s="1">
        <v>0</v>
      </c>
      <c r="D874" s="1">
        <v>99</v>
      </c>
      <c r="E874" s="1" t="s">
        <v>5742</v>
      </c>
      <c r="F874" s="1" t="s">
        <v>5743</v>
      </c>
      <c r="G874" s="3"/>
      <c r="H874" s="11">
        <f>ROUND(
IF(L874="GANCHO",
   IF(I874&lt;=50,I874*1.1+4,IF(I874&lt;=120,I874*1.1+7,IF(I874&lt;=250,I874*1.1+11,I874*1.1+19))),
IF(L874="NORMAL",
   IF(I874&lt;=30,I874*1.15+2,IF(I874&lt;=80,I874*1.15+4,IF(I874&lt;=150,I874*1.15+6,I874*1.15+8))),
IF(L874="COMPLEMENTO",
   IF(I874&lt;=25,I874*1.25+1.5,IF(I874&lt;=60,I874*1.25+3,IF(I874&lt;=120,I874*1.25+4,I874*1.25+5))),
""))),2)</f>
        <v>480.89</v>
      </c>
      <c r="I874" s="9">
        <f>($K$2+0.02)*Tabla1[[#This Row],[PRECIO $]]*1.18</f>
        <v>411.20639999999997</v>
      </c>
      <c r="J874" s="7">
        <f>+Tabla1[[#This Row],[PRECIO EN SOLES]]-Tabla1[[#This Row],[PC]]</f>
        <v>69.683600000000013</v>
      </c>
      <c r="K874" s="15"/>
      <c r="L874" s="15" t="str">
        <f t="shared" si="13"/>
        <v>NORMAL</v>
      </c>
    </row>
    <row r="875" spans="1:12" x14ac:dyDescent="0.25">
      <c r="A875" s="3" t="s">
        <v>1485</v>
      </c>
      <c r="B875" s="3" t="s">
        <v>1486</v>
      </c>
      <c r="C875" s="1">
        <v>1</v>
      </c>
      <c r="D875" s="1">
        <v>0.45</v>
      </c>
      <c r="E875" s="1" t="s">
        <v>54</v>
      </c>
      <c r="F875" s="1" t="s">
        <v>3301</v>
      </c>
      <c r="G875" s="3"/>
      <c r="H875" s="11">
        <f>ROUND(
IF(L875="GANCHO",
   IF(I875&lt;=50,I875*1.1+4,IF(I875&lt;=120,I875*1.1+7,IF(I875&lt;=250,I875*1.1+11,I875*1.1+19))),
IF(L875="NORMAL",
   IF(I875&lt;=30,I875*1.15+2,IF(I875&lt;=80,I875*1.15+4,IF(I875&lt;=150,I875*1.15+6,I875*1.15+8))),
IF(L875="COMPLEMENTO",
   IF(I875&lt;=25,I875*1.25+1.5,IF(I875&lt;=60,I875*1.25+3,IF(I875&lt;=120,I875*1.25+4,I875*1.25+5))),
""))),2)</f>
        <v>4.1500000000000004</v>
      </c>
      <c r="I875" s="9">
        <f>($K$2+0.02)*Tabla1[[#This Row],[PRECIO $]]*1.18</f>
        <v>1.8691199999999999</v>
      </c>
      <c r="J875" s="7">
        <f>+Tabla1[[#This Row],[PRECIO EN SOLES]]-Tabla1[[#This Row],[PC]]</f>
        <v>2.2808800000000007</v>
      </c>
      <c r="K875" s="15"/>
      <c r="L875" s="15" t="str">
        <f t="shared" si="13"/>
        <v>NORMAL</v>
      </c>
    </row>
    <row r="876" spans="1:12" x14ac:dyDescent="0.25">
      <c r="A876" s="3" t="s">
        <v>1487</v>
      </c>
      <c r="B876" s="3" t="s">
        <v>1488</v>
      </c>
      <c r="C876" s="1">
        <v>1</v>
      </c>
      <c r="D876" s="1">
        <v>100</v>
      </c>
      <c r="E876" s="1" t="s">
        <v>55</v>
      </c>
      <c r="F876" s="1" t="s">
        <v>3302</v>
      </c>
      <c r="G876" s="3"/>
      <c r="H876" s="11">
        <f>ROUND(
IF(L876="GANCHO",
   IF(I876&lt;=50,I876*1.1+4,IF(I876&lt;=120,I876*1.1+7,IF(I876&lt;=250,I876*1.1+11,I876*1.1+19))),
IF(L876="NORMAL",
   IF(I876&lt;=30,I876*1.15+2,IF(I876&lt;=80,I876*1.15+4,IF(I876&lt;=150,I876*1.15+6,I876*1.15+8))),
IF(L876="COMPLEMENTO",
   IF(I876&lt;=25,I876*1.25+1.5,IF(I876&lt;=60,I876*1.25+3,IF(I876&lt;=120,I876*1.25+4,I876*1.25+5))),
""))),2)</f>
        <v>485.66</v>
      </c>
      <c r="I876" s="9">
        <f>($K$2+0.02)*Tabla1[[#This Row],[PRECIO $]]*1.18</f>
        <v>415.35999999999996</v>
      </c>
      <c r="J876" s="7">
        <f>+Tabla1[[#This Row],[PRECIO EN SOLES]]-Tabla1[[#This Row],[PC]]</f>
        <v>70.300000000000068</v>
      </c>
      <c r="K876" s="15"/>
      <c r="L876" s="15" t="str">
        <f t="shared" si="13"/>
        <v>NORMAL</v>
      </c>
    </row>
    <row r="877" spans="1:12" x14ac:dyDescent="0.25">
      <c r="A877" s="3" t="s">
        <v>1489</v>
      </c>
      <c r="B877" s="3" t="s">
        <v>1486</v>
      </c>
      <c r="C877" s="1">
        <v>1</v>
      </c>
      <c r="D877" s="1">
        <v>0.45</v>
      </c>
      <c r="E877" s="1" t="s">
        <v>54</v>
      </c>
      <c r="F877" s="1" t="s">
        <v>3303</v>
      </c>
      <c r="G877" s="3"/>
      <c r="H877" s="11">
        <f>ROUND(
IF(L877="GANCHO",
   IF(I877&lt;=50,I877*1.1+4,IF(I877&lt;=120,I877*1.1+7,IF(I877&lt;=250,I877*1.1+11,I877*1.1+19))),
IF(L877="NORMAL",
   IF(I877&lt;=30,I877*1.15+2,IF(I877&lt;=80,I877*1.15+4,IF(I877&lt;=150,I877*1.15+6,I877*1.15+8))),
IF(L877="COMPLEMENTO",
   IF(I877&lt;=25,I877*1.25+1.5,IF(I877&lt;=60,I877*1.25+3,IF(I877&lt;=120,I877*1.25+4,I877*1.25+5))),
""))),2)</f>
        <v>4.1500000000000004</v>
      </c>
      <c r="I877" s="9">
        <f>($K$2+0.02)*Tabla1[[#This Row],[PRECIO $]]*1.18</f>
        <v>1.8691199999999999</v>
      </c>
      <c r="J877" s="7">
        <f>+Tabla1[[#This Row],[PRECIO EN SOLES]]-Tabla1[[#This Row],[PC]]</f>
        <v>2.2808800000000007</v>
      </c>
      <c r="K877" s="15"/>
      <c r="L877" s="15" t="str">
        <f t="shared" si="13"/>
        <v>NORMAL</v>
      </c>
    </row>
    <row r="878" spans="1:12" x14ac:dyDescent="0.25">
      <c r="A878" s="3" t="s">
        <v>399</v>
      </c>
      <c r="B878" s="3" t="s">
        <v>400</v>
      </c>
      <c r="C878" s="1">
        <v>0</v>
      </c>
      <c r="D878" s="1">
        <v>12.8</v>
      </c>
      <c r="E878" s="1" t="s">
        <v>56</v>
      </c>
      <c r="F878" s="1" t="s">
        <v>3509</v>
      </c>
      <c r="G878" s="3" t="s">
        <v>401</v>
      </c>
      <c r="H878" s="11">
        <f>ROUND(
IF(L878="GANCHO",
   IF(I878&lt;=50,I878*1.1+4,IF(I878&lt;=120,I878*1.1+7,IF(I878&lt;=250,I878*1.1+11,I878*1.1+19))),
IF(L878="NORMAL",
   IF(I878&lt;=30,I878*1.15+2,IF(I878&lt;=80,I878*1.15+4,IF(I878&lt;=150,I878*1.15+6,I878*1.15+8))),
IF(L878="COMPLEMENTO",
   IF(I878&lt;=25,I878*1.25+1.5,IF(I878&lt;=60,I878*1.25+3,IF(I878&lt;=120,I878*1.25+4,I878*1.25+5))),
""))),2)</f>
        <v>69.459999999999994</v>
      </c>
      <c r="I878" s="9">
        <f>($K$2+0.02)*Tabla1[[#This Row],[PRECIO $]]*1.18</f>
        <v>53.166080000000001</v>
      </c>
      <c r="J878" s="7">
        <f>+Tabla1[[#This Row],[PRECIO EN SOLES]]-Tabla1[[#This Row],[PC]]</f>
        <v>16.293919999999993</v>
      </c>
      <c r="K878" s="15"/>
      <c r="L878" s="15" t="str">
        <f t="shared" si="13"/>
        <v>COMPLEMENTO</v>
      </c>
    </row>
    <row r="879" spans="1:12" x14ac:dyDescent="0.25">
      <c r="A879" s="3" t="s">
        <v>1837</v>
      </c>
      <c r="B879" s="3" t="s">
        <v>6592</v>
      </c>
      <c r="C879" s="1">
        <v>20</v>
      </c>
      <c r="D879" s="1">
        <v>44.1</v>
      </c>
      <c r="E879" s="1" t="s">
        <v>74</v>
      </c>
      <c r="F879" s="1" t="s">
        <v>3510</v>
      </c>
      <c r="G879" s="3" t="s">
        <v>1838</v>
      </c>
      <c r="H879" s="11">
        <f>ROUND(
IF(L879="GANCHO",
   IF(I879&lt;=50,I879*1.1+4,IF(I879&lt;=120,I879*1.1+7,IF(I879&lt;=250,I879*1.1+11,I879*1.1+19))),
IF(L879="NORMAL",
   IF(I879&lt;=30,I879*1.15+2,IF(I879&lt;=80,I879*1.15+4,IF(I879&lt;=150,I879*1.15+6,I879*1.15+8))),
IF(L879="COMPLEMENTO",
   IF(I879&lt;=25,I879*1.25+1.5,IF(I879&lt;=60,I879*1.25+3,IF(I879&lt;=120,I879*1.25+4,I879*1.25+5))),
""))),2)</f>
        <v>218.65</v>
      </c>
      <c r="I879" s="9">
        <f>($K$2+0.02)*Tabla1[[#This Row],[PRECIO $]]*1.18</f>
        <v>183.17375999999999</v>
      </c>
      <c r="J879" s="7">
        <f>+Tabla1[[#This Row],[PRECIO EN SOLES]]-Tabla1[[#This Row],[PC]]</f>
        <v>35.476240000000018</v>
      </c>
      <c r="K879" s="15"/>
      <c r="L879" s="15" t="str">
        <f t="shared" si="13"/>
        <v>NORMAL</v>
      </c>
    </row>
    <row r="880" spans="1:12" x14ac:dyDescent="0.25">
      <c r="A880" s="3" t="s">
        <v>5902</v>
      </c>
      <c r="B880" s="3" t="s">
        <v>5903</v>
      </c>
      <c r="C880" s="1">
        <v>20</v>
      </c>
      <c r="D880" s="1">
        <v>17.2</v>
      </c>
      <c r="E880" s="1" t="s">
        <v>52</v>
      </c>
      <c r="F880" s="1" t="s">
        <v>5904</v>
      </c>
      <c r="G880" s="3" t="s">
        <v>5905</v>
      </c>
      <c r="H880" s="11">
        <f>ROUND(
IF(L880="GANCHO",
   IF(I880&lt;=50,I880*1.1+4,IF(I880&lt;=120,I880*1.1+7,IF(I880&lt;=250,I880*1.1+11,I880*1.1+19))),
IF(L880="NORMAL",
   IF(I880&lt;=30,I880*1.15+2,IF(I880&lt;=80,I880*1.15+4,IF(I880&lt;=150,I880*1.15+6,I880*1.15+8))),
IF(L880="COMPLEMENTO",
   IF(I880&lt;=25,I880*1.25+1.5,IF(I880&lt;=60,I880*1.25+3,IF(I880&lt;=120,I880*1.25+4,I880*1.25+5))),
""))),2)</f>
        <v>93.3</v>
      </c>
      <c r="I880" s="9">
        <f>($K$2+0.02)*Tabla1[[#This Row],[PRECIO $]]*1.18</f>
        <v>71.441919999999996</v>
      </c>
      <c r="J880" s="7">
        <f>+Tabla1[[#This Row],[PRECIO EN SOLES]]-Tabla1[[#This Row],[PC]]</f>
        <v>21.858080000000001</v>
      </c>
      <c r="K880" s="15"/>
      <c r="L880" s="15" t="str">
        <f t="shared" si="13"/>
        <v>COMPLEMENTO</v>
      </c>
    </row>
    <row r="881" spans="1:12" x14ac:dyDescent="0.25">
      <c r="A881" s="3" t="s">
        <v>5906</v>
      </c>
      <c r="B881" s="3" t="s">
        <v>5907</v>
      </c>
      <c r="C881" s="1">
        <v>20</v>
      </c>
      <c r="D881" s="1">
        <v>17.2</v>
      </c>
      <c r="E881" s="1" t="s">
        <v>52</v>
      </c>
      <c r="F881" s="1" t="s">
        <v>5908</v>
      </c>
      <c r="G881" s="3" t="s">
        <v>5909</v>
      </c>
      <c r="H881" s="11">
        <f>ROUND(
IF(L881="GANCHO",
   IF(I881&lt;=50,I881*1.1+4,IF(I881&lt;=120,I881*1.1+7,IF(I881&lt;=250,I881*1.1+11,I881*1.1+19))),
IF(L881="NORMAL",
   IF(I881&lt;=30,I881*1.15+2,IF(I881&lt;=80,I881*1.15+4,IF(I881&lt;=150,I881*1.15+6,I881*1.15+8))),
IF(L881="COMPLEMENTO",
   IF(I881&lt;=25,I881*1.25+1.5,IF(I881&lt;=60,I881*1.25+3,IF(I881&lt;=120,I881*1.25+4,I881*1.25+5))),
""))),2)</f>
        <v>93.3</v>
      </c>
      <c r="I881" s="9">
        <f>($K$2+0.02)*Tabla1[[#This Row],[PRECIO $]]*1.18</f>
        <v>71.441919999999996</v>
      </c>
      <c r="J881" s="7">
        <f>+Tabla1[[#This Row],[PRECIO EN SOLES]]-Tabla1[[#This Row],[PC]]</f>
        <v>21.858080000000001</v>
      </c>
      <c r="K881" s="15"/>
      <c r="L881" s="15" t="str">
        <f t="shared" si="13"/>
        <v>COMPLEMENTO</v>
      </c>
    </row>
    <row r="882" spans="1:12" x14ac:dyDescent="0.25">
      <c r="A882" s="3" t="s">
        <v>5910</v>
      </c>
      <c r="B882" s="3" t="s">
        <v>5911</v>
      </c>
      <c r="C882" s="1">
        <v>20</v>
      </c>
      <c r="D882" s="1">
        <v>17.2</v>
      </c>
      <c r="E882" s="1" t="s">
        <v>52</v>
      </c>
      <c r="F882" s="1" t="s">
        <v>5912</v>
      </c>
      <c r="G882" s="3" t="s">
        <v>5913</v>
      </c>
      <c r="H882" s="11">
        <f>ROUND(
IF(L882="GANCHO",
   IF(I882&lt;=50,I882*1.1+4,IF(I882&lt;=120,I882*1.1+7,IF(I882&lt;=250,I882*1.1+11,I882*1.1+19))),
IF(L882="NORMAL",
   IF(I882&lt;=30,I882*1.15+2,IF(I882&lt;=80,I882*1.15+4,IF(I882&lt;=150,I882*1.15+6,I882*1.15+8))),
IF(L882="COMPLEMENTO",
   IF(I882&lt;=25,I882*1.25+1.5,IF(I882&lt;=60,I882*1.25+3,IF(I882&lt;=120,I882*1.25+4,I882*1.25+5))),
""))),2)</f>
        <v>93.3</v>
      </c>
      <c r="I882" s="9">
        <f>($K$2+0.02)*Tabla1[[#This Row],[PRECIO $]]*1.18</f>
        <v>71.441919999999996</v>
      </c>
      <c r="J882" s="7">
        <f>+Tabla1[[#This Row],[PRECIO EN SOLES]]-Tabla1[[#This Row],[PC]]</f>
        <v>21.858080000000001</v>
      </c>
      <c r="K882" s="15"/>
      <c r="L882" s="15" t="str">
        <f t="shared" si="13"/>
        <v>COMPLEMENTO</v>
      </c>
    </row>
    <row r="883" spans="1:12" x14ac:dyDescent="0.25">
      <c r="A883" s="3" t="s">
        <v>5914</v>
      </c>
      <c r="B883" s="3" t="s">
        <v>5915</v>
      </c>
      <c r="C883" s="1">
        <v>20</v>
      </c>
      <c r="D883" s="1">
        <v>17.2</v>
      </c>
      <c r="E883" s="1" t="s">
        <v>52</v>
      </c>
      <c r="F883" s="1" t="s">
        <v>5916</v>
      </c>
      <c r="G883" s="3" t="s">
        <v>5917</v>
      </c>
      <c r="H883" s="11">
        <f>ROUND(
IF(L883="GANCHO",
   IF(I883&lt;=50,I883*1.1+4,IF(I883&lt;=120,I883*1.1+7,IF(I883&lt;=250,I883*1.1+11,I883*1.1+19))),
IF(L883="NORMAL",
   IF(I883&lt;=30,I883*1.15+2,IF(I883&lt;=80,I883*1.15+4,IF(I883&lt;=150,I883*1.15+6,I883*1.15+8))),
IF(L883="COMPLEMENTO",
   IF(I883&lt;=25,I883*1.25+1.5,IF(I883&lt;=60,I883*1.25+3,IF(I883&lt;=120,I883*1.25+4,I883*1.25+5))),
""))),2)</f>
        <v>93.3</v>
      </c>
      <c r="I883" s="9">
        <f>($K$2+0.02)*Tabla1[[#This Row],[PRECIO $]]*1.18</f>
        <v>71.441919999999996</v>
      </c>
      <c r="J883" s="7">
        <f>+Tabla1[[#This Row],[PRECIO EN SOLES]]-Tabla1[[#This Row],[PC]]</f>
        <v>21.858080000000001</v>
      </c>
      <c r="K883" s="15"/>
      <c r="L883" s="15" t="str">
        <f t="shared" si="13"/>
        <v>COMPLEMENTO</v>
      </c>
    </row>
    <row r="884" spans="1:12" x14ac:dyDescent="0.25">
      <c r="A884" s="3" t="s">
        <v>5918</v>
      </c>
      <c r="B884" s="3" t="s">
        <v>5919</v>
      </c>
      <c r="C884" s="1">
        <v>20</v>
      </c>
      <c r="D884" s="1">
        <v>19.7</v>
      </c>
      <c r="E884" s="1" t="s">
        <v>52</v>
      </c>
      <c r="F884" s="1" t="s">
        <v>5920</v>
      </c>
      <c r="G884" s="3" t="s">
        <v>5921</v>
      </c>
      <c r="H884" s="11">
        <f>ROUND(
IF(L884="GANCHO",
   IF(I884&lt;=50,I884*1.1+4,IF(I884&lt;=120,I884*1.1+7,IF(I884&lt;=250,I884*1.1+11,I884*1.1+19))),
IF(L884="NORMAL",
   IF(I884&lt;=30,I884*1.15+2,IF(I884&lt;=80,I884*1.15+4,IF(I884&lt;=150,I884*1.15+6,I884*1.15+8))),
IF(L884="COMPLEMENTO",
   IF(I884&lt;=25,I884*1.25+1.5,IF(I884&lt;=60,I884*1.25+3,IF(I884&lt;=120,I884*1.25+4,I884*1.25+5))),
""))),2)</f>
        <v>106.28</v>
      </c>
      <c r="I884" s="9">
        <f>($K$2+0.02)*Tabla1[[#This Row],[PRECIO $]]*1.18</f>
        <v>81.825919999999982</v>
      </c>
      <c r="J884" s="7">
        <f>+Tabla1[[#This Row],[PRECIO EN SOLES]]-Tabla1[[#This Row],[PC]]</f>
        <v>24.454080000000019</v>
      </c>
      <c r="K884" s="15"/>
      <c r="L884" s="15" t="str">
        <f t="shared" si="13"/>
        <v>COMPLEMENTO</v>
      </c>
    </row>
    <row r="885" spans="1:12" x14ac:dyDescent="0.25">
      <c r="A885" s="3" t="s">
        <v>5922</v>
      </c>
      <c r="B885" s="3" t="s">
        <v>5923</v>
      </c>
      <c r="C885" s="1">
        <v>20</v>
      </c>
      <c r="D885" s="1">
        <v>19.7</v>
      </c>
      <c r="E885" s="1" t="s">
        <v>52</v>
      </c>
      <c r="F885" s="1" t="s">
        <v>5924</v>
      </c>
      <c r="G885" s="3" t="s">
        <v>5925</v>
      </c>
      <c r="H885" s="11">
        <f>ROUND(
IF(L885="GANCHO",
   IF(I885&lt;=50,I885*1.1+4,IF(I885&lt;=120,I885*1.1+7,IF(I885&lt;=250,I885*1.1+11,I885*1.1+19))),
IF(L885="NORMAL",
   IF(I885&lt;=30,I885*1.15+2,IF(I885&lt;=80,I885*1.15+4,IF(I885&lt;=150,I885*1.15+6,I885*1.15+8))),
IF(L885="COMPLEMENTO",
   IF(I885&lt;=25,I885*1.25+1.5,IF(I885&lt;=60,I885*1.25+3,IF(I885&lt;=120,I885*1.25+4,I885*1.25+5))),
""))),2)</f>
        <v>106.28</v>
      </c>
      <c r="I885" s="9">
        <f>($K$2+0.02)*Tabla1[[#This Row],[PRECIO $]]*1.18</f>
        <v>81.825919999999982</v>
      </c>
      <c r="J885" s="7">
        <f>+Tabla1[[#This Row],[PRECIO EN SOLES]]-Tabla1[[#This Row],[PC]]</f>
        <v>24.454080000000019</v>
      </c>
      <c r="K885" s="15"/>
      <c r="L885" s="15" t="str">
        <f t="shared" si="13"/>
        <v>COMPLEMENTO</v>
      </c>
    </row>
    <row r="886" spans="1:12" x14ac:dyDescent="0.25">
      <c r="A886" s="3" t="s">
        <v>5926</v>
      </c>
      <c r="B886" s="3" t="s">
        <v>5927</v>
      </c>
      <c r="C886" s="1">
        <v>20</v>
      </c>
      <c r="D886" s="1">
        <v>19.7</v>
      </c>
      <c r="E886" s="1" t="s">
        <v>52</v>
      </c>
      <c r="F886" s="1" t="s">
        <v>5928</v>
      </c>
      <c r="G886" s="3" t="s">
        <v>5929</v>
      </c>
      <c r="H886" s="11">
        <f>ROUND(
IF(L886="GANCHO",
   IF(I886&lt;=50,I886*1.1+4,IF(I886&lt;=120,I886*1.1+7,IF(I886&lt;=250,I886*1.1+11,I886*1.1+19))),
IF(L886="NORMAL",
   IF(I886&lt;=30,I886*1.15+2,IF(I886&lt;=80,I886*1.15+4,IF(I886&lt;=150,I886*1.15+6,I886*1.15+8))),
IF(L886="COMPLEMENTO",
   IF(I886&lt;=25,I886*1.25+1.5,IF(I886&lt;=60,I886*1.25+3,IF(I886&lt;=120,I886*1.25+4,I886*1.25+5))),
""))),2)</f>
        <v>106.28</v>
      </c>
      <c r="I886" s="9">
        <f>($K$2+0.02)*Tabla1[[#This Row],[PRECIO $]]*1.18</f>
        <v>81.825919999999982</v>
      </c>
      <c r="J886" s="7">
        <f>+Tabla1[[#This Row],[PRECIO EN SOLES]]-Tabla1[[#This Row],[PC]]</f>
        <v>24.454080000000019</v>
      </c>
      <c r="K886" s="15"/>
      <c r="L886" s="15" t="str">
        <f t="shared" si="13"/>
        <v>COMPLEMENTO</v>
      </c>
    </row>
    <row r="887" spans="1:12" x14ac:dyDescent="0.25">
      <c r="A887" s="3" t="s">
        <v>5015</v>
      </c>
      <c r="B887" s="3" t="s">
        <v>5016</v>
      </c>
      <c r="C887" s="1">
        <v>20</v>
      </c>
      <c r="D887" s="1">
        <v>17</v>
      </c>
      <c r="E887" s="1" t="s">
        <v>52</v>
      </c>
      <c r="F887" s="1" t="s">
        <v>5017</v>
      </c>
      <c r="G887" s="3" t="s">
        <v>5018</v>
      </c>
      <c r="H887" s="11">
        <f>ROUND(
IF(L887="GANCHO",
   IF(I887&lt;=50,I887*1.1+4,IF(I887&lt;=120,I887*1.1+7,IF(I887&lt;=250,I887*1.1+11,I887*1.1+19))),
IF(L887="NORMAL",
   IF(I887&lt;=30,I887*1.15+2,IF(I887&lt;=80,I887*1.15+4,IF(I887&lt;=150,I887*1.15+6,I887*1.15+8))),
IF(L887="COMPLEMENTO",
   IF(I887&lt;=25,I887*1.25+1.5,IF(I887&lt;=60,I887*1.25+3,IF(I887&lt;=120,I887*1.25+4,I887*1.25+5))),
""))),2)</f>
        <v>92.26</v>
      </c>
      <c r="I887" s="9">
        <f>($K$2+0.02)*Tabla1[[#This Row],[PRECIO $]]*1.18</f>
        <v>70.611199999999997</v>
      </c>
      <c r="J887" s="7">
        <f>+Tabla1[[#This Row],[PRECIO EN SOLES]]-Tabla1[[#This Row],[PC]]</f>
        <v>21.648800000000008</v>
      </c>
      <c r="K887" s="15"/>
      <c r="L887" s="15" t="str">
        <f t="shared" si="13"/>
        <v>COMPLEMENTO</v>
      </c>
    </row>
    <row r="888" spans="1:12" x14ac:dyDescent="0.25">
      <c r="A888" s="3" t="s">
        <v>6121</v>
      </c>
      <c r="B888" s="3" t="s">
        <v>6122</v>
      </c>
      <c r="C888" s="1">
        <v>20</v>
      </c>
      <c r="D888" s="1">
        <v>8.6999999999999993</v>
      </c>
      <c r="E888" s="1" t="s">
        <v>52</v>
      </c>
      <c r="F888" s="1" t="s">
        <v>6123</v>
      </c>
      <c r="G888" s="3" t="s">
        <v>6124</v>
      </c>
      <c r="H888" s="11">
        <f>ROUND(
IF(L888="GANCHO",
   IF(I888&lt;=50,I888*1.1+4,IF(I888&lt;=120,I888*1.1+7,IF(I888&lt;=250,I888*1.1+11,I888*1.1+19))),
IF(L888="NORMAL",
   IF(I888&lt;=30,I888*1.15+2,IF(I888&lt;=80,I888*1.15+4,IF(I888&lt;=150,I888*1.15+6,I888*1.15+8))),
IF(L888="COMPLEMENTO",
   IF(I888&lt;=25,I888*1.25+1.5,IF(I888&lt;=60,I888*1.25+3,IF(I888&lt;=120,I888*1.25+4,I888*1.25+5))),
""))),2)</f>
        <v>48.17</v>
      </c>
      <c r="I888" s="9">
        <f>($K$2+0.02)*Tabla1[[#This Row],[PRECIO $]]*1.18</f>
        <v>36.136319999999998</v>
      </c>
      <c r="J888" s="7">
        <f>+Tabla1[[#This Row],[PRECIO EN SOLES]]-Tabla1[[#This Row],[PC]]</f>
        <v>12.033680000000004</v>
      </c>
      <c r="K888" s="15"/>
      <c r="L888" s="15" t="str">
        <f t="shared" si="13"/>
        <v>COMPLEMENTO</v>
      </c>
    </row>
    <row r="889" spans="1:12" x14ac:dyDescent="0.25">
      <c r="A889" s="3" t="s">
        <v>5744</v>
      </c>
      <c r="B889" s="3" t="s">
        <v>5745</v>
      </c>
      <c r="C889" s="1">
        <v>20</v>
      </c>
      <c r="D889" s="1">
        <v>8.6999999999999993</v>
      </c>
      <c r="E889" s="1" t="s">
        <v>52</v>
      </c>
      <c r="F889" s="1" t="s">
        <v>5746</v>
      </c>
      <c r="G889" s="3" t="s">
        <v>5747</v>
      </c>
      <c r="H889" s="11">
        <f>ROUND(
IF(L889="GANCHO",
   IF(I889&lt;=50,I889*1.1+4,IF(I889&lt;=120,I889*1.1+7,IF(I889&lt;=250,I889*1.1+11,I889*1.1+19))),
IF(L889="NORMAL",
   IF(I889&lt;=30,I889*1.15+2,IF(I889&lt;=80,I889*1.15+4,IF(I889&lt;=150,I889*1.15+6,I889*1.15+8))),
IF(L889="COMPLEMENTO",
   IF(I889&lt;=25,I889*1.25+1.5,IF(I889&lt;=60,I889*1.25+3,IF(I889&lt;=120,I889*1.25+4,I889*1.25+5))),
""))),2)</f>
        <v>48.17</v>
      </c>
      <c r="I889" s="9">
        <f>($K$2+0.02)*Tabla1[[#This Row],[PRECIO $]]*1.18</f>
        <v>36.136319999999998</v>
      </c>
      <c r="J889" s="7">
        <f>+Tabla1[[#This Row],[PRECIO EN SOLES]]-Tabla1[[#This Row],[PC]]</f>
        <v>12.033680000000004</v>
      </c>
      <c r="K889" s="15"/>
      <c r="L889" s="15" t="str">
        <f t="shared" si="13"/>
        <v>COMPLEMENTO</v>
      </c>
    </row>
    <row r="890" spans="1:12" x14ac:dyDescent="0.25">
      <c r="A890" s="3" t="s">
        <v>4070</v>
      </c>
      <c r="B890" s="3" t="s">
        <v>7065</v>
      </c>
      <c r="C890" s="1">
        <v>20</v>
      </c>
      <c r="D890" s="1">
        <v>12.5</v>
      </c>
      <c r="E890" s="1" t="s">
        <v>52</v>
      </c>
      <c r="F890" s="1" t="s">
        <v>7066</v>
      </c>
      <c r="G890" s="3" t="s">
        <v>7067</v>
      </c>
      <c r="H890" s="11">
        <f>ROUND(
IF(L890="GANCHO",
   IF(I890&lt;=50,I890*1.1+4,IF(I890&lt;=120,I890*1.1+7,IF(I890&lt;=250,I890*1.1+11,I890*1.1+19))),
IF(L890="NORMAL",
   IF(I890&lt;=30,I890*1.15+2,IF(I890&lt;=80,I890*1.15+4,IF(I890&lt;=150,I890*1.15+6,I890*1.15+8))),
IF(L890="COMPLEMENTO",
   IF(I890&lt;=25,I890*1.25+1.5,IF(I890&lt;=60,I890*1.25+3,IF(I890&lt;=120,I890*1.25+4,I890*1.25+5))),
""))),2)</f>
        <v>67.900000000000006</v>
      </c>
      <c r="I890" s="9">
        <f>($K$2+0.02)*Tabla1[[#This Row],[PRECIO $]]*1.18</f>
        <v>51.919999999999995</v>
      </c>
      <c r="J890" s="7">
        <f>+Tabla1[[#This Row],[PRECIO EN SOLES]]-Tabla1[[#This Row],[PC]]</f>
        <v>15.980000000000011</v>
      </c>
      <c r="K890" s="15"/>
      <c r="L890" s="15" t="str">
        <f t="shared" si="13"/>
        <v>COMPLEMENTO</v>
      </c>
    </row>
    <row r="891" spans="1:12" x14ac:dyDescent="0.25">
      <c r="A891" s="3" t="s">
        <v>6328</v>
      </c>
      <c r="B891" s="3" t="s">
        <v>7068</v>
      </c>
      <c r="C891" s="1">
        <v>8</v>
      </c>
      <c r="D891" s="1">
        <v>15</v>
      </c>
      <c r="E891" s="1" t="s">
        <v>52</v>
      </c>
      <c r="F891" s="1" t="s">
        <v>7069</v>
      </c>
      <c r="G891" s="3" t="s">
        <v>7070</v>
      </c>
      <c r="H891" s="11">
        <f>ROUND(
IF(L891="GANCHO",
   IF(I891&lt;=50,I891*1.1+4,IF(I891&lt;=120,I891*1.1+7,IF(I891&lt;=250,I891*1.1+11,I891*1.1+19))),
IF(L891="NORMAL",
   IF(I891&lt;=30,I891*1.15+2,IF(I891&lt;=80,I891*1.15+4,IF(I891&lt;=150,I891*1.15+6,I891*1.15+8))),
IF(L891="COMPLEMENTO",
   IF(I891&lt;=25,I891*1.25+1.5,IF(I891&lt;=60,I891*1.25+3,IF(I891&lt;=120,I891*1.25+4,I891*1.25+5))),
""))),2)</f>
        <v>81.88</v>
      </c>
      <c r="I891" s="9">
        <f>($K$2+0.02)*Tabla1[[#This Row],[PRECIO $]]*1.18</f>
        <v>62.303999999999995</v>
      </c>
      <c r="J891" s="7">
        <f>+Tabla1[[#This Row],[PRECIO EN SOLES]]-Tabla1[[#This Row],[PC]]</f>
        <v>19.576000000000001</v>
      </c>
      <c r="K891" s="15"/>
      <c r="L891" s="15" t="str">
        <f t="shared" si="13"/>
        <v>COMPLEMENTO</v>
      </c>
    </row>
    <row r="892" spans="1:12" x14ac:dyDescent="0.25">
      <c r="A892" s="3" t="s">
        <v>7071</v>
      </c>
      <c r="B892" s="3" t="s">
        <v>7072</v>
      </c>
      <c r="C892" s="1">
        <v>3</v>
      </c>
      <c r="D892" s="1">
        <v>12.5</v>
      </c>
      <c r="E892" s="1" t="s">
        <v>52</v>
      </c>
      <c r="F892" s="1" t="s">
        <v>7073</v>
      </c>
      <c r="G892" s="3" t="s">
        <v>7074</v>
      </c>
      <c r="H892" s="11">
        <f>ROUND(
IF(L892="GANCHO",
   IF(I892&lt;=50,I892*1.1+4,IF(I892&lt;=120,I892*1.1+7,IF(I892&lt;=250,I892*1.1+11,I892*1.1+19))),
IF(L892="NORMAL",
   IF(I892&lt;=30,I892*1.15+2,IF(I892&lt;=80,I892*1.15+4,IF(I892&lt;=150,I892*1.15+6,I892*1.15+8))),
IF(L892="COMPLEMENTO",
   IF(I892&lt;=25,I892*1.25+1.5,IF(I892&lt;=60,I892*1.25+3,IF(I892&lt;=120,I892*1.25+4,I892*1.25+5))),
""))),2)</f>
        <v>67.900000000000006</v>
      </c>
      <c r="I892" s="9">
        <f>($K$2+0.02)*Tabla1[[#This Row],[PRECIO $]]*1.18</f>
        <v>51.919999999999995</v>
      </c>
      <c r="J892" s="7">
        <f>+Tabla1[[#This Row],[PRECIO EN SOLES]]-Tabla1[[#This Row],[PC]]</f>
        <v>15.980000000000011</v>
      </c>
      <c r="K892" s="15"/>
      <c r="L892" s="15" t="str">
        <f t="shared" si="13"/>
        <v>COMPLEMENTO</v>
      </c>
    </row>
    <row r="893" spans="1:12" x14ac:dyDescent="0.25">
      <c r="A893" s="3" t="s">
        <v>5930</v>
      </c>
      <c r="B893" s="3" t="s">
        <v>5931</v>
      </c>
      <c r="C893" s="1">
        <v>0</v>
      </c>
      <c r="D893" s="1">
        <v>24.7</v>
      </c>
      <c r="E893" s="1" t="s">
        <v>52</v>
      </c>
      <c r="F893" s="1" t="s">
        <v>5932</v>
      </c>
      <c r="G893" s="3" t="s">
        <v>5933</v>
      </c>
      <c r="H893" s="11">
        <f>ROUND(
IF(L893="GANCHO",
   IF(I893&lt;=50,I893*1.1+4,IF(I893&lt;=120,I893*1.1+7,IF(I893&lt;=250,I893*1.1+11,I893*1.1+19))),
IF(L893="NORMAL",
   IF(I893&lt;=30,I893*1.15+2,IF(I893&lt;=80,I893*1.15+4,IF(I893&lt;=150,I893*1.15+6,I893*1.15+8))),
IF(L893="COMPLEMENTO",
   IF(I893&lt;=25,I893*1.25+1.5,IF(I893&lt;=60,I893*1.25+3,IF(I893&lt;=120,I893*1.25+4,I893*1.25+5))),
""))),2)</f>
        <v>132.24</v>
      </c>
      <c r="I893" s="9">
        <f>($K$2+0.02)*Tabla1[[#This Row],[PRECIO $]]*1.18</f>
        <v>102.59392</v>
      </c>
      <c r="J893" s="7">
        <f>+Tabla1[[#This Row],[PRECIO EN SOLES]]-Tabla1[[#This Row],[PC]]</f>
        <v>29.646080000000012</v>
      </c>
      <c r="K893" s="15"/>
      <c r="L893" s="15" t="str">
        <f t="shared" si="13"/>
        <v>COMPLEMENTO</v>
      </c>
    </row>
    <row r="894" spans="1:12" x14ac:dyDescent="0.25">
      <c r="A894" s="3" t="s">
        <v>5934</v>
      </c>
      <c r="B894" s="3" t="s">
        <v>5935</v>
      </c>
      <c r="C894" s="1">
        <v>0</v>
      </c>
      <c r="D894" s="1">
        <v>24.7</v>
      </c>
      <c r="E894" s="1" t="s">
        <v>52</v>
      </c>
      <c r="F894" s="1" t="s">
        <v>5936</v>
      </c>
      <c r="G894" s="3" t="s">
        <v>5937</v>
      </c>
      <c r="H894" s="11">
        <f>ROUND(
IF(L894="GANCHO",
   IF(I894&lt;=50,I894*1.1+4,IF(I894&lt;=120,I894*1.1+7,IF(I894&lt;=250,I894*1.1+11,I894*1.1+19))),
IF(L894="NORMAL",
   IF(I894&lt;=30,I894*1.15+2,IF(I894&lt;=80,I894*1.15+4,IF(I894&lt;=150,I894*1.15+6,I894*1.15+8))),
IF(L894="COMPLEMENTO",
   IF(I894&lt;=25,I894*1.25+1.5,IF(I894&lt;=60,I894*1.25+3,IF(I894&lt;=120,I894*1.25+4,I894*1.25+5))),
""))),2)</f>
        <v>132.24</v>
      </c>
      <c r="I894" s="9">
        <f>($K$2+0.02)*Tabla1[[#This Row],[PRECIO $]]*1.18</f>
        <v>102.59392</v>
      </c>
      <c r="J894" s="7">
        <f>+Tabla1[[#This Row],[PRECIO EN SOLES]]-Tabla1[[#This Row],[PC]]</f>
        <v>29.646080000000012</v>
      </c>
      <c r="K894" s="15"/>
      <c r="L894" s="15" t="str">
        <f t="shared" si="13"/>
        <v>COMPLEMENTO</v>
      </c>
    </row>
    <row r="895" spans="1:12" x14ac:dyDescent="0.25">
      <c r="A895" s="3" t="s">
        <v>7075</v>
      </c>
      <c r="B895" s="3" t="s">
        <v>7076</v>
      </c>
      <c r="C895" s="1">
        <v>4</v>
      </c>
      <c r="D895" s="1">
        <v>12.5</v>
      </c>
      <c r="E895" s="1" t="s">
        <v>52</v>
      </c>
      <c r="F895" s="1" t="s">
        <v>7077</v>
      </c>
      <c r="G895" s="3" t="s">
        <v>7078</v>
      </c>
      <c r="H895" s="11">
        <f>ROUND(
IF(L895="GANCHO",
   IF(I895&lt;=50,I895*1.1+4,IF(I895&lt;=120,I895*1.1+7,IF(I895&lt;=250,I895*1.1+11,I895*1.1+19))),
IF(L895="NORMAL",
   IF(I895&lt;=30,I895*1.15+2,IF(I895&lt;=80,I895*1.15+4,IF(I895&lt;=150,I895*1.15+6,I895*1.15+8))),
IF(L895="COMPLEMENTO",
   IF(I895&lt;=25,I895*1.25+1.5,IF(I895&lt;=60,I895*1.25+3,IF(I895&lt;=120,I895*1.25+4,I895*1.25+5))),
""))),2)</f>
        <v>67.900000000000006</v>
      </c>
      <c r="I895" s="9">
        <f>($K$2+0.02)*Tabla1[[#This Row],[PRECIO $]]*1.18</f>
        <v>51.919999999999995</v>
      </c>
      <c r="J895" s="7">
        <f>+Tabla1[[#This Row],[PRECIO EN SOLES]]-Tabla1[[#This Row],[PC]]</f>
        <v>15.980000000000011</v>
      </c>
      <c r="K895" s="15"/>
      <c r="L895" s="15" t="str">
        <f t="shared" si="13"/>
        <v>COMPLEMENTO</v>
      </c>
    </row>
    <row r="896" spans="1:12" x14ac:dyDescent="0.25">
      <c r="A896" s="3" t="s">
        <v>7079</v>
      </c>
      <c r="B896" s="3" t="s">
        <v>7080</v>
      </c>
      <c r="C896" s="1">
        <v>0</v>
      </c>
      <c r="D896" s="1">
        <v>12.5</v>
      </c>
      <c r="E896" s="1" t="s">
        <v>52</v>
      </c>
      <c r="F896" s="1" t="s">
        <v>7081</v>
      </c>
      <c r="G896" s="3" t="s">
        <v>7082</v>
      </c>
      <c r="H896" s="11">
        <f>ROUND(
IF(L896="GANCHO",
   IF(I896&lt;=50,I896*1.1+4,IF(I896&lt;=120,I896*1.1+7,IF(I896&lt;=250,I896*1.1+11,I896*1.1+19))),
IF(L896="NORMAL",
   IF(I896&lt;=30,I896*1.15+2,IF(I896&lt;=80,I896*1.15+4,IF(I896&lt;=150,I896*1.15+6,I896*1.15+8))),
IF(L896="COMPLEMENTO",
   IF(I896&lt;=25,I896*1.25+1.5,IF(I896&lt;=60,I896*1.25+3,IF(I896&lt;=120,I896*1.25+4,I896*1.25+5))),
""))),2)</f>
        <v>67.900000000000006</v>
      </c>
      <c r="I896" s="9">
        <f>($K$2+0.02)*Tabla1[[#This Row],[PRECIO $]]*1.18</f>
        <v>51.919999999999995</v>
      </c>
      <c r="J896" s="7">
        <f>+Tabla1[[#This Row],[PRECIO EN SOLES]]-Tabla1[[#This Row],[PC]]</f>
        <v>15.980000000000011</v>
      </c>
      <c r="K896" s="15"/>
      <c r="L896" s="15" t="str">
        <f t="shared" si="13"/>
        <v>COMPLEMENTO</v>
      </c>
    </row>
    <row r="897" spans="1:12" x14ac:dyDescent="0.25">
      <c r="A897" s="3" t="s">
        <v>1490</v>
      </c>
      <c r="B897" s="3" t="s">
        <v>1491</v>
      </c>
      <c r="C897" s="1">
        <v>20</v>
      </c>
      <c r="D897" s="1">
        <v>11.8</v>
      </c>
      <c r="E897" s="1" t="s">
        <v>52</v>
      </c>
      <c r="F897" s="1" t="s">
        <v>3304</v>
      </c>
      <c r="G897" s="3" t="s">
        <v>1492</v>
      </c>
      <c r="H897" s="11">
        <f>ROUND(
IF(L897="GANCHO",
   IF(I897&lt;=50,I897*1.1+4,IF(I897&lt;=120,I897*1.1+7,IF(I897&lt;=250,I897*1.1+11,I897*1.1+19))),
IF(L897="NORMAL",
   IF(I897&lt;=30,I897*1.15+2,IF(I897&lt;=80,I897*1.15+4,IF(I897&lt;=150,I897*1.15+6,I897*1.15+8))),
IF(L897="COMPLEMENTO",
   IF(I897&lt;=25,I897*1.25+1.5,IF(I897&lt;=60,I897*1.25+3,IF(I897&lt;=120,I897*1.25+4,I897*1.25+5))),
""))),2)</f>
        <v>64.27</v>
      </c>
      <c r="I897" s="9">
        <f>($K$2+0.02)*Tabla1[[#This Row],[PRECIO $]]*1.18</f>
        <v>49.012479999999996</v>
      </c>
      <c r="J897" s="7">
        <f>+Tabla1[[#This Row],[PRECIO EN SOLES]]-Tabla1[[#This Row],[PC]]</f>
        <v>15.25752</v>
      </c>
      <c r="K897" s="15"/>
      <c r="L897" s="15" t="str">
        <f t="shared" si="13"/>
        <v>COMPLEMENTO</v>
      </c>
    </row>
    <row r="898" spans="1:12" x14ac:dyDescent="0.25">
      <c r="A898" s="3" t="s">
        <v>265</v>
      </c>
      <c r="B898" s="3" t="s">
        <v>266</v>
      </c>
      <c r="C898" s="1">
        <v>20</v>
      </c>
      <c r="D898" s="1">
        <v>25.9</v>
      </c>
      <c r="E898" s="1" t="s">
        <v>52</v>
      </c>
      <c r="F898" s="1" t="s">
        <v>3305</v>
      </c>
      <c r="G898" s="3" t="s">
        <v>616</v>
      </c>
      <c r="H898" s="11">
        <f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138.47</v>
      </c>
      <c r="I898" s="9">
        <f>($K$2+0.02)*Tabla1[[#This Row],[PRECIO $]]*1.18</f>
        <v>107.57823999999998</v>
      </c>
      <c r="J898" s="7">
        <f>+Tabla1[[#This Row],[PRECIO EN SOLES]]-Tabla1[[#This Row],[PC]]</f>
        <v>30.891760000000019</v>
      </c>
      <c r="K898" s="15"/>
      <c r="L898" s="15" t="str">
        <f t="shared" si="13"/>
        <v>COMPLEMENTO</v>
      </c>
    </row>
    <row r="899" spans="1:12" x14ac:dyDescent="0.25">
      <c r="A899" s="3" t="s">
        <v>267</v>
      </c>
      <c r="B899" s="3" t="s">
        <v>268</v>
      </c>
      <c r="C899" s="1">
        <v>20</v>
      </c>
      <c r="D899" s="1">
        <v>25.9</v>
      </c>
      <c r="E899" s="1" t="s">
        <v>52</v>
      </c>
      <c r="F899" s="1" t="s">
        <v>3306</v>
      </c>
      <c r="G899" s="3" t="s">
        <v>617</v>
      </c>
      <c r="H899" s="11">
        <f>ROUND(
IF(L899="GANCHO",
   IF(I899&lt;=50,I899*1.1+4,IF(I899&lt;=120,I899*1.1+7,IF(I899&lt;=250,I899*1.1+11,I899*1.1+19))),
IF(L899="NORMAL",
   IF(I899&lt;=30,I899*1.15+2,IF(I899&lt;=80,I899*1.15+4,IF(I899&lt;=150,I899*1.15+6,I899*1.15+8))),
IF(L899="COMPLEMENTO",
   IF(I899&lt;=25,I899*1.25+1.5,IF(I899&lt;=60,I899*1.25+3,IF(I899&lt;=120,I899*1.25+4,I899*1.25+5))),
""))),2)</f>
        <v>138.47</v>
      </c>
      <c r="I899" s="9">
        <f>($K$2+0.02)*Tabla1[[#This Row],[PRECIO $]]*1.18</f>
        <v>107.57823999999998</v>
      </c>
      <c r="J899" s="7">
        <f>+Tabla1[[#This Row],[PRECIO EN SOLES]]-Tabla1[[#This Row],[PC]]</f>
        <v>30.891760000000019</v>
      </c>
      <c r="K899" s="15"/>
      <c r="L899" s="15" t="str">
        <f t="shared" ref="L899:L962" si="14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COMPLEMENTO</v>
      </c>
    </row>
    <row r="900" spans="1:12" x14ac:dyDescent="0.25">
      <c r="A900" s="3" t="s">
        <v>4617</v>
      </c>
      <c r="B900" s="3" t="s">
        <v>1840</v>
      </c>
      <c r="C900" s="1">
        <v>20</v>
      </c>
      <c r="D900" s="1">
        <v>100</v>
      </c>
      <c r="E900" s="1" t="s">
        <v>52</v>
      </c>
      <c r="F900" s="1" t="s">
        <v>4618</v>
      </c>
      <c r="G900" s="3" t="s">
        <v>4619</v>
      </c>
      <c r="H900" s="11">
        <f>ROUND(
IF(L900="GANCHO",
   IF(I900&lt;=50,I900*1.1+4,IF(I900&lt;=120,I900*1.1+7,IF(I900&lt;=250,I900*1.1+11,I900*1.1+19))),
IF(L900="NORMAL",
   IF(I900&lt;=30,I900*1.15+2,IF(I900&lt;=80,I900*1.15+4,IF(I900&lt;=150,I900*1.15+6,I900*1.15+8))),
IF(L900="COMPLEMENTO",
   IF(I900&lt;=25,I900*1.25+1.5,IF(I900&lt;=60,I900*1.25+3,IF(I900&lt;=120,I900*1.25+4,I900*1.25+5))),
""))),2)</f>
        <v>524.20000000000005</v>
      </c>
      <c r="I900" s="9">
        <f>($K$2+0.02)*Tabla1[[#This Row],[PRECIO $]]*1.18</f>
        <v>415.35999999999996</v>
      </c>
      <c r="J900" s="7">
        <f>+Tabla1[[#This Row],[PRECIO EN SOLES]]-Tabla1[[#This Row],[PC]]</f>
        <v>108.84000000000009</v>
      </c>
      <c r="K900" s="15"/>
      <c r="L900" s="15" t="str">
        <f t="shared" si="14"/>
        <v>COMPLEMENTO</v>
      </c>
    </row>
    <row r="901" spans="1:12" x14ac:dyDescent="0.25">
      <c r="A901" s="3" t="s">
        <v>4620</v>
      </c>
      <c r="B901" s="3" t="s">
        <v>266</v>
      </c>
      <c r="C901" s="1">
        <v>20</v>
      </c>
      <c r="D901" s="1">
        <v>666</v>
      </c>
      <c r="E901" s="1" t="s">
        <v>240</v>
      </c>
      <c r="F901" s="1" t="s">
        <v>4621</v>
      </c>
      <c r="G901" s="3"/>
      <c r="H901" s="11">
        <f>ROUND(
IF(L901="GANCHO",
   IF(I901&lt;=50,I901*1.1+4,IF(I901&lt;=120,I901*1.1+7,IF(I901&lt;=250,I901*1.1+11,I901*1.1+19))),
IF(L901="NORMAL",
   IF(I901&lt;=30,I901*1.15+2,IF(I901&lt;=80,I901*1.15+4,IF(I901&lt;=150,I901*1.15+6,I901*1.15+8))),
IF(L901="COMPLEMENTO",
   IF(I901&lt;=25,I901*1.25+1.5,IF(I901&lt;=60,I901*1.25+3,IF(I901&lt;=120,I901*1.25+4,I901*1.25+5))),
""))),2)</f>
        <v>3462.87</v>
      </c>
      <c r="I901" s="9">
        <f>($K$2+0.02)*Tabla1[[#This Row],[PRECIO $]]*1.18</f>
        <v>2766.2975999999999</v>
      </c>
      <c r="J901" s="7">
        <f>+Tabla1[[#This Row],[PRECIO EN SOLES]]-Tabla1[[#This Row],[PC]]</f>
        <v>696.57240000000002</v>
      </c>
      <c r="K901" s="15"/>
      <c r="L901" s="15" t="str">
        <f t="shared" si="14"/>
        <v>COMPLEMENTO</v>
      </c>
    </row>
    <row r="902" spans="1:12" x14ac:dyDescent="0.25">
      <c r="A902" s="3" t="s">
        <v>4622</v>
      </c>
      <c r="B902" s="3" t="s">
        <v>268</v>
      </c>
      <c r="C902" s="1">
        <v>20</v>
      </c>
      <c r="D902" s="1">
        <v>666</v>
      </c>
      <c r="E902" s="1" t="s">
        <v>240</v>
      </c>
      <c r="F902" s="1" t="s">
        <v>4623</v>
      </c>
      <c r="G902" s="3"/>
      <c r="H902" s="11">
        <f>ROUND(
IF(L902="GANCHO",
   IF(I902&lt;=50,I902*1.1+4,IF(I902&lt;=120,I902*1.1+7,IF(I902&lt;=250,I902*1.1+11,I902*1.1+19))),
IF(L902="NORMAL",
   IF(I902&lt;=30,I902*1.15+2,IF(I902&lt;=80,I902*1.15+4,IF(I902&lt;=150,I902*1.15+6,I902*1.15+8))),
IF(L902="COMPLEMENTO",
   IF(I902&lt;=25,I902*1.25+1.5,IF(I902&lt;=60,I902*1.25+3,IF(I902&lt;=120,I902*1.25+4,I902*1.25+5))),
""))),2)</f>
        <v>3462.87</v>
      </c>
      <c r="I902" s="9">
        <f>($K$2+0.02)*Tabla1[[#This Row],[PRECIO $]]*1.18</f>
        <v>2766.2975999999999</v>
      </c>
      <c r="J902" s="7">
        <f>+Tabla1[[#This Row],[PRECIO EN SOLES]]-Tabla1[[#This Row],[PC]]</f>
        <v>696.57240000000002</v>
      </c>
      <c r="K902" s="15"/>
      <c r="L902" s="15" t="str">
        <f t="shared" si="14"/>
        <v>COMPLEMENTO</v>
      </c>
    </row>
    <row r="903" spans="1:12" x14ac:dyDescent="0.25">
      <c r="A903" s="3" t="s">
        <v>2775</v>
      </c>
      <c r="B903" s="3" t="s">
        <v>2776</v>
      </c>
      <c r="C903" s="1">
        <v>20</v>
      </c>
      <c r="D903" s="1">
        <v>19.899999999999999</v>
      </c>
      <c r="E903" s="1" t="s">
        <v>264</v>
      </c>
      <c r="F903" s="1" t="s">
        <v>3307</v>
      </c>
      <c r="G903" s="3"/>
      <c r="H903" s="11">
        <f>ROUND(
IF(L903="GANCHO",
   IF(I903&lt;=50,I903*1.1+4,IF(I903&lt;=120,I903*1.1+7,IF(I903&lt;=250,I903*1.1+11,I903*1.1+19))),
IF(L903="NORMAL",
   IF(I903&lt;=30,I903*1.15+2,IF(I903&lt;=80,I903*1.15+4,IF(I903&lt;=150,I903*1.15+6,I903*1.15+8))),
IF(L903="COMPLEMENTO",
   IF(I903&lt;=25,I903*1.25+1.5,IF(I903&lt;=60,I903*1.25+3,IF(I903&lt;=120,I903*1.25+4,I903*1.25+5))),
""))),2)</f>
        <v>107.32</v>
      </c>
      <c r="I903" s="9">
        <f>($K$2+0.02)*Tabla1[[#This Row],[PRECIO $]]*1.18</f>
        <v>82.656639999999996</v>
      </c>
      <c r="J903" s="7">
        <f>+Tabla1[[#This Row],[PRECIO EN SOLES]]-Tabla1[[#This Row],[PC]]</f>
        <v>24.663359999999997</v>
      </c>
      <c r="K903" s="15"/>
      <c r="L903" s="15" t="str">
        <f t="shared" si="14"/>
        <v>COMPLEMENTO</v>
      </c>
    </row>
    <row r="904" spans="1:12" x14ac:dyDescent="0.25">
      <c r="A904" s="3" t="s">
        <v>5489</v>
      </c>
      <c r="B904" s="3" t="s">
        <v>5490</v>
      </c>
      <c r="C904" s="1">
        <v>0</v>
      </c>
      <c r="D904" s="1">
        <v>9999999.9900000002</v>
      </c>
      <c r="E904" s="1" t="s">
        <v>183</v>
      </c>
      <c r="F904" s="1" t="s">
        <v>5491</v>
      </c>
      <c r="G904" s="3"/>
      <c r="H904" s="11">
        <f>ROUND(
IF(L904="GANCHO",
   IF(I904&lt;=50,I904*1.1+4,IF(I904&lt;=120,I904*1.1+7,IF(I904&lt;=250,I904*1.1+11,I904*1.1+19))),
IF(L904="NORMAL",
   IF(I904&lt;=30,I904*1.15+2,IF(I904&lt;=80,I904*1.15+4,IF(I904&lt;=150,I904*1.15+6,I904*1.15+8))),
IF(L904="COMPLEMENTO",
   IF(I904&lt;=25,I904*1.25+1.5,IF(I904&lt;=60,I904*1.25+3,IF(I904&lt;=120,I904*1.25+4,I904*1.25+5))),
""))),2)</f>
        <v>51920004.950000003</v>
      </c>
      <c r="I904" s="9">
        <f>($K$2+0.02)*Tabla1[[#This Row],[PRECIO $]]*1.18</f>
        <v>41535999.958463997</v>
      </c>
      <c r="J904" s="7">
        <f>+Tabla1[[#This Row],[PRECIO EN SOLES]]-Tabla1[[#This Row],[PC]]</f>
        <v>10384004.991536006</v>
      </c>
      <c r="K904" s="15"/>
      <c r="L904" s="15" t="str">
        <f t="shared" si="14"/>
        <v>COMPLEMENTO</v>
      </c>
    </row>
    <row r="905" spans="1:12" x14ac:dyDescent="0.25">
      <c r="A905" s="3" t="s">
        <v>4283</v>
      </c>
      <c r="B905" s="3" t="s">
        <v>4284</v>
      </c>
      <c r="C905" s="1">
        <v>0</v>
      </c>
      <c r="D905" s="1">
        <v>999</v>
      </c>
      <c r="E905" s="1" t="s">
        <v>183</v>
      </c>
      <c r="F905" s="1" t="s">
        <v>4285</v>
      </c>
      <c r="G905" s="3"/>
      <c r="H905" s="11">
        <f>ROUND(
IF(L905="GANCHO",
   IF(I905&lt;=50,I905*1.1+4,IF(I905&lt;=120,I905*1.1+7,IF(I905&lt;=250,I905*1.1+11,I905*1.1+19))),
IF(L905="NORMAL",
   IF(I905&lt;=30,I905*1.15+2,IF(I905&lt;=80,I905*1.15+4,IF(I905&lt;=150,I905*1.15+6,I905*1.15+8))),
IF(L905="COMPLEMENTO",
   IF(I905&lt;=25,I905*1.25+1.5,IF(I905&lt;=60,I905*1.25+3,IF(I905&lt;=120,I905*1.25+4,I905*1.25+5))),
""))),2)</f>
        <v>5191.8100000000004</v>
      </c>
      <c r="I905" s="9">
        <f>($K$2+0.02)*Tabla1[[#This Row],[PRECIO $]]*1.18</f>
        <v>4149.4463999999998</v>
      </c>
      <c r="J905" s="7">
        <f>+Tabla1[[#This Row],[PRECIO EN SOLES]]-Tabla1[[#This Row],[PC]]</f>
        <v>1042.3636000000006</v>
      </c>
      <c r="K905" s="15"/>
      <c r="L905" s="15" t="str">
        <f t="shared" si="14"/>
        <v>COMPLEMENTO</v>
      </c>
    </row>
    <row r="906" spans="1:12" x14ac:dyDescent="0.25">
      <c r="A906" s="3" t="s">
        <v>1494</v>
      </c>
      <c r="B906" s="3" t="s">
        <v>1493</v>
      </c>
      <c r="C906" s="1">
        <v>0</v>
      </c>
      <c r="D906" s="1">
        <v>999</v>
      </c>
      <c r="E906" s="1" t="s">
        <v>184</v>
      </c>
      <c r="F906" s="1" t="s">
        <v>3308</v>
      </c>
      <c r="G906" s="3"/>
      <c r="H906" s="11">
        <f>ROUND(
IF(L906="GANCHO",
   IF(I906&lt;=50,I906*1.1+4,IF(I906&lt;=120,I906*1.1+7,IF(I906&lt;=250,I906*1.1+11,I906*1.1+19))),
IF(L906="NORMAL",
   IF(I906&lt;=30,I906*1.15+2,IF(I906&lt;=80,I906*1.15+4,IF(I906&lt;=150,I906*1.15+6,I906*1.15+8))),
IF(L906="COMPLEMENTO",
   IF(I906&lt;=25,I906*1.25+1.5,IF(I906&lt;=60,I906*1.25+3,IF(I906&lt;=120,I906*1.25+4,I906*1.25+5))),
""))),2)</f>
        <v>5191.8100000000004</v>
      </c>
      <c r="I906" s="9">
        <f>($K$2+0.02)*Tabla1[[#This Row],[PRECIO $]]*1.18</f>
        <v>4149.4463999999998</v>
      </c>
      <c r="J906" s="7">
        <f>+Tabla1[[#This Row],[PRECIO EN SOLES]]-Tabla1[[#This Row],[PC]]</f>
        <v>1042.3636000000006</v>
      </c>
      <c r="K906" s="15"/>
      <c r="L906" s="15" t="str">
        <f t="shared" si="14"/>
        <v>COMPLEMENTO</v>
      </c>
    </row>
    <row r="907" spans="1:12" x14ac:dyDescent="0.25">
      <c r="A907" s="3" t="s">
        <v>269</v>
      </c>
      <c r="B907" s="3" t="s">
        <v>270</v>
      </c>
      <c r="C907" s="1">
        <v>20</v>
      </c>
      <c r="D907" s="1">
        <v>77</v>
      </c>
      <c r="E907" s="1" t="s">
        <v>54</v>
      </c>
      <c r="F907" s="1" t="s">
        <v>3309</v>
      </c>
      <c r="G907" s="3" t="s">
        <v>6593</v>
      </c>
      <c r="H907" s="11">
        <f>ROUND(
IF(L907="GANCHO",
   IF(I907&lt;=50,I907*1.1+4,IF(I907&lt;=120,I907*1.1+7,IF(I907&lt;=250,I907*1.1+11,I907*1.1+19))),
IF(L907="NORMAL",
   IF(I907&lt;=30,I907*1.15+2,IF(I907&lt;=80,I907*1.15+4,IF(I907&lt;=150,I907*1.15+6,I907*1.15+8))),
IF(L907="COMPLEMENTO",
   IF(I907&lt;=25,I907*1.25+1.5,IF(I907&lt;=60,I907*1.25+3,IF(I907&lt;=120,I907*1.25+4,I907*1.25+5))),
""))),2)</f>
        <v>370.81</v>
      </c>
      <c r="I907" s="9">
        <f>($K$2+0.02)*Tabla1[[#This Row],[PRECIO $]]*1.18</f>
        <v>319.8272</v>
      </c>
      <c r="J907" s="7">
        <f>+Tabla1[[#This Row],[PRECIO EN SOLES]]-Tabla1[[#This Row],[PC]]</f>
        <v>50.982799999999997</v>
      </c>
      <c r="K907" s="15"/>
      <c r="L907" s="15" t="str">
        <f t="shared" si="14"/>
        <v>GANCHO</v>
      </c>
    </row>
    <row r="908" spans="1:12" x14ac:dyDescent="0.25">
      <c r="A908" s="3" t="s">
        <v>271</v>
      </c>
      <c r="B908" s="3" t="s">
        <v>272</v>
      </c>
      <c r="C908" s="1">
        <v>16</v>
      </c>
      <c r="D908" s="1">
        <v>78</v>
      </c>
      <c r="E908" s="1" t="s">
        <v>52</v>
      </c>
      <c r="F908" s="1" t="s">
        <v>3310</v>
      </c>
      <c r="G908" s="3" t="s">
        <v>618</v>
      </c>
      <c r="H908" s="11">
        <f>ROUND(
IF(L908="GANCHO",
   IF(I908&lt;=50,I908*1.1+4,IF(I908&lt;=120,I908*1.1+7,IF(I908&lt;=250,I908*1.1+11,I908*1.1+19))),
IF(L908="NORMAL",
   IF(I908&lt;=30,I908*1.15+2,IF(I908&lt;=80,I908*1.15+4,IF(I908&lt;=150,I908*1.15+6,I908*1.15+8))),
IF(L908="COMPLEMENTO",
   IF(I908&lt;=25,I908*1.25+1.5,IF(I908&lt;=60,I908*1.25+3,IF(I908&lt;=120,I908*1.25+4,I908*1.25+5))),
""))),2)</f>
        <v>375.38</v>
      </c>
      <c r="I908" s="9">
        <f>($K$2+0.02)*Tabla1[[#This Row],[PRECIO $]]*1.18</f>
        <v>323.98079999999999</v>
      </c>
      <c r="J908" s="7">
        <f>+Tabla1[[#This Row],[PRECIO EN SOLES]]-Tabla1[[#This Row],[PC]]</f>
        <v>51.399200000000008</v>
      </c>
      <c r="K908" s="15"/>
      <c r="L908" s="15" t="str">
        <f t="shared" si="14"/>
        <v>GANCHO</v>
      </c>
    </row>
    <row r="909" spans="1:12" x14ac:dyDescent="0.25">
      <c r="A909" s="3" t="s">
        <v>6125</v>
      </c>
      <c r="B909" s="3" t="s">
        <v>6126</v>
      </c>
      <c r="C909" s="1">
        <v>20</v>
      </c>
      <c r="D909" s="1">
        <v>83</v>
      </c>
      <c r="E909" s="1" t="s">
        <v>52</v>
      </c>
      <c r="F909" s="1" t="s">
        <v>6127</v>
      </c>
      <c r="G909" s="3" t="s">
        <v>6128</v>
      </c>
      <c r="H909" s="11">
        <f>ROUND(
IF(L909="GANCHO",
   IF(I909&lt;=50,I909*1.1+4,IF(I909&lt;=120,I909*1.1+7,IF(I909&lt;=250,I909*1.1+11,I909*1.1+19))),
IF(L909="NORMAL",
   IF(I909&lt;=30,I909*1.15+2,IF(I909&lt;=80,I909*1.15+4,IF(I909&lt;=150,I909*1.15+6,I909*1.15+8))),
IF(L909="COMPLEMENTO",
   IF(I909&lt;=25,I909*1.25+1.5,IF(I909&lt;=60,I909*1.25+3,IF(I909&lt;=120,I909*1.25+4,I909*1.25+5))),
""))),2)</f>
        <v>398.22</v>
      </c>
      <c r="I909" s="9">
        <f>($K$2+0.02)*Tabla1[[#This Row],[PRECIO $]]*1.18</f>
        <v>344.74880000000002</v>
      </c>
      <c r="J909" s="7">
        <f>+Tabla1[[#This Row],[PRECIO EN SOLES]]-Tabla1[[#This Row],[PC]]</f>
        <v>53.47120000000001</v>
      </c>
      <c r="K909" s="15"/>
      <c r="L909" s="15" t="str">
        <f t="shared" si="14"/>
        <v>GANCHO</v>
      </c>
    </row>
    <row r="910" spans="1:12" x14ac:dyDescent="0.25">
      <c r="A910" s="3" t="s">
        <v>2570</v>
      </c>
      <c r="B910" s="3" t="s">
        <v>2571</v>
      </c>
      <c r="C910" s="1">
        <v>15</v>
      </c>
      <c r="D910" s="1">
        <v>96</v>
      </c>
      <c r="E910" s="1" t="s">
        <v>54</v>
      </c>
      <c r="F910" s="1" t="s">
        <v>3311</v>
      </c>
      <c r="G910" s="3" t="s">
        <v>6594</v>
      </c>
      <c r="H910" s="11">
        <f>ROUND(
IF(L910="GANCHO",
   IF(I910&lt;=50,I910*1.1+4,IF(I910&lt;=120,I910*1.1+7,IF(I910&lt;=250,I910*1.1+11,I910*1.1+19))),
IF(L910="NORMAL",
   IF(I910&lt;=30,I910*1.15+2,IF(I910&lt;=80,I910*1.15+4,IF(I910&lt;=150,I910*1.15+6,I910*1.15+8))),
IF(L910="COMPLEMENTO",
   IF(I910&lt;=25,I910*1.25+1.5,IF(I910&lt;=60,I910*1.25+3,IF(I910&lt;=120,I910*1.25+4,I910*1.25+5))),
""))),2)</f>
        <v>457.62</v>
      </c>
      <c r="I910" s="9">
        <f>($K$2+0.02)*Tabla1[[#This Row],[PRECIO $]]*1.18</f>
        <v>398.74560000000002</v>
      </c>
      <c r="J910" s="7">
        <f>+Tabla1[[#This Row],[PRECIO EN SOLES]]-Tabla1[[#This Row],[PC]]</f>
        <v>58.87439999999998</v>
      </c>
      <c r="K910" s="15"/>
      <c r="L910" s="15" t="str">
        <f t="shared" si="14"/>
        <v>GANCHO</v>
      </c>
    </row>
    <row r="911" spans="1:12" x14ac:dyDescent="0.25">
      <c r="A911" s="3" t="s">
        <v>5492</v>
      </c>
      <c r="B911" s="3" t="s">
        <v>5493</v>
      </c>
      <c r="C911" s="1">
        <v>14</v>
      </c>
      <c r="D911" s="1">
        <v>215</v>
      </c>
      <c r="E911" s="1" t="s">
        <v>216</v>
      </c>
      <c r="F911" s="1" t="s">
        <v>5494</v>
      </c>
      <c r="G911" s="3"/>
      <c r="H911" s="11">
        <f>ROUND(
IF(L911="GANCHO",
   IF(I911&lt;=50,I911*1.1+4,IF(I911&lt;=120,I911*1.1+7,IF(I911&lt;=250,I911*1.1+11,I911*1.1+19))),
IF(L911="NORMAL",
   IF(I911&lt;=30,I911*1.15+2,IF(I911&lt;=80,I911*1.15+4,IF(I911&lt;=150,I911*1.15+6,I911*1.15+8))),
IF(L911="COMPLEMENTO",
   IF(I911&lt;=25,I911*1.25+1.5,IF(I911&lt;=60,I911*1.25+3,IF(I911&lt;=120,I911*1.25+4,I911*1.25+5))),
""))),2)</f>
        <v>1001.33</v>
      </c>
      <c r="I911" s="9">
        <f>($K$2+0.02)*Tabla1[[#This Row],[PRECIO $]]*1.18</f>
        <v>893.02399999999989</v>
      </c>
      <c r="J911" s="7">
        <f>+Tabla1[[#This Row],[PRECIO EN SOLES]]-Tabla1[[#This Row],[PC]]</f>
        <v>108.30600000000015</v>
      </c>
      <c r="K911" s="15"/>
      <c r="L911" s="15" t="str">
        <f t="shared" si="14"/>
        <v>GANCHO</v>
      </c>
    </row>
    <row r="912" spans="1:12" x14ac:dyDescent="0.25">
      <c r="A912" s="3" t="s">
        <v>2691</v>
      </c>
      <c r="B912" s="3" t="s">
        <v>2692</v>
      </c>
      <c r="C912" s="1">
        <v>17</v>
      </c>
      <c r="D912" s="1">
        <v>323.5</v>
      </c>
      <c r="E912" s="1" t="s">
        <v>216</v>
      </c>
      <c r="F912" s="1" t="s">
        <v>3312</v>
      </c>
      <c r="G912" s="3" t="s">
        <v>2693</v>
      </c>
      <c r="H912" s="11">
        <f>ROUND(
IF(L912="GANCHO",
   IF(I912&lt;=50,I912*1.1+4,IF(I912&lt;=120,I912*1.1+7,IF(I912&lt;=250,I912*1.1+11,I912*1.1+19))),
IF(L912="NORMAL",
   IF(I912&lt;=30,I912*1.15+2,IF(I912&lt;=80,I912*1.15+4,IF(I912&lt;=150,I912*1.15+6,I912*1.15+8))),
IF(L912="COMPLEMENTO",
   IF(I912&lt;=25,I912*1.25+1.5,IF(I912&lt;=60,I912*1.25+3,IF(I912&lt;=120,I912*1.25+4,I912*1.25+5))),
""))),2)</f>
        <v>1497.06</v>
      </c>
      <c r="I912" s="9">
        <f>($K$2+0.02)*Tabla1[[#This Row],[PRECIO $]]*1.18</f>
        <v>1343.6895999999999</v>
      </c>
      <c r="J912" s="7">
        <f>+Tabla1[[#This Row],[PRECIO EN SOLES]]-Tabla1[[#This Row],[PC]]</f>
        <v>153.37040000000002</v>
      </c>
      <c r="K912" s="15"/>
      <c r="L912" s="15" t="str">
        <f t="shared" si="14"/>
        <v>GANCHO</v>
      </c>
    </row>
    <row r="913" spans="1:12" x14ac:dyDescent="0.25">
      <c r="A913" s="3" t="s">
        <v>1495</v>
      </c>
      <c r="B913" s="3" t="s">
        <v>4624</v>
      </c>
      <c r="C913" s="1">
        <v>2</v>
      </c>
      <c r="D913" s="1">
        <v>400</v>
      </c>
      <c r="E913" s="1" t="s">
        <v>216</v>
      </c>
      <c r="F913" s="1" t="s">
        <v>3313</v>
      </c>
      <c r="G913" s="3" t="s">
        <v>3314</v>
      </c>
      <c r="H913" s="11">
        <f>ROUND(
IF(L913="GANCHO",
   IF(I913&lt;=50,I913*1.1+4,IF(I913&lt;=120,I913*1.1+7,IF(I913&lt;=250,I913*1.1+11,I913*1.1+19))),
IF(L913="NORMAL",
   IF(I913&lt;=30,I913*1.15+2,IF(I913&lt;=80,I913*1.15+4,IF(I913&lt;=150,I913*1.15+6,I913*1.15+8))),
IF(L913="COMPLEMENTO",
   IF(I913&lt;=25,I913*1.25+1.5,IF(I913&lt;=60,I913*1.25+3,IF(I913&lt;=120,I913*1.25+4,I913*1.25+5))),
""))),2)</f>
        <v>1846.58</v>
      </c>
      <c r="I913" s="9">
        <f>($K$2+0.02)*Tabla1[[#This Row],[PRECIO $]]*1.18</f>
        <v>1661.4399999999998</v>
      </c>
      <c r="J913" s="7">
        <f>+Tabla1[[#This Row],[PRECIO EN SOLES]]-Tabla1[[#This Row],[PC]]</f>
        <v>185.1400000000001</v>
      </c>
      <c r="K913" s="15"/>
      <c r="L913" s="15" t="str">
        <f t="shared" si="14"/>
        <v>GANCHO</v>
      </c>
    </row>
    <row r="914" spans="1:12" x14ac:dyDescent="0.25">
      <c r="A914" s="3" t="s">
        <v>5019</v>
      </c>
      <c r="B914" s="3" t="s">
        <v>5020</v>
      </c>
      <c r="C914" s="1">
        <v>3</v>
      </c>
      <c r="D914" s="1">
        <v>1097</v>
      </c>
      <c r="E914" s="1" t="s">
        <v>783</v>
      </c>
      <c r="F914" s="1" t="s">
        <v>5021</v>
      </c>
      <c r="G914" s="3" t="s">
        <v>5022</v>
      </c>
      <c r="H914" s="11">
        <f>ROUND(
IF(L914="GANCHO",
   IF(I914&lt;=50,I914*1.1+4,IF(I914&lt;=120,I914*1.1+7,IF(I914&lt;=250,I914*1.1+11,I914*1.1+19))),
IF(L914="NORMAL",
   IF(I914&lt;=30,I914*1.15+2,IF(I914&lt;=80,I914*1.15+4,IF(I914&lt;=150,I914*1.15+6,I914*1.15+8))),
IF(L914="COMPLEMENTO",
   IF(I914&lt;=25,I914*1.25+1.5,IF(I914&lt;=60,I914*1.25+3,IF(I914&lt;=120,I914*1.25+4,I914*1.25+5))),
""))),2)</f>
        <v>5031.1499999999996</v>
      </c>
      <c r="I914" s="9">
        <f>($K$2+0.02)*Tabla1[[#This Row],[PRECIO $]]*1.18</f>
        <v>4556.4992000000002</v>
      </c>
      <c r="J914" s="7">
        <f>+Tabla1[[#This Row],[PRECIO EN SOLES]]-Tabla1[[#This Row],[PC]]</f>
        <v>474.65079999999944</v>
      </c>
      <c r="K914" s="15"/>
      <c r="L914" s="15" t="str">
        <f t="shared" si="14"/>
        <v>GANCHO</v>
      </c>
    </row>
    <row r="915" spans="1:12" x14ac:dyDescent="0.25">
      <c r="A915" s="3" t="s">
        <v>5938</v>
      </c>
      <c r="B915" s="3" t="s">
        <v>5939</v>
      </c>
      <c r="C915" s="1">
        <v>20</v>
      </c>
      <c r="D915" s="1">
        <v>124</v>
      </c>
      <c r="E915" s="1" t="s">
        <v>52</v>
      </c>
      <c r="F915" s="1" t="s">
        <v>5940</v>
      </c>
      <c r="G915" s="3" t="s">
        <v>5941</v>
      </c>
      <c r="H915" s="11">
        <f>ROUND(
IF(L915="GANCHO",
   IF(I915&lt;=50,I915*1.1+4,IF(I915&lt;=120,I915*1.1+7,IF(I915&lt;=250,I915*1.1+11,I915*1.1+19))),
IF(L915="NORMAL",
   IF(I915&lt;=30,I915*1.15+2,IF(I915&lt;=80,I915*1.15+4,IF(I915&lt;=150,I915*1.15+6,I915*1.15+8))),
IF(L915="COMPLEMENTO",
   IF(I915&lt;=25,I915*1.25+1.5,IF(I915&lt;=60,I915*1.25+3,IF(I915&lt;=120,I915*1.25+4,I915*1.25+5))),
""))),2)</f>
        <v>585.54999999999995</v>
      </c>
      <c r="I915" s="9">
        <f>($K$2+0.02)*Tabla1[[#This Row],[PRECIO $]]*1.18</f>
        <v>515.04639999999995</v>
      </c>
      <c r="J915" s="7">
        <f>+Tabla1[[#This Row],[PRECIO EN SOLES]]-Tabla1[[#This Row],[PC]]</f>
        <v>70.503600000000006</v>
      </c>
      <c r="K915" s="15"/>
      <c r="L915" s="15" t="str">
        <f t="shared" si="14"/>
        <v>GANCHO</v>
      </c>
    </row>
    <row r="916" spans="1:12" x14ac:dyDescent="0.25">
      <c r="A916" s="3" t="s">
        <v>273</v>
      </c>
      <c r="B916" s="3" t="s">
        <v>274</v>
      </c>
      <c r="C916" s="1">
        <v>20</v>
      </c>
      <c r="D916" s="1">
        <v>160</v>
      </c>
      <c r="E916" s="1" t="s">
        <v>52</v>
      </c>
      <c r="F916" s="1" t="s">
        <v>3315</v>
      </c>
      <c r="G916" s="3" t="s">
        <v>2603</v>
      </c>
      <c r="H916" s="11">
        <f>ROUND(
IF(L916="GANCHO",
   IF(I916&lt;=50,I916*1.1+4,IF(I916&lt;=120,I916*1.1+7,IF(I916&lt;=250,I916*1.1+11,I916*1.1+19))),
IF(L916="NORMAL",
   IF(I916&lt;=30,I916*1.15+2,IF(I916&lt;=80,I916*1.15+4,IF(I916&lt;=150,I916*1.15+6,I916*1.15+8))),
IF(L916="COMPLEMENTO",
   IF(I916&lt;=25,I916*1.25+1.5,IF(I916&lt;=60,I916*1.25+3,IF(I916&lt;=120,I916*1.25+4,I916*1.25+5))),
""))),2)</f>
        <v>750.03</v>
      </c>
      <c r="I916" s="9">
        <f>($K$2+0.02)*Tabla1[[#This Row],[PRECIO $]]*1.18</f>
        <v>664.57600000000002</v>
      </c>
      <c r="J916" s="7">
        <f>+Tabla1[[#This Row],[PRECIO EN SOLES]]-Tabla1[[#This Row],[PC]]</f>
        <v>85.453999999999951</v>
      </c>
      <c r="K916" s="15"/>
      <c r="L916" s="15" t="str">
        <f t="shared" si="14"/>
        <v>GANCHO</v>
      </c>
    </row>
    <row r="917" spans="1:12" x14ac:dyDescent="0.25">
      <c r="A917" s="3" t="s">
        <v>6129</v>
      </c>
      <c r="B917" s="3" t="s">
        <v>6130</v>
      </c>
      <c r="C917" s="1">
        <v>13</v>
      </c>
      <c r="D917" s="1">
        <v>97</v>
      </c>
      <c r="E917" s="1" t="s">
        <v>52</v>
      </c>
      <c r="F917" s="1" t="s">
        <v>6131</v>
      </c>
      <c r="G917" s="3" t="s">
        <v>6132</v>
      </c>
      <c r="H917" s="11">
        <f>ROUND(
IF(L917="GANCHO",
   IF(I917&lt;=50,I917*1.1+4,IF(I917&lt;=120,I917*1.1+7,IF(I917&lt;=250,I917*1.1+11,I917*1.1+19))),
IF(L917="NORMAL",
   IF(I917&lt;=30,I917*1.15+2,IF(I917&lt;=80,I917*1.15+4,IF(I917&lt;=150,I917*1.15+6,I917*1.15+8))),
IF(L917="COMPLEMENTO",
   IF(I917&lt;=25,I917*1.25+1.5,IF(I917&lt;=60,I917*1.25+3,IF(I917&lt;=120,I917*1.25+4,I917*1.25+5))),
""))),2)</f>
        <v>462.19</v>
      </c>
      <c r="I917" s="9">
        <f>($K$2+0.02)*Tabla1[[#This Row],[PRECIO $]]*1.18</f>
        <v>402.89919999999995</v>
      </c>
      <c r="J917" s="7">
        <f>+Tabla1[[#This Row],[PRECIO EN SOLES]]-Tabla1[[#This Row],[PC]]</f>
        <v>59.290800000000047</v>
      </c>
      <c r="K917" s="15"/>
      <c r="L917" s="15" t="str">
        <f t="shared" si="14"/>
        <v>GANCHO</v>
      </c>
    </row>
    <row r="918" spans="1:12" x14ac:dyDescent="0.25">
      <c r="A918" s="3" t="s">
        <v>5748</v>
      </c>
      <c r="B918" s="3" t="s">
        <v>5749</v>
      </c>
      <c r="C918" s="1">
        <v>0</v>
      </c>
      <c r="D918" s="1">
        <v>175</v>
      </c>
      <c r="E918" s="1" t="s">
        <v>52</v>
      </c>
      <c r="F918" s="1" t="s">
        <v>5750</v>
      </c>
      <c r="G918" s="3" t="s">
        <v>5751</v>
      </c>
      <c r="H918" s="11">
        <f>ROUND(
IF(L918="GANCHO",
   IF(I918&lt;=50,I918*1.1+4,IF(I918&lt;=120,I918*1.1+7,IF(I918&lt;=250,I918*1.1+11,I918*1.1+19))),
IF(L918="NORMAL",
   IF(I918&lt;=30,I918*1.15+2,IF(I918&lt;=80,I918*1.15+4,IF(I918&lt;=150,I918*1.15+6,I918*1.15+8))),
IF(L918="COMPLEMENTO",
   IF(I918&lt;=25,I918*1.25+1.5,IF(I918&lt;=60,I918*1.25+3,IF(I918&lt;=120,I918*1.25+4,I918*1.25+5))),
""))),2)</f>
        <v>818.57</v>
      </c>
      <c r="I918" s="9">
        <f>($K$2+0.02)*Tabla1[[#This Row],[PRECIO $]]*1.18</f>
        <v>726.88</v>
      </c>
      <c r="J918" s="7">
        <f>+Tabla1[[#This Row],[PRECIO EN SOLES]]-Tabla1[[#This Row],[PC]]</f>
        <v>91.690000000000055</v>
      </c>
      <c r="K918" s="15"/>
      <c r="L918" s="15" t="str">
        <f t="shared" si="14"/>
        <v>GANCHO</v>
      </c>
    </row>
    <row r="919" spans="1:12" x14ac:dyDescent="0.25">
      <c r="A919" s="3" t="s">
        <v>1507</v>
      </c>
      <c r="B919" s="3" t="s">
        <v>1508</v>
      </c>
      <c r="C919" s="1">
        <v>0</v>
      </c>
      <c r="D919" s="1">
        <v>999</v>
      </c>
      <c r="E919" s="1" t="s">
        <v>170</v>
      </c>
      <c r="F919" s="1" t="s">
        <v>3322</v>
      </c>
      <c r="G919" s="3"/>
      <c r="H919" s="11">
        <f>ROUND(
IF(L919="GANCHO",
   IF(I919&lt;=50,I919*1.1+4,IF(I919&lt;=120,I919*1.1+7,IF(I919&lt;=250,I919*1.1+11,I919*1.1+19))),
IF(L919="NORMAL",
   IF(I919&lt;=30,I919*1.15+2,IF(I919&lt;=80,I919*1.15+4,IF(I919&lt;=150,I919*1.15+6,I919*1.15+8))),
IF(L919="COMPLEMENTO",
   IF(I919&lt;=25,I919*1.25+1.5,IF(I919&lt;=60,I919*1.25+3,IF(I919&lt;=120,I919*1.25+4,I919*1.25+5))),
""))),2)</f>
        <v>4583.3900000000003</v>
      </c>
      <c r="I919" s="9">
        <f>($K$2+0.02)*Tabla1[[#This Row],[PRECIO $]]*1.18</f>
        <v>4149.4463999999998</v>
      </c>
      <c r="J919" s="7">
        <f>+Tabla1[[#This Row],[PRECIO EN SOLES]]-Tabla1[[#This Row],[PC]]</f>
        <v>433.94360000000052</v>
      </c>
      <c r="K919" s="15"/>
      <c r="L919" s="15" t="str">
        <f t="shared" si="14"/>
        <v>GANCHO</v>
      </c>
    </row>
    <row r="920" spans="1:12" x14ac:dyDescent="0.25">
      <c r="A920" s="3" t="s">
        <v>7083</v>
      </c>
      <c r="B920" s="3" t="s">
        <v>7084</v>
      </c>
      <c r="C920" s="1">
        <v>1</v>
      </c>
      <c r="D920" s="1">
        <v>765</v>
      </c>
      <c r="E920" s="1" t="s">
        <v>52</v>
      </c>
      <c r="F920" s="1" t="s">
        <v>7085</v>
      </c>
      <c r="G920" s="3" t="s">
        <v>7086</v>
      </c>
      <c r="H920" s="11">
        <f>ROUND(
IF(L920="GANCHO",
   IF(I920&lt;=50,I920*1.1+4,IF(I920&lt;=120,I920*1.1+7,IF(I920&lt;=250,I920*1.1+11,I920*1.1+19))),
IF(L920="NORMAL",
   IF(I920&lt;=30,I920*1.15+2,IF(I920&lt;=80,I920*1.15+4,IF(I920&lt;=150,I920*1.15+6,I920*1.15+8))),
IF(L920="COMPLEMENTO",
   IF(I920&lt;=25,I920*1.25+1.5,IF(I920&lt;=60,I920*1.25+3,IF(I920&lt;=120,I920*1.25+4,I920*1.25+5))),
""))),2)</f>
        <v>3514.25</v>
      </c>
      <c r="I920" s="9">
        <f>($K$2+0.02)*Tabla1[[#This Row],[PRECIO $]]*1.18</f>
        <v>3177.5039999999999</v>
      </c>
      <c r="J920" s="7">
        <f>+Tabla1[[#This Row],[PRECIO EN SOLES]]-Tabla1[[#This Row],[PC]]</f>
        <v>336.74600000000009</v>
      </c>
      <c r="K920" s="15"/>
      <c r="L920" s="15" t="str">
        <f t="shared" si="14"/>
        <v>GANCHO</v>
      </c>
    </row>
    <row r="921" spans="1:12" x14ac:dyDescent="0.25">
      <c r="A921" s="3" t="s">
        <v>6965</v>
      </c>
      <c r="B921" s="3" t="s">
        <v>6966</v>
      </c>
      <c r="C921" s="1">
        <v>1</v>
      </c>
      <c r="D921" s="1">
        <v>97</v>
      </c>
      <c r="E921" s="1" t="s">
        <v>115</v>
      </c>
      <c r="F921" s="1" t="s">
        <v>6967</v>
      </c>
      <c r="G921" s="3" t="s">
        <v>6968</v>
      </c>
      <c r="H921" s="11">
        <f>ROUND(
IF(L921="GANCHO",
   IF(I921&lt;=50,I921*1.1+4,IF(I921&lt;=120,I921*1.1+7,IF(I921&lt;=250,I921*1.1+11,I921*1.1+19))),
IF(L921="NORMAL",
   IF(I921&lt;=30,I921*1.15+2,IF(I921&lt;=80,I921*1.15+4,IF(I921&lt;=150,I921*1.15+6,I921*1.15+8))),
IF(L921="COMPLEMENTO",
   IF(I921&lt;=25,I921*1.25+1.5,IF(I921&lt;=60,I921*1.25+3,IF(I921&lt;=120,I921*1.25+4,I921*1.25+5))),
""))),2)</f>
        <v>471.33</v>
      </c>
      <c r="I921" s="9">
        <f>($K$2+0.02)*Tabla1[[#This Row],[PRECIO $]]*1.18</f>
        <v>402.89919999999995</v>
      </c>
      <c r="J921" s="7">
        <f>+Tabla1[[#This Row],[PRECIO EN SOLES]]-Tabla1[[#This Row],[PC]]</f>
        <v>68.430800000000033</v>
      </c>
      <c r="K921" s="15"/>
      <c r="L921" s="15" t="str">
        <f t="shared" si="14"/>
        <v>NORMAL</v>
      </c>
    </row>
    <row r="922" spans="1:12" x14ac:dyDescent="0.25">
      <c r="A922" s="3" t="s">
        <v>7087</v>
      </c>
      <c r="B922" s="3" t="s">
        <v>7088</v>
      </c>
      <c r="C922" s="1">
        <v>5</v>
      </c>
      <c r="D922" s="1">
        <v>68.5</v>
      </c>
      <c r="E922" s="1" t="s">
        <v>115</v>
      </c>
      <c r="F922" s="1" t="s">
        <v>7089</v>
      </c>
      <c r="G922" s="3" t="s">
        <v>7090</v>
      </c>
      <c r="H922" s="11">
        <f>ROUND(
IF(L922="GANCHO",
   IF(I922&lt;=50,I922*1.1+4,IF(I922&lt;=120,I922*1.1+7,IF(I922&lt;=250,I922*1.1+11,I922*1.1+19))),
IF(L922="NORMAL",
   IF(I922&lt;=30,I922*1.15+2,IF(I922&lt;=80,I922*1.15+4,IF(I922&lt;=150,I922*1.15+6,I922*1.15+8))),
IF(L922="COMPLEMENTO",
   IF(I922&lt;=25,I922*1.25+1.5,IF(I922&lt;=60,I922*1.25+3,IF(I922&lt;=120,I922*1.25+4,I922*1.25+5))),
""))),2)</f>
        <v>335.2</v>
      </c>
      <c r="I922" s="9">
        <f>($K$2+0.02)*Tabla1[[#This Row],[PRECIO $]]*1.18</f>
        <v>284.52159999999998</v>
      </c>
      <c r="J922" s="7">
        <f>+Tabla1[[#This Row],[PRECIO EN SOLES]]-Tabla1[[#This Row],[PC]]</f>
        <v>50.678400000000011</v>
      </c>
      <c r="K922" s="15"/>
      <c r="L922" s="15" t="str">
        <f t="shared" si="14"/>
        <v>NORMAL</v>
      </c>
    </row>
    <row r="923" spans="1:12" x14ac:dyDescent="0.25">
      <c r="A923" s="3" t="s">
        <v>5495</v>
      </c>
      <c r="B923" s="3" t="s">
        <v>6595</v>
      </c>
      <c r="C923" s="1">
        <v>20</v>
      </c>
      <c r="D923" s="1">
        <v>88.4</v>
      </c>
      <c r="E923" s="1" t="s">
        <v>216</v>
      </c>
      <c r="F923" s="1" t="s">
        <v>5496</v>
      </c>
      <c r="G923" s="3" t="s">
        <v>5497</v>
      </c>
      <c r="H923" s="11">
        <f>ROUND(
IF(L923="GANCHO",
   IF(I923&lt;=50,I923*1.1+4,IF(I923&lt;=120,I923*1.1+7,IF(I923&lt;=250,I923*1.1+11,I923*1.1+19))),
IF(L923="NORMAL",
   IF(I923&lt;=30,I923*1.15+2,IF(I923&lt;=80,I923*1.15+4,IF(I923&lt;=150,I923*1.15+6,I923*1.15+8))),
IF(L923="COMPLEMENTO",
   IF(I923&lt;=25,I923*1.25+1.5,IF(I923&lt;=60,I923*1.25+3,IF(I923&lt;=120,I923*1.25+4,I923*1.25+5))),
""))),2)</f>
        <v>422.9</v>
      </c>
      <c r="I923" s="9">
        <f>($K$2+0.02)*Tabla1[[#This Row],[PRECIO $]]*1.18</f>
        <v>367.17823999999996</v>
      </c>
      <c r="J923" s="7">
        <f>+Tabla1[[#This Row],[PRECIO EN SOLES]]-Tabla1[[#This Row],[PC]]</f>
        <v>55.721760000000017</v>
      </c>
      <c r="K923" s="15"/>
      <c r="L923" s="15" t="str">
        <f t="shared" si="14"/>
        <v>GANCHO</v>
      </c>
    </row>
    <row r="924" spans="1:12" x14ac:dyDescent="0.25">
      <c r="A924" s="3" t="s">
        <v>1496</v>
      </c>
      <c r="B924" s="3" t="s">
        <v>1497</v>
      </c>
      <c r="C924" s="1">
        <v>1</v>
      </c>
      <c r="D924" s="1">
        <v>199</v>
      </c>
      <c r="E924" s="1" t="s">
        <v>784</v>
      </c>
      <c r="F924" s="1" t="s">
        <v>3316</v>
      </c>
      <c r="G924" s="3"/>
      <c r="H924" s="11">
        <f>ROUND(
IF(L924="GANCHO",
   IF(I924&lt;=50,I924*1.1+4,IF(I924&lt;=120,I924*1.1+7,IF(I924&lt;=250,I924*1.1+11,I924*1.1+19))),
IF(L924="NORMAL",
   IF(I924&lt;=30,I924*1.15+2,IF(I924&lt;=80,I924*1.15+4,IF(I924&lt;=150,I924*1.15+6,I924*1.15+8))),
IF(L924="COMPLEMENTO",
   IF(I924&lt;=25,I924*1.25+1.5,IF(I924&lt;=60,I924*1.25+3,IF(I924&lt;=120,I924*1.25+4,I924*1.25+5))),
""))),2)</f>
        <v>958.55</v>
      </c>
      <c r="I924" s="9">
        <f>($K$2+0.02)*Tabla1[[#This Row],[PRECIO $]]*1.18</f>
        <v>826.56639999999993</v>
      </c>
      <c r="J924" s="7">
        <f>+Tabla1[[#This Row],[PRECIO EN SOLES]]-Tabla1[[#This Row],[PC]]</f>
        <v>131.98360000000002</v>
      </c>
      <c r="K924" s="15"/>
      <c r="L924" s="15" t="str">
        <f t="shared" si="14"/>
        <v>NORMAL</v>
      </c>
    </row>
    <row r="925" spans="1:12" x14ac:dyDescent="0.25">
      <c r="A925" s="3" t="s">
        <v>1498</v>
      </c>
      <c r="B925" s="3" t="s">
        <v>1499</v>
      </c>
      <c r="C925" s="1">
        <v>20</v>
      </c>
      <c r="D925" s="1">
        <v>110.6</v>
      </c>
      <c r="E925" s="1" t="s">
        <v>115</v>
      </c>
      <c r="F925" s="1" t="s">
        <v>3317</v>
      </c>
      <c r="G925" s="3" t="s">
        <v>2582</v>
      </c>
      <c r="H925" s="11">
        <f>ROUND(
IF(L925="GANCHO",
   IF(I925&lt;=50,I925*1.1+4,IF(I925&lt;=120,I925*1.1+7,IF(I925&lt;=250,I925*1.1+11,I925*1.1+19))),
IF(L925="NORMAL",
   IF(I925&lt;=30,I925*1.15+2,IF(I925&lt;=80,I925*1.15+4,IF(I925&lt;=150,I925*1.15+6,I925*1.15+8))),
IF(L925="COMPLEMENTO",
   IF(I925&lt;=25,I925*1.25+1.5,IF(I925&lt;=60,I925*1.25+3,IF(I925&lt;=120,I925*1.25+4,I925*1.25+5))),
""))),2)</f>
        <v>536.29999999999995</v>
      </c>
      <c r="I925" s="9">
        <f>($K$2+0.02)*Tabla1[[#This Row],[PRECIO $]]*1.18</f>
        <v>459.38815999999991</v>
      </c>
      <c r="J925" s="7">
        <f>+Tabla1[[#This Row],[PRECIO EN SOLES]]-Tabla1[[#This Row],[PC]]</f>
        <v>76.911840000000041</v>
      </c>
      <c r="K925" s="15"/>
      <c r="L925" s="15" t="str">
        <f t="shared" si="14"/>
        <v>NORMAL</v>
      </c>
    </row>
    <row r="926" spans="1:12" x14ac:dyDescent="0.25">
      <c r="A926" s="3" t="s">
        <v>275</v>
      </c>
      <c r="B926" s="3" t="s">
        <v>276</v>
      </c>
      <c r="C926" s="1">
        <v>20</v>
      </c>
      <c r="D926" s="1">
        <v>77</v>
      </c>
      <c r="E926" s="1" t="s">
        <v>52</v>
      </c>
      <c r="F926" s="1" t="s">
        <v>3318</v>
      </c>
      <c r="G926" s="3" t="s">
        <v>277</v>
      </c>
      <c r="H926" s="11">
        <f>ROUND(
IF(L926="GANCHO",
   IF(I926&lt;=50,I926*1.1+4,IF(I926&lt;=120,I926*1.1+7,IF(I926&lt;=250,I926*1.1+11,I926*1.1+19))),
IF(L926="NORMAL",
   IF(I926&lt;=30,I926*1.15+2,IF(I926&lt;=80,I926*1.15+4,IF(I926&lt;=150,I926*1.15+6,I926*1.15+8))),
IF(L926="COMPLEMENTO",
   IF(I926&lt;=25,I926*1.25+1.5,IF(I926&lt;=60,I926*1.25+3,IF(I926&lt;=120,I926*1.25+4,I926*1.25+5))),
""))),2)</f>
        <v>370.81</v>
      </c>
      <c r="I926" s="9">
        <f>($K$2+0.02)*Tabla1[[#This Row],[PRECIO $]]*1.18</f>
        <v>319.8272</v>
      </c>
      <c r="J926" s="7">
        <f>+Tabla1[[#This Row],[PRECIO EN SOLES]]-Tabla1[[#This Row],[PC]]</f>
        <v>50.982799999999997</v>
      </c>
      <c r="K926" s="15"/>
      <c r="L926" s="15" t="str">
        <f t="shared" si="14"/>
        <v>GANCHO</v>
      </c>
    </row>
    <row r="927" spans="1:12" x14ac:dyDescent="0.25">
      <c r="A927" s="3" t="s">
        <v>1500</v>
      </c>
      <c r="B927" s="3" t="s">
        <v>1501</v>
      </c>
      <c r="C927" s="1">
        <v>1</v>
      </c>
      <c r="D927" s="1">
        <v>132.19999999999999</v>
      </c>
      <c r="E927" s="1" t="s">
        <v>115</v>
      </c>
      <c r="F927" s="1" t="s">
        <v>3319</v>
      </c>
      <c r="G927" s="3" t="s">
        <v>6133</v>
      </c>
      <c r="H927" s="11">
        <f>ROUND(
IF(L927="GANCHO",
   IF(I927&lt;=50,I927*1.1+4,IF(I927&lt;=120,I927*1.1+7,IF(I927&lt;=250,I927*1.1+11,I927*1.1+19))),
IF(L927="NORMAL",
   IF(I927&lt;=30,I927*1.15+2,IF(I927&lt;=80,I927*1.15+4,IF(I927&lt;=150,I927*1.15+6,I927*1.15+8))),
IF(L927="COMPLEMENTO",
   IF(I927&lt;=25,I927*1.25+1.5,IF(I927&lt;=60,I927*1.25+3,IF(I927&lt;=120,I927*1.25+4,I927*1.25+5))),
""))),2)</f>
        <v>639.47</v>
      </c>
      <c r="I927" s="9">
        <f>($K$2+0.02)*Tabla1[[#This Row],[PRECIO $]]*1.18</f>
        <v>549.10591999999986</v>
      </c>
      <c r="J927" s="7">
        <f>+Tabla1[[#This Row],[PRECIO EN SOLES]]-Tabla1[[#This Row],[PC]]</f>
        <v>90.364080000000172</v>
      </c>
      <c r="K927" s="15"/>
      <c r="L927" s="15" t="str">
        <f t="shared" si="14"/>
        <v>NORMAL</v>
      </c>
    </row>
    <row r="928" spans="1:12" x14ac:dyDescent="0.25">
      <c r="A928" s="3" t="s">
        <v>1502</v>
      </c>
      <c r="B928" s="3" t="s">
        <v>1503</v>
      </c>
      <c r="C928" s="1">
        <v>0</v>
      </c>
      <c r="D928" s="1">
        <v>586.5</v>
      </c>
      <c r="E928" s="1" t="s">
        <v>121</v>
      </c>
      <c r="F928" s="1" t="s">
        <v>3320</v>
      </c>
      <c r="G928" s="3" t="s">
        <v>2694</v>
      </c>
      <c r="H928" s="11">
        <f>ROUND(
IF(L928="GANCHO",
   IF(I928&lt;=50,I928*1.1+4,IF(I928&lt;=120,I928*1.1+7,IF(I928&lt;=250,I928*1.1+11,I928*1.1+19))),
IF(L928="NORMAL",
   IF(I928&lt;=30,I928*1.15+2,IF(I928&lt;=80,I928*1.15+4,IF(I928&lt;=150,I928*1.15+6,I928*1.15+8))),
IF(L928="COMPLEMENTO",
   IF(I928&lt;=25,I928*1.25+1.5,IF(I928&lt;=60,I928*1.25+3,IF(I928&lt;=120,I928*1.25+4,I928*1.25+5))),
""))),2)</f>
        <v>2809.5</v>
      </c>
      <c r="I928" s="9">
        <f>($K$2+0.02)*Tabla1[[#This Row],[PRECIO $]]*1.18</f>
        <v>2436.0863999999997</v>
      </c>
      <c r="J928" s="7">
        <f>+Tabla1[[#This Row],[PRECIO EN SOLES]]-Tabla1[[#This Row],[PC]]</f>
        <v>373.41360000000032</v>
      </c>
      <c r="K928" s="15"/>
      <c r="L928" s="15" t="str">
        <f t="shared" si="14"/>
        <v>NORMAL</v>
      </c>
    </row>
    <row r="929" spans="1:12" x14ac:dyDescent="0.25">
      <c r="A929" s="3" t="s">
        <v>5498</v>
      </c>
      <c r="B929" s="3" t="s">
        <v>5499</v>
      </c>
      <c r="C929" s="1">
        <v>20</v>
      </c>
      <c r="D929" s="1">
        <v>89.5</v>
      </c>
      <c r="E929" s="1" t="s">
        <v>121</v>
      </c>
      <c r="F929" s="1" t="s">
        <v>5500</v>
      </c>
      <c r="G929" s="3" t="s">
        <v>5501</v>
      </c>
      <c r="H929" s="11">
        <f>ROUND(
IF(L929="GANCHO",
   IF(I929&lt;=50,I929*1.1+4,IF(I929&lt;=120,I929*1.1+7,IF(I929&lt;=250,I929*1.1+11,I929*1.1+19))),
IF(L929="NORMAL",
   IF(I929&lt;=30,I929*1.15+2,IF(I929&lt;=80,I929*1.15+4,IF(I929&lt;=150,I929*1.15+6,I929*1.15+8))),
IF(L929="COMPLEMENTO",
   IF(I929&lt;=25,I929*1.25+1.5,IF(I929&lt;=60,I929*1.25+3,IF(I929&lt;=120,I929*1.25+4,I929*1.25+5))),
""))),2)</f>
        <v>435.51</v>
      </c>
      <c r="I929" s="9">
        <f>($K$2+0.02)*Tabla1[[#This Row],[PRECIO $]]*1.18</f>
        <v>371.74720000000002</v>
      </c>
      <c r="J929" s="7">
        <f>+Tabla1[[#This Row],[PRECIO EN SOLES]]-Tabla1[[#This Row],[PC]]</f>
        <v>63.76279999999997</v>
      </c>
      <c r="K929" s="15"/>
      <c r="L929" s="15" t="str">
        <f t="shared" si="14"/>
        <v>NORMAL</v>
      </c>
    </row>
    <row r="930" spans="1:12" x14ac:dyDescent="0.25">
      <c r="A930" s="3" t="s">
        <v>5752</v>
      </c>
      <c r="B930" s="3" t="s">
        <v>5753</v>
      </c>
      <c r="C930" s="1">
        <v>20</v>
      </c>
      <c r="D930" s="1">
        <v>157</v>
      </c>
      <c r="E930" s="1" t="s">
        <v>52</v>
      </c>
      <c r="F930" s="1" t="s">
        <v>5754</v>
      </c>
      <c r="G930" s="3" t="s">
        <v>5755</v>
      </c>
      <c r="H930" s="11">
        <f>ROUND(
IF(L930="GANCHO",
   IF(I930&lt;=50,I930*1.1+4,IF(I930&lt;=120,I930*1.1+7,IF(I930&lt;=250,I930*1.1+11,I930*1.1+19))),
IF(L930="NORMAL",
   IF(I930&lt;=30,I930*1.15+2,IF(I930&lt;=80,I930*1.15+4,IF(I930&lt;=150,I930*1.15+6,I930*1.15+8))),
IF(L930="COMPLEMENTO",
   IF(I930&lt;=25,I930*1.25+1.5,IF(I930&lt;=60,I930*1.25+3,IF(I930&lt;=120,I930*1.25+4,I930*1.25+5))),
""))),2)</f>
        <v>736.33</v>
      </c>
      <c r="I930" s="9">
        <f>($K$2+0.02)*Tabla1[[#This Row],[PRECIO $]]*1.18</f>
        <v>652.11519999999996</v>
      </c>
      <c r="J930" s="7">
        <f>+Tabla1[[#This Row],[PRECIO EN SOLES]]-Tabla1[[#This Row],[PC]]</f>
        <v>84.214800000000082</v>
      </c>
      <c r="K930" s="15"/>
      <c r="L930" s="15" t="str">
        <f t="shared" si="14"/>
        <v>GANCHO</v>
      </c>
    </row>
    <row r="931" spans="1:12" x14ac:dyDescent="0.25">
      <c r="A931" s="3" t="s">
        <v>6134</v>
      </c>
      <c r="B931" s="3" t="s">
        <v>6135</v>
      </c>
      <c r="C931" s="1">
        <v>20</v>
      </c>
      <c r="D931" s="1">
        <v>117</v>
      </c>
      <c r="E931" s="1" t="s">
        <v>52</v>
      </c>
      <c r="F931" s="1" t="s">
        <v>6136</v>
      </c>
      <c r="G931" s="3" t="s">
        <v>6137</v>
      </c>
      <c r="H931" s="11">
        <f>ROUND(
IF(L931="GANCHO",
   IF(I931&lt;=50,I931*1.1+4,IF(I931&lt;=120,I931*1.1+7,IF(I931&lt;=250,I931*1.1+11,I931*1.1+19))),
IF(L931="NORMAL",
   IF(I931&lt;=30,I931*1.15+2,IF(I931&lt;=80,I931*1.15+4,IF(I931&lt;=150,I931*1.15+6,I931*1.15+8))),
IF(L931="COMPLEMENTO",
   IF(I931&lt;=25,I931*1.25+1.5,IF(I931&lt;=60,I931*1.25+3,IF(I931&lt;=120,I931*1.25+4,I931*1.25+5))),
""))),2)</f>
        <v>553.57000000000005</v>
      </c>
      <c r="I931" s="9">
        <f>($K$2+0.02)*Tabla1[[#This Row],[PRECIO $]]*1.18</f>
        <v>485.97119999999995</v>
      </c>
      <c r="J931" s="7">
        <f>+Tabla1[[#This Row],[PRECIO EN SOLES]]-Tabla1[[#This Row],[PC]]</f>
        <v>67.598800000000097</v>
      </c>
      <c r="K931" s="15"/>
      <c r="L931" s="15" t="str">
        <f t="shared" si="14"/>
        <v>GANCHO</v>
      </c>
    </row>
    <row r="932" spans="1:12" x14ac:dyDescent="0.25">
      <c r="A932" s="3" t="s">
        <v>4625</v>
      </c>
      <c r="B932" s="3" t="s">
        <v>4626</v>
      </c>
      <c r="C932" s="1">
        <v>20</v>
      </c>
      <c r="D932" s="1">
        <v>113.8</v>
      </c>
      <c r="E932" s="1" t="s">
        <v>216</v>
      </c>
      <c r="F932" s="1" t="s">
        <v>4627</v>
      </c>
      <c r="G932" s="3" t="s">
        <v>4628</v>
      </c>
      <c r="H932" s="11">
        <f>ROUND(
IF(L932="GANCHO",
   IF(I932&lt;=50,I932*1.1+4,IF(I932&lt;=120,I932*1.1+7,IF(I932&lt;=250,I932*1.1+11,I932*1.1+19))),
IF(L932="NORMAL",
   IF(I932&lt;=30,I932*1.15+2,IF(I932&lt;=80,I932*1.15+4,IF(I932&lt;=150,I932*1.15+6,I932*1.15+8))),
IF(L932="COMPLEMENTO",
   IF(I932&lt;=25,I932*1.25+1.5,IF(I932&lt;=60,I932*1.25+3,IF(I932&lt;=120,I932*1.25+4,I932*1.25+5))),
""))),2)</f>
        <v>538.95000000000005</v>
      </c>
      <c r="I932" s="9">
        <f>($K$2+0.02)*Tabla1[[#This Row],[PRECIO $]]*1.18</f>
        <v>472.67967999999996</v>
      </c>
      <c r="J932" s="7">
        <f>+Tabla1[[#This Row],[PRECIO EN SOLES]]-Tabla1[[#This Row],[PC]]</f>
        <v>66.270320000000083</v>
      </c>
      <c r="K932" s="15"/>
      <c r="L932" s="15" t="str">
        <f t="shared" si="14"/>
        <v>GANCHO</v>
      </c>
    </row>
    <row r="933" spans="1:12" x14ac:dyDescent="0.25">
      <c r="A933" s="3" t="s">
        <v>4006</v>
      </c>
      <c r="B933" s="3" t="s">
        <v>4007</v>
      </c>
      <c r="C933" s="1">
        <v>0</v>
      </c>
      <c r="D933" s="1">
        <v>209.5</v>
      </c>
      <c r="E933" s="1" t="s">
        <v>216</v>
      </c>
      <c r="F933" s="1" t="s">
        <v>4008</v>
      </c>
      <c r="G933" s="3" t="s">
        <v>4009</v>
      </c>
      <c r="H933" s="11">
        <f>ROUND(
IF(L933="GANCHO",
   IF(I933&lt;=50,I933*1.1+4,IF(I933&lt;=120,I933*1.1+7,IF(I933&lt;=250,I933*1.1+11,I933*1.1+19))),
IF(L933="NORMAL",
   IF(I933&lt;=30,I933*1.15+2,IF(I933&lt;=80,I933*1.15+4,IF(I933&lt;=150,I933*1.15+6,I933*1.15+8))),
IF(L933="COMPLEMENTO",
   IF(I933&lt;=25,I933*1.25+1.5,IF(I933&lt;=60,I933*1.25+3,IF(I933&lt;=120,I933*1.25+4,I933*1.25+5))),
""))),2)</f>
        <v>976.2</v>
      </c>
      <c r="I933" s="9">
        <f>($K$2+0.02)*Tabla1[[#This Row],[PRECIO $]]*1.18</f>
        <v>870.17920000000004</v>
      </c>
      <c r="J933" s="7">
        <f>+Tabla1[[#This Row],[PRECIO EN SOLES]]-Tabla1[[#This Row],[PC]]</f>
        <v>106.02080000000001</v>
      </c>
      <c r="K933" s="15"/>
      <c r="L933" s="15" t="str">
        <f t="shared" si="14"/>
        <v>GANCHO</v>
      </c>
    </row>
    <row r="934" spans="1:12" x14ac:dyDescent="0.25">
      <c r="A934" s="3" t="s">
        <v>1504</v>
      </c>
      <c r="B934" s="3" t="s">
        <v>1505</v>
      </c>
      <c r="C934" s="1">
        <v>20</v>
      </c>
      <c r="D934" s="1">
        <v>636.44000000000005</v>
      </c>
      <c r="E934" s="1" t="s">
        <v>784</v>
      </c>
      <c r="F934" s="1" t="s">
        <v>3321</v>
      </c>
      <c r="G934" s="3" t="s">
        <v>1506</v>
      </c>
      <c r="H934" s="11">
        <f>ROUND(
IF(L934="GANCHO",
   IF(I934&lt;=50,I934*1.1+4,IF(I934&lt;=120,I934*1.1+7,IF(I934&lt;=250,I934*1.1+11,I934*1.1+19))),
IF(L934="NORMAL",
   IF(I934&lt;=30,I934*1.15+2,IF(I934&lt;=80,I934*1.15+4,IF(I934&lt;=150,I934*1.15+6,I934*1.15+8))),
IF(L934="COMPLEMENTO",
   IF(I934&lt;=25,I934*1.25+1.5,IF(I934&lt;=60,I934*1.25+3,IF(I934&lt;=120,I934*1.25+4,I934*1.25+5))),
""))),2)</f>
        <v>2926.87</v>
      </c>
      <c r="I934" s="9">
        <f>($K$2+0.02)*Tabla1[[#This Row],[PRECIO $]]*1.18</f>
        <v>2643.5171840000003</v>
      </c>
      <c r="J934" s="7">
        <f>+Tabla1[[#This Row],[PRECIO EN SOLES]]-Tabla1[[#This Row],[PC]]</f>
        <v>283.35281599999962</v>
      </c>
      <c r="K934" s="15"/>
      <c r="L934" s="15" t="str">
        <f t="shared" si="14"/>
        <v>GANCHO</v>
      </c>
    </row>
    <row r="935" spans="1:12" x14ac:dyDescent="0.25">
      <c r="A935" s="3" t="s">
        <v>5023</v>
      </c>
      <c r="B935" s="3" t="s">
        <v>5024</v>
      </c>
      <c r="C935" s="1">
        <v>2</v>
      </c>
      <c r="D935" s="1">
        <v>310</v>
      </c>
      <c r="E935" s="1" t="s">
        <v>216</v>
      </c>
      <c r="F935" s="1" t="s">
        <v>5025</v>
      </c>
      <c r="G935" s="3" t="s">
        <v>5026</v>
      </c>
      <c r="H935" s="11">
        <f>ROUND(
IF(L935="GANCHO",
   IF(I935&lt;=50,I935*1.1+4,IF(I935&lt;=120,I935*1.1+7,IF(I935&lt;=250,I935*1.1+11,I935*1.1+19))),
IF(L935="NORMAL",
   IF(I935&lt;=30,I935*1.15+2,IF(I935&lt;=80,I935*1.15+4,IF(I935&lt;=150,I935*1.15+6,I935*1.15+8))),
IF(L935="COMPLEMENTO",
   IF(I935&lt;=25,I935*1.25+1.5,IF(I935&lt;=60,I935*1.25+3,IF(I935&lt;=120,I935*1.25+4,I935*1.25+5))),
""))),2)</f>
        <v>1488.76</v>
      </c>
      <c r="I935" s="9">
        <f>($K$2+0.02)*Tabla1[[#This Row],[PRECIO $]]*1.18</f>
        <v>1287.616</v>
      </c>
      <c r="J935" s="7">
        <f>+Tabla1[[#This Row],[PRECIO EN SOLES]]-Tabla1[[#This Row],[PC]]</f>
        <v>201.14400000000001</v>
      </c>
      <c r="K935" s="15"/>
      <c r="L935" s="15" t="str">
        <f t="shared" si="14"/>
        <v>NORMAL</v>
      </c>
    </row>
    <row r="936" spans="1:12" x14ac:dyDescent="0.25">
      <c r="A936" s="3" t="s">
        <v>7091</v>
      </c>
      <c r="B936" s="3" t="s">
        <v>278</v>
      </c>
      <c r="C936" s="1">
        <v>12</v>
      </c>
      <c r="D936" s="1">
        <v>46.3</v>
      </c>
      <c r="E936" s="1" t="s">
        <v>52</v>
      </c>
      <c r="F936" s="1" t="s">
        <v>7092</v>
      </c>
      <c r="G936" s="3" t="s">
        <v>7093</v>
      </c>
      <c r="H936" s="11">
        <f>ROUND(
IF(L936="GANCHO",
   IF(I936&lt;=50,I936*1.1+4,IF(I936&lt;=120,I936*1.1+7,IF(I936&lt;=250,I936*1.1+11,I936*1.1+19))),
IF(L936="NORMAL",
   IF(I936&lt;=30,I936*1.15+2,IF(I936&lt;=80,I936*1.15+4,IF(I936&lt;=150,I936*1.15+6,I936*1.15+8))),
IF(L936="COMPLEMENTO",
   IF(I936&lt;=25,I936*1.25+1.5,IF(I936&lt;=60,I936*1.25+3,IF(I936&lt;=120,I936*1.25+4,I936*1.25+5))),
""))),2)</f>
        <v>222.54</v>
      </c>
      <c r="I936" s="9">
        <f>($K$2+0.02)*Tabla1[[#This Row],[PRECIO $]]*1.18</f>
        <v>192.31168</v>
      </c>
      <c r="J936" s="7">
        <f>+Tabla1[[#This Row],[PRECIO EN SOLES]]-Tabla1[[#This Row],[PC]]</f>
        <v>30.228319999999997</v>
      </c>
      <c r="K936" s="15"/>
      <c r="L936" s="15" t="str">
        <f t="shared" si="14"/>
        <v>GANCHO</v>
      </c>
    </row>
    <row r="937" spans="1:12" x14ac:dyDescent="0.25">
      <c r="A937" s="3" t="s">
        <v>1509</v>
      </c>
      <c r="B937" s="3" t="s">
        <v>278</v>
      </c>
      <c r="C937" s="1">
        <v>20</v>
      </c>
      <c r="D937" s="1">
        <v>46.3</v>
      </c>
      <c r="E937" s="1" t="s">
        <v>52</v>
      </c>
      <c r="F937" s="1" t="s">
        <v>3323</v>
      </c>
      <c r="G937" s="3" t="s">
        <v>1510</v>
      </c>
      <c r="H937" s="11">
        <f>ROUND(
IF(L937="GANCHO",
   IF(I937&lt;=50,I937*1.1+4,IF(I937&lt;=120,I937*1.1+7,IF(I937&lt;=250,I937*1.1+11,I937*1.1+19))),
IF(L937="NORMAL",
   IF(I937&lt;=30,I937*1.15+2,IF(I937&lt;=80,I937*1.15+4,IF(I937&lt;=150,I937*1.15+6,I937*1.15+8))),
IF(L937="COMPLEMENTO",
   IF(I937&lt;=25,I937*1.25+1.5,IF(I937&lt;=60,I937*1.25+3,IF(I937&lt;=120,I937*1.25+4,I937*1.25+5))),
""))),2)</f>
        <v>222.54</v>
      </c>
      <c r="I937" s="9">
        <f>($K$2+0.02)*Tabla1[[#This Row],[PRECIO $]]*1.18</f>
        <v>192.31168</v>
      </c>
      <c r="J937" s="7">
        <f>+Tabla1[[#This Row],[PRECIO EN SOLES]]-Tabla1[[#This Row],[PC]]</f>
        <v>30.228319999999997</v>
      </c>
      <c r="K937" s="15"/>
      <c r="L937" s="15" t="str">
        <f t="shared" si="14"/>
        <v>GANCHO</v>
      </c>
    </row>
    <row r="938" spans="1:12" x14ac:dyDescent="0.25">
      <c r="A938" s="3" t="s">
        <v>6596</v>
      </c>
      <c r="B938" s="3" t="s">
        <v>6597</v>
      </c>
      <c r="C938" s="1">
        <v>20</v>
      </c>
      <c r="D938" s="1">
        <v>189</v>
      </c>
      <c r="E938" s="1" t="s">
        <v>115</v>
      </c>
      <c r="F938" s="1" t="s">
        <v>6598</v>
      </c>
      <c r="G938" s="3" t="s">
        <v>6599</v>
      </c>
      <c r="H938" s="11">
        <f>ROUND(
IF(L938="GANCHO",
   IF(I938&lt;=50,I938*1.1+4,IF(I938&lt;=120,I938*1.1+7,IF(I938&lt;=250,I938*1.1+11,I938*1.1+19))),
IF(L938="NORMAL",
   IF(I938&lt;=30,I938*1.15+2,IF(I938&lt;=80,I938*1.15+4,IF(I938&lt;=150,I938*1.15+6,I938*1.15+8))),
IF(L938="COMPLEMENTO",
   IF(I938&lt;=25,I938*1.25+1.5,IF(I938&lt;=60,I938*1.25+3,IF(I938&lt;=120,I938*1.25+4,I938*1.25+5))),
""))),2)</f>
        <v>910.78</v>
      </c>
      <c r="I938" s="9">
        <f>($K$2+0.02)*Tabla1[[#This Row],[PRECIO $]]*1.18</f>
        <v>785.03039999999987</v>
      </c>
      <c r="J938" s="7">
        <f>+Tabla1[[#This Row],[PRECIO EN SOLES]]-Tabla1[[#This Row],[PC]]</f>
        <v>125.7496000000001</v>
      </c>
      <c r="K938" s="15"/>
      <c r="L938" s="15" t="str">
        <f t="shared" si="14"/>
        <v>NORMAL</v>
      </c>
    </row>
    <row r="939" spans="1:12" x14ac:dyDescent="0.25">
      <c r="A939" s="3" t="s">
        <v>1511</v>
      </c>
      <c r="B939" s="3" t="s">
        <v>1512</v>
      </c>
      <c r="C939" s="1">
        <v>20</v>
      </c>
      <c r="D939" s="1">
        <v>57</v>
      </c>
      <c r="E939" s="1" t="s">
        <v>54</v>
      </c>
      <c r="F939" s="1" t="s">
        <v>3324</v>
      </c>
      <c r="G939" s="3" t="s">
        <v>1513</v>
      </c>
      <c r="H939" s="11">
        <f>ROUND(
IF(L939="GANCHO",
   IF(I939&lt;=50,I939*1.1+4,IF(I939&lt;=120,I939*1.1+7,IF(I939&lt;=250,I939*1.1+11,I939*1.1+19))),
IF(L939="NORMAL",
   IF(I939&lt;=30,I939*1.15+2,IF(I939&lt;=80,I939*1.15+4,IF(I939&lt;=150,I939*1.15+6,I939*1.15+8))),
IF(L939="COMPLEMENTO",
   IF(I939&lt;=25,I939*1.25+1.5,IF(I939&lt;=60,I939*1.25+3,IF(I939&lt;=120,I939*1.25+4,I939*1.25+5))),
""))),2)</f>
        <v>271.43</v>
      </c>
      <c r="I939" s="9">
        <f>($K$2+0.02)*Tabla1[[#This Row],[PRECIO $]]*1.18</f>
        <v>236.7552</v>
      </c>
      <c r="J939" s="7">
        <f>+Tabla1[[#This Row],[PRECIO EN SOLES]]-Tabla1[[#This Row],[PC]]</f>
        <v>34.674800000000005</v>
      </c>
      <c r="K939" s="15"/>
      <c r="L939" s="15" t="str">
        <f t="shared" si="14"/>
        <v>GANCHO</v>
      </c>
    </row>
    <row r="940" spans="1:12" x14ac:dyDescent="0.25">
      <c r="A940" s="3" t="s">
        <v>279</v>
      </c>
      <c r="B940" s="3" t="s">
        <v>280</v>
      </c>
      <c r="C940" s="1">
        <v>20</v>
      </c>
      <c r="D940" s="1">
        <v>51.2</v>
      </c>
      <c r="E940" s="1" t="s">
        <v>52</v>
      </c>
      <c r="F940" s="1" t="s">
        <v>3325</v>
      </c>
      <c r="G940" s="3" t="s">
        <v>619</v>
      </c>
      <c r="H940" s="11">
        <f>ROUND(
IF(L940="GANCHO",
   IF(I940&lt;=50,I940*1.1+4,IF(I940&lt;=120,I940*1.1+7,IF(I940&lt;=250,I940*1.1+11,I940*1.1+19))),
IF(L940="NORMAL",
   IF(I940&lt;=30,I940*1.15+2,IF(I940&lt;=80,I940*1.15+4,IF(I940&lt;=150,I940*1.15+6,I940*1.15+8))),
IF(L940="COMPLEMENTO",
   IF(I940&lt;=25,I940*1.25+1.5,IF(I940&lt;=60,I940*1.25+3,IF(I940&lt;=120,I940*1.25+4,I940*1.25+5))),
""))),2)</f>
        <v>244.93</v>
      </c>
      <c r="I940" s="9">
        <f>($K$2+0.02)*Tabla1[[#This Row],[PRECIO $]]*1.18</f>
        <v>212.66432</v>
      </c>
      <c r="J940" s="7">
        <f>+Tabla1[[#This Row],[PRECIO EN SOLES]]-Tabla1[[#This Row],[PC]]</f>
        <v>32.265680000000003</v>
      </c>
      <c r="K940" s="15"/>
      <c r="L940" s="15" t="str">
        <f t="shared" si="14"/>
        <v>GANCHO</v>
      </c>
    </row>
    <row r="941" spans="1:12" x14ac:dyDescent="0.25">
      <c r="A941" s="3" t="s">
        <v>7094</v>
      </c>
      <c r="B941" s="3" t="s">
        <v>7095</v>
      </c>
      <c r="C941" s="1">
        <v>0</v>
      </c>
      <c r="D941" s="1">
        <v>48</v>
      </c>
      <c r="E941" s="1" t="s">
        <v>52</v>
      </c>
      <c r="F941" s="1" t="s">
        <v>7096</v>
      </c>
      <c r="G941" s="3" t="s">
        <v>7097</v>
      </c>
      <c r="H941" s="11">
        <f>ROUND(
IF(L941="GANCHO",
   IF(I941&lt;=50,I941*1.1+4,IF(I941&lt;=120,I941*1.1+7,IF(I941&lt;=250,I941*1.1+11,I941*1.1+19))),
IF(L941="NORMAL",
   IF(I941&lt;=30,I941*1.15+2,IF(I941&lt;=80,I941*1.15+4,IF(I941&lt;=150,I941*1.15+6,I941*1.15+8))),
IF(L941="COMPLEMENTO",
   IF(I941&lt;=25,I941*1.25+1.5,IF(I941&lt;=60,I941*1.25+3,IF(I941&lt;=120,I941*1.25+4,I941*1.25+5))),
""))),2)</f>
        <v>230.31</v>
      </c>
      <c r="I941" s="9">
        <f>($K$2+0.02)*Tabla1[[#This Row],[PRECIO $]]*1.18</f>
        <v>199.37280000000001</v>
      </c>
      <c r="J941" s="7">
        <f>+Tabla1[[#This Row],[PRECIO EN SOLES]]-Tabla1[[#This Row],[PC]]</f>
        <v>30.93719999999999</v>
      </c>
      <c r="K941" s="15"/>
      <c r="L941" s="15" t="str">
        <f t="shared" si="14"/>
        <v>GANCHO</v>
      </c>
    </row>
    <row r="942" spans="1:12" x14ac:dyDescent="0.25">
      <c r="A942" s="3" t="s">
        <v>1514</v>
      </c>
      <c r="B942" s="3" t="s">
        <v>1515</v>
      </c>
      <c r="C942" s="1">
        <v>20</v>
      </c>
      <c r="D942" s="1">
        <v>121.2</v>
      </c>
      <c r="E942" s="1" t="s">
        <v>56</v>
      </c>
      <c r="F942" s="1" t="s">
        <v>3326</v>
      </c>
      <c r="G942" s="3" t="s">
        <v>1516</v>
      </c>
      <c r="H942" s="11">
        <f>ROUND(
IF(L942="GANCHO",
   IF(I942&lt;=50,I942*1.1+4,IF(I942&lt;=120,I942*1.1+7,IF(I942&lt;=250,I942*1.1+11,I942*1.1+19))),
IF(L942="NORMAL",
   IF(I942&lt;=30,I942*1.15+2,IF(I942&lt;=80,I942*1.15+4,IF(I942&lt;=150,I942*1.15+6,I942*1.15+8))),
IF(L942="COMPLEMENTO",
   IF(I942&lt;=25,I942*1.25+1.5,IF(I942&lt;=60,I942*1.25+3,IF(I942&lt;=120,I942*1.25+4,I942*1.25+5))),
""))),2)</f>
        <v>572.76</v>
      </c>
      <c r="I942" s="9">
        <f>($K$2+0.02)*Tabla1[[#This Row],[PRECIO $]]*1.18</f>
        <v>503.41631999999998</v>
      </c>
      <c r="J942" s="7">
        <f>+Tabla1[[#This Row],[PRECIO EN SOLES]]-Tabla1[[#This Row],[PC]]</f>
        <v>69.343680000000006</v>
      </c>
      <c r="K942" s="15"/>
      <c r="L942" s="15" t="str">
        <f t="shared" si="14"/>
        <v>GANCHO</v>
      </c>
    </row>
    <row r="943" spans="1:12" x14ac:dyDescent="0.25">
      <c r="A943" s="3" t="s">
        <v>1517</v>
      </c>
      <c r="B943" s="3" t="s">
        <v>1518</v>
      </c>
      <c r="C943" s="1">
        <v>10</v>
      </c>
      <c r="D943" s="1">
        <v>126.5</v>
      </c>
      <c r="E943" s="1" t="s">
        <v>56</v>
      </c>
      <c r="F943" s="1" t="s">
        <v>3327</v>
      </c>
      <c r="G943" s="3" t="s">
        <v>6600</v>
      </c>
      <c r="H943" s="11">
        <f>ROUND(
IF(L943="GANCHO",
   IF(I943&lt;=50,I943*1.1+4,IF(I943&lt;=120,I943*1.1+7,IF(I943&lt;=250,I943*1.1+11,I943*1.1+19))),
IF(L943="NORMAL",
   IF(I943&lt;=30,I943*1.15+2,IF(I943&lt;=80,I943*1.15+4,IF(I943&lt;=150,I943*1.15+6,I943*1.15+8))),
IF(L943="COMPLEMENTO",
   IF(I943&lt;=25,I943*1.25+1.5,IF(I943&lt;=60,I943*1.25+3,IF(I943&lt;=120,I943*1.25+4,I943*1.25+5))),
""))),2)</f>
        <v>596.97</v>
      </c>
      <c r="I943" s="9">
        <f>($K$2+0.02)*Tabla1[[#This Row],[PRECIO $]]*1.18</f>
        <v>525.43039999999996</v>
      </c>
      <c r="J943" s="7">
        <f>+Tabla1[[#This Row],[PRECIO EN SOLES]]-Tabla1[[#This Row],[PC]]</f>
        <v>71.539600000000064</v>
      </c>
      <c r="K943" s="15"/>
      <c r="L943" s="15" t="str">
        <f t="shared" si="14"/>
        <v>GANCHO</v>
      </c>
    </row>
    <row r="944" spans="1:12" x14ac:dyDescent="0.25">
      <c r="A944" s="3" t="s">
        <v>1519</v>
      </c>
      <c r="B944" s="3" t="s">
        <v>1520</v>
      </c>
      <c r="C944" s="1">
        <v>4</v>
      </c>
      <c r="D944" s="1">
        <v>143</v>
      </c>
      <c r="E944" s="1" t="s">
        <v>783</v>
      </c>
      <c r="F944" s="1" t="s">
        <v>3328</v>
      </c>
      <c r="G944" s="3" t="s">
        <v>1521</v>
      </c>
      <c r="H944" s="11">
        <f>ROUND(
IF(L944="GANCHO",
   IF(I944&lt;=50,I944*1.1+4,IF(I944&lt;=120,I944*1.1+7,IF(I944&lt;=250,I944*1.1+11,I944*1.1+19))),
IF(L944="NORMAL",
   IF(I944&lt;=30,I944*1.15+2,IF(I944&lt;=80,I944*1.15+4,IF(I944&lt;=150,I944*1.15+6,I944*1.15+8))),
IF(L944="COMPLEMENTO",
   IF(I944&lt;=25,I944*1.25+1.5,IF(I944&lt;=60,I944*1.25+3,IF(I944&lt;=120,I944*1.25+4,I944*1.25+5))),
""))),2)</f>
        <v>672.36</v>
      </c>
      <c r="I944" s="9">
        <f>($K$2+0.02)*Tabla1[[#This Row],[PRECIO $]]*1.18</f>
        <v>593.96479999999997</v>
      </c>
      <c r="J944" s="7">
        <f>+Tabla1[[#This Row],[PRECIO EN SOLES]]-Tabla1[[#This Row],[PC]]</f>
        <v>78.395200000000045</v>
      </c>
      <c r="K944" s="15"/>
      <c r="L944" s="15" t="str">
        <f t="shared" si="14"/>
        <v>GANCHO</v>
      </c>
    </row>
    <row r="945" spans="1:12" x14ac:dyDescent="0.25">
      <c r="A945" s="3" t="s">
        <v>4286</v>
      </c>
      <c r="B945" s="3" t="s">
        <v>4287</v>
      </c>
      <c r="C945" s="1">
        <v>20</v>
      </c>
      <c r="D945" s="1">
        <v>122.3</v>
      </c>
      <c r="E945" s="1" t="s">
        <v>783</v>
      </c>
      <c r="F945" s="1" t="s">
        <v>4288</v>
      </c>
      <c r="G945" s="3" t="s">
        <v>4629</v>
      </c>
      <c r="H945" s="11">
        <f>ROUND(
IF(L945="GANCHO",
   IF(I945&lt;=50,I945*1.1+4,IF(I945&lt;=120,I945*1.1+7,IF(I945&lt;=250,I945*1.1+11,I945*1.1+19))),
IF(L945="NORMAL",
   IF(I945&lt;=30,I945*1.15+2,IF(I945&lt;=80,I945*1.15+4,IF(I945&lt;=150,I945*1.15+6,I945*1.15+8))),
IF(L945="COMPLEMENTO",
   IF(I945&lt;=25,I945*1.25+1.5,IF(I945&lt;=60,I945*1.25+3,IF(I945&lt;=120,I945*1.25+4,I945*1.25+5))),
""))),2)</f>
        <v>577.78</v>
      </c>
      <c r="I945" s="9">
        <f>($K$2+0.02)*Tabla1[[#This Row],[PRECIO $]]*1.18</f>
        <v>507.98527999999993</v>
      </c>
      <c r="J945" s="7">
        <f>+Tabla1[[#This Row],[PRECIO EN SOLES]]-Tabla1[[#This Row],[PC]]</f>
        <v>69.794720000000041</v>
      </c>
      <c r="K945" s="15"/>
      <c r="L945" s="15" t="str">
        <f t="shared" si="14"/>
        <v>GANCHO</v>
      </c>
    </row>
    <row r="946" spans="1:12" x14ac:dyDescent="0.25">
      <c r="A946" s="3" t="s">
        <v>6138</v>
      </c>
      <c r="B946" s="3" t="s">
        <v>6139</v>
      </c>
      <c r="C946" s="1">
        <v>4</v>
      </c>
      <c r="D946" s="1">
        <v>77</v>
      </c>
      <c r="E946" s="1" t="s">
        <v>74</v>
      </c>
      <c r="F946" s="1" t="s">
        <v>6140</v>
      </c>
      <c r="G946" s="3" t="s">
        <v>6601</v>
      </c>
      <c r="H946" s="11">
        <f>ROUND(
IF(L946="GANCHO",
   IF(I946&lt;=50,I946*1.1+4,IF(I946&lt;=120,I946*1.1+7,IF(I946&lt;=250,I946*1.1+11,I946*1.1+19))),
IF(L946="NORMAL",
   IF(I946&lt;=30,I946*1.15+2,IF(I946&lt;=80,I946*1.15+4,IF(I946&lt;=150,I946*1.15+6,I946*1.15+8))),
IF(L946="COMPLEMENTO",
   IF(I946&lt;=25,I946*1.25+1.5,IF(I946&lt;=60,I946*1.25+3,IF(I946&lt;=120,I946*1.25+4,I946*1.25+5))),
""))),2)</f>
        <v>370.81</v>
      </c>
      <c r="I946" s="9">
        <f>($K$2+0.02)*Tabla1[[#This Row],[PRECIO $]]*1.18</f>
        <v>319.8272</v>
      </c>
      <c r="J946" s="7">
        <f>+Tabla1[[#This Row],[PRECIO EN SOLES]]-Tabla1[[#This Row],[PC]]</f>
        <v>50.982799999999997</v>
      </c>
      <c r="K946" s="15"/>
      <c r="L946" s="15" t="str">
        <f t="shared" si="14"/>
        <v>GANCHO</v>
      </c>
    </row>
    <row r="947" spans="1:12" x14ac:dyDescent="0.25">
      <c r="A947" s="3" t="s">
        <v>1522</v>
      </c>
      <c r="B947" s="3" t="s">
        <v>1523</v>
      </c>
      <c r="C947" s="1">
        <v>20</v>
      </c>
      <c r="D947" s="1">
        <v>104.8</v>
      </c>
      <c r="E947" s="1" t="s">
        <v>784</v>
      </c>
      <c r="F947" s="1" t="s">
        <v>3329</v>
      </c>
      <c r="G947" s="3" t="s">
        <v>1524</v>
      </c>
      <c r="H947" s="11">
        <f>ROUND(
IF(L947="GANCHO",
   IF(I947&lt;=50,I947*1.1+4,IF(I947&lt;=120,I947*1.1+7,IF(I947&lt;=250,I947*1.1+11,I947*1.1+19))),
IF(L947="NORMAL",
   IF(I947&lt;=30,I947*1.15+2,IF(I947&lt;=80,I947*1.15+4,IF(I947&lt;=150,I947*1.15+6,I947*1.15+8))),
IF(L947="COMPLEMENTO",
   IF(I947&lt;=25,I947*1.25+1.5,IF(I947&lt;=60,I947*1.25+3,IF(I947&lt;=120,I947*1.25+4,I947*1.25+5))),
""))),2)</f>
        <v>497.83</v>
      </c>
      <c r="I947" s="9">
        <f>($K$2+0.02)*Tabla1[[#This Row],[PRECIO $]]*1.18</f>
        <v>435.29728</v>
      </c>
      <c r="J947" s="7">
        <f>+Tabla1[[#This Row],[PRECIO EN SOLES]]-Tabla1[[#This Row],[PC]]</f>
        <v>62.532719999999983</v>
      </c>
      <c r="K947" s="15"/>
      <c r="L947" s="15" t="str">
        <f t="shared" si="14"/>
        <v>GANCHO</v>
      </c>
    </row>
    <row r="948" spans="1:12" x14ac:dyDescent="0.25">
      <c r="A948" s="3" t="s">
        <v>1525</v>
      </c>
      <c r="B948" s="3" t="s">
        <v>1526</v>
      </c>
      <c r="C948" s="1">
        <v>0</v>
      </c>
      <c r="D948" s="1">
        <v>9999</v>
      </c>
      <c r="E948" s="1" t="s">
        <v>56</v>
      </c>
      <c r="F948" s="1" t="s">
        <v>3330</v>
      </c>
      <c r="G948" s="3"/>
      <c r="H948" s="11">
        <f>ROUND(
IF(L948="GANCHO",
   IF(I948&lt;=50,I948*1.1+4,IF(I948&lt;=120,I948*1.1+7,IF(I948&lt;=250,I948*1.1+11,I948*1.1+19))),
IF(L948="NORMAL",
   IF(I948&lt;=30,I948*1.15+2,IF(I948&lt;=80,I948*1.15+4,IF(I948&lt;=150,I948*1.15+6,I948*1.15+8))),
IF(L948="COMPLEMENTO",
   IF(I948&lt;=25,I948*1.25+1.5,IF(I948&lt;=60,I948*1.25+3,IF(I948&lt;=120,I948*1.25+4,I948*1.25+5))),
""))),2)</f>
        <v>47769.62</v>
      </c>
      <c r="I948" s="9">
        <f>($K$2+0.02)*Tabla1[[#This Row],[PRECIO $]]*1.18</f>
        <v>41531.846400000002</v>
      </c>
      <c r="J948" s="7">
        <f>+Tabla1[[#This Row],[PRECIO EN SOLES]]-Tabla1[[#This Row],[PC]]</f>
        <v>6237.7736000000004</v>
      </c>
      <c r="K948" s="15"/>
      <c r="L948" s="15" t="str">
        <f t="shared" si="14"/>
        <v>NORMAL</v>
      </c>
    </row>
    <row r="949" spans="1:12" x14ac:dyDescent="0.25">
      <c r="A949" s="3" t="s">
        <v>6827</v>
      </c>
      <c r="B949" s="3" t="s">
        <v>6828</v>
      </c>
      <c r="C949" s="1">
        <v>0</v>
      </c>
      <c r="D949" s="1">
        <v>97</v>
      </c>
      <c r="E949" s="1" t="s">
        <v>54</v>
      </c>
      <c r="F949" s="1" t="s">
        <v>6829</v>
      </c>
      <c r="G949" s="3"/>
      <c r="H949" s="11">
        <f>ROUND(
IF(L949="GANCHO",
   IF(I949&lt;=50,I949*1.1+4,IF(I949&lt;=120,I949*1.1+7,IF(I949&lt;=250,I949*1.1+11,I949*1.1+19))),
IF(L949="NORMAL",
   IF(I949&lt;=30,I949*1.15+2,IF(I949&lt;=80,I949*1.15+4,IF(I949&lt;=150,I949*1.15+6,I949*1.15+8))),
IF(L949="COMPLEMENTO",
   IF(I949&lt;=25,I949*1.25+1.5,IF(I949&lt;=60,I949*1.25+3,IF(I949&lt;=120,I949*1.25+4,I949*1.25+5))),
""))),2)</f>
        <v>471.33</v>
      </c>
      <c r="I949" s="9">
        <f>($K$2+0.02)*Tabla1[[#This Row],[PRECIO $]]*1.18</f>
        <v>402.89919999999995</v>
      </c>
      <c r="J949" s="7">
        <f>+Tabla1[[#This Row],[PRECIO EN SOLES]]-Tabla1[[#This Row],[PC]]</f>
        <v>68.430800000000033</v>
      </c>
      <c r="K949" s="15"/>
      <c r="L949" s="15" t="str">
        <f t="shared" si="14"/>
        <v>NORMAL</v>
      </c>
    </row>
    <row r="950" spans="1:12" x14ac:dyDescent="0.25">
      <c r="A950" s="3" t="s">
        <v>6830</v>
      </c>
      <c r="B950" s="3" t="s">
        <v>6831</v>
      </c>
      <c r="C950" s="1">
        <v>20</v>
      </c>
      <c r="D950" s="1">
        <v>83</v>
      </c>
      <c r="E950" s="1" t="s">
        <v>54</v>
      </c>
      <c r="F950" s="1" t="s">
        <v>6832</v>
      </c>
      <c r="G950" s="3" t="s">
        <v>6833</v>
      </c>
      <c r="H950" s="11">
        <f>ROUND(
IF(L950="GANCHO",
   IF(I950&lt;=50,I950*1.1+4,IF(I950&lt;=120,I950*1.1+7,IF(I950&lt;=250,I950*1.1+11,I950*1.1+19))),
IF(L950="NORMAL",
   IF(I950&lt;=30,I950*1.15+2,IF(I950&lt;=80,I950*1.15+4,IF(I950&lt;=150,I950*1.15+6,I950*1.15+8))),
IF(L950="COMPLEMENTO",
   IF(I950&lt;=25,I950*1.25+1.5,IF(I950&lt;=60,I950*1.25+3,IF(I950&lt;=120,I950*1.25+4,I950*1.25+5))),
""))),2)</f>
        <v>398.22</v>
      </c>
      <c r="I950" s="9">
        <f>($K$2+0.02)*Tabla1[[#This Row],[PRECIO $]]*1.18</f>
        <v>344.74880000000002</v>
      </c>
      <c r="J950" s="7">
        <f>+Tabla1[[#This Row],[PRECIO EN SOLES]]-Tabla1[[#This Row],[PC]]</f>
        <v>53.47120000000001</v>
      </c>
      <c r="K950" s="15"/>
      <c r="L950" s="15" t="str">
        <f t="shared" si="14"/>
        <v>GANCHO</v>
      </c>
    </row>
    <row r="951" spans="1:12" x14ac:dyDescent="0.25">
      <c r="A951" s="3" t="s">
        <v>281</v>
      </c>
      <c r="B951" s="3" t="s">
        <v>282</v>
      </c>
      <c r="C951" s="1">
        <v>20</v>
      </c>
      <c r="D951" s="1">
        <v>63.5</v>
      </c>
      <c r="E951" s="1" t="s">
        <v>52</v>
      </c>
      <c r="F951" s="1" t="s">
        <v>3331</v>
      </c>
      <c r="G951" s="3" t="s">
        <v>620</v>
      </c>
      <c r="H951" s="11">
        <f>ROUND(
IF(L951="GANCHO",
   IF(I951&lt;=50,I951*1.1+4,IF(I951&lt;=120,I951*1.1+7,IF(I951&lt;=250,I951*1.1+11,I951*1.1+19))),
IF(L951="NORMAL",
   IF(I951&lt;=30,I951*1.15+2,IF(I951&lt;=80,I951*1.15+4,IF(I951&lt;=150,I951*1.15+6,I951*1.15+8))),
IF(L951="COMPLEMENTO",
   IF(I951&lt;=25,I951*1.25+1.5,IF(I951&lt;=60,I951*1.25+3,IF(I951&lt;=120,I951*1.25+4,I951*1.25+5))),
""))),2)</f>
        <v>309.13</v>
      </c>
      <c r="I951" s="9">
        <f>($K$2+0.02)*Tabla1[[#This Row],[PRECIO $]]*1.18</f>
        <v>263.75360000000001</v>
      </c>
      <c r="J951" s="7">
        <f>+Tabla1[[#This Row],[PRECIO EN SOLES]]-Tabla1[[#This Row],[PC]]</f>
        <v>45.37639999999999</v>
      </c>
      <c r="K951" s="15"/>
      <c r="L951" s="15" t="str">
        <f t="shared" si="14"/>
        <v>GANCHO</v>
      </c>
    </row>
    <row r="952" spans="1:12" x14ac:dyDescent="0.25">
      <c r="A952" s="3" t="s">
        <v>283</v>
      </c>
      <c r="B952" s="3" t="s">
        <v>284</v>
      </c>
      <c r="C952" s="1">
        <v>20</v>
      </c>
      <c r="D952" s="1">
        <v>175.44</v>
      </c>
      <c r="E952" s="1" t="s">
        <v>52</v>
      </c>
      <c r="F952" s="1" t="s">
        <v>3332</v>
      </c>
      <c r="G952" s="3" t="s">
        <v>285</v>
      </c>
      <c r="H952" s="11">
        <f>ROUND(
IF(L952="GANCHO",
   IF(I952&lt;=50,I952*1.1+4,IF(I952&lt;=120,I952*1.1+7,IF(I952&lt;=250,I952*1.1+11,I952*1.1+19))),
IF(L952="NORMAL",
   IF(I952&lt;=30,I952*1.15+2,IF(I952&lt;=80,I952*1.15+4,IF(I952&lt;=150,I952*1.15+6,I952*1.15+8))),
IF(L952="COMPLEMENTO",
   IF(I952&lt;=25,I952*1.25+1.5,IF(I952&lt;=60,I952*1.25+3,IF(I952&lt;=120,I952*1.25+4,I952*1.25+5))),
""))),2)</f>
        <v>820.58</v>
      </c>
      <c r="I952" s="9">
        <f>($K$2+0.02)*Tabla1[[#This Row],[PRECIO $]]*1.18</f>
        <v>728.707584</v>
      </c>
      <c r="J952" s="7">
        <f>+Tabla1[[#This Row],[PRECIO EN SOLES]]-Tabla1[[#This Row],[PC]]</f>
        <v>91.872416000000044</v>
      </c>
      <c r="K952" s="15"/>
      <c r="L952" s="15" t="str">
        <f t="shared" si="14"/>
        <v>GANCHO</v>
      </c>
    </row>
    <row r="953" spans="1:12" x14ac:dyDescent="0.25">
      <c r="A953" s="3" t="s">
        <v>5756</v>
      </c>
      <c r="B953" s="3" t="s">
        <v>5757</v>
      </c>
      <c r="C953" s="1">
        <v>20</v>
      </c>
      <c r="D953" s="1">
        <v>81</v>
      </c>
      <c r="E953" s="1" t="s">
        <v>52</v>
      </c>
      <c r="F953" s="1" t="s">
        <v>5758</v>
      </c>
      <c r="G953" s="3" t="s">
        <v>5759</v>
      </c>
      <c r="H953" s="11">
        <f>ROUND(
IF(L953="GANCHO",
   IF(I953&lt;=50,I953*1.1+4,IF(I953&lt;=120,I953*1.1+7,IF(I953&lt;=250,I953*1.1+11,I953*1.1+19))),
IF(L953="NORMAL",
   IF(I953&lt;=30,I953*1.15+2,IF(I953&lt;=80,I953*1.15+4,IF(I953&lt;=150,I953*1.15+6,I953*1.15+8))),
IF(L953="COMPLEMENTO",
   IF(I953&lt;=25,I953*1.25+1.5,IF(I953&lt;=60,I953*1.25+3,IF(I953&lt;=120,I953*1.25+4,I953*1.25+5))),
""))),2)</f>
        <v>389.09</v>
      </c>
      <c r="I953" s="9">
        <f>($K$2+0.02)*Tabla1[[#This Row],[PRECIO $]]*1.18</f>
        <v>336.44159999999999</v>
      </c>
      <c r="J953" s="7">
        <f>+Tabla1[[#This Row],[PRECIO EN SOLES]]-Tabla1[[#This Row],[PC]]</f>
        <v>52.648399999999981</v>
      </c>
      <c r="K953" s="15"/>
      <c r="L953" s="15" t="str">
        <f t="shared" si="14"/>
        <v>GANCHO</v>
      </c>
    </row>
    <row r="954" spans="1:12" x14ac:dyDescent="0.25">
      <c r="A954" s="3" t="s">
        <v>621</v>
      </c>
      <c r="B954" s="3" t="s">
        <v>622</v>
      </c>
      <c r="C954" s="1">
        <v>20</v>
      </c>
      <c r="D954" s="1">
        <v>57</v>
      </c>
      <c r="E954" s="1" t="s">
        <v>52</v>
      </c>
      <c r="F954" s="1" t="s">
        <v>3333</v>
      </c>
      <c r="G954" s="3" t="s">
        <v>623</v>
      </c>
      <c r="H954" s="11">
        <f>ROUND(
IF(L954="GANCHO",
   IF(I954&lt;=50,I954*1.1+4,IF(I954&lt;=120,I954*1.1+7,IF(I954&lt;=250,I954*1.1+11,I954*1.1+19))),
IF(L954="NORMAL",
   IF(I954&lt;=30,I954*1.15+2,IF(I954&lt;=80,I954*1.15+4,IF(I954&lt;=150,I954*1.15+6,I954*1.15+8))),
IF(L954="COMPLEMENTO",
   IF(I954&lt;=25,I954*1.25+1.5,IF(I954&lt;=60,I954*1.25+3,IF(I954&lt;=120,I954*1.25+4,I954*1.25+5))),
""))),2)</f>
        <v>271.43</v>
      </c>
      <c r="I954" s="9">
        <f>($K$2+0.02)*Tabla1[[#This Row],[PRECIO $]]*1.18</f>
        <v>236.7552</v>
      </c>
      <c r="J954" s="7">
        <f>+Tabla1[[#This Row],[PRECIO EN SOLES]]-Tabla1[[#This Row],[PC]]</f>
        <v>34.674800000000005</v>
      </c>
      <c r="K954" s="15"/>
      <c r="L954" s="15" t="str">
        <f t="shared" si="14"/>
        <v>GANCHO</v>
      </c>
    </row>
    <row r="955" spans="1:12" x14ac:dyDescent="0.25">
      <c r="A955" s="3" t="s">
        <v>4010</v>
      </c>
      <c r="B955" s="3" t="s">
        <v>4011</v>
      </c>
      <c r="C955" s="1">
        <v>7</v>
      </c>
      <c r="D955" s="1">
        <v>79.8</v>
      </c>
      <c r="E955" s="1" t="s">
        <v>216</v>
      </c>
      <c r="F955" s="1" t="s">
        <v>4012</v>
      </c>
      <c r="G955" s="3" t="s">
        <v>4013</v>
      </c>
      <c r="H955" s="11">
        <f>ROUND(
IF(L955="GANCHO",
   IF(I955&lt;=50,I955*1.1+4,IF(I955&lt;=120,I955*1.1+7,IF(I955&lt;=250,I955*1.1+11,I955*1.1+19))),
IF(L955="NORMAL",
   IF(I955&lt;=30,I955*1.15+2,IF(I955&lt;=80,I955*1.15+4,IF(I955&lt;=150,I955*1.15+6,I955*1.15+8))),
IF(L955="COMPLEMENTO",
   IF(I955&lt;=25,I955*1.25+1.5,IF(I955&lt;=60,I955*1.25+3,IF(I955&lt;=120,I955*1.25+4,I955*1.25+5))),
""))),2)</f>
        <v>383.6</v>
      </c>
      <c r="I955" s="9">
        <f>($K$2+0.02)*Tabla1[[#This Row],[PRECIO $]]*1.18</f>
        <v>331.45728000000003</v>
      </c>
      <c r="J955" s="7">
        <f>+Tabla1[[#This Row],[PRECIO EN SOLES]]-Tabla1[[#This Row],[PC]]</f>
        <v>52.142719999999997</v>
      </c>
      <c r="K955" s="15"/>
      <c r="L955" s="15" t="str">
        <f t="shared" si="14"/>
        <v>GANCHO</v>
      </c>
    </row>
    <row r="956" spans="1:12" x14ac:dyDescent="0.25">
      <c r="A956" s="3" t="s">
        <v>2695</v>
      </c>
      <c r="B956" s="3" t="s">
        <v>2696</v>
      </c>
      <c r="C956" s="1">
        <v>20</v>
      </c>
      <c r="D956" s="1">
        <v>219</v>
      </c>
      <c r="E956" s="1" t="s">
        <v>56</v>
      </c>
      <c r="F956" s="1" t="s">
        <v>3334</v>
      </c>
      <c r="G956" s="3" t="s">
        <v>2697</v>
      </c>
      <c r="H956" s="11">
        <f>ROUND(
IF(L956="GANCHO",
   IF(I956&lt;=50,I956*1.1+4,IF(I956&lt;=120,I956*1.1+7,IF(I956&lt;=250,I956*1.1+11,I956*1.1+19))),
IF(L956="NORMAL",
   IF(I956&lt;=30,I956*1.15+2,IF(I956&lt;=80,I956*1.15+4,IF(I956&lt;=150,I956*1.15+6,I956*1.15+8))),
IF(L956="COMPLEMENTO",
   IF(I956&lt;=25,I956*1.25+1.5,IF(I956&lt;=60,I956*1.25+3,IF(I956&lt;=120,I956*1.25+4,I956*1.25+5))),
""))),2)</f>
        <v>1019.6</v>
      </c>
      <c r="I956" s="9">
        <f>($K$2+0.02)*Tabla1[[#This Row],[PRECIO $]]*1.18</f>
        <v>909.63839999999993</v>
      </c>
      <c r="J956" s="7">
        <f>+Tabla1[[#This Row],[PRECIO EN SOLES]]-Tabla1[[#This Row],[PC]]</f>
        <v>109.96160000000009</v>
      </c>
      <c r="K956" s="15"/>
      <c r="L956" s="15" t="str">
        <f t="shared" si="14"/>
        <v>GANCHO</v>
      </c>
    </row>
    <row r="957" spans="1:12" x14ac:dyDescent="0.25">
      <c r="A957" s="3" t="s">
        <v>1527</v>
      </c>
      <c r="B957" s="3" t="s">
        <v>1528</v>
      </c>
      <c r="C957" s="1">
        <v>20</v>
      </c>
      <c r="D957" s="1">
        <v>294</v>
      </c>
      <c r="E957" s="1" t="s">
        <v>56</v>
      </c>
      <c r="F957" s="1" t="s">
        <v>3335</v>
      </c>
      <c r="G957" s="3" t="s">
        <v>1529</v>
      </c>
      <c r="H957" s="11">
        <f>ROUND(
IF(L957="GANCHO",
   IF(I957&lt;=50,I957*1.1+4,IF(I957&lt;=120,I957*1.1+7,IF(I957&lt;=250,I957*1.1+11,I957*1.1+19))),
IF(L957="NORMAL",
   IF(I957&lt;=30,I957*1.15+2,IF(I957&lt;=80,I957*1.15+4,IF(I957&lt;=150,I957*1.15+6,I957*1.15+8))),
IF(L957="COMPLEMENTO",
   IF(I957&lt;=25,I957*1.25+1.5,IF(I957&lt;=60,I957*1.25+3,IF(I957&lt;=120,I957*1.25+4,I957*1.25+5))),
""))),2)</f>
        <v>1362.27</v>
      </c>
      <c r="I957" s="9">
        <f>($K$2+0.02)*Tabla1[[#This Row],[PRECIO $]]*1.18</f>
        <v>1221.1584</v>
      </c>
      <c r="J957" s="7">
        <f>+Tabla1[[#This Row],[PRECIO EN SOLES]]-Tabla1[[#This Row],[PC]]</f>
        <v>141.11159999999995</v>
      </c>
      <c r="K957" s="15"/>
      <c r="L957" s="15" t="str">
        <f t="shared" si="14"/>
        <v>GANCHO</v>
      </c>
    </row>
    <row r="958" spans="1:12" x14ac:dyDescent="0.25">
      <c r="A958" s="3" t="s">
        <v>1530</v>
      </c>
      <c r="B958" s="3" t="s">
        <v>1531</v>
      </c>
      <c r="C958" s="1">
        <v>16</v>
      </c>
      <c r="D958" s="1">
        <v>364</v>
      </c>
      <c r="E958" s="1" t="s">
        <v>56</v>
      </c>
      <c r="F958" s="1" t="s">
        <v>3336</v>
      </c>
      <c r="G958" s="3" t="s">
        <v>1532</v>
      </c>
      <c r="H958" s="11">
        <f>ROUND(
IF(L958="GANCHO",
   IF(I958&lt;=50,I958*1.1+4,IF(I958&lt;=120,I958*1.1+7,IF(I958&lt;=250,I958*1.1+11,I958*1.1+19))),
IF(L958="NORMAL",
   IF(I958&lt;=30,I958*1.15+2,IF(I958&lt;=80,I958*1.15+4,IF(I958&lt;=150,I958*1.15+6,I958*1.15+8))),
IF(L958="COMPLEMENTO",
   IF(I958&lt;=25,I958*1.25+1.5,IF(I958&lt;=60,I958*1.25+3,IF(I958&lt;=120,I958*1.25+4,I958*1.25+5))),
""))),2)</f>
        <v>1682.1</v>
      </c>
      <c r="I958" s="9">
        <f>($K$2+0.02)*Tabla1[[#This Row],[PRECIO $]]*1.18</f>
        <v>1511.9104</v>
      </c>
      <c r="J958" s="7">
        <f>+Tabla1[[#This Row],[PRECIO EN SOLES]]-Tabla1[[#This Row],[PC]]</f>
        <v>170.18959999999993</v>
      </c>
      <c r="K958" s="15"/>
      <c r="L958" s="15" t="str">
        <f t="shared" si="14"/>
        <v>GANCHO</v>
      </c>
    </row>
    <row r="959" spans="1:12" x14ac:dyDescent="0.25">
      <c r="A959" s="3" t="s">
        <v>1533</v>
      </c>
      <c r="B959" s="3" t="s">
        <v>1534</v>
      </c>
      <c r="C959" s="1">
        <v>20</v>
      </c>
      <c r="D959" s="1">
        <v>334</v>
      </c>
      <c r="E959" s="1" t="s">
        <v>56</v>
      </c>
      <c r="F959" s="1" t="s">
        <v>3337</v>
      </c>
      <c r="G959" s="3" t="s">
        <v>6969</v>
      </c>
      <c r="H959" s="11">
        <f>ROUND(
IF(L959="GANCHO",
   IF(I959&lt;=50,I959*1.1+4,IF(I959&lt;=120,I959*1.1+7,IF(I959&lt;=250,I959*1.1+11,I959*1.1+19))),
IF(L959="NORMAL",
   IF(I959&lt;=30,I959*1.15+2,IF(I959&lt;=80,I959*1.15+4,IF(I959&lt;=150,I959*1.15+6,I959*1.15+8))),
IF(L959="COMPLEMENTO",
   IF(I959&lt;=25,I959*1.25+1.5,IF(I959&lt;=60,I959*1.25+3,IF(I959&lt;=120,I959*1.25+4,I959*1.25+5))),
""))),2)</f>
        <v>1545.03</v>
      </c>
      <c r="I959" s="9">
        <f>($K$2+0.02)*Tabla1[[#This Row],[PRECIO $]]*1.18</f>
        <v>1387.3024</v>
      </c>
      <c r="J959" s="7">
        <f>+Tabla1[[#This Row],[PRECIO EN SOLES]]-Tabla1[[#This Row],[PC]]</f>
        <v>157.72759999999994</v>
      </c>
      <c r="K959" s="15"/>
      <c r="L959" s="15" t="str">
        <f t="shared" si="14"/>
        <v>GANCHO</v>
      </c>
    </row>
    <row r="960" spans="1:12" x14ac:dyDescent="0.25">
      <c r="A960" s="3" t="s">
        <v>1535</v>
      </c>
      <c r="B960" s="3" t="s">
        <v>1536</v>
      </c>
      <c r="C960" s="1">
        <v>20</v>
      </c>
      <c r="D960" s="1">
        <v>212.5</v>
      </c>
      <c r="E960" s="1" t="s">
        <v>56</v>
      </c>
      <c r="F960" s="1" t="s">
        <v>3338</v>
      </c>
      <c r="G960" s="3" t="s">
        <v>6970</v>
      </c>
      <c r="H960" s="11">
        <f>ROUND(
IF(L960="GANCHO",
   IF(I960&lt;=50,I960*1.1+4,IF(I960&lt;=120,I960*1.1+7,IF(I960&lt;=250,I960*1.1+11,I960*1.1+19))),
IF(L960="NORMAL",
   IF(I960&lt;=30,I960*1.15+2,IF(I960&lt;=80,I960*1.15+4,IF(I960&lt;=150,I960*1.15+6,I960*1.15+8))),
IF(L960="COMPLEMENTO",
   IF(I960&lt;=25,I960*1.25+1.5,IF(I960&lt;=60,I960*1.25+3,IF(I960&lt;=120,I960*1.25+4,I960*1.25+5))),
""))),2)</f>
        <v>989.9</v>
      </c>
      <c r="I960" s="9">
        <f>($K$2+0.02)*Tabla1[[#This Row],[PRECIO $]]*1.18</f>
        <v>882.64</v>
      </c>
      <c r="J960" s="7">
        <f>+Tabla1[[#This Row],[PRECIO EN SOLES]]-Tabla1[[#This Row],[PC]]</f>
        <v>107.25999999999999</v>
      </c>
      <c r="K960" s="15"/>
      <c r="L960" s="15" t="str">
        <f t="shared" si="14"/>
        <v>GANCHO</v>
      </c>
    </row>
    <row r="961" spans="1:12" x14ac:dyDescent="0.25">
      <c r="A961" s="3" t="s">
        <v>1537</v>
      </c>
      <c r="B961" s="3" t="s">
        <v>1538</v>
      </c>
      <c r="C961" s="1">
        <v>19</v>
      </c>
      <c r="D961" s="1">
        <v>185.8</v>
      </c>
      <c r="E961" s="1" t="s">
        <v>56</v>
      </c>
      <c r="F961" s="1" t="s">
        <v>3339</v>
      </c>
      <c r="G961" s="3" t="s">
        <v>1539</v>
      </c>
      <c r="H961" s="11">
        <f>ROUND(
IF(L961="GANCHO",
   IF(I961&lt;=50,I961*1.1+4,IF(I961&lt;=120,I961*1.1+7,IF(I961&lt;=250,I961*1.1+11,I961*1.1+19))),
IF(L961="NORMAL",
   IF(I961&lt;=30,I961*1.15+2,IF(I961&lt;=80,I961*1.15+4,IF(I961&lt;=150,I961*1.15+6,I961*1.15+8))),
IF(L961="COMPLEMENTO",
   IF(I961&lt;=25,I961*1.25+1.5,IF(I961&lt;=60,I961*1.25+3,IF(I961&lt;=120,I961*1.25+4,I961*1.25+5))),
""))),2)</f>
        <v>867.91</v>
      </c>
      <c r="I961" s="9">
        <f>($K$2+0.02)*Tabla1[[#This Row],[PRECIO $]]*1.18</f>
        <v>771.73887999999999</v>
      </c>
      <c r="J961" s="7">
        <f>+Tabla1[[#This Row],[PRECIO EN SOLES]]-Tabla1[[#This Row],[PC]]</f>
        <v>96.171119999999974</v>
      </c>
      <c r="K961" s="15"/>
      <c r="L961" s="15" t="str">
        <f t="shared" si="14"/>
        <v>GANCHO</v>
      </c>
    </row>
    <row r="962" spans="1:12" x14ac:dyDescent="0.25">
      <c r="A962" s="3" t="s">
        <v>4289</v>
      </c>
      <c r="B962" s="3" t="s">
        <v>4290</v>
      </c>
      <c r="C962" s="1">
        <v>0</v>
      </c>
      <c r="D962" s="1">
        <v>124.5</v>
      </c>
      <c r="E962" s="1" t="s">
        <v>56</v>
      </c>
      <c r="F962" s="1" t="s">
        <v>4291</v>
      </c>
      <c r="G962" s="3" t="s">
        <v>4292</v>
      </c>
      <c r="H962" s="11">
        <f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587.84</v>
      </c>
      <c r="I962" s="9">
        <f>($K$2+0.02)*Tabla1[[#This Row],[PRECIO $]]*1.18</f>
        <v>517.1232</v>
      </c>
      <c r="J962" s="7">
        <f>+Tabla1[[#This Row],[PRECIO EN SOLES]]-Tabla1[[#This Row],[PC]]</f>
        <v>70.716800000000035</v>
      </c>
      <c r="K962" s="15"/>
      <c r="L962" s="15" t="str">
        <f t="shared" si="14"/>
        <v>GANCHO</v>
      </c>
    </row>
    <row r="963" spans="1:12" x14ac:dyDescent="0.25">
      <c r="A963" s="3" t="s">
        <v>4293</v>
      </c>
      <c r="B963" s="3" t="s">
        <v>4294</v>
      </c>
      <c r="C963" s="1">
        <v>20</v>
      </c>
      <c r="D963" s="1">
        <v>129.9</v>
      </c>
      <c r="E963" s="1" t="s">
        <v>56</v>
      </c>
      <c r="F963" s="1" t="s">
        <v>4295</v>
      </c>
      <c r="G963" s="3" t="s">
        <v>4296</v>
      </c>
      <c r="H963" s="11">
        <f>ROUND(
IF(L963="GANCHO",
   IF(I963&lt;=50,I963*1.1+4,IF(I963&lt;=120,I963*1.1+7,IF(I963&lt;=250,I963*1.1+11,I963*1.1+19))),
IF(L963="NORMAL",
   IF(I963&lt;=30,I963*1.15+2,IF(I963&lt;=80,I963*1.15+4,IF(I963&lt;=150,I963*1.15+6,I963*1.15+8))),
IF(L963="COMPLEMENTO",
   IF(I963&lt;=25,I963*1.25+1.5,IF(I963&lt;=60,I963*1.25+3,IF(I963&lt;=120,I963*1.25+4,I963*1.25+5))),
""))),2)</f>
        <v>612.51</v>
      </c>
      <c r="I963" s="9">
        <f>($K$2+0.02)*Tabla1[[#This Row],[PRECIO $]]*1.18</f>
        <v>539.55264</v>
      </c>
      <c r="J963" s="7">
        <f>+Tabla1[[#This Row],[PRECIO EN SOLES]]-Tabla1[[#This Row],[PC]]</f>
        <v>72.957359999999994</v>
      </c>
      <c r="K963" s="15"/>
      <c r="L963" s="15" t="str">
        <f t="shared" ref="L963:L1026" si="15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1540</v>
      </c>
      <c r="B964" s="3" t="s">
        <v>1541</v>
      </c>
      <c r="C964" s="1">
        <v>20</v>
      </c>
      <c r="D964" s="1">
        <v>304</v>
      </c>
      <c r="E964" s="1" t="s">
        <v>783</v>
      </c>
      <c r="F964" s="1" t="s">
        <v>3340</v>
      </c>
      <c r="G964" s="3" t="s">
        <v>1542</v>
      </c>
      <c r="H964" s="11">
        <f>ROUND(
IF(L964="GANCHO",
   IF(I964&lt;=50,I964*1.1+4,IF(I964&lt;=120,I964*1.1+7,IF(I964&lt;=250,I964*1.1+11,I964*1.1+19))),
IF(L964="NORMAL",
   IF(I964&lt;=30,I964*1.15+2,IF(I964&lt;=80,I964*1.15+4,IF(I964&lt;=150,I964*1.15+6,I964*1.15+8))),
IF(L964="COMPLEMENTO",
   IF(I964&lt;=25,I964*1.25+1.5,IF(I964&lt;=60,I964*1.25+3,IF(I964&lt;=120,I964*1.25+4,I964*1.25+5))),
""))),2)</f>
        <v>1407.96</v>
      </c>
      <c r="I964" s="9">
        <f>($K$2+0.02)*Tabla1[[#This Row],[PRECIO $]]*1.18</f>
        <v>1262.6943999999999</v>
      </c>
      <c r="J964" s="7">
        <f>+Tabla1[[#This Row],[PRECIO EN SOLES]]-Tabla1[[#This Row],[PC]]</f>
        <v>145.26560000000018</v>
      </c>
      <c r="K964" s="15"/>
      <c r="L964" s="15" t="str">
        <f t="shared" si="15"/>
        <v>GANCHO</v>
      </c>
    </row>
    <row r="965" spans="1:12" x14ac:dyDescent="0.25">
      <c r="A965" s="3" t="s">
        <v>6834</v>
      </c>
      <c r="B965" s="3" t="s">
        <v>6835</v>
      </c>
      <c r="C965" s="1">
        <v>16</v>
      </c>
      <c r="D965" s="1">
        <v>154</v>
      </c>
      <c r="E965" s="1" t="s">
        <v>783</v>
      </c>
      <c r="F965" s="1" t="s">
        <v>6836</v>
      </c>
      <c r="G965" s="3" t="s">
        <v>6837</v>
      </c>
      <c r="H965" s="11">
        <f>ROUND(
IF(L965="GANCHO",
   IF(I965&lt;=50,I965*1.1+4,IF(I965&lt;=120,I965*1.1+7,IF(I965&lt;=250,I965*1.1+11,I965*1.1+19))),
IF(L965="NORMAL",
   IF(I965&lt;=30,I965*1.15+2,IF(I965&lt;=80,I965*1.15+4,IF(I965&lt;=150,I965*1.15+6,I965*1.15+8))),
IF(L965="COMPLEMENTO",
   IF(I965&lt;=25,I965*1.25+1.5,IF(I965&lt;=60,I965*1.25+3,IF(I965&lt;=120,I965*1.25+4,I965*1.25+5))),
""))),2)</f>
        <v>722.62</v>
      </c>
      <c r="I965" s="9">
        <f>($K$2+0.02)*Tabla1[[#This Row],[PRECIO $]]*1.18</f>
        <v>639.65440000000001</v>
      </c>
      <c r="J965" s="7">
        <f>+Tabla1[[#This Row],[PRECIO EN SOLES]]-Tabla1[[#This Row],[PC]]</f>
        <v>82.965599999999995</v>
      </c>
      <c r="K965" s="15"/>
      <c r="L965" s="15" t="str">
        <f t="shared" si="15"/>
        <v>GANCHO</v>
      </c>
    </row>
    <row r="966" spans="1:12" x14ac:dyDescent="0.25">
      <c r="A966" s="3" t="s">
        <v>4297</v>
      </c>
      <c r="B966" s="3" t="s">
        <v>4298</v>
      </c>
      <c r="C966" s="1">
        <v>20</v>
      </c>
      <c r="D966" s="1">
        <v>237</v>
      </c>
      <c r="E966" s="1" t="s">
        <v>783</v>
      </c>
      <c r="F966" s="1" t="s">
        <v>4299</v>
      </c>
      <c r="G966" s="3" t="s">
        <v>4300</v>
      </c>
      <c r="H966" s="11">
        <f>ROUND(
IF(L966="GANCHO",
   IF(I966&lt;=50,I966*1.1+4,IF(I966&lt;=120,I966*1.1+7,IF(I966&lt;=250,I966*1.1+11,I966*1.1+19))),
IF(L966="NORMAL",
   IF(I966&lt;=30,I966*1.15+2,IF(I966&lt;=80,I966*1.15+4,IF(I966&lt;=150,I966*1.15+6,I966*1.15+8))),
IF(L966="COMPLEMENTO",
   IF(I966&lt;=25,I966*1.25+1.5,IF(I966&lt;=60,I966*1.25+3,IF(I966&lt;=120,I966*1.25+4,I966*1.25+5))),
""))),2)</f>
        <v>1101.8399999999999</v>
      </c>
      <c r="I966" s="9">
        <f>($K$2+0.02)*Tabla1[[#This Row],[PRECIO $]]*1.18</f>
        <v>984.40319999999997</v>
      </c>
      <c r="J966" s="7">
        <f>+Tabla1[[#This Row],[PRECIO EN SOLES]]-Tabla1[[#This Row],[PC]]</f>
        <v>117.43679999999995</v>
      </c>
      <c r="K966" s="15"/>
      <c r="L966" s="15" t="str">
        <f t="shared" si="15"/>
        <v>GANCHO</v>
      </c>
    </row>
    <row r="967" spans="1:12" x14ac:dyDescent="0.25">
      <c r="A967" s="3" t="s">
        <v>5502</v>
      </c>
      <c r="B967" s="3" t="s">
        <v>5503</v>
      </c>
      <c r="C967" s="1">
        <v>4</v>
      </c>
      <c r="D967" s="1">
        <v>88.9</v>
      </c>
      <c r="E967" s="1" t="s">
        <v>783</v>
      </c>
      <c r="F967" s="1" t="s">
        <v>5504</v>
      </c>
      <c r="G967" s="3" t="s">
        <v>5505</v>
      </c>
      <c r="H967" s="11">
        <f>ROUND(
IF(L967="GANCHO",
   IF(I967&lt;=50,I967*1.1+4,IF(I967&lt;=120,I967*1.1+7,IF(I967&lt;=250,I967*1.1+11,I967*1.1+19))),
IF(L967="NORMAL",
   IF(I967&lt;=30,I967*1.15+2,IF(I967&lt;=80,I967*1.15+4,IF(I967&lt;=150,I967*1.15+6,I967*1.15+8))),
IF(L967="COMPLEMENTO",
   IF(I967&lt;=25,I967*1.25+1.5,IF(I967&lt;=60,I967*1.25+3,IF(I967&lt;=120,I967*1.25+4,I967*1.25+5))),
""))),2)</f>
        <v>425.18</v>
      </c>
      <c r="I967" s="9">
        <f>($K$2+0.02)*Tabla1[[#This Row],[PRECIO $]]*1.18</f>
        <v>369.25503999999995</v>
      </c>
      <c r="J967" s="7">
        <f>+Tabla1[[#This Row],[PRECIO EN SOLES]]-Tabla1[[#This Row],[PC]]</f>
        <v>55.924960000000056</v>
      </c>
      <c r="K967" s="15"/>
      <c r="L967" s="15" t="str">
        <f t="shared" si="15"/>
        <v>GANCHO</v>
      </c>
    </row>
    <row r="968" spans="1:12" x14ac:dyDescent="0.25">
      <c r="A968" s="3" t="s">
        <v>4301</v>
      </c>
      <c r="B968" s="3" t="s">
        <v>4302</v>
      </c>
      <c r="C968" s="1">
        <v>20</v>
      </c>
      <c r="D968" s="1">
        <v>130</v>
      </c>
      <c r="E968" s="1" t="s">
        <v>783</v>
      </c>
      <c r="F968" s="1" t="s">
        <v>4303</v>
      </c>
      <c r="G968" s="3" t="s">
        <v>4304</v>
      </c>
      <c r="H968" s="11">
        <f>ROUND(
IF(L968="GANCHO",
   IF(I968&lt;=50,I968*1.1+4,IF(I968&lt;=120,I968*1.1+7,IF(I968&lt;=250,I968*1.1+11,I968*1.1+19))),
IF(L968="NORMAL",
   IF(I968&lt;=30,I968*1.15+2,IF(I968&lt;=80,I968*1.15+4,IF(I968&lt;=150,I968*1.15+6,I968*1.15+8))),
IF(L968="COMPLEMENTO",
   IF(I968&lt;=25,I968*1.25+1.5,IF(I968&lt;=60,I968*1.25+3,IF(I968&lt;=120,I968*1.25+4,I968*1.25+5))),
""))),2)</f>
        <v>612.96</v>
      </c>
      <c r="I968" s="9">
        <f>($K$2+0.02)*Tabla1[[#This Row],[PRECIO $]]*1.18</f>
        <v>539.96799999999996</v>
      </c>
      <c r="J968" s="7">
        <f>+Tabla1[[#This Row],[PRECIO EN SOLES]]-Tabla1[[#This Row],[PC]]</f>
        <v>72.992000000000075</v>
      </c>
      <c r="K968" s="15"/>
      <c r="L968" s="15" t="str">
        <f t="shared" si="15"/>
        <v>GANCHO</v>
      </c>
    </row>
    <row r="969" spans="1:12" x14ac:dyDescent="0.25">
      <c r="A969" s="3" t="s">
        <v>6141</v>
      </c>
      <c r="B969" s="3" t="s">
        <v>6142</v>
      </c>
      <c r="C969" s="1">
        <v>3</v>
      </c>
      <c r="D969" s="1">
        <v>108.1</v>
      </c>
      <c r="E969" s="1" t="s">
        <v>74</v>
      </c>
      <c r="F969" s="1" t="s">
        <v>6143</v>
      </c>
      <c r="G969" s="3" t="s">
        <v>6144</v>
      </c>
      <c r="H969" s="11">
        <f>ROUND(
IF(L969="GANCHO",
   IF(I969&lt;=50,I969*1.1+4,IF(I969&lt;=120,I969*1.1+7,IF(I969&lt;=250,I969*1.1+11,I969*1.1+19))),
IF(L969="NORMAL",
   IF(I969&lt;=30,I969*1.15+2,IF(I969&lt;=80,I969*1.15+4,IF(I969&lt;=150,I969*1.15+6,I969*1.15+8))),
IF(L969="COMPLEMENTO",
   IF(I969&lt;=25,I969*1.25+1.5,IF(I969&lt;=60,I969*1.25+3,IF(I969&lt;=120,I969*1.25+4,I969*1.25+5))),
""))),2)</f>
        <v>512.9</v>
      </c>
      <c r="I969" s="9">
        <f>($K$2+0.02)*Tabla1[[#This Row],[PRECIO $]]*1.18</f>
        <v>449.00415999999996</v>
      </c>
      <c r="J969" s="7">
        <f>+Tabla1[[#This Row],[PRECIO EN SOLES]]-Tabla1[[#This Row],[PC]]</f>
        <v>63.895840000000021</v>
      </c>
      <c r="K969" s="15"/>
      <c r="L969" s="15" t="str">
        <f t="shared" si="15"/>
        <v>GANCHO</v>
      </c>
    </row>
    <row r="970" spans="1:12" x14ac:dyDescent="0.25">
      <c r="A970" s="3" t="s">
        <v>6145</v>
      </c>
      <c r="B970" s="3" t="s">
        <v>6146</v>
      </c>
      <c r="C970" s="1">
        <v>14</v>
      </c>
      <c r="D970" s="1">
        <v>92</v>
      </c>
      <c r="E970" s="1" t="s">
        <v>74</v>
      </c>
      <c r="F970" s="1" t="s">
        <v>6147</v>
      </c>
      <c r="G970" s="3" t="s">
        <v>6148</v>
      </c>
      <c r="H970" s="11">
        <f>ROUND(
IF(L970="GANCHO",
   IF(I970&lt;=50,I970*1.1+4,IF(I970&lt;=120,I970*1.1+7,IF(I970&lt;=250,I970*1.1+11,I970*1.1+19))),
IF(L970="NORMAL",
   IF(I970&lt;=30,I970*1.15+2,IF(I970&lt;=80,I970*1.15+4,IF(I970&lt;=150,I970*1.15+6,I970*1.15+8))),
IF(L970="COMPLEMENTO",
   IF(I970&lt;=25,I970*1.25+1.5,IF(I970&lt;=60,I970*1.25+3,IF(I970&lt;=120,I970*1.25+4,I970*1.25+5))),
""))),2)</f>
        <v>439.34</v>
      </c>
      <c r="I970" s="9">
        <f>($K$2+0.02)*Tabla1[[#This Row],[PRECIO $]]*1.18</f>
        <v>382.13119999999998</v>
      </c>
      <c r="J970" s="7">
        <f>+Tabla1[[#This Row],[PRECIO EN SOLES]]-Tabla1[[#This Row],[PC]]</f>
        <v>57.208799999999997</v>
      </c>
      <c r="K970" s="15"/>
      <c r="L970" s="15" t="str">
        <f t="shared" si="15"/>
        <v>GANCHO</v>
      </c>
    </row>
    <row r="971" spans="1:12" x14ac:dyDescent="0.25">
      <c r="A971" s="3" t="s">
        <v>1543</v>
      </c>
      <c r="B971" s="3" t="s">
        <v>1544</v>
      </c>
      <c r="C971" s="1">
        <v>3</v>
      </c>
      <c r="D971" s="1">
        <v>580</v>
      </c>
      <c r="E971" s="1" t="s">
        <v>121</v>
      </c>
      <c r="F971" s="1" t="s">
        <v>3341</v>
      </c>
      <c r="G971" s="3" t="s">
        <v>1545</v>
      </c>
      <c r="H971" s="11">
        <f>ROUND(
IF(L971="GANCHO",
   IF(I971&lt;=50,I971*1.1+4,IF(I971&lt;=120,I971*1.1+7,IF(I971&lt;=250,I971*1.1+11,I971*1.1+19))),
IF(L971="NORMAL",
   IF(I971&lt;=30,I971*1.15+2,IF(I971&lt;=80,I971*1.15+4,IF(I971&lt;=150,I971*1.15+6,I971*1.15+8))),
IF(L971="COMPLEMENTO",
   IF(I971&lt;=25,I971*1.25+1.5,IF(I971&lt;=60,I971*1.25+3,IF(I971&lt;=120,I971*1.25+4,I971*1.25+5))),
""))),2)</f>
        <v>2778.45</v>
      </c>
      <c r="I971" s="9">
        <f>($K$2+0.02)*Tabla1[[#This Row],[PRECIO $]]*1.18</f>
        <v>2409.0879999999997</v>
      </c>
      <c r="J971" s="7">
        <f>+Tabla1[[#This Row],[PRECIO EN SOLES]]-Tabla1[[#This Row],[PC]]</f>
        <v>369.36200000000008</v>
      </c>
      <c r="K971" s="15"/>
      <c r="L971" s="15" t="str">
        <f t="shared" si="15"/>
        <v>NORMAL</v>
      </c>
    </row>
    <row r="972" spans="1:12" x14ac:dyDescent="0.25">
      <c r="A972" s="3" t="s">
        <v>1546</v>
      </c>
      <c r="B972" s="3" t="s">
        <v>1547</v>
      </c>
      <c r="C972" s="1">
        <v>20</v>
      </c>
      <c r="D972" s="1">
        <v>97</v>
      </c>
      <c r="E972" s="1" t="s">
        <v>54</v>
      </c>
      <c r="F972" s="1" t="s">
        <v>3342</v>
      </c>
      <c r="G972" s="3" t="s">
        <v>6602</v>
      </c>
      <c r="H972" s="11">
        <f>ROUND(
IF(L972="GANCHO",
   IF(I972&lt;=50,I972*1.1+4,IF(I972&lt;=120,I972*1.1+7,IF(I972&lt;=250,I972*1.1+11,I972*1.1+19))),
IF(L972="NORMAL",
   IF(I972&lt;=30,I972*1.15+2,IF(I972&lt;=80,I972*1.15+4,IF(I972&lt;=150,I972*1.15+6,I972*1.15+8))),
IF(L972="COMPLEMENTO",
   IF(I972&lt;=25,I972*1.25+1.5,IF(I972&lt;=60,I972*1.25+3,IF(I972&lt;=120,I972*1.25+4,I972*1.25+5))),
""))),2)</f>
        <v>462.19</v>
      </c>
      <c r="I972" s="9">
        <f>($K$2+0.02)*Tabla1[[#This Row],[PRECIO $]]*1.18</f>
        <v>402.89919999999995</v>
      </c>
      <c r="J972" s="7">
        <f>+Tabla1[[#This Row],[PRECIO EN SOLES]]-Tabla1[[#This Row],[PC]]</f>
        <v>59.290800000000047</v>
      </c>
      <c r="K972" s="15"/>
      <c r="L972" s="15" t="str">
        <f t="shared" si="15"/>
        <v>GANCHO</v>
      </c>
    </row>
    <row r="973" spans="1:12" x14ac:dyDescent="0.25">
      <c r="A973" s="3" t="s">
        <v>5942</v>
      </c>
      <c r="B973" s="3" t="s">
        <v>5943</v>
      </c>
      <c r="C973" s="1">
        <v>20</v>
      </c>
      <c r="D973" s="1">
        <v>101</v>
      </c>
      <c r="E973" s="1" t="s">
        <v>52</v>
      </c>
      <c r="F973" s="1" t="s">
        <v>5944</v>
      </c>
      <c r="G973" s="3" t="s">
        <v>5945</v>
      </c>
      <c r="H973" s="11">
        <f>ROUND(
IF(L973="GANCHO",
   IF(I973&lt;=50,I973*1.1+4,IF(I973&lt;=120,I973*1.1+7,IF(I973&lt;=250,I973*1.1+11,I973*1.1+19))),
IF(L973="NORMAL",
   IF(I973&lt;=30,I973*1.15+2,IF(I973&lt;=80,I973*1.15+4,IF(I973&lt;=150,I973*1.15+6,I973*1.15+8))),
IF(L973="COMPLEMENTO",
   IF(I973&lt;=25,I973*1.25+1.5,IF(I973&lt;=60,I973*1.25+3,IF(I973&lt;=120,I973*1.25+4,I973*1.25+5))),
""))),2)</f>
        <v>480.46</v>
      </c>
      <c r="I973" s="9">
        <f>($K$2+0.02)*Tabla1[[#This Row],[PRECIO $]]*1.18</f>
        <v>419.51359999999994</v>
      </c>
      <c r="J973" s="7">
        <f>+Tabla1[[#This Row],[PRECIO EN SOLES]]-Tabla1[[#This Row],[PC]]</f>
        <v>60.94640000000004</v>
      </c>
      <c r="K973" s="15"/>
      <c r="L973" s="15" t="str">
        <f t="shared" si="15"/>
        <v>GANCHO</v>
      </c>
    </row>
    <row r="974" spans="1:12" x14ac:dyDescent="0.25">
      <c r="A974" s="3" t="s">
        <v>5760</v>
      </c>
      <c r="B974" s="3" t="s">
        <v>5761</v>
      </c>
      <c r="C974" s="1">
        <v>11</v>
      </c>
      <c r="D974" s="1">
        <v>240</v>
      </c>
      <c r="E974" s="1" t="s">
        <v>52</v>
      </c>
      <c r="F974" s="1" t="s">
        <v>5762</v>
      </c>
      <c r="G974" s="3" t="s">
        <v>5763</v>
      </c>
      <c r="H974" s="11">
        <f>ROUND(
IF(L974="GANCHO",
   IF(I974&lt;=50,I974*1.1+4,IF(I974&lt;=120,I974*1.1+7,IF(I974&lt;=250,I974*1.1+11,I974*1.1+19))),
IF(L974="NORMAL",
   IF(I974&lt;=30,I974*1.15+2,IF(I974&lt;=80,I974*1.15+4,IF(I974&lt;=150,I974*1.15+6,I974*1.15+8))),
IF(L974="COMPLEMENTO",
   IF(I974&lt;=25,I974*1.25+1.5,IF(I974&lt;=60,I974*1.25+3,IF(I974&lt;=120,I974*1.25+4,I974*1.25+5))),
""))),2)</f>
        <v>1115.55</v>
      </c>
      <c r="I974" s="9">
        <f>($K$2+0.02)*Tabla1[[#This Row],[PRECIO $]]*1.18</f>
        <v>996.86399999999992</v>
      </c>
      <c r="J974" s="7">
        <f>+Tabla1[[#This Row],[PRECIO EN SOLES]]-Tabla1[[#This Row],[PC]]</f>
        <v>118.68600000000004</v>
      </c>
      <c r="K974" s="15"/>
      <c r="L974" s="15" t="str">
        <f t="shared" si="15"/>
        <v>GANCHO</v>
      </c>
    </row>
    <row r="975" spans="1:12" x14ac:dyDescent="0.25">
      <c r="A975" s="3" t="s">
        <v>6603</v>
      </c>
      <c r="B975" s="3" t="s">
        <v>6604</v>
      </c>
      <c r="C975" s="1">
        <v>6</v>
      </c>
      <c r="D975" s="1">
        <v>169</v>
      </c>
      <c r="E975" s="1" t="s">
        <v>216</v>
      </c>
      <c r="F975" s="1" t="s">
        <v>6605</v>
      </c>
      <c r="G975" s="3"/>
      <c r="H975" s="11">
        <f>ROUND(
IF(L975="GANCHO",
   IF(I975&lt;=50,I975*1.1+4,IF(I975&lt;=120,I975*1.1+7,IF(I975&lt;=250,I975*1.1+11,I975*1.1+19))),
IF(L975="NORMAL",
   IF(I975&lt;=30,I975*1.15+2,IF(I975&lt;=80,I975*1.15+4,IF(I975&lt;=150,I975*1.15+6,I975*1.15+8))),
IF(L975="COMPLEMENTO",
   IF(I975&lt;=25,I975*1.25+1.5,IF(I975&lt;=60,I975*1.25+3,IF(I975&lt;=120,I975*1.25+4,I975*1.25+5))),
""))),2)</f>
        <v>791.15</v>
      </c>
      <c r="I975" s="9">
        <f>($K$2+0.02)*Tabla1[[#This Row],[PRECIO $]]*1.18</f>
        <v>701.95839999999998</v>
      </c>
      <c r="J975" s="7">
        <f>+Tabla1[[#This Row],[PRECIO EN SOLES]]-Tabla1[[#This Row],[PC]]</f>
        <v>89.191599999999994</v>
      </c>
      <c r="K975" s="15"/>
      <c r="L975" s="15" t="str">
        <f t="shared" si="15"/>
        <v>GANCHO</v>
      </c>
    </row>
    <row r="976" spans="1:12" x14ac:dyDescent="0.25">
      <c r="A976" s="3" t="s">
        <v>4630</v>
      </c>
      <c r="B976" s="3" t="s">
        <v>4631</v>
      </c>
      <c r="C976" s="1">
        <v>20</v>
      </c>
      <c r="D976" s="1">
        <v>107</v>
      </c>
      <c r="E976" s="1" t="s">
        <v>216</v>
      </c>
      <c r="F976" s="1" t="s">
        <v>4632</v>
      </c>
      <c r="G976" s="3" t="s">
        <v>4633</v>
      </c>
      <c r="H976" s="11">
        <f>ROUND(
IF(L976="GANCHO",
   IF(I976&lt;=50,I976*1.1+4,IF(I976&lt;=120,I976*1.1+7,IF(I976&lt;=250,I976*1.1+11,I976*1.1+19))),
IF(L976="NORMAL",
   IF(I976&lt;=30,I976*1.15+2,IF(I976&lt;=80,I976*1.15+4,IF(I976&lt;=150,I976*1.15+6,I976*1.15+8))),
IF(L976="COMPLEMENTO",
   IF(I976&lt;=25,I976*1.25+1.5,IF(I976&lt;=60,I976*1.25+3,IF(I976&lt;=120,I976*1.25+4,I976*1.25+5))),
""))),2)</f>
        <v>507.88</v>
      </c>
      <c r="I976" s="9">
        <f>($K$2+0.02)*Tabla1[[#This Row],[PRECIO $]]*1.18</f>
        <v>444.43519999999995</v>
      </c>
      <c r="J976" s="7">
        <f>+Tabla1[[#This Row],[PRECIO EN SOLES]]-Tabla1[[#This Row],[PC]]</f>
        <v>63.444800000000043</v>
      </c>
      <c r="K976" s="15"/>
      <c r="L976" s="15" t="str">
        <f t="shared" si="15"/>
        <v>GANCHO</v>
      </c>
    </row>
    <row r="977" spans="1:12" x14ac:dyDescent="0.25">
      <c r="A977" s="3" t="s">
        <v>5506</v>
      </c>
      <c r="B977" s="3" t="s">
        <v>5507</v>
      </c>
      <c r="C977" s="1">
        <v>8</v>
      </c>
      <c r="D977" s="1">
        <v>144.4</v>
      </c>
      <c r="E977" s="1" t="s">
        <v>216</v>
      </c>
      <c r="F977" s="1" t="s">
        <v>5508</v>
      </c>
      <c r="G977" s="3" t="s">
        <v>5509</v>
      </c>
      <c r="H977" s="11">
        <f>ROUND(
IF(L977="GANCHO",
   IF(I977&lt;=50,I977*1.1+4,IF(I977&lt;=120,I977*1.1+7,IF(I977&lt;=250,I977*1.1+11,I977*1.1+19))),
IF(L977="NORMAL",
   IF(I977&lt;=30,I977*1.15+2,IF(I977&lt;=80,I977*1.15+4,IF(I977&lt;=150,I977*1.15+6,I977*1.15+8))),
IF(L977="COMPLEMENTO",
   IF(I977&lt;=25,I977*1.25+1.5,IF(I977&lt;=60,I977*1.25+3,IF(I977&lt;=120,I977*1.25+4,I977*1.25+5))),
""))),2)</f>
        <v>678.76</v>
      </c>
      <c r="I977" s="9">
        <f>($K$2+0.02)*Tabla1[[#This Row],[PRECIO $]]*1.18</f>
        <v>599.77984000000004</v>
      </c>
      <c r="J977" s="7">
        <f>+Tabla1[[#This Row],[PRECIO EN SOLES]]-Tabla1[[#This Row],[PC]]</f>
        <v>78.980159999999955</v>
      </c>
      <c r="K977" s="15"/>
      <c r="L977" s="15" t="str">
        <f t="shared" si="15"/>
        <v>GANCHO</v>
      </c>
    </row>
    <row r="978" spans="1:12" x14ac:dyDescent="0.25">
      <c r="A978" s="3" t="s">
        <v>1548</v>
      </c>
      <c r="B978" s="3" t="s">
        <v>1549</v>
      </c>
      <c r="C978" s="1">
        <v>20</v>
      </c>
      <c r="D978" s="1">
        <v>170.5</v>
      </c>
      <c r="E978" s="1" t="s">
        <v>56</v>
      </c>
      <c r="F978" s="1" t="s">
        <v>3343</v>
      </c>
      <c r="G978" s="3" t="s">
        <v>6971</v>
      </c>
      <c r="H978" s="11">
        <f>ROUND(
IF(L978="GANCHO",
   IF(I978&lt;=50,I978*1.1+4,IF(I978&lt;=120,I978*1.1+7,IF(I978&lt;=250,I978*1.1+11,I978*1.1+19))),
IF(L978="NORMAL",
   IF(I978&lt;=30,I978*1.15+2,IF(I978&lt;=80,I978*1.15+4,IF(I978&lt;=150,I978*1.15+6,I978*1.15+8))),
IF(L978="COMPLEMENTO",
   IF(I978&lt;=25,I978*1.25+1.5,IF(I978&lt;=60,I978*1.25+3,IF(I978&lt;=120,I978*1.25+4,I978*1.25+5))),
""))),2)</f>
        <v>798.01</v>
      </c>
      <c r="I978" s="9">
        <f>($K$2+0.02)*Tabla1[[#This Row],[PRECIO $]]*1.18</f>
        <v>708.1887999999999</v>
      </c>
      <c r="J978" s="7">
        <f>+Tabla1[[#This Row],[PRECIO EN SOLES]]-Tabla1[[#This Row],[PC]]</f>
        <v>89.82120000000009</v>
      </c>
      <c r="K978" s="15"/>
      <c r="L978" s="15" t="str">
        <f t="shared" si="15"/>
        <v>GANCHO</v>
      </c>
    </row>
    <row r="979" spans="1:12" x14ac:dyDescent="0.25">
      <c r="A979" s="3" t="s">
        <v>1550</v>
      </c>
      <c r="B979" s="3" t="s">
        <v>1551</v>
      </c>
      <c r="C979" s="1">
        <v>20</v>
      </c>
      <c r="D979" s="1">
        <v>211</v>
      </c>
      <c r="E979" s="1" t="s">
        <v>783</v>
      </c>
      <c r="F979" s="1" t="s">
        <v>3344</v>
      </c>
      <c r="G979" s="3" t="s">
        <v>1552</v>
      </c>
      <c r="H979" s="11">
        <f>ROUND(
IF(L979="GANCHO",
   IF(I979&lt;=50,I979*1.1+4,IF(I979&lt;=120,I979*1.1+7,IF(I979&lt;=250,I979*1.1+11,I979*1.1+19))),
IF(L979="NORMAL",
   IF(I979&lt;=30,I979*1.15+2,IF(I979&lt;=80,I979*1.15+4,IF(I979&lt;=150,I979*1.15+6,I979*1.15+8))),
IF(L979="COMPLEMENTO",
   IF(I979&lt;=25,I979*1.25+1.5,IF(I979&lt;=60,I979*1.25+3,IF(I979&lt;=120,I979*1.25+4,I979*1.25+5))),
""))),2)</f>
        <v>983.05</v>
      </c>
      <c r="I979" s="9">
        <f>($K$2+0.02)*Tabla1[[#This Row],[PRECIO $]]*1.18</f>
        <v>876.40959999999995</v>
      </c>
      <c r="J979" s="7">
        <f>+Tabla1[[#This Row],[PRECIO EN SOLES]]-Tabla1[[#This Row],[PC]]</f>
        <v>106.6404</v>
      </c>
      <c r="K979" s="15"/>
      <c r="L979" s="15" t="str">
        <f t="shared" si="15"/>
        <v>GANCHO</v>
      </c>
    </row>
    <row r="980" spans="1:12" x14ac:dyDescent="0.25">
      <c r="A980" s="3" t="s">
        <v>5510</v>
      </c>
      <c r="B980" s="3" t="s">
        <v>5511</v>
      </c>
      <c r="C980" s="1">
        <v>3</v>
      </c>
      <c r="D980" s="1">
        <v>267</v>
      </c>
      <c r="E980" s="1" t="s">
        <v>783</v>
      </c>
      <c r="F980" s="1" t="s">
        <v>5512</v>
      </c>
      <c r="G980" s="3" t="s">
        <v>5513</v>
      </c>
      <c r="H980" s="11">
        <f>ROUND(
IF(L980="GANCHO",
   IF(I980&lt;=50,I980*1.1+4,IF(I980&lt;=120,I980*1.1+7,IF(I980&lt;=250,I980*1.1+11,I980*1.1+19))),
IF(L980="NORMAL",
   IF(I980&lt;=30,I980*1.15+2,IF(I980&lt;=80,I980*1.15+4,IF(I980&lt;=150,I980*1.15+6,I980*1.15+8))),
IF(L980="COMPLEMENTO",
   IF(I980&lt;=25,I980*1.25+1.5,IF(I980&lt;=60,I980*1.25+3,IF(I980&lt;=120,I980*1.25+4,I980*1.25+5))),
""))),2)</f>
        <v>1238.9100000000001</v>
      </c>
      <c r="I980" s="9">
        <f>($K$2+0.02)*Tabla1[[#This Row],[PRECIO $]]*1.18</f>
        <v>1109.0111999999999</v>
      </c>
      <c r="J980" s="7">
        <f>+Tabla1[[#This Row],[PRECIO EN SOLES]]-Tabla1[[#This Row],[PC]]</f>
        <v>129.89880000000016</v>
      </c>
      <c r="K980" s="15"/>
      <c r="L980" s="15" t="str">
        <f t="shared" si="15"/>
        <v>GANCHO</v>
      </c>
    </row>
    <row r="981" spans="1:12" x14ac:dyDescent="0.25">
      <c r="A981" s="3" t="s">
        <v>1553</v>
      </c>
      <c r="B981" s="3" t="s">
        <v>1554</v>
      </c>
      <c r="C981" s="1">
        <v>20</v>
      </c>
      <c r="D981" s="1">
        <v>347</v>
      </c>
      <c r="E981" s="1" t="s">
        <v>783</v>
      </c>
      <c r="F981" s="1" t="s">
        <v>3345</v>
      </c>
      <c r="G981" s="3" t="s">
        <v>1555</v>
      </c>
      <c r="H981" s="11">
        <f>ROUND(
IF(L981="GANCHO",
   IF(I981&lt;=50,I981*1.1+4,IF(I981&lt;=120,I981*1.1+7,IF(I981&lt;=250,I981*1.1+11,I981*1.1+19))),
IF(L981="NORMAL",
   IF(I981&lt;=30,I981*1.15+2,IF(I981&lt;=80,I981*1.15+4,IF(I981&lt;=150,I981*1.15+6,I981*1.15+8))),
IF(L981="COMPLEMENTO",
   IF(I981&lt;=25,I981*1.25+1.5,IF(I981&lt;=60,I981*1.25+3,IF(I981&lt;=120,I981*1.25+4,I981*1.25+5))),
""))),2)</f>
        <v>1806.62</v>
      </c>
      <c r="I981" s="9">
        <f>($K$2+0.02)*Tabla1[[#This Row],[PRECIO $]]*1.18</f>
        <v>1441.2991999999999</v>
      </c>
      <c r="J981" s="7">
        <f>+Tabla1[[#This Row],[PRECIO EN SOLES]]-Tabla1[[#This Row],[PC]]</f>
        <v>365.32079999999996</v>
      </c>
      <c r="K981" s="15"/>
      <c r="L981" s="15" t="str">
        <f t="shared" si="15"/>
        <v>COMPLEMENTO</v>
      </c>
    </row>
    <row r="982" spans="1:12" x14ac:dyDescent="0.25">
      <c r="A982" s="3" t="s">
        <v>5514</v>
      </c>
      <c r="B982" s="3" t="s">
        <v>5515</v>
      </c>
      <c r="C982" s="1">
        <v>20</v>
      </c>
      <c r="D982" s="1">
        <v>139</v>
      </c>
      <c r="E982" s="1" t="s">
        <v>783</v>
      </c>
      <c r="F982" s="1" t="s">
        <v>5516</v>
      </c>
      <c r="G982" s="3" t="s">
        <v>5517</v>
      </c>
      <c r="H982" s="11">
        <f>ROUND(
IF(L982="GANCHO",
   IF(I982&lt;=50,I982*1.1+4,IF(I982&lt;=120,I982*1.1+7,IF(I982&lt;=250,I982*1.1+11,I982*1.1+19))),
IF(L982="NORMAL",
   IF(I982&lt;=30,I982*1.15+2,IF(I982&lt;=80,I982*1.15+4,IF(I982&lt;=150,I982*1.15+6,I982*1.15+8))),
IF(L982="COMPLEMENTO",
   IF(I982&lt;=25,I982*1.25+1.5,IF(I982&lt;=60,I982*1.25+3,IF(I982&lt;=120,I982*1.25+4,I982*1.25+5))),
""))),2)</f>
        <v>654.09</v>
      </c>
      <c r="I982" s="9">
        <f>($K$2+0.02)*Tabla1[[#This Row],[PRECIO $]]*1.18</f>
        <v>577.35040000000004</v>
      </c>
      <c r="J982" s="7">
        <f>+Tabla1[[#This Row],[PRECIO EN SOLES]]-Tabla1[[#This Row],[PC]]</f>
        <v>76.739599999999996</v>
      </c>
      <c r="K982" s="15"/>
      <c r="L982" s="15" t="str">
        <f t="shared" si="15"/>
        <v>GANCHO</v>
      </c>
    </row>
    <row r="983" spans="1:12" x14ac:dyDescent="0.25">
      <c r="A983" s="3" t="s">
        <v>1556</v>
      </c>
      <c r="B983" s="3" t="s">
        <v>1557</v>
      </c>
      <c r="C983" s="1">
        <v>20</v>
      </c>
      <c r="D983" s="1">
        <v>133.30000000000001</v>
      </c>
      <c r="E983" s="1" t="s">
        <v>783</v>
      </c>
      <c r="F983" s="1" t="s">
        <v>3346</v>
      </c>
      <c r="G983" s="3" t="s">
        <v>1558</v>
      </c>
      <c r="H983" s="11">
        <f>ROUND(
IF(L983="GANCHO",
   IF(I983&lt;=50,I983*1.1+4,IF(I983&lt;=120,I983*1.1+7,IF(I983&lt;=250,I983*1.1+11,I983*1.1+19))),
IF(L983="NORMAL",
   IF(I983&lt;=30,I983*1.15+2,IF(I983&lt;=80,I983*1.15+4,IF(I983&lt;=150,I983*1.15+6,I983*1.15+8))),
IF(L983="COMPLEMENTO",
   IF(I983&lt;=25,I983*1.25+1.5,IF(I983&lt;=60,I983*1.25+3,IF(I983&lt;=120,I983*1.25+4,I983*1.25+5))),
""))),2)</f>
        <v>628.04</v>
      </c>
      <c r="I983" s="9">
        <f>($K$2+0.02)*Tabla1[[#This Row],[PRECIO $]]*1.18</f>
        <v>553.67488000000003</v>
      </c>
      <c r="J983" s="7">
        <f>+Tabla1[[#This Row],[PRECIO EN SOLES]]-Tabla1[[#This Row],[PC]]</f>
        <v>74.365119999999933</v>
      </c>
      <c r="K983" s="15"/>
      <c r="L983" s="15" t="str">
        <f t="shared" si="15"/>
        <v>GANCHO</v>
      </c>
    </row>
    <row r="984" spans="1:12" x14ac:dyDescent="0.25">
      <c r="A984" s="3" t="s">
        <v>5518</v>
      </c>
      <c r="B984" s="3" t="s">
        <v>5519</v>
      </c>
      <c r="C984" s="1">
        <v>20</v>
      </c>
      <c r="D984" s="1">
        <v>131.9</v>
      </c>
      <c r="E984" s="1" t="s">
        <v>74</v>
      </c>
      <c r="F984" s="1" t="s">
        <v>5520</v>
      </c>
      <c r="G984" s="3" t="s">
        <v>5521</v>
      </c>
      <c r="H984" s="11">
        <f>ROUND(
IF(L984="GANCHO",
   IF(I984&lt;=50,I984*1.1+4,IF(I984&lt;=120,I984*1.1+7,IF(I984&lt;=250,I984*1.1+11,I984*1.1+19))),
IF(L984="NORMAL",
   IF(I984&lt;=30,I984*1.15+2,IF(I984&lt;=80,I984*1.15+4,IF(I984&lt;=150,I984*1.15+6,I984*1.15+8))),
IF(L984="COMPLEMENTO",
   IF(I984&lt;=25,I984*1.25+1.5,IF(I984&lt;=60,I984*1.25+3,IF(I984&lt;=120,I984*1.25+4,I984*1.25+5))),
""))),2)</f>
        <v>621.65</v>
      </c>
      <c r="I984" s="9">
        <f>($K$2+0.02)*Tabla1[[#This Row],[PRECIO $]]*1.18</f>
        <v>547.85983999999996</v>
      </c>
      <c r="J984" s="7">
        <f>+Tabla1[[#This Row],[PRECIO EN SOLES]]-Tabla1[[#This Row],[PC]]</f>
        <v>73.790160000000014</v>
      </c>
      <c r="K984" s="15"/>
      <c r="L984" s="15" t="str">
        <f t="shared" si="15"/>
        <v>GANCHO</v>
      </c>
    </row>
    <row r="985" spans="1:12" x14ac:dyDescent="0.25">
      <c r="A985" s="3" t="s">
        <v>5946</v>
      </c>
      <c r="B985" s="3" t="s">
        <v>5947</v>
      </c>
      <c r="C985" s="1">
        <v>20</v>
      </c>
      <c r="D985" s="1">
        <v>105.3</v>
      </c>
      <c r="E985" s="1" t="s">
        <v>74</v>
      </c>
      <c r="F985" s="1" t="s">
        <v>5948</v>
      </c>
      <c r="G985" s="3" t="s">
        <v>5949</v>
      </c>
      <c r="H985" s="11">
        <f>ROUND(
IF(L985="GANCHO",
   IF(I985&lt;=50,I985*1.1+4,IF(I985&lt;=120,I985*1.1+7,IF(I985&lt;=250,I985*1.1+11,I985*1.1+19))),
IF(L985="NORMAL",
   IF(I985&lt;=30,I985*1.15+2,IF(I985&lt;=80,I985*1.15+4,IF(I985&lt;=150,I985*1.15+6,I985*1.15+8))),
IF(L985="COMPLEMENTO",
   IF(I985&lt;=25,I985*1.25+1.5,IF(I985&lt;=60,I985*1.25+3,IF(I985&lt;=120,I985*1.25+4,I985*1.25+5))),
""))),2)</f>
        <v>500.11</v>
      </c>
      <c r="I985" s="9">
        <f>($K$2+0.02)*Tabla1[[#This Row],[PRECIO $]]*1.18</f>
        <v>437.37407999999999</v>
      </c>
      <c r="J985" s="7">
        <f>+Tabla1[[#This Row],[PRECIO EN SOLES]]-Tabla1[[#This Row],[PC]]</f>
        <v>62.735920000000021</v>
      </c>
      <c r="K985" s="15"/>
      <c r="L985" s="15" t="str">
        <f t="shared" si="15"/>
        <v>GANCHO</v>
      </c>
    </row>
    <row r="986" spans="1:12" x14ac:dyDescent="0.25">
      <c r="A986" s="3" t="s">
        <v>5522</v>
      </c>
      <c r="B986" s="3" t="s">
        <v>5523</v>
      </c>
      <c r="C986" s="1">
        <v>20</v>
      </c>
      <c r="D986" s="1">
        <v>158</v>
      </c>
      <c r="E986" s="1" t="s">
        <v>783</v>
      </c>
      <c r="F986" s="1" t="s">
        <v>5524</v>
      </c>
      <c r="G986" s="3" t="s">
        <v>5525</v>
      </c>
      <c r="H986" s="11">
        <f>ROUND(
IF(L986="GANCHO",
   IF(I986&lt;=50,I986*1.1+4,IF(I986&lt;=120,I986*1.1+7,IF(I986&lt;=250,I986*1.1+11,I986*1.1+19))),
IF(L986="NORMAL",
   IF(I986&lt;=30,I986*1.15+2,IF(I986&lt;=80,I986*1.15+4,IF(I986&lt;=150,I986*1.15+6,I986*1.15+8))),
IF(L986="COMPLEMENTO",
   IF(I986&lt;=25,I986*1.25+1.5,IF(I986&lt;=60,I986*1.25+3,IF(I986&lt;=120,I986*1.25+4,I986*1.25+5))),
""))),2)</f>
        <v>740.9</v>
      </c>
      <c r="I986" s="9">
        <f>($K$2+0.02)*Tabla1[[#This Row],[PRECIO $]]*1.18</f>
        <v>656.26879999999994</v>
      </c>
      <c r="J986" s="7">
        <f>+Tabla1[[#This Row],[PRECIO EN SOLES]]-Tabla1[[#This Row],[PC]]</f>
        <v>84.631200000000035</v>
      </c>
      <c r="K986" s="15"/>
      <c r="L986" s="15" t="str">
        <f t="shared" si="15"/>
        <v>GANCHO</v>
      </c>
    </row>
    <row r="987" spans="1:12" x14ac:dyDescent="0.25">
      <c r="A987" s="3" t="s">
        <v>1559</v>
      </c>
      <c r="B987" s="3" t="s">
        <v>1560</v>
      </c>
      <c r="C987" s="1">
        <v>20</v>
      </c>
      <c r="D987" s="1">
        <v>209.5</v>
      </c>
      <c r="E987" s="1" t="s">
        <v>216</v>
      </c>
      <c r="F987" s="1" t="s">
        <v>3347</v>
      </c>
      <c r="G987" s="3" t="s">
        <v>1561</v>
      </c>
      <c r="H987" s="11">
        <f>ROUND(
IF(L987="GANCHO",
   IF(I987&lt;=50,I987*1.1+4,IF(I987&lt;=120,I987*1.1+7,IF(I987&lt;=250,I987*1.1+11,I987*1.1+19))),
IF(L987="NORMAL",
   IF(I987&lt;=30,I987*1.15+2,IF(I987&lt;=80,I987*1.15+4,IF(I987&lt;=150,I987*1.15+6,I987*1.15+8))),
IF(L987="COMPLEMENTO",
   IF(I987&lt;=25,I987*1.25+1.5,IF(I987&lt;=60,I987*1.25+3,IF(I987&lt;=120,I987*1.25+4,I987*1.25+5))),
""))),2)</f>
        <v>1008.71</v>
      </c>
      <c r="I987" s="9">
        <f>($K$2+0.02)*Tabla1[[#This Row],[PRECIO $]]*1.18</f>
        <v>870.17920000000004</v>
      </c>
      <c r="J987" s="7">
        <f>+Tabla1[[#This Row],[PRECIO EN SOLES]]-Tabla1[[#This Row],[PC]]</f>
        <v>138.5308</v>
      </c>
      <c r="K987" s="15"/>
      <c r="L987" s="15" t="str">
        <f t="shared" si="15"/>
        <v>NORMAL</v>
      </c>
    </row>
    <row r="988" spans="1:12" x14ac:dyDescent="0.25">
      <c r="A988" s="3" t="s">
        <v>4014</v>
      </c>
      <c r="B988" s="3" t="s">
        <v>4015</v>
      </c>
      <c r="C988" s="1">
        <v>17</v>
      </c>
      <c r="D988" s="1">
        <v>199.9</v>
      </c>
      <c r="E988" s="1" t="s">
        <v>216</v>
      </c>
      <c r="F988" s="1" t="s">
        <v>4016</v>
      </c>
      <c r="G988" s="3" t="s">
        <v>4017</v>
      </c>
      <c r="H988" s="11">
        <f>ROUND(
IF(L988="GANCHO",
   IF(I988&lt;=50,I988*1.1+4,IF(I988&lt;=120,I988*1.1+7,IF(I988&lt;=250,I988*1.1+11,I988*1.1+19))),
IF(L988="NORMAL",
   IF(I988&lt;=30,I988*1.15+2,IF(I988&lt;=80,I988*1.15+4,IF(I988&lt;=150,I988*1.15+6,I988*1.15+8))),
IF(L988="COMPLEMENTO",
   IF(I988&lt;=25,I988*1.25+1.5,IF(I988&lt;=60,I988*1.25+3,IF(I988&lt;=120,I988*1.25+4,I988*1.25+5))),
""))),2)</f>
        <v>932.34</v>
      </c>
      <c r="I988" s="9">
        <f>($K$2+0.02)*Tabla1[[#This Row],[PRECIO $]]*1.18</f>
        <v>830.30463999999995</v>
      </c>
      <c r="J988" s="7">
        <f>+Tabla1[[#This Row],[PRECIO EN SOLES]]-Tabla1[[#This Row],[PC]]</f>
        <v>102.03536000000008</v>
      </c>
      <c r="K988" s="15"/>
      <c r="L988" s="15" t="str">
        <f t="shared" si="15"/>
        <v>GANCHO</v>
      </c>
    </row>
    <row r="989" spans="1:12" x14ac:dyDescent="0.25">
      <c r="A989" s="3" t="s">
        <v>1562</v>
      </c>
      <c r="B989" s="3" t="s">
        <v>1563</v>
      </c>
      <c r="C989" s="1">
        <v>3</v>
      </c>
      <c r="D989" s="1">
        <v>370</v>
      </c>
      <c r="E989" s="1" t="s">
        <v>783</v>
      </c>
      <c r="F989" s="1" t="s">
        <v>3348</v>
      </c>
      <c r="G989" s="3" t="s">
        <v>1564</v>
      </c>
      <c r="H989" s="11">
        <f>ROUND(
IF(L989="GANCHO",
   IF(I989&lt;=50,I989*1.1+4,IF(I989&lt;=120,I989*1.1+7,IF(I989&lt;=250,I989*1.1+11,I989*1.1+19))),
IF(L989="NORMAL",
   IF(I989&lt;=30,I989*1.15+2,IF(I989&lt;=80,I989*1.15+4,IF(I989&lt;=150,I989*1.15+6,I989*1.15+8))),
IF(L989="COMPLEMENTO",
   IF(I989&lt;=25,I989*1.25+1.5,IF(I989&lt;=60,I989*1.25+3,IF(I989&lt;=120,I989*1.25+4,I989*1.25+5))),
""))),2)</f>
        <v>1709.52</v>
      </c>
      <c r="I989" s="9">
        <f>($K$2+0.02)*Tabla1[[#This Row],[PRECIO $]]*1.18</f>
        <v>1536.8320000000001</v>
      </c>
      <c r="J989" s="7">
        <f>+Tabla1[[#This Row],[PRECIO EN SOLES]]-Tabla1[[#This Row],[PC]]</f>
        <v>172.68799999999987</v>
      </c>
      <c r="K989" s="15"/>
      <c r="L989" s="15" t="str">
        <f t="shared" si="15"/>
        <v>GANCHO</v>
      </c>
    </row>
    <row r="990" spans="1:12" x14ac:dyDescent="0.25">
      <c r="A990" s="3" t="s">
        <v>5526</v>
      </c>
      <c r="B990" s="3" t="s">
        <v>5527</v>
      </c>
      <c r="C990" s="1">
        <v>0</v>
      </c>
      <c r="D990" s="1">
        <v>284</v>
      </c>
      <c r="E990" s="1" t="s">
        <v>216</v>
      </c>
      <c r="F990" s="1" t="s">
        <v>5528</v>
      </c>
      <c r="G990" s="3" t="s">
        <v>5529</v>
      </c>
      <c r="H990" s="11">
        <f>ROUND(
IF(L990="GANCHO",
   IF(I990&lt;=50,I990*1.1+4,IF(I990&lt;=120,I990*1.1+7,IF(I990&lt;=250,I990*1.1+11,I990*1.1+19))),
IF(L990="NORMAL",
   IF(I990&lt;=30,I990*1.15+2,IF(I990&lt;=80,I990*1.15+4,IF(I990&lt;=150,I990*1.15+6,I990*1.15+8))),
IF(L990="COMPLEMENTO",
   IF(I990&lt;=25,I990*1.25+1.5,IF(I990&lt;=60,I990*1.25+3,IF(I990&lt;=120,I990*1.25+4,I990*1.25+5))),
""))),2)</f>
        <v>1364.57</v>
      </c>
      <c r="I990" s="9">
        <f>($K$2+0.02)*Tabla1[[#This Row],[PRECIO $]]*1.18</f>
        <v>1179.6224</v>
      </c>
      <c r="J990" s="7">
        <f>+Tabla1[[#This Row],[PRECIO EN SOLES]]-Tabla1[[#This Row],[PC]]</f>
        <v>184.94759999999997</v>
      </c>
      <c r="K990" s="15"/>
      <c r="L990" s="15" t="str">
        <f t="shared" si="15"/>
        <v>NORMAL</v>
      </c>
    </row>
    <row r="991" spans="1:12" x14ac:dyDescent="0.25">
      <c r="A991" s="3" t="s">
        <v>2698</v>
      </c>
      <c r="B991" s="3" t="s">
        <v>2699</v>
      </c>
      <c r="C991" s="1">
        <v>0</v>
      </c>
      <c r="D991" s="1">
        <v>231</v>
      </c>
      <c r="E991" s="1" t="s">
        <v>216</v>
      </c>
      <c r="F991" s="1" t="s">
        <v>3349</v>
      </c>
      <c r="G991" s="3" t="s">
        <v>2700</v>
      </c>
      <c r="H991" s="11">
        <f>ROUND(
IF(L991="GANCHO",
   IF(I991&lt;=50,I991*1.1+4,IF(I991&lt;=120,I991*1.1+7,IF(I991&lt;=250,I991*1.1+11,I991*1.1+19))),
IF(L991="NORMAL",
   IF(I991&lt;=30,I991*1.15+2,IF(I991&lt;=80,I991*1.15+4,IF(I991&lt;=150,I991*1.15+6,I991*1.15+8))),
IF(L991="COMPLEMENTO",
   IF(I991&lt;=25,I991*1.25+1.5,IF(I991&lt;=60,I991*1.25+3,IF(I991&lt;=120,I991*1.25+4,I991*1.25+5))),
""))),2)</f>
        <v>1074.43</v>
      </c>
      <c r="I991" s="9">
        <f>($K$2+0.02)*Tabla1[[#This Row],[PRECIO $]]*1.18</f>
        <v>959.48159999999996</v>
      </c>
      <c r="J991" s="7">
        <f>+Tabla1[[#This Row],[PRECIO EN SOLES]]-Tabla1[[#This Row],[PC]]</f>
        <v>114.94840000000011</v>
      </c>
      <c r="K991" s="15"/>
      <c r="L991" s="15" t="str">
        <f t="shared" si="15"/>
        <v>GANCHO</v>
      </c>
    </row>
    <row r="992" spans="1:12" x14ac:dyDescent="0.25">
      <c r="A992" s="3" t="s">
        <v>4305</v>
      </c>
      <c r="B992" s="3" t="s">
        <v>4306</v>
      </c>
      <c r="C992" s="1">
        <v>20</v>
      </c>
      <c r="D992" s="1">
        <v>177</v>
      </c>
      <c r="E992" s="1" t="s">
        <v>783</v>
      </c>
      <c r="F992" s="1" t="s">
        <v>4307</v>
      </c>
      <c r="G992" s="3" t="s">
        <v>4308</v>
      </c>
      <c r="H992" s="11">
        <f>ROUND(
IF(L992="GANCHO",
   IF(I992&lt;=50,I992*1.1+4,IF(I992&lt;=120,I992*1.1+7,IF(I992&lt;=250,I992*1.1+11,I992*1.1+19))),
IF(L992="NORMAL",
   IF(I992&lt;=30,I992*1.15+2,IF(I992&lt;=80,I992*1.15+4,IF(I992&lt;=150,I992*1.15+6,I992*1.15+8))),
IF(L992="COMPLEMENTO",
   IF(I992&lt;=25,I992*1.25+1.5,IF(I992&lt;=60,I992*1.25+3,IF(I992&lt;=120,I992*1.25+4,I992*1.25+5))),
""))),2)</f>
        <v>827.71</v>
      </c>
      <c r="I992" s="9">
        <f>($K$2+0.02)*Tabla1[[#This Row],[PRECIO $]]*1.18</f>
        <v>735.18719999999996</v>
      </c>
      <c r="J992" s="7">
        <f>+Tabla1[[#This Row],[PRECIO EN SOLES]]-Tabla1[[#This Row],[PC]]</f>
        <v>92.522800000000075</v>
      </c>
      <c r="K992" s="15"/>
      <c r="L992" s="15" t="str">
        <f t="shared" si="15"/>
        <v>GANCHO</v>
      </c>
    </row>
    <row r="993" spans="1:12" x14ac:dyDescent="0.25">
      <c r="A993" s="3" t="s">
        <v>5764</v>
      </c>
      <c r="B993" s="3" t="s">
        <v>5765</v>
      </c>
      <c r="C993" s="1">
        <v>0</v>
      </c>
      <c r="D993" s="1">
        <v>85.5</v>
      </c>
      <c r="E993" s="1" t="s">
        <v>52</v>
      </c>
      <c r="F993" s="1" t="s">
        <v>5766</v>
      </c>
      <c r="G993" s="3" t="s">
        <v>5767</v>
      </c>
      <c r="H993" s="11">
        <f>ROUND(
IF(L993="GANCHO",
   IF(I993&lt;=50,I993*1.1+4,IF(I993&lt;=120,I993*1.1+7,IF(I993&lt;=250,I993*1.1+11,I993*1.1+19))),
IF(L993="NORMAL",
   IF(I993&lt;=30,I993*1.15+2,IF(I993&lt;=80,I993*1.15+4,IF(I993&lt;=150,I993*1.15+6,I993*1.15+8))),
IF(L993="COMPLEMENTO",
   IF(I993&lt;=25,I993*1.25+1.5,IF(I993&lt;=60,I993*1.25+3,IF(I993&lt;=120,I993*1.25+4,I993*1.25+5))),
""))),2)</f>
        <v>409.65</v>
      </c>
      <c r="I993" s="9">
        <f>($K$2+0.02)*Tabla1[[#This Row],[PRECIO $]]*1.18</f>
        <v>355.13279999999997</v>
      </c>
      <c r="J993" s="7">
        <f>+Tabla1[[#This Row],[PRECIO EN SOLES]]-Tabla1[[#This Row],[PC]]</f>
        <v>54.517200000000003</v>
      </c>
      <c r="K993" s="15"/>
      <c r="L993" s="15" t="str">
        <f t="shared" si="15"/>
        <v>GANCHO</v>
      </c>
    </row>
    <row r="994" spans="1:12" x14ac:dyDescent="0.25">
      <c r="A994" s="3" t="s">
        <v>6838</v>
      </c>
      <c r="B994" s="3" t="s">
        <v>6839</v>
      </c>
      <c r="C994" s="1">
        <v>4</v>
      </c>
      <c r="D994" s="1">
        <v>493</v>
      </c>
      <c r="E994" s="1" t="s">
        <v>216</v>
      </c>
      <c r="F994" s="1" t="s">
        <v>6840</v>
      </c>
      <c r="G994" s="3" t="s">
        <v>6841</v>
      </c>
      <c r="H994" s="11">
        <f>ROUND(
IF(L994="GANCHO",
   IF(I994&lt;=50,I994*1.1+4,IF(I994&lt;=120,I994*1.1+7,IF(I994&lt;=250,I994*1.1+11,I994*1.1+19))),
IF(L994="NORMAL",
   IF(I994&lt;=30,I994*1.15+2,IF(I994&lt;=80,I994*1.15+4,IF(I994&lt;=150,I994*1.15+6,I994*1.15+8))),
IF(L994="COMPLEMENTO",
   IF(I994&lt;=25,I994*1.25+1.5,IF(I994&lt;=60,I994*1.25+3,IF(I994&lt;=120,I994*1.25+4,I994*1.25+5))),
""))),2)</f>
        <v>2271.5</v>
      </c>
      <c r="I994" s="9">
        <f>($K$2+0.02)*Tabla1[[#This Row],[PRECIO $]]*1.18</f>
        <v>2047.7247999999997</v>
      </c>
      <c r="J994" s="7">
        <f>+Tabla1[[#This Row],[PRECIO EN SOLES]]-Tabla1[[#This Row],[PC]]</f>
        <v>223.77520000000027</v>
      </c>
      <c r="K994" s="15"/>
      <c r="L994" s="15" t="str">
        <f t="shared" si="15"/>
        <v>GANCHO</v>
      </c>
    </row>
    <row r="995" spans="1:12" x14ac:dyDescent="0.25">
      <c r="A995" s="3" t="s">
        <v>2604</v>
      </c>
      <c r="B995" s="3" t="s">
        <v>2605</v>
      </c>
      <c r="C995" s="1">
        <v>2</v>
      </c>
      <c r="D995" s="1">
        <v>711</v>
      </c>
      <c r="E995" s="1" t="s">
        <v>784</v>
      </c>
      <c r="F995" s="1" t="s">
        <v>3350</v>
      </c>
      <c r="G995" s="3" t="s">
        <v>2606</v>
      </c>
      <c r="H995" s="11">
        <f>ROUND(
IF(L995="GANCHO",
   IF(I995&lt;=50,I995*1.1+4,IF(I995&lt;=120,I995*1.1+7,IF(I995&lt;=250,I995*1.1+11,I995*1.1+19))),
IF(L995="NORMAL",
   IF(I995&lt;=30,I995*1.15+2,IF(I995&lt;=80,I995*1.15+4,IF(I995&lt;=150,I995*1.15+6,I995*1.15+8))),
IF(L995="COMPLEMENTO",
   IF(I995&lt;=25,I995*1.25+1.5,IF(I995&lt;=60,I995*1.25+3,IF(I995&lt;=120,I995*1.25+4,I995*1.25+5))),
""))),2)</f>
        <v>3404.19</v>
      </c>
      <c r="I995" s="9">
        <f>($K$2+0.02)*Tabla1[[#This Row],[PRECIO $]]*1.18</f>
        <v>2953.2095999999997</v>
      </c>
      <c r="J995" s="7">
        <f>+Tabla1[[#This Row],[PRECIO EN SOLES]]-Tabla1[[#This Row],[PC]]</f>
        <v>450.98040000000037</v>
      </c>
      <c r="K995" s="15"/>
      <c r="L995" s="15" t="str">
        <f t="shared" si="15"/>
        <v>NORMAL</v>
      </c>
    </row>
    <row r="996" spans="1:12" x14ac:dyDescent="0.25">
      <c r="A996" s="3" t="s">
        <v>5768</v>
      </c>
      <c r="B996" s="3" t="s">
        <v>5769</v>
      </c>
      <c r="C996" s="1">
        <v>1</v>
      </c>
      <c r="D996" s="1">
        <v>317.5</v>
      </c>
      <c r="E996" s="1" t="s">
        <v>115</v>
      </c>
      <c r="F996" s="1" t="s">
        <v>5770</v>
      </c>
      <c r="G996" s="3"/>
      <c r="H996" s="11">
        <f>ROUND(
IF(L996="GANCHO",
   IF(I996&lt;=50,I996*1.1+4,IF(I996&lt;=120,I996*1.1+7,IF(I996&lt;=250,I996*1.1+11,I996*1.1+19))),
IF(L996="NORMAL",
   IF(I996&lt;=30,I996*1.15+2,IF(I996&lt;=80,I996*1.15+4,IF(I996&lt;=150,I996*1.15+6,I996*1.15+8))),
IF(L996="COMPLEMENTO",
   IF(I996&lt;=25,I996*1.25+1.5,IF(I996&lt;=60,I996*1.25+3,IF(I996&lt;=120,I996*1.25+4,I996*1.25+5))),
""))),2)</f>
        <v>1524.58</v>
      </c>
      <c r="I996" s="9">
        <f>($K$2+0.02)*Tabla1[[#This Row],[PRECIO $]]*1.18</f>
        <v>1318.7679999999998</v>
      </c>
      <c r="J996" s="7">
        <f>+Tabla1[[#This Row],[PRECIO EN SOLES]]-Tabla1[[#This Row],[PC]]</f>
        <v>205.81200000000013</v>
      </c>
      <c r="K996" s="15"/>
      <c r="L996" s="15" t="str">
        <f t="shared" si="15"/>
        <v>NORMAL</v>
      </c>
    </row>
    <row r="997" spans="1:12" x14ac:dyDescent="0.25">
      <c r="A997" s="3" t="s">
        <v>6149</v>
      </c>
      <c r="B997" s="3" t="s">
        <v>6150</v>
      </c>
      <c r="C997" s="1">
        <v>20</v>
      </c>
      <c r="D997" s="1">
        <v>53</v>
      </c>
      <c r="E997" s="1" t="s">
        <v>6151</v>
      </c>
      <c r="F997" s="1" t="s">
        <v>6152</v>
      </c>
      <c r="G997" s="3" t="s">
        <v>6153</v>
      </c>
      <c r="H997" s="11">
        <f>ROUND(
IF(L997="GANCHO",
   IF(I997&lt;=50,I997*1.1+4,IF(I997&lt;=120,I997*1.1+7,IF(I997&lt;=250,I997*1.1+11,I997*1.1+19))),
IF(L997="NORMAL",
   IF(I997&lt;=30,I997*1.15+2,IF(I997&lt;=80,I997*1.15+4,IF(I997&lt;=150,I997*1.15+6,I997*1.15+8))),
IF(L997="COMPLEMENTO",
   IF(I997&lt;=25,I997*1.25+1.5,IF(I997&lt;=60,I997*1.25+3,IF(I997&lt;=120,I997*1.25+4,I997*1.25+5))),
""))),2)</f>
        <v>261.16000000000003</v>
      </c>
      <c r="I997" s="9">
        <f>($K$2+0.02)*Tabla1[[#This Row],[PRECIO $]]*1.18</f>
        <v>220.14079999999998</v>
      </c>
      <c r="J997" s="7">
        <f>+Tabla1[[#This Row],[PRECIO EN SOLES]]-Tabla1[[#This Row],[PC]]</f>
        <v>41.019200000000041</v>
      </c>
      <c r="K997" s="15"/>
      <c r="L997" s="15" t="str">
        <f t="shared" si="15"/>
        <v>NORMAL</v>
      </c>
    </row>
    <row r="998" spans="1:12" x14ac:dyDescent="0.25">
      <c r="A998" s="3" t="s">
        <v>1565</v>
      </c>
      <c r="B998" s="3" t="s">
        <v>1566</v>
      </c>
      <c r="C998" s="1">
        <v>20</v>
      </c>
      <c r="D998" s="1">
        <v>16.2</v>
      </c>
      <c r="E998" s="1" t="s">
        <v>58</v>
      </c>
      <c r="F998" s="1" t="s">
        <v>3351</v>
      </c>
      <c r="G998" s="3" t="s">
        <v>1567</v>
      </c>
      <c r="H998" s="11">
        <f>ROUND(
IF(L998="GANCHO",
   IF(I998&lt;=50,I998*1.1+4,IF(I998&lt;=120,I998*1.1+7,IF(I998&lt;=250,I998*1.1+11,I998*1.1+19))),
IF(L998="NORMAL",
   IF(I998&lt;=30,I998*1.15+2,IF(I998&lt;=80,I998*1.15+4,IF(I998&lt;=150,I998*1.15+6,I998*1.15+8))),
IF(L998="COMPLEMENTO",
   IF(I998&lt;=25,I998*1.25+1.5,IF(I998&lt;=60,I998*1.25+3,IF(I998&lt;=120,I998*1.25+4,I998*1.25+5))),
""))),2)</f>
        <v>88.11</v>
      </c>
      <c r="I998" s="9">
        <f>($K$2+0.02)*Tabla1[[#This Row],[PRECIO $]]*1.18</f>
        <v>67.288319999999999</v>
      </c>
      <c r="J998" s="7">
        <f>+Tabla1[[#This Row],[PRECIO EN SOLES]]-Tabla1[[#This Row],[PC]]</f>
        <v>20.821680000000001</v>
      </c>
      <c r="K998" s="15"/>
      <c r="L998" s="15" t="str">
        <f t="shared" si="15"/>
        <v>COMPLEMENTO</v>
      </c>
    </row>
    <row r="999" spans="1:12" x14ac:dyDescent="0.25">
      <c r="A999" s="3" t="s">
        <v>1568</v>
      </c>
      <c r="B999" s="3" t="s">
        <v>1569</v>
      </c>
      <c r="C999" s="1">
        <v>20</v>
      </c>
      <c r="D999" s="1">
        <v>9</v>
      </c>
      <c r="E999" s="1" t="s">
        <v>58</v>
      </c>
      <c r="F999" s="1" t="s">
        <v>3352</v>
      </c>
      <c r="G999" s="3" t="s">
        <v>1570</v>
      </c>
      <c r="H999" s="11">
        <f>ROUND(
IF(L999="GANCHO",
   IF(I999&lt;=50,I999*1.1+4,IF(I999&lt;=120,I999*1.1+7,IF(I999&lt;=250,I999*1.1+11,I999*1.1+19))),
IF(L999="NORMAL",
   IF(I999&lt;=30,I999*1.15+2,IF(I999&lt;=80,I999*1.15+4,IF(I999&lt;=150,I999*1.15+6,I999*1.15+8))),
IF(L999="COMPLEMENTO",
   IF(I999&lt;=25,I999*1.25+1.5,IF(I999&lt;=60,I999*1.25+3,IF(I999&lt;=120,I999*1.25+4,I999*1.25+5))),
""))),2)</f>
        <v>49.73</v>
      </c>
      <c r="I999" s="9">
        <f>($K$2+0.02)*Tabla1[[#This Row],[PRECIO $]]*1.18</f>
        <v>37.382399999999997</v>
      </c>
      <c r="J999" s="7">
        <f>+Tabla1[[#This Row],[PRECIO EN SOLES]]-Tabla1[[#This Row],[PC]]</f>
        <v>12.3476</v>
      </c>
      <c r="K999" s="15"/>
      <c r="L999" s="15" t="str">
        <f t="shared" si="15"/>
        <v>COMPLEMENTO</v>
      </c>
    </row>
    <row r="1000" spans="1:12" x14ac:dyDescent="0.25">
      <c r="A1000" s="3" t="s">
        <v>2777</v>
      </c>
      <c r="B1000" s="3" t="s">
        <v>2778</v>
      </c>
      <c r="C1000" s="1">
        <v>20</v>
      </c>
      <c r="D1000" s="1">
        <v>51.3</v>
      </c>
      <c r="E1000" s="1" t="s">
        <v>121</v>
      </c>
      <c r="F1000" s="1" t="s">
        <v>3353</v>
      </c>
      <c r="G1000" s="3" t="s">
        <v>2779</v>
      </c>
      <c r="H1000" s="11">
        <f>ROUND(
IF(L1000="GANCHO",
   IF(I1000&lt;=50,I1000*1.1+4,IF(I1000&lt;=120,I1000*1.1+7,IF(I1000&lt;=250,I1000*1.1+11,I1000*1.1+19))),
IF(L1000="NORMAL",
   IF(I1000&lt;=30,I1000*1.15+2,IF(I1000&lt;=80,I1000*1.15+4,IF(I1000&lt;=150,I1000*1.15+6,I1000*1.15+8))),
IF(L1000="COMPLEMENTO",
   IF(I1000&lt;=25,I1000*1.25+1.5,IF(I1000&lt;=60,I1000*1.25+3,IF(I1000&lt;=120,I1000*1.25+4,I1000*1.25+5))),
""))),2)</f>
        <v>271.35000000000002</v>
      </c>
      <c r="I1000" s="9">
        <f>($K$2+0.02)*Tabla1[[#This Row],[PRECIO $]]*1.18</f>
        <v>213.07967999999997</v>
      </c>
      <c r="J1000" s="7">
        <f>+Tabla1[[#This Row],[PRECIO EN SOLES]]-Tabla1[[#This Row],[PC]]</f>
        <v>58.270320000000055</v>
      </c>
      <c r="K1000" s="15"/>
      <c r="L1000" s="15" t="str">
        <f t="shared" si="15"/>
        <v>COMPLEMENTO</v>
      </c>
    </row>
    <row r="1001" spans="1:12" x14ac:dyDescent="0.25">
      <c r="A1001" s="3" t="s">
        <v>2780</v>
      </c>
      <c r="B1001" s="3" t="s">
        <v>2781</v>
      </c>
      <c r="C1001" s="1">
        <v>20</v>
      </c>
      <c r="D1001" s="1">
        <v>62.35</v>
      </c>
      <c r="E1001" s="1" t="s">
        <v>121</v>
      </c>
      <c r="F1001" s="1" t="s">
        <v>3354</v>
      </c>
      <c r="G1001" s="3" t="s">
        <v>2782</v>
      </c>
      <c r="H1001" s="11">
        <f>ROUND(
IF(L1001="GANCHO",
   IF(I1001&lt;=50,I1001*1.1+4,IF(I1001&lt;=120,I1001*1.1+7,IF(I1001&lt;=250,I1001*1.1+11,I1001*1.1+19))),
IF(L1001="NORMAL",
   IF(I1001&lt;=30,I1001*1.15+2,IF(I1001&lt;=80,I1001*1.15+4,IF(I1001&lt;=150,I1001*1.15+6,I1001*1.15+8))),
IF(L1001="COMPLEMENTO",
   IF(I1001&lt;=25,I1001*1.25+1.5,IF(I1001&lt;=60,I1001*1.25+3,IF(I1001&lt;=120,I1001*1.25+4,I1001*1.25+5))),
""))),2)</f>
        <v>328.72</v>
      </c>
      <c r="I1001" s="9">
        <f>($K$2+0.02)*Tabla1[[#This Row],[PRECIO $]]*1.18</f>
        <v>258.97696000000002</v>
      </c>
      <c r="J1001" s="7">
        <f>+Tabla1[[#This Row],[PRECIO EN SOLES]]-Tabla1[[#This Row],[PC]]</f>
        <v>69.743040000000008</v>
      </c>
      <c r="K1001" s="15"/>
      <c r="L1001" s="15" t="str">
        <f t="shared" si="15"/>
        <v>COMPLEMENTO</v>
      </c>
    </row>
    <row r="1002" spans="1:12" x14ac:dyDescent="0.25">
      <c r="A1002" s="3" t="s">
        <v>286</v>
      </c>
      <c r="B1002" s="3" t="s">
        <v>287</v>
      </c>
      <c r="C1002" s="1">
        <v>19</v>
      </c>
      <c r="D1002" s="1">
        <v>28.5</v>
      </c>
      <c r="E1002" s="1" t="s">
        <v>52</v>
      </c>
      <c r="F1002" s="1" t="s">
        <v>3355</v>
      </c>
      <c r="G1002" s="3" t="s">
        <v>288</v>
      </c>
      <c r="H1002" s="11">
        <f>ROUND(
IF(L1002="GANCHO",
   IF(I1002&lt;=50,I1002*1.1+4,IF(I1002&lt;=120,I1002*1.1+7,IF(I1002&lt;=250,I1002*1.1+11,I1002*1.1+19))),
IF(L1002="NORMAL",
   IF(I1002&lt;=30,I1002*1.15+2,IF(I1002&lt;=80,I1002*1.15+4,IF(I1002&lt;=150,I1002*1.15+6,I1002*1.15+8))),
IF(L1002="COMPLEMENTO",
   IF(I1002&lt;=25,I1002*1.25+1.5,IF(I1002&lt;=60,I1002*1.25+3,IF(I1002&lt;=120,I1002*1.25+4,I1002*1.25+5))),
""))),2)</f>
        <v>142.13</v>
      </c>
      <c r="I1002" s="9">
        <f>($K$2+0.02)*Tabla1[[#This Row],[PRECIO $]]*1.18</f>
        <v>118.3776</v>
      </c>
      <c r="J1002" s="7">
        <f>+Tabla1[[#This Row],[PRECIO EN SOLES]]-Tabla1[[#This Row],[PC]]</f>
        <v>23.752399999999994</v>
      </c>
      <c r="K1002" s="15"/>
      <c r="L1002" s="15" t="str">
        <f t="shared" si="15"/>
        <v>NORMAL</v>
      </c>
    </row>
    <row r="1003" spans="1:12" x14ac:dyDescent="0.25">
      <c r="A1003" s="3" t="s">
        <v>1571</v>
      </c>
      <c r="B1003" s="3" t="s">
        <v>1572</v>
      </c>
      <c r="C1003" s="1">
        <v>20</v>
      </c>
      <c r="D1003" s="1">
        <v>43.5</v>
      </c>
      <c r="E1003" s="1" t="s">
        <v>52</v>
      </c>
      <c r="F1003" s="1" t="s">
        <v>3356</v>
      </c>
      <c r="G1003" s="3" t="s">
        <v>1573</v>
      </c>
      <c r="H1003" s="11">
        <f>ROUND(
IF(L1003="GANCHO",
   IF(I1003&lt;=50,I1003*1.1+4,IF(I1003&lt;=120,I1003*1.1+7,IF(I1003&lt;=250,I1003*1.1+11,I1003*1.1+19))),
IF(L1003="NORMAL",
   IF(I1003&lt;=30,I1003*1.15+2,IF(I1003&lt;=80,I1003*1.15+4,IF(I1003&lt;=150,I1003*1.15+6,I1003*1.15+8))),
IF(L1003="COMPLEMENTO",
   IF(I1003&lt;=25,I1003*1.25+1.5,IF(I1003&lt;=60,I1003*1.25+3,IF(I1003&lt;=120,I1003*1.25+4,I1003*1.25+5))),
""))),2)</f>
        <v>215.78</v>
      </c>
      <c r="I1003" s="9">
        <f>($K$2+0.02)*Tabla1[[#This Row],[PRECIO $]]*1.18</f>
        <v>180.6816</v>
      </c>
      <c r="J1003" s="7">
        <f>+Tabla1[[#This Row],[PRECIO EN SOLES]]-Tabla1[[#This Row],[PC]]</f>
        <v>35.098399999999998</v>
      </c>
      <c r="K1003" s="15"/>
      <c r="L1003" s="15" t="str">
        <f t="shared" si="15"/>
        <v>NORMAL</v>
      </c>
    </row>
    <row r="1004" spans="1:12" x14ac:dyDescent="0.25">
      <c r="A1004" s="3" t="s">
        <v>6154</v>
      </c>
      <c r="B1004" s="3" t="s">
        <v>6155</v>
      </c>
      <c r="C1004" s="1">
        <v>20</v>
      </c>
      <c r="D1004" s="1">
        <v>68</v>
      </c>
      <c r="E1004" s="1" t="s">
        <v>6151</v>
      </c>
      <c r="F1004" s="1" t="s">
        <v>6156</v>
      </c>
      <c r="G1004" s="3" t="s">
        <v>6157</v>
      </c>
      <c r="H1004" s="11">
        <f>ROUND(
IF(L1004="GANCHO",
   IF(I1004&lt;=50,I1004*1.1+4,IF(I1004&lt;=120,I1004*1.1+7,IF(I1004&lt;=250,I1004*1.1+11,I1004*1.1+19))),
IF(L1004="NORMAL",
   IF(I1004&lt;=30,I1004*1.15+2,IF(I1004&lt;=80,I1004*1.15+4,IF(I1004&lt;=150,I1004*1.15+6,I1004*1.15+8))),
IF(L1004="COMPLEMENTO",
   IF(I1004&lt;=25,I1004*1.25+1.5,IF(I1004&lt;=60,I1004*1.25+3,IF(I1004&lt;=120,I1004*1.25+4,I1004*1.25+5))),
""))),2)</f>
        <v>332.81</v>
      </c>
      <c r="I1004" s="9">
        <f>($K$2+0.02)*Tabla1[[#This Row],[PRECIO $]]*1.18</f>
        <v>282.44479999999999</v>
      </c>
      <c r="J1004" s="7">
        <f>+Tabla1[[#This Row],[PRECIO EN SOLES]]-Tabla1[[#This Row],[PC]]</f>
        <v>50.365200000000016</v>
      </c>
      <c r="K1004" s="15"/>
      <c r="L1004" s="15" t="str">
        <f t="shared" si="15"/>
        <v>NORMAL</v>
      </c>
    </row>
    <row r="1005" spans="1:12" x14ac:dyDescent="0.25">
      <c r="A1005" s="3" t="s">
        <v>6158</v>
      </c>
      <c r="B1005" s="3" t="s">
        <v>6159</v>
      </c>
      <c r="C1005" s="1">
        <v>20</v>
      </c>
      <c r="D1005" s="1">
        <v>58</v>
      </c>
      <c r="E1005" s="1" t="s">
        <v>6151</v>
      </c>
      <c r="F1005" s="1" t="s">
        <v>6160</v>
      </c>
      <c r="G1005" s="3" t="s">
        <v>6161</v>
      </c>
      <c r="H1005" s="11">
        <f>ROUND(
IF(L1005="GANCHO",
   IF(I1005&lt;=50,I1005*1.1+4,IF(I1005&lt;=120,I1005*1.1+7,IF(I1005&lt;=250,I1005*1.1+11,I1005*1.1+19))),
IF(L1005="NORMAL",
   IF(I1005&lt;=30,I1005*1.15+2,IF(I1005&lt;=80,I1005*1.15+4,IF(I1005&lt;=150,I1005*1.15+6,I1005*1.15+8))),
IF(L1005="COMPLEMENTO",
   IF(I1005&lt;=25,I1005*1.25+1.5,IF(I1005&lt;=60,I1005*1.25+3,IF(I1005&lt;=120,I1005*1.25+4,I1005*1.25+5))),
""))),2)</f>
        <v>285.05</v>
      </c>
      <c r="I1005" s="9">
        <f>($K$2+0.02)*Tabla1[[#This Row],[PRECIO $]]*1.18</f>
        <v>240.90879999999999</v>
      </c>
      <c r="J1005" s="7">
        <f>+Tabla1[[#This Row],[PRECIO EN SOLES]]-Tabla1[[#This Row],[PC]]</f>
        <v>44.141200000000026</v>
      </c>
      <c r="K1005" s="15"/>
      <c r="L1005" s="15" t="str">
        <f t="shared" si="15"/>
        <v>NORMAL</v>
      </c>
    </row>
    <row r="1006" spans="1:12" x14ac:dyDescent="0.25">
      <c r="A1006" s="3" t="s">
        <v>6162</v>
      </c>
      <c r="B1006" s="3" t="s">
        <v>6163</v>
      </c>
      <c r="C1006" s="1">
        <v>20</v>
      </c>
      <c r="D1006" s="1">
        <v>55</v>
      </c>
      <c r="E1006" s="1" t="s">
        <v>6151</v>
      </c>
      <c r="F1006" s="1" t="s">
        <v>6164</v>
      </c>
      <c r="G1006" s="3" t="s">
        <v>6165</v>
      </c>
      <c r="H1006" s="11">
        <f>ROUND(
IF(L1006="GANCHO",
   IF(I1006&lt;=50,I1006*1.1+4,IF(I1006&lt;=120,I1006*1.1+7,IF(I1006&lt;=250,I1006*1.1+11,I1006*1.1+19))),
IF(L1006="NORMAL",
   IF(I1006&lt;=30,I1006*1.15+2,IF(I1006&lt;=80,I1006*1.15+4,IF(I1006&lt;=150,I1006*1.15+6,I1006*1.15+8))),
IF(L1006="COMPLEMENTO",
   IF(I1006&lt;=25,I1006*1.25+1.5,IF(I1006&lt;=60,I1006*1.25+3,IF(I1006&lt;=120,I1006*1.25+4,I1006*1.25+5))),
""))),2)</f>
        <v>270.72000000000003</v>
      </c>
      <c r="I1006" s="9">
        <f>($K$2+0.02)*Tabla1[[#This Row],[PRECIO $]]*1.18</f>
        <v>228.44799999999998</v>
      </c>
      <c r="J1006" s="7">
        <f>+Tabla1[[#This Row],[PRECIO EN SOLES]]-Tabla1[[#This Row],[PC]]</f>
        <v>42.272000000000048</v>
      </c>
      <c r="K1006" s="15"/>
      <c r="L1006" s="15" t="str">
        <f t="shared" si="15"/>
        <v>NORMAL</v>
      </c>
    </row>
    <row r="1007" spans="1:12" x14ac:dyDescent="0.25">
      <c r="A1007" s="3" t="s">
        <v>2848</v>
      </c>
      <c r="B1007" s="3" t="s">
        <v>2849</v>
      </c>
      <c r="C1007" s="1">
        <v>4</v>
      </c>
      <c r="D1007" s="1">
        <v>177</v>
      </c>
      <c r="E1007" s="1" t="s">
        <v>52</v>
      </c>
      <c r="F1007" s="1" t="s">
        <v>3357</v>
      </c>
      <c r="G1007" s="3" t="s">
        <v>2850</v>
      </c>
      <c r="H1007" s="11">
        <f>ROUND(
IF(L1007="GANCHO",
   IF(I1007&lt;=50,I1007*1.1+4,IF(I1007&lt;=120,I1007*1.1+7,IF(I1007&lt;=250,I1007*1.1+11,I1007*1.1+19))),
IF(L1007="NORMAL",
   IF(I1007&lt;=30,I1007*1.15+2,IF(I1007&lt;=80,I1007*1.15+4,IF(I1007&lt;=150,I1007*1.15+6,I1007*1.15+8))),
IF(L1007="COMPLEMENTO",
   IF(I1007&lt;=25,I1007*1.25+1.5,IF(I1007&lt;=60,I1007*1.25+3,IF(I1007&lt;=120,I1007*1.25+4,I1007*1.25+5))),
""))),2)</f>
        <v>853.47</v>
      </c>
      <c r="I1007" s="9">
        <f>($K$2+0.02)*Tabla1[[#This Row],[PRECIO $]]*1.18</f>
        <v>735.18719999999996</v>
      </c>
      <c r="J1007" s="7">
        <f>+Tabla1[[#This Row],[PRECIO EN SOLES]]-Tabla1[[#This Row],[PC]]</f>
        <v>118.28280000000007</v>
      </c>
      <c r="K1007" s="15"/>
      <c r="L1007" s="15" t="str">
        <f t="shared" si="15"/>
        <v>NORMAL</v>
      </c>
    </row>
    <row r="1008" spans="1:12" x14ac:dyDescent="0.25">
      <c r="A1008" s="3" t="s">
        <v>1574</v>
      </c>
      <c r="B1008" s="3" t="s">
        <v>1575</v>
      </c>
      <c r="C1008" s="1">
        <v>19</v>
      </c>
      <c r="D1008" s="1">
        <v>86</v>
      </c>
      <c r="E1008" s="1" t="s">
        <v>52</v>
      </c>
      <c r="F1008" s="1" t="s">
        <v>3358</v>
      </c>
      <c r="G1008" s="3" t="s">
        <v>1576</v>
      </c>
      <c r="H1008" s="11">
        <f>ROUND(
IF(L1008="GANCHO",
   IF(I1008&lt;=50,I1008*1.1+4,IF(I1008&lt;=120,I1008*1.1+7,IF(I1008&lt;=250,I1008*1.1+11,I1008*1.1+19))),
IF(L1008="NORMAL",
   IF(I1008&lt;=30,I1008*1.15+2,IF(I1008&lt;=80,I1008*1.15+4,IF(I1008&lt;=150,I1008*1.15+6,I1008*1.15+8))),
IF(L1008="COMPLEMENTO",
   IF(I1008&lt;=25,I1008*1.25+1.5,IF(I1008&lt;=60,I1008*1.25+3,IF(I1008&lt;=120,I1008*1.25+4,I1008*1.25+5))),
""))),2)</f>
        <v>418.79</v>
      </c>
      <c r="I1008" s="9">
        <f>($K$2+0.02)*Tabla1[[#This Row],[PRECIO $]]*1.18</f>
        <v>357.20960000000002</v>
      </c>
      <c r="J1008" s="7">
        <f>+Tabla1[[#This Row],[PRECIO EN SOLES]]-Tabla1[[#This Row],[PC]]</f>
        <v>61.580399999999997</v>
      </c>
      <c r="K1008" s="15"/>
      <c r="L1008" s="15" t="str">
        <f t="shared" si="15"/>
        <v>NORMAL</v>
      </c>
    </row>
    <row r="1009" spans="1:12" x14ac:dyDescent="0.25">
      <c r="A1009" s="3" t="s">
        <v>1577</v>
      </c>
      <c r="B1009" s="3" t="s">
        <v>1578</v>
      </c>
      <c r="C1009" s="1">
        <v>20</v>
      </c>
      <c r="D1009" s="1">
        <v>349</v>
      </c>
      <c r="E1009" s="1" t="s">
        <v>52</v>
      </c>
      <c r="F1009" s="1" t="s">
        <v>3359</v>
      </c>
      <c r="G1009" s="3" t="s">
        <v>1579</v>
      </c>
      <c r="H1009" s="11">
        <f>ROUND(
IF(L1009="GANCHO",
   IF(I1009&lt;=50,I1009*1.1+4,IF(I1009&lt;=120,I1009*1.1+7,IF(I1009&lt;=250,I1009*1.1+11,I1009*1.1+19))),
IF(L1009="NORMAL",
   IF(I1009&lt;=30,I1009*1.15+2,IF(I1009&lt;=80,I1009*1.15+4,IF(I1009&lt;=150,I1009*1.15+6,I1009*1.15+8))),
IF(L1009="COMPLEMENTO",
   IF(I1009&lt;=25,I1009*1.25+1.5,IF(I1009&lt;=60,I1009*1.25+3,IF(I1009&lt;=120,I1009*1.25+4,I1009*1.25+5))),
""))),2)</f>
        <v>1675.05</v>
      </c>
      <c r="I1009" s="9">
        <f>($K$2+0.02)*Tabla1[[#This Row],[PRECIO $]]*1.18</f>
        <v>1449.6063999999999</v>
      </c>
      <c r="J1009" s="7">
        <f>+Tabla1[[#This Row],[PRECIO EN SOLES]]-Tabla1[[#This Row],[PC]]</f>
        <v>225.44360000000006</v>
      </c>
      <c r="K1009" s="15"/>
      <c r="L1009" s="15" t="str">
        <f t="shared" si="15"/>
        <v>NORMAL</v>
      </c>
    </row>
    <row r="1010" spans="1:12" x14ac:dyDescent="0.25">
      <c r="A1010" s="3" t="s">
        <v>1580</v>
      </c>
      <c r="B1010" s="3" t="s">
        <v>1581</v>
      </c>
      <c r="C1010" s="1">
        <v>20</v>
      </c>
      <c r="D1010" s="1">
        <v>449</v>
      </c>
      <c r="E1010" s="1" t="s">
        <v>52</v>
      </c>
      <c r="F1010" s="1" t="s">
        <v>3360</v>
      </c>
      <c r="G1010" s="3" t="s">
        <v>1582</v>
      </c>
      <c r="H1010" s="11">
        <f>ROUND(
IF(L1010="GANCHO",
   IF(I1010&lt;=50,I1010*1.1+4,IF(I1010&lt;=120,I1010*1.1+7,IF(I1010&lt;=250,I1010*1.1+11,I1010*1.1+19))),
IF(L1010="NORMAL",
   IF(I1010&lt;=30,I1010*1.15+2,IF(I1010&lt;=80,I1010*1.15+4,IF(I1010&lt;=150,I1010*1.15+6,I1010*1.15+8))),
IF(L1010="COMPLEMENTO",
   IF(I1010&lt;=25,I1010*1.25+1.5,IF(I1010&lt;=60,I1010*1.25+3,IF(I1010&lt;=120,I1010*1.25+4,I1010*1.25+5))),
""))),2)</f>
        <v>2152.71</v>
      </c>
      <c r="I1010" s="9">
        <f>($K$2+0.02)*Tabla1[[#This Row],[PRECIO $]]*1.18</f>
        <v>1864.9664</v>
      </c>
      <c r="J1010" s="7">
        <f>+Tabla1[[#This Row],[PRECIO EN SOLES]]-Tabla1[[#This Row],[PC]]</f>
        <v>287.74360000000001</v>
      </c>
      <c r="K1010" s="15"/>
      <c r="L1010" s="15" t="str">
        <f t="shared" si="15"/>
        <v>NORMAL</v>
      </c>
    </row>
    <row r="1011" spans="1:12" x14ac:dyDescent="0.25">
      <c r="A1011" s="3" t="s">
        <v>1583</v>
      </c>
      <c r="B1011" s="3" t="s">
        <v>1584</v>
      </c>
      <c r="C1011" s="1">
        <v>1</v>
      </c>
      <c r="D1011" s="1">
        <v>695</v>
      </c>
      <c r="E1011" s="1" t="s">
        <v>52</v>
      </c>
      <c r="F1011" s="1" t="s">
        <v>3361</v>
      </c>
      <c r="G1011" s="3" t="s">
        <v>1585</v>
      </c>
      <c r="H1011" s="11">
        <f>ROUND(
IF(L1011="GANCHO",
   IF(I1011&lt;=50,I1011*1.1+4,IF(I1011&lt;=120,I1011*1.1+7,IF(I1011&lt;=250,I1011*1.1+11,I1011*1.1+19))),
IF(L1011="NORMAL",
   IF(I1011&lt;=30,I1011*1.15+2,IF(I1011&lt;=80,I1011*1.15+4,IF(I1011&lt;=150,I1011*1.15+6,I1011*1.15+8))),
IF(L1011="COMPLEMENTO",
   IF(I1011&lt;=25,I1011*1.25+1.5,IF(I1011&lt;=60,I1011*1.25+3,IF(I1011&lt;=120,I1011*1.25+4,I1011*1.25+5))),
""))),2)</f>
        <v>3327.76</v>
      </c>
      <c r="I1011" s="9">
        <f>($K$2+0.02)*Tabla1[[#This Row],[PRECIO $]]*1.18</f>
        <v>2886.752</v>
      </c>
      <c r="J1011" s="7">
        <f>+Tabla1[[#This Row],[PRECIO EN SOLES]]-Tabla1[[#This Row],[PC]]</f>
        <v>441.00800000000027</v>
      </c>
      <c r="K1011" s="15"/>
      <c r="L1011" s="15" t="str">
        <f t="shared" si="15"/>
        <v>NORMAL</v>
      </c>
    </row>
    <row r="1012" spans="1:12" x14ac:dyDescent="0.25">
      <c r="A1012" s="3" t="s">
        <v>1586</v>
      </c>
      <c r="B1012" s="3" t="s">
        <v>1587</v>
      </c>
      <c r="C1012" s="1">
        <v>7</v>
      </c>
      <c r="D1012" s="1">
        <v>90.5</v>
      </c>
      <c r="E1012" s="1" t="s">
        <v>1588</v>
      </c>
      <c r="F1012" s="1" t="s">
        <v>3362</v>
      </c>
      <c r="G1012" s="3" t="s">
        <v>1589</v>
      </c>
      <c r="H1012" s="11">
        <f>ROUND(
IF(L1012="GANCHO",
   IF(I1012&lt;=50,I1012*1.1+4,IF(I1012&lt;=120,I1012*1.1+7,IF(I1012&lt;=250,I1012*1.1+11,I1012*1.1+19))),
IF(L1012="NORMAL",
   IF(I1012&lt;=30,I1012*1.15+2,IF(I1012&lt;=80,I1012*1.15+4,IF(I1012&lt;=150,I1012*1.15+6,I1012*1.15+8))),
IF(L1012="COMPLEMENTO",
   IF(I1012&lt;=25,I1012*1.25+1.5,IF(I1012&lt;=60,I1012*1.25+3,IF(I1012&lt;=120,I1012*1.25+4,I1012*1.25+5))),
""))),2)</f>
        <v>440.29</v>
      </c>
      <c r="I1012" s="9">
        <f>($K$2+0.02)*Tabla1[[#This Row],[PRECIO $]]*1.18</f>
        <v>375.9008</v>
      </c>
      <c r="J1012" s="7">
        <f>+Tabla1[[#This Row],[PRECIO EN SOLES]]-Tabla1[[#This Row],[PC]]</f>
        <v>64.389200000000017</v>
      </c>
      <c r="K1012" s="15"/>
      <c r="L1012" s="15" t="str">
        <f t="shared" si="15"/>
        <v>NORMAL</v>
      </c>
    </row>
    <row r="1013" spans="1:12" x14ac:dyDescent="0.25">
      <c r="A1013" s="3" t="s">
        <v>6606</v>
      </c>
      <c r="B1013" s="3" t="s">
        <v>6607</v>
      </c>
      <c r="C1013" s="1">
        <v>20</v>
      </c>
      <c r="D1013" s="1">
        <v>118</v>
      </c>
      <c r="E1013" s="1" t="s">
        <v>1588</v>
      </c>
      <c r="F1013" s="1" t="s">
        <v>6608</v>
      </c>
      <c r="G1013" s="3" t="s">
        <v>6609</v>
      </c>
      <c r="H1013" s="11">
        <f>ROUND(
IF(L1013="GANCHO",
   IF(I1013&lt;=50,I1013*1.1+4,IF(I1013&lt;=120,I1013*1.1+7,IF(I1013&lt;=250,I1013*1.1+11,I1013*1.1+19))),
IF(L1013="NORMAL",
   IF(I1013&lt;=30,I1013*1.15+2,IF(I1013&lt;=80,I1013*1.15+4,IF(I1013&lt;=150,I1013*1.15+6,I1013*1.15+8))),
IF(L1013="COMPLEMENTO",
   IF(I1013&lt;=25,I1013*1.25+1.5,IF(I1013&lt;=60,I1013*1.25+3,IF(I1013&lt;=120,I1013*1.25+4,I1013*1.25+5))),
""))),2)</f>
        <v>571.64</v>
      </c>
      <c r="I1013" s="9">
        <f>($K$2+0.02)*Tabla1[[#This Row],[PRECIO $]]*1.18</f>
        <v>490.12479999999999</v>
      </c>
      <c r="J1013" s="7">
        <f>+Tabla1[[#This Row],[PRECIO EN SOLES]]-Tabla1[[#This Row],[PC]]</f>
        <v>81.515199999999993</v>
      </c>
      <c r="K1013" s="15"/>
      <c r="L1013" s="15" t="str">
        <f t="shared" si="15"/>
        <v>NORMAL</v>
      </c>
    </row>
    <row r="1014" spans="1:12" x14ac:dyDescent="0.25">
      <c r="A1014" s="3" t="s">
        <v>1590</v>
      </c>
      <c r="B1014" s="3" t="s">
        <v>1591</v>
      </c>
      <c r="C1014" s="1">
        <v>1</v>
      </c>
      <c r="D1014" s="1">
        <v>216.3</v>
      </c>
      <c r="E1014" s="1" t="s">
        <v>1588</v>
      </c>
      <c r="F1014" s="1" t="s">
        <v>3363</v>
      </c>
      <c r="G1014" s="3" t="s">
        <v>1592</v>
      </c>
      <c r="H1014" s="11">
        <f>ROUND(
IF(L1014="GANCHO",
   IF(I1014&lt;=50,I1014*1.1+4,IF(I1014&lt;=120,I1014*1.1+7,IF(I1014&lt;=250,I1014*1.1+11,I1014*1.1+19))),
IF(L1014="NORMAL",
   IF(I1014&lt;=30,I1014*1.15+2,IF(I1014&lt;=80,I1014*1.15+4,IF(I1014&lt;=150,I1014*1.15+6,I1014*1.15+8))),
IF(L1014="COMPLEMENTO",
   IF(I1014&lt;=25,I1014*1.25+1.5,IF(I1014&lt;=60,I1014*1.25+3,IF(I1014&lt;=120,I1014*1.25+4,I1014*1.25+5))),
""))),2)</f>
        <v>1041.19</v>
      </c>
      <c r="I1014" s="9">
        <f>($K$2+0.02)*Tabla1[[#This Row],[PRECIO $]]*1.18</f>
        <v>898.4236800000001</v>
      </c>
      <c r="J1014" s="7">
        <f>+Tabla1[[#This Row],[PRECIO EN SOLES]]-Tabla1[[#This Row],[PC]]</f>
        <v>142.76631999999995</v>
      </c>
      <c r="K1014" s="15"/>
      <c r="L1014" s="15" t="str">
        <f t="shared" si="15"/>
        <v>NORMAL</v>
      </c>
    </row>
    <row r="1015" spans="1:12" x14ac:dyDescent="0.25">
      <c r="A1015" s="3" t="s">
        <v>1593</v>
      </c>
      <c r="B1015" s="3" t="s">
        <v>1594</v>
      </c>
      <c r="C1015" s="1">
        <v>0</v>
      </c>
      <c r="D1015" s="1">
        <v>1100</v>
      </c>
      <c r="E1015" s="1" t="s">
        <v>784</v>
      </c>
      <c r="F1015" s="1" t="s">
        <v>3364</v>
      </c>
      <c r="G1015" s="3" t="s">
        <v>1595</v>
      </c>
      <c r="H1015" s="11">
        <f>ROUND(
IF(L1015="GANCHO",
   IF(I1015&lt;=50,I1015*1.1+4,IF(I1015&lt;=120,I1015*1.1+7,IF(I1015&lt;=250,I1015*1.1+11,I1015*1.1+19))),
IF(L1015="NORMAL",
   IF(I1015&lt;=30,I1015*1.15+2,IF(I1015&lt;=80,I1015*1.15+4,IF(I1015&lt;=150,I1015*1.15+6,I1015*1.15+8))),
IF(L1015="COMPLEMENTO",
   IF(I1015&lt;=25,I1015*1.25+1.5,IF(I1015&lt;=60,I1015*1.25+3,IF(I1015&lt;=120,I1015*1.25+4,I1015*1.25+5))),
""))),2)</f>
        <v>5262.3</v>
      </c>
      <c r="I1015" s="9">
        <f>($K$2+0.02)*Tabla1[[#This Row],[PRECIO $]]*1.18</f>
        <v>4568.96</v>
      </c>
      <c r="J1015" s="7">
        <f>+Tabla1[[#This Row],[PRECIO EN SOLES]]-Tabla1[[#This Row],[PC]]</f>
        <v>693.34000000000015</v>
      </c>
      <c r="K1015" s="15"/>
      <c r="L1015" s="15" t="str">
        <f t="shared" si="15"/>
        <v>NORMAL</v>
      </c>
    </row>
    <row r="1016" spans="1:12" x14ac:dyDescent="0.25">
      <c r="A1016" s="3" t="s">
        <v>1596</v>
      </c>
      <c r="B1016" s="3" t="s">
        <v>1597</v>
      </c>
      <c r="C1016" s="1">
        <v>20</v>
      </c>
      <c r="D1016" s="1">
        <v>19.600000000000001</v>
      </c>
      <c r="E1016" s="1" t="s">
        <v>783</v>
      </c>
      <c r="F1016" s="1" t="s">
        <v>3365</v>
      </c>
      <c r="G1016" s="3" t="s">
        <v>1598</v>
      </c>
      <c r="H1016" s="11">
        <f>ROUND(
IF(L1016="GANCHO",
   IF(I1016&lt;=50,I1016*1.1+4,IF(I1016&lt;=120,I1016*1.1+7,IF(I1016&lt;=250,I1016*1.1+11,I1016*1.1+19))),
IF(L1016="NORMAL",
   IF(I1016&lt;=30,I1016*1.15+2,IF(I1016&lt;=80,I1016*1.15+4,IF(I1016&lt;=150,I1016*1.15+6,I1016*1.15+8))),
IF(L1016="COMPLEMENTO",
   IF(I1016&lt;=25,I1016*1.25+1.5,IF(I1016&lt;=60,I1016*1.25+3,IF(I1016&lt;=120,I1016*1.25+4,I1016*1.25+5))),
""))),2)</f>
        <v>105.76</v>
      </c>
      <c r="I1016" s="9">
        <f>($K$2+0.02)*Tabla1[[#This Row],[PRECIO $]]*1.18</f>
        <v>81.410560000000004</v>
      </c>
      <c r="J1016" s="7">
        <f>+Tabla1[[#This Row],[PRECIO EN SOLES]]-Tabla1[[#This Row],[PC]]</f>
        <v>24.349440000000001</v>
      </c>
      <c r="K1016" s="15"/>
      <c r="L1016" s="15" t="str">
        <f t="shared" si="15"/>
        <v>COMPLEMENTO</v>
      </c>
    </row>
    <row r="1017" spans="1:12" x14ac:dyDescent="0.25">
      <c r="A1017" s="3" t="s">
        <v>1599</v>
      </c>
      <c r="B1017" s="3" t="s">
        <v>1600</v>
      </c>
      <c r="C1017" s="1">
        <v>20</v>
      </c>
      <c r="D1017" s="1">
        <v>12.1</v>
      </c>
      <c r="E1017" s="1" t="s">
        <v>56</v>
      </c>
      <c r="F1017" s="1" t="s">
        <v>3366</v>
      </c>
      <c r="G1017" s="3"/>
      <c r="H1017" s="11">
        <f>ROUND(
IF(L1017="GANCHO",
   IF(I1017&lt;=50,I1017*1.1+4,IF(I1017&lt;=120,I1017*1.1+7,IF(I1017&lt;=250,I1017*1.1+11,I1017*1.1+19))),
IF(L1017="NORMAL",
   IF(I1017&lt;=30,I1017*1.15+2,IF(I1017&lt;=80,I1017*1.15+4,IF(I1017&lt;=150,I1017*1.15+6,I1017*1.15+8))),
IF(L1017="COMPLEMENTO",
   IF(I1017&lt;=25,I1017*1.25+1.5,IF(I1017&lt;=60,I1017*1.25+3,IF(I1017&lt;=120,I1017*1.25+4,I1017*1.25+5))),
""))),2)</f>
        <v>65.819999999999993</v>
      </c>
      <c r="I1017" s="9">
        <f>($K$2+0.02)*Tabla1[[#This Row],[PRECIO $]]*1.18</f>
        <v>50.258559999999996</v>
      </c>
      <c r="J1017" s="7">
        <f>+Tabla1[[#This Row],[PRECIO EN SOLES]]-Tabla1[[#This Row],[PC]]</f>
        <v>15.561439999999997</v>
      </c>
      <c r="K1017" s="15"/>
      <c r="L1017" s="15" t="str">
        <f t="shared" si="15"/>
        <v>COMPLEMENTO</v>
      </c>
    </row>
    <row r="1018" spans="1:12" x14ac:dyDescent="0.25">
      <c r="A1018" s="3" t="s">
        <v>1601</v>
      </c>
      <c r="B1018" s="3" t="s">
        <v>2607</v>
      </c>
      <c r="C1018" s="1">
        <v>20</v>
      </c>
      <c r="D1018" s="1">
        <v>12.7</v>
      </c>
      <c r="E1018" s="1" t="s">
        <v>783</v>
      </c>
      <c r="F1018" s="1" t="s">
        <v>3367</v>
      </c>
      <c r="G1018" s="3" t="s">
        <v>2608</v>
      </c>
      <c r="H1018" s="11">
        <f>ROUND(
IF(L1018="GANCHO",
   IF(I1018&lt;=50,I1018*1.1+4,IF(I1018&lt;=120,I1018*1.1+7,IF(I1018&lt;=250,I1018*1.1+11,I1018*1.1+19))),
IF(L1018="NORMAL",
   IF(I1018&lt;=30,I1018*1.15+2,IF(I1018&lt;=80,I1018*1.15+4,IF(I1018&lt;=150,I1018*1.15+6,I1018*1.15+8))),
IF(L1018="COMPLEMENTO",
   IF(I1018&lt;=25,I1018*1.25+1.5,IF(I1018&lt;=60,I1018*1.25+3,IF(I1018&lt;=120,I1018*1.25+4,I1018*1.25+5))),
""))),2)</f>
        <v>68.94</v>
      </c>
      <c r="I1018" s="9">
        <f>($K$2+0.02)*Tabla1[[#This Row],[PRECIO $]]*1.18</f>
        <v>52.750720000000001</v>
      </c>
      <c r="J1018" s="7">
        <f>+Tabla1[[#This Row],[PRECIO EN SOLES]]-Tabla1[[#This Row],[PC]]</f>
        <v>16.189279999999997</v>
      </c>
      <c r="K1018" s="15"/>
      <c r="L1018" s="15" t="str">
        <f t="shared" si="15"/>
        <v>COMPLEMENTO</v>
      </c>
    </row>
    <row r="1019" spans="1:12" x14ac:dyDescent="0.25">
      <c r="A1019" s="3" t="s">
        <v>1602</v>
      </c>
      <c r="B1019" s="3" t="s">
        <v>1603</v>
      </c>
      <c r="C1019" s="1">
        <v>6</v>
      </c>
      <c r="D1019" s="1">
        <v>20</v>
      </c>
      <c r="E1019" s="1" t="s">
        <v>95</v>
      </c>
      <c r="F1019" s="1" t="s">
        <v>3368</v>
      </c>
      <c r="G1019" s="3" t="s">
        <v>1604</v>
      </c>
      <c r="H1019" s="11">
        <f>ROUND(
IF(L1019="GANCHO",
   IF(I1019&lt;=50,I1019*1.1+4,IF(I1019&lt;=120,I1019*1.1+7,IF(I1019&lt;=250,I1019*1.1+11,I1019*1.1+19))),
IF(L1019="NORMAL",
   IF(I1019&lt;=30,I1019*1.15+2,IF(I1019&lt;=80,I1019*1.15+4,IF(I1019&lt;=150,I1019*1.15+6,I1019*1.15+8))),
IF(L1019="COMPLEMENTO",
   IF(I1019&lt;=25,I1019*1.25+1.5,IF(I1019&lt;=60,I1019*1.25+3,IF(I1019&lt;=120,I1019*1.25+4,I1019*1.25+5))),
""))),2)</f>
        <v>101.53</v>
      </c>
      <c r="I1019" s="9">
        <f>($K$2+0.02)*Tabla1[[#This Row],[PRECIO $]]*1.18</f>
        <v>83.072000000000003</v>
      </c>
      <c r="J1019" s="7">
        <f>+Tabla1[[#This Row],[PRECIO EN SOLES]]-Tabla1[[#This Row],[PC]]</f>
        <v>18.457999999999998</v>
      </c>
      <c r="K1019" s="15"/>
      <c r="L1019" s="15" t="str">
        <f t="shared" si="15"/>
        <v>NORMAL</v>
      </c>
    </row>
    <row r="1020" spans="1:12" x14ac:dyDescent="0.25">
      <c r="A1020" s="3" t="s">
        <v>1605</v>
      </c>
      <c r="B1020" s="3" t="s">
        <v>1606</v>
      </c>
      <c r="C1020" s="1">
        <v>18</v>
      </c>
      <c r="D1020" s="1">
        <v>18.100000000000001</v>
      </c>
      <c r="E1020" s="1" t="s">
        <v>95</v>
      </c>
      <c r="F1020" s="1" t="s">
        <v>3369</v>
      </c>
      <c r="G1020" s="3" t="s">
        <v>2783</v>
      </c>
      <c r="H1020" s="11">
        <f>ROUND(
IF(L1020="GANCHO",
   IF(I1020&lt;=50,I1020*1.1+4,IF(I1020&lt;=120,I1020*1.1+7,IF(I1020&lt;=250,I1020*1.1+11,I1020*1.1+19))),
IF(L1020="NORMAL",
   IF(I1020&lt;=30,I1020*1.15+2,IF(I1020&lt;=80,I1020*1.15+4,IF(I1020&lt;=150,I1020*1.15+6,I1020*1.15+8))),
IF(L1020="COMPLEMENTO",
   IF(I1020&lt;=25,I1020*1.25+1.5,IF(I1020&lt;=60,I1020*1.25+3,IF(I1020&lt;=120,I1020*1.25+4,I1020*1.25+5))),
""))),2)</f>
        <v>90.46</v>
      </c>
      <c r="I1020" s="9">
        <f>($K$2+0.02)*Tabla1[[#This Row],[PRECIO $]]*1.18</f>
        <v>75.180160000000001</v>
      </c>
      <c r="J1020" s="7">
        <f>+Tabla1[[#This Row],[PRECIO EN SOLES]]-Tabla1[[#This Row],[PC]]</f>
        <v>15.279839999999993</v>
      </c>
      <c r="K1020" s="15"/>
      <c r="L1020" s="15" t="str">
        <f t="shared" si="15"/>
        <v>NORMAL</v>
      </c>
    </row>
    <row r="1021" spans="1:12" x14ac:dyDescent="0.25">
      <c r="A1021" s="3" t="s">
        <v>1607</v>
      </c>
      <c r="B1021" s="3" t="s">
        <v>1608</v>
      </c>
      <c r="C1021" s="1">
        <v>20</v>
      </c>
      <c r="D1021" s="1">
        <v>39.700000000000003</v>
      </c>
      <c r="E1021" s="1" t="s">
        <v>783</v>
      </c>
      <c r="F1021" s="1" t="s">
        <v>3370</v>
      </c>
      <c r="G1021" s="3" t="s">
        <v>1609</v>
      </c>
      <c r="H1021" s="11">
        <f>ROUND(
IF(L1021="GANCHO",
   IF(I1021&lt;=50,I1021*1.1+4,IF(I1021&lt;=120,I1021*1.1+7,IF(I1021&lt;=250,I1021*1.1+11,I1021*1.1+19))),
IF(L1021="NORMAL",
   IF(I1021&lt;=30,I1021*1.15+2,IF(I1021&lt;=80,I1021*1.15+4,IF(I1021&lt;=150,I1021*1.15+6,I1021*1.15+8))),
IF(L1021="COMPLEMENTO",
   IF(I1021&lt;=25,I1021*1.25+1.5,IF(I1021&lt;=60,I1021*1.25+3,IF(I1021&lt;=120,I1021*1.25+4,I1021*1.25+5))),
""))),2)</f>
        <v>211.12</v>
      </c>
      <c r="I1021" s="9">
        <f>($K$2+0.02)*Tabla1[[#This Row],[PRECIO $]]*1.18</f>
        <v>164.89792</v>
      </c>
      <c r="J1021" s="7">
        <f>+Tabla1[[#This Row],[PRECIO EN SOLES]]-Tabla1[[#This Row],[PC]]</f>
        <v>46.222080000000005</v>
      </c>
      <c r="K1021" s="15"/>
      <c r="L1021" s="15" t="str">
        <f t="shared" si="15"/>
        <v>COMPLEMENTO</v>
      </c>
    </row>
    <row r="1022" spans="1:12" x14ac:dyDescent="0.25">
      <c r="A1022" s="3" t="s">
        <v>5771</v>
      </c>
      <c r="B1022" s="3" t="s">
        <v>5772</v>
      </c>
      <c r="C1022" s="1">
        <v>20</v>
      </c>
      <c r="D1022" s="1">
        <v>3.6</v>
      </c>
      <c r="E1022" s="1" t="s">
        <v>52</v>
      </c>
      <c r="F1022" s="1" t="s">
        <v>5773</v>
      </c>
      <c r="G1022" s="3" t="s">
        <v>5774</v>
      </c>
      <c r="H1022" s="11">
        <f>ROUND(
IF(L1022="GANCHO",
   IF(I1022&lt;=50,I1022*1.1+4,IF(I1022&lt;=120,I1022*1.1+7,IF(I1022&lt;=250,I1022*1.1+11,I1022*1.1+19))),
IF(L1022="NORMAL",
   IF(I1022&lt;=30,I1022*1.15+2,IF(I1022&lt;=80,I1022*1.15+4,IF(I1022&lt;=150,I1022*1.15+6,I1022*1.15+8))),
IF(L1022="COMPLEMENTO",
   IF(I1022&lt;=25,I1022*1.25+1.5,IF(I1022&lt;=60,I1022*1.25+3,IF(I1022&lt;=120,I1022*1.25+4,I1022*1.25+5))),
""))),2)</f>
        <v>20.190000000000001</v>
      </c>
      <c r="I1022" s="9">
        <f>($K$2+0.02)*Tabla1[[#This Row],[PRECIO $]]*1.18</f>
        <v>14.952959999999999</v>
      </c>
      <c r="J1022" s="7">
        <f>+Tabla1[[#This Row],[PRECIO EN SOLES]]-Tabla1[[#This Row],[PC]]</f>
        <v>5.2370400000000021</v>
      </c>
      <c r="K1022" s="15"/>
      <c r="L1022" s="15" t="str">
        <f t="shared" si="15"/>
        <v>COMPLEMENTO</v>
      </c>
    </row>
    <row r="1023" spans="1:12" x14ac:dyDescent="0.25">
      <c r="A1023" s="3" t="s">
        <v>289</v>
      </c>
      <c r="B1023" s="3" t="s">
        <v>290</v>
      </c>
      <c r="C1023" s="1">
        <v>20</v>
      </c>
      <c r="D1023" s="1">
        <v>5.4</v>
      </c>
      <c r="E1023" s="1" t="s">
        <v>52</v>
      </c>
      <c r="F1023" s="1" t="s">
        <v>3371</v>
      </c>
      <c r="G1023" s="3" t="s">
        <v>291</v>
      </c>
      <c r="H1023" s="11">
        <f>ROUND(
IF(L1023="GANCHO",
   IF(I1023&lt;=50,I1023*1.1+4,IF(I1023&lt;=120,I1023*1.1+7,IF(I1023&lt;=250,I1023*1.1+11,I1023*1.1+19))),
IF(L1023="NORMAL",
   IF(I1023&lt;=30,I1023*1.15+2,IF(I1023&lt;=80,I1023*1.15+4,IF(I1023&lt;=150,I1023*1.15+6,I1023*1.15+8))),
IF(L1023="COMPLEMENTO",
   IF(I1023&lt;=25,I1023*1.25+1.5,IF(I1023&lt;=60,I1023*1.25+3,IF(I1023&lt;=120,I1023*1.25+4,I1023*1.25+5))),
""))),2)</f>
        <v>29.54</v>
      </c>
      <c r="I1023" s="9">
        <f>($K$2+0.02)*Tabla1[[#This Row],[PRECIO $]]*1.18</f>
        <v>22.429440000000003</v>
      </c>
      <c r="J1023" s="7">
        <f>+Tabla1[[#This Row],[PRECIO EN SOLES]]-Tabla1[[#This Row],[PC]]</f>
        <v>7.110559999999996</v>
      </c>
      <c r="K1023" s="15"/>
      <c r="L1023" s="15" t="str">
        <f t="shared" si="15"/>
        <v>COMPLEMENTO</v>
      </c>
    </row>
    <row r="1024" spans="1:12" x14ac:dyDescent="0.25">
      <c r="A1024" s="3" t="s">
        <v>292</v>
      </c>
      <c r="B1024" s="3" t="s">
        <v>293</v>
      </c>
      <c r="C1024" s="1">
        <v>20</v>
      </c>
      <c r="D1024" s="1">
        <v>5.4</v>
      </c>
      <c r="E1024" s="1" t="s">
        <v>52</v>
      </c>
      <c r="F1024" s="1" t="s">
        <v>3372</v>
      </c>
      <c r="G1024" s="3" t="s">
        <v>294</v>
      </c>
      <c r="H1024" s="11">
        <f>ROUND(
IF(L1024="GANCHO",
   IF(I1024&lt;=50,I1024*1.1+4,IF(I1024&lt;=120,I1024*1.1+7,IF(I1024&lt;=250,I1024*1.1+11,I1024*1.1+19))),
IF(L1024="NORMAL",
   IF(I1024&lt;=30,I1024*1.15+2,IF(I1024&lt;=80,I1024*1.15+4,IF(I1024&lt;=150,I1024*1.15+6,I1024*1.15+8))),
IF(L1024="COMPLEMENTO",
   IF(I1024&lt;=25,I1024*1.25+1.5,IF(I1024&lt;=60,I1024*1.25+3,IF(I1024&lt;=120,I1024*1.25+4,I1024*1.25+5))),
""))),2)</f>
        <v>29.54</v>
      </c>
      <c r="I1024" s="9">
        <f>($K$2+0.02)*Tabla1[[#This Row],[PRECIO $]]*1.18</f>
        <v>22.429440000000003</v>
      </c>
      <c r="J1024" s="7">
        <f>+Tabla1[[#This Row],[PRECIO EN SOLES]]-Tabla1[[#This Row],[PC]]</f>
        <v>7.110559999999996</v>
      </c>
      <c r="K1024" s="15"/>
      <c r="L1024" s="15" t="str">
        <f t="shared" si="15"/>
        <v>COMPLEMENTO</v>
      </c>
    </row>
    <row r="1025" spans="1:12" x14ac:dyDescent="0.25">
      <c r="A1025" s="3" t="s">
        <v>295</v>
      </c>
      <c r="B1025" s="3" t="s">
        <v>4093</v>
      </c>
      <c r="C1025" s="1">
        <v>17</v>
      </c>
      <c r="D1025" s="1">
        <v>9.3000000000000007</v>
      </c>
      <c r="E1025" s="1" t="s">
        <v>52</v>
      </c>
      <c r="F1025" s="1" t="s">
        <v>3373</v>
      </c>
      <c r="G1025" s="3" t="s">
        <v>296</v>
      </c>
      <c r="H1025" s="11">
        <f>ROUND(
IF(L1025="GANCHO",
   IF(I1025&lt;=50,I1025*1.1+4,IF(I1025&lt;=120,I1025*1.1+7,IF(I1025&lt;=250,I1025*1.1+11,I1025*1.1+19))),
IF(L1025="NORMAL",
   IF(I1025&lt;=30,I1025*1.15+2,IF(I1025&lt;=80,I1025*1.15+4,IF(I1025&lt;=150,I1025*1.15+6,I1025*1.15+8))),
IF(L1025="COMPLEMENTO",
   IF(I1025&lt;=25,I1025*1.25+1.5,IF(I1025&lt;=60,I1025*1.25+3,IF(I1025&lt;=120,I1025*1.25+4,I1025*1.25+5))),
""))),2)</f>
        <v>51.29</v>
      </c>
      <c r="I1025" s="9">
        <f>($K$2+0.02)*Tabla1[[#This Row],[PRECIO $]]*1.18</f>
        <v>38.628480000000003</v>
      </c>
      <c r="J1025" s="7">
        <f>+Tabla1[[#This Row],[PRECIO EN SOLES]]-Tabla1[[#This Row],[PC]]</f>
        <v>12.661519999999996</v>
      </c>
      <c r="K1025" s="15"/>
      <c r="L1025" s="15" t="str">
        <f t="shared" si="15"/>
        <v>COMPLEMENTO</v>
      </c>
    </row>
    <row r="1026" spans="1:12" x14ac:dyDescent="0.25">
      <c r="A1026" s="3" t="s">
        <v>297</v>
      </c>
      <c r="B1026" s="3" t="s">
        <v>298</v>
      </c>
      <c r="C1026" s="1">
        <v>20</v>
      </c>
      <c r="D1026" s="1">
        <v>4.3</v>
      </c>
      <c r="E1026" s="1" t="s">
        <v>54</v>
      </c>
      <c r="F1026" s="1" t="s">
        <v>3374</v>
      </c>
      <c r="G1026" s="3" t="s">
        <v>299</v>
      </c>
      <c r="H1026" s="11">
        <f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23.83</v>
      </c>
      <c r="I1026" s="9">
        <f>($K$2+0.02)*Tabla1[[#This Row],[PRECIO $]]*1.18</f>
        <v>17.860479999999999</v>
      </c>
      <c r="J1026" s="7">
        <f>+Tabla1[[#This Row],[PRECIO EN SOLES]]-Tabla1[[#This Row],[PC]]</f>
        <v>5.9695199999999993</v>
      </c>
      <c r="K1026" s="15"/>
      <c r="L1026" s="15" t="str">
        <f t="shared" si="15"/>
        <v>COMPLEMENTO</v>
      </c>
    </row>
    <row r="1027" spans="1:12" x14ac:dyDescent="0.25">
      <c r="A1027" s="3" t="s">
        <v>300</v>
      </c>
      <c r="B1027" s="3" t="s">
        <v>301</v>
      </c>
      <c r="C1027" s="1">
        <v>20</v>
      </c>
      <c r="D1027" s="1">
        <v>3.6</v>
      </c>
      <c r="E1027" s="1" t="s">
        <v>52</v>
      </c>
      <c r="F1027" s="1" t="s">
        <v>3375</v>
      </c>
      <c r="G1027" s="3" t="s">
        <v>624</v>
      </c>
      <c r="H1027" s="11">
        <f>ROUND(
IF(L1027="GANCHO",
   IF(I1027&lt;=50,I1027*1.1+4,IF(I1027&lt;=120,I1027*1.1+7,IF(I1027&lt;=250,I1027*1.1+11,I1027*1.1+19))),
IF(L1027="NORMAL",
   IF(I1027&lt;=30,I1027*1.15+2,IF(I1027&lt;=80,I1027*1.15+4,IF(I1027&lt;=150,I1027*1.15+6,I1027*1.15+8))),
IF(L1027="COMPLEMENTO",
   IF(I1027&lt;=25,I1027*1.25+1.5,IF(I1027&lt;=60,I1027*1.25+3,IF(I1027&lt;=120,I1027*1.25+4,I1027*1.25+5))),
""))),2)</f>
        <v>20.190000000000001</v>
      </c>
      <c r="I1027" s="9">
        <f>($K$2+0.02)*Tabla1[[#This Row],[PRECIO $]]*1.18</f>
        <v>14.952959999999999</v>
      </c>
      <c r="J1027" s="7">
        <f>+Tabla1[[#This Row],[PRECIO EN SOLES]]-Tabla1[[#This Row],[PC]]</f>
        <v>5.2370400000000021</v>
      </c>
      <c r="K1027" s="15"/>
      <c r="L1027" s="15" t="str">
        <f t="shared" ref="L1027:L1090" si="16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COMPLEMENTO</v>
      </c>
    </row>
    <row r="1028" spans="1:12" x14ac:dyDescent="0.25">
      <c r="A1028" s="3" t="s">
        <v>303</v>
      </c>
      <c r="B1028" s="3" t="s">
        <v>304</v>
      </c>
      <c r="C1028" s="1">
        <v>20</v>
      </c>
      <c r="D1028" s="1">
        <v>5.4</v>
      </c>
      <c r="E1028" s="1" t="s">
        <v>52</v>
      </c>
      <c r="F1028" s="1" t="s">
        <v>3376</v>
      </c>
      <c r="G1028" s="3" t="s">
        <v>625</v>
      </c>
      <c r="H1028" s="11">
        <f>ROUND(
IF(L1028="GANCHO",
   IF(I1028&lt;=50,I1028*1.1+4,IF(I1028&lt;=120,I1028*1.1+7,IF(I1028&lt;=250,I1028*1.1+11,I1028*1.1+19))),
IF(L1028="NORMAL",
   IF(I1028&lt;=30,I1028*1.15+2,IF(I1028&lt;=80,I1028*1.15+4,IF(I1028&lt;=150,I1028*1.15+6,I1028*1.15+8))),
IF(L1028="COMPLEMENTO",
   IF(I1028&lt;=25,I1028*1.25+1.5,IF(I1028&lt;=60,I1028*1.25+3,IF(I1028&lt;=120,I1028*1.25+4,I1028*1.25+5))),
""))),2)</f>
        <v>29.54</v>
      </c>
      <c r="I1028" s="9">
        <f>($K$2+0.02)*Tabla1[[#This Row],[PRECIO $]]*1.18</f>
        <v>22.429440000000003</v>
      </c>
      <c r="J1028" s="7">
        <f>+Tabla1[[#This Row],[PRECIO EN SOLES]]-Tabla1[[#This Row],[PC]]</f>
        <v>7.110559999999996</v>
      </c>
      <c r="K1028" s="15"/>
      <c r="L1028" s="15" t="str">
        <f t="shared" si="16"/>
        <v>COMPLEMENTO</v>
      </c>
    </row>
    <row r="1029" spans="1:12" x14ac:dyDescent="0.25">
      <c r="A1029" s="3" t="s">
        <v>305</v>
      </c>
      <c r="B1029" s="3" t="s">
        <v>306</v>
      </c>
      <c r="C1029" s="1">
        <v>20</v>
      </c>
      <c r="D1029" s="1">
        <v>5.4</v>
      </c>
      <c r="E1029" s="1" t="s">
        <v>52</v>
      </c>
      <c r="F1029" s="1" t="s">
        <v>3377</v>
      </c>
      <c r="G1029" s="3" t="s">
        <v>626</v>
      </c>
      <c r="H1029" s="11">
        <f>ROUND(
IF(L1029="GANCHO",
   IF(I1029&lt;=50,I1029*1.1+4,IF(I1029&lt;=120,I1029*1.1+7,IF(I1029&lt;=250,I1029*1.1+11,I1029*1.1+19))),
IF(L1029="NORMAL",
   IF(I1029&lt;=30,I1029*1.15+2,IF(I1029&lt;=80,I1029*1.15+4,IF(I1029&lt;=150,I1029*1.15+6,I1029*1.15+8))),
IF(L1029="COMPLEMENTO",
   IF(I1029&lt;=25,I1029*1.25+1.5,IF(I1029&lt;=60,I1029*1.25+3,IF(I1029&lt;=120,I1029*1.25+4,I1029*1.25+5))),
""))),2)</f>
        <v>29.54</v>
      </c>
      <c r="I1029" s="9">
        <f>($K$2+0.02)*Tabla1[[#This Row],[PRECIO $]]*1.18</f>
        <v>22.429440000000003</v>
      </c>
      <c r="J1029" s="7">
        <f>+Tabla1[[#This Row],[PRECIO EN SOLES]]-Tabla1[[#This Row],[PC]]</f>
        <v>7.110559999999996</v>
      </c>
      <c r="K1029" s="15"/>
      <c r="L1029" s="15" t="str">
        <f t="shared" si="16"/>
        <v>COMPLEMENTO</v>
      </c>
    </row>
    <row r="1030" spans="1:12" x14ac:dyDescent="0.25">
      <c r="A1030" s="3" t="s">
        <v>307</v>
      </c>
      <c r="B1030" s="3" t="s">
        <v>308</v>
      </c>
      <c r="C1030" s="1">
        <v>20</v>
      </c>
      <c r="D1030" s="1">
        <v>3.6</v>
      </c>
      <c r="E1030" s="1" t="s">
        <v>52</v>
      </c>
      <c r="F1030" s="1" t="s">
        <v>3378</v>
      </c>
      <c r="G1030" s="3" t="s">
        <v>309</v>
      </c>
      <c r="H1030" s="11">
        <f>ROUND(
IF(L1030="GANCHO",
   IF(I1030&lt;=50,I1030*1.1+4,IF(I1030&lt;=120,I1030*1.1+7,IF(I1030&lt;=250,I1030*1.1+11,I1030*1.1+19))),
IF(L1030="NORMAL",
   IF(I1030&lt;=30,I1030*1.15+2,IF(I1030&lt;=80,I1030*1.15+4,IF(I1030&lt;=150,I1030*1.15+6,I1030*1.15+8))),
IF(L1030="COMPLEMENTO",
   IF(I1030&lt;=25,I1030*1.25+1.5,IF(I1030&lt;=60,I1030*1.25+3,IF(I1030&lt;=120,I1030*1.25+4,I1030*1.25+5))),
""))),2)</f>
        <v>20.190000000000001</v>
      </c>
      <c r="I1030" s="9">
        <f>($K$2+0.02)*Tabla1[[#This Row],[PRECIO $]]*1.18</f>
        <v>14.952959999999999</v>
      </c>
      <c r="J1030" s="7">
        <f>+Tabla1[[#This Row],[PRECIO EN SOLES]]-Tabla1[[#This Row],[PC]]</f>
        <v>5.2370400000000021</v>
      </c>
      <c r="K1030" s="15"/>
      <c r="L1030" s="15" t="str">
        <f t="shared" si="16"/>
        <v>COMPLEMENTO</v>
      </c>
    </row>
    <row r="1031" spans="1:12" x14ac:dyDescent="0.25">
      <c r="A1031" s="3" t="s">
        <v>6972</v>
      </c>
      <c r="B1031" s="3" t="s">
        <v>1610</v>
      </c>
      <c r="C1031" s="1">
        <v>4</v>
      </c>
      <c r="D1031" s="1">
        <v>1.6</v>
      </c>
      <c r="E1031" s="1" t="s">
        <v>52</v>
      </c>
      <c r="F1031" s="1" t="s">
        <v>6973</v>
      </c>
      <c r="G1031" s="3" t="s">
        <v>6974</v>
      </c>
      <c r="H1031" s="11">
        <f>ROUND(
IF(L1031="GANCHO",
   IF(I1031&lt;=50,I1031*1.1+4,IF(I1031&lt;=120,I1031*1.1+7,IF(I1031&lt;=250,I1031*1.1+11,I1031*1.1+19))),
IF(L1031="NORMAL",
   IF(I1031&lt;=30,I1031*1.15+2,IF(I1031&lt;=80,I1031*1.15+4,IF(I1031&lt;=150,I1031*1.15+6,I1031*1.15+8))),
IF(L1031="COMPLEMENTO",
   IF(I1031&lt;=25,I1031*1.25+1.5,IF(I1031&lt;=60,I1031*1.25+3,IF(I1031&lt;=120,I1031*1.25+4,I1031*1.25+5))),
""))),2)</f>
        <v>9.81</v>
      </c>
      <c r="I1031" s="9">
        <f>($K$2+0.02)*Tabla1[[#This Row],[PRECIO $]]*1.18</f>
        <v>6.6457600000000001</v>
      </c>
      <c r="J1031" s="7">
        <f>+Tabla1[[#This Row],[PRECIO EN SOLES]]-Tabla1[[#This Row],[PC]]</f>
        <v>3.1642400000000004</v>
      </c>
      <c r="K1031" s="15"/>
      <c r="L1031" s="15" t="str">
        <f t="shared" si="16"/>
        <v>COMPLEMENTO</v>
      </c>
    </row>
    <row r="1032" spans="1:12" x14ac:dyDescent="0.25">
      <c r="A1032" s="3" t="s">
        <v>1611</v>
      </c>
      <c r="B1032" s="3" t="s">
        <v>1612</v>
      </c>
      <c r="C1032" s="1">
        <v>20</v>
      </c>
      <c r="D1032" s="1">
        <v>4</v>
      </c>
      <c r="E1032" s="1" t="s">
        <v>52</v>
      </c>
      <c r="F1032" s="1" t="s">
        <v>3379</v>
      </c>
      <c r="G1032" s="3" t="s">
        <v>1613</v>
      </c>
      <c r="H1032" s="11">
        <f>ROUND(
IF(L1032="GANCHO",
   IF(I1032&lt;=50,I1032*1.1+4,IF(I1032&lt;=120,I1032*1.1+7,IF(I1032&lt;=250,I1032*1.1+11,I1032*1.1+19))),
IF(L1032="NORMAL",
   IF(I1032&lt;=30,I1032*1.15+2,IF(I1032&lt;=80,I1032*1.15+4,IF(I1032&lt;=150,I1032*1.15+6,I1032*1.15+8))),
IF(L1032="COMPLEMENTO",
   IF(I1032&lt;=25,I1032*1.25+1.5,IF(I1032&lt;=60,I1032*1.25+3,IF(I1032&lt;=120,I1032*1.25+4,I1032*1.25+5))),
""))),2)</f>
        <v>22.27</v>
      </c>
      <c r="I1032" s="9">
        <f>($K$2+0.02)*Tabla1[[#This Row],[PRECIO $]]*1.18</f>
        <v>16.6144</v>
      </c>
      <c r="J1032" s="7">
        <f>+Tabla1[[#This Row],[PRECIO EN SOLES]]-Tabla1[[#This Row],[PC]]</f>
        <v>5.6555999999999997</v>
      </c>
      <c r="K1032" s="15"/>
      <c r="L1032" s="15" t="str">
        <f t="shared" si="16"/>
        <v>COMPLEMENTO</v>
      </c>
    </row>
    <row r="1033" spans="1:12" x14ac:dyDescent="0.25">
      <c r="A1033" s="3" t="s">
        <v>1614</v>
      </c>
      <c r="B1033" s="3" t="s">
        <v>1615</v>
      </c>
      <c r="C1033" s="1">
        <v>0</v>
      </c>
      <c r="D1033" s="1">
        <v>999</v>
      </c>
      <c r="E1033" s="1" t="s">
        <v>154</v>
      </c>
      <c r="F1033" s="1" t="s">
        <v>3380</v>
      </c>
      <c r="G1033" s="3"/>
      <c r="H1033" s="11">
        <f>ROUND(
IF(L1033="GANCHO",
   IF(I1033&lt;=50,I1033*1.1+4,IF(I1033&lt;=120,I1033*1.1+7,IF(I1033&lt;=250,I1033*1.1+11,I1033*1.1+19))),
IF(L1033="NORMAL",
   IF(I1033&lt;=30,I1033*1.15+2,IF(I1033&lt;=80,I1033*1.15+4,IF(I1033&lt;=150,I1033*1.15+6,I1033*1.15+8))),
IF(L1033="COMPLEMENTO",
   IF(I1033&lt;=25,I1033*1.25+1.5,IF(I1033&lt;=60,I1033*1.25+3,IF(I1033&lt;=120,I1033*1.25+4,I1033*1.25+5))),
""))),2)</f>
        <v>5191.8100000000004</v>
      </c>
      <c r="I1033" s="9">
        <f>($K$2+0.02)*Tabla1[[#This Row],[PRECIO $]]*1.18</f>
        <v>4149.4463999999998</v>
      </c>
      <c r="J1033" s="7">
        <f>+Tabla1[[#This Row],[PRECIO EN SOLES]]-Tabla1[[#This Row],[PC]]</f>
        <v>1042.3636000000006</v>
      </c>
      <c r="K1033" s="15"/>
      <c r="L1033" s="15" t="str">
        <f t="shared" si="16"/>
        <v>COMPLEMENTO</v>
      </c>
    </row>
    <row r="1034" spans="1:12" x14ac:dyDescent="0.25">
      <c r="A1034" s="3" t="s">
        <v>1616</v>
      </c>
      <c r="B1034" s="3" t="s">
        <v>302</v>
      </c>
      <c r="C1034" s="1">
        <v>0</v>
      </c>
      <c r="D1034" s="1">
        <v>999</v>
      </c>
      <c r="E1034" s="1" t="s">
        <v>184</v>
      </c>
      <c r="F1034" s="1" t="s">
        <v>3381</v>
      </c>
      <c r="G1034" s="3"/>
      <c r="H1034" s="11">
        <f>ROUND(
IF(L1034="GANCHO",
   IF(I1034&lt;=50,I1034*1.1+4,IF(I1034&lt;=120,I1034*1.1+7,IF(I1034&lt;=250,I1034*1.1+11,I1034*1.1+19))),
IF(L1034="NORMAL",
   IF(I1034&lt;=30,I1034*1.15+2,IF(I1034&lt;=80,I1034*1.15+4,IF(I1034&lt;=150,I1034*1.15+6,I1034*1.15+8))),
IF(L1034="COMPLEMENTO",
   IF(I1034&lt;=25,I1034*1.25+1.5,IF(I1034&lt;=60,I1034*1.25+3,IF(I1034&lt;=120,I1034*1.25+4,I1034*1.25+5))),
""))),2)</f>
        <v>5191.8100000000004</v>
      </c>
      <c r="I1034" s="9">
        <f>($K$2+0.02)*Tabla1[[#This Row],[PRECIO $]]*1.18</f>
        <v>4149.4463999999998</v>
      </c>
      <c r="J1034" s="7">
        <f>+Tabla1[[#This Row],[PRECIO EN SOLES]]-Tabla1[[#This Row],[PC]]</f>
        <v>1042.3636000000006</v>
      </c>
      <c r="K1034" s="15"/>
      <c r="L1034" s="15" t="str">
        <f t="shared" si="16"/>
        <v>COMPLEMENTO</v>
      </c>
    </row>
    <row r="1035" spans="1:12" x14ac:dyDescent="0.25">
      <c r="A1035" s="3" t="s">
        <v>310</v>
      </c>
      <c r="B1035" s="3" t="s">
        <v>311</v>
      </c>
      <c r="C1035" s="1">
        <v>20</v>
      </c>
      <c r="D1035" s="1">
        <v>5.0999999999999996</v>
      </c>
      <c r="E1035" s="1" t="s">
        <v>52</v>
      </c>
      <c r="F1035" s="1" t="s">
        <v>3382</v>
      </c>
      <c r="G1035" s="3" t="s">
        <v>312</v>
      </c>
      <c r="H1035" s="11">
        <f>ROUND(
IF(L1035="GANCHO",
   IF(I1035&lt;=50,I1035*1.1+4,IF(I1035&lt;=120,I1035*1.1+7,IF(I1035&lt;=250,I1035*1.1+11,I1035*1.1+19))),
IF(L1035="NORMAL",
   IF(I1035&lt;=30,I1035*1.15+2,IF(I1035&lt;=80,I1035*1.15+4,IF(I1035&lt;=150,I1035*1.15+6,I1035*1.15+8))),
IF(L1035="COMPLEMENTO",
   IF(I1035&lt;=25,I1035*1.25+1.5,IF(I1035&lt;=60,I1035*1.25+3,IF(I1035&lt;=120,I1035*1.25+4,I1035*1.25+5))),
""))),2)</f>
        <v>27.98</v>
      </c>
      <c r="I1035" s="9">
        <f>($K$2+0.02)*Tabla1[[#This Row],[PRECIO $]]*1.18</f>
        <v>21.183359999999997</v>
      </c>
      <c r="J1035" s="7">
        <f>+Tabla1[[#This Row],[PRECIO EN SOLES]]-Tabla1[[#This Row],[PC]]</f>
        <v>6.7966400000000036</v>
      </c>
      <c r="K1035" s="15"/>
      <c r="L1035" s="15" t="str">
        <f t="shared" si="16"/>
        <v>COMPLEMENTO</v>
      </c>
    </row>
    <row r="1036" spans="1:12" x14ac:dyDescent="0.25">
      <c r="A1036" s="3" t="s">
        <v>313</v>
      </c>
      <c r="B1036" s="3" t="s">
        <v>314</v>
      </c>
      <c r="C1036" s="1">
        <v>20</v>
      </c>
      <c r="D1036" s="1">
        <v>2.85</v>
      </c>
      <c r="E1036" s="1" t="s">
        <v>52</v>
      </c>
      <c r="F1036" s="1" t="s">
        <v>3383</v>
      </c>
      <c r="G1036" s="3" t="s">
        <v>315</v>
      </c>
      <c r="H1036" s="11">
        <f>ROUND(
IF(L1036="GANCHO",
   IF(I1036&lt;=50,I1036*1.1+4,IF(I1036&lt;=120,I1036*1.1+7,IF(I1036&lt;=250,I1036*1.1+11,I1036*1.1+19))),
IF(L1036="NORMAL",
   IF(I1036&lt;=30,I1036*1.15+2,IF(I1036&lt;=80,I1036*1.15+4,IF(I1036&lt;=150,I1036*1.15+6,I1036*1.15+8))),
IF(L1036="COMPLEMENTO",
   IF(I1036&lt;=25,I1036*1.25+1.5,IF(I1036&lt;=60,I1036*1.25+3,IF(I1036&lt;=120,I1036*1.25+4,I1036*1.25+5))),
""))),2)</f>
        <v>16.3</v>
      </c>
      <c r="I1036" s="9">
        <f>($K$2+0.02)*Tabla1[[#This Row],[PRECIO $]]*1.18</f>
        <v>11.837759999999999</v>
      </c>
      <c r="J1036" s="7">
        <f>+Tabla1[[#This Row],[PRECIO EN SOLES]]-Tabla1[[#This Row],[PC]]</f>
        <v>4.4622400000000013</v>
      </c>
      <c r="K1036" s="15"/>
      <c r="L1036" s="15" t="str">
        <f t="shared" si="16"/>
        <v>COMPLEMENTO</v>
      </c>
    </row>
    <row r="1037" spans="1:12" x14ac:dyDescent="0.25">
      <c r="A1037" s="3" t="s">
        <v>316</v>
      </c>
      <c r="B1037" s="3" t="s">
        <v>317</v>
      </c>
      <c r="C1037" s="1">
        <v>20</v>
      </c>
      <c r="D1037" s="1">
        <v>2.15</v>
      </c>
      <c r="E1037" s="1" t="s">
        <v>52</v>
      </c>
      <c r="F1037" s="1" t="s">
        <v>3384</v>
      </c>
      <c r="G1037" s="3" t="s">
        <v>318</v>
      </c>
      <c r="H1037" s="11">
        <f>ROUND(
IF(L1037="GANCHO",
   IF(I1037&lt;=50,I1037*1.1+4,IF(I1037&lt;=120,I1037*1.1+7,IF(I1037&lt;=250,I1037*1.1+11,I1037*1.1+19))),
IF(L1037="NORMAL",
   IF(I1037&lt;=30,I1037*1.15+2,IF(I1037&lt;=80,I1037*1.15+4,IF(I1037&lt;=150,I1037*1.15+6,I1037*1.15+8))),
IF(L1037="COMPLEMENTO",
   IF(I1037&lt;=25,I1037*1.25+1.5,IF(I1037&lt;=60,I1037*1.25+3,IF(I1037&lt;=120,I1037*1.25+4,I1037*1.25+5))),
""))),2)</f>
        <v>12.66</v>
      </c>
      <c r="I1037" s="9">
        <f>($K$2+0.02)*Tabla1[[#This Row],[PRECIO $]]*1.18</f>
        <v>8.9302399999999995</v>
      </c>
      <c r="J1037" s="7">
        <f>+Tabla1[[#This Row],[PRECIO EN SOLES]]-Tabla1[[#This Row],[PC]]</f>
        <v>3.7297600000000006</v>
      </c>
      <c r="K1037" s="15"/>
      <c r="L1037" s="15" t="str">
        <f t="shared" si="16"/>
        <v>COMPLEMENTO</v>
      </c>
    </row>
    <row r="1038" spans="1:12" x14ac:dyDescent="0.25">
      <c r="A1038" s="3" t="s">
        <v>4018</v>
      </c>
      <c r="B1038" s="3" t="s">
        <v>4019</v>
      </c>
      <c r="C1038" s="1">
        <v>20</v>
      </c>
      <c r="D1038" s="1">
        <v>2.15</v>
      </c>
      <c r="E1038" s="1" t="s">
        <v>52</v>
      </c>
      <c r="F1038" s="1" t="s">
        <v>4020</v>
      </c>
      <c r="G1038" s="3" t="s">
        <v>4021</v>
      </c>
      <c r="H1038" s="11">
        <f>ROUND(
IF(L1038="GANCHO",
   IF(I1038&lt;=50,I1038*1.1+4,IF(I1038&lt;=120,I1038*1.1+7,IF(I1038&lt;=250,I1038*1.1+11,I1038*1.1+19))),
IF(L1038="NORMAL",
   IF(I1038&lt;=30,I1038*1.15+2,IF(I1038&lt;=80,I1038*1.15+4,IF(I1038&lt;=150,I1038*1.15+6,I1038*1.15+8))),
IF(L1038="COMPLEMENTO",
   IF(I1038&lt;=25,I1038*1.25+1.5,IF(I1038&lt;=60,I1038*1.25+3,IF(I1038&lt;=120,I1038*1.25+4,I1038*1.25+5))),
""))),2)</f>
        <v>12.66</v>
      </c>
      <c r="I1038" s="9">
        <f>($K$2+0.02)*Tabla1[[#This Row],[PRECIO $]]*1.18</f>
        <v>8.9302399999999995</v>
      </c>
      <c r="J1038" s="7">
        <f>+Tabla1[[#This Row],[PRECIO EN SOLES]]-Tabla1[[#This Row],[PC]]</f>
        <v>3.7297600000000006</v>
      </c>
      <c r="K1038" s="15"/>
      <c r="L1038" s="15" t="str">
        <f t="shared" si="16"/>
        <v>COMPLEMENTO</v>
      </c>
    </row>
    <row r="1039" spans="1:12" x14ac:dyDescent="0.25">
      <c r="A1039" s="3" t="s">
        <v>319</v>
      </c>
      <c r="B1039" s="3" t="s">
        <v>320</v>
      </c>
      <c r="C1039" s="1">
        <v>20</v>
      </c>
      <c r="D1039" s="1">
        <v>2.15</v>
      </c>
      <c r="E1039" s="1" t="s">
        <v>52</v>
      </c>
      <c r="F1039" s="1" t="s">
        <v>3385</v>
      </c>
      <c r="G1039" s="3" t="s">
        <v>321</v>
      </c>
      <c r="H1039" s="11">
        <f>ROUND(
IF(L1039="GANCHO",
   IF(I1039&lt;=50,I1039*1.1+4,IF(I1039&lt;=120,I1039*1.1+7,IF(I1039&lt;=250,I1039*1.1+11,I1039*1.1+19))),
IF(L1039="NORMAL",
   IF(I1039&lt;=30,I1039*1.15+2,IF(I1039&lt;=80,I1039*1.15+4,IF(I1039&lt;=150,I1039*1.15+6,I1039*1.15+8))),
IF(L1039="COMPLEMENTO",
   IF(I1039&lt;=25,I1039*1.25+1.5,IF(I1039&lt;=60,I1039*1.25+3,IF(I1039&lt;=120,I1039*1.25+4,I1039*1.25+5))),
""))),2)</f>
        <v>12.66</v>
      </c>
      <c r="I1039" s="9">
        <f>($K$2+0.02)*Tabla1[[#This Row],[PRECIO $]]*1.18</f>
        <v>8.9302399999999995</v>
      </c>
      <c r="J1039" s="7">
        <f>+Tabla1[[#This Row],[PRECIO EN SOLES]]-Tabla1[[#This Row],[PC]]</f>
        <v>3.7297600000000006</v>
      </c>
      <c r="K1039" s="15"/>
      <c r="L1039" s="15" t="str">
        <f t="shared" si="16"/>
        <v>COMPLEMENTO</v>
      </c>
    </row>
    <row r="1040" spans="1:12" x14ac:dyDescent="0.25">
      <c r="A1040" s="3" t="s">
        <v>6610</v>
      </c>
      <c r="B1040" s="3" t="s">
        <v>6611</v>
      </c>
      <c r="C1040" s="1">
        <v>7</v>
      </c>
      <c r="D1040" s="1">
        <v>17.05</v>
      </c>
      <c r="E1040" s="1" t="s">
        <v>115</v>
      </c>
      <c r="F1040" s="1" t="s">
        <v>6612</v>
      </c>
      <c r="G1040" s="3"/>
      <c r="H1040" s="11">
        <f>ROUND(
IF(L1040="GANCHO",
   IF(I1040&lt;=50,I1040*1.1+4,IF(I1040&lt;=120,I1040*1.1+7,IF(I1040&lt;=250,I1040*1.1+11,I1040*1.1+19))),
IF(L1040="NORMAL",
   IF(I1040&lt;=30,I1040*1.15+2,IF(I1040&lt;=80,I1040*1.15+4,IF(I1040&lt;=150,I1040*1.15+6,I1040*1.15+8))),
IF(L1040="COMPLEMENTO",
   IF(I1040&lt;=25,I1040*1.25+1.5,IF(I1040&lt;=60,I1040*1.25+3,IF(I1040&lt;=120,I1040*1.25+4,I1040*1.25+5))),
""))),2)</f>
        <v>92.52</v>
      </c>
      <c r="I1040" s="9">
        <f>($K$2+0.02)*Tabla1[[#This Row],[PRECIO $]]*1.18</f>
        <v>70.818880000000007</v>
      </c>
      <c r="J1040" s="7">
        <f>+Tabla1[[#This Row],[PRECIO EN SOLES]]-Tabla1[[#This Row],[PC]]</f>
        <v>21.701119999999989</v>
      </c>
      <c r="K1040" s="15"/>
      <c r="L1040" s="15" t="str">
        <f t="shared" si="16"/>
        <v>COMPLEMENTO</v>
      </c>
    </row>
    <row r="1041" spans="1:12" x14ac:dyDescent="0.25">
      <c r="A1041" s="3" t="s">
        <v>1618</v>
      </c>
      <c r="B1041" s="3" t="s">
        <v>1617</v>
      </c>
      <c r="C1041" s="1">
        <v>0</v>
      </c>
      <c r="D1041" s="1">
        <v>9999999.9900000002</v>
      </c>
      <c r="E1041" s="1" t="s">
        <v>184</v>
      </c>
      <c r="F1041" s="1" t="s">
        <v>3386</v>
      </c>
      <c r="G1041" s="3"/>
      <c r="H1041" s="11">
        <f>ROUND(
IF(L1041="GANCHO",
   IF(I1041&lt;=50,I1041*1.1+4,IF(I1041&lt;=120,I1041*1.1+7,IF(I1041&lt;=250,I1041*1.1+11,I1041*1.1+19))),
IF(L1041="NORMAL",
   IF(I1041&lt;=30,I1041*1.15+2,IF(I1041&lt;=80,I1041*1.15+4,IF(I1041&lt;=150,I1041*1.15+6,I1041*1.15+8))),
IF(L1041="COMPLEMENTO",
   IF(I1041&lt;=25,I1041*1.25+1.5,IF(I1041&lt;=60,I1041*1.25+3,IF(I1041&lt;=120,I1041*1.25+4,I1041*1.25+5))),
""))),2)</f>
        <v>51920004.950000003</v>
      </c>
      <c r="I1041" s="9">
        <f>($K$2+0.02)*Tabla1[[#This Row],[PRECIO $]]*1.18</f>
        <v>41535999.958463997</v>
      </c>
      <c r="J1041" s="7">
        <f>+Tabla1[[#This Row],[PRECIO EN SOLES]]-Tabla1[[#This Row],[PC]]</f>
        <v>10384004.991536006</v>
      </c>
      <c r="K1041" s="15"/>
      <c r="L1041" s="15" t="str">
        <f t="shared" si="16"/>
        <v>COMPLEMENTO</v>
      </c>
    </row>
    <row r="1042" spans="1:12" x14ac:dyDescent="0.25">
      <c r="A1042" s="3" t="s">
        <v>6613</v>
      </c>
      <c r="B1042" s="3" t="s">
        <v>6614</v>
      </c>
      <c r="C1042" s="1">
        <v>2</v>
      </c>
      <c r="D1042" s="1">
        <v>70.45</v>
      </c>
      <c r="E1042" s="1" t="s">
        <v>115</v>
      </c>
      <c r="F1042" s="1" t="s">
        <v>6615</v>
      </c>
      <c r="G1042" s="3"/>
      <c r="H1042" s="11">
        <f>ROUND(
IF(L1042="GANCHO",
   IF(I1042&lt;=50,I1042*1.1+4,IF(I1042&lt;=120,I1042*1.1+7,IF(I1042&lt;=250,I1042*1.1+11,I1042*1.1+19))),
IF(L1042="NORMAL",
   IF(I1042&lt;=30,I1042*1.15+2,IF(I1042&lt;=80,I1042*1.15+4,IF(I1042&lt;=150,I1042*1.15+6,I1042*1.15+8))),
IF(L1042="COMPLEMENTO",
   IF(I1042&lt;=25,I1042*1.25+1.5,IF(I1042&lt;=60,I1042*1.25+3,IF(I1042&lt;=120,I1042*1.25+4,I1042*1.25+5))),
""))),2)</f>
        <v>370.78</v>
      </c>
      <c r="I1042" s="9">
        <f>($K$2+0.02)*Tabla1[[#This Row],[PRECIO $]]*1.18</f>
        <v>292.62112000000002</v>
      </c>
      <c r="J1042" s="7">
        <f>+Tabla1[[#This Row],[PRECIO EN SOLES]]-Tabla1[[#This Row],[PC]]</f>
        <v>78.158879999999954</v>
      </c>
      <c r="K1042" s="15"/>
      <c r="L1042" s="15" t="str">
        <f t="shared" si="16"/>
        <v>COMPLEMENTO</v>
      </c>
    </row>
    <row r="1043" spans="1:12" x14ac:dyDescent="0.25">
      <c r="A1043" s="3" t="s">
        <v>322</v>
      </c>
      <c r="B1043" s="3" t="s">
        <v>323</v>
      </c>
      <c r="C1043" s="1">
        <v>20</v>
      </c>
      <c r="D1043" s="1">
        <v>5.4</v>
      </c>
      <c r="E1043" s="1" t="s">
        <v>52</v>
      </c>
      <c r="F1043" s="1" t="s">
        <v>3387</v>
      </c>
      <c r="G1043" s="3" t="s">
        <v>324</v>
      </c>
      <c r="H1043" s="11">
        <f>ROUND(
IF(L1043="GANCHO",
   IF(I1043&lt;=50,I1043*1.1+4,IF(I1043&lt;=120,I1043*1.1+7,IF(I1043&lt;=250,I1043*1.1+11,I1043*1.1+19))),
IF(L1043="NORMAL",
   IF(I1043&lt;=30,I1043*1.15+2,IF(I1043&lt;=80,I1043*1.15+4,IF(I1043&lt;=150,I1043*1.15+6,I1043*1.15+8))),
IF(L1043="COMPLEMENTO",
   IF(I1043&lt;=25,I1043*1.25+1.5,IF(I1043&lt;=60,I1043*1.25+3,IF(I1043&lt;=120,I1043*1.25+4,I1043*1.25+5))),
""))),2)</f>
        <v>29.54</v>
      </c>
      <c r="I1043" s="9">
        <f>($K$2+0.02)*Tabla1[[#This Row],[PRECIO $]]*1.18</f>
        <v>22.429440000000003</v>
      </c>
      <c r="J1043" s="7">
        <f>+Tabla1[[#This Row],[PRECIO EN SOLES]]-Tabla1[[#This Row],[PC]]</f>
        <v>7.110559999999996</v>
      </c>
      <c r="K1043" s="15"/>
      <c r="L1043" s="15" t="str">
        <f t="shared" si="16"/>
        <v>COMPLEMENTO</v>
      </c>
    </row>
    <row r="1044" spans="1:12" x14ac:dyDescent="0.25">
      <c r="A1044" s="3" t="s">
        <v>325</v>
      </c>
      <c r="B1044" s="3" t="s">
        <v>326</v>
      </c>
      <c r="C1044" s="1">
        <v>20</v>
      </c>
      <c r="D1044" s="1">
        <v>5.4</v>
      </c>
      <c r="E1044" s="1" t="s">
        <v>52</v>
      </c>
      <c r="F1044" s="1" t="s">
        <v>3388</v>
      </c>
      <c r="G1044" s="3" t="s">
        <v>627</v>
      </c>
      <c r="H1044" s="11">
        <f>ROUND(
IF(L1044="GANCHO",
   IF(I1044&lt;=50,I1044*1.1+4,IF(I1044&lt;=120,I1044*1.1+7,IF(I1044&lt;=250,I1044*1.1+11,I1044*1.1+19))),
IF(L1044="NORMAL",
   IF(I1044&lt;=30,I1044*1.15+2,IF(I1044&lt;=80,I1044*1.15+4,IF(I1044&lt;=150,I1044*1.15+6,I1044*1.15+8))),
IF(L1044="COMPLEMENTO",
   IF(I1044&lt;=25,I1044*1.25+1.5,IF(I1044&lt;=60,I1044*1.25+3,IF(I1044&lt;=120,I1044*1.25+4,I1044*1.25+5))),
""))),2)</f>
        <v>29.54</v>
      </c>
      <c r="I1044" s="9">
        <f>($K$2+0.02)*Tabla1[[#This Row],[PRECIO $]]*1.18</f>
        <v>22.429440000000003</v>
      </c>
      <c r="J1044" s="7">
        <f>+Tabla1[[#This Row],[PRECIO EN SOLES]]-Tabla1[[#This Row],[PC]]</f>
        <v>7.110559999999996</v>
      </c>
      <c r="K1044" s="15"/>
      <c r="L1044" s="15" t="str">
        <f t="shared" si="16"/>
        <v>COMPLEMENTO</v>
      </c>
    </row>
    <row r="1045" spans="1:12" x14ac:dyDescent="0.25">
      <c r="A1045" s="3" t="s">
        <v>1619</v>
      </c>
      <c r="B1045" s="3" t="s">
        <v>1620</v>
      </c>
      <c r="C1045" s="1">
        <v>14</v>
      </c>
      <c r="D1045" s="1">
        <v>15.9</v>
      </c>
      <c r="E1045" s="1" t="s">
        <v>74</v>
      </c>
      <c r="F1045" s="1" t="s">
        <v>3389</v>
      </c>
      <c r="G1045" s="3" t="s">
        <v>1621</v>
      </c>
      <c r="H1045" s="11">
        <f>ROUND(
IF(L1045="GANCHO",
   IF(I1045&lt;=50,I1045*1.1+4,IF(I1045&lt;=120,I1045*1.1+7,IF(I1045&lt;=250,I1045*1.1+11,I1045*1.1+19))),
IF(L1045="NORMAL",
   IF(I1045&lt;=30,I1045*1.15+2,IF(I1045&lt;=80,I1045*1.15+4,IF(I1045&lt;=150,I1045*1.15+6,I1045*1.15+8))),
IF(L1045="COMPLEMENTO",
   IF(I1045&lt;=25,I1045*1.25+1.5,IF(I1045&lt;=60,I1045*1.25+3,IF(I1045&lt;=120,I1045*1.25+4,I1045*1.25+5))),
""))),2)</f>
        <v>86.55</v>
      </c>
      <c r="I1045" s="9">
        <f>($K$2+0.02)*Tabla1[[#This Row],[PRECIO $]]*1.18</f>
        <v>66.042240000000007</v>
      </c>
      <c r="J1045" s="7">
        <f>+Tabla1[[#This Row],[PRECIO EN SOLES]]-Tabla1[[#This Row],[PC]]</f>
        <v>20.50775999999999</v>
      </c>
      <c r="K1045" s="15"/>
      <c r="L1045" s="15" t="str">
        <f t="shared" si="16"/>
        <v>COMPLEMENTO</v>
      </c>
    </row>
    <row r="1046" spans="1:12" x14ac:dyDescent="0.25">
      <c r="A1046" s="3" t="s">
        <v>1622</v>
      </c>
      <c r="B1046" s="3" t="s">
        <v>1623</v>
      </c>
      <c r="C1046" s="1">
        <v>20</v>
      </c>
      <c r="D1046" s="1">
        <v>12.1</v>
      </c>
      <c r="E1046" s="1" t="s">
        <v>783</v>
      </c>
      <c r="F1046" s="1" t="s">
        <v>3390</v>
      </c>
      <c r="G1046" s="3" t="s">
        <v>1624</v>
      </c>
      <c r="H1046" s="11">
        <f>ROUND(
IF(L1046="GANCHO",
   IF(I1046&lt;=50,I1046*1.1+4,IF(I1046&lt;=120,I1046*1.1+7,IF(I1046&lt;=250,I1046*1.1+11,I1046*1.1+19))),
IF(L1046="NORMAL",
   IF(I1046&lt;=30,I1046*1.15+2,IF(I1046&lt;=80,I1046*1.15+4,IF(I1046&lt;=150,I1046*1.15+6,I1046*1.15+8))),
IF(L1046="COMPLEMENTO",
   IF(I1046&lt;=25,I1046*1.25+1.5,IF(I1046&lt;=60,I1046*1.25+3,IF(I1046&lt;=120,I1046*1.25+4,I1046*1.25+5))),
""))),2)</f>
        <v>65.819999999999993</v>
      </c>
      <c r="I1046" s="9">
        <f>($K$2+0.02)*Tabla1[[#This Row],[PRECIO $]]*1.18</f>
        <v>50.258559999999996</v>
      </c>
      <c r="J1046" s="7">
        <f>+Tabla1[[#This Row],[PRECIO EN SOLES]]-Tabla1[[#This Row],[PC]]</f>
        <v>15.561439999999997</v>
      </c>
      <c r="K1046" s="15"/>
      <c r="L1046" s="15" t="str">
        <f t="shared" si="16"/>
        <v>COMPLEMENTO</v>
      </c>
    </row>
    <row r="1047" spans="1:12" x14ac:dyDescent="0.25">
      <c r="A1047" s="3" t="s">
        <v>6166</v>
      </c>
      <c r="B1047" s="3" t="s">
        <v>6167</v>
      </c>
      <c r="C1047" s="1">
        <v>20</v>
      </c>
      <c r="D1047" s="1">
        <v>2.5</v>
      </c>
      <c r="E1047" s="1" t="s">
        <v>52</v>
      </c>
      <c r="F1047" s="1" t="s">
        <v>6168</v>
      </c>
      <c r="G1047" s="3" t="s">
        <v>6169</v>
      </c>
      <c r="H1047" s="11">
        <f>ROUND(
IF(L1047="GANCHO",
   IF(I1047&lt;=50,I1047*1.1+4,IF(I1047&lt;=120,I1047*1.1+7,IF(I1047&lt;=250,I1047*1.1+11,I1047*1.1+19))),
IF(L1047="NORMAL",
   IF(I1047&lt;=30,I1047*1.15+2,IF(I1047&lt;=80,I1047*1.15+4,IF(I1047&lt;=150,I1047*1.15+6,I1047*1.15+8))),
IF(L1047="COMPLEMENTO",
   IF(I1047&lt;=25,I1047*1.25+1.5,IF(I1047&lt;=60,I1047*1.25+3,IF(I1047&lt;=120,I1047*1.25+4,I1047*1.25+5))),
""))),2)</f>
        <v>14.48</v>
      </c>
      <c r="I1047" s="9">
        <f>($K$2+0.02)*Tabla1[[#This Row],[PRECIO $]]*1.18</f>
        <v>10.384</v>
      </c>
      <c r="J1047" s="7">
        <f>+Tabla1[[#This Row],[PRECIO EN SOLES]]-Tabla1[[#This Row],[PC]]</f>
        <v>4.0960000000000001</v>
      </c>
      <c r="K1047" s="15"/>
      <c r="L1047" s="15" t="str">
        <f t="shared" si="16"/>
        <v>COMPLEMENTO</v>
      </c>
    </row>
    <row r="1048" spans="1:12" x14ac:dyDescent="0.25">
      <c r="A1048" s="3" t="s">
        <v>5775</v>
      </c>
      <c r="B1048" s="3" t="s">
        <v>5776</v>
      </c>
      <c r="C1048" s="1">
        <v>20</v>
      </c>
      <c r="D1048" s="1">
        <v>2.5</v>
      </c>
      <c r="E1048" s="1" t="s">
        <v>52</v>
      </c>
      <c r="F1048" s="1" t="s">
        <v>5777</v>
      </c>
      <c r="G1048" s="3" t="s">
        <v>5778</v>
      </c>
      <c r="H1048" s="11">
        <f>ROUND(
IF(L1048="GANCHO",
   IF(I1048&lt;=50,I1048*1.1+4,IF(I1048&lt;=120,I1048*1.1+7,IF(I1048&lt;=250,I1048*1.1+11,I1048*1.1+19))),
IF(L1048="NORMAL",
   IF(I1048&lt;=30,I1048*1.15+2,IF(I1048&lt;=80,I1048*1.15+4,IF(I1048&lt;=150,I1048*1.15+6,I1048*1.15+8))),
IF(L1048="COMPLEMENTO",
   IF(I1048&lt;=25,I1048*1.25+1.5,IF(I1048&lt;=60,I1048*1.25+3,IF(I1048&lt;=120,I1048*1.25+4,I1048*1.25+5))),
""))),2)</f>
        <v>14.48</v>
      </c>
      <c r="I1048" s="9">
        <f>($K$2+0.02)*Tabla1[[#This Row],[PRECIO $]]*1.18</f>
        <v>10.384</v>
      </c>
      <c r="J1048" s="7">
        <f>+Tabla1[[#This Row],[PRECIO EN SOLES]]-Tabla1[[#This Row],[PC]]</f>
        <v>4.0960000000000001</v>
      </c>
      <c r="K1048" s="15"/>
      <c r="L1048" s="15" t="str">
        <f t="shared" si="16"/>
        <v>COMPLEMENTO</v>
      </c>
    </row>
    <row r="1049" spans="1:12" x14ac:dyDescent="0.25">
      <c r="A1049" s="3" t="s">
        <v>5993</v>
      </c>
      <c r="B1049" s="3" t="s">
        <v>5994</v>
      </c>
      <c r="C1049" s="1">
        <v>20</v>
      </c>
      <c r="D1049" s="1">
        <v>2.5</v>
      </c>
      <c r="E1049" s="1" t="s">
        <v>52</v>
      </c>
      <c r="F1049" s="1" t="s">
        <v>5995</v>
      </c>
      <c r="G1049" s="3" t="s">
        <v>5996</v>
      </c>
      <c r="H1049" s="11">
        <f>ROUND(
IF(L1049="GANCHO",
   IF(I1049&lt;=50,I1049*1.1+4,IF(I1049&lt;=120,I1049*1.1+7,IF(I1049&lt;=250,I1049*1.1+11,I1049*1.1+19))),
IF(L1049="NORMAL",
   IF(I1049&lt;=30,I1049*1.15+2,IF(I1049&lt;=80,I1049*1.15+4,IF(I1049&lt;=150,I1049*1.15+6,I1049*1.15+8))),
IF(L1049="COMPLEMENTO",
   IF(I1049&lt;=25,I1049*1.25+1.5,IF(I1049&lt;=60,I1049*1.25+3,IF(I1049&lt;=120,I1049*1.25+4,I1049*1.25+5))),
""))),2)</f>
        <v>14.48</v>
      </c>
      <c r="I1049" s="9">
        <f>($K$2+0.02)*Tabla1[[#This Row],[PRECIO $]]*1.18</f>
        <v>10.384</v>
      </c>
      <c r="J1049" s="7">
        <f>+Tabla1[[#This Row],[PRECIO EN SOLES]]-Tabla1[[#This Row],[PC]]</f>
        <v>4.0960000000000001</v>
      </c>
      <c r="K1049" s="15"/>
      <c r="L1049" s="15" t="str">
        <f t="shared" si="16"/>
        <v>COMPLEMENTO</v>
      </c>
    </row>
    <row r="1050" spans="1:12" x14ac:dyDescent="0.25">
      <c r="A1050" s="3" t="s">
        <v>327</v>
      </c>
      <c r="B1050" s="3" t="s">
        <v>328</v>
      </c>
      <c r="C1050" s="1">
        <v>20</v>
      </c>
      <c r="D1050" s="1">
        <v>2.5</v>
      </c>
      <c r="E1050" s="1" t="s">
        <v>52</v>
      </c>
      <c r="F1050" s="1" t="s">
        <v>3391</v>
      </c>
      <c r="G1050" s="3" t="s">
        <v>628</v>
      </c>
      <c r="H1050" s="11">
        <f>ROUND(
IF(L1050="GANCHO",
   IF(I1050&lt;=50,I1050*1.1+4,IF(I1050&lt;=120,I1050*1.1+7,IF(I1050&lt;=250,I1050*1.1+11,I1050*1.1+19))),
IF(L1050="NORMAL",
   IF(I1050&lt;=30,I1050*1.15+2,IF(I1050&lt;=80,I1050*1.15+4,IF(I1050&lt;=150,I1050*1.15+6,I1050*1.15+8))),
IF(L1050="COMPLEMENTO",
   IF(I1050&lt;=25,I1050*1.25+1.5,IF(I1050&lt;=60,I1050*1.25+3,IF(I1050&lt;=120,I1050*1.25+4,I1050*1.25+5))),
""))),2)</f>
        <v>14.48</v>
      </c>
      <c r="I1050" s="9">
        <f>($K$2+0.02)*Tabla1[[#This Row],[PRECIO $]]*1.18</f>
        <v>10.384</v>
      </c>
      <c r="J1050" s="7">
        <f>+Tabla1[[#This Row],[PRECIO EN SOLES]]-Tabla1[[#This Row],[PC]]</f>
        <v>4.0960000000000001</v>
      </c>
      <c r="K1050" s="15"/>
      <c r="L1050" s="15" t="str">
        <f t="shared" si="16"/>
        <v>COMPLEMENTO</v>
      </c>
    </row>
    <row r="1051" spans="1:12" x14ac:dyDescent="0.25">
      <c r="A1051" s="3" t="s">
        <v>329</v>
      </c>
      <c r="B1051" s="3" t="s">
        <v>330</v>
      </c>
      <c r="C1051" s="1">
        <v>20</v>
      </c>
      <c r="D1051" s="1">
        <v>2.5</v>
      </c>
      <c r="E1051" s="1" t="s">
        <v>52</v>
      </c>
      <c r="F1051" s="1" t="s">
        <v>3392</v>
      </c>
      <c r="G1051" s="3" t="s">
        <v>331</v>
      </c>
      <c r="H1051" s="11">
        <f>ROUND(
IF(L1051="GANCHO",
   IF(I1051&lt;=50,I1051*1.1+4,IF(I1051&lt;=120,I1051*1.1+7,IF(I1051&lt;=250,I1051*1.1+11,I1051*1.1+19))),
IF(L1051="NORMAL",
   IF(I1051&lt;=30,I1051*1.15+2,IF(I1051&lt;=80,I1051*1.15+4,IF(I1051&lt;=150,I1051*1.15+6,I1051*1.15+8))),
IF(L1051="COMPLEMENTO",
   IF(I1051&lt;=25,I1051*1.25+1.5,IF(I1051&lt;=60,I1051*1.25+3,IF(I1051&lt;=120,I1051*1.25+4,I1051*1.25+5))),
""))),2)</f>
        <v>14.48</v>
      </c>
      <c r="I1051" s="9">
        <f>($K$2+0.02)*Tabla1[[#This Row],[PRECIO $]]*1.18</f>
        <v>10.384</v>
      </c>
      <c r="J1051" s="7">
        <f>+Tabla1[[#This Row],[PRECIO EN SOLES]]-Tabla1[[#This Row],[PC]]</f>
        <v>4.0960000000000001</v>
      </c>
      <c r="K1051" s="15"/>
      <c r="L1051" s="15" t="str">
        <f t="shared" si="16"/>
        <v>COMPLEMENTO</v>
      </c>
    </row>
    <row r="1052" spans="1:12" x14ac:dyDescent="0.25">
      <c r="A1052" s="3" t="s">
        <v>1625</v>
      </c>
      <c r="B1052" s="3" t="s">
        <v>1626</v>
      </c>
      <c r="C1052" s="1">
        <v>20</v>
      </c>
      <c r="D1052" s="1">
        <v>12.3</v>
      </c>
      <c r="E1052" s="1" t="s">
        <v>783</v>
      </c>
      <c r="F1052" s="1" t="s">
        <v>3393</v>
      </c>
      <c r="G1052" s="3" t="s">
        <v>1627</v>
      </c>
      <c r="H1052" s="11">
        <f>ROUND(
IF(L1052="GANCHO",
   IF(I1052&lt;=50,I1052*1.1+4,IF(I1052&lt;=120,I1052*1.1+7,IF(I1052&lt;=250,I1052*1.1+11,I1052*1.1+19))),
IF(L1052="NORMAL",
   IF(I1052&lt;=30,I1052*1.15+2,IF(I1052&lt;=80,I1052*1.15+4,IF(I1052&lt;=150,I1052*1.15+6,I1052*1.15+8))),
IF(L1052="COMPLEMENTO",
   IF(I1052&lt;=25,I1052*1.25+1.5,IF(I1052&lt;=60,I1052*1.25+3,IF(I1052&lt;=120,I1052*1.25+4,I1052*1.25+5))),
""))),2)</f>
        <v>66.86</v>
      </c>
      <c r="I1052" s="9">
        <f>($K$2+0.02)*Tabla1[[#This Row],[PRECIO $]]*1.18</f>
        <v>51.089279999999995</v>
      </c>
      <c r="J1052" s="7">
        <f>+Tabla1[[#This Row],[PRECIO EN SOLES]]-Tabla1[[#This Row],[PC]]</f>
        <v>15.770720000000004</v>
      </c>
      <c r="K1052" s="15"/>
      <c r="L1052" s="15" t="str">
        <f t="shared" si="16"/>
        <v>COMPLEMENTO</v>
      </c>
    </row>
    <row r="1053" spans="1:12" x14ac:dyDescent="0.25">
      <c r="A1053" s="3" t="s">
        <v>4186</v>
      </c>
      <c r="B1053" s="3" t="s">
        <v>4187</v>
      </c>
      <c r="C1053" s="1">
        <v>20</v>
      </c>
      <c r="D1053" s="1">
        <v>1.3</v>
      </c>
      <c r="E1053" s="1" t="s">
        <v>52</v>
      </c>
      <c r="F1053" s="1" t="s">
        <v>4188</v>
      </c>
      <c r="G1053" s="3" t="s">
        <v>4189</v>
      </c>
      <c r="H1053" s="11">
        <f>ROUND(
IF(L1053="GANCHO",
   IF(I1053&lt;=50,I1053*1.1+4,IF(I1053&lt;=120,I1053*1.1+7,IF(I1053&lt;=250,I1053*1.1+11,I1053*1.1+19))),
IF(L1053="NORMAL",
   IF(I1053&lt;=30,I1053*1.15+2,IF(I1053&lt;=80,I1053*1.15+4,IF(I1053&lt;=150,I1053*1.15+6,I1053*1.15+8))),
IF(L1053="COMPLEMENTO",
   IF(I1053&lt;=25,I1053*1.25+1.5,IF(I1053&lt;=60,I1053*1.25+3,IF(I1053&lt;=120,I1053*1.25+4,I1053*1.25+5))),
""))),2)</f>
        <v>8.25</v>
      </c>
      <c r="I1053" s="9">
        <f>($K$2+0.02)*Tabla1[[#This Row],[PRECIO $]]*1.18</f>
        <v>5.39968</v>
      </c>
      <c r="J1053" s="7">
        <f>+Tabla1[[#This Row],[PRECIO EN SOLES]]-Tabla1[[#This Row],[PC]]</f>
        <v>2.85032</v>
      </c>
      <c r="K1053" s="15"/>
      <c r="L1053" s="15" t="str">
        <f t="shared" si="16"/>
        <v>COMPLEMENTO</v>
      </c>
    </row>
    <row r="1054" spans="1:12" x14ac:dyDescent="0.25">
      <c r="A1054" s="3" t="s">
        <v>332</v>
      </c>
      <c r="B1054" s="3" t="s">
        <v>333</v>
      </c>
      <c r="C1054" s="1">
        <v>0</v>
      </c>
      <c r="D1054" s="1">
        <v>1072.6199999999999</v>
      </c>
      <c r="E1054" s="1" t="s">
        <v>240</v>
      </c>
      <c r="F1054" s="1" t="s">
        <v>3394</v>
      </c>
      <c r="G1054" s="3"/>
      <c r="H1054" s="11">
        <f>ROUND(
IF(L1054="GANCHO",
   IF(I1054&lt;=50,I1054*1.1+4,IF(I1054&lt;=120,I1054*1.1+7,IF(I1054&lt;=250,I1054*1.1+11,I1054*1.1+19))),
IF(L1054="NORMAL",
   IF(I1054&lt;=30,I1054*1.15+2,IF(I1054&lt;=80,I1054*1.15+4,IF(I1054&lt;=150,I1054*1.15+6,I1054*1.15+8))),
IF(L1054="COMPLEMENTO",
   IF(I1054&lt;=25,I1054*1.25+1.5,IF(I1054&lt;=60,I1054*1.25+3,IF(I1054&lt;=120,I1054*1.25+4,I1054*1.25+5))),
""))),2)</f>
        <v>5131.5200000000004</v>
      </c>
      <c r="I1054" s="9">
        <f>($K$2+0.02)*Tabla1[[#This Row],[PRECIO $]]*1.18</f>
        <v>4455.2344319999993</v>
      </c>
      <c r="J1054" s="7">
        <f>+Tabla1[[#This Row],[PRECIO EN SOLES]]-Tabla1[[#This Row],[PC]]</f>
        <v>676.28556800000115</v>
      </c>
      <c r="K1054" s="15"/>
      <c r="L1054" s="15" t="str">
        <f t="shared" si="16"/>
        <v>NORMAL</v>
      </c>
    </row>
    <row r="1055" spans="1:12" x14ac:dyDescent="0.25">
      <c r="A1055" s="3" t="s">
        <v>695</v>
      </c>
      <c r="B1055" s="3" t="s">
        <v>696</v>
      </c>
      <c r="C1055" s="1">
        <v>0</v>
      </c>
      <c r="D1055" s="1">
        <v>633.1</v>
      </c>
      <c r="E1055" s="1" t="s">
        <v>240</v>
      </c>
      <c r="F1055" s="1" t="s">
        <v>3395</v>
      </c>
      <c r="G1055" s="3"/>
      <c r="H1055" s="11">
        <f>ROUND(
IF(L1055="GANCHO",
   IF(I1055&lt;=50,I1055*1.1+4,IF(I1055&lt;=120,I1055*1.1+7,IF(I1055&lt;=250,I1055*1.1+11,I1055*1.1+19))),
IF(L1055="NORMAL",
   IF(I1055&lt;=30,I1055*1.15+2,IF(I1055&lt;=80,I1055*1.15+4,IF(I1055&lt;=150,I1055*1.15+6,I1055*1.15+8))),
IF(L1055="COMPLEMENTO",
   IF(I1055&lt;=25,I1055*1.25+1.5,IF(I1055&lt;=60,I1055*1.25+3,IF(I1055&lt;=120,I1055*1.25+4,I1055*1.25+5))),
""))),2)</f>
        <v>3292.06</v>
      </c>
      <c r="I1055" s="9">
        <f>($K$2+0.02)*Tabla1[[#This Row],[PRECIO $]]*1.18</f>
        <v>2629.6441600000003</v>
      </c>
      <c r="J1055" s="7">
        <f>+Tabla1[[#This Row],[PRECIO EN SOLES]]-Tabla1[[#This Row],[PC]]</f>
        <v>662.41583999999966</v>
      </c>
      <c r="K1055" s="15"/>
      <c r="L1055" s="15" t="str">
        <f t="shared" si="16"/>
        <v>COMPLEMENTO</v>
      </c>
    </row>
    <row r="1056" spans="1:12" x14ac:dyDescent="0.25">
      <c r="A1056" s="3" t="s">
        <v>697</v>
      </c>
      <c r="B1056" s="3" t="s">
        <v>698</v>
      </c>
      <c r="C1056" s="1">
        <v>0</v>
      </c>
      <c r="D1056" s="1">
        <v>650</v>
      </c>
      <c r="E1056" s="1" t="s">
        <v>240</v>
      </c>
      <c r="F1056" s="1" t="s">
        <v>3396</v>
      </c>
      <c r="G1056" s="3"/>
      <c r="H1056" s="11">
        <f>ROUND(
IF(L1056="GANCHO",
   IF(I1056&lt;=50,I1056*1.1+4,IF(I1056&lt;=120,I1056*1.1+7,IF(I1056&lt;=250,I1056*1.1+11,I1056*1.1+19))),
IF(L1056="NORMAL",
   IF(I1056&lt;=30,I1056*1.15+2,IF(I1056&lt;=80,I1056*1.15+4,IF(I1056&lt;=150,I1056*1.15+6,I1056*1.15+8))),
IF(L1056="COMPLEMENTO",
   IF(I1056&lt;=25,I1056*1.25+1.5,IF(I1056&lt;=60,I1056*1.25+3,IF(I1056&lt;=120,I1056*1.25+4,I1056*1.25+5))),
""))),2)</f>
        <v>3112.82</v>
      </c>
      <c r="I1056" s="9">
        <f>($K$2+0.02)*Tabla1[[#This Row],[PRECIO $]]*1.18</f>
        <v>2699.8399999999997</v>
      </c>
      <c r="J1056" s="7">
        <f>+Tabla1[[#This Row],[PRECIO EN SOLES]]-Tabla1[[#This Row],[PC]]</f>
        <v>412.98000000000047</v>
      </c>
      <c r="K1056" s="15"/>
      <c r="L1056" s="15" t="str">
        <f t="shared" si="16"/>
        <v>NORMAL</v>
      </c>
    </row>
    <row r="1057" spans="1:12" x14ac:dyDescent="0.25">
      <c r="A1057" s="3" t="s">
        <v>699</v>
      </c>
      <c r="B1057" s="3" t="s">
        <v>700</v>
      </c>
      <c r="C1057" s="1">
        <v>0</v>
      </c>
      <c r="D1057" s="1">
        <v>316</v>
      </c>
      <c r="E1057" s="1" t="s">
        <v>240</v>
      </c>
      <c r="F1057" s="1" t="s">
        <v>3397</v>
      </c>
      <c r="G1057" s="3"/>
      <c r="H1057" s="11">
        <f>ROUND(
IF(L1057="GANCHO",
   IF(I1057&lt;=50,I1057*1.1+4,IF(I1057&lt;=120,I1057*1.1+7,IF(I1057&lt;=250,I1057*1.1+11,I1057*1.1+19))),
IF(L1057="NORMAL",
   IF(I1057&lt;=30,I1057*1.15+2,IF(I1057&lt;=80,I1057*1.15+4,IF(I1057&lt;=150,I1057*1.15+6,I1057*1.15+8))),
IF(L1057="COMPLEMENTO",
   IF(I1057&lt;=25,I1057*1.25+1.5,IF(I1057&lt;=60,I1057*1.25+3,IF(I1057&lt;=120,I1057*1.25+4,I1057*1.25+5))),
""))),2)</f>
        <v>1517.42</v>
      </c>
      <c r="I1057" s="9">
        <f>($K$2+0.02)*Tabla1[[#This Row],[PRECIO $]]*1.18</f>
        <v>1312.5375999999999</v>
      </c>
      <c r="J1057" s="7">
        <f>+Tabla1[[#This Row],[PRECIO EN SOLES]]-Tabla1[[#This Row],[PC]]</f>
        <v>204.88240000000019</v>
      </c>
      <c r="K1057" s="15"/>
      <c r="L1057" s="15" t="str">
        <f t="shared" si="16"/>
        <v>NORMAL</v>
      </c>
    </row>
    <row r="1058" spans="1:12" x14ac:dyDescent="0.25">
      <c r="A1058" s="3" t="s">
        <v>334</v>
      </c>
      <c r="B1058" s="3" t="s">
        <v>335</v>
      </c>
      <c r="C1058" s="1">
        <v>0</v>
      </c>
      <c r="D1058" s="1">
        <v>194.66</v>
      </c>
      <c r="E1058" s="1" t="s">
        <v>240</v>
      </c>
      <c r="F1058" s="1" t="s">
        <v>3398</v>
      </c>
      <c r="G1058" s="3"/>
      <c r="H1058" s="11">
        <f>ROUND(
IF(L1058="GANCHO",
   IF(I1058&lt;=50,I1058*1.1+4,IF(I1058&lt;=120,I1058*1.1+7,IF(I1058&lt;=250,I1058*1.1+11,I1058*1.1+19))),
IF(L1058="NORMAL",
   IF(I1058&lt;=30,I1058*1.15+2,IF(I1058&lt;=80,I1058*1.15+4,IF(I1058&lt;=150,I1058*1.15+6,I1058*1.15+8))),
IF(L1058="COMPLEMENTO",
   IF(I1058&lt;=25,I1058*1.25+1.5,IF(I1058&lt;=60,I1058*1.25+3,IF(I1058&lt;=120,I1058*1.25+4,I1058*1.25+5))),
""))),2)</f>
        <v>937.82</v>
      </c>
      <c r="I1058" s="9">
        <f>($K$2+0.02)*Tabla1[[#This Row],[PRECIO $]]*1.18</f>
        <v>808.53977599999996</v>
      </c>
      <c r="J1058" s="7">
        <f>+Tabla1[[#This Row],[PRECIO EN SOLES]]-Tabla1[[#This Row],[PC]]</f>
        <v>129.28022400000009</v>
      </c>
      <c r="K1058" s="15"/>
      <c r="L1058" s="15" t="str">
        <f t="shared" si="16"/>
        <v>NORMAL</v>
      </c>
    </row>
    <row r="1059" spans="1:12" x14ac:dyDescent="0.25">
      <c r="A1059" s="3" t="s">
        <v>5230</v>
      </c>
      <c r="B1059" s="3" t="s">
        <v>335</v>
      </c>
      <c r="C1059" s="1">
        <v>6</v>
      </c>
      <c r="D1059" s="1">
        <v>182.99</v>
      </c>
      <c r="E1059" s="1" t="s">
        <v>240</v>
      </c>
      <c r="F1059" s="1" t="s">
        <v>5231</v>
      </c>
      <c r="G1059" s="3"/>
      <c r="H1059" s="11">
        <f>ROUND(
IF(L1059="GANCHO",
   IF(I1059&lt;=50,I1059*1.1+4,IF(I1059&lt;=120,I1059*1.1+7,IF(I1059&lt;=250,I1059*1.1+11,I1059*1.1+19))),
IF(L1059="NORMAL",
   IF(I1059&lt;=30,I1059*1.15+2,IF(I1059&lt;=80,I1059*1.15+4,IF(I1059&lt;=150,I1059*1.15+6,I1059*1.15+8))),
IF(L1059="COMPLEMENTO",
   IF(I1059&lt;=25,I1059*1.25+1.5,IF(I1059&lt;=60,I1059*1.25+3,IF(I1059&lt;=120,I1059*1.25+4,I1059*1.25+5))),
""))),2)</f>
        <v>882.08</v>
      </c>
      <c r="I1059" s="9">
        <f>($K$2+0.02)*Tabla1[[#This Row],[PRECIO $]]*1.18</f>
        <v>760.06726400000002</v>
      </c>
      <c r="J1059" s="7">
        <f>+Tabla1[[#This Row],[PRECIO EN SOLES]]-Tabla1[[#This Row],[PC]]</f>
        <v>122.01273600000002</v>
      </c>
      <c r="K1059" s="15"/>
      <c r="L1059" s="15" t="str">
        <f t="shared" si="16"/>
        <v>NORMAL</v>
      </c>
    </row>
    <row r="1060" spans="1:12" x14ac:dyDescent="0.25">
      <c r="A1060" s="3" t="s">
        <v>701</v>
      </c>
      <c r="B1060" s="3" t="s">
        <v>702</v>
      </c>
      <c r="C1060" s="1">
        <v>0</v>
      </c>
      <c r="D1060" s="1">
        <v>107.1</v>
      </c>
      <c r="E1060" s="1" t="s">
        <v>240</v>
      </c>
      <c r="F1060" s="1" t="s">
        <v>3399</v>
      </c>
      <c r="G1060" s="3"/>
      <c r="H1060" s="11">
        <f>ROUND(
IF(L1060="GANCHO",
   IF(I1060&lt;=50,I1060*1.1+4,IF(I1060&lt;=120,I1060*1.1+7,IF(I1060&lt;=250,I1060*1.1+11,I1060*1.1+19))),
IF(L1060="NORMAL",
   IF(I1060&lt;=30,I1060*1.15+2,IF(I1060&lt;=80,I1060*1.15+4,IF(I1060&lt;=150,I1060*1.15+6,I1060*1.15+8))),
IF(L1060="COMPLEMENTO",
   IF(I1060&lt;=25,I1060*1.25+1.5,IF(I1060&lt;=60,I1060*1.25+3,IF(I1060&lt;=120,I1060*1.25+4,I1060*1.25+5))),
""))),2)</f>
        <v>519.58000000000004</v>
      </c>
      <c r="I1060" s="9">
        <f>($K$2+0.02)*Tabla1[[#This Row],[PRECIO $]]*1.18</f>
        <v>444.85055999999992</v>
      </c>
      <c r="J1060" s="7">
        <f>+Tabla1[[#This Row],[PRECIO EN SOLES]]-Tabla1[[#This Row],[PC]]</f>
        <v>74.729440000000125</v>
      </c>
      <c r="K1060" s="15"/>
      <c r="L1060" s="15" t="str">
        <f t="shared" si="16"/>
        <v>NORMAL</v>
      </c>
    </row>
    <row r="1061" spans="1:12" x14ac:dyDescent="0.25">
      <c r="A1061" s="3" t="s">
        <v>703</v>
      </c>
      <c r="B1061" s="3" t="s">
        <v>704</v>
      </c>
      <c r="C1061" s="1">
        <v>0</v>
      </c>
      <c r="D1061" s="1">
        <v>70.099999999999994</v>
      </c>
      <c r="E1061" s="1" t="s">
        <v>240</v>
      </c>
      <c r="F1061" s="1" t="s">
        <v>3400</v>
      </c>
      <c r="G1061" s="3" t="s">
        <v>705</v>
      </c>
      <c r="H1061" s="11">
        <f>ROUND(
IF(L1061="GANCHO",
   IF(I1061&lt;=50,I1061*1.1+4,IF(I1061&lt;=120,I1061*1.1+7,IF(I1061&lt;=250,I1061*1.1+11,I1061*1.1+19))),
IF(L1061="NORMAL",
   IF(I1061&lt;=30,I1061*1.15+2,IF(I1061&lt;=80,I1061*1.15+4,IF(I1061&lt;=150,I1061*1.15+6,I1061*1.15+8))),
IF(L1061="COMPLEMENTO",
   IF(I1061&lt;=25,I1061*1.25+1.5,IF(I1061&lt;=60,I1061*1.25+3,IF(I1061&lt;=120,I1061*1.25+4,I1061*1.25+5))),
""))),2)</f>
        <v>342.84</v>
      </c>
      <c r="I1061" s="9">
        <f>($K$2+0.02)*Tabla1[[#This Row],[PRECIO $]]*1.18</f>
        <v>291.16735999999997</v>
      </c>
      <c r="J1061" s="7">
        <f>+Tabla1[[#This Row],[PRECIO EN SOLES]]-Tabla1[[#This Row],[PC]]</f>
        <v>51.672640000000001</v>
      </c>
      <c r="K1061" s="15"/>
      <c r="L1061" s="15" t="str">
        <f t="shared" si="16"/>
        <v>NORMAL</v>
      </c>
    </row>
    <row r="1062" spans="1:12" x14ac:dyDescent="0.25">
      <c r="A1062" s="3" t="s">
        <v>336</v>
      </c>
      <c r="B1062" s="3" t="s">
        <v>337</v>
      </c>
      <c r="C1062" s="1">
        <v>0</v>
      </c>
      <c r="D1062" s="1">
        <v>56.9</v>
      </c>
      <c r="E1062" s="1" t="s">
        <v>240</v>
      </c>
      <c r="F1062" s="1" t="s">
        <v>3401</v>
      </c>
      <c r="G1062" s="3" t="s">
        <v>338</v>
      </c>
      <c r="H1062" s="11">
        <f>ROUND(
IF(L1062="GANCHO",
   IF(I1062&lt;=50,I1062*1.1+4,IF(I1062&lt;=120,I1062*1.1+7,IF(I1062&lt;=250,I1062*1.1+11,I1062*1.1+19))),
IF(L1062="NORMAL",
   IF(I1062&lt;=30,I1062*1.15+2,IF(I1062&lt;=80,I1062*1.15+4,IF(I1062&lt;=150,I1062*1.15+6,I1062*1.15+8))),
IF(L1062="COMPLEMENTO",
   IF(I1062&lt;=25,I1062*1.25+1.5,IF(I1062&lt;=60,I1062*1.25+3,IF(I1062&lt;=120,I1062*1.25+4,I1062*1.25+5))),
""))),2)</f>
        <v>279.79000000000002</v>
      </c>
      <c r="I1062" s="9">
        <f>($K$2+0.02)*Tabla1[[#This Row],[PRECIO $]]*1.18</f>
        <v>236.33983999999998</v>
      </c>
      <c r="J1062" s="7">
        <f>+Tabla1[[#This Row],[PRECIO EN SOLES]]-Tabla1[[#This Row],[PC]]</f>
        <v>43.450160000000039</v>
      </c>
      <c r="K1062" s="15"/>
      <c r="L1062" s="15" t="str">
        <f t="shared" si="16"/>
        <v>NORMAL</v>
      </c>
    </row>
    <row r="1063" spans="1:12" x14ac:dyDescent="0.25">
      <c r="A1063" s="3" t="s">
        <v>5232</v>
      </c>
      <c r="B1063" s="3" t="s">
        <v>337</v>
      </c>
      <c r="C1063" s="1">
        <v>1</v>
      </c>
      <c r="D1063" s="1">
        <v>57.69</v>
      </c>
      <c r="E1063" s="1" t="s">
        <v>240</v>
      </c>
      <c r="F1063" s="1" t="s">
        <v>5233</v>
      </c>
      <c r="G1063" s="3"/>
      <c r="H1063" s="11">
        <f>ROUND(
IF(L1063="GANCHO",
   IF(I1063&lt;=50,I1063*1.1+4,IF(I1063&lt;=120,I1063*1.1+7,IF(I1063&lt;=250,I1063*1.1+11,I1063*1.1+19))),
IF(L1063="NORMAL",
   IF(I1063&lt;=30,I1063*1.15+2,IF(I1063&lt;=80,I1063*1.15+4,IF(I1063&lt;=150,I1063*1.15+6,I1063*1.15+8))),
IF(L1063="COMPLEMENTO",
   IF(I1063&lt;=25,I1063*1.25+1.5,IF(I1063&lt;=60,I1063*1.25+3,IF(I1063&lt;=120,I1063*1.25+4,I1063*1.25+5))),
""))),2)</f>
        <v>283.56</v>
      </c>
      <c r="I1063" s="9">
        <f>($K$2+0.02)*Tabla1[[#This Row],[PRECIO $]]*1.18</f>
        <v>239.62118399999997</v>
      </c>
      <c r="J1063" s="7">
        <f>+Tabla1[[#This Row],[PRECIO EN SOLES]]-Tabla1[[#This Row],[PC]]</f>
        <v>43.938816000000031</v>
      </c>
      <c r="K1063" s="15"/>
      <c r="L1063" s="15" t="str">
        <f t="shared" si="16"/>
        <v>NORMAL</v>
      </c>
    </row>
    <row r="1064" spans="1:12" x14ac:dyDescent="0.25">
      <c r="A1064" s="3" t="s">
        <v>339</v>
      </c>
      <c r="B1064" s="3" t="s">
        <v>340</v>
      </c>
      <c r="C1064" s="1">
        <v>0</v>
      </c>
      <c r="D1064" s="1">
        <v>125.65</v>
      </c>
      <c r="E1064" s="1" t="s">
        <v>240</v>
      </c>
      <c r="F1064" s="1" t="s">
        <v>3402</v>
      </c>
      <c r="G1064" s="3" t="s">
        <v>341</v>
      </c>
      <c r="H1064" s="11">
        <f>ROUND(
IF(L1064="GANCHO",
   IF(I1064&lt;=50,I1064*1.1+4,IF(I1064&lt;=120,I1064*1.1+7,IF(I1064&lt;=250,I1064*1.1+11,I1064*1.1+19))),
IF(L1064="NORMAL",
   IF(I1064&lt;=30,I1064*1.15+2,IF(I1064&lt;=80,I1064*1.15+4,IF(I1064&lt;=150,I1064*1.15+6,I1064*1.15+8))),
IF(L1064="COMPLEMENTO",
   IF(I1064&lt;=25,I1064*1.25+1.5,IF(I1064&lt;=60,I1064*1.25+3,IF(I1064&lt;=120,I1064*1.25+4,I1064*1.25+5))),
""))),2)</f>
        <v>608.17999999999995</v>
      </c>
      <c r="I1064" s="9">
        <f>($K$2+0.02)*Tabla1[[#This Row],[PRECIO $]]*1.18</f>
        <v>521.89984000000004</v>
      </c>
      <c r="J1064" s="7">
        <f>+Tabla1[[#This Row],[PRECIO EN SOLES]]-Tabla1[[#This Row],[PC]]</f>
        <v>86.28015999999991</v>
      </c>
      <c r="K1064" s="15"/>
      <c r="L1064" s="15" t="str">
        <f t="shared" si="16"/>
        <v>NORMAL</v>
      </c>
    </row>
    <row r="1065" spans="1:12" x14ac:dyDescent="0.25">
      <c r="A1065" s="3" t="s">
        <v>706</v>
      </c>
      <c r="B1065" s="3" t="s">
        <v>707</v>
      </c>
      <c r="C1065" s="1">
        <v>0</v>
      </c>
      <c r="D1065" s="1">
        <v>82.93</v>
      </c>
      <c r="E1065" s="1" t="s">
        <v>240</v>
      </c>
      <c r="F1065" s="1" t="s">
        <v>3403</v>
      </c>
      <c r="G1065" s="3" t="s">
        <v>708</v>
      </c>
      <c r="H1065" s="11">
        <f>ROUND(
IF(L1065="GANCHO",
   IF(I1065&lt;=50,I1065*1.1+4,IF(I1065&lt;=120,I1065*1.1+7,IF(I1065&lt;=250,I1065*1.1+11,I1065*1.1+19))),
IF(L1065="NORMAL",
   IF(I1065&lt;=30,I1065*1.15+2,IF(I1065&lt;=80,I1065*1.15+4,IF(I1065&lt;=150,I1065*1.15+6,I1065*1.15+8))),
IF(L1065="COMPLEMENTO",
   IF(I1065&lt;=25,I1065*1.25+1.5,IF(I1065&lt;=60,I1065*1.25+3,IF(I1065&lt;=120,I1065*1.25+4,I1065*1.25+5))),
""))),2)</f>
        <v>404.13</v>
      </c>
      <c r="I1065" s="9">
        <f>($K$2+0.02)*Tabla1[[#This Row],[PRECIO $]]*1.18</f>
        <v>344.45804800000002</v>
      </c>
      <c r="J1065" s="7">
        <f>+Tabla1[[#This Row],[PRECIO EN SOLES]]-Tabla1[[#This Row],[PC]]</f>
        <v>59.671951999999976</v>
      </c>
      <c r="K1065" s="15"/>
      <c r="L1065" s="15" t="str">
        <f t="shared" si="16"/>
        <v>NORMAL</v>
      </c>
    </row>
    <row r="1066" spans="1:12" x14ac:dyDescent="0.25">
      <c r="A1066" s="3" t="s">
        <v>5234</v>
      </c>
      <c r="B1066" s="3" t="s">
        <v>707</v>
      </c>
      <c r="C1066" s="1">
        <v>3</v>
      </c>
      <c r="D1066" s="1">
        <v>70</v>
      </c>
      <c r="E1066" s="1" t="s">
        <v>240</v>
      </c>
      <c r="F1066" s="1" t="s">
        <v>5235</v>
      </c>
      <c r="G1066" s="3"/>
      <c r="H1066" s="11">
        <f>ROUND(
IF(L1066="GANCHO",
   IF(I1066&lt;=50,I1066*1.1+4,IF(I1066&lt;=120,I1066*1.1+7,IF(I1066&lt;=250,I1066*1.1+11,I1066*1.1+19))),
IF(L1066="NORMAL",
   IF(I1066&lt;=30,I1066*1.15+2,IF(I1066&lt;=80,I1066*1.15+4,IF(I1066&lt;=150,I1066*1.15+6,I1066*1.15+8))),
IF(L1066="COMPLEMENTO",
   IF(I1066&lt;=25,I1066*1.25+1.5,IF(I1066&lt;=60,I1066*1.25+3,IF(I1066&lt;=120,I1066*1.25+4,I1066*1.25+5))),
""))),2)</f>
        <v>342.36</v>
      </c>
      <c r="I1066" s="9">
        <f>($K$2+0.02)*Tabla1[[#This Row],[PRECIO $]]*1.18</f>
        <v>290.75200000000001</v>
      </c>
      <c r="J1066" s="7">
        <f>+Tabla1[[#This Row],[PRECIO EN SOLES]]-Tabla1[[#This Row],[PC]]</f>
        <v>51.608000000000004</v>
      </c>
      <c r="K1066" s="15"/>
      <c r="L1066" s="15" t="str">
        <f t="shared" si="16"/>
        <v>NORMAL</v>
      </c>
    </row>
    <row r="1067" spans="1:12" x14ac:dyDescent="0.25">
      <c r="A1067" s="3" t="s">
        <v>709</v>
      </c>
      <c r="B1067" s="3" t="s">
        <v>710</v>
      </c>
      <c r="C1067" s="1">
        <v>0</v>
      </c>
      <c r="D1067" s="1">
        <v>185.44</v>
      </c>
      <c r="E1067" s="1" t="s">
        <v>240</v>
      </c>
      <c r="F1067" s="1" t="s">
        <v>3404</v>
      </c>
      <c r="G1067" s="3" t="s">
        <v>711</v>
      </c>
      <c r="H1067" s="11">
        <f>ROUND(
IF(L1067="GANCHO",
   IF(I1067&lt;=50,I1067*1.1+4,IF(I1067&lt;=120,I1067*1.1+7,IF(I1067&lt;=250,I1067*1.1+11,I1067*1.1+19))),
IF(L1067="NORMAL",
   IF(I1067&lt;=30,I1067*1.15+2,IF(I1067&lt;=80,I1067*1.15+4,IF(I1067&lt;=150,I1067*1.15+6,I1067*1.15+8))),
IF(L1067="COMPLEMENTO",
   IF(I1067&lt;=25,I1067*1.25+1.5,IF(I1067&lt;=60,I1067*1.25+3,IF(I1067&lt;=120,I1067*1.25+4,I1067*1.25+5))),
""))),2)</f>
        <v>893.78</v>
      </c>
      <c r="I1067" s="9">
        <f>($K$2+0.02)*Tabla1[[#This Row],[PRECIO $]]*1.18</f>
        <v>770.24358399999994</v>
      </c>
      <c r="J1067" s="7">
        <f>+Tabla1[[#This Row],[PRECIO EN SOLES]]-Tabla1[[#This Row],[PC]]</f>
        <v>123.53641600000003</v>
      </c>
      <c r="K1067" s="15"/>
      <c r="L1067" s="15" t="str">
        <f t="shared" si="16"/>
        <v>NORMAL</v>
      </c>
    </row>
    <row r="1068" spans="1:12" x14ac:dyDescent="0.25">
      <c r="A1068" s="3" t="s">
        <v>712</v>
      </c>
      <c r="B1068" s="3" t="s">
        <v>713</v>
      </c>
      <c r="C1068" s="1">
        <v>0</v>
      </c>
      <c r="D1068" s="1">
        <v>121.47</v>
      </c>
      <c r="E1068" s="1" t="s">
        <v>240</v>
      </c>
      <c r="F1068" s="1" t="s">
        <v>3405</v>
      </c>
      <c r="G1068" s="3" t="s">
        <v>714</v>
      </c>
      <c r="H1068" s="11">
        <f>ROUND(
IF(L1068="GANCHO",
   IF(I1068&lt;=50,I1068*1.1+4,IF(I1068&lt;=120,I1068*1.1+7,IF(I1068&lt;=250,I1068*1.1+11,I1068*1.1+19))),
IF(L1068="NORMAL",
   IF(I1068&lt;=30,I1068*1.15+2,IF(I1068&lt;=80,I1068*1.15+4,IF(I1068&lt;=150,I1068*1.15+6,I1068*1.15+8))),
IF(L1068="COMPLEMENTO",
   IF(I1068&lt;=25,I1068*1.25+1.5,IF(I1068&lt;=60,I1068*1.25+3,IF(I1068&lt;=120,I1068*1.25+4,I1068*1.25+5))),
""))),2)</f>
        <v>588.22</v>
      </c>
      <c r="I1068" s="9">
        <f>($K$2+0.02)*Tabla1[[#This Row],[PRECIO $]]*1.18</f>
        <v>504.53779200000002</v>
      </c>
      <c r="J1068" s="7">
        <f>+Tabla1[[#This Row],[PRECIO EN SOLES]]-Tabla1[[#This Row],[PC]]</f>
        <v>83.682208000000003</v>
      </c>
      <c r="K1068" s="15"/>
      <c r="L1068" s="15" t="str">
        <f t="shared" si="16"/>
        <v>NORMAL</v>
      </c>
    </row>
    <row r="1069" spans="1:12" x14ac:dyDescent="0.25">
      <c r="A1069" s="3" t="s">
        <v>1628</v>
      </c>
      <c r="B1069" s="3" t="s">
        <v>1629</v>
      </c>
      <c r="C1069" s="1">
        <v>10</v>
      </c>
      <c r="D1069" s="1">
        <v>500</v>
      </c>
      <c r="E1069" s="1" t="s">
        <v>240</v>
      </c>
      <c r="F1069" s="1" t="s">
        <v>3406</v>
      </c>
      <c r="G1069" s="3" t="s">
        <v>1630</v>
      </c>
      <c r="H1069" s="11">
        <f>ROUND(
IF(L1069="GANCHO",
   IF(I1069&lt;=50,I1069*1.1+4,IF(I1069&lt;=120,I1069*1.1+7,IF(I1069&lt;=250,I1069*1.1+11,I1069*1.1+19))),
IF(L1069="NORMAL",
   IF(I1069&lt;=30,I1069*1.15+2,IF(I1069&lt;=80,I1069*1.15+4,IF(I1069&lt;=150,I1069*1.15+6,I1069*1.15+8))),
IF(L1069="COMPLEMENTO",
   IF(I1069&lt;=25,I1069*1.25+1.5,IF(I1069&lt;=60,I1069*1.25+3,IF(I1069&lt;=120,I1069*1.25+4,I1069*1.25+5))),
""))),2)</f>
        <v>2396.3200000000002</v>
      </c>
      <c r="I1069" s="9">
        <f>($K$2+0.02)*Tabla1[[#This Row],[PRECIO $]]*1.18</f>
        <v>2076.7999999999997</v>
      </c>
      <c r="J1069" s="7">
        <f>+Tabla1[[#This Row],[PRECIO EN SOLES]]-Tabla1[[#This Row],[PC]]</f>
        <v>319.52000000000044</v>
      </c>
      <c r="K1069" s="15"/>
      <c r="L1069" s="15" t="str">
        <f t="shared" si="16"/>
        <v>NORMAL</v>
      </c>
    </row>
    <row r="1070" spans="1:12" x14ac:dyDescent="0.25">
      <c r="A1070" s="3" t="s">
        <v>1631</v>
      </c>
      <c r="B1070" s="3" t="s">
        <v>1632</v>
      </c>
      <c r="C1070" s="1">
        <v>1</v>
      </c>
      <c r="D1070" s="1">
        <v>3198</v>
      </c>
      <c r="E1070" s="1" t="s">
        <v>240</v>
      </c>
      <c r="F1070" s="1" t="s">
        <v>3407</v>
      </c>
      <c r="G1070" s="3" t="s">
        <v>1633</v>
      </c>
      <c r="H1070" s="11">
        <f>ROUND(
IF(L1070="GANCHO",
   IF(I1070&lt;=50,I1070*1.1+4,IF(I1070&lt;=120,I1070*1.1+7,IF(I1070&lt;=250,I1070*1.1+11,I1070*1.1+19))),
IF(L1070="NORMAL",
   IF(I1070&lt;=30,I1070*1.15+2,IF(I1070&lt;=80,I1070*1.15+4,IF(I1070&lt;=150,I1070*1.15+6,I1070*1.15+8))),
IF(L1070="COMPLEMENTO",
   IF(I1070&lt;=25,I1070*1.25+1.5,IF(I1070&lt;=60,I1070*1.25+3,IF(I1070&lt;=120,I1070*1.25+4,I1070*1.25+5))),
""))),2)</f>
        <v>15283.69</v>
      </c>
      <c r="I1070" s="9">
        <f>($K$2+0.02)*Tabla1[[#This Row],[PRECIO $]]*1.18</f>
        <v>13283.212800000001</v>
      </c>
      <c r="J1070" s="7">
        <f>+Tabla1[[#This Row],[PRECIO EN SOLES]]-Tabla1[[#This Row],[PC]]</f>
        <v>2000.4771999999994</v>
      </c>
      <c r="K1070" s="15"/>
      <c r="L1070" s="15" t="str">
        <f t="shared" si="16"/>
        <v>NORMAL</v>
      </c>
    </row>
    <row r="1071" spans="1:12" x14ac:dyDescent="0.25">
      <c r="A1071" s="3" t="s">
        <v>1634</v>
      </c>
      <c r="B1071" s="3" t="s">
        <v>1635</v>
      </c>
      <c r="C1071" s="1">
        <v>1</v>
      </c>
      <c r="D1071" s="1">
        <v>1039</v>
      </c>
      <c r="E1071" s="1" t="s">
        <v>240</v>
      </c>
      <c r="F1071" s="1" t="s">
        <v>3408</v>
      </c>
      <c r="G1071" s="3" t="s">
        <v>1636</v>
      </c>
      <c r="H1071" s="11">
        <f>ROUND(
IF(L1071="GANCHO",
   IF(I1071&lt;=50,I1071*1.1+4,IF(I1071&lt;=120,I1071*1.1+7,IF(I1071&lt;=250,I1071*1.1+11,I1071*1.1+19))),
IF(L1071="NORMAL",
   IF(I1071&lt;=30,I1071*1.15+2,IF(I1071&lt;=80,I1071*1.15+4,IF(I1071&lt;=150,I1071*1.15+6,I1071*1.15+8))),
IF(L1071="COMPLEMENTO",
   IF(I1071&lt;=25,I1071*1.25+1.5,IF(I1071&lt;=60,I1071*1.25+3,IF(I1071&lt;=120,I1071*1.25+4,I1071*1.25+5))),
""))),2)</f>
        <v>4970.93</v>
      </c>
      <c r="I1071" s="9">
        <f>($K$2+0.02)*Tabla1[[#This Row],[PRECIO $]]*1.18</f>
        <v>4315.5904</v>
      </c>
      <c r="J1071" s="7">
        <f>+Tabla1[[#This Row],[PRECIO EN SOLES]]-Tabla1[[#This Row],[PC]]</f>
        <v>655.33960000000025</v>
      </c>
      <c r="K1071" s="15"/>
      <c r="L1071" s="15" t="str">
        <f t="shared" si="16"/>
        <v>NORMAL</v>
      </c>
    </row>
    <row r="1072" spans="1:12" x14ac:dyDescent="0.25">
      <c r="A1072" s="3" t="s">
        <v>6975</v>
      </c>
      <c r="B1072" s="3" t="s">
        <v>6976</v>
      </c>
      <c r="C1072" s="1">
        <v>0</v>
      </c>
      <c r="D1072" s="1">
        <v>50</v>
      </c>
      <c r="E1072" s="1" t="s">
        <v>54</v>
      </c>
      <c r="F1072" s="1" t="s">
        <v>6977</v>
      </c>
      <c r="G1072" s="3" t="s">
        <v>6978</v>
      </c>
      <c r="H1072" s="11">
        <f>ROUND(
IF(L1072="GANCHO",
   IF(I1072&lt;=50,I1072*1.1+4,IF(I1072&lt;=120,I1072*1.1+7,IF(I1072&lt;=250,I1072*1.1+11,I1072*1.1+19))),
IF(L1072="NORMAL",
   IF(I1072&lt;=30,I1072*1.15+2,IF(I1072&lt;=80,I1072*1.15+4,IF(I1072&lt;=150,I1072*1.15+6,I1072*1.15+8))),
IF(L1072="COMPLEMENTO",
   IF(I1072&lt;=25,I1072*1.25+1.5,IF(I1072&lt;=60,I1072*1.25+3,IF(I1072&lt;=120,I1072*1.25+4,I1072*1.25+5))),
""))),2)</f>
        <v>239.45</v>
      </c>
      <c r="I1072" s="9">
        <f>($K$2+0.02)*Tabla1[[#This Row],[PRECIO $]]*1.18</f>
        <v>207.67999999999998</v>
      </c>
      <c r="J1072" s="7">
        <f>+Tabla1[[#This Row],[PRECIO EN SOLES]]-Tabla1[[#This Row],[PC]]</f>
        <v>31.77000000000001</v>
      </c>
      <c r="K1072" s="15"/>
      <c r="L1072" s="15" t="str">
        <f t="shared" si="16"/>
        <v>GANCHO</v>
      </c>
    </row>
    <row r="1073" spans="1:12" x14ac:dyDescent="0.25">
      <c r="A1073" s="3" t="s">
        <v>6979</v>
      </c>
      <c r="B1073" s="3" t="s">
        <v>6980</v>
      </c>
      <c r="C1073" s="1">
        <v>0</v>
      </c>
      <c r="D1073" s="1">
        <v>50</v>
      </c>
      <c r="E1073" s="1" t="s">
        <v>54</v>
      </c>
      <c r="F1073" s="1" t="s">
        <v>6981</v>
      </c>
      <c r="G1073" s="3"/>
      <c r="H1073" s="11">
        <f>ROUND(
IF(L1073="GANCHO",
   IF(I1073&lt;=50,I1073*1.1+4,IF(I1073&lt;=120,I1073*1.1+7,IF(I1073&lt;=250,I1073*1.1+11,I1073*1.1+19))),
IF(L1073="NORMAL",
   IF(I1073&lt;=30,I1073*1.15+2,IF(I1073&lt;=80,I1073*1.15+4,IF(I1073&lt;=150,I1073*1.15+6,I1073*1.15+8))),
IF(L1073="COMPLEMENTO",
   IF(I1073&lt;=25,I1073*1.25+1.5,IF(I1073&lt;=60,I1073*1.25+3,IF(I1073&lt;=120,I1073*1.25+4,I1073*1.25+5))),
""))),2)</f>
        <v>246.83</v>
      </c>
      <c r="I1073" s="9">
        <f>($K$2+0.02)*Tabla1[[#This Row],[PRECIO $]]*1.18</f>
        <v>207.67999999999998</v>
      </c>
      <c r="J1073" s="7">
        <f>+Tabla1[[#This Row],[PRECIO EN SOLES]]-Tabla1[[#This Row],[PC]]</f>
        <v>39.150000000000034</v>
      </c>
      <c r="K1073" s="15"/>
      <c r="L1073" s="15" t="str">
        <f t="shared" si="16"/>
        <v>NORMAL</v>
      </c>
    </row>
    <row r="1074" spans="1:12" x14ac:dyDescent="0.25">
      <c r="A1074" s="3" t="s">
        <v>6616</v>
      </c>
      <c r="B1074" s="3" t="s">
        <v>6617</v>
      </c>
      <c r="C1074" s="1">
        <v>0</v>
      </c>
      <c r="D1074" s="1">
        <v>1000</v>
      </c>
      <c r="E1074" s="1" t="s">
        <v>54</v>
      </c>
      <c r="F1074" s="1" t="s">
        <v>6618</v>
      </c>
      <c r="G1074" s="3"/>
      <c r="H1074" s="11">
        <f>ROUND(
IF(L1074="GANCHO",
   IF(I1074&lt;=50,I1074*1.1+4,IF(I1074&lt;=120,I1074*1.1+7,IF(I1074&lt;=250,I1074*1.1+11,I1074*1.1+19))),
IF(L1074="NORMAL",
   IF(I1074&lt;=30,I1074*1.15+2,IF(I1074&lt;=80,I1074*1.15+4,IF(I1074&lt;=150,I1074*1.15+6,I1074*1.15+8))),
IF(L1074="COMPLEMENTO",
   IF(I1074&lt;=25,I1074*1.25+1.5,IF(I1074&lt;=60,I1074*1.25+3,IF(I1074&lt;=120,I1074*1.25+4,I1074*1.25+5))),
""))),2)</f>
        <v>4784.6400000000003</v>
      </c>
      <c r="I1074" s="9">
        <f>($K$2+0.02)*Tabla1[[#This Row],[PRECIO $]]*1.18</f>
        <v>4153.5999999999995</v>
      </c>
      <c r="J1074" s="7">
        <f>+Tabla1[[#This Row],[PRECIO EN SOLES]]-Tabla1[[#This Row],[PC]]</f>
        <v>631.04000000000087</v>
      </c>
      <c r="K1074" s="15"/>
      <c r="L1074" s="15" t="str">
        <f t="shared" si="16"/>
        <v>NORMAL</v>
      </c>
    </row>
    <row r="1075" spans="1:12" x14ac:dyDescent="0.25">
      <c r="A1075" s="3" t="s">
        <v>1637</v>
      </c>
      <c r="B1075" s="3" t="s">
        <v>1638</v>
      </c>
      <c r="C1075" s="1">
        <v>20</v>
      </c>
      <c r="D1075" s="1">
        <v>33.4</v>
      </c>
      <c r="E1075" s="1" t="s">
        <v>240</v>
      </c>
      <c r="F1075" s="1" t="s">
        <v>3409</v>
      </c>
      <c r="G1075" s="3" t="s">
        <v>1639</v>
      </c>
      <c r="H1075" s="11">
        <f>ROUND(
IF(L1075="GANCHO",
   IF(I1075&lt;=50,I1075*1.1+4,IF(I1075&lt;=120,I1075*1.1+7,IF(I1075&lt;=250,I1075*1.1+11,I1075*1.1+19))),
IF(L1075="NORMAL",
   IF(I1075&lt;=30,I1075*1.15+2,IF(I1075&lt;=80,I1075*1.15+4,IF(I1075&lt;=150,I1075*1.15+6,I1075*1.15+8))),
IF(L1075="COMPLEMENTO",
   IF(I1075&lt;=25,I1075*1.25+1.5,IF(I1075&lt;=60,I1075*1.25+3,IF(I1075&lt;=120,I1075*1.25+4,I1075*1.25+5))),
""))),2)</f>
        <v>165.54</v>
      </c>
      <c r="I1075" s="9">
        <f>($K$2+0.02)*Tabla1[[#This Row],[PRECIO $]]*1.18</f>
        <v>138.73023999999998</v>
      </c>
      <c r="J1075" s="7">
        <f>+Tabla1[[#This Row],[PRECIO EN SOLES]]-Tabla1[[#This Row],[PC]]</f>
        <v>26.809760000000011</v>
      </c>
      <c r="K1075" s="15"/>
      <c r="L1075" s="15" t="str">
        <f t="shared" si="16"/>
        <v>NORMAL</v>
      </c>
    </row>
    <row r="1076" spans="1:12" x14ac:dyDescent="0.25">
      <c r="A1076" s="3" t="s">
        <v>1640</v>
      </c>
      <c r="B1076" s="3" t="s">
        <v>1641</v>
      </c>
      <c r="C1076" s="1">
        <v>0</v>
      </c>
      <c r="D1076" s="1">
        <v>9999999.9900000002</v>
      </c>
      <c r="E1076" s="1" t="s">
        <v>1642</v>
      </c>
      <c r="F1076" s="1" t="s">
        <v>3410</v>
      </c>
      <c r="G1076" s="3" t="s">
        <v>1643</v>
      </c>
      <c r="H1076" s="11">
        <f>ROUND(
IF(L1076="GANCHO",
   IF(I1076&lt;=50,I1076*1.1+4,IF(I1076&lt;=120,I1076*1.1+7,IF(I1076&lt;=250,I1076*1.1+11,I1076*1.1+19))),
IF(L1076="NORMAL",
   IF(I1076&lt;=30,I1076*1.15+2,IF(I1076&lt;=80,I1076*1.15+4,IF(I1076&lt;=150,I1076*1.15+6,I1076*1.15+8))),
IF(L1076="COMPLEMENTO",
   IF(I1076&lt;=25,I1076*1.25+1.5,IF(I1076&lt;=60,I1076*1.25+3,IF(I1076&lt;=120,I1076*1.25+4,I1076*1.25+5))),
""))),2)</f>
        <v>47766407.950000003</v>
      </c>
      <c r="I1076" s="9">
        <f>($K$2+0.02)*Tabla1[[#This Row],[PRECIO $]]*1.18</f>
        <v>41535999.958463997</v>
      </c>
      <c r="J1076" s="7">
        <f>+Tabla1[[#This Row],[PRECIO EN SOLES]]-Tabla1[[#This Row],[PC]]</f>
        <v>6230407.9915360063</v>
      </c>
      <c r="K1076" s="15"/>
      <c r="L1076" s="15" t="str">
        <f t="shared" si="16"/>
        <v>NORMAL</v>
      </c>
    </row>
    <row r="1077" spans="1:12" x14ac:dyDescent="0.25">
      <c r="A1077" s="3" t="s">
        <v>1644</v>
      </c>
      <c r="B1077" s="3" t="s">
        <v>1645</v>
      </c>
      <c r="C1077" s="1">
        <v>0</v>
      </c>
      <c r="D1077" s="1">
        <v>999</v>
      </c>
      <c r="E1077" s="1" t="s">
        <v>240</v>
      </c>
      <c r="F1077" s="1" t="s">
        <v>3411</v>
      </c>
      <c r="G1077" s="3" t="s">
        <v>1646</v>
      </c>
      <c r="H1077" s="11">
        <f>ROUND(
IF(L1077="GANCHO",
   IF(I1077&lt;=50,I1077*1.1+4,IF(I1077&lt;=120,I1077*1.1+7,IF(I1077&lt;=250,I1077*1.1+11,I1077*1.1+19))),
IF(L1077="NORMAL",
   IF(I1077&lt;=30,I1077*1.15+2,IF(I1077&lt;=80,I1077*1.15+4,IF(I1077&lt;=150,I1077*1.15+6,I1077*1.15+8))),
IF(L1077="COMPLEMENTO",
   IF(I1077&lt;=25,I1077*1.25+1.5,IF(I1077&lt;=60,I1077*1.25+3,IF(I1077&lt;=120,I1077*1.25+4,I1077*1.25+5))),
""))),2)</f>
        <v>4779.8599999999997</v>
      </c>
      <c r="I1077" s="9">
        <f>($K$2+0.02)*Tabla1[[#This Row],[PRECIO $]]*1.18</f>
        <v>4149.4463999999998</v>
      </c>
      <c r="J1077" s="7">
        <f>+Tabla1[[#This Row],[PRECIO EN SOLES]]-Tabla1[[#This Row],[PC]]</f>
        <v>630.41359999999986</v>
      </c>
      <c r="K1077" s="15"/>
      <c r="L1077" s="15" t="str">
        <f t="shared" si="16"/>
        <v>NORMAL</v>
      </c>
    </row>
    <row r="1078" spans="1:12" x14ac:dyDescent="0.25">
      <c r="A1078" s="3" t="s">
        <v>1647</v>
      </c>
      <c r="B1078" s="3" t="s">
        <v>1648</v>
      </c>
      <c r="C1078" s="1">
        <v>0</v>
      </c>
      <c r="D1078" s="1">
        <v>210.98</v>
      </c>
      <c r="E1078" s="1" t="s">
        <v>54</v>
      </c>
      <c r="F1078" s="1" t="s">
        <v>3412</v>
      </c>
      <c r="G1078" s="3" t="s">
        <v>1649</v>
      </c>
      <c r="H1078" s="11">
        <f>ROUND(
IF(L1078="GANCHO",
   IF(I1078&lt;=50,I1078*1.1+4,IF(I1078&lt;=120,I1078*1.1+7,IF(I1078&lt;=250,I1078*1.1+11,I1078*1.1+19))),
IF(L1078="NORMAL",
   IF(I1078&lt;=30,I1078*1.15+2,IF(I1078&lt;=80,I1078*1.15+4,IF(I1078&lt;=150,I1078*1.15+6,I1078*1.15+8))),
IF(L1078="COMPLEMENTO",
   IF(I1078&lt;=25,I1078*1.25+1.5,IF(I1078&lt;=60,I1078*1.25+3,IF(I1078&lt;=120,I1078*1.25+4,I1078*1.25+5))),
""))),2)</f>
        <v>1015.78</v>
      </c>
      <c r="I1078" s="9">
        <f>($K$2+0.02)*Tabla1[[#This Row],[PRECIO $]]*1.18</f>
        <v>876.32652799999994</v>
      </c>
      <c r="J1078" s="7">
        <f>+Tabla1[[#This Row],[PRECIO EN SOLES]]-Tabla1[[#This Row],[PC]]</f>
        <v>139.45347200000003</v>
      </c>
      <c r="K1078" s="15"/>
      <c r="L1078" s="15" t="str">
        <f t="shared" si="16"/>
        <v>NORMAL</v>
      </c>
    </row>
    <row r="1079" spans="1:12" x14ac:dyDescent="0.25">
      <c r="A1079" s="3" t="s">
        <v>342</v>
      </c>
      <c r="B1079" s="3" t="s">
        <v>343</v>
      </c>
      <c r="C1079" s="1">
        <v>20</v>
      </c>
      <c r="D1079" s="1">
        <v>139.5</v>
      </c>
      <c r="E1079" s="1" t="s">
        <v>240</v>
      </c>
      <c r="F1079" s="1" t="s">
        <v>3413</v>
      </c>
      <c r="G1079" s="3" t="s">
        <v>344</v>
      </c>
      <c r="H1079" s="11">
        <f>ROUND(
IF(L1079="GANCHO",
   IF(I1079&lt;=50,I1079*1.1+4,IF(I1079&lt;=120,I1079*1.1+7,IF(I1079&lt;=250,I1079*1.1+11,I1079*1.1+19))),
IF(L1079="NORMAL",
   IF(I1079&lt;=30,I1079*1.15+2,IF(I1079&lt;=80,I1079*1.15+4,IF(I1079&lt;=150,I1079*1.15+6,I1079*1.15+8))),
IF(L1079="COMPLEMENTO",
   IF(I1079&lt;=25,I1079*1.25+1.5,IF(I1079&lt;=60,I1079*1.25+3,IF(I1079&lt;=120,I1079*1.25+4,I1079*1.25+5))),
""))),2)</f>
        <v>674.34</v>
      </c>
      <c r="I1079" s="9">
        <f>($K$2+0.02)*Tabla1[[#This Row],[PRECIO $]]*1.18</f>
        <v>579.42719999999997</v>
      </c>
      <c r="J1079" s="7">
        <f>+Tabla1[[#This Row],[PRECIO EN SOLES]]-Tabla1[[#This Row],[PC]]</f>
        <v>94.912800000000061</v>
      </c>
      <c r="K1079" s="15"/>
      <c r="L1079" s="15" t="str">
        <f t="shared" si="16"/>
        <v>NORMAL</v>
      </c>
    </row>
    <row r="1080" spans="1:12" x14ac:dyDescent="0.25">
      <c r="A1080" s="3" t="s">
        <v>1650</v>
      </c>
      <c r="B1080" s="3" t="s">
        <v>1651</v>
      </c>
      <c r="C1080" s="1">
        <v>0</v>
      </c>
      <c r="D1080" s="1">
        <v>161.4</v>
      </c>
      <c r="E1080" s="1" t="s">
        <v>54</v>
      </c>
      <c r="F1080" s="1" t="s">
        <v>3414</v>
      </c>
      <c r="G1080" s="3" t="s">
        <v>1652</v>
      </c>
      <c r="H1080" s="11">
        <f>ROUND(
IF(L1080="GANCHO",
   IF(I1080&lt;=50,I1080*1.1+4,IF(I1080&lt;=120,I1080*1.1+7,IF(I1080&lt;=250,I1080*1.1+11,I1080*1.1+19))),
IF(L1080="NORMAL",
   IF(I1080&lt;=30,I1080*1.15+2,IF(I1080&lt;=80,I1080*1.15+4,IF(I1080&lt;=150,I1080*1.15+6,I1080*1.15+8))),
IF(L1080="COMPLEMENTO",
   IF(I1080&lt;=25,I1080*1.25+1.5,IF(I1080&lt;=60,I1080*1.25+3,IF(I1080&lt;=120,I1080*1.25+4,I1080*1.25+5))),
""))),2)</f>
        <v>778.95</v>
      </c>
      <c r="I1080" s="9">
        <f>($K$2+0.02)*Tabla1[[#This Row],[PRECIO $]]*1.18</f>
        <v>670.39103999999998</v>
      </c>
      <c r="J1080" s="7">
        <f>+Tabla1[[#This Row],[PRECIO EN SOLES]]-Tabla1[[#This Row],[PC]]</f>
        <v>108.55896000000007</v>
      </c>
      <c r="K1080" s="15"/>
      <c r="L1080" s="15" t="str">
        <f t="shared" si="16"/>
        <v>NORMAL</v>
      </c>
    </row>
    <row r="1081" spans="1:12" x14ac:dyDescent="0.25">
      <c r="A1081" s="3" t="s">
        <v>6170</v>
      </c>
      <c r="B1081" s="3" t="s">
        <v>6171</v>
      </c>
      <c r="C1081" s="1">
        <v>20</v>
      </c>
      <c r="D1081" s="1">
        <v>112.5</v>
      </c>
      <c r="E1081" s="1" t="s">
        <v>240</v>
      </c>
      <c r="F1081" s="1" t="s">
        <v>6172</v>
      </c>
      <c r="G1081" s="3" t="s">
        <v>6173</v>
      </c>
      <c r="H1081" s="11">
        <f>ROUND(
IF(L1081="GANCHO",
   IF(I1081&lt;=50,I1081*1.1+4,IF(I1081&lt;=120,I1081*1.1+7,IF(I1081&lt;=250,I1081*1.1+11,I1081*1.1+19))),
IF(L1081="NORMAL",
   IF(I1081&lt;=30,I1081*1.15+2,IF(I1081&lt;=80,I1081*1.15+4,IF(I1081&lt;=150,I1081*1.15+6,I1081*1.15+8))),
IF(L1081="COMPLEMENTO",
   IF(I1081&lt;=25,I1081*1.25+1.5,IF(I1081&lt;=60,I1081*1.25+3,IF(I1081&lt;=120,I1081*1.25+4,I1081*1.25+5))),
""))),2)</f>
        <v>545.37</v>
      </c>
      <c r="I1081" s="9">
        <f>($K$2+0.02)*Tabla1[[#This Row],[PRECIO $]]*1.18</f>
        <v>467.28</v>
      </c>
      <c r="J1081" s="7">
        <f>+Tabla1[[#This Row],[PRECIO EN SOLES]]-Tabla1[[#This Row],[PC]]</f>
        <v>78.090000000000032</v>
      </c>
      <c r="K1081" s="15"/>
      <c r="L1081" s="15" t="str">
        <f t="shared" si="16"/>
        <v>NORMAL</v>
      </c>
    </row>
    <row r="1082" spans="1:12" x14ac:dyDescent="0.25">
      <c r="A1082" s="3" t="s">
        <v>345</v>
      </c>
      <c r="B1082" s="3" t="s">
        <v>346</v>
      </c>
      <c r="C1082" s="1">
        <v>20</v>
      </c>
      <c r="D1082" s="1">
        <v>38.299999999999997</v>
      </c>
      <c r="E1082" s="1" t="s">
        <v>240</v>
      </c>
      <c r="F1082" s="1" t="s">
        <v>3415</v>
      </c>
      <c r="G1082" s="3" t="s">
        <v>347</v>
      </c>
      <c r="H1082" s="11">
        <f>ROUND(
IF(L1082="GANCHO",
   IF(I1082&lt;=50,I1082*1.1+4,IF(I1082&lt;=120,I1082*1.1+7,IF(I1082&lt;=250,I1082*1.1+11,I1082*1.1+19))),
IF(L1082="NORMAL",
   IF(I1082&lt;=30,I1082*1.15+2,IF(I1082&lt;=80,I1082*1.15+4,IF(I1082&lt;=150,I1082*1.15+6,I1082*1.15+8))),
IF(L1082="COMPLEMENTO",
   IF(I1082&lt;=25,I1082*1.25+1.5,IF(I1082&lt;=60,I1082*1.25+3,IF(I1082&lt;=120,I1082*1.25+4,I1082*1.25+5))),
""))),2)</f>
        <v>190.95</v>
      </c>
      <c r="I1082" s="9">
        <f>($K$2+0.02)*Tabla1[[#This Row],[PRECIO $]]*1.18</f>
        <v>159.08287999999999</v>
      </c>
      <c r="J1082" s="7">
        <f>+Tabla1[[#This Row],[PRECIO EN SOLES]]-Tabla1[[#This Row],[PC]]</f>
        <v>31.86712</v>
      </c>
      <c r="K1082" s="15"/>
      <c r="L1082" s="15" t="str">
        <f t="shared" si="16"/>
        <v>NORMAL</v>
      </c>
    </row>
    <row r="1083" spans="1:12" x14ac:dyDescent="0.25">
      <c r="A1083" s="3" t="s">
        <v>348</v>
      </c>
      <c r="B1083" s="3" t="s">
        <v>349</v>
      </c>
      <c r="C1083" s="1">
        <v>20</v>
      </c>
      <c r="D1083" s="1">
        <v>47.18</v>
      </c>
      <c r="E1083" s="1" t="s">
        <v>240</v>
      </c>
      <c r="F1083" s="1" t="s">
        <v>3416</v>
      </c>
      <c r="G1083" s="3" t="s">
        <v>350</v>
      </c>
      <c r="H1083" s="11">
        <f>ROUND(
IF(L1083="GANCHO",
   IF(I1083&lt;=50,I1083*1.1+4,IF(I1083&lt;=120,I1083*1.1+7,IF(I1083&lt;=250,I1083*1.1+11,I1083*1.1+19))),
IF(L1083="NORMAL",
   IF(I1083&lt;=30,I1083*1.15+2,IF(I1083&lt;=80,I1083*1.15+4,IF(I1083&lt;=150,I1083*1.15+6,I1083*1.15+8))),
IF(L1083="COMPLEMENTO",
   IF(I1083&lt;=25,I1083*1.25+1.5,IF(I1083&lt;=60,I1083*1.25+3,IF(I1083&lt;=120,I1083*1.25+4,I1083*1.25+5))),
""))),2)</f>
        <v>233.36</v>
      </c>
      <c r="I1083" s="9">
        <f>($K$2+0.02)*Tabla1[[#This Row],[PRECIO $]]*1.18</f>
        <v>195.966848</v>
      </c>
      <c r="J1083" s="7">
        <f>+Tabla1[[#This Row],[PRECIO EN SOLES]]-Tabla1[[#This Row],[PC]]</f>
        <v>37.393152000000015</v>
      </c>
      <c r="K1083" s="15"/>
      <c r="L1083" s="15" t="str">
        <f t="shared" si="16"/>
        <v>NORMAL</v>
      </c>
    </row>
    <row r="1084" spans="1:12" x14ac:dyDescent="0.25">
      <c r="A1084" s="3" t="s">
        <v>1653</v>
      </c>
      <c r="B1084" s="3" t="s">
        <v>1654</v>
      </c>
      <c r="C1084" s="1">
        <v>13</v>
      </c>
      <c r="D1084" s="1">
        <v>119.2</v>
      </c>
      <c r="E1084" s="1" t="s">
        <v>240</v>
      </c>
      <c r="F1084" s="1" t="s">
        <v>3417</v>
      </c>
      <c r="G1084" s="3" t="s">
        <v>1655</v>
      </c>
      <c r="H1084" s="11">
        <f>ROUND(
IF(L1084="GANCHO",
   IF(I1084&lt;=50,I1084*1.1+4,IF(I1084&lt;=120,I1084*1.1+7,IF(I1084&lt;=250,I1084*1.1+11,I1084*1.1+19))),
IF(L1084="NORMAL",
   IF(I1084&lt;=30,I1084*1.15+2,IF(I1084&lt;=80,I1084*1.15+4,IF(I1084&lt;=150,I1084*1.15+6,I1084*1.15+8))),
IF(L1084="COMPLEMENTO",
   IF(I1084&lt;=25,I1084*1.25+1.5,IF(I1084&lt;=60,I1084*1.25+3,IF(I1084&lt;=120,I1084*1.25+4,I1084*1.25+5))),
""))),2)</f>
        <v>577.38</v>
      </c>
      <c r="I1084" s="9">
        <f>($K$2+0.02)*Tabla1[[#This Row],[PRECIO $]]*1.18</f>
        <v>495.10911999999996</v>
      </c>
      <c r="J1084" s="7">
        <f>+Tabla1[[#This Row],[PRECIO EN SOLES]]-Tabla1[[#This Row],[PC]]</f>
        <v>82.270880000000034</v>
      </c>
      <c r="K1084" s="15"/>
      <c r="L1084" s="15" t="str">
        <f t="shared" si="16"/>
        <v>NORMAL</v>
      </c>
    </row>
    <row r="1085" spans="1:12" x14ac:dyDescent="0.25">
      <c r="A1085" s="3" t="s">
        <v>6982</v>
      </c>
      <c r="B1085" s="3" t="s">
        <v>6983</v>
      </c>
      <c r="C1085" s="1">
        <v>0</v>
      </c>
      <c r="D1085" s="1">
        <v>1100</v>
      </c>
      <c r="E1085" s="1" t="s">
        <v>54</v>
      </c>
      <c r="F1085" s="1" t="s">
        <v>6984</v>
      </c>
      <c r="G1085" s="3"/>
      <c r="H1085" s="11">
        <f>ROUND(
IF(L1085="GANCHO",
   IF(I1085&lt;=50,I1085*1.1+4,IF(I1085&lt;=120,I1085*1.1+7,IF(I1085&lt;=250,I1085*1.1+11,I1085*1.1+19))),
IF(L1085="NORMAL",
   IF(I1085&lt;=30,I1085*1.15+2,IF(I1085&lt;=80,I1085*1.15+4,IF(I1085&lt;=150,I1085*1.15+6,I1085*1.15+8))),
IF(L1085="COMPLEMENTO",
   IF(I1085&lt;=25,I1085*1.25+1.5,IF(I1085&lt;=60,I1085*1.25+3,IF(I1085&lt;=120,I1085*1.25+4,I1085*1.25+5))),
""))),2)</f>
        <v>5044.8599999999997</v>
      </c>
      <c r="I1085" s="9">
        <f>($K$2+0.02)*Tabla1[[#This Row],[PRECIO $]]*1.18</f>
        <v>4568.96</v>
      </c>
      <c r="J1085" s="7">
        <f>+Tabla1[[#This Row],[PRECIO EN SOLES]]-Tabla1[[#This Row],[PC]]</f>
        <v>475.89999999999964</v>
      </c>
      <c r="K1085" s="15"/>
      <c r="L1085" s="15" t="str">
        <f t="shared" si="16"/>
        <v>GANCHO</v>
      </c>
    </row>
    <row r="1086" spans="1:12" x14ac:dyDescent="0.25">
      <c r="A1086" s="3" t="s">
        <v>6985</v>
      </c>
      <c r="B1086" s="3" t="s">
        <v>6986</v>
      </c>
      <c r="C1086" s="1">
        <v>0</v>
      </c>
      <c r="D1086" s="1">
        <v>1100</v>
      </c>
      <c r="E1086" s="1" t="s">
        <v>57</v>
      </c>
      <c r="F1086" s="1" t="s">
        <v>6987</v>
      </c>
      <c r="G1086" s="3"/>
      <c r="H1086" s="11">
        <f>ROUND(
IF(L1086="GANCHO",
   IF(I1086&lt;=50,I1086*1.1+4,IF(I1086&lt;=120,I1086*1.1+7,IF(I1086&lt;=250,I1086*1.1+11,I1086*1.1+19))),
IF(L1086="NORMAL",
   IF(I1086&lt;=30,I1086*1.15+2,IF(I1086&lt;=80,I1086*1.15+4,IF(I1086&lt;=150,I1086*1.15+6,I1086*1.15+8))),
IF(L1086="COMPLEMENTO",
   IF(I1086&lt;=25,I1086*1.25+1.5,IF(I1086&lt;=60,I1086*1.25+3,IF(I1086&lt;=120,I1086*1.25+4,I1086*1.25+5))),
""))),2)</f>
        <v>5262.3</v>
      </c>
      <c r="I1086" s="9">
        <f>($K$2+0.02)*Tabla1[[#This Row],[PRECIO $]]*1.18</f>
        <v>4568.96</v>
      </c>
      <c r="J1086" s="7">
        <f>+Tabla1[[#This Row],[PRECIO EN SOLES]]-Tabla1[[#This Row],[PC]]</f>
        <v>693.34000000000015</v>
      </c>
      <c r="K1086" s="15"/>
      <c r="L1086" s="15" t="str">
        <f t="shared" si="16"/>
        <v>NORMAL</v>
      </c>
    </row>
    <row r="1087" spans="1:12" x14ac:dyDescent="0.25">
      <c r="A1087" s="3" t="s">
        <v>6988</v>
      </c>
      <c r="B1087" s="3" t="s">
        <v>6989</v>
      </c>
      <c r="C1087" s="1">
        <v>0</v>
      </c>
      <c r="D1087" s="1">
        <v>1100</v>
      </c>
      <c r="E1087" s="1" t="s">
        <v>57</v>
      </c>
      <c r="F1087" s="1" t="s">
        <v>6990</v>
      </c>
      <c r="G1087" s="3"/>
      <c r="H1087" s="11">
        <f>ROUND(
IF(L1087="GANCHO",
   IF(I1087&lt;=50,I1087*1.1+4,IF(I1087&lt;=120,I1087*1.1+7,IF(I1087&lt;=250,I1087*1.1+11,I1087*1.1+19))),
IF(L1087="NORMAL",
   IF(I1087&lt;=30,I1087*1.15+2,IF(I1087&lt;=80,I1087*1.15+4,IF(I1087&lt;=150,I1087*1.15+6,I1087*1.15+8))),
IF(L1087="COMPLEMENTO",
   IF(I1087&lt;=25,I1087*1.25+1.5,IF(I1087&lt;=60,I1087*1.25+3,IF(I1087&lt;=120,I1087*1.25+4,I1087*1.25+5))),
""))),2)</f>
        <v>5262.3</v>
      </c>
      <c r="I1087" s="9">
        <f>($K$2+0.02)*Tabla1[[#This Row],[PRECIO $]]*1.18</f>
        <v>4568.96</v>
      </c>
      <c r="J1087" s="7">
        <f>+Tabla1[[#This Row],[PRECIO EN SOLES]]-Tabla1[[#This Row],[PC]]</f>
        <v>693.34000000000015</v>
      </c>
      <c r="K1087" s="15"/>
      <c r="L1087" s="15" t="str">
        <f t="shared" si="16"/>
        <v>NORMAL</v>
      </c>
    </row>
    <row r="1088" spans="1:12" x14ac:dyDescent="0.25">
      <c r="A1088" s="3" t="s">
        <v>6991</v>
      </c>
      <c r="B1088" s="3" t="s">
        <v>6992</v>
      </c>
      <c r="C1088" s="1">
        <v>0</v>
      </c>
      <c r="D1088" s="1">
        <v>1100</v>
      </c>
      <c r="E1088" s="1" t="s">
        <v>57</v>
      </c>
      <c r="F1088" s="1" t="s">
        <v>6993</v>
      </c>
      <c r="G1088" s="3"/>
      <c r="H1088" s="11">
        <f>ROUND(
IF(L1088="GANCHO",
   IF(I1088&lt;=50,I1088*1.1+4,IF(I1088&lt;=120,I1088*1.1+7,IF(I1088&lt;=250,I1088*1.1+11,I1088*1.1+19))),
IF(L1088="NORMAL",
   IF(I1088&lt;=30,I1088*1.15+2,IF(I1088&lt;=80,I1088*1.15+4,IF(I1088&lt;=150,I1088*1.15+6,I1088*1.15+8))),
IF(L1088="COMPLEMENTO",
   IF(I1088&lt;=25,I1088*1.25+1.5,IF(I1088&lt;=60,I1088*1.25+3,IF(I1088&lt;=120,I1088*1.25+4,I1088*1.25+5))),
""))),2)</f>
        <v>5262.3</v>
      </c>
      <c r="I1088" s="9">
        <f>($K$2+0.02)*Tabla1[[#This Row],[PRECIO $]]*1.18</f>
        <v>4568.96</v>
      </c>
      <c r="J1088" s="7">
        <f>+Tabla1[[#This Row],[PRECIO EN SOLES]]-Tabla1[[#This Row],[PC]]</f>
        <v>693.34000000000015</v>
      </c>
      <c r="K1088" s="15"/>
      <c r="L1088" s="15" t="str">
        <f t="shared" si="16"/>
        <v>NORMAL</v>
      </c>
    </row>
    <row r="1089" spans="1:12" x14ac:dyDescent="0.25">
      <c r="A1089" s="3" t="s">
        <v>1656</v>
      </c>
      <c r="B1089" s="3" t="s">
        <v>1657</v>
      </c>
      <c r="C1089" s="1">
        <v>1</v>
      </c>
      <c r="D1089" s="1">
        <v>10000</v>
      </c>
      <c r="E1089" s="1" t="s">
        <v>54</v>
      </c>
      <c r="F1089" s="1" t="s">
        <v>3418</v>
      </c>
      <c r="G1089" s="3"/>
      <c r="H1089" s="11">
        <f>ROUND(
IF(L1089="GANCHO",
   IF(I1089&lt;=50,I1089*1.1+4,IF(I1089&lt;=120,I1089*1.1+7,IF(I1089&lt;=250,I1089*1.1+11,I1089*1.1+19))),
IF(L1089="NORMAL",
   IF(I1089&lt;=30,I1089*1.15+2,IF(I1089&lt;=80,I1089*1.15+4,IF(I1089&lt;=150,I1089*1.15+6,I1089*1.15+8))),
IF(L1089="COMPLEMENTO",
   IF(I1089&lt;=25,I1089*1.25+1.5,IF(I1089&lt;=60,I1089*1.25+3,IF(I1089&lt;=120,I1089*1.25+4,I1089*1.25+5))),
""))),2)</f>
        <v>47774.400000000001</v>
      </c>
      <c r="I1089" s="9">
        <f>($K$2+0.02)*Tabla1[[#This Row],[PRECIO $]]*1.18</f>
        <v>41536</v>
      </c>
      <c r="J1089" s="7">
        <f>+Tabla1[[#This Row],[PRECIO EN SOLES]]-Tabla1[[#This Row],[PC]]</f>
        <v>6238.4000000000015</v>
      </c>
      <c r="K1089" s="15"/>
      <c r="L1089" s="15" t="str">
        <f t="shared" si="16"/>
        <v>NORMAL</v>
      </c>
    </row>
    <row r="1090" spans="1:12" x14ac:dyDescent="0.25">
      <c r="A1090" s="3" t="s">
        <v>6619</v>
      </c>
      <c r="B1090" s="3" t="s">
        <v>6620</v>
      </c>
      <c r="C1090" s="1">
        <v>7</v>
      </c>
      <c r="D1090" s="1">
        <v>65.900000000000006</v>
      </c>
      <c r="E1090" s="1" t="s">
        <v>115</v>
      </c>
      <c r="F1090" s="1" t="s">
        <v>6621</v>
      </c>
      <c r="G1090" s="3"/>
      <c r="H1090" s="11">
        <f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322.77999999999997</v>
      </c>
      <c r="I1090" s="9">
        <f>($K$2+0.02)*Tabla1[[#This Row],[PRECIO $]]*1.18</f>
        <v>273.72224</v>
      </c>
      <c r="J1090" s="7">
        <f>+Tabla1[[#This Row],[PRECIO EN SOLES]]-Tabla1[[#This Row],[PC]]</f>
        <v>49.057759999999973</v>
      </c>
      <c r="K1090" s="15"/>
      <c r="L1090" s="15" t="str">
        <f t="shared" si="16"/>
        <v>NORMAL</v>
      </c>
    </row>
    <row r="1091" spans="1:12" x14ac:dyDescent="0.25">
      <c r="A1091" s="3" t="s">
        <v>6174</v>
      </c>
      <c r="B1091" s="3" t="s">
        <v>6175</v>
      </c>
      <c r="C1091" s="1">
        <v>20</v>
      </c>
      <c r="D1091" s="1">
        <v>50</v>
      </c>
      <c r="E1091" s="1" t="s">
        <v>6087</v>
      </c>
      <c r="F1091" s="1" t="s">
        <v>6176</v>
      </c>
      <c r="G1091" s="3" t="s">
        <v>6177</v>
      </c>
      <c r="H1091" s="11">
        <f>ROUND(
IF(L1091="GANCHO",
   IF(I1091&lt;=50,I1091*1.1+4,IF(I1091&lt;=120,I1091*1.1+7,IF(I1091&lt;=250,I1091*1.1+11,I1091*1.1+19))),
IF(L1091="NORMAL",
   IF(I1091&lt;=30,I1091*1.15+2,IF(I1091&lt;=80,I1091*1.15+4,IF(I1091&lt;=150,I1091*1.15+6,I1091*1.15+8))),
IF(L1091="COMPLEMENTO",
   IF(I1091&lt;=25,I1091*1.25+1.5,IF(I1091&lt;=60,I1091*1.25+3,IF(I1091&lt;=120,I1091*1.25+4,I1091*1.25+5))),
""))),2)</f>
        <v>246.83</v>
      </c>
      <c r="I1091" s="9">
        <f>($K$2+0.02)*Tabla1[[#This Row],[PRECIO $]]*1.18</f>
        <v>207.67999999999998</v>
      </c>
      <c r="J1091" s="7">
        <f>+Tabla1[[#This Row],[PRECIO EN SOLES]]-Tabla1[[#This Row],[PC]]</f>
        <v>39.150000000000034</v>
      </c>
      <c r="K1091" s="15"/>
      <c r="L1091" s="15" t="str">
        <f t="shared" ref="L1091:L1154" si="17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6178</v>
      </c>
      <c r="B1092" s="3" t="s">
        <v>6179</v>
      </c>
      <c r="C1092" s="1">
        <v>18</v>
      </c>
      <c r="D1092" s="1">
        <v>84</v>
      </c>
      <c r="E1092" s="1" t="s">
        <v>6087</v>
      </c>
      <c r="F1092" s="1" t="s">
        <v>6180</v>
      </c>
      <c r="G1092" s="3" t="s">
        <v>6181</v>
      </c>
      <c r="H1092" s="11">
        <f>ROUND(
IF(L1092="GANCHO",
   IF(I1092&lt;=50,I1092*1.1+4,IF(I1092&lt;=120,I1092*1.1+7,IF(I1092&lt;=250,I1092*1.1+11,I1092*1.1+19))),
IF(L1092="NORMAL",
   IF(I1092&lt;=30,I1092*1.15+2,IF(I1092&lt;=80,I1092*1.15+4,IF(I1092&lt;=150,I1092*1.15+6,I1092*1.15+8))),
IF(L1092="COMPLEMENTO",
   IF(I1092&lt;=25,I1092*1.25+1.5,IF(I1092&lt;=60,I1092*1.25+3,IF(I1092&lt;=120,I1092*1.25+4,I1092*1.25+5))),
""))),2)</f>
        <v>409.24</v>
      </c>
      <c r="I1092" s="9">
        <f>($K$2+0.02)*Tabla1[[#This Row],[PRECIO $]]*1.18</f>
        <v>348.9024</v>
      </c>
      <c r="J1092" s="7">
        <f>+Tabla1[[#This Row],[PRECIO EN SOLES]]-Tabla1[[#This Row],[PC]]</f>
        <v>60.337600000000009</v>
      </c>
      <c r="K1092" s="15"/>
      <c r="L1092" s="15" t="str">
        <f t="shared" si="17"/>
        <v>NORMAL</v>
      </c>
    </row>
    <row r="1093" spans="1:12" x14ac:dyDescent="0.25">
      <c r="A1093" s="3" t="s">
        <v>5779</v>
      </c>
      <c r="B1093" s="3" t="s">
        <v>5780</v>
      </c>
      <c r="C1093" s="1">
        <v>20</v>
      </c>
      <c r="D1093" s="1">
        <v>186</v>
      </c>
      <c r="E1093" s="1" t="s">
        <v>54</v>
      </c>
      <c r="F1093" s="1" t="s">
        <v>5950</v>
      </c>
      <c r="G1093" s="3" t="s">
        <v>5781</v>
      </c>
      <c r="H1093" s="11">
        <f>ROUND(
IF(L1093="GANCHO",
   IF(I1093&lt;=50,I1093*1.1+4,IF(I1093&lt;=120,I1093*1.1+7,IF(I1093&lt;=250,I1093*1.1+11,I1093*1.1+19))),
IF(L1093="NORMAL",
   IF(I1093&lt;=30,I1093*1.15+2,IF(I1093&lt;=80,I1093*1.15+4,IF(I1093&lt;=150,I1093*1.15+6,I1093*1.15+8))),
IF(L1093="COMPLEMENTO",
   IF(I1093&lt;=25,I1093*1.25+1.5,IF(I1093&lt;=60,I1093*1.25+3,IF(I1093&lt;=120,I1093*1.25+4,I1093*1.25+5))),
""))),2)</f>
        <v>868.83</v>
      </c>
      <c r="I1093" s="9">
        <f>($K$2+0.02)*Tabla1[[#This Row],[PRECIO $]]*1.18</f>
        <v>772.56960000000004</v>
      </c>
      <c r="J1093" s="7">
        <f>+Tabla1[[#This Row],[PRECIO EN SOLES]]-Tabla1[[#This Row],[PC]]</f>
        <v>96.260400000000004</v>
      </c>
      <c r="K1093" s="15"/>
      <c r="L1093" s="15" t="str">
        <f t="shared" si="17"/>
        <v>GANCHO</v>
      </c>
    </row>
    <row r="1094" spans="1:12" x14ac:dyDescent="0.25">
      <c r="A1094" s="3" t="s">
        <v>2851</v>
      </c>
      <c r="B1094" s="3" t="s">
        <v>2852</v>
      </c>
      <c r="C1094" s="1">
        <v>0</v>
      </c>
      <c r="D1094" s="1">
        <v>271</v>
      </c>
      <c r="E1094" s="1" t="s">
        <v>56</v>
      </c>
      <c r="F1094" s="1" t="s">
        <v>3420</v>
      </c>
      <c r="G1094" s="3" t="s">
        <v>2853</v>
      </c>
      <c r="H1094" s="11">
        <f>ROUND(
IF(L1094="GANCHO",
   IF(I1094&lt;=50,I1094*1.1+4,IF(I1094&lt;=120,I1094*1.1+7,IF(I1094&lt;=250,I1094*1.1+11,I1094*1.1+19))),
IF(L1094="NORMAL",
   IF(I1094&lt;=30,I1094*1.15+2,IF(I1094&lt;=80,I1094*1.15+4,IF(I1094&lt;=150,I1094*1.15+6,I1094*1.15+8))),
IF(L1094="COMPLEMENTO",
   IF(I1094&lt;=25,I1094*1.25+1.5,IF(I1094&lt;=60,I1094*1.25+3,IF(I1094&lt;=120,I1094*1.25+4,I1094*1.25+5))),
""))),2)</f>
        <v>1257.19</v>
      </c>
      <c r="I1094" s="9">
        <f>($K$2+0.02)*Tabla1[[#This Row],[PRECIO $]]*1.18</f>
        <v>1125.6255999999998</v>
      </c>
      <c r="J1094" s="7">
        <f>+Tabla1[[#This Row],[PRECIO EN SOLES]]-Tabla1[[#This Row],[PC]]</f>
        <v>131.56440000000021</v>
      </c>
      <c r="K1094" s="15"/>
      <c r="L1094" s="15" t="str">
        <f t="shared" si="17"/>
        <v>GANCHO</v>
      </c>
    </row>
    <row r="1095" spans="1:12" x14ac:dyDescent="0.25">
      <c r="A1095" s="3" t="s">
        <v>6842</v>
      </c>
      <c r="B1095" s="3" t="s">
        <v>6843</v>
      </c>
      <c r="C1095" s="1">
        <v>20</v>
      </c>
      <c r="D1095" s="1">
        <v>290</v>
      </c>
      <c r="E1095" s="1" t="s">
        <v>264</v>
      </c>
      <c r="F1095" s="1" t="s">
        <v>6844</v>
      </c>
      <c r="G1095" s="3" t="s">
        <v>6845</v>
      </c>
      <c r="H1095" s="11">
        <f>ROUND(
IF(L1095="GANCHO",
   IF(I1095&lt;=50,I1095*1.1+4,IF(I1095&lt;=120,I1095*1.1+7,IF(I1095&lt;=250,I1095*1.1+11,I1095*1.1+19))),
IF(L1095="NORMAL",
   IF(I1095&lt;=30,I1095*1.15+2,IF(I1095&lt;=80,I1095*1.15+4,IF(I1095&lt;=150,I1095*1.15+6,I1095*1.15+8))),
IF(L1095="COMPLEMENTO",
   IF(I1095&lt;=25,I1095*1.25+1.5,IF(I1095&lt;=60,I1095*1.25+3,IF(I1095&lt;=120,I1095*1.25+4,I1095*1.25+5))),
""))),2)</f>
        <v>1344</v>
      </c>
      <c r="I1095" s="9">
        <f>($K$2+0.02)*Tabla1[[#This Row],[PRECIO $]]*1.18</f>
        <v>1204.5439999999999</v>
      </c>
      <c r="J1095" s="7">
        <f>+Tabla1[[#This Row],[PRECIO EN SOLES]]-Tabla1[[#This Row],[PC]]</f>
        <v>139.45600000000013</v>
      </c>
      <c r="K1095" s="15"/>
      <c r="L1095" s="15" t="str">
        <f t="shared" si="17"/>
        <v>GANCHO</v>
      </c>
    </row>
    <row r="1096" spans="1:12" x14ac:dyDescent="0.25">
      <c r="A1096" s="3" t="s">
        <v>1660</v>
      </c>
      <c r="B1096" s="3" t="s">
        <v>1661</v>
      </c>
      <c r="C1096" s="1">
        <v>0</v>
      </c>
      <c r="D1096" s="1">
        <v>305</v>
      </c>
      <c r="E1096" s="1" t="s">
        <v>56</v>
      </c>
      <c r="F1096" s="1" t="s">
        <v>3421</v>
      </c>
      <c r="G1096" s="3" t="s">
        <v>1662</v>
      </c>
      <c r="H1096" s="11">
        <f>ROUND(
IF(L1096="GANCHO",
   IF(I1096&lt;=50,I1096*1.1+4,IF(I1096&lt;=120,I1096*1.1+7,IF(I1096&lt;=250,I1096*1.1+11,I1096*1.1+19))),
IF(L1096="NORMAL",
   IF(I1096&lt;=30,I1096*1.15+2,IF(I1096&lt;=80,I1096*1.15+4,IF(I1096&lt;=150,I1096*1.15+6,I1096*1.15+8))),
IF(L1096="COMPLEMENTO",
   IF(I1096&lt;=25,I1096*1.25+1.5,IF(I1096&lt;=60,I1096*1.25+3,IF(I1096&lt;=120,I1096*1.25+4,I1096*1.25+5))),
""))),2)</f>
        <v>1412.53</v>
      </c>
      <c r="I1096" s="9">
        <f>($K$2+0.02)*Tabla1[[#This Row],[PRECIO $]]*1.18</f>
        <v>1266.8479999999997</v>
      </c>
      <c r="J1096" s="7">
        <f>+Tabla1[[#This Row],[PRECIO EN SOLES]]-Tabla1[[#This Row],[PC]]</f>
        <v>145.68200000000024</v>
      </c>
      <c r="K1096" s="15"/>
      <c r="L1096" s="15" t="str">
        <f t="shared" si="17"/>
        <v>GANCHO</v>
      </c>
    </row>
    <row r="1097" spans="1:12" x14ac:dyDescent="0.25">
      <c r="A1097" s="3" t="s">
        <v>1663</v>
      </c>
      <c r="B1097" s="3" t="s">
        <v>1664</v>
      </c>
      <c r="C1097" s="1">
        <v>1</v>
      </c>
      <c r="D1097" s="1">
        <v>331</v>
      </c>
      <c r="E1097" s="1" t="s">
        <v>264</v>
      </c>
      <c r="F1097" s="1" t="s">
        <v>3422</v>
      </c>
      <c r="G1097" s="3" t="s">
        <v>1665</v>
      </c>
      <c r="H1097" s="11">
        <f>ROUND(
IF(L1097="GANCHO",
   IF(I1097&lt;=50,I1097*1.1+4,IF(I1097&lt;=120,I1097*1.1+7,IF(I1097&lt;=250,I1097*1.1+11,I1097*1.1+19))),
IF(L1097="NORMAL",
   IF(I1097&lt;=30,I1097*1.15+2,IF(I1097&lt;=80,I1097*1.15+4,IF(I1097&lt;=150,I1097*1.15+6,I1097*1.15+8))),
IF(L1097="COMPLEMENTO",
   IF(I1097&lt;=25,I1097*1.25+1.5,IF(I1097&lt;=60,I1097*1.25+3,IF(I1097&lt;=120,I1097*1.25+4,I1097*1.25+5))),
""))),2)</f>
        <v>1531.33</v>
      </c>
      <c r="I1097" s="9">
        <f>($K$2+0.02)*Tabla1[[#This Row],[PRECIO $]]*1.18</f>
        <v>1374.8416</v>
      </c>
      <c r="J1097" s="7">
        <f>+Tabla1[[#This Row],[PRECIO EN SOLES]]-Tabla1[[#This Row],[PC]]</f>
        <v>156.48839999999996</v>
      </c>
      <c r="K1097" s="15"/>
      <c r="L1097" s="15" t="str">
        <f t="shared" si="17"/>
        <v>GANCHO</v>
      </c>
    </row>
    <row r="1098" spans="1:12" x14ac:dyDescent="0.25">
      <c r="A1098" s="3" t="s">
        <v>1666</v>
      </c>
      <c r="B1098" s="3" t="s">
        <v>4634</v>
      </c>
      <c r="C1098" s="1">
        <v>20</v>
      </c>
      <c r="D1098" s="1">
        <v>479</v>
      </c>
      <c r="E1098" s="1" t="s">
        <v>851</v>
      </c>
      <c r="F1098" s="1" t="s">
        <v>3423</v>
      </c>
      <c r="G1098" s="3" t="s">
        <v>4635</v>
      </c>
      <c r="H1098" s="11">
        <f>ROUND(
IF(L1098="GANCHO",
   IF(I1098&lt;=50,I1098*1.1+4,IF(I1098&lt;=120,I1098*1.1+7,IF(I1098&lt;=250,I1098*1.1+11,I1098*1.1+19))),
IF(L1098="NORMAL",
   IF(I1098&lt;=30,I1098*1.15+2,IF(I1098&lt;=80,I1098*1.15+4,IF(I1098&lt;=150,I1098*1.15+6,I1098*1.15+8))),
IF(L1098="COMPLEMENTO",
   IF(I1098&lt;=25,I1098*1.25+1.5,IF(I1098&lt;=60,I1098*1.25+3,IF(I1098&lt;=120,I1098*1.25+4,I1098*1.25+5))),
""))),2)</f>
        <v>2207.5300000000002</v>
      </c>
      <c r="I1098" s="9">
        <f>($K$2+0.02)*Tabla1[[#This Row],[PRECIO $]]*1.18</f>
        <v>1989.5743999999997</v>
      </c>
      <c r="J1098" s="7">
        <f>+Tabla1[[#This Row],[PRECIO EN SOLES]]-Tabla1[[#This Row],[PC]]</f>
        <v>217.95560000000046</v>
      </c>
      <c r="K1098" s="15"/>
      <c r="L1098" s="15" t="str">
        <f t="shared" si="17"/>
        <v>GANCHO</v>
      </c>
    </row>
    <row r="1099" spans="1:12" x14ac:dyDescent="0.25">
      <c r="A1099" s="3" t="s">
        <v>352</v>
      </c>
      <c r="B1099" s="3" t="s">
        <v>353</v>
      </c>
      <c r="C1099" s="1">
        <v>20</v>
      </c>
      <c r="D1099" s="1">
        <v>457</v>
      </c>
      <c r="E1099" s="1" t="s">
        <v>56</v>
      </c>
      <c r="F1099" s="1" t="s">
        <v>3424</v>
      </c>
      <c r="G1099" s="3" t="s">
        <v>354</v>
      </c>
      <c r="H1099" s="11">
        <f>ROUND(
IF(L1099="GANCHO",
   IF(I1099&lt;=50,I1099*1.1+4,IF(I1099&lt;=120,I1099*1.1+7,IF(I1099&lt;=250,I1099*1.1+11,I1099*1.1+19))),
IF(L1099="NORMAL",
   IF(I1099&lt;=30,I1099*1.15+2,IF(I1099&lt;=80,I1099*1.15+4,IF(I1099&lt;=150,I1099*1.15+6,I1099*1.15+8))),
IF(L1099="COMPLEMENTO",
   IF(I1099&lt;=25,I1099*1.25+1.5,IF(I1099&lt;=60,I1099*1.25+3,IF(I1099&lt;=120,I1099*1.25+4,I1099*1.25+5))),
""))),2)</f>
        <v>2107.0100000000002</v>
      </c>
      <c r="I1099" s="9">
        <f>($K$2+0.02)*Tabla1[[#This Row],[PRECIO $]]*1.18</f>
        <v>1898.1952000000001</v>
      </c>
      <c r="J1099" s="7">
        <f>+Tabla1[[#This Row],[PRECIO EN SOLES]]-Tabla1[[#This Row],[PC]]</f>
        <v>208.8148000000001</v>
      </c>
      <c r="K1099" s="15"/>
      <c r="L1099" s="15" t="str">
        <f t="shared" si="17"/>
        <v>GANCHO</v>
      </c>
    </row>
    <row r="1100" spans="1:12" x14ac:dyDescent="0.25">
      <c r="A1100" s="3" t="s">
        <v>4094</v>
      </c>
      <c r="B1100" s="3" t="s">
        <v>4095</v>
      </c>
      <c r="C1100" s="1">
        <v>0</v>
      </c>
      <c r="D1100" s="1">
        <v>450</v>
      </c>
      <c r="E1100" s="1" t="s">
        <v>74</v>
      </c>
      <c r="F1100" s="1" t="s">
        <v>4096</v>
      </c>
      <c r="G1100" s="3" t="s">
        <v>4097</v>
      </c>
      <c r="H1100" s="11">
        <f>ROUND(
IF(L1100="GANCHO",
   IF(I1100&lt;=50,I1100*1.1+4,IF(I1100&lt;=120,I1100*1.1+7,IF(I1100&lt;=250,I1100*1.1+11,I1100*1.1+19))),
IF(L1100="NORMAL",
   IF(I1100&lt;=30,I1100*1.15+2,IF(I1100&lt;=80,I1100*1.15+4,IF(I1100&lt;=150,I1100*1.15+6,I1100*1.15+8))),
IF(L1100="COMPLEMENTO",
   IF(I1100&lt;=25,I1100*1.25+1.5,IF(I1100&lt;=60,I1100*1.25+3,IF(I1100&lt;=120,I1100*1.25+4,I1100*1.25+5))),
""))),2)</f>
        <v>2341.4</v>
      </c>
      <c r="I1100" s="9">
        <f>($K$2+0.02)*Tabla1[[#This Row],[PRECIO $]]*1.18</f>
        <v>1869.12</v>
      </c>
      <c r="J1100" s="7">
        <f>+Tabla1[[#This Row],[PRECIO EN SOLES]]-Tabla1[[#This Row],[PC]]</f>
        <v>472.2800000000002</v>
      </c>
      <c r="K1100" s="15"/>
      <c r="L1100" s="15" t="str">
        <f t="shared" si="17"/>
        <v>COMPLEMENTO</v>
      </c>
    </row>
    <row r="1101" spans="1:12" x14ac:dyDescent="0.25">
      <c r="A1101" s="3" t="s">
        <v>355</v>
      </c>
      <c r="B1101" s="3" t="s">
        <v>356</v>
      </c>
      <c r="C1101" s="1">
        <v>20</v>
      </c>
      <c r="D1101" s="1">
        <v>387</v>
      </c>
      <c r="E1101" s="1" t="s">
        <v>264</v>
      </c>
      <c r="F1101" s="1" t="s">
        <v>3425</v>
      </c>
      <c r="G1101" s="3" t="s">
        <v>357</v>
      </c>
      <c r="H1101" s="11">
        <f>ROUND(
IF(L1101="GANCHO",
   IF(I1101&lt;=50,I1101*1.1+4,IF(I1101&lt;=120,I1101*1.1+7,IF(I1101&lt;=250,I1101*1.1+11,I1101*1.1+19))),
IF(L1101="NORMAL",
   IF(I1101&lt;=30,I1101*1.15+2,IF(I1101&lt;=80,I1101*1.15+4,IF(I1101&lt;=150,I1101*1.15+6,I1101*1.15+8))),
IF(L1101="COMPLEMENTO",
   IF(I1101&lt;=25,I1101*1.25+1.5,IF(I1101&lt;=60,I1101*1.25+3,IF(I1101&lt;=120,I1101*1.25+4,I1101*1.25+5))),
""))),2)</f>
        <v>1787.19</v>
      </c>
      <c r="I1101" s="9">
        <f>($K$2+0.02)*Tabla1[[#This Row],[PRECIO $]]*1.18</f>
        <v>1607.4431999999999</v>
      </c>
      <c r="J1101" s="7">
        <f>+Tabla1[[#This Row],[PRECIO EN SOLES]]-Tabla1[[#This Row],[PC]]</f>
        <v>179.74680000000012</v>
      </c>
      <c r="K1101" s="15"/>
      <c r="L1101" s="15" t="str">
        <f t="shared" si="17"/>
        <v>GANCHO</v>
      </c>
    </row>
    <row r="1102" spans="1:12" x14ac:dyDescent="0.25">
      <c r="A1102" s="3" t="s">
        <v>358</v>
      </c>
      <c r="B1102" s="3" t="s">
        <v>359</v>
      </c>
      <c r="C1102" s="1">
        <v>20</v>
      </c>
      <c r="D1102" s="1">
        <v>537</v>
      </c>
      <c r="E1102" s="1" t="s">
        <v>264</v>
      </c>
      <c r="F1102" s="1" t="s">
        <v>3426</v>
      </c>
      <c r="G1102" s="3" t="s">
        <v>360</v>
      </c>
      <c r="H1102" s="11">
        <f>ROUND(
IF(L1102="GANCHO",
   IF(I1102&lt;=50,I1102*1.1+4,IF(I1102&lt;=120,I1102*1.1+7,IF(I1102&lt;=250,I1102*1.1+11,I1102*1.1+19))),
IF(L1102="NORMAL",
   IF(I1102&lt;=30,I1102*1.15+2,IF(I1102&lt;=80,I1102*1.15+4,IF(I1102&lt;=150,I1102*1.15+6,I1102*1.15+8))),
IF(L1102="COMPLEMENTO",
   IF(I1102&lt;=25,I1102*1.25+1.5,IF(I1102&lt;=60,I1102*1.25+3,IF(I1102&lt;=120,I1102*1.25+4,I1102*1.25+5))),
""))),2)</f>
        <v>2472.5300000000002</v>
      </c>
      <c r="I1102" s="9">
        <f>($K$2+0.02)*Tabla1[[#This Row],[PRECIO $]]*1.18</f>
        <v>2230.4831999999997</v>
      </c>
      <c r="J1102" s="7">
        <f>+Tabla1[[#This Row],[PRECIO EN SOLES]]-Tabla1[[#This Row],[PC]]</f>
        <v>242.04680000000053</v>
      </c>
      <c r="K1102" s="15"/>
      <c r="L1102" s="15" t="str">
        <f t="shared" si="17"/>
        <v>GANCHO</v>
      </c>
    </row>
    <row r="1103" spans="1:12" x14ac:dyDescent="0.25">
      <c r="A1103" s="3" t="s">
        <v>5027</v>
      </c>
      <c r="B1103" s="3" t="s">
        <v>6182</v>
      </c>
      <c r="C1103" s="1">
        <v>20</v>
      </c>
      <c r="D1103" s="1">
        <v>590</v>
      </c>
      <c r="E1103" s="1" t="s">
        <v>851</v>
      </c>
      <c r="F1103" s="1" t="s">
        <v>5028</v>
      </c>
      <c r="G1103" s="3" t="s">
        <v>5530</v>
      </c>
      <c r="H1103" s="11">
        <f>ROUND(
IF(L1103="GANCHO",
   IF(I1103&lt;=50,I1103*1.1+4,IF(I1103&lt;=120,I1103*1.1+7,IF(I1103&lt;=250,I1103*1.1+11,I1103*1.1+19))),
IF(L1103="NORMAL",
   IF(I1103&lt;=30,I1103*1.15+2,IF(I1103&lt;=80,I1103*1.15+4,IF(I1103&lt;=150,I1103*1.15+6,I1103*1.15+8))),
IF(L1103="COMPLEMENTO",
   IF(I1103&lt;=25,I1103*1.25+1.5,IF(I1103&lt;=60,I1103*1.25+3,IF(I1103&lt;=120,I1103*1.25+4,I1103*1.25+5))),
""))),2)</f>
        <v>2714.69</v>
      </c>
      <c r="I1103" s="9">
        <f>($K$2+0.02)*Tabla1[[#This Row],[PRECIO $]]*1.18</f>
        <v>2450.6240000000003</v>
      </c>
      <c r="J1103" s="7">
        <f>+Tabla1[[#This Row],[PRECIO EN SOLES]]-Tabla1[[#This Row],[PC]]</f>
        <v>264.0659999999998</v>
      </c>
      <c r="K1103" s="15"/>
      <c r="L1103" s="15" t="str">
        <f t="shared" si="17"/>
        <v>GANCHO</v>
      </c>
    </row>
    <row r="1104" spans="1:12" x14ac:dyDescent="0.25">
      <c r="A1104" s="3" t="s">
        <v>5029</v>
      </c>
      <c r="B1104" s="3" t="s">
        <v>5030</v>
      </c>
      <c r="C1104" s="1">
        <v>20</v>
      </c>
      <c r="D1104" s="1">
        <v>500</v>
      </c>
      <c r="E1104" s="1" t="s">
        <v>351</v>
      </c>
      <c r="F1104" s="1" t="s">
        <v>5031</v>
      </c>
      <c r="G1104" s="3" t="s">
        <v>5032</v>
      </c>
      <c r="H1104" s="11">
        <f>ROUND(
IF(L1104="GANCHO",
   IF(I1104&lt;=50,I1104*1.1+4,IF(I1104&lt;=120,I1104*1.1+7,IF(I1104&lt;=250,I1104*1.1+11,I1104*1.1+19))),
IF(L1104="NORMAL",
   IF(I1104&lt;=30,I1104*1.15+2,IF(I1104&lt;=80,I1104*1.15+4,IF(I1104&lt;=150,I1104*1.15+6,I1104*1.15+8))),
IF(L1104="COMPLEMENTO",
   IF(I1104&lt;=25,I1104*1.25+1.5,IF(I1104&lt;=60,I1104*1.25+3,IF(I1104&lt;=120,I1104*1.25+4,I1104*1.25+5))),
""))),2)</f>
        <v>2303.48</v>
      </c>
      <c r="I1104" s="9">
        <f>($K$2+0.02)*Tabla1[[#This Row],[PRECIO $]]*1.18</f>
        <v>2076.7999999999997</v>
      </c>
      <c r="J1104" s="7">
        <f>+Tabla1[[#This Row],[PRECIO EN SOLES]]-Tabla1[[#This Row],[PC]]</f>
        <v>226.68000000000029</v>
      </c>
      <c r="K1104" s="15"/>
      <c r="L1104" s="15" t="str">
        <f t="shared" si="17"/>
        <v>GANCHO</v>
      </c>
    </row>
    <row r="1105" spans="1:12" x14ac:dyDescent="0.25">
      <c r="A1105" s="3" t="s">
        <v>6183</v>
      </c>
      <c r="B1105" s="3" t="s">
        <v>6184</v>
      </c>
      <c r="C1105" s="1">
        <v>20</v>
      </c>
      <c r="D1105" s="1">
        <v>487</v>
      </c>
      <c r="E1105" s="1" t="s">
        <v>148</v>
      </c>
      <c r="F1105" s="1" t="s">
        <v>6185</v>
      </c>
      <c r="G1105" s="3" t="s">
        <v>6186</v>
      </c>
      <c r="H1105" s="11">
        <f>ROUND(
IF(L1105="GANCHO",
   IF(I1105&lt;=50,I1105*1.1+4,IF(I1105&lt;=120,I1105*1.1+7,IF(I1105&lt;=250,I1105*1.1+11,I1105*1.1+19))),
IF(L1105="NORMAL",
   IF(I1105&lt;=30,I1105*1.15+2,IF(I1105&lt;=80,I1105*1.15+4,IF(I1105&lt;=150,I1105*1.15+6,I1105*1.15+8))),
IF(L1105="COMPLEMENTO",
   IF(I1105&lt;=25,I1105*1.25+1.5,IF(I1105&lt;=60,I1105*1.25+3,IF(I1105&lt;=120,I1105*1.25+4,I1105*1.25+5))),
""))),2)</f>
        <v>2244.08</v>
      </c>
      <c r="I1105" s="9">
        <f>($K$2+0.02)*Tabla1[[#This Row],[PRECIO $]]*1.18</f>
        <v>2022.8031999999998</v>
      </c>
      <c r="J1105" s="7">
        <f>+Tabla1[[#This Row],[PRECIO EN SOLES]]-Tabla1[[#This Row],[PC]]</f>
        <v>221.27680000000009</v>
      </c>
      <c r="K1105" s="15"/>
      <c r="L1105" s="15" t="str">
        <f t="shared" si="17"/>
        <v>GANCHO</v>
      </c>
    </row>
    <row r="1106" spans="1:12" x14ac:dyDescent="0.25">
      <c r="A1106" s="3" t="s">
        <v>4098</v>
      </c>
      <c r="B1106" s="3" t="s">
        <v>4099</v>
      </c>
      <c r="C1106" s="1">
        <v>0</v>
      </c>
      <c r="D1106" s="1">
        <v>552</v>
      </c>
      <c r="E1106" s="1" t="s">
        <v>264</v>
      </c>
      <c r="F1106" s="1" t="s">
        <v>4100</v>
      </c>
      <c r="G1106" s="3" t="s">
        <v>4101</v>
      </c>
      <c r="H1106" s="11">
        <f>ROUND(
IF(L1106="GANCHO",
   IF(I1106&lt;=50,I1106*1.1+4,IF(I1106&lt;=120,I1106*1.1+7,IF(I1106&lt;=250,I1106*1.1+11,I1106*1.1+19))),
IF(L1106="NORMAL",
   IF(I1106&lt;=30,I1106*1.15+2,IF(I1106&lt;=80,I1106*1.15+4,IF(I1106&lt;=150,I1106*1.15+6,I1106*1.15+8))),
IF(L1106="COMPLEMENTO",
   IF(I1106&lt;=25,I1106*1.25+1.5,IF(I1106&lt;=60,I1106*1.25+3,IF(I1106&lt;=120,I1106*1.25+4,I1106*1.25+5))),
""))),2)</f>
        <v>2541.0700000000002</v>
      </c>
      <c r="I1106" s="9">
        <f>($K$2+0.02)*Tabla1[[#This Row],[PRECIO $]]*1.18</f>
        <v>2292.7871999999998</v>
      </c>
      <c r="J1106" s="7">
        <f>+Tabla1[[#This Row],[PRECIO EN SOLES]]-Tabla1[[#This Row],[PC]]</f>
        <v>248.28280000000041</v>
      </c>
      <c r="K1106" s="15"/>
      <c r="L1106" s="15" t="str">
        <f t="shared" si="17"/>
        <v>GANCHO</v>
      </c>
    </row>
    <row r="1107" spans="1:12" x14ac:dyDescent="0.25">
      <c r="A1107" s="3" t="s">
        <v>1667</v>
      </c>
      <c r="B1107" s="3" t="s">
        <v>1668</v>
      </c>
      <c r="C1107" s="1">
        <v>1</v>
      </c>
      <c r="D1107" s="1">
        <v>160</v>
      </c>
      <c r="E1107" s="1" t="s">
        <v>57</v>
      </c>
      <c r="F1107" s="1" t="s">
        <v>3427</v>
      </c>
      <c r="G1107" s="3"/>
      <c r="H1107" s="11">
        <f>ROUND(
IF(L1107="GANCHO",
   IF(I1107&lt;=50,I1107*1.1+4,IF(I1107&lt;=120,I1107*1.1+7,IF(I1107&lt;=250,I1107*1.1+11,I1107*1.1+19))),
IF(L1107="NORMAL",
   IF(I1107&lt;=30,I1107*1.15+2,IF(I1107&lt;=80,I1107*1.15+4,IF(I1107&lt;=150,I1107*1.15+6,I1107*1.15+8))),
IF(L1107="COMPLEMENTO",
   IF(I1107&lt;=25,I1107*1.25+1.5,IF(I1107&lt;=60,I1107*1.25+3,IF(I1107&lt;=120,I1107*1.25+4,I1107*1.25+5))),
""))),2)</f>
        <v>772.26</v>
      </c>
      <c r="I1107" s="9">
        <f>($K$2+0.02)*Tabla1[[#This Row],[PRECIO $]]*1.18</f>
        <v>664.57600000000002</v>
      </c>
      <c r="J1107" s="7">
        <f>+Tabla1[[#This Row],[PRECIO EN SOLES]]-Tabla1[[#This Row],[PC]]</f>
        <v>107.68399999999997</v>
      </c>
      <c r="K1107" s="15"/>
      <c r="L1107" s="15" t="str">
        <f t="shared" si="17"/>
        <v>NORMAL</v>
      </c>
    </row>
    <row r="1108" spans="1:12" x14ac:dyDescent="0.25">
      <c r="A1108" s="3" t="s">
        <v>5997</v>
      </c>
      <c r="B1108" s="3" t="s">
        <v>5998</v>
      </c>
      <c r="C1108" s="1">
        <v>20</v>
      </c>
      <c r="D1108" s="1">
        <v>206</v>
      </c>
      <c r="E1108" s="1" t="s">
        <v>54</v>
      </c>
      <c r="F1108" s="1" t="s">
        <v>5999</v>
      </c>
      <c r="G1108" s="3" t="s">
        <v>6000</v>
      </c>
      <c r="H1108" s="11">
        <f>ROUND(
IF(L1108="GANCHO",
   IF(I1108&lt;=50,I1108*1.1+4,IF(I1108&lt;=120,I1108*1.1+7,IF(I1108&lt;=250,I1108*1.1+11,I1108*1.1+19))),
IF(L1108="NORMAL",
   IF(I1108&lt;=30,I1108*1.15+2,IF(I1108&lt;=80,I1108*1.15+4,IF(I1108&lt;=150,I1108*1.15+6,I1108*1.15+8))),
IF(L1108="COMPLEMENTO",
   IF(I1108&lt;=25,I1108*1.25+1.5,IF(I1108&lt;=60,I1108*1.25+3,IF(I1108&lt;=120,I1108*1.25+4,I1108*1.25+5))),
""))),2)</f>
        <v>960.21</v>
      </c>
      <c r="I1108" s="9">
        <f>($K$2+0.02)*Tabla1[[#This Row],[PRECIO $]]*1.18</f>
        <v>855.64159999999993</v>
      </c>
      <c r="J1108" s="7">
        <f>+Tabla1[[#This Row],[PRECIO EN SOLES]]-Tabla1[[#This Row],[PC]]</f>
        <v>104.56840000000011</v>
      </c>
      <c r="K1108" s="15"/>
      <c r="L1108" s="15" t="str">
        <f t="shared" si="17"/>
        <v>GANCHO</v>
      </c>
    </row>
    <row r="1109" spans="1:12" x14ac:dyDescent="0.25">
      <c r="A1109" s="3" t="s">
        <v>6001</v>
      </c>
      <c r="B1109" s="3" t="s">
        <v>6002</v>
      </c>
      <c r="C1109" s="1">
        <v>20</v>
      </c>
      <c r="D1109" s="1">
        <v>240</v>
      </c>
      <c r="E1109" s="1" t="s">
        <v>264</v>
      </c>
      <c r="F1109" s="1" t="s">
        <v>6003</v>
      </c>
      <c r="G1109" s="3" t="s">
        <v>6004</v>
      </c>
      <c r="H1109" s="11">
        <f>ROUND(
IF(L1109="GANCHO",
   IF(I1109&lt;=50,I1109*1.1+4,IF(I1109&lt;=120,I1109*1.1+7,IF(I1109&lt;=250,I1109*1.1+11,I1109*1.1+19))),
IF(L1109="NORMAL",
   IF(I1109&lt;=30,I1109*1.15+2,IF(I1109&lt;=80,I1109*1.15+4,IF(I1109&lt;=150,I1109*1.15+6,I1109*1.15+8))),
IF(L1109="COMPLEMENTO",
   IF(I1109&lt;=25,I1109*1.25+1.5,IF(I1109&lt;=60,I1109*1.25+3,IF(I1109&lt;=120,I1109*1.25+4,I1109*1.25+5))),
""))),2)</f>
        <v>1115.55</v>
      </c>
      <c r="I1109" s="9">
        <f>($K$2+0.02)*Tabla1[[#This Row],[PRECIO $]]*1.18</f>
        <v>996.86399999999992</v>
      </c>
      <c r="J1109" s="7">
        <f>+Tabla1[[#This Row],[PRECIO EN SOLES]]-Tabla1[[#This Row],[PC]]</f>
        <v>118.68600000000004</v>
      </c>
      <c r="K1109" s="15"/>
      <c r="L1109" s="15" t="str">
        <f t="shared" si="17"/>
        <v>GANCHO</v>
      </c>
    </row>
    <row r="1110" spans="1:12" x14ac:dyDescent="0.25">
      <c r="A1110" s="3" t="s">
        <v>5531</v>
      </c>
      <c r="B1110" s="3" t="s">
        <v>5532</v>
      </c>
      <c r="C1110" s="1">
        <v>20</v>
      </c>
      <c r="D1110" s="1">
        <v>523</v>
      </c>
      <c r="E1110" s="1" t="s">
        <v>851</v>
      </c>
      <c r="F1110" s="1" t="s">
        <v>5533</v>
      </c>
      <c r="G1110" s="3" t="s">
        <v>6005</v>
      </c>
      <c r="H1110" s="11">
        <f>ROUND(
IF(L1110="GANCHO",
   IF(I1110&lt;=50,I1110*1.1+4,IF(I1110&lt;=120,I1110*1.1+7,IF(I1110&lt;=250,I1110*1.1+11,I1110*1.1+19))),
IF(L1110="NORMAL",
   IF(I1110&lt;=30,I1110*1.15+2,IF(I1110&lt;=80,I1110*1.15+4,IF(I1110&lt;=150,I1110*1.15+6,I1110*1.15+8))),
IF(L1110="COMPLEMENTO",
   IF(I1110&lt;=25,I1110*1.25+1.5,IF(I1110&lt;=60,I1110*1.25+3,IF(I1110&lt;=120,I1110*1.25+4,I1110*1.25+5))),
""))),2)</f>
        <v>2408.5700000000002</v>
      </c>
      <c r="I1110" s="9">
        <f>($K$2+0.02)*Tabla1[[#This Row],[PRECIO $]]*1.18</f>
        <v>2172.3328000000001</v>
      </c>
      <c r="J1110" s="7">
        <f>+Tabla1[[#This Row],[PRECIO EN SOLES]]-Tabla1[[#This Row],[PC]]</f>
        <v>236.23720000000003</v>
      </c>
      <c r="K1110" s="15"/>
      <c r="L1110" s="15" t="str">
        <f t="shared" si="17"/>
        <v>GANCHO</v>
      </c>
    </row>
    <row r="1111" spans="1:12" x14ac:dyDescent="0.25">
      <c r="A1111" s="3" t="s">
        <v>5534</v>
      </c>
      <c r="B1111" s="3" t="s">
        <v>5535</v>
      </c>
      <c r="C1111" s="1">
        <v>20</v>
      </c>
      <c r="D1111" s="1">
        <v>535</v>
      </c>
      <c r="E1111" s="1" t="s">
        <v>351</v>
      </c>
      <c r="F1111" s="1" t="s">
        <v>5536</v>
      </c>
      <c r="G1111" s="3" t="s">
        <v>5537</v>
      </c>
      <c r="H1111" s="11">
        <f>ROUND(
IF(L1111="GANCHO",
   IF(I1111&lt;=50,I1111*1.1+4,IF(I1111&lt;=120,I1111*1.1+7,IF(I1111&lt;=250,I1111*1.1+11,I1111*1.1+19))),
IF(L1111="NORMAL",
   IF(I1111&lt;=30,I1111*1.15+2,IF(I1111&lt;=80,I1111*1.15+4,IF(I1111&lt;=150,I1111*1.15+6,I1111*1.15+8))),
IF(L1111="COMPLEMENTO",
   IF(I1111&lt;=25,I1111*1.25+1.5,IF(I1111&lt;=60,I1111*1.25+3,IF(I1111&lt;=120,I1111*1.25+4,I1111*1.25+5))),
""))),2)</f>
        <v>2463.39</v>
      </c>
      <c r="I1111" s="9">
        <f>($K$2+0.02)*Tabla1[[#This Row],[PRECIO $]]*1.18</f>
        <v>2222.1759999999999</v>
      </c>
      <c r="J1111" s="7">
        <f>+Tabla1[[#This Row],[PRECIO EN SOLES]]-Tabla1[[#This Row],[PC]]</f>
        <v>241.21399999999994</v>
      </c>
      <c r="K1111" s="15"/>
      <c r="L1111" s="15" t="str">
        <f t="shared" si="17"/>
        <v>GANCHO</v>
      </c>
    </row>
    <row r="1112" spans="1:12" x14ac:dyDescent="0.25">
      <c r="A1112" s="3" t="s">
        <v>4488</v>
      </c>
      <c r="B1112" s="3" t="s">
        <v>4489</v>
      </c>
      <c r="C1112" s="1">
        <v>20</v>
      </c>
      <c r="D1112" s="1">
        <v>492</v>
      </c>
      <c r="E1112" s="1" t="s">
        <v>56</v>
      </c>
      <c r="F1112" s="1" t="s">
        <v>4490</v>
      </c>
      <c r="G1112" s="3" t="s">
        <v>4491</v>
      </c>
      <c r="H1112" s="11">
        <f>ROUND(
IF(L1112="GANCHO",
   IF(I1112&lt;=50,I1112*1.1+4,IF(I1112&lt;=120,I1112*1.1+7,IF(I1112&lt;=250,I1112*1.1+11,I1112*1.1+19))),
IF(L1112="NORMAL",
   IF(I1112&lt;=30,I1112*1.15+2,IF(I1112&lt;=80,I1112*1.15+4,IF(I1112&lt;=150,I1112*1.15+6,I1112*1.15+8))),
IF(L1112="COMPLEMENTO",
   IF(I1112&lt;=25,I1112*1.25+1.5,IF(I1112&lt;=60,I1112*1.25+3,IF(I1112&lt;=120,I1112*1.25+4,I1112*1.25+5))),
""))),2)</f>
        <v>2266.9299999999998</v>
      </c>
      <c r="I1112" s="9">
        <f>($K$2+0.02)*Tabla1[[#This Row],[PRECIO $]]*1.18</f>
        <v>2043.5711999999999</v>
      </c>
      <c r="J1112" s="7">
        <f>+Tabla1[[#This Row],[PRECIO EN SOLES]]-Tabla1[[#This Row],[PC]]</f>
        <v>223.35879999999997</v>
      </c>
      <c r="K1112" s="15"/>
      <c r="L1112" s="15" t="str">
        <f t="shared" si="17"/>
        <v>GANCHO</v>
      </c>
    </row>
    <row r="1113" spans="1:12" x14ac:dyDescent="0.25">
      <c r="A1113" s="3" t="s">
        <v>1669</v>
      </c>
      <c r="B1113" s="3" t="s">
        <v>1670</v>
      </c>
      <c r="C1113" s="1">
        <v>20</v>
      </c>
      <c r="D1113" s="1">
        <v>677</v>
      </c>
      <c r="E1113" s="1" t="s">
        <v>783</v>
      </c>
      <c r="F1113" s="1" t="s">
        <v>3428</v>
      </c>
      <c r="G1113" s="3" t="s">
        <v>1671</v>
      </c>
      <c r="H1113" s="11">
        <f>ROUND(
IF(L1113="GANCHO",
   IF(I1113&lt;=50,I1113*1.1+4,IF(I1113&lt;=120,I1113*1.1+7,IF(I1113&lt;=250,I1113*1.1+11,I1113*1.1+19))),
IF(L1113="NORMAL",
   IF(I1113&lt;=30,I1113*1.15+2,IF(I1113&lt;=80,I1113*1.15+4,IF(I1113&lt;=150,I1113*1.15+6,I1113*1.15+8))),
IF(L1113="COMPLEMENTO",
   IF(I1113&lt;=25,I1113*1.25+1.5,IF(I1113&lt;=60,I1113*1.25+3,IF(I1113&lt;=120,I1113*1.25+4,I1113*1.25+5))),
""))),2)</f>
        <v>3112.19</v>
      </c>
      <c r="I1113" s="9">
        <f>($K$2+0.02)*Tabla1[[#This Row],[PRECIO $]]*1.18</f>
        <v>2811.9872</v>
      </c>
      <c r="J1113" s="7">
        <f>+Tabla1[[#This Row],[PRECIO EN SOLES]]-Tabla1[[#This Row],[PC]]</f>
        <v>300.20280000000002</v>
      </c>
      <c r="K1113" s="15"/>
      <c r="L1113" s="15" t="str">
        <f t="shared" si="17"/>
        <v>GANCHO</v>
      </c>
    </row>
    <row r="1114" spans="1:12" x14ac:dyDescent="0.25">
      <c r="A1114" s="3" t="s">
        <v>6622</v>
      </c>
      <c r="B1114" s="3" t="s">
        <v>6623</v>
      </c>
      <c r="C1114" s="1">
        <v>20</v>
      </c>
      <c r="D1114" s="1">
        <v>717</v>
      </c>
      <c r="E1114" s="1" t="s">
        <v>783</v>
      </c>
      <c r="F1114" s="1" t="s">
        <v>6624</v>
      </c>
      <c r="G1114" s="3" t="s">
        <v>1671</v>
      </c>
      <c r="H1114" s="11">
        <f>ROUND(
IF(L1114="GANCHO",
   IF(I1114&lt;=50,I1114*1.1+4,IF(I1114&lt;=120,I1114*1.1+7,IF(I1114&lt;=250,I1114*1.1+11,I1114*1.1+19))),
IF(L1114="NORMAL",
   IF(I1114&lt;=30,I1114*1.15+2,IF(I1114&lt;=80,I1114*1.15+4,IF(I1114&lt;=150,I1114*1.15+6,I1114*1.15+8))),
IF(L1114="COMPLEMENTO",
   IF(I1114&lt;=25,I1114*1.25+1.5,IF(I1114&lt;=60,I1114*1.25+3,IF(I1114&lt;=120,I1114*1.25+4,I1114*1.25+5))),
""))),2)</f>
        <v>3294.94</v>
      </c>
      <c r="I1114" s="9">
        <f>($K$2+0.02)*Tabla1[[#This Row],[PRECIO $]]*1.18</f>
        <v>2978.1311999999998</v>
      </c>
      <c r="J1114" s="7">
        <f>+Tabla1[[#This Row],[PRECIO EN SOLES]]-Tabla1[[#This Row],[PC]]</f>
        <v>316.80880000000025</v>
      </c>
      <c r="K1114" s="15"/>
      <c r="L1114" s="15" t="str">
        <f t="shared" si="17"/>
        <v>GANCHO</v>
      </c>
    </row>
    <row r="1115" spans="1:12" x14ac:dyDescent="0.25">
      <c r="A1115" s="3" t="s">
        <v>1672</v>
      </c>
      <c r="B1115" s="3" t="s">
        <v>1673</v>
      </c>
      <c r="C1115" s="1">
        <v>20</v>
      </c>
      <c r="D1115" s="1">
        <v>527</v>
      </c>
      <c r="E1115" s="1" t="s">
        <v>264</v>
      </c>
      <c r="F1115" s="1" t="s">
        <v>3429</v>
      </c>
      <c r="G1115" s="3" t="s">
        <v>1674</v>
      </c>
      <c r="H1115" s="11">
        <f>ROUND(
IF(L1115="GANCHO",
   IF(I1115&lt;=50,I1115*1.1+4,IF(I1115&lt;=120,I1115*1.1+7,IF(I1115&lt;=250,I1115*1.1+11,I1115*1.1+19))),
IF(L1115="NORMAL",
   IF(I1115&lt;=30,I1115*1.15+2,IF(I1115&lt;=80,I1115*1.15+4,IF(I1115&lt;=150,I1115*1.15+6,I1115*1.15+8))),
IF(L1115="COMPLEMENTO",
   IF(I1115&lt;=25,I1115*1.25+1.5,IF(I1115&lt;=60,I1115*1.25+3,IF(I1115&lt;=120,I1115*1.25+4,I1115*1.25+5))),
""))),2)</f>
        <v>2426.84</v>
      </c>
      <c r="I1115" s="9">
        <f>($K$2+0.02)*Tabla1[[#This Row],[PRECIO $]]*1.18</f>
        <v>2188.9472000000001</v>
      </c>
      <c r="J1115" s="7">
        <f>+Tabla1[[#This Row],[PRECIO EN SOLES]]-Tabla1[[#This Row],[PC]]</f>
        <v>237.89280000000008</v>
      </c>
      <c r="K1115" s="15"/>
      <c r="L1115" s="15" t="str">
        <f t="shared" si="17"/>
        <v>GANCHO</v>
      </c>
    </row>
    <row r="1116" spans="1:12" x14ac:dyDescent="0.25">
      <c r="A1116" s="3" t="s">
        <v>4022</v>
      </c>
      <c r="B1116" s="3" t="s">
        <v>1673</v>
      </c>
      <c r="C1116" s="1">
        <v>20</v>
      </c>
      <c r="D1116" s="1">
        <v>540</v>
      </c>
      <c r="E1116" s="1" t="s">
        <v>264</v>
      </c>
      <c r="F1116" s="1" t="s">
        <v>4023</v>
      </c>
      <c r="G1116" s="3" t="s">
        <v>1674</v>
      </c>
      <c r="H1116" s="11">
        <f>ROUND(
IF(L1116="GANCHO",
   IF(I1116&lt;=50,I1116*1.1+4,IF(I1116&lt;=120,I1116*1.1+7,IF(I1116&lt;=250,I1116*1.1+11,I1116*1.1+19))),
IF(L1116="NORMAL",
   IF(I1116&lt;=30,I1116*1.15+2,IF(I1116&lt;=80,I1116*1.15+4,IF(I1116&lt;=150,I1116*1.15+6,I1116*1.15+8))),
IF(L1116="COMPLEMENTO",
   IF(I1116&lt;=25,I1116*1.25+1.5,IF(I1116&lt;=60,I1116*1.25+3,IF(I1116&lt;=120,I1116*1.25+4,I1116*1.25+5))),
""))),2)</f>
        <v>2486.2399999999998</v>
      </c>
      <c r="I1116" s="9">
        <f>($K$2+0.02)*Tabla1[[#This Row],[PRECIO $]]*1.18</f>
        <v>2242.944</v>
      </c>
      <c r="J1116" s="7">
        <f>+Tabla1[[#This Row],[PRECIO EN SOLES]]-Tabla1[[#This Row],[PC]]</f>
        <v>243.29599999999982</v>
      </c>
      <c r="K1116" s="15"/>
      <c r="L1116" s="15" t="str">
        <f t="shared" si="17"/>
        <v>GANCHO</v>
      </c>
    </row>
    <row r="1117" spans="1:12" x14ac:dyDescent="0.25">
      <c r="A1117" s="3" t="s">
        <v>5538</v>
      </c>
      <c r="B1117" s="3" t="s">
        <v>5539</v>
      </c>
      <c r="C1117" s="1">
        <v>20</v>
      </c>
      <c r="D1117" s="1">
        <v>685</v>
      </c>
      <c r="E1117" s="1" t="s">
        <v>851</v>
      </c>
      <c r="F1117" s="1" t="s">
        <v>5540</v>
      </c>
      <c r="G1117" s="3" t="s">
        <v>5541</v>
      </c>
      <c r="H1117" s="11">
        <f>ROUND(
IF(L1117="GANCHO",
   IF(I1117&lt;=50,I1117*1.1+4,IF(I1117&lt;=120,I1117*1.1+7,IF(I1117&lt;=250,I1117*1.1+11,I1117*1.1+19))),
IF(L1117="NORMAL",
   IF(I1117&lt;=30,I1117*1.15+2,IF(I1117&lt;=80,I1117*1.15+4,IF(I1117&lt;=150,I1117*1.15+6,I1117*1.15+8))),
IF(L1117="COMPLEMENTO",
   IF(I1117&lt;=25,I1117*1.25+1.5,IF(I1117&lt;=60,I1117*1.25+3,IF(I1117&lt;=120,I1117*1.25+4,I1117*1.25+5))),
""))),2)</f>
        <v>3148.74</v>
      </c>
      <c r="I1117" s="9">
        <f>($K$2+0.02)*Tabla1[[#This Row],[PRECIO $]]*1.18</f>
        <v>2845.2159999999994</v>
      </c>
      <c r="J1117" s="7">
        <f>+Tabla1[[#This Row],[PRECIO EN SOLES]]-Tabla1[[#This Row],[PC]]</f>
        <v>303.52400000000034</v>
      </c>
      <c r="K1117" s="15"/>
      <c r="L1117" s="15" t="str">
        <f t="shared" si="17"/>
        <v>GANCHO</v>
      </c>
    </row>
    <row r="1118" spans="1:12" x14ac:dyDescent="0.25">
      <c r="A1118" s="3" t="s">
        <v>6625</v>
      </c>
      <c r="B1118" s="3" t="s">
        <v>6626</v>
      </c>
      <c r="C1118" s="1">
        <v>20</v>
      </c>
      <c r="D1118" s="1">
        <v>905</v>
      </c>
      <c r="E1118" s="1" t="s">
        <v>783</v>
      </c>
      <c r="F1118" s="1" t="s">
        <v>6627</v>
      </c>
      <c r="G1118" s="3" t="s">
        <v>6628</v>
      </c>
      <c r="H1118" s="11">
        <f>ROUND(
IF(L1118="GANCHO",
   IF(I1118&lt;=50,I1118*1.1+4,IF(I1118&lt;=120,I1118*1.1+7,IF(I1118&lt;=250,I1118*1.1+11,I1118*1.1+19))),
IF(L1118="NORMAL",
   IF(I1118&lt;=30,I1118*1.15+2,IF(I1118&lt;=80,I1118*1.15+4,IF(I1118&lt;=150,I1118*1.15+6,I1118*1.15+8))),
IF(L1118="COMPLEMENTO",
   IF(I1118&lt;=25,I1118*1.25+1.5,IF(I1118&lt;=60,I1118*1.25+3,IF(I1118&lt;=120,I1118*1.25+4,I1118*1.25+5))),
""))),2)</f>
        <v>4153.91</v>
      </c>
      <c r="I1118" s="9">
        <f>($K$2+0.02)*Tabla1[[#This Row],[PRECIO $]]*1.18</f>
        <v>3759.0079999999998</v>
      </c>
      <c r="J1118" s="7">
        <f>+Tabla1[[#This Row],[PRECIO EN SOLES]]-Tabla1[[#This Row],[PC]]</f>
        <v>394.90200000000004</v>
      </c>
      <c r="K1118" s="15"/>
      <c r="L1118" s="15" t="str">
        <f t="shared" si="17"/>
        <v>GANCHO</v>
      </c>
    </row>
    <row r="1119" spans="1:12" x14ac:dyDescent="0.25">
      <c r="A1119" s="3" t="s">
        <v>7098</v>
      </c>
      <c r="B1119" s="3" t="s">
        <v>7099</v>
      </c>
      <c r="C1119" s="1">
        <v>7</v>
      </c>
      <c r="D1119" s="1">
        <v>390</v>
      </c>
      <c r="E1119" s="1" t="s">
        <v>351</v>
      </c>
      <c r="F1119" s="1" t="s">
        <v>7100</v>
      </c>
      <c r="G1119" s="3"/>
      <c r="H1119" s="11">
        <f>ROUND(
IF(L1119="GANCHO",
   IF(I1119&lt;=50,I1119*1.1+4,IF(I1119&lt;=120,I1119*1.1+7,IF(I1119&lt;=250,I1119*1.1+11,I1119*1.1+19))),
IF(L1119="NORMAL",
   IF(I1119&lt;=30,I1119*1.15+2,IF(I1119&lt;=80,I1119*1.15+4,IF(I1119&lt;=150,I1119*1.15+6,I1119*1.15+8))),
IF(L1119="COMPLEMENTO",
   IF(I1119&lt;=25,I1119*1.25+1.5,IF(I1119&lt;=60,I1119*1.25+3,IF(I1119&lt;=120,I1119*1.25+4,I1119*1.25+5))),
""))),2)</f>
        <v>1800.89</v>
      </c>
      <c r="I1119" s="9">
        <f>($K$2+0.02)*Tabla1[[#This Row],[PRECIO $]]*1.18</f>
        <v>1619.9039999999998</v>
      </c>
      <c r="J1119" s="7">
        <f>+Tabla1[[#This Row],[PRECIO EN SOLES]]-Tabla1[[#This Row],[PC]]</f>
        <v>180.98600000000033</v>
      </c>
      <c r="K1119" s="15"/>
      <c r="L1119" s="15" t="str">
        <f t="shared" si="17"/>
        <v>GANCHO</v>
      </c>
    </row>
    <row r="1120" spans="1:12" x14ac:dyDescent="0.25">
      <c r="A1120" s="3" t="s">
        <v>361</v>
      </c>
      <c r="B1120" s="3" t="s">
        <v>362</v>
      </c>
      <c r="C1120" s="1">
        <v>20</v>
      </c>
      <c r="D1120" s="1">
        <v>336</v>
      </c>
      <c r="E1120" s="1" t="s">
        <v>264</v>
      </c>
      <c r="F1120" s="1" t="s">
        <v>3430</v>
      </c>
      <c r="G1120" s="3" t="s">
        <v>363</v>
      </c>
      <c r="H1120" s="11">
        <f>ROUND(
IF(L1120="GANCHO",
   IF(I1120&lt;=50,I1120*1.1+4,IF(I1120&lt;=120,I1120*1.1+7,IF(I1120&lt;=250,I1120*1.1+11,I1120*1.1+19))),
IF(L1120="NORMAL",
   IF(I1120&lt;=30,I1120*1.15+2,IF(I1120&lt;=80,I1120*1.15+4,IF(I1120&lt;=150,I1120*1.15+6,I1120*1.15+8))),
IF(L1120="COMPLEMENTO",
   IF(I1120&lt;=25,I1120*1.25+1.5,IF(I1120&lt;=60,I1120*1.25+3,IF(I1120&lt;=120,I1120*1.25+4,I1120*1.25+5))),
""))),2)</f>
        <v>1554.17</v>
      </c>
      <c r="I1120" s="9">
        <f>($K$2+0.02)*Tabla1[[#This Row],[PRECIO $]]*1.18</f>
        <v>1395.6096</v>
      </c>
      <c r="J1120" s="7">
        <f>+Tabla1[[#This Row],[PRECIO EN SOLES]]-Tabla1[[#This Row],[PC]]</f>
        <v>158.56040000000007</v>
      </c>
      <c r="K1120" s="15"/>
      <c r="L1120" s="15" t="str">
        <f t="shared" si="17"/>
        <v>GANCHO</v>
      </c>
    </row>
    <row r="1121" spans="1:12" x14ac:dyDescent="0.25">
      <c r="A1121" s="3" t="s">
        <v>364</v>
      </c>
      <c r="B1121" s="3" t="s">
        <v>365</v>
      </c>
      <c r="C1121" s="1">
        <v>20</v>
      </c>
      <c r="D1121" s="1">
        <v>356.9</v>
      </c>
      <c r="E1121" s="1" t="s">
        <v>264</v>
      </c>
      <c r="F1121" s="1" t="s">
        <v>3431</v>
      </c>
      <c r="G1121" s="3" t="s">
        <v>363</v>
      </c>
      <c r="H1121" s="11">
        <f>ROUND(
IF(L1121="GANCHO",
   IF(I1121&lt;=50,I1121*1.1+4,IF(I1121&lt;=120,I1121*1.1+7,IF(I1121&lt;=250,I1121*1.1+11,I1121*1.1+19))),
IF(L1121="NORMAL",
   IF(I1121&lt;=30,I1121*1.15+2,IF(I1121&lt;=80,I1121*1.15+4,IF(I1121&lt;=150,I1121*1.15+6,I1121*1.15+8))),
IF(L1121="COMPLEMENTO",
   IF(I1121&lt;=25,I1121*1.25+1.5,IF(I1121&lt;=60,I1121*1.25+3,IF(I1121&lt;=120,I1121*1.25+4,I1121*1.25+5))),
""))),2)</f>
        <v>1649.66</v>
      </c>
      <c r="I1121" s="9">
        <f>($K$2+0.02)*Tabla1[[#This Row],[PRECIO $]]*1.18</f>
        <v>1482.41984</v>
      </c>
      <c r="J1121" s="7">
        <f>+Tabla1[[#This Row],[PRECIO EN SOLES]]-Tabla1[[#This Row],[PC]]</f>
        <v>167.24016000000006</v>
      </c>
      <c r="K1121" s="15"/>
      <c r="L1121" s="15" t="str">
        <f t="shared" si="17"/>
        <v>GANCHO</v>
      </c>
    </row>
    <row r="1122" spans="1:12" x14ac:dyDescent="0.25">
      <c r="A1122" s="3" t="s">
        <v>1675</v>
      </c>
      <c r="B1122" s="3" t="s">
        <v>365</v>
      </c>
      <c r="C1122" s="1">
        <v>20</v>
      </c>
      <c r="D1122" s="1">
        <v>407.5</v>
      </c>
      <c r="E1122" s="1" t="s">
        <v>264</v>
      </c>
      <c r="F1122" s="1" t="s">
        <v>3432</v>
      </c>
      <c r="G1122" s="3" t="s">
        <v>1676</v>
      </c>
      <c r="H1122" s="11">
        <f>ROUND(
IF(L1122="GANCHO",
   IF(I1122&lt;=50,I1122*1.1+4,IF(I1122&lt;=120,I1122*1.1+7,IF(I1122&lt;=250,I1122*1.1+11,I1122*1.1+19))),
IF(L1122="NORMAL",
   IF(I1122&lt;=30,I1122*1.15+2,IF(I1122&lt;=80,I1122*1.15+4,IF(I1122&lt;=150,I1122*1.15+6,I1122*1.15+8))),
IF(L1122="COMPLEMENTO",
   IF(I1122&lt;=25,I1122*1.25+1.5,IF(I1122&lt;=60,I1122*1.25+3,IF(I1122&lt;=120,I1122*1.25+4,I1122*1.25+5))),
""))),2)</f>
        <v>1880.85</v>
      </c>
      <c r="I1122" s="9">
        <f>($K$2+0.02)*Tabla1[[#This Row],[PRECIO $]]*1.18</f>
        <v>1692.5920000000001</v>
      </c>
      <c r="J1122" s="7">
        <f>+Tabla1[[#This Row],[PRECIO EN SOLES]]-Tabla1[[#This Row],[PC]]</f>
        <v>188.25799999999981</v>
      </c>
      <c r="K1122" s="15"/>
      <c r="L1122" s="15" t="str">
        <f t="shared" si="17"/>
        <v>GANCHO</v>
      </c>
    </row>
    <row r="1123" spans="1:12" x14ac:dyDescent="0.25">
      <c r="A1123" s="3" t="s">
        <v>1677</v>
      </c>
      <c r="B1123" s="3" t="s">
        <v>362</v>
      </c>
      <c r="C1123" s="1">
        <v>20</v>
      </c>
      <c r="D1123" s="1">
        <v>378</v>
      </c>
      <c r="E1123" s="1" t="s">
        <v>264</v>
      </c>
      <c r="F1123" s="1" t="s">
        <v>3433</v>
      </c>
      <c r="G1123" s="3" t="s">
        <v>1676</v>
      </c>
      <c r="H1123" s="11">
        <f>ROUND(
IF(L1123="GANCHO",
   IF(I1123&lt;=50,I1123*1.1+4,IF(I1123&lt;=120,I1123*1.1+7,IF(I1123&lt;=250,I1123*1.1+11,I1123*1.1+19))),
IF(L1123="NORMAL",
   IF(I1123&lt;=30,I1123*1.15+2,IF(I1123&lt;=80,I1123*1.15+4,IF(I1123&lt;=150,I1123*1.15+6,I1123*1.15+8))),
IF(L1123="COMPLEMENTO",
   IF(I1123&lt;=25,I1123*1.25+1.5,IF(I1123&lt;=60,I1123*1.25+3,IF(I1123&lt;=120,I1123*1.25+4,I1123*1.25+5))),
""))),2)</f>
        <v>1746.07</v>
      </c>
      <c r="I1123" s="9">
        <f>($K$2+0.02)*Tabla1[[#This Row],[PRECIO $]]*1.18</f>
        <v>1570.0607999999997</v>
      </c>
      <c r="J1123" s="7">
        <f>+Tabla1[[#This Row],[PRECIO EN SOLES]]-Tabla1[[#This Row],[PC]]</f>
        <v>176.00920000000019</v>
      </c>
      <c r="K1123" s="15"/>
      <c r="L1123" s="15" t="str">
        <f t="shared" si="17"/>
        <v>GANCHO</v>
      </c>
    </row>
    <row r="1124" spans="1:12" x14ac:dyDescent="0.25">
      <c r="A1124" s="3" t="s">
        <v>5542</v>
      </c>
      <c r="B1124" s="3" t="s">
        <v>5543</v>
      </c>
      <c r="C1124" s="1">
        <v>20</v>
      </c>
      <c r="D1124" s="1">
        <v>565</v>
      </c>
      <c r="E1124" s="1" t="s">
        <v>851</v>
      </c>
      <c r="F1124" s="1" t="s">
        <v>5544</v>
      </c>
      <c r="G1124" s="3" t="s">
        <v>5545</v>
      </c>
      <c r="H1124" s="11">
        <f>ROUND(
IF(L1124="GANCHO",
   IF(I1124&lt;=50,I1124*1.1+4,IF(I1124&lt;=120,I1124*1.1+7,IF(I1124&lt;=250,I1124*1.1+11,I1124*1.1+19))),
IF(L1124="NORMAL",
   IF(I1124&lt;=30,I1124*1.15+2,IF(I1124&lt;=80,I1124*1.15+4,IF(I1124&lt;=150,I1124*1.15+6,I1124*1.15+8))),
IF(L1124="COMPLEMENTO",
   IF(I1124&lt;=25,I1124*1.25+1.5,IF(I1124&lt;=60,I1124*1.25+3,IF(I1124&lt;=120,I1124*1.25+4,I1124*1.25+5))),
""))),2)</f>
        <v>2600.46</v>
      </c>
      <c r="I1124" s="9">
        <f>($K$2+0.02)*Tabla1[[#This Row],[PRECIO $]]*1.18</f>
        <v>2346.7839999999997</v>
      </c>
      <c r="J1124" s="7">
        <f>+Tabla1[[#This Row],[PRECIO EN SOLES]]-Tabla1[[#This Row],[PC]]</f>
        <v>253.67600000000039</v>
      </c>
      <c r="K1124" s="15"/>
      <c r="L1124" s="15" t="str">
        <f t="shared" si="17"/>
        <v>GANCHO</v>
      </c>
    </row>
    <row r="1125" spans="1:12" x14ac:dyDescent="0.25">
      <c r="A1125" s="3" t="s">
        <v>1678</v>
      </c>
      <c r="B1125" s="3" t="s">
        <v>1679</v>
      </c>
      <c r="C1125" s="1">
        <v>2</v>
      </c>
      <c r="D1125" s="1">
        <v>548</v>
      </c>
      <c r="E1125" s="1" t="s">
        <v>351</v>
      </c>
      <c r="F1125" s="1" t="s">
        <v>3434</v>
      </c>
      <c r="G1125" s="3" t="s">
        <v>1680</v>
      </c>
      <c r="H1125" s="11">
        <f>ROUND(
IF(L1125="GANCHO",
   IF(I1125&lt;=50,I1125*1.1+4,IF(I1125&lt;=120,I1125*1.1+7,IF(I1125&lt;=250,I1125*1.1+11,I1125*1.1+19))),
IF(L1125="NORMAL",
   IF(I1125&lt;=30,I1125*1.15+2,IF(I1125&lt;=80,I1125*1.15+4,IF(I1125&lt;=150,I1125*1.15+6,I1125*1.15+8))),
IF(L1125="COMPLEMENTO",
   IF(I1125&lt;=25,I1125*1.25+1.5,IF(I1125&lt;=60,I1125*1.25+3,IF(I1125&lt;=120,I1125*1.25+4,I1125*1.25+5))),
""))),2)</f>
        <v>2522.79</v>
      </c>
      <c r="I1125" s="9">
        <f>($K$2+0.02)*Tabla1[[#This Row],[PRECIO $]]*1.18</f>
        <v>2276.1727999999998</v>
      </c>
      <c r="J1125" s="7">
        <f>+Tabla1[[#This Row],[PRECIO EN SOLES]]-Tabla1[[#This Row],[PC]]</f>
        <v>246.61720000000014</v>
      </c>
      <c r="K1125" s="15"/>
      <c r="L1125" s="15" t="str">
        <f t="shared" si="17"/>
        <v>GANCHO</v>
      </c>
    </row>
    <row r="1126" spans="1:12" x14ac:dyDescent="0.25">
      <c r="A1126" s="3" t="s">
        <v>366</v>
      </c>
      <c r="B1126" s="3" t="s">
        <v>367</v>
      </c>
      <c r="C1126" s="1">
        <v>20</v>
      </c>
      <c r="D1126" s="1">
        <v>434</v>
      </c>
      <c r="E1126" s="1" t="s">
        <v>56</v>
      </c>
      <c r="F1126" s="1" t="s">
        <v>3435</v>
      </c>
      <c r="G1126" s="3" t="s">
        <v>368</v>
      </c>
      <c r="H1126" s="11">
        <f>ROUND(
IF(L1126="GANCHO",
   IF(I1126&lt;=50,I1126*1.1+4,IF(I1126&lt;=120,I1126*1.1+7,IF(I1126&lt;=250,I1126*1.1+11,I1126*1.1+19))),
IF(L1126="NORMAL",
   IF(I1126&lt;=30,I1126*1.15+2,IF(I1126&lt;=80,I1126*1.15+4,IF(I1126&lt;=150,I1126*1.15+6,I1126*1.15+8))),
IF(L1126="COMPLEMENTO",
   IF(I1126&lt;=25,I1126*1.25+1.5,IF(I1126&lt;=60,I1126*1.25+3,IF(I1126&lt;=120,I1126*1.25+4,I1126*1.25+5))),
""))),2)</f>
        <v>2001.93</v>
      </c>
      <c r="I1126" s="9">
        <f>($K$2+0.02)*Tabla1[[#This Row],[PRECIO $]]*1.18</f>
        <v>1802.6623999999999</v>
      </c>
      <c r="J1126" s="7">
        <f>+Tabla1[[#This Row],[PRECIO EN SOLES]]-Tabla1[[#This Row],[PC]]</f>
        <v>199.26760000000013</v>
      </c>
      <c r="K1126" s="15"/>
      <c r="L1126" s="15" t="str">
        <f t="shared" si="17"/>
        <v>GANCHO</v>
      </c>
    </row>
    <row r="1127" spans="1:12" x14ac:dyDescent="0.25">
      <c r="A1127" s="3" t="s">
        <v>4636</v>
      </c>
      <c r="B1127" s="3" t="s">
        <v>4637</v>
      </c>
      <c r="C1127" s="1">
        <v>20</v>
      </c>
      <c r="D1127" s="1">
        <v>476</v>
      </c>
      <c r="E1127" s="1" t="s">
        <v>56</v>
      </c>
      <c r="F1127" s="1" t="s">
        <v>4638</v>
      </c>
      <c r="G1127" s="3" t="s">
        <v>4639</v>
      </c>
      <c r="H1127" s="11">
        <f>ROUND(
IF(L1127="GANCHO",
   IF(I1127&lt;=50,I1127*1.1+4,IF(I1127&lt;=120,I1127*1.1+7,IF(I1127&lt;=250,I1127*1.1+11,I1127*1.1+19))),
IF(L1127="NORMAL",
   IF(I1127&lt;=30,I1127*1.15+2,IF(I1127&lt;=80,I1127*1.15+4,IF(I1127&lt;=150,I1127*1.15+6,I1127*1.15+8))),
IF(L1127="COMPLEMENTO",
   IF(I1127&lt;=25,I1127*1.25+1.5,IF(I1127&lt;=60,I1127*1.25+3,IF(I1127&lt;=120,I1127*1.25+4,I1127*1.25+5))),
""))),2)</f>
        <v>2193.8200000000002</v>
      </c>
      <c r="I1127" s="9">
        <f>($K$2+0.02)*Tabla1[[#This Row],[PRECIO $]]*1.18</f>
        <v>1977.1135999999999</v>
      </c>
      <c r="J1127" s="7">
        <f>+Tabla1[[#This Row],[PRECIO EN SOLES]]-Tabla1[[#This Row],[PC]]</f>
        <v>216.70640000000026</v>
      </c>
      <c r="K1127" s="15"/>
      <c r="L1127" s="15" t="str">
        <f t="shared" si="17"/>
        <v>GANCHO</v>
      </c>
    </row>
    <row r="1128" spans="1:12" x14ac:dyDescent="0.25">
      <c r="A1128" s="3" t="s">
        <v>4024</v>
      </c>
      <c r="B1128" s="3" t="s">
        <v>4025</v>
      </c>
      <c r="C1128" s="1">
        <v>0</v>
      </c>
      <c r="D1128" s="1">
        <v>453.5</v>
      </c>
      <c r="E1128" s="1" t="s">
        <v>148</v>
      </c>
      <c r="F1128" s="1" t="s">
        <v>4026</v>
      </c>
      <c r="G1128" s="3" t="s">
        <v>4027</v>
      </c>
      <c r="H1128" s="11">
        <f>ROUND(
IF(L1128="GANCHO",
   IF(I1128&lt;=50,I1128*1.1+4,IF(I1128&lt;=120,I1128*1.1+7,IF(I1128&lt;=250,I1128*1.1+11,I1128*1.1+19))),
IF(L1128="NORMAL",
   IF(I1128&lt;=30,I1128*1.15+2,IF(I1128&lt;=80,I1128*1.15+4,IF(I1128&lt;=150,I1128*1.15+6,I1128*1.15+8))),
IF(L1128="COMPLEMENTO",
   IF(I1128&lt;=25,I1128*1.25+1.5,IF(I1128&lt;=60,I1128*1.25+3,IF(I1128&lt;=120,I1128*1.25+4,I1128*1.25+5))),
""))),2)</f>
        <v>2091.02</v>
      </c>
      <c r="I1128" s="9">
        <f>($K$2+0.02)*Tabla1[[#This Row],[PRECIO $]]*1.18</f>
        <v>1883.6575999999998</v>
      </c>
      <c r="J1128" s="7">
        <f>+Tabla1[[#This Row],[PRECIO EN SOLES]]-Tabla1[[#This Row],[PC]]</f>
        <v>207.36240000000021</v>
      </c>
      <c r="K1128" s="15"/>
      <c r="L1128" s="15" t="str">
        <f t="shared" si="17"/>
        <v>GANCHO</v>
      </c>
    </row>
    <row r="1129" spans="1:12" x14ac:dyDescent="0.25">
      <c r="A1129" s="3" t="s">
        <v>1681</v>
      </c>
      <c r="B1129" s="3" t="s">
        <v>1682</v>
      </c>
      <c r="C1129" s="1">
        <v>20</v>
      </c>
      <c r="D1129" s="1">
        <v>445</v>
      </c>
      <c r="E1129" s="1" t="s">
        <v>264</v>
      </c>
      <c r="F1129" s="1" t="s">
        <v>3436</v>
      </c>
      <c r="G1129" s="3" t="s">
        <v>1683</v>
      </c>
      <c r="H1129" s="11">
        <f>ROUND(
IF(L1129="GANCHO",
   IF(I1129&lt;=50,I1129*1.1+4,IF(I1129&lt;=120,I1129*1.1+7,IF(I1129&lt;=250,I1129*1.1+11,I1129*1.1+19))),
IF(L1129="NORMAL",
   IF(I1129&lt;=30,I1129*1.15+2,IF(I1129&lt;=80,I1129*1.15+4,IF(I1129&lt;=150,I1129*1.15+6,I1129*1.15+8))),
IF(L1129="COMPLEMENTO",
   IF(I1129&lt;=25,I1129*1.25+1.5,IF(I1129&lt;=60,I1129*1.25+3,IF(I1129&lt;=120,I1129*1.25+4,I1129*1.25+5))),
""))),2)</f>
        <v>2052.19</v>
      </c>
      <c r="I1129" s="9">
        <f>($K$2+0.02)*Tabla1[[#This Row],[PRECIO $]]*1.18</f>
        <v>1848.3520000000001</v>
      </c>
      <c r="J1129" s="7">
        <f>+Tabla1[[#This Row],[PRECIO EN SOLES]]-Tabla1[[#This Row],[PC]]</f>
        <v>203.83799999999997</v>
      </c>
      <c r="K1129" s="15"/>
      <c r="L1129" s="15" t="str">
        <f t="shared" si="17"/>
        <v>GANCHO</v>
      </c>
    </row>
    <row r="1130" spans="1:12" x14ac:dyDescent="0.25">
      <c r="A1130" s="3" t="s">
        <v>2609</v>
      </c>
      <c r="B1130" s="3" t="s">
        <v>370</v>
      </c>
      <c r="C1130" s="1">
        <v>20</v>
      </c>
      <c r="D1130" s="1">
        <v>462</v>
      </c>
      <c r="E1130" s="1" t="s">
        <v>74</v>
      </c>
      <c r="F1130" s="1" t="s">
        <v>3437</v>
      </c>
      <c r="G1130" s="3" t="s">
        <v>371</v>
      </c>
      <c r="H1130" s="11">
        <f>ROUND(
IF(L1130="GANCHO",
   IF(I1130&lt;=50,I1130*1.1+4,IF(I1130&lt;=120,I1130*1.1+7,IF(I1130&lt;=250,I1130*1.1+11,I1130*1.1+19))),
IF(L1130="NORMAL",
   IF(I1130&lt;=30,I1130*1.15+2,IF(I1130&lt;=80,I1130*1.15+4,IF(I1130&lt;=150,I1130*1.15+6,I1130*1.15+8))),
IF(L1130="COMPLEMENTO",
   IF(I1130&lt;=25,I1130*1.25+1.5,IF(I1130&lt;=60,I1130*1.25+3,IF(I1130&lt;=120,I1130*1.25+4,I1130*1.25+5))),
""))),2)</f>
        <v>2129.86</v>
      </c>
      <c r="I1130" s="9">
        <f>($K$2+0.02)*Tabla1[[#This Row],[PRECIO $]]*1.18</f>
        <v>1918.9631999999999</v>
      </c>
      <c r="J1130" s="7">
        <f>+Tabla1[[#This Row],[PRECIO EN SOLES]]-Tabla1[[#This Row],[PC]]</f>
        <v>210.89680000000021</v>
      </c>
      <c r="K1130" s="15"/>
      <c r="L1130" s="15" t="str">
        <f t="shared" si="17"/>
        <v>GANCHO</v>
      </c>
    </row>
    <row r="1131" spans="1:12" x14ac:dyDescent="0.25">
      <c r="A1131" s="3" t="s">
        <v>372</v>
      </c>
      <c r="B1131" s="3" t="s">
        <v>370</v>
      </c>
      <c r="C1131" s="1">
        <v>20</v>
      </c>
      <c r="D1131" s="1">
        <v>462</v>
      </c>
      <c r="E1131" s="1" t="s">
        <v>74</v>
      </c>
      <c r="F1131" s="1" t="s">
        <v>3438</v>
      </c>
      <c r="G1131" s="3" t="s">
        <v>373</v>
      </c>
      <c r="H1131" s="11">
        <f>ROUND(
IF(L1131="GANCHO",
   IF(I1131&lt;=50,I1131*1.1+4,IF(I1131&lt;=120,I1131*1.1+7,IF(I1131&lt;=250,I1131*1.1+11,I1131*1.1+19))),
IF(L1131="NORMAL",
   IF(I1131&lt;=30,I1131*1.15+2,IF(I1131&lt;=80,I1131*1.15+4,IF(I1131&lt;=150,I1131*1.15+6,I1131*1.15+8))),
IF(L1131="COMPLEMENTO",
   IF(I1131&lt;=25,I1131*1.25+1.5,IF(I1131&lt;=60,I1131*1.25+3,IF(I1131&lt;=120,I1131*1.25+4,I1131*1.25+5))),
""))),2)</f>
        <v>2129.86</v>
      </c>
      <c r="I1131" s="9">
        <f>($K$2+0.02)*Tabla1[[#This Row],[PRECIO $]]*1.18</f>
        <v>1918.9631999999999</v>
      </c>
      <c r="J1131" s="7">
        <f>+Tabla1[[#This Row],[PRECIO EN SOLES]]-Tabla1[[#This Row],[PC]]</f>
        <v>210.89680000000021</v>
      </c>
      <c r="K1131" s="15"/>
      <c r="L1131" s="15" t="str">
        <f t="shared" si="17"/>
        <v>GANCHO</v>
      </c>
    </row>
    <row r="1132" spans="1:12" x14ac:dyDescent="0.25">
      <c r="A1132" s="3" t="s">
        <v>4102</v>
      </c>
      <c r="B1132" s="3" t="s">
        <v>4103</v>
      </c>
      <c r="C1132" s="1">
        <v>20</v>
      </c>
      <c r="D1132" s="1">
        <v>460</v>
      </c>
      <c r="E1132" s="1" t="s">
        <v>74</v>
      </c>
      <c r="F1132" s="1" t="s">
        <v>4104</v>
      </c>
      <c r="G1132" s="3" t="s">
        <v>4105</v>
      </c>
      <c r="H1132" s="11">
        <f>ROUND(
IF(L1132="GANCHO",
   IF(I1132&lt;=50,I1132*1.1+4,IF(I1132&lt;=120,I1132*1.1+7,IF(I1132&lt;=250,I1132*1.1+11,I1132*1.1+19))),
IF(L1132="NORMAL",
   IF(I1132&lt;=30,I1132*1.15+2,IF(I1132&lt;=80,I1132*1.15+4,IF(I1132&lt;=150,I1132*1.15+6,I1132*1.15+8))),
IF(L1132="COMPLEMENTO",
   IF(I1132&lt;=25,I1132*1.25+1.5,IF(I1132&lt;=60,I1132*1.25+3,IF(I1132&lt;=120,I1132*1.25+4,I1132*1.25+5))),
""))),2)</f>
        <v>2120.7199999999998</v>
      </c>
      <c r="I1132" s="9">
        <f>($K$2+0.02)*Tabla1[[#This Row],[PRECIO $]]*1.18</f>
        <v>1910.6559999999999</v>
      </c>
      <c r="J1132" s="7">
        <f>+Tabla1[[#This Row],[PRECIO EN SOLES]]-Tabla1[[#This Row],[PC]]</f>
        <v>210.06399999999985</v>
      </c>
      <c r="K1132" s="15"/>
      <c r="L1132" s="15" t="str">
        <f t="shared" si="17"/>
        <v>GANCHO</v>
      </c>
    </row>
    <row r="1133" spans="1:12" x14ac:dyDescent="0.25">
      <c r="A1133" s="3" t="s">
        <v>1684</v>
      </c>
      <c r="B1133" s="3" t="s">
        <v>374</v>
      </c>
      <c r="C1133" s="1">
        <v>20</v>
      </c>
      <c r="D1133" s="1">
        <v>525</v>
      </c>
      <c r="E1133" s="1" t="s">
        <v>264</v>
      </c>
      <c r="F1133" s="1" t="s">
        <v>3439</v>
      </c>
      <c r="G1133" s="3" t="s">
        <v>1685</v>
      </c>
      <c r="H1133" s="11">
        <f>ROUND(
IF(L1133="GANCHO",
   IF(I1133&lt;=50,I1133*1.1+4,IF(I1133&lt;=120,I1133*1.1+7,IF(I1133&lt;=250,I1133*1.1+11,I1133*1.1+19))),
IF(L1133="NORMAL",
   IF(I1133&lt;=30,I1133*1.15+2,IF(I1133&lt;=80,I1133*1.15+4,IF(I1133&lt;=150,I1133*1.15+6,I1133*1.15+8))),
IF(L1133="COMPLEMENTO",
   IF(I1133&lt;=25,I1133*1.25+1.5,IF(I1133&lt;=60,I1133*1.25+3,IF(I1133&lt;=120,I1133*1.25+4,I1133*1.25+5))),
""))),2)</f>
        <v>2417.6999999999998</v>
      </c>
      <c r="I1133" s="9">
        <f>($K$2+0.02)*Tabla1[[#This Row],[PRECIO $]]*1.18</f>
        <v>2180.64</v>
      </c>
      <c r="J1133" s="7">
        <f>+Tabla1[[#This Row],[PRECIO EN SOLES]]-Tabla1[[#This Row],[PC]]</f>
        <v>237.05999999999995</v>
      </c>
      <c r="K1133" s="15"/>
      <c r="L1133" s="15" t="str">
        <f t="shared" si="17"/>
        <v>GANCHO</v>
      </c>
    </row>
    <row r="1134" spans="1:12" x14ac:dyDescent="0.25">
      <c r="A1134" s="3" t="s">
        <v>375</v>
      </c>
      <c r="B1134" s="3" t="s">
        <v>369</v>
      </c>
      <c r="C1134" s="1">
        <v>20</v>
      </c>
      <c r="D1134" s="1">
        <v>490</v>
      </c>
      <c r="E1134" s="1" t="s">
        <v>264</v>
      </c>
      <c r="F1134" s="1" t="s">
        <v>3440</v>
      </c>
      <c r="G1134" s="3" t="s">
        <v>376</v>
      </c>
      <c r="H1134" s="11">
        <f>ROUND(
IF(L1134="GANCHO",
   IF(I1134&lt;=50,I1134*1.1+4,IF(I1134&lt;=120,I1134*1.1+7,IF(I1134&lt;=250,I1134*1.1+11,I1134*1.1+19))),
IF(L1134="NORMAL",
   IF(I1134&lt;=30,I1134*1.15+2,IF(I1134&lt;=80,I1134*1.15+4,IF(I1134&lt;=150,I1134*1.15+6,I1134*1.15+8))),
IF(L1134="COMPLEMENTO",
   IF(I1134&lt;=25,I1134*1.25+1.5,IF(I1134&lt;=60,I1134*1.25+3,IF(I1134&lt;=120,I1134*1.25+4,I1134*1.25+5))),
""))),2)</f>
        <v>2257.79</v>
      </c>
      <c r="I1134" s="9">
        <f>($K$2+0.02)*Tabla1[[#This Row],[PRECIO $]]*1.18</f>
        <v>2035.2639999999999</v>
      </c>
      <c r="J1134" s="7">
        <f>+Tabla1[[#This Row],[PRECIO EN SOLES]]-Tabla1[[#This Row],[PC]]</f>
        <v>222.52600000000007</v>
      </c>
      <c r="K1134" s="15"/>
      <c r="L1134" s="15" t="str">
        <f t="shared" si="17"/>
        <v>GANCHO</v>
      </c>
    </row>
    <row r="1135" spans="1:12" x14ac:dyDescent="0.25">
      <c r="A1135" s="3" t="s">
        <v>377</v>
      </c>
      <c r="B1135" s="3" t="s">
        <v>378</v>
      </c>
      <c r="C1135" s="1">
        <v>20</v>
      </c>
      <c r="D1135" s="1">
        <v>444</v>
      </c>
      <c r="E1135" s="1" t="s">
        <v>74</v>
      </c>
      <c r="F1135" s="1" t="s">
        <v>3441</v>
      </c>
      <c r="G1135" s="3" t="s">
        <v>379</v>
      </c>
      <c r="H1135" s="11">
        <f>ROUND(
IF(L1135="GANCHO",
   IF(I1135&lt;=50,I1135*1.1+4,IF(I1135&lt;=120,I1135*1.1+7,IF(I1135&lt;=250,I1135*1.1+11,I1135*1.1+19))),
IF(L1135="NORMAL",
   IF(I1135&lt;=30,I1135*1.15+2,IF(I1135&lt;=80,I1135*1.15+4,IF(I1135&lt;=150,I1135*1.15+6,I1135*1.15+8))),
IF(L1135="COMPLEMENTO",
   IF(I1135&lt;=25,I1135*1.25+1.5,IF(I1135&lt;=60,I1135*1.25+3,IF(I1135&lt;=120,I1135*1.25+4,I1135*1.25+5))),
""))),2)</f>
        <v>2047.62</v>
      </c>
      <c r="I1135" s="9">
        <f>($K$2+0.02)*Tabla1[[#This Row],[PRECIO $]]*1.18</f>
        <v>1844.1984</v>
      </c>
      <c r="J1135" s="7">
        <f>+Tabla1[[#This Row],[PRECIO EN SOLES]]-Tabla1[[#This Row],[PC]]</f>
        <v>203.4215999999999</v>
      </c>
      <c r="K1135" s="15"/>
      <c r="L1135" s="15" t="str">
        <f t="shared" si="17"/>
        <v>GANCHO</v>
      </c>
    </row>
    <row r="1136" spans="1:12" x14ac:dyDescent="0.25">
      <c r="A1136" s="3" t="s">
        <v>6187</v>
      </c>
      <c r="B1136" s="3" t="s">
        <v>6188</v>
      </c>
      <c r="C1136" s="1">
        <v>0</v>
      </c>
      <c r="D1136" s="1">
        <v>575</v>
      </c>
      <c r="E1136" s="1" t="s">
        <v>74</v>
      </c>
      <c r="F1136" s="1" t="s">
        <v>6189</v>
      </c>
      <c r="G1136" s="3" t="s">
        <v>6190</v>
      </c>
      <c r="H1136" s="11">
        <f>ROUND(
IF(L1136="GANCHO",
   IF(I1136&lt;=50,I1136*1.1+4,IF(I1136&lt;=120,I1136*1.1+7,IF(I1136&lt;=250,I1136*1.1+11,I1136*1.1+19))),
IF(L1136="NORMAL",
   IF(I1136&lt;=30,I1136*1.15+2,IF(I1136&lt;=80,I1136*1.15+4,IF(I1136&lt;=150,I1136*1.15+6,I1136*1.15+8))),
IF(L1136="COMPLEMENTO",
   IF(I1136&lt;=25,I1136*1.25+1.5,IF(I1136&lt;=60,I1136*1.25+3,IF(I1136&lt;=120,I1136*1.25+4,I1136*1.25+5))),
""))),2)</f>
        <v>2646.15</v>
      </c>
      <c r="I1136" s="9">
        <f>($K$2+0.02)*Tabla1[[#This Row],[PRECIO $]]*1.18</f>
        <v>2388.3199999999997</v>
      </c>
      <c r="J1136" s="7">
        <f>+Tabla1[[#This Row],[PRECIO EN SOLES]]-Tabla1[[#This Row],[PC]]</f>
        <v>257.83000000000038</v>
      </c>
      <c r="K1136" s="15"/>
      <c r="L1136" s="15" t="str">
        <f t="shared" si="17"/>
        <v>GANCHO</v>
      </c>
    </row>
    <row r="1137" spans="1:12" x14ac:dyDescent="0.25">
      <c r="A1137" s="3" t="s">
        <v>6191</v>
      </c>
      <c r="B1137" s="3" t="s">
        <v>6192</v>
      </c>
      <c r="C1137" s="1">
        <v>1</v>
      </c>
      <c r="D1137" s="1">
        <v>615</v>
      </c>
      <c r="E1137" s="1" t="s">
        <v>74</v>
      </c>
      <c r="F1137" s="1" t="s">
        <v>6193</v>
      </c>
      <c r="G1137" s="3" t="s">
        <v>6994</v>
      </c>
      <c r="H1137" s="11">
        <f>ROUND(
IF(L1137="GANCHO",
   IF(I1137&lt;=50,I1137*1.1+4,IF(I1137&lt;=120,I1137*1.1+7,IF(I1137&lt;=250,I1137*1.1+11,I1137*1.1+19))),
IF(L1137="NORMAL",
   IF(I1137&lt;=30,I1137*1.15+2,IF(I1137&lt;=80,I1137*1.15+4,IF(I1137&lt;=150,I1137*1.15+6,I1137*1.15+8))),
IF(L1137="COMPLEMENTO",
   IF(I1137&lt;=25,I1137*1.25+1.5,IF(I1137&lt;=60,I1137*1.25+3,IF(I1137&lt;=120,I1137*1.25+4,I1137*1.25+5))),
""))),2)</f>
        <v>2828.91</v>
      </c>
      <c r="I1137" s="9">
        <f>($K$2+0.02)*Tabla1[[#This Row],[PRECIO $]]*1.18</f>
        <v>2554.4639999999999</v>
      </c>
      <c r="J1137" s="7">
        <f>+Tabla1[[#This Row],[PRECIO EN SOLES]]-Tabla1[[#This Row],[PC]]</f>
        <v>274.44599999999991</v>
      </c>
      <c r="K1137" s="15"/>
      <c r="L1137" s="15" t="str">
        <f t="shared" si="17"/>
        <v>GANCHO</v>
      </c>
    </row>
    <row r="1138" spans="1:12" x14ac:dyDescent="0.25">
      <c r="A1138" s="3" t="s">
        <v>1686</v>
      </c>
      <c r="B1138" s="3" t="s">
        <v>1687</v>
      </c>
      <c r="C1138" s="1">
        <v>20</v>
      </c>
      <c r="D1138" s="1">
        <v>684</v>
      </c>
      <c r="E1138" s="1" t="s">
        <v>851</v>
      </c>
      <c r="F1138" s="1" t="s">
        <v>3442</v>
      </c>
      <c r="G1138" s="3" t="s">
        <v>4640</v>
      </c>
      <c r="H1138" s="11">
        <f>ROUND(
IF(L1138="GANCHO",
   IF(I1138&lt;=50,I1138*1.1+4,IF(I1138&lt;=120,I1138*1.1+7,IF(I1138&lt;=250,I1138*1.1+11,I1138*1.1+19))),
IF(L1138="NORMAL",
   IF(I1138&lt;=30,I1138*1.15+2,IF(I1138&lt;=80,I1138*1.15+4,IF(I1138&lt;=150,I1138*1.15+6,I1138*1.15+8))),
IF(L1138="COMPLEMENTO",
   IF(I1138&lt;=25,I1138*1.25+1.5,IF(I1138&lt;=60,I1138*1.25+3,IF(I1138&lt;=120,I1138*1.25+4,I1138*1.25+5))),
""))),2)</f>
        <v>3144.17</v>
      </c>
      <c r="I1138" s="9">
        <f>($K$2+0.02)*Tabla1[[#This Row],[PRECIO $]]*1.18</f>
        <v>2841.0623999999998</v>
      </c>
      <c r="J1138" s="7">
        <f>+Tabla1[[#This Row],[PRECIO EN SOLES]]-Tabla1[[#This Row],[PC]]</f>
        <v>303.10760000000028</v>
      </c>
      <c r="K1138" s="15"/>
      <c r="L1138" s="15" t="str">
        <f t="shared" si="17"/>
        <v>GANCHO</v>
      </c>
    </row>
    <row r="1139" spans="1:12" x14ac:dyDescent="0.25">
      <c r="A1139" s="3" t="s">
        <v>4309</v>
      </c>
      <c r="B1139" s="3" t="s">
        <v>4310</v>
      </c>
      <c r="C1139" s="1">
        <v>20</v>
      </c>
      <c r="D1139" s="1">
        <v>627</v>
      </c>
      <c r="E1139" s="1" t="s">
        <v>351</v>
      </c>
      <c r="F1139" s="1" t="s">
        <v>4311</v>
      </c>
      <c r="G1139" s="3" t="s">
        <v>4312</v>
      </c>
      <c r="H1139" s="11">
        <f>ROUND(
IF(L1139="GANCHO",
   IF(I1139&lt;=50,I1139*1.1+4,IF(I1139&lt;=120,I1139*1.1+7,IF(I1139&lt;=250,I1139*1.1+11,I1139*1.1+19))),
IF(L1139="NORMAL",
   IF(I1139&lt;=30,I1139*1.15+2,IF(I1139&lt;=80,I1139*1.15+4,IF(I1139&lt;=150,I1139*1.15+6,I1139*1.15+8))),
IF(L1139="COMPLEMENTO",
   IF(I1139&lt;=25,I1139*1.25+1.5,IF(I1139&lt;=60,I1139*1.25+3,IF(I1139&lt;=120,I1139*1.25+4,I1139*1.25+5))),
""))),2)</f>
        <v>2883.74</v>
      </c>
      <c r="I1139" s="9">
        <f>($K$2+0.02)*Tabla1[[#This Row],[PRECIO $]]*1.18</f>
        <v>2604.3071999999997</v>
      </c>
      <c r="J1139" s="7">
        <f>+Tabla1[[#This Row],[PRECIO EN SOLES]]-Tabla1[[#This Row],[PC]]</f>
        <v>279.43280000000004</v>
      </c>
      <c r="K1139" s="15"/>
      <c r="L1139" s="15" t="str">
        <f t="shared" si="17"/>
        <v>GANCHO</v>
      </c>
    </row>
    <row r="1140" spans="1:12" x14ac:dyDescent="0.25">
      <c r="A1140" s="3" t="s">
        <v>380</v>
      </c>
      <c r="B1140" s="3" t="s">
        <v>381</v>
      </c>
      <c r="C1140" s="1">
        <v>8</v>
      </c>
      <c r="D1140" s="1">
        <v>657</v>
      </c>
      <c r="E1140" s="1" t="s">
        <v>56</v>
      </c>
      <c r="F1140" s="1" t="s">
        <v>3443</v>
      </c>
      <c r="G1140" s="3" t="s">
        <v>382</v>
      </c>
      <c r="H1140" s="11">
        <f>ROUND(
IF(L1140="GANCHO",
   IF(I1140&lt;=50,I1140*1.1+4,IF(I1140&lt;=120,I1140*1.1+7,IF(I1140&lt;=250,I1140*1.1+11,I1140*1.1+19))),
IF(L1140="NORMAL",
   IF(I1140&lt;=30,I1140*1.15+2,IF(I1140&lt;=80,I1140*1.15+4,IF(I1140&lt;=150,I1140*1.15+6,I1140*1.15+8))),
IF(L1140="COMPLEMENTO",
   IF(I1140&lt;=25,I1140*1.25+1.5,IF(I1140&lt;=60,I1140*1.25+3,IF(I1140&lt;=120,I1140*1.25+4,I1140*1.25+5))),
""))),2)</f>
        <v>3020.81</v>
      </c>
      <c r="I1140" s="9">
        <f>($K$2+0.02)*Tabla1[[#This Row],[PRECIO $]]*1.18</f>
        <v>2728.9151999999999</v>
      </c>
      <c r="J1140" s="7">
        <f>+Tabla1[[#This Row],[PRECIO EN SOLES]]-Tabla1[[#This Row],[PC]]</f>
        <v>291.89480000000003</v>
      </c>
      <c r="K1140" s="15"/>
      <c r="L1140" s="15" t="str">
        <f t="shared" si="17"/>
        <v>GANCHO</v>
      </c>
    </row>
    <row r="1141" spans="1:12" x14ac:dyDescent="0.25">
      <c r="A1141" s="3" t="s">
        <v>1688</v>
      </c>
      <c r="B1141" s="3" t="s">
        <v>1689</v>
      </c>
      <c r="C1141" s="1">
        <v>20</v>
      </c>
      <c r="D1141" s="1">
        <v>931</v>
      </c>
      <c r="E1141" s="1" t="s">
        <v>264</v>
      </c>
      <c r="F1141" s="1" t="s">
        <v>3444</v>
      </c>
      <c r="G1141" s="3" t="s">
        <v>383</v>
      </c>
      <c r="H1141" s="11">
        <f>ROUND(
IF(L1141="GANCHO",
   IF(I1141&lt;=50,I1141*1.1+4,IF(I1141&lt;=120,I1141*1.1+7,IF(I1141&lt;=250,I1141*1.1+11,I1141*1.1+19))),
IF(L1141="NORMAL",
   IF(I1141&lt;=30,I1141*1.15+2,IF(I1141&lt;=80,I1141*1.15+4,IF(I1141&lt;=150,I1141*1.15+6,I1141*1.15+8))),
IF(L1141="COMPLEMENTO",
   IF(I1141&lt;=25,I1141*1.25+1.5,IF(I1141&lt;=60,I1141*1.25+3,IF(I1141&lt;=120,I1141*1.25+4,I1141*1.25+5))),
""))),2)</f>
        <v>4272.7</v>
      </c>
      <c r="I1141" s="9">
        <f>($K$2+0.02)*Tabla1[[#This Row],[PRECIO $]]*1.18</f>
        <v>3867.0015999999996</v>
      </c>
      <c r="J1141" s="7">
        <f>+Tabla1[[#This Row],[PRECIO EN SOLES]]-Tabla1[[#This Row],[PC]]</f>
        <v>405.69840000000022</v>
      </c>
      <c r="K1141" s="15"/>
      <c r="L1141" s="15" t="str">
        <f t="shared" si="17"/>
        <v>GANCHO</v>
      </c>
    </row>
    <row r="1142" spans="1:12" x14ac:dyDescent="0.25">
      <c r="A1142" s="3" t="s">
        <v>1690</v>
      </c>
      <c r="B1142" s="3" t="s">
        <v>1691</v>
      </c>
      <c r="C1142" s="1">
        <v>20</v>
      </c>
      <c r="D1142" s="1">
        <v>695</v>
      </c>
      <c r="E1142" s="1" t="s">
        <v>264</v>
      </c>
      <c r="F1142" s="1" t="s">
        <v>3445</v>
      </c>
      <c r="G1142" s="3" t="s">
        <v>383</v>
      </c>
      <c r="H1142" s="11">
        <f>ROUND(
IF(L1142="GANCHO",
   IF(I1142&lt;=50,I1142*1.1+4,IF(I1142&lt;=120,I1142*1.1+7,IF(I1142&lt;=250,I1142*1.1+11,I1142*1.1+19))),
IF(L1142="NORMAL",
   IF(I1142&lt;=30,I1142*1.15+2,IF(I1142&lt;=80,I1142*1.15+4,IF(I1142&lt;=150,I1142*1.15+6,I1142*1.15+8))),
IF(L1142="COMPLEMENTO",
   IF(I1142&lt;=25,I1142*1.25+1.5,IF(I1142&lt;=60,I1142*1.25+3,IF(I1142&lt;=120,I1142*1.25+4,I1142*1.25+5))),
""))),2)</f>
        <v>3194.43</v>
      </c>
      <c r="I1142" s="9">
        <f>($K$2+0.02)*Tabla1[[#This Row],[PRECIO $]]*1.18</f>
        <v>2886.752</v>
      </c>
      <c r="J1142" s="7">
        <f>+Tabla1[[#This Row],[PRECIO EN SOLES]]-Tabla1[[#This Row],[PC]]</f>
        <v>307.67799999999988</v>
      </c>
      <c r="K1142" s="15"/>
      <c r="L1142" s="15" t="str">
        <f t="shared" si="17"/>
        <v>GANCHO</v>
      </c>
    </row>
    <row r="1143" spans="1:12" x14ac:dyDescent="0.25">
      <c r="A1143" s="3" t="s">
        <v>1692</v>
      </c>
      <c r="B1143" s="3" t="s">
        <v>1693</v>
      </c>
      <c r="C1143" s="1">
        <v>20</v>
      </c>
      <c r="D1143" s="1">
        <v>654</v>
      </c>
      <c r="E1143" s="1" t="s">
        <v>264</v>
      </c>
      <c r="F1143" s="1" t="s">
        <v>3446</v>
      </c>
      <c r="G1143" s="3" t="s">
        <v>1694</v>
      </c>
      <c r="H1143" s="11">
        <f>ROUND(
IF(L1143="GANCHO",
   IF(I1143&lt;=50,I1143*1.1+4,IF(I1143&lt;=120,I1143*1.1+7,IF(I1143&lt;=250,I1143*1.1+11,I1143*1.1+19))),
IF(L1143="NORMAL",
   IF(I1143&lt;=30,I1143*1.15+2,IF(I1143&lt;=80,I1143*1.15+4,IF(I1143&lt;=150,I1143*1.15+6,I1143*1.15+8))),
IF(L1143="COMPLEMENTO",
   IF(I1143&lt;=25,I1143*1.25+1.5,IF(I1143&lt;=60,I1143*1.25+3,IF(I1143&lt;=120,I1143*1.25+4,I1143*1.25+5))),
""))),2)</f>
        <v>3007.1</v>
      </c>
      <c r="I1143" s="9">
        <f>($K$2+0.02)*Tabla1[[#This Row],[PRECIO $]]*1.18</f>
        <v>2716.4543999999996</v>
      </c>
      <c r="J1143" s="7">
        <f>+Tabla1[[#This Row],[PRECIO EN SOLES]]-Tabla1[[#This Row],[PC]]</f>
        <v>290.64560000000029</v>
      </c>
      <c r="K1143" s="15"/>
      <c r="L1143" s="15" t="str">
        <f t="shared" si="17"/>
        <v>GANCHO</v>
      </c>
    </row>
    <row r="1144" spans="1:12" x14ac:dyDescent="0.25">
      <c r="A1144" s="3" t="s">
        <v>384</v>
      </c>
      <c r="B1144" s="3" t="s">
        <v>385</v>
      </c>
      <c r="C1144" s="1">
        <v>20</v>
      </c>
      <c r="D1144" s="1">
        <v>725</v>
      </c>
      <c r="E1144" s="1" t="s">
        <v>264</v>
      </c>
      <c r="F1144" s="1" t="s">
        <v>3447</v>
      </c>
      <c r="G1144" s="3" t="s">
        <v>383</v>
      </c>
      <c r="H1144" s="11">
        <f>ROUND(
IF(L1144="GANCHO",
   IF(I1144&lt;=50,I1144*1.1+4,IF(I1144&lt;=120,I1144*1.1+7,IF(I1144&lt;=250,I1144*1.1+11,I1144*1.1+19))),
IF(L1144="NORMAL",
   IF(I1144&lt;=30,I1144*1.15+2,IF(I1144&lt;=80,I1144*1.15+4,IF(I1144&lt;=150,I1144*1.15+6,I1144*1.15+8))),
IF(L1144="COMPLEMENTO",
   IF(I1144&lt;=25,I1144*1.25+1.5,IF(I1144&lt;=60,I1144*1.25+3,IF(I1144&lt;=120,I1144*1.25+4,I1144*1.25+5))),
""))),2)</f>
        <v>3331.5</v>
      </c>
      <c r="I1144" s="9">
        <f>($K$2+0.02)*Tabla1[[#This Row],[PRECIO $]]*1.18</f>
        <v>3011.3599999999997</v>
      </c>
      <c r="J1144" s="7">
        <f>+Tabla1[[#This Row],[PRECIO EN SOLES]]-Tabla1[[#This Row],[PC]]</f>
        <v>320.14000000000033</v>
      </c>
      <c r="K1144" s="15"/>
      <c r="L1144" s="15" t="str">
        <f t="shared" si="17"/>
        <v>GANCHO</v>
      </c>
    </row>
    <row r="1145" spans="1:12" x14ac:dyDescent="0.25">
      <c r="A1145" s="3" t="s">
        <v>7101</v>
      </c>
      <c r="B1145" s="3" t="s">
        <v>7102</v>
      </c>
      <c r="C1145" s="1">
        <v>0</v>
      </c>
      <c r="D1145" s="1">
        <v>9999999.9900000002</v>
      </c>
      <c r="E1145" s="1" t="s">
        <v>74</v>
      </c>
      <c r="F1145" s="1" t="s">
        <v>7103</v>
      </c>
      <c r="G1145" s="3"/>
      <c r="H1145" s="11">
        <f>ROUND(
IF(L1145="GANCHO",
   IF(I1145&lt;=50,I1145*1.1+4,IF(I1145&lt;=120,I1145*1.1+7,IF(I1145&lt;=250,I1145*1.1+11,I1145*1.1+19))),
IF(L1145="NORMAL",
   IF(I1145&lt;=30,I1145*1.15+2,IF(I1145&lt;=80,I1145*1.15+4,IF(I1145&lt;=150,I1145*1.15+6,I1145*1.15+8))),
IF(L1145="COMPLEMENTO",
   IF(I1145&lt;=25,I1145*1.25+1.5,IF(I1145&lt;=60,I1145*1.25+3,IF(I1145&lt;=120,I1145*1.25+4,I1145*1.25+5))),
""))),2)</f>
        <v>45689618.950000003</v>
      </c>
      <c r="I1145" s="9">
        <f>($K$2+0.02)*Tabla1[[#This Row],[PRECIO $]]*1.18</f>
        <v>41535999.958463997</v>
      </c>
      <c r="J1145" s="7">
        <f>+Tabla1[[#This Row],[PRECIO EN SOLES]]-Tabla1[[#This Row],[PC]]</f>
        <v>4153618.9915360063</v>
      </c>
      <c r="K1145" s="15"/>
      <c r="L1145" s="15" t="str">
        <f t="shared" si="17"/>
        <v>GANCHO</v>
      </c>
    </row>
    <row r="1146" spans="1:12" x14ac:dyDescent="0.25">
      <c r="A1146" s="3" t="s">
        <v>4313</v>
      </c>
      <c r="B1146" s="3" t="s">
        <v>4314</v>
      </c>
      <c r="C1146" s="1">
        <v>20</v>
      </c>
      <c r="D1146" s="1">
        <v>639</v>
      </c>
      <c r="E1146" s="1" t="s">
        <v>74</v>
      </c>
      <c r="F1146" s="1" t="s">
        <v>4315</v>
      </c>
      <c r="G1146" s="3" t="s">
        <v>5782</v>
      </c>
      <c r="H1146" s="11">
        <f>ROUND(
IF(L1146="GANCHO",
   IF(I1146&lt;=50,I1146*1.1+4,IF(I1146&lt;=120,I1146*1.1+7,IF(I1146&lt;=250,I1146*1.1+11,I1146*1.1+19))),
IF(L1146="NORMAL",
   IF(I1146&lt;=30,I1146*1.15+2,IF(I1146&lt;=80,I1146*1.15+4,IF(I1146&lt;=150,I1146*1.15+6,I1146*1.15+8))),
IF(L1146="COMPLEMENTO",
   IF(I1146&lt;=25,I1146*1.25+1.5,IF(I1146&lt;=60,I1146*1.25+3,IF(I1146&lt;=120,I1146*1.25+4,I1146*1.25+5))),
""))),2)</f>
        <v>2938.57</v>
      </c>
      <c r="I1146" s="9">
        <f>($K$2+0.02)*Tabla1[[#This Row],[PRECIO $]]*1.18</f>
        <v>2654.1504</v>
      </c>
      <c r="J1146" s="7">
        <f>+Tabla1[[#This Row],[PRECIO EN SOLES]]-Tabla1[[#This Row],[PC]]</f>
        <v>284.41960000000017</v>
      </c>
      <c r="K1146" s="15"/>
      <c r="L1146" s="15" t="str">
        <f t="shared" si="17"/>
        <v>GANCHO</v>
      </c>
    </row>
    <row r="1147" spans="1:12" x14ac:dyDescent="0.25">
      <c r="A1147" s="3" t="s">
        <v>1695</v>
      </c>
      <c r="B1147" s="3" t="s">
        <v>1696</v>
      </c>
      <c r="C1147" s="1">
        <v>13</v>
      </c>
      <c r="D1147" s="1">
        <v>1355</v>
      </c>
      <c r="E1147" s="1" t="s">
        <v>783</v>
      </c>
      <c r="F1147" s="1" t="s">
        <v>3448</v>
      </c>
      <c r="G1147" s="3" t="s">
        <v>1697</v>
      </c>
      <c r="H1147" s="11">
        <f>ROUND(
IF(L1147="GANCHO",
   IF(I1147&lt;=50,I1147*1.1+4,IF(I1147&lt;=120,I1147*1.1+7,IF(I1147&lt;=250,I1147*1.1+11,I1147*1.1+19))),
IF(L1147="NORMAL",
   IF(I1147&lt;=30,I1147*1.15+2,IF(I1147&lt;=80,I1147*1.15+4,IF(I1147&lt;=150,I1147*1.15+6,I1147*1.15+8))),
IF(L1147="COMPLEMENTO",
   IF(I1147&lt;=25,I1147*1.25+1.5,IF(I1147&lt;=60,I1147*1.25+3,IF(I1147&lt;=120,I1147*1.25+4,I1147*1.25+5))),
""))),2)</f>
        <v>6209.94</v>
      </c>
      <c r="I1147" s="9">
        <f>($K$2+0.02)*Tabla1[[#This Row],[PRECIO $]]*1.18</f>
        <v>5628.1279999999997</v>
      </c>
      <c r="J1147" s="7">
        <f>+Tabla1[[#This Row],[PRECIO EN SOLES]]-Tabla1[[#This Row],[PC]]</f>
        <v>581.8119999999999</v>
      </c>
      <c r="K1147" s="15"/>
      <c r="L1147" s="15" t="str">
        <f t="shared" si="17"/>
        <v>GANCHO</v>
      </c>
    </row>
    <row r="1148" spans="1:12" x14ac:dyDescent="0.25">
      <c r="A1148" s="3" t="s">
        <v>1698</v>
      </c>
      <c r="B1148" s="3" t="s">
        <v>1699</v>
      </c>
      <c r="C1148" s="1">
        <v>20</v>
      </c>
      <c r="D1148" s="1">
        <v>1149</v>
      </c>
      <c r="E1148" s="1" t="s">
        <v>783</v>
      </c>
      <c r="F1148" s="1" t="s">
        <v>3449</v>
      </c>
      <c r="G1148" s="3" t="s">
        <v>1700</v>
      </c>
      <c r="H1148" s="11">
        <f>ROUND(
IF(L1148="GANCHO",
   IF(I1148&lt;=50,I1148*1.1+4,IF(I1148&lt;=120,I1148*1.1+7,IF(I1148&lt;=250,I1148*1.1+11,I1148*1.1+19))),
IF(L1148="NORMAL",
   IF(I1148&lt;=30,I1148*1.15+2,IF(I1148&lt;=80,I1148*1.15+4,IF(I1148&lt;=150,I1148*1.15+6,I1148*1.15+8))),
IF(L1148="COMPLEMENTO",
   IF(I1148&lt;=25,I1148*1.25+1.5,IF(I1148&lt;=60,I1148*1.25+3,IF(I1148&lt;=120,I1148*1.25+4,I1148*1.25+5))),
""))),2)</f>
        <v>5268.74</v>
      </c>
      <c r="I1148" s="9">
        <f>($K$2+0.02)*Tabla1[[#This Row],[PRECIO $]]*1.18</f>
        <v>4772.4863999999998</v>
      </c>
      <c r="J1148" s="7">
        <f>+Tabla1[[#This Row],[PRECIO EN SOLES]]-Tabla1[[#This Row],[PC]]</f>
        <v>496.25360000000001</v>
      </c>
      <c r="K1148" s="15"/>
      <c r="L1148" s="15" t="str">
        <f t="shared" si="17"/>
        <v>GANCHO</v>
      </c>
    </row>
    <row r="1149" spans="1:12" x14ac:dyDescent="0.25">
      <c r="A1149" s="3" t="s">
        <v>1701</v>
      </c>
      <c r="B1149" s="3" t="s">
        <v>1702</v>
      </c>
      <c r="C1149" s="1">
        <v>2</v>
      </c>
      <c r="D1149" s="1">
        <v>1647</v>
      </c>
      <c r="E1149" s="1" t="s">
        <v>783</v>
      </c>
      <c r="F1149" s="1" t="s">
        <v>3450</v>
      </c>
      <c r="G1149" s="3" t="s">
        <v>1703</v>
      </c>
      <c r="H1149" s="11">
        <f>ROUND(
IF(L1149="GANCHO",
   IF(I1149&lt;=50,I1149*1.1+4,IF(I1149&lt;=120,I1149*1.1+7,IF(I1149&lt;=250,I1149*1.1+11,I1149*1.1+19))),
IF(L1149="NORMAL",
   IF(I1149&lt;=30,I1149*1.15+2,IF(I1149&lt;=80,I1149*1.15+4,IF(I1149&lt;=150,I1149*1.15+6,I1149*1.15+8))),
IF(L1149="COMPLEMENTO",
   IF(I1149&lt;=25,I1149*1.25+1.5,IF(I1149&lt;=60,I1149*1.25+3,IF(I1149&lt;=120,I1149*1.25+4,I1149*1.25+5))),
""))),2)</f>
        <v>7544.08</v>
      </c>
      <c r="I1149" s="9">
        <f>($K$2+0.02)*Tabla1[[#This Row],[PRECIO $]]*1.18</f>
        <v>6840.9791999999989</v>
      </c>
      <c r="J1149" s="7">
        <f>+Tabla1[[#This Row],[PRECIO EN SOLES]]-Tabla1[[#This Row],[PC]]</f>
        <v>703.10080000000107</v>
      </c>
      <c r="K1149" s="15"/>
      <c r="L1149" s="15" t="str">
        <f t="shared" si="17"/>
        <v>GANCHO</v>
      </c>
    </row>
    <row r="1150" spans="1:12" x14ac:dyDescent="0.25">
      <c r="A1150" s="3" t="s">
        <v>1704</v>
      </c>
      <c r="B1150" s="3" t="s">
        <v>1705</v>
      </c>
      <c r="C1150" s="1">
        <v>20</v>
      </c>
      <c r="D1150" s="1">
        <v>1385</v>
      </c>
      <c r="E1150" s="1" t="s">
        <v>783</v>
      </c>
      <c r="F1150" s="1" t="s">
        <v>3451</v>
      </c>
      <c r="G1150" s="3" t="s">
        <v>6629</v>
      </c>
      <c r="H1150" s="11">
        <f>ROUND(
IF(L1150="GANCHO",
   IF(I1150&lt;=50,I1150*1.1+4,IF(I1150&lt;=120,I1150*1.1+7,IF(I1150&lt;=250,I1150*1.1+11,I1150*1.1+19))),
IF(L1150="NORMAL",
   IF(I1150&lt;=30,I1150*1.15+2,IF(I1150&lt;=80,I1150*1.15+4,IF(I1150&lt;=150,I1150*1.15+6,I1150*1.15+8))),
IF(L1150="COMPLEMENTO",
   IF(I1150&lt;=25,I1150*1.25+1.5,IF(I1150&lt;=60,I1150*1.25+3,IF(I1150&lt;=120,I1150*1.25+4,I1150*1.25+5))),
""))),2)</f>
        <v>6347.01</v>
      </c>
      <c r="I1150" s="9">
        <f>($K$2+0.02)*Tabla1[[#This Row],[PRECIO $]]*1.18</f>
        <v>5752.7359999999999</v>
      </c>
      <c r="J1150" s="7">
        <f>+Tabla1[[#This Row],[PRECIO EN SOLES]]-Tabla1[[#This Row],[PC]]</f>
        <v>594.27400000000034</v>
      </c>
      <c r="K1150" s="15"/>
      <c r="L1150" s="15" t="str">
        <f t="shared" si="17"/>
        <v>GANCHO</v>
      </c>
    </row>
    <row r="1151" spans="1:12" x14ac:dyDescent="0.25">
      <c r="A1151" s="3" t="s">
        <v>1706</v>
      </c>
      <c r="B1151" s="3" t="s">
        <v>1707</v>
      </c>
      <c r="C1151" s="1">
        <v>20</v>
      </c>
      <c r="D1151" s="1">
        <v>1437</v>
      </c>
      <c r="E1151" s="1" t="s">
        <v>783</v>
      </c>
      <c r="F1151" s="1" t="s">
        <v>3452</v>
      </c>
      <c r="G1151" s="3" t="s">
        <v>6630</v>
      </c>
      <c r="H1151" s="11">
        <f>ROUND(
IF(L1151="GANCHO",
   IF(I1151&lt;=50,I1151*1.1+4,IF(I1151&lt;=120,I1151*1.1+7,IF(I1151&lt;=250,I1151*1.1+11,I1151*1.1+19))),
IF(L1151="NORMAL",
   IF(I1151&lt;=30,I1151*1.15+2,IF(I1151&lt;=80,I1151*1.15+4,IF(I1151&lt;=150,I1151*1.15+6,I1151*1.15+8))),
IF(L1151="COMPLEMENTO",
   IF(I1151&lt;=25,I1151*1.25+1.5,IF(I1151&lt;=60,I1151*1.25+3,IF(I1151&lt;=120,I1151*1.25+4,I1151*1.25+5))),
""))),2)</f>
        <v>6584.6</v>
      </c>
      <c r="I1151" s="9">
        <f>($K$2+0.02)*Tabla1[[#This Row],[PRECIO $]]*1.18</f>
        <v>5968.7231999999995</v>
      </c>
      <c r="J1151" s="7">
        <f>+Tabla1[[#This Row],[PRECIO EN SOLES]]-Tabla1[[#This Row],[PC]]</f>
        <v>615.87680000000091</v>
      </c>
      <c r="K1151" s="15"/>
      <c r="L1151" s="15" t="str">
        <f t="shared" si="17"/>
        <v>GANCHO</v>
      </c>
    </row>
    <row r="1152" spans="1:12" x14ac:dyDescent="0.25">
      <c r="A1152" s="3" t="s">
        <v>1708</v>
      </c>
      <c r="B1152" s="3" t="s">
        <v>1709</v>
      </c>
      <c r="C1152" s="1">
        <v>20</v>
      </c>
      <c r="D1152" s="1">
        <v>1457</v>
      </c>
      <c r="E1152" s="1" t="s">
        <v>783</v>
      </c>
      <c r="F1152" s="1" t="s">
        <v>3453</v>
      </c>
      <c r="G1152" s="3" t="s">
        <v>6631</v>
      </c>
      <c r="H1152" s="11">
        <f>ROUND(
IF(L1152="GANCHO",
   IF(I1152&lt;=50,I1152*1.1+4,IF(I1152&lt;=120,I1152*1.1+7,IF(I1152&lt;=250,I1152*1.1+11,I1152*1.1+19))),
IF(L1152="NORMAL",
   IF(I1152&lt;=30,I1152*1.15+2,IF(I1152&lt;=80,I1152*1.15+4,IF(I1152&lt;=150,I1152*1.15+6,I1152*1.15+8))),
IF(L1152="COMPLEMENTO",
   IF(I1152&lt;=25,I1152*1.25+1.5,IF(I1152&lt;=60,I1152*1.25+3,IF(I1152&lt;=120,I1152*1.25+4,I1152*1.25+5))),
""))),2)</f>
        <v>6675.97</v>
      </c>
      <c r="I1152" s="9">
        <f>($K$2+0.02)*Tabla1[[#This Row],[PRECIO $]]*1.18</f>
        <v>6051.7952000000005</v>
      </c>
      <c r="J1152" s="7">
        <f>+Tabla1[[#This Row],[PRECIO EN SOLES]]-Tabla1[[#This Row],[PC]]</f>
        <v>624.17479999999978</v>
      </c>
      <c r="K1152" s="15"/>
      <c r="L1152" s="15" t="str">
        <f t="shared" si="17"/>
        <v>GANCHO</v>
      </c>
    </row>
    <row r="1153" spans="1:12" x14ac:dyDescent="0.25">
      <c r="A1153" s="3" t="s">
        <v>6194</v>
      </c>
      <c r="B1153" s="3" t="s">
        <v>6195</v>
      </c>
      <c r="C1153" s="1">
        <v>20</v>
      </c>
      <c r="D1153" s="1">
        <v>1265</v>
      </c>
      <c r="E1153" s="1" t="s">
        <v>851</v>
      </c>
      <c r="F1153" s="1" t="s">
        <v>6196</v>
      </c>
      <c r="G1153" s="3" t="s">
        <v>6197</v>
      </c>
      <c r="H1153" s="11">
        <f>ROUND(
IF(L1153="GANCHO",
   IF(I1153&lt;=50,I1153*1.1+4,IF(I1153&lt;=120,I1153*1.1+7,IF(I1153&lt;=250,I1153*1.1+11,I1153*1.1+19))),
IF(L1153="NORMAL",
   IF(I1153&lt;=30,I1153*1.15+2,IF(I1153&lt;=80,I1153*1.15+4,IF(I1153&lt;=150,I1153*1.15+6,I1153*1.15+8))),
IF(L1153="COMPLEMENTO",
   IF(I1153&lt;=25,I1153*1.25+1.5,IF(I1153&lt;=60,I1153*1.25+3,IF(I1153&lt;=120,I1153*1.25+4,I1153*1.25+5))),
""))),2)</f>
        <v>5798.73</v>
      </c>
      <c r="I1153" s="9">
        <f>($K$2+0.02)*Tabla1[[#This Row],[PRECIO $]]*1.18</f>
        <v>5254.3040000000001</v>
      </c>
      <c r="J1153" s="7">
        <f>+Tabla1[[#This Row],[PRECIO EN SOLES]]-Tabla1[[#This Row],[PC]]</f>
        <v>544.42599999999948</v>
      </c>
      <c r="K1153" s="15"/>
      <c r="L1153" s="15" t="str">
        <f t="shared" si="17"/>
        <v>GANCHO</v>
      </c>
    </row>
    <row r="1154" spans="1:12" x14ac:dyDescent="0.25">
      <c r="A1154" s="3" t="s">
        <v>6198</v>
      </c>
      <c r="B1154" s="3" t="s">
        <v>6199</v>
      </c>
      <c r="C1154" s="1">
        <v>20</v>
      </c>
      <c r="D1154" s="1">
        <v>1279</v>
      </c>
      <c r="E1154" s="1" t="s">
        <v>851</v>
      </c>
      <c r="F1154" s="1" t="s">
        <v>6200</v>
      </c>
      <c r="G1154" s="3" t="s">
        <v>6201</v>
      </c>
      <c r="H1154" s="11">
        <f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5862.7</v>
      </c>
      <c r="I1154" s="9">
        <f>($K$2+0.02)*Tabla1[[#This Row],[PRECIO $]]*1.18</f>
        <v>5312.4543999999996</v>
      </c>
      <c r="J1154" s="7">
        <f>+Tabla1[[#This Row],[PRECIO EN SOLES]]-Tabla1[[#This Row],[PC]]</f>
        <v>550.24560000000019</v>
      </c>
      <c r="K1154" s="15"/>
      <c r="L1154" s="15" t="str">
        <f t="shared" si="17"/>
        <v>GANCHO</v>
      </c>
    </row>
    <row r="1155" spans="1:12" x14ac:dyDescent="0.25">
      <c r="A1155" s="3" t="s">
        <v>5951</v>
      </c>
      <c r="B1155" s="3" t="s">
        <v>5952</v>
      </c>
      <c r="C1155" s="1">
        <v>20</v>
      </c>
      <c r="D1155" s="1">
        <v>1694</v>
      </c>
      <c r="E1155" s="1" t="s">
        <v>56</v>
      </c>
      <c r="F1155" s="1" t="s">
        <v>5953</v>
      </c>
      <c r="G1155" s="3" t="s">
        <v>5954</v>
      </c>
      <c r="H1155" s="11">
        <f>ROUND(
IF(L1155="GANCHO",
   IF(I1155&lt;=50,I1155*1.1+4,IF(I1155&lt;=120,I1155*1.1+7,IF(I1155&lt;=250,I1155*1.1+11,I1155*1.1+19))),
IF(L1155="NORMAL",
   IF(I1155&lt;=30,I1155*1.15+2,IF(I1155&lt;=80,I1155*1.15+4,IF(I1155&lt;=150,I1155*1.15+6,I1155*1.15+8))),
IF(L1155="COMPLEMENTO",
   IF(I1155&lt;=25,I1155*1.25+1.5,IF(I1155&lt;=60,I1155*1.25+3,IF(I1155&lt;=120,I1155*1.25+4,I1155*1.25+5))),
""))),2)</f>
        <v>7758.82</v>
      </c>
      <c r="I1155" s="9">
        <f>($K$2+0.02)*Tabla1[[#This Row],[PRECIO $]]*1.18</f>
        <v>7036.1983999999993</v>
      </c>
      <c r="J1155" s="7">
        <f>+Tabla1[[#This Row],[PRECIO EN SOLES]]-Tabla1[[#This Row],[PC]]</f>
        <v>722.6216000000004</v>
      </c>
      <c r="K1155" s="15"/>
      <c r="L1155" s="15" t="str">
        <f t="shared" ref="L1155:L1218" si="18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2572</v>
      </c>
      <c r="B1156" s="3" t="s">
        <v>5546</v>
      </c>
      <c r="C1156" s="1">
        <v>2</v>
      </c>
      <c r="D1156" s="1">
        <v>1122</v>
      </c>
      <c r="E1156" s="1" t="s">
        <v>56</v>
      </c>
      <c r="F1156" s="1" t="s">
        <v>3454</v>
      </c>
      <c r="G1156" s="3" t="s">
        <v>2583</v>
      </c>
      <c r="H1156" s="11">
        <f>ROUND(
IF(L1156="GANCHO",
   IF(I1156&lt;=50,I1156*1.1+4,IF(I1156&lt;=120,I1156*1.1+7,IF(I1156&lt;=250,I1156*1.1+11,I1156*1.1+19))),
IF(L1156="NORMAL",
   IF(I1156&lt;=30,I1156*1.15+2,IF(I1156&lt;=80,I1156*1.15+4,IF(I1156&lt;=150,I1156*1.15+6,I1156*1.15+8))),
IF(L1156="COMPLEMENTO",
   IF(I1156&lt;=25,I1156*1.25+1.5,IF(I1156&lt;=60,I1156*1.25+3,IF(I1156&lt;=120,I1156*1.25+4,I1156*1.25+5))),
""))),2)</f>
        <v>5145.37</v>
      </c>
      <c r="I1156" s="9">
        <f>($K$2+0.02)*Tabla1[[#This Row],[PRECIO $]]*1.18</f>
        <v>4660.3391999999994</v>
      </c>
      <c r="J1156" s="7">
        <f>+Tabla1[[#This Row],[PRECIO EN SOLES]]-Tabla1[[#This Row],[PC]]</f>
        <v>485.03080000000045</v>
      </c>
      <c r="K1156" s="15"/>
      <c r="L1156" s="15" t="str">
        <f t="shared" si="18"/>
        <v>GANCHO</v>
      </c>
    </row>
    <row r="1157" spans="1:12" x14ac:dyDescent="0.25">
      <c r="A1157" s="3" t="s">
        <v>1710</v>
      </c>
      <c r="B1157" s="3" t="s">
        <v>1711</v>
      </c>
      <c r="C1157" s="1">
        <v>0</v>
      </c>
      <c r="D1157" s="1">
        <v>1895</v>
      </c>
      <c r="E1157" s="1" t="s">
        <v>56</v>
      </c>
      <c r="F1157" s="1" t="s">
        <v>3455</v>
      </c>
      <c r="G1157" s="3" t="s">
        <v>1712</v>
      </c>
      <c r="H1157" s="11">
        <f>ROUND(
IF(L1157="GANCHO",
   IF(I1157&lt;=50,I1157*1.1+4,IF(I1157&lt;=120,I1157*1.1+7,IF(I1157&lt;=250,I1157*1.1+11,I1157*1.1+19))),
IF(L1157="NORMAL",
   IF(I1157&lt;=30,I1157*1.15+2,IF(I1157&lt;=80,I1157*1.15+4,IF(I1157&lt;=150,I1157*1.15+6,I1157*1.15+8))),
IF(L1157="COMPLEMENTO",
   IF(I1157&lt;=25,I1157*1.25+1.5,IF(I1157&lt;=60,I1157*1.25+3,IF(I1157&lt;=120,I1157*1.25+4,I1157*1.25+5))),
""))),2)</f>
        <v>8677.18</v>
      </c>
      <c r="I1157" s="9">
        <f>($K$2+0.02)*Tabla1[[#This Row],[PRECIO $]]*1.18</f>
        <v>7871.0719999999992</v>
      </c>
      <c r="J1157" s="7">
        <f>+Tabla1[[#This Row],[PRECIO EN SOLES]]-Tabla1[[#This Row],[PC]]</f>
        <v>806.10800000000108</v>
      </c>
      <c r="K1157" s="15"/>
      <c r="L1157" s="15" t="str">
        <f t="shared" si="18"/>
        <v>GANCHO</v>
      </c>
    </row>
    <row r="1158" spans="1:12" x14ac:dyDescent="0.25">
      <c r="A1158" s="3" t="s">
        <v>1713</v>
      </c>
      <c r="B1158" s="3" t="s">
        <v>1714</v>
      </c>
      <c r="C1158" s="1">
        <v>2</v>
      </c>
      <c r="D1158" s="1">
        <v>2095</v>
      </c>
      <c r="E1158" s="1" t="s">
        <v>56</v>
      </c>
      <c r="F1158" s="1" t="s">
        <v>3456</v>
      </c>
      <c r="G1158" s="3" t="s">
        <v>1715</v>
      </c>
      <c r="H1158" s="11">
        <f>ROUND(
IF(L1158="GANCHO",
   IF(I1158&lt;=50,I1158*1.1+4,IF(I1158&lt;=120,I1158*1.1+7,IF(I1158&lt;=250,I1158*1.1+11,I1158*1.1+19))),
IF(L1158="NORMAL",
   IF(I1158&lt;=30,I1158*1.15+2,IF(I1158&lt;=80,I1158*1.15+4,IF(I1158&lt;=150,I1158*1.15+6,I1158*1.15+8))),
IF(L1158="COMPLEMENTO",
   IF(I1158&lt;=25,I1158*1.25+1.5,IF(I1158&lt;=60,I1158*1.25+3,IF(I1158&lt;=120,I1158*1.25+4,I1158*1.25+5))),
""))),2)</f>
        <v>9590.9699999999993</v>
      </c>
      <c r="I1158" s="9">
        <f>($K$2+0.02)*Tabla1[[#This Row],[PRECIO $]]*1.18</f>
        <v>8701.7919999999995</v>
      </c>
      <c r="J1158" s="7">
        <f>+Tabla1[[#This Row],[PRECIO EN SOLES]]-Tabla1[[#This Row],[PC]]</f>
        <v>889.17799999999988</v>
      </c>
      <c r="K1158" s="15"/>
      <c r="L1158" s="15" t="str">
        <f t="shared" si="18"/>
        <v>GANCHO</v>
      </c>
    </row>
    <row r="1159" spans="1:12" x14ac:dyDescent="0.25">
      <c r="A1159" s="3" t="s">
        <v>2784</v>
      </c>
      <c r="B1159" s="3" t="s">
        <v>2785</v>
      </c>
      <c r="C1159" s="1">
        <v>20</v>
      </c>
      <c r="D1159" s="1">
        <v>2835</v>
      </c>
      <c r="E1159" s="1" t="s">
        <v>783</v>
      </c>
      <c r="F1159" s="1" t="s">
        <v>3457</v>
      </c>
      <c r="G1159" s="3" t="s">
        <v>4641</v>
      </c>
      <c r="H1159" s="11">
        <f>ROUND(
IF(L1159="GANCHO",
   IF(I1159&lt;=50,I1159*1.1+4,IF(I1159&lt;=120,I1159*1.1+7,IF(I1159&lt;=250,I1159*1.1+11,I1159*1.1+19))),
IF(L1159="NORMAL",
   IF(I1159&lt;=30,I1159*1.15+2,IF(I1159&lt;=80,I1159*1.15+4,IF(I1159&lt;=150,I1159*1.15+6,I1159*1.15+8))),
IF(L1159="COMPLEMENTO",
   IF(I1159&lt;=25,I1159*1.25+1.5,IF(I1159&lt;=60,I1159*1.25+3,IF(I1159&lt;=120,I1159*1.25+4,I1159*1.25+5))),
""))),2)</f>
        <v>12972</v>
      </c>
      <c r="I1159" s="9">
        <f>($K$2+0.02)*Tabla1[[#This Row],[PRECIO $]]*1.18</f>
        <v>11775.456</v>
      </c>
      <c r="J1159" s="7">
        <f>+Tabla1[[#This Row],[PRECIO EN SOLES]]-Tabla1[[#This Row],[PC]]</f>
        <v>1196.5439999999999</v>
      </c>
      <c r="K1159" s="15"/>
      <c r="L1159" s="15" t="str">
        <f t="shared" si="18"/>
        <v>GANCHO</v>
      </c>
    </row>
    <row r="1160" spans="1:12" x14ac:dyDescent="0.25">
      <c r="A1160" s="3" t="s">
        <v>6846</v>
      </c>
      <c r="B1160" s="3" t="s">
        <v>6847</v>
      </c>
      <c r="C1160" s="1">
        <v>14</v>
      </c>
      <c r="D1160" s="1">
        <v>2765</v>
      </c>
      <c r="E1160" s="1" t="s">
        <v>783</v>
      </c>
      <c r="F1160" s="1" t="s">
        <v>6848</v>
      </c>
      <c r="G1160" s="3" t="s">
        <v>6849</v>
      </c>
      <c r="H1160" s="11">
        <f>ROUND(
IF(L1160="GANCHO",
   IF(I1160&lt;=50,I1160*1.1+4,IF(I1160&lt;=120,I1160*1.1+7,IF(I1160&lt;=250,I1160*1.1+11,I1160*1.1+19))),
IF(L1160="NORMAL",
   IF(I1160&lt;=30,I1160*1.15+2,IF(I1160&lt;=80,I1160*1.15+4,IF(I1160&lt;=150,I1160*1.15+6,I1160*1.15+8))),
IF(L1160="COMPLEMENTO",
   IF(I1160&lt;=25,I1160*1.25+1.5,IF(I1160&lt;=60,I1160*1.25+3,IF(I1160&lt;=120,I1160*1.25+4,I1160*1.25+5))),
""))),2)</f>
        <v>12652.17</v>
      </c>
      <c r="I1160" s="9">
        <f>($K$2+0.02)*Tabla1[[#This Row],[PRECIO $]]*1.18</f>
        <v>11484.703999999998</v>
      </c>
      <c r="J1160" s="7">
        <f>+Tabla1[[#This Row],[PRECIO EN SOLES]]-Tabla1[[#This Row],[PC]]</f>
        <v>1167.4660000000022</v>
      </c>
      <c r="K1160" s="15"/>
      <c r="L1160" s="15" t="str">
        <f t="shared" si="18"/>
        <v>GANCHO</v>
      </c>
    </row>
    <row r="1161" spans="1:12" x14ac:dyDescent="0.25">
      <c r="A1161" s="3" t="s">
        <v>1716</v>
      </c>
      <c r="B1161" s="3" t="s">
        <v>1717</v>
      </c>
      <c r="C1161" s="1">
        <v>0</v>
      </c>
      <c r="D1161" s="1">
        <v>1787</v>
      </c>
      <c r="E1161" s="1" t="s">
        <v>783</v>
      </c>
      <c r="F1161" s="1" t="s">
        <v>3458</v>
      </c>
      <c r="G1161" s="3" t="s">
        <v>1718</v>
      </c>
      <c r="H1161" s="11">
        <f>ROUND(
IF(L1161="GANCHO",
   IF(I1161&lt;=50,I1161*1.1+4,IF(I1161&lt;=120,I1161*1.1+7,IF(I1161&lt;=250,I1161*1.1+11,I1161*1.1+19))),
IF(L1161="NORMAL",
   IF(I1161&lt;=30,I1161*1.15+2,IF(I1161&lt;=80,I1161*1.15+4,IF(I1161&lt;=150,I1161*1.15+6,I1161*1.15+8))),
IF(L1161="COMPLEMENTO",
   IF(I1161&lt;=25,I1161*1.25+1.5,IF(I1161&lt;=60,I1161*1.25+3,IF(I1161&lt;=120,I1161*1.25+4,I1161*1.25+5))),
""))),2)</f>
        <v>8183.73</v>
      </c>
      <c r="I1161" s="9">
        <f>($K$2+0.02)*Tabla1[[#This Row],[PRECIO $]]*1.18</f>
        <v>7422.4831999999997</v>
      </c>
      <c r="J1161" s="7">
        <f>+Tabla1[[#This Row],[PRECIO EN SOLES]]-Tabla1[[#This Row],[PC]]</f>
        <v>761.24679999999989</v>
      </c>
      <c r="K1161" s="15"/>
      <c r="L1161" s="15" t="str">
        <f t="shared" si="18"/>
        <v>GANCHO</v>
      </c>
    </row>
    <row r="1162" spans="1:12" x14ac:dyDescent="0.25">
      <c r="A1162" s="3" t="s">
        <v>6006</v>
      </c>
      <c r="B1162" s="3" t="s">
        <v>6007</v>
      </c>
      <c r="C1162" s="1">
        <v>20</v>
      </c>
      <c r="D1162" s="1">
        <v>1947</v>
      </c>
      <c r="E1162" s="1" t="s">
        <v>783</v>
      </c>
      <c r="F1162" s="1" t="s">
        <v>6008</v>
      </c>
      <c r="G1162" s="3" t="s">
        <v>1718</v>
      </c>
      <c r="H1162" s="11">
        <f>ROUND(
IF(L1162="GANCHO",
   IF(I1162&lt;=50,I1162*1.1+4,IF(I1162&lt;=120,I1162*1.1+7,IF(I1162&lt;=250,I1162*1.1+11,I1162*1.1+19))),
IF(L1162="NORMAL",
   IF(I1162&lt;=30,I1162*1.15+2,IF(I1162&lt;=80,I1162*1.15+4,IF(I1162&lt;=150,I1162*1.15+6,I1162*1.15+8))),
IF(L1162="COMPLEMENTO",
   IF(I1162&lt;=25,I1162*1.25+1.5,IF(I1162&lt;=60,I1162*1.25+3,IF(I1162&lt;=120,I1162*1.25+4,I1162*1.25+5))),
""))),2)</f>
        <v>8914.77</v>
      </c>
      <c r="I1162" s="9">
        <f>($K$2+0.02)*Tabla1[[#This Row],[PRECIO $]]*1.18</f>
        <v>8087.0591999999988</v>
      </c>
      <c r="J1162" s="7">
        <f>+Tabla1[[#This Row],[PRECIO EN SOLES]]-Tabla1[[#This Row],[PC]]</f>
        <v>827.71080000000165</v>
      </c>
      <c r="K1162" s="15"/>
      <c r="L1162" s="15" t="str">
        <f t="shared" si="18"/>
        <v>GANCHO</v>
      </c>
    </row>
    <row r="1163" spans="1:12" x14ac:dyDescent="0.25">
      <c r="A1163" s="3" t="s">
        <v>6009</v>
      </c>
      <c r="B1163" s="3" t="s">
        <v>6010</v>
      </c>
      <c r="C1163" s="1">
        <v>20</v>
      </c>
      <c r="D1163" s="1">
        <v>2172</v>
      </c>
      <c r="E1163" s="1" t="s">
        <v>783</v>
      </c>
      <c r="F1163" s="1" t="s">
        <v>6011</v>
      </c>
      <c r="G1163" s="3"/>
      <c r="H1163" s="11">
        <f>ROUND(
IF(L1163="GANCHO",
   IF(I1163&lt;=50,I1163*1.1+4,IF(I1163&lt;=120,I1163*1.1+7,IF(I1163&lt;=250,I1163*1.1+11,I1163*1.1+19))),
IF(L1163="NORMAL",
   IF(I1163&lt;=30,I1163*1.15+2,IF(I1163&lt;=80,I1163*1.15+4,IF(I1163&lt;=150,I1163*1.15+6,I1163*1.15+8))),
IF(L1163="COMPLEMENTO",
   IF(I1163&lt;=25,I1163*1.25+1.5,IF(I1163&lt;=60,I1163*1.25+3,IF(I1163&lt;=120,I1163*1.25+4,I1163*1.25+5))),
""))),2)</f>
        <v>9942.7800000000007</v>
      </c>
      <c r="I1163" s="9">
        <f>($K$2+0.02)*Tabla1[[#This Row],[PRECIO $]]*1.18</f>
        <v>9021.6191999999992</v>
      </c>
      <c r="J1163" s="7">
        <f>+Tabla1[[#This Row],[PRECIO EN SOLES]]-Tabla1[[#This Row],[PC]]</f>
        <v>921.16080000000147</v>
      </c>
      <c r="K1163" s="15"/>
      <c r="L1163" s="15" t="str">
        <f t="shared" si="18"/>
        <v>GANCHO</v>
      </c>
    </row>
    <row r="1164" spans="1:12" x14ac:dyDescent="0.25">
      <c r="A1164" s="3" t="s">
        <v>6012</v>
      </c>
      <c r="B1164" s="3" t="s">
        <v>6013</v>
      </c>
      <c r="C1164" s="1">
        <v>20</v>
      </c>
      <c r="D1164" s="1">
        <v>1992</v>
      </c>
      <c r="E1164" s="1" t="s">
        <v>783</v>
      </c>
      <c r="F1164" s="1" t="s">
        <v>6014</v>
      </c>
      <c r="G1164" s="3" t="s">
        <v>6632</v>
      </c>
      <c r="H1164" s="11">
        <f>ROUND(
IF(L1164="GANCHO",
   IF(I1164&lt;=50,I1164*1.1+4,IF(I1164&lt;=120,I1164*1.1+7,IF(I1164&lt;=250,I1164*1.1+11,I1164*1.1+19))),
IF(L1164="NORMAL",
   IF(I1164&lt;=30,I1164*1.15+2,IF(I1164&lt;=80,I1164*1.15+4,IF(I1164&lt;=150,I1164*1.15+6,I1164*1.15+8))),
IF(L1164="COMPLEMENTO",
   IF(I1164&lt;=25,I1164*1.25+1.5,IF(I1164&lt;=60,I1164*1.25+3,IF(I1164&lt;=120,I1164*1.25+4,I1164*1.25+5))),
""))),2)</f>
        <v>9120.3700000000008</v>
      </c>
      <c r="I1164" s="9">
        <f>($K$2+0.02)*Tabla1[[#This Row],[PRECIO $]]*1.18</f>
        <v>8273.9712</v>
      </c>
      <c r="J1164" s="7">
        <f>+Tabla1[[#This Row],[PRECIO EN SOLES]]-Tabla1[[#This Row],[PC]]</f>
        <v>846.39880000000085</v>
      </c>
      <c r="K1164" s="15"/>
      <c r="L1164" s="15" t="str">
        <f t="shared" si="18"/>
        <v>GANCHO</v>
      </c>
    </row>
    <row r="1165" spans="1:12" x14ac:dyDescent="0.25">
      <c r="A1165" s="3" t="s">
        <v>4190</v>
      </c>
      <c r="B1165" s="3" t="s">
        <v>4191</v>
      </c>
      <c r="C1165" s="1">
        <v>20</v>
      </c>
      <c r="D1165" s="1">
        <v>2092</v>
      </c>
      <c r="E1165" s="1" t="s">
        <v>783</v>
      </c>
      <c r="F1165" s="1" t="s">
        <v>4192</v>
      </c>
      <c r="G1165" s="3" t="s">
        <v>4642</v>
      </c>
      <c r="H1165" s="11">
        <f>ROUND(
IF(L1165="GANCHO",
   IF(I1165&lt;=50,I1165*1.1+4,IF(I1165&lt;=120,I1165*1.1+7,IF(I1165&lt;=250,I1165*1.1+11,I1165*1.1+19))),
IF(L1165="NORMAL",
   IF(I1165&lt;=30,I1165*1.15+2,IF(I1165&lt;=80,I1165*1.15+4,IF(I1165&lt;=150,I1165*1.15+6,I1165*1.15+8))),
IF(L1165="COMPLEMENTO",
   IF(I1165&lt;=25,I1165*1.25+1.5,IF(I1165&lt;=60,I1165*1.25+3,IF(I1165&lt;=120,I1165*1.25+4,I1165*1.25+5))),
""))),2)</f>
        <v>9577.26</v>
      </c>
      <c r="I1165" s="9">
        <f>($K$2+0.02)*Tabla1[[#This Row],[PRECIO $]]*1.18</f>
        <v>8689.3312000000005</v>
      </c>
      <c r="J1165" s="7">
        <f>+Tabla1[[#This Row],[PRECIO EN SOLES]]-Tabla1[[#This Row],[PC]]</f>
        <v>887.92879999999968</v>
      </c>
      <c r="K1165" s="15"/>
      <c r="L1165" s="15" t="str">
        <f t="shared" si="18"/>
        <v>GANCHO</v>
      </c>
    </row>
    <row r="1166" spans="1:12" x14ac:dyDescent="0.25">
      <c r="A1166" s="3" t="s">
        <v>6633</v>
      </c>
      <c r="B1166" s="3" t="s">
        <v>6634</v>
      </c>
      <c r="C1166" s="1">
        <v>20</v>
      </c>
      <c r="D1166" s="1">
        <v>1875</v>
      </c>
      <c r="E1166" s="1" t="s">
        <v>783</v>
      </c>
      <c r="F1166" s="1" t="s">
        <v>6635</v>
      </c>
      <c r="G1166" s="3" t="s">
        <v>6636</v>
      </c>
      <c r="H1166" s="11">
        <f>ROUND(
IF(L1166="GANCHO",
   IF(I1166&lt;=50,I1166*1.1+4,IF(I1166&lt;=120,I1166*1.1+7,IF(I1166&lt;=250,I1166*1.1+11,I1166*1.1+19))),
IF(L1166="NORMAL",
   IF(I1166&lt;=30,I1166*1.15+2,IF(I1166&lt;=80,I1166*1.15+4,IF(I1166&lt;=150,I1166*1.15+6,I1166*1.15+8))),
IF(L1166="COMPLEMENTO",
   IF(I1166&lt;=25,I1166*1.25+1.5,IF(I1166&lt;=60,I1166*1.25+3,IF(I1166&lt;=120,I1166*1.25+4,I1166*1.25+5))),
""))),2)</f>
        <v>8585.7999999999993</v>
      </c>
      <c r="I1166" s="9">
        <f>($K$2+0.02)*Tabla1[[#This Row],[PRECIO $]]*1.18</f>
        <v>7788</v>
      </c>
      <c r="J1166" s="7">
        <f>+Tabla1[[#This Row],[PRECIO EN SOLES]]-Tabla1[[#This Row],[PC]]</f>
        <v>797.79999999999927</v>
      </c>
      <c r="K1166" s="15"/>
      <c r="L1166" s="15" t="str">
        <f t="shared" si="18"/>
        <v>GANCHO</v>
      </c>
    </row>
    <row r="1167" spans="1:12" x14ac:dyDescent="0.25">
      <c r="A1167" s="3" t="s">
        <v>6637</v>
      </c>
      <c r="B1167" s="3" t="s">
        <v>6638</v>
      </c>
      <c r="C1167" s="1">
        <v>20</v>
      </c>
      <c r="D1167" s="1">
        <v>2075</v>
      </c>
      <c r="E1167" s="1" t="s">
        <v>783</v>
      </c>
      <c r="F1167" s="1" t="s">
        <v>6639</v>
      </c>
      <c r="G1167" s="3" t="s">
        <v>6640</v>
      </c>
      <c r="H1167" s="11">
        <f>ROUND(
IF(L1167="GANCHO",
   IF(I1167&lt;=50,I1167*1.1+4,IF(I1167&lt;=120,I1167*1.1+7,IF(I1167&lt;=250,I1167*1.1+11,I1167*1.1+19))),
IF(L1167="NORMAL",
   IF(I1167&lt;=30,I1167*1.15+2,IF(I1167&lt;=80,I1167*1.15+4,IF(I1167&lt;=150,I1167*1.15+6,I1167*1.15+8))),
IF(L1167="COMPLEMENTO",
   IF(I1167&lt;=25,I1167*1.25+1.5,IF(I1167&lt;=60,I1167*1.25+3,IF(I1167&lt;=120,I1167*1.25+4,I1167*1.25+5))),
""))),2)</f>
        <v>9499.59</v>
      </c>
      <c r="I1167" s="9">
        <f>($K$2+0.02)*Tabla1[[#This Row],[PRECIO $]]*1.18</f>
        <v>8618.7199999999993</v>
      </c>
      <c r="J1167" s="7">
        <f>+Tabla1[[#This Row],[PRECIO EN SOLES]]-Tabla1[[#This Row],[PC]]</f>
        <v>880.8700000000008</v>
      </c>
      <c r="K1167" s="15"/>
      <c r="L1167" s="15" t="str">
        <f t="shared" si="18"/>
        <v>GANCHO</v>
      </c>
    </row>
    <row r="1168" spans="1:12" x14ac:dyDescent="0.25">
      <c r="A1168" s="3" t="s">
        <v>6641</v>
      </c>
      <c r="B1168" s="3" t="s">
        <v>6642</v>
      </c>
      <c r="C1168" s="1">
        <v>20</v>
      </c>
      <c r="D1168" s="1">
        <v>1795</v>
      </c>
      <c r="E1168" s="1" t="s">
        <v>783</v>
      </c>
      <c r="F1168" s="1" t="s">
        <v>6643</v>
      </c>
      <c r="G1168" s="3" t="s">
        <v>6644</v>
      </c>
      <c r="H1168" s="11">
        <f>ROUND(
IF(L1168="GANCHO",
   IF(I1168&lt;=50,I1168*1.1+4,IF(I1168&lt;=120,I1168*1.1+7,IF(I1168&lt;=250,I1168*1.1+11,I1168*1.1+19))),
IF(L1168="NORMAL",
   IF(I1168&lt;=30,I1168*1.15+2,IF(I1168&lt;=80,I1168*1.15+4,IF(I1168&lt;=150,I1168*1.15+6,I1168*1.15+8))),
IF(L1168="COMPLEMENTO",
   IF(I1168&lt;=25,I1168*1.25+1.5,IF(I1168&lt;=60,I1168*1.25+3,IF(I1168&lt;=120,I1168*1.25+4,I1168*1.25+5))),
""))),2)</f>
        <v>8220.2800000000007</v>
      </c>
      <c r="I1168" s="9">
        <f>($K$2+0.02)*Tabla1[[#This Row],[PRECIO $]]*1.18</f>
        <v>7455.7119999999995</v>
      </c>
      <c r="J1168" s="7">
        <f>+Tabla1[[#This Row],[PRECIO EN SOLES]]-Tabla1[[#This Row],[PC]]</f>
        <v>764.56800000000112</v>
      </c>
      <c r="K1168" s="15"/>
      <c r="L1168" s="15" t="str">
        <f t="shared" si="18"/>
        <v>GANCHO</v>
      </c>
    </row>
    <row r="1169" spans="1:12" x14ac:dyDescent="0.25">
      <c r="A1169" s="3" t="s">
        <v>7104</v>
      </c>
      <c r="B1169" s="3" t="s">
        <v>7105</v>
      </c>
      <c r="C1169" s="1">
        <v>1</v>
      </c>
      <c r="D1169" s="1">
        <v>961</v>
      </c>
      <c r="E1169" s="1" t="s">
        <v>74</v>
      </c>
      <c r="F1169" s="1" t="s">
        <v>7106</v>
      </c>
      <c r="G1169" s="3" t="s">
        <v>7107</v>
      </c>
      <c r="H1169" s="11">
        <f>ROUND(
IF(L1169="GANCHO",
   IF(I1169&lt;=50,I1169*1.1+4,IF(I1169&lt;=120,I1169*1.1+7,IF(I1169&lt;=250,I1169*1.1+11,I1169*1.1+19))),
IF(L1169="NORMAL",
   IF(I1169&lt;=30,I1169*1.15+2,IF(I1169&lt;=80,I1169*1.15+4,IF(I1169&lt;=150,I1169*1.15+6,I1169*1.15+8))),
IF(L1169="COMPLEMENTO",
   IF(I1169&lt;=25,I1169*1.25+1.5,IF(I1169&lt;=60,I1169*1.25+3,IF(I1169&lt;=120,I1169*1.25+4,I1169*1.25+5))),
""))),2)</f>
        <v>4409.7700000000004</v>
      </c>
      <c r="I1169" s="9">
        <f>($K$2+0.02)*Tabla1[[#This Row],[PRECIO $]]*1.18</f>
        <v>3991.6095999999998</v>
      </c>
      <c r="J1169" s="7">
        <f>+Tabla1[[#This Row],[PRECIO EN SOLES]]-Tabla1[[#This Row],[PC]]</f>
        <v>418.16040000000066</v>
      </c>
      <c r="K1169" s="15"/>
      <c r="L1169" s="15" t="str">
        <f t="shared" si="18"/>
        <v>GANCHO</v>
      </c>
    </row>
    <row r="1170" spans="1:12" x14ac:dyDescent="0.25">
      <c r="A1170" s="3" t="s">
        <v>1719</v>
      </c>
      <c r="B1170" s="3" t="s">
        <v>1720</v>
      </c>
      <c r="C1170" s="1">
        <v>20</v>
      </c>
      <c r="D1170" s="1">
        <v>1860</v>
      </c>
      <c r="E1170" s="1" t="s">
        <v>351</v>
      </c>
      <c r="F1170" s="1" t="s">
        <v>3459</v>
      </c>
      <c r="G1170" s="3" t="s">
        <v>1721</v>
      </c>
      <c r="H1170" s="11">
        <f>ROUND(
IF(L1170="GANCHO",
   IF(I1170&lt;=50,I1170*1.1+4,IF(I1170&lt;=120,I1170*1.1+7,IF(I1170&lt;=250,I1170*1.1+11,I1170*1.1+19))),
IF(L1170="NORMAL",
   IF(I1170&lt;=30,I1170*1.15+2,IF(I1170&lt;=80,I1170*1.15+4,IF(I1170&lt;=150,I1170*1.15+6,I1170*1.15+8))),
IF(L1170="COMPLEMENTO",
   IF(I1170&lt;=25,I1170*1.25+1.5,IF(I1170&lt;=60,I1170*1.25+3,IF(I1170&lt;=120,I1170*1.25+4,I1170*1.25+5))),
""))),2)</f>
        <v>8517.27</v>
      </c>
      <c r="I1170" s="9">
        <f>($K$2+0.02)*Tabla1[[#This Row],[PRECIO $]]*1.18</f>
        <v>7725.695999999999</v>
      </c>
      <c r="J1170" s="7">
        <f>+Tabla1[[#This Row],[PRECIO EN SOLES]]-Tabla1[[#This Row],[PC]]</f>
        <v>791.57400000000143</v>
      </c>
      <c r="K1170" s="15"/>
      <c r="L1170" s="15" t="str">
        <f t="shared" si="18"/>
        <v>GANCHO</v>
      </c>
    </row>
    <row r="1171" spans="1:12" x14ac:dyDescent="0.25">
      <c r="A1171" s="3" t="s">
        <v>1722</v>
      </c>
      <c r="B1171" s="3" t="s">
        <v>1723</v>
      </c>
      <c r="C1171" s="1">
        <v>1</v>
      </c>
      <c r="D1171" s="1">
        <v>1939</v>
      </c>
      <c r="E1171" s="1" t="s">
        <v>1724</v>
      </c>
      <c r="F1171" s="1" t="s">
        <v>3460</v>
      </c>
      <c r="G1171" s="3" t="s">
        <v>1725</v>
      </c>
      <c r="H1171" s="11">
        <f>ROUND(
IF(L1171="GANCHO",
   IF(I1171&lt;=50,I1171*1.1+4,IF(I1171&lt;=120,I1171*1.1+7,IF(I1171&lt;=250,I1171*1.1+11,I1171*1.1+19))),
IF(L1171="NORMAL",
   IF(I1171&lt;=30,I1171*1.15+2,IF(I1171&lt;=80,I1171*1.15+4,IF(I1171&lt;=150,I1171*1.15+6,I1171*1.15+8))),
IF(L1171="COMPLEMENTO",
   IF(I1171&lt;=25,I1171*1.25+1.5,IF(I1171&lt;=60,I1171*1.25+3,IF(I1171&lt;=120,I1171*1.25+4,I1171*1.25+5))),
""))),2)</f>
        <v>8878.2099999999991</v>
      </c>
      <c r="I1171" s="9">
        <f>($K$2+0.02)*Tabla1[[#This Row],[PRECIO $]]*1.18</f>
        <v>8053.8303999999989</v>
      </c>
      <c r="J1171" s="7">
        <f>+Tabla1[[#This Row],[PRECIO EN SOLES]]-Tabla1[[#This Row],[PC]]</f>
        <v>824.37960000000021</v>
      </c>
      <c r="K1171" s="15"/>
      <c r="L1171" s="15" t="str">
        <f t="shared" si="18"/>
        <v>GANCHO</v>
      </c>
    </row>
    <row r="1172" spans="1:12" x14ac:dyDescent="0.25">
      <c r="A1172" s="3" t="s">
        <v>1726</v>
      </c>
      <c r="B1172" s="3" t="s">
        <v>1727</v>
      </c>
      <c r="C1172" s="1">
        <v>10</v>
      </c>
      <c r="D1172" s="1">
        <v>1920</v>
      </c>
      <c r="E1172" s="1" t="s">
        <v>351</v>
      </c>
      <c r="F1172" s="1" t="s">
        <v>3461</v>
      </c>
      <c r="G1172" s="3" t="s">
        <v>1728</v>
      </c>
      <c r="H1172" s="11">
        <f>ROUND(
IF(L1172="GANCHO",
   IF(I1172&lt;=50,I1172*1.1+4,IF(I1172&lt;=120,I1172*1.1+7,IF(I1172&lt;=250,I1172*1.1+11,I1172*1.1+19))),
IF(L1172="NORMAL",
   IF(I1172&lt;=30,I1172*1.15+2,IF(I1172&lt;=80,I1172*1.15+4,IF(I1172&lt;=150,I1172*1.15+6,I1172*1.15+8))),
IF(L1172="COMPLEMENTO",
   IF(I1172&lt;=25,I1172*1.25+1.5,IF(I1172&lt;=60,I1172*1.25+3,IF(I1172&lt;=120,I1172*1.25+4,I1172*1.25+5))),
""))),2)</f>
        <v>8791.4</v>
      </c>
      <c r="I1172" s="9">
        <f>($K$2+0.02)*Tabla1[[#This Row],[PRECIO $]]*1.18</f>
        <v>7974.9119999999994</v>
      </c>
      <c r="J1172" s="7">
        <f>+Tabla1[[#This Row],[PRECIO EN SOLES]]-Tabla1[[#This Row],[PC]]</f>
        <v>816.48800000000028</v>
      </c>
      <c r="K1172" s="15"/>
      <c r="L1172" s="15" t="str">
        <f t="shared" si="18"/>
        <v>GANCHO</v>
      </c>
    </row>
    <row r="1173" spans="1:12" x14ac:dyDescent="0.25">
      <c r="A1173" s="3" t="s">
        <v>1729</v>
      </c>
      <c r="B1173" s="3" t="s">
        <v>1730</v>
      </c>
      <c r="C1173" s="1">
        <v>15</v>
      </c>
      <c r="D1173" s="1">
        <v>4650</v>
      </c>
      <c r="E1173" s="1" t="s">
        <v>351</v>
      </c>
      <c r="F1173" s="1" t="s">
        <v>3462</v>
      </c>
      <c r="G1173" s="3" t="s">
        <v>1731</v>
      </c>
      <c r="H1173" s="11">
        <f>ROUND(
IF(L1173="GANCHO",
   IF(I1173&lt;=50,I1173*1.1+4,IF(I1173&lt;=120,I1173*1.1+7,IF(I1173&lt;=250,I1173*1.1+11,I1173*1.1+19))),
IF(L1173="NORMAL",
   IF(I1173&lt;=30,I1173*1.15+2,IF(I1173&lt;=80,I1173*1.15+4,IF(I1173&lt;=150,I1173*1.15+6,I1173*1.15+8))),
IF(L1173="COMPLEMENTO",
   IF(I1173&lt;=25,I1173*1.25+1.5,IF(I1173&lt;=60,I1173*1.25+3,IF(I1173&lt;=120,I1173*1.25+4,I1173*1.25+5))),
""))),2)</f>
        <v>21264.66</v>
      </c>
      <c r="I1173" s="9">
        <f>($K$2+0.02)*Tabla1[[#This Row],[PRECIO $]]*1.18</f>
        <v>19314.239999999998</v>
      </c>
      <c r="J1173" s="7">
        <f>+Tabla1[[#This Row],[PRECIO EN SOLES]]-Tabla1[[#This Row],[PC]]</f>
        <v>1950.4200000000019</v>
      </c>
      <c r="K1173" s="15"/>
      <c r="L1173" s="15" t="str">
        <f t="shared" si="18"/>
        <v>GANCHO</v>
      </c>
    </row>
    <row r="1174" spans="1:12" x14ac:dyDescent="0.25">
      <c r="A1174" s="3" t="s">
        <v>1732</v>
      </c>
      <c r="B1174" s="3" t="s">
        <v>1733</v>
      </c>
      <c r="C1174" s="1">
        <v>20</v>
      </c>
      <c r="D1174" s="1">
        <v>4285.75</v>
      </c>
      <c r="E1174" s="1" t="s">
        <v>74</v>
      </c>
      <c r="F1174" s="1" t="s">
        <v>3463</v>
      </c>
      <c r="G1174" s="3" t="s">
        <v>1734</v>
      </c>
      <c r="H1174" s="11">
        <f>ROUND(
IF(L1174="GANCHO",
   IF(I1174&lt;=50,I1174*1.1+4,IF(I1174&lt;=120,I1174*1.1+7,IF(I1174&lt;=250,I1174*1.1+11,I1174*1.1+19))),
IF(L1174="NORMAL",
   IF(I1174&lt;=30,I1174*1.15+2,IF(I1174&lt;=80,I1174*1.15+4,IF(I1174&lt;=150,I1174*1.15+6,I1174*1.15+8))),
IF(L1174="COMPLEMENTO",
   IF(I1174&lt;=25,I1174*1.25+1.5,IF(I1174&lt;=60,I1174*1.25+3,IF(I1174&lt;=120,I1174*1.25+4,I1174*1.25+5))),
""))),2)</f>
        <v>19600.419999999998</v>
      </c>
      <c r="I1174" s="9">
        <f>($K$2+0.02)*Tabla1[[#This Row],[PRECIO $]]*1.18</f>
        <v>17801.2912</v>
      </c>
      <c r="J1174" s="7">
        <f>+Tabla1[[#This Row],[PRECIO EN SOLES]]-Tabla1[[#This Row],[PC]]</f>
        <v>1799.1287999999986</v>
      </c>
      <c r="K1174" s="15"/>
      <c r="L1174" s="15" t="str">
        <f t="shared" si="18"/>
        <v>GANCHO</v>
      </c>
    </row>
    <row r="1175" spans="1:12" x14ac:dyDescent="0.25">
      <c r="A1175" s="3" t="s">
        <v>1735</v>
      </c>
      <c r="B1175" s="3" t="s">
        <v>1736</v>
      </c>
      <c r="C1175" s="1">
        <v>20</v>
      </c>
      <c r="D1175" s="1">
        <v>4398.45</v>
      </c>
      <c r="E1175" s="1" t="s">
        <v>74</v>
      </c>
      <c r="F1175" s="1" t="s">
        <v>3464</v>
      </c>
      <c r="G1175" s="3" t="s">
        <v>1734</v>
      </c>
      <c r="H1175" s="11">
        <f>ROUND(
IF(L1175="GANCHO",
   IF(I1175&lt;=50,I1175*1.1+4,IF(I1175&lt;=120,I1175*1.1+7,IF(I1175&lt;=250,I1175*1.1+11,I1175*1.1+19))),
IF(L1175="NORMAL",
   IF(I1175&lt;=30,I1175*1.15+2,IF(I1175&lt;=80,I1175*1.15+4,IF(I1175&lt;=150,I1175*1.15+6,I1175*1.15+8))),
IF(L1175="COMPLEMENTO",
   IF(I1175&lt;=25,I1175*1.25+1.5,IF(I1175&lt;=60,I1175*1.25+3,IF(I1175&lt;=120,I1175*1.25+4,I1175*1.25+5))),
""))),2)</f>
        <v>20115.34</v>
      </c>
      <c r="I1175" s="9">
        <f>($K$2+0.02)*Tabla1[[#This Row],[PRECIO $]]*1.18</f>
        <v>18269.40192</v>
      </c>
      <c r="J1175" s="7">
        <f>+Tabla1[[#This Row],[PRECIO EN SOLES]]-Tabla1[[#This Row],[PC]]</f>
        <v>1845.9380799999999</v>
      </c>
      <c r="K1175" s="15"/>
      <c r="L1175" s="15" t="str">
        <f t="shared" si="18"/>
        <v>GANCHO</v>
      </c>
    </row>
    <row r="1176" spans="1:12" x14ac:dyDescent="0.25">
      <c r="A1176" s="3" t="s">
        <v>1737</v>
      </c>
      <c r="B1176" s="3" t="s">
        <v>1738</v>
      </c>
      <c r="C1176" s="1">
        <v>5</v>
      </c>
      <c r="D1176" s="1">
        <v>2554</v>
      </c>
      <c r="E1176" s="1" t="s">
        <v>1724</v>
      </c>
      <c r="F1176" s="1" t="s">
        <v>3465</v>
      </c>
      <c r="G1176" s="3" t="s">
        <v>1739</v>
      </c>
      <c r="H1176" s="11">
        <f>ROUND(
IF(L1176="GANCHO",
   IF(I1176&lt;=50,I1176*1.1+4,IF(I1176&lt;=120,I1176*1.1+7,IF(I1176&lt;=250,I1176*1.1+11,I1176*1.1+19))),
IF(L1176="NORMAL",
   IF(I1176&lt;=30,I1176*1.15+2,IF(I1176&lt;=80,I1176*1.15+4,IF(I1176&lt;=150,I1176*1.15+6,I1176*1.15+8))),
IF(L1176="COMPLEMENTO",
   IF(I1176&lt;=25,I1176*1.25+1.5,IF(I1176&lt;=60,I1176*1.25+3,IF(I1176&lt;=120,I1176*1.25+4,I1176*1.25+5))),
""))),2)</f>
        <v>11688.12</v>
      </c>
      <c r="I1176" s="9">
        <f>($K$2+0.02)*Tabla1[[#This Row],[PRECIO $]]*1.18</f>
        <v>10608.294399999999</v>
      </c>
      <c r="J1176" s="7">
        <f>+Tabla1[[#This Row],[PRECIO EN SOLES]]-Tabla1[[#This Row],[PC]]</f>
        <v>1079.8256000000019</v>
      </c>
      <c r="K1176" s="15"/>
      <c r="L1176" s="15" t="str">
        <f t="shared" si="18"/>
        <v>GANCHO</v>
      </c>
    </row>
    <row r="1177" spans="1:12" x14ac:dyDescent="0.25">
      <c r="A1177" s="3" t="s">
        <v>5547</v>
      </c>
      <c r="B1177" s="3" t="s">
        <v>5548</v>
      </c>
      <c r="C1177" s="1">
        <v>20</v>
      </c>
      <c r="D1177" s="1">
        <v>769</v>
      </c>
      <c r="E1177" s="1" t="s">
        <v>351</v>
      </c>
      <c r="F1177" s="1" t="s">
        <v>5549</v>
      </c>
      <c r="G1177" s="3" t="s">
        <v>5550</v>
      </c>
      <c r="H1177" s="11">
        <f>ROUND(
IF(L1177="GANCHO",
   IF(I1177&lt;=50,I1177*1.1+4,IF(I1177&lt;=120,I1177*1.1+7,IF(I1177&lt;=250,I1177*1.1+11,I1177*1.1+19))),
IF(L1177="NORMAL",
   IF(I1177&lt;=30,I1177*1.15+2,IF(I1177&lt;=80,I1177*1.15+4,IF(I1177&lt;=150,I1177*1.15+6,I1177*1.15+8))),
IF(L1177="COMPLEMENTO",
   IF(I1177&lt;=25,I1177*1.25+1.5,IF(I1177&lt;=60,I1177*1.25+3,IF(I1177&lt;=120,I1177*1.25+4,I1177*1.25+5))),
""))),2)</f>
        <v>3532.53</v>
      </c>
      <c r="I1177" s="9">
        <f>($K$2+0.02)*Tabla1[[#This Row],[PRECIO $]]*1.18</f>
        <v>3194.1183999999998</v>
      </c>
      <c r="J1177" s="7">
        <f>+Tabla1[[#This Row],[PRECIO EN SOLES]]-Tabla1[[#This Row],[PC]]</f>
        <v>338.41160000000036</v>
      </c>
      <c r="K1177" s="15"/>
      <c r="L1177" s="15" t="str">
        <f t="shared" si="18"/>
        <v>GANCHO</v>
      </c>
    </row>
    <row r="1178" spans="1:12" x14ac:dyDescent="0.25">
      <c r="A1178" s="3" t="s">
        <v>5033</v>
      </c>
      <c r="B1178" s="3" t="s">
        <v>5034</v>
      </c>
      <c r="C1178" s="1">
        <v>20</v>
      </c>
      <c r="D1178" s="1">
        <v>770.8</v>
      </c>
      <c r="E1178" s="1" t="s">
        <v>351</v>
      </c>
      <c r="F1178" s="1" t="s">
        <v>5035</v>
      </c>
      <c r="G1178" s="3" t="s">
        <v>5036</v>
      </c>
      <c r="H1178" s="11">
        <f>ROUND(
IF(L1178="GANCHO",
   IF(I1178&lt;=50,I1178*1.1+4,IF(I1178&lt;=120,I1178*1.1+7,IF(I1178&lt;=250,I1178*1.1+11,I1178*1.1+19))),
IF(L1178="NORMAL",
   IF(I1178&lt;=30,I1178*1.15+2,IF(I1178&lt;=80,I1178*1.15+4,IF(I1178&lt;=150,I1178*1.15+6,I1178*1.15+8))),
IF(L1178="COMPLEMENTO",
   IF(I1178&lt;=25,I1178*1.25+1.5,IF(I1178&lt;=60,I1178*1.25+3,IF(I1178&lt;=120,I1178*1.25+4,I1178*1.25+5))),
""))),2)</f>
        <v>3540.75</v>
      </c>
      <c r="I1178" s="9">
        <f>($K$2+0.02)*Tabla1[[#This Row],[PRECIO $]]*1.18</f>
        <v>3201.5948799999996</v>
      </c>
      <c r="J1178" s="7">
        <f>+Tabla1[[#This Row],[PRECIO EN SOLES]]-Tabla1[[#This Row],[PC]]</f>
        <v>339.15512000000035</v>
      </c>
      <c r="K1178" s="15"/>
      <c r="L1178" s="15" t="str">
        <f t="shared" si="18"/>
        <v>GANCHO</v>
      </c>
    </row>
    <row r="1179" spans="1:12" x14ac:dyDescent="0.25">
      <c r="A1179" s="3" t="s">
        <v>1740</v>
      </c>
      <c r="B1179" s="3" t="s">
        <v>1741</v>
      </c>
      <c r="C1179" s="1">
        <v>20</v>
      </c>
      <c r="D1179" s="1">
        <v>1241</v>
      </c>
      <c r="E1179" s="1" t="s">
        <v>1724</v>
      </c>
      <c r="F1179" s="1" t="s">
        <v>3466</v>
      </c>
      <c r="G1179" s="3" t="s">
        <v>1742</v>
      </c>
      <c r="H1179" s="11">
        <f>ROUND(
IF(L1179="GANCHO",
   IF(I1179&lt;=50,I1179*1.1+4,IF(I1179&lt;=120,I1179*1.1+7,IF(I1179&lt;=250,I1179*1.1+11,I1179*1.1+19))),
IF(L1179="NORMAL",
   IF(I1179&lt;=30,I1179*1.15+2,IF(I1179&lt;=80,I1179*1.15+4,IF(I1179&lt;=150,I1179*1.15+6,I1179*1.15+8))),
IF(L1179="COMPLEMENTO",
   IF(I1179&lt;=25,I1179*1.25+1.5,IF(I1179&lt;=60,I1179*1.25+3,IF(I1179&lt;=120,I1179*1.25+4,I1179*1.25+5))),
""))),2)</f>
        <v>5689.08</v>
      </c>
      <c r="I1179" s="9">
        <f>($K$2+0.02)*Tabla1[[#This Row],[PRECIO $]]*1.18</f>
        <v>5154.6175999999996</v>
      </c>
      <c r="J1179" s="7">
        <f>+Tabla1[[#This Row],[PRECIO EN SOLES]]-Tabla1[[#This Row],[PC]]</f>
        <v>534.46240000000034</v>
      </c>
      <c r="K1179" s="15"/>
      <c r="L1179" s="15" t="str">
        <f t="shared" si="18"/>
        <v>GANCHO</v>
      </c>
    </row>
    <row r="1180" spans="1:12" x14ac:dyDescent="0.25">
      <c r="A1180" s="3" t="s">
        <v>1743</v>
      </c>
      <c r="B1180" s="3" t="s">
        <v>1744</v>
      </c>
      <c r="C1180" s="1">
        <v>20</v>
      </c>
      <c r="D1180" s="1">
        <v>675</v>
      </c>
      <c r="E1180" s="1" t="s">
        <v>351</v>
      </c>
      <c r="F1180" s="1" t="s">
        <v>3467</v>
      </c>
      <c r="G1180" s="3" t="s">
        <v>1745</v>
      </c>
      <c r="H1180" s="11">
        <f>ROUND(
IF(L1180="GANCHO",
   IF(I1180&lt;=50,I1180*1.1+4,IF(I1180&lt;=120,I1180*1.1+7,IF(I1180&lt;=250,I1180*1.1+11,I1180*1.1+19))),
IF(L1180="NORMAL",
   IF(I1180&lt;=30,I1180*1.15+2,IF(I1180&lt;=80,I1180*1.15+4,IF(I1180&lt;=150,I1180*1.15+6,I1180*1.15+8))),
IF(L1180="COMPLEMENTO",
   IF(I1180&lt;=25,I1180*1.25+1.5,IF(I1180&lt;=60,I1180*1.25+3,IF(I1180&lt;=120,I1180*1.25+4,I1180*1.25+5))),
""))),2)</f>
        <v>3103.05</v>
      </c>
      <c r="I1180" s="9">
        <f>($K$2+0.02)*Tabla1[[#This Row],[PRECIO $]]*1.18</f>
        <v>2803.68</v>
      </c>
      <c r="J1180" s="7">
        <f>+Tabla1[[#This Row],[PRECIO EN SOLES]]-Tabla1[[#This Row],[PC]]</f>
        <v>299.37000000000035</v>
      </c>
      <c r="K1180" s="15"/>
      <c r="L1180" s="15" t="str">
        <f t="shared" si="18"/>
        <v>GANCHO</v>
      </c>
    </row>
    <row r="1181" spans="1:12" x14ac:dyDescent="0.25">
      <c r="A1181" s="3" t="s">
        <v>6645</v>
      </c>
      <c r="B1181" s="3" t="s">
        <v>6646</v>
      </c>
      <c r="C1181" s="1">
        <v>20</v>
      </c>
      <c r="D1181" s="1">
        <v>828</v>
      </c>
      <c r="E1181" s="1" t="s">
        <v>351</v>
      </c>
      <c r="F1181" s="1" t="s">
        <v>6647</v>
      </c>
      <c r="G1181" s="3" t="s">
        <v>6648</v>
      </c>
      <c r="H1181" s="11">
        <f>ROUND(
IF(L1181="GANCHO",
   IF(I1181&lt;=50,I1181*1.1+4,IF(I1181&lt;=120,I1181*1.1+7,IF(I1181&lt;=250,I1181*1.1+11,I1181*1.1+19))),
IF(L1181="NORMAL",
   IF(I1181&lt;=30,I1181*1.15+2,IF(I1181&lt;=80,I1181*1.15+4,IF(I1181&lt;=150,I1181*1.15+6,I1181*1.15+8))),
IF(L1181="COMPLEMENTO",
   IF(I1181&lt;=25,I1181*1.25+1.5,IF(I1181&lt;=60,I1181*1.25+3,IF(I1181&lt;=120,I1181*1.25+4,I1181*1.25+5))),
""))),2)</f>
        <v>3802.1</v>
      </c>
      <c r="I1181" s="9">
        <f>($K$2+0.02)*Tabla1[[#This Row],[PRECIO $]]*1.18</f>
        <v>3439.1807999999996</v>
      </c>
      <c r="J1181" s="7">
        <f>+Tabla1[[#This Row],[PRECIO EN SOLES]]-Tabla1[[#This Row],[PC]]</f>
        <v>362.91920000000027</v>
      </c>
      <c r="K1181" s="15"/>
      <c r="L1181" s="15" t="str">
        <f t="shared" si="18"/>
        <v>GANCHO</v>
      </c>
    </row>
    <row r="1182" spans="1:12" x14ac:dyDescent="0.25">
      <c r="A1182" s="3" t="s">
        <v>386</v>
      </c>
      <c r="B1182" s="3" t="s">
        <v>387</v>
      </c>
      <c r="C1182" s="1">
        <v>20</v>
      </c>
      <c r="D1182" s="1">
        <v>682</v>
      </c>
      <c r="E1182" s="1" t="s">
        <v>74</v>
      </c>
      <c r="F1182" s="1" t="s">
        <v>3468</v>
      </c>
      <c r="G1182" s="3" t="s">
        <v>388</v>
      </c>
      <c r="H1182" s="11">
        <f>ROUND(
IF(L1182="GANCHO",
   IF(I1182&lt;=50,I1182*1.1+4,IF(I1182&lt;=120,I1182*1.1+7,IF(I1182&lt;=250,I1182*1.1+11,I1182*1.1+19))),
IF(L1182="NORMAL",
   IF(I1182&lt;=30,I1182*1.15+2,IF(I1182&lt;=80,I1182*1.15+4,IF(I1182&lt;=150,I1182*1.15+6,I1182*1.15+8))),
IF(L1182="COMPLEMENTO",
   IF(I1182&lt;=25,I1182*1.25+1.5,IF(I1182&lt;=60,I1182*1.25+3,IF(I1182&lt;=120,I1182*1.25+4,I1182*1.25+5))),
""))),2)</f>
        <v>3135.03</v>
      </c>
      <c r="I1182" s="9">
        <f>($K$2+0.02)*Tabla1[[#This Row],[PRECIO $]]*1.18</f>
        <v>2832.7551999999996</v>
      </c>
      <c r="J1182" s="7">
        <f>+Tabla1[[#This Row],[PRECIO EN SOLES]]-Tabla1[[#This Row],[PC]]</f>
        <v>302.2748000000006</v>
      </c>
      <c r="K1182" s="15"/>
      <c r="L1182" s="15" t="str">
        <f t="shared" si="18"/>
        <v>GANCHO</v>
      </c>
    </row>
    <row r="1183" spans="1:12" x14ac:dyDescent="0.25">
      <c r="A1183" s="3" t="s">
        <v>5551</v>
      </c>
      <c r="B1183" s="3" t="s">
        <v>5552</v>
      </c>
      <c r="C1183" s="1">
        <v>12</v>
      </c>
      <c r="D1183" s="1">
        <v>910</v>
      </c>
      <c r="E1183" s="1" t="s">
        <v>74</v>
      </c>
      <c r="F1183" s="1" t="s">
        <v>5553</v>
      </c>
      <c r="G1183" s="3" t="s">
        <v>5554</v>
      </c>
      <c r="H1183" s="11">
        <f>ROUND(
IF(L1183="GANCHO",
   IF(I1183&lt;=50,I1183*1.1+4,IF(I1183&lt;=120,I1183*1.1+7,IF(I1183&lt;=250,I1183*1.1+11,I1183*1.1+19))),
IF(L1183="NORMAL",
   IF(I1183&lt;=30,I1183*1.15+2,IF(I1183&lt;=80,I1183*1.15+4,IF(I1183&lt;=150,I1183*1.15+6,I1183*1.15+8))),
IF(L1183="COMPLEMENTO",
   IF(I1183&lt;=25,I1183*1.25+1.5,IF(I1183&lt;=60,I1183*1.25+3,IF(I1183&lt;=120,I1183*1.25+4,I1183*1.25+5))),
""))),2)</f>
        <v>4176.75</v>
      </c>
      <c r="I1183" s="9">
        <f>($K$2+0.02)*Tabla1[[#This Row],[PRECIO $]]*1.18</f>
        <v>3779.7759999999994</v>
      </c>
      <c r="J1183" s="7">
        <f>+Tabla1[[#This Row],[PRECIO EN SOLES]]-Tabla1[[#This Row],[PC]]</f>
        <v>396.97400000000061</v>
      </c>
      <c r="K1183" s="15"/>
      <c r="L1183" s="15" t="str">
        <f t="shared" si="18"/>
        <v>GANCHO</v>
      </c>
    </row>
    <row r="1184" spans="1:12" x14ac:dyDescent="0.25">
      <c r="A1184" s="3" t="s">
        <v>577</v>
      </c>
      <c r="B1184" s="3" t="s">
        <v>578</v>
      </c>
      <c r="C1184" s="1">
        <v>20</v>
      </c>
      <c r="D1184" s="1">
        <v>782</v>
      </c>
      <c r="E1184" s="1" t="s">
        <v>74</v>
      </c>
      <c r="F1184" s="1" t="s">
        <v>3469</v>
      </c>
      <c r="G1184" s="3" t="s">
        <v>629</v>
      </c>
      <c r="H1184" s="11">
        <f>ROUND(
IF(L1184="GANCHO",
   IF(I1184&lt;=50,I1184*1.1+4,IF(I1184&lt;=120,I1184*1.1+7,IF(I1184&lt;=250,I1184*1.1+11,I1184*1.1+19))),
IF(L1184="NORMAL",
   IF(I1184&lt;=30,I1184*1.15+2,IF(I1184&lt;=80,I1184*1.15+4,IF(I1184&lt;=150,I1184*1.15+6,I1184*1.15+8))),
IF(L1184="COMPLEMENTO",
   IF(I1184&lt;=25,I1184*1.25+1.5,IF(I1184&lt;=60,I1184*1.25+3,IF(I1184&lt;=120,I1184*1.25+4,I1184*1.25+5))),
""))),2)</f>
        <v>3591.93</v>
      </c>
      <c r="I1184" s="9">
        <f>($K$2+0.02)*Tabla1[[#This Row],[PRECIO $]]*1.18</f>
        <v>3248.1151999999997</v>
      </c>
      <c r="J1184" s="7">
        <f>+Tabla1[[#This Row],[PRECIO EN SOLES]]-Tabla1[[#This Row],[PC]]</f>
        <v>343.8148000000001</v>
      </c>
      <c r="K1184" s="15"/>
      <c r="L1184" s="15" t="str">
        <f t="shared" si="18"/>
        <v>GANCHO</v>
      </c>
    </row>
    <row r="1185" spans="1:12" x14ac:dyDescent="0.25">
      <c r="A1185" s="3" t="s">
        <v>1746</v>
      </c>
      <c r="B1185" s="3" t="s">
        <v>1747</v>
      </c>
      <c r="C1185" s="1">
        <v>20</v>
      </c>
      <c r="D1185" s="1">
        <v>696</v>
      </c>
      <c r="E1185" s="1" t="s">
        <v>1724</v>
      </c>
      <c r="F1185" s="1" t="s">
        <v>3470</v>
      </c>
      <c r="G1185" s="3" t="s">
        <v>1748</v>
      </c>
      <c r="H1185" s="11">
        <f>ROUND(
IF(L1185="GANCHO",
   IF(I1185&lt;=50,I1185*1.1+4,IF(I1185&lt;=120,I1185*1.1+7,IF(I1185&lt;=250,I1185*1.1+11,I1185*1.1+19))),
IF(L1185="NORMAL",
   IF(I1185&lt;=30,I1185*1.15+2,IF(I1185&lt;=80,I1185*1.15+4,IF(I1185&lt;=150,I1185*1.15+6,I1185*1.15+8))),
IF(L1185="COMPLEMENTO",
   IF(I1185&lt;=25,I1185*1.25+1.5,IF(I1185&lt;=60,I1185*1.25+3,IF(I1185&lt;=120,I1185*1.25+4,I1185*1.25+5))),
""))),2)</f>
        <v>3199</v>
      </c>
      <c r="I1185" s="9">
        <f>($K$2+0.02)*Tabla1[[#This Row],[PRECIO $]]*1.18</f>
        <v>2890.9056</v>
      </c>
      <c r="J1185" s="7">
        <f>+Tabla1[[#This Row],[PRECIO EN SOLES]]-Tabla1[[#This Row],[PC]]</f>
        <v>308.09439999999995</v>
      </c>
      <c r="K1185" s="15"/>
      <c r="L1185" s="15" t="str">
        <f t="shared" si="18"/>
        <v>GANCHO</v>
      </c>
    </row>
    <row r="1186" spans="1:12" x14ac:dyDescent="0.25">
      <c r="A1186" s="3" t="s">
        <v>1749</v>
      </c>
      <c r="B1186" s="3" t="s">
        <v>1750</v>
      </c>
      <c r="C1186" s="1">
        <v>0</v>
      </c>
      <c r="D1186" s="1">
        <v>750</v>
      </c>
      <c r="E1186" s="1" t="s">
        <v>1724</v>
      </c>
      <c r="F1186" s="1" t="s">
        <v>3471</v>
      </c>
      <c r="G1186" s="3" t="s">
        <v>1748</v>
      </c>
      <c r="H1186" s="11">
        <f>ROUND(
IF(L1186="GANCHO",
   IF(I1186&lt;=50,I1186*1.1+4,IF(I1186&lt;=120,I1186*1.1+7,IF(I1186&lt;=250,I1186*1.1+11,I1186*1.1+19))),
IF(L1186="NORMAL",
   IF(I1186&lt;=30,I1186*1.15+2,IF(I1186&lt;=80,I1186*1.15+4,IF(I1186&lt;=150,I1186*1.15+6,I1186*1.15+8))),
IF(L1186="COMPLEMENTO",
   IF(I1186&lt;=25,I1186*1.25+1.5,IF(I1186&lt;=60,I1186*1.25+3,IF(I1186&lt;=120,I1186*1.25+4,I1186*1.25+5))),
""))),2)</f>
        <v>3445.72</v>
      </c>
      <c r="I1186" s="9">
        <f>($K$2+0.02)*Tabla1[[#This Row],[PRECIO $]]*1.18</f>
        <v>3115.2</v>
      </c>
      <c r="J1186" s="7">
        <f>+Tabla1[[#This Row],[PRECIO EN SOLES]]-Tabla1[[#This Row],[PC]]</f>
        <v>330.52</v>
      </c>
      <c r="K1186" s="15"/>
      <c r="L1186" s="15" t="str">
        <f t="shared" si="18"/>
        <v>GANCHO</v>
      </c>
    </row>
    <row r="1187" spans="1:12" x14ac:dyDescent="0.25">
      <c r="A1187" s="3" t="s">
        <v>6649</v>
      </c>
      <c r="B1187" s="3" t="s">
        <v>4106</v>
      </c>
      <c r="C1187" s="1">
        <v>20</v>
      </c>
      <c r="D1187" s="1">
        <v>1357</v>
      </c>
      <c r="E1187" s="1" t="s">
        <v>351</v>
      </c>
      <c r="F1187" s="1" t="s">
        <v>6650</v>
      </c>
      <c r="G1187" s="3" t="s">
        <v>6651</v>
      </c>
      <c r="H1187" s="11">
        <f>ROUND(
IF(L1187="GANCHO",
   IF(I1187&lt;=50,I1187*1.1+4,IF(I1187&lt;=120,I1187*1.1+7,IF(I1187&lt;=250,I1187*1.1+11,I1187*1.1+19))),
IF(L1187="NORMAL",
   IF(I1187&lt;=30,I1187*1.15+2,IF(I1187&lt;=80,I1187*1.15+4,IF(I1187&lt;=150,I1187*1.15+6,I1187*1.15+8))),
IF(L1187="COMPLEMENTO",
   IF(I1187&lt;=25,I1187*1.25+1.5,IF(I1187&lt;=60,I1187*1.25+3,IF(I1187&lt;=120,I1187*1.25+4,I1187*1.25+5))),
""))),2)</f>
        <v>6219.08</v>
      </c>
      <c r="I1187" s="9">
        <f>($K$2+0.02)*Tabla1[[#This Row],[PRECIO $]]*1.18</f>
        <v>5636.4351999999999</v>
      </c>
      <c r="J1187" s="7">
        <f>+Tabla1[[#This Row],[PRECIO EN SOLES]]-Tabla1[[#This Row],[PC]]</f>
        <v>582.64480000000003</v>
      </c>
      <c r="K1187" s="15"/>
      <c r="L1187" s="15" t="str">
        <f t="shared" si="18"/>
        <v>GANCHO</v>
      </c>
    </row>
    <row r="1188" spans="1:12" x14ac:dyDescent="0.25">
      <c r="A1188" s="3" t="s">
        <v>2573</v>
      </c>
      <c r="B1188" s="3" t="s">
        <v>2574</v>
      </c>
      <c r="C1188" s="1">
        <v>16</v>
      </c>
      <c r="D1188" s="1">
        <v>1282</v>
      </c>
      <c r="E1188" s="1" t="s">
        <v>1724</v>
      </c>
      <c r="F1188" s="1" t="s">
        <v>3472</v>
      </c>
      <c r="G1188" s="3" t="s">
        <v>2584</v>
      </c>
      <c r="H1188" s="11">
        <f>ROUND(
IF(L1188="GANCHO",
   IF(I1188&lt;=50,I1188*1.1+4,IF(I1188&lt;=120,I1188*1.1+7,IF(I1188&lt;=250,I1188*1.1+11,I1188*1.1+19))),
IF(L1188="NORMAL",
   IF(I1188&lt;=30,I1188*1.15+2,IF(I1188&lt;=80,I1188*1.15+4,IF(I1188&lt;=150,I1188*1.15+6,I1188*1.15+8))),
IF(L1188="COMPLEMENTO",
   IF(I1188&lt;=25,I1188*1.25+1.5,IF(I1188&lt;=60,I1188*1.25+3,IF(I1188&lt;=120,I1188*1.25+4,I1188*1.25+5))),
""))),2)</f>
        <v>5876.41</v>
      </c>
      <c r="I1188" s="9">
        <f>($K$2+0.02)*Tabla1[[#This Row],[PRECIO $]]*1.18</f>
        <v>5324.9152000000004</v>
      </c>
      <c r="J1188" s="7">
        <f>+Tabla1[[#This Row],[PRECIO EN SOLES]]-Tabla1[[#This Row],[PC]]</f>
        <v>551.49479999999949</v>
      </c>
      <c r="K1188" s="15"/>
      <c r="L1188" s="15" t="str">
        <f t="shared" si="18"/>
        <v>GANCHO</v>
      </c>
    </row>
    <row r="1189" spans="1:12" x14ac:dyDescent="0.25">
      <c r="A1189" s="3" t="s">
        <v>2575</v>
      </c>
      <c r="B1189" s="3" t="s">
        <v>2574</v>
      </c>
      <c r="C1189" s="1">
        <v>20</v>
      </c>
      <c r="D1189" s="1">
        <v>1241</v>
      </c>
      <c r="E1189" s="1" t="s">
        <v>1724</v>
      </c>
      <c r="F1189" s="1" t="s">
        <v>3473</v>
      </c>
      <c r="G1189" s="3" t="s">
        <v>2585</v>
      </c>
      <c r="H1189" s="11">
        <f>ROUND(
IF(L1189="GANCHO",
   IF(I1189&lt;=50,I1189*1.1+4,IF(I1189&lt;=120,I1189*1.1+7,IF(I1189&lt;=250,I1189*1.1+11,I1189*1.1+19))),
IF(L1189="NORMAL",
   IF(I1189&lt;=30,I1189*1.15+2,IF(I1189&lt;=80,I1189*1.15+4,IF(I1189&lt;=150,I1189*1.15+6,I1189*1.15+8))),
IF(L1189="COMPLEMENTO",
   IF(I1189&lt;=25,I1189*1.25+1.5,IF(I1189&lt;=60,I1189*1.25+3,IF(I1189&lt;=120,I1189*1.25+4,I1189*1.25+5))),
""))),2)</f>
        <v>5689.08</v>
      </c>
      <c r="I1189" s="9">
        <f>($K$2+0.02)*Tabla1[[#This Row],[PRECIO $]]*1.18</f>
        <v>5154.6175999999996</v>
      </c>
      <c r="J1189" s="7">
        <f>+Tabla1[[#This Row],[PRECIO EN SOLES]]-Tabla1[[#This Row],[PC]]</f>
        <v>534.46240000000034</v>
      </c>
      <c r="K1189" s="15"/>
      <c r="L1189" s="15" t="str">
        <f t="shared" si="18"/>
        <v>GANCHO</v>
      </c>
    </row>
    <row r="1190" spans="1:12" x14ac:dyDescent="0.25">
      <c r="A1190" s="3" t="s">
        <v>6015</v>
      </c>
      <c r="B1190" s="3" t="s">
        <v>6016</v>
      </c>
      <c r="C1190" s="1">
        <v>20</v>
      </c>
      <c r="D1190" s="1">
        <v>1629</v>
      </c>
      <c r="E1190" s="1" t="s">
        <v>74</v>
      </c>
      <c r="F1190" s="1" t="s">
        <v>6017</v>
      </c>
      <c r="G1190" s="3" t="s">
        <v>6018</v>
      </c>
      <c r="H1190" s="11">
        <f>ROUND(
IF(L1190="GANCHO",
   IF(I1190&lt;=50,I1190*1.1+4,IF(I1190&lt;=120,I1190*1.1+7,IF(I1190&lt;=250,I1190*1.1+11,I1190*1.1+19))),
IF(L1190="NORMAL",
   IF(I1190&lt;=30,I1190*1.15+2,IF(I1190&lt;=80,I1190*1.15+4,IF(I1190&lt;=150,I1190*1.15+6,I1190*1.15+8))),
IF(L1190="COMPLEMENTO",
   IF(I1190&lt;=25,I1190*1.25+1.5,IF(I1190&lt;=60,I1190*1.25+3,IF(I1190&lt;=120,I1190*1.25+4,I1190*1.25+5))),
""))),2)</f>
        <v>7461.84</v>
      </c>
      <c r="I1190" s="9">
        <f>($K$2+0.02)*Tabla1[[#This Row],[PRECIO $]]*1.18</f>
        <v>6766.2143999999998</v>
      </c>
      <c r="J1190" s="7">
        <f>+Tabla1[[#This Row],[PRECIO EN SOLES]]-Tabla1[[#This Row],[PC]]</f>
        <v>695.6256000000003</v>
      </c>
      <c r="K1190" s="15"/>
      <c r="L1190" s="15" t="str">
        <f t="shared" si="18"/>
        <v>GANCHO</v>
      </c>
    </row>
    <row r="1191" spans="1:12" x14ac:dyDescent="0.25">
      <c r="A1191" s="3" t="s">
        <v>630</v>
      </c>
      <c r="B1191" s="3" t="s">
        <v>631</v>
      </c>
      <c r="C1191" s="1">
        <v>20</v>
      </c>
      <c r="D1191" s="1">
        <v>646</v>
      </c>
      <c r="E1191" s="1" t="s">
        <v>74</v>
      </c>
      <c r="F1191" s="1" t="s">
        <v>3474</v>
      </c>
      <c r="G1191" s="3" t="s">
        <v>632</v>
      </c>
      <c r="H1191" s="11">
        <f>ROUND(
IF(L1191="GANCHO",
   IF(I1191&lt;=50,I1191*1.1+4,IF(I1191&lt;=120,I1191*1.1+7,IF(I1191&lt;=250,I1191*1.1+11,I1191*1.1+19))),
IF(L1191="NORMAL",
   IF(I1191&lt;=30,I1191*1.15+2,IF(I1191&lt;=80,I1191*1.15+4,IF(I1191&lt;=150,I1191*1.15+6,I1191*1.15+8))),
IF(L1191="COMPLEMENTO",
   IF(I1191&lt;=25,I1191*1.25+1.5,IF(I1191&lt;=60,I1191*1.25+3,IF(I1191&lt;=120,I1191*1.25+4,I1191*1.25+5))),
""))),2)</f>
        <v>2970.55</v>
      </c>
      <c r="I1191" s="9">
        <f>($K$2+0.02)*Tabla1[[#This Row],[PRECIO $]]*1.18</f>
        <v>2683.2255999999998</v>
      </c>
      <c r="J1191" s="7">
        <f>+Tabla1[[#This Row],[PRECIO EN SOLES]]-Tabla1[[#This Row],[PC]]</f>
        <v>287.32440000000042</v>
      </c>
      <c r="K1191" s="15"/>
      <c r="L1191" s="15" t="str">
        <f t="shared" si="18"/>
        <v>GANCHO</v>
      </c>
    </row>
    <row r="1192" spans="1:12" x14ac:dyDescent="0.25">
      <c r="A1192" s="3" t="s">
        <v>5037</v>
      </c>
      <c r="B1192" s="3" t="s">
        <v>4193</v>
      </c>
      <c r="C1192" s="1">
        <v>15</v>
      </c>
      <c r="D1192" s="1">
        <v>910</v>
      </c>
      <c r="E1192" s="1" t="s">
        <v>351</v>
      </c>
      <c r="F1192" s="1" t="s">
        <v>5038</v>
      </c>
      <c r="G1192" s="3" t="s">
        <v>5039</v>
      </c>
      <c r="H1192" s="11">
        <f>ROUND(
IF(L1192="GANCHO",
   IF(I1192&lt;=50,I1192*1.1+4,IF(I1192&lt;=120,I1192*1.1+7,IF(I1192&lt;=250,I1192*1.1+11,I1192*1.1+19))),
IF(L1192="NORMAL",
   IF(I1192&lt;=30,I1192*1.15+2,IF(I1192&lt;=80,I1192*1.15+4,IF(I1192&lt;=150,I1192*1.15+6,I1192*1.15+8))),
IF(L1192="COMPLEMENTO",
   IF(I1192&lt;=25,I1192*1.25+1.5,IF(I1192&lt;=60,I1192*1.25+3,IF(I1192&lt;=120,I1192*1.25+4,I1192*1.25+5))),
""))),2)</f>
        <v>4176.75</v>
      </c>
      <c r="I1192" s="9">
        <f>($K$2+0.02)*Tabla1[[#This Row],[PRECIO $]]*1.18</f>
        <v>3779.7759999999994</v>
      </c>
      <c r="J1192" s="7">
        <f>+Tabla1[[#This Row],[PRECIO EN SOLES]]-Tabla1[[#This Row],[PC]]</f>
        <v>396.97400000000061</v>
      </c>
      <c r="K1192" s="15"/>
      <c r="L1192" s="15" t="str">
        <f t="shared" si="18"/>
        <v>GANCHO</v>
      </c>
    </row>
    <row r="1193" spans="1:12" x14ac:dyDescent="0.25">
      <c r="A1193" s="3" t="s">
        <v>1751</v>
      </c>
      <c r="B1193" s="3" t="s">
        <v>1752</v>
      </c>
      <c r="C1193" s="1">
        <v>20</v>
      </c>
      <c r="D1193" s="1">
        <v>785</v>
      </c>
      <c r="E1193" s="1" t="s">
        <v>351</v>
      </c>
      <c r="F1193" s="1" t="s">
        <v>3475</v>
      </c>
      <c r="G1193" s="3" t="s">
        <v>1753</v>
      </c>
      <c r="H1193" s="11">
        <f>ROUND(
IF(L1193="GANCHO",
   IF(I1193&lt;=50,I1193*1.1+4,IF(I1193&lt;=120,I1193*1.1+7,IF(I1193&lt;=250,I1193*1.1+11,I1193*1.1+19))),
IF(L1193="NORMAL",
   IF(I1193&lt;=30,I1193*1.15+2,IF(I1193&lt;=80,I1193*1.15+4,IF(I1193&lt;=150,I1193*1.15+6,I1193*1.15+8))),
IF(L1193="COMPLEMENTO",
   IF(I1193&lt;=25,I1193*1.25+1.5,IF(I1193&lt;=60,I1193*1.25+3,IF(I1193&lt;=120,I1193*1.25+4,I1193*1.25+5))),
""))),2)</f>
        <v>3605.63</v>
      </c>
      <c r="I1193" s="9">
        <f>($K$2+0.02)*Tabla1[[#This Row],[PRECIO $]]*1.18</f>
        <v>3260.5759999999996</v>
      </c>
      <c r="J1193" s="7">
        <f>+Tabla1[[#This Row],[PRECIO EN SOLES]]-Tabla1[[#This Row],[PC]]</f>
        <v>345.05400000000054</v>
      </c>
      <c r="K1193" s="15"/>
      <c r="L1193" s="15" t="str">
        <f t="shared" si="18"/>
        <v>GANCHO</v>
      </c>
    </row>
    <row r="1194" spans="1:12" x14ac:dyDescent="0.25">
      <c r="A1194" s="3" t="s">
        <v>5555</v>
      </c>
      <c r="B1194" s="3" t="s">
        <v>5556</v>
      </c>
      <c r="C1194" s="1">
        <v>1</v>
      </c>
      <c r="D1194" s="1">
        <v>1027</v>
      </c>
      <c r="E1194" s="1" t="s">
        <v>351</v>
      </c>
      <c r="F1194" s="1" t="s">
        <v>5557</v>
      </c>
      <c r="G1194" s="3" t="s">
        <v>5558</v>
      </c>
      <c r="H1194" s="11">
        <f>ROUND(
IF(L1194="GANCHO",
   IF(I1194&lt;=50,I1194*1.1+4,IF(I1194&lt;=120,I1194*1.1+7,IF(I1194&lt;=250,I1194*1.1+11,I1194*1.1+19))),
IF(L1194="NORMAL",
   IF(I1194&lt;=30,I1194*1.15+2,IF(I1194&lt;=80,I1194*1.15+4,IF(I1194&lt;=150,I1194*1.15+6,I1194*1.15+8))),
IF(L1194="COMPLEMENTO",
   IF(I1194&lt;=25,I1194*1.25+1.5,IF(I1194&lt;=60,I1194*1.25+3,IF(I1194&lt;=120,I1194*1.25+4,I1194*1.25+5))),
""))),2)</f>
        <v>4711.32</v>
      </c>
      <c r="I1194" s="9">
        <f>($K$2+0.02)*Tabla1[[#This Row],[PRECIO $]]*1.18</f>
        <v>4265.7471999999998</v>
      </c>
      <c r="J1194" s="7">
        <f>+Tabla1[[#This Row],[PRECIO EN SOLES]]-Tabla1[[#This Row],[PC]]</f>
        <v>445.57279999999992</v>
      </c>
      <c r="K1194" s="15"/>
      <c r="L1194" s="15" t="str">
        <f t="shared" si="18"/>
        <v>GANCHO</v>
      </c>
    </row>
    <row r="1195" spans="1:12" x14ac:dyDescent="0.25">
      <c r="A1195" s="3" t="s">
        <v>1754</v>
      </c>
      <c r="B1195" s="3" t="s">
        <v>1755</v>
      </c>
      <c r="C1195" s="1">
        <v>20</v>
      </c>
      <c r="D1195" s="1">
        <v>687</v>
      </c>
      <c r="E1195" s="1" t="s">
        <v>148</v>
      </c>
      <c r="F1195" s="1" t="s">
        <v>3476</v>
      </c>
      <c r="G1195" s="3" t="s">
        <v>1756</v>
      </c>
      <c r="H1195" s="11">
        <f>ROUND(
IF(L1195="GANCHO",
   IF(I1195&lt;=50,I1195*1.1+4,IF(I1195&lt;=120,I1195*1.1+7,IF(I1195&lt;=250,I1195*1.1+11,I1195*1.1+19))),
IF(L1195="NORMAL",
   IF(I1195&lt;=30,I1195*1.15+2,IF(I1195&lt;=80,I1195*1.15+4,IF(I1195&lt;=150,I1195*1.15+6,I1195*1.15+8))),
IF(L1195="COMPLEMENTO",
   IF(I1195&lt;=25,I1195*1.25+1.5,IF(I1195&lt;=60,I1195*1.25+3,IF(I1195&lt;=120,I1195*1.25+4,I1195*1.25+5))),
""))),2)</f>
        <v>3157.88</v>
      </c>
      <c r="I1195" s="9">
        <f>($K$2+0.02)*Tabla1[[#This Row],[PRECIO $]]*1.18</f>
        <v>2853.5232000000001</v>
      </c>
      <c r="J1195" s="7">
        <f>+Tabla1[[#This Row],[PRECIO EN SOLES]]-Tabla1[[#This Row],[PC]]</f>
        <v>304.35680000000002</v>
      </c>
      <c r="K1195" s="15"/>
      <c r="L1195" s="15" t="str">
        <f t="shared" si="18"/>
        <v>GANCHO</v>
      </c>
    </row>
    <row r="1196" spans="1:12" x14ac:dyDescent="0.25">
      <c r="A1196" s="3" t="s">
        <v>5559</v>
      </c>
      <c r="B1196" s="3" t="s">
        <v>5955</v>
      </c>
      <c r="C1196" s="1">
        <v>20</v>
      </c>
      <c r="D1196" s="1">
        <v>1577</v>
      </c>
      <c r="E1196" s="1" t="s">
        <v>148</v>
      </c>
      <c r="F1196" s="1" t="s">
        <v>5560</v>
      </c>
      <c r="G1196" s="3" t="s">
        <v>6202</v>
      </c>
      <c r="H1196" s="11">
        <f>ROUND(
IF(L1196="GANCHO",
   IF(I1196&lt;=50,I1196*1.1+4,IF(I1196&lt;=120,I1196*1.1+7,IF(I1196&lt;=250,I1196*1.1+11,I1196*1.1+19))),
IF(L1196="NORMAL",
   IF(I1196&lt;=30,I1196*1.15+2,IF(I1196&lt;=80,I1196*1.15+4,IF(I1196&lt;=150,I1196*1.15+6,I1196*1.15+8))),
IF(L1196="COMPLEMENTO",
   IF(I1196&lt;=25,I1196*1.25+1.5,IF(I1196&lt;=60,I1196*1.25+3,IF(I1196&lt;=120,I1196*1.25+4,I1196*1.25+5))),
""))),2)</f>
        <v>7224.25</v>
      </c>
      <c r="I1196" s="9">
        <f>($K$2+0.02)*Tabla1[[#This Row],[PRECIO $]]*1.18</f>
        <v>6550.2271999999994</v>
      </c>
      <c r="J1196" s="7">
        <f>+Tabla1[[#This Row],[PRECIO EN SOLES]]-Tabla1[[#This Row],[PC]]</f>
        <v>674.02280000000064</v>
      </c>
      <c r="K1196" s="15"/>
      <c r="L1196" s="15" t="str">
        <f t="shared" si="18"/>
        <v>GANCHO</v>
      </c>
    </row>
    <row r="1197" spans="1:12" x14ac:dyDescent="0.25">
      <c r="A1197" s="3" t="s">
        <v>389</v>
      </c>
      <c r="B1197" s="3" t="s">
        <v>390</v>
      </c>
      <c r="C1197" s="1">
        <v>20</v>
      </c>
      <c r="D1197" s="1">
        <v>848</v>
      </c>
      <c r="E1197" s="1" t="s">
        <v>74</v>
      </c>
      <c r="F1197" s="1" t="s">
        <v>3477</v>
      </c>
      <c r="G1197" s="3" t="s">
        <v>391</v>
      </c>
      <c r="H1197" s="11">
        <f>ROUND(
IF(L1197="GANCHO",
   IF(I1197&lt;=50,I1197*1.1+4,IF(I1197&lt;=120,I1197*1.1+7,IF(I1197&lt;=250,I1197*1.1+11,I1197*1.1+19))),
IF(L1197="NORMAL",
   IF(I1197&lt;=30,I1197*1.15+2,IF(I1197&lt;=80,I1197*1.15+4,IF(I1197&lt;=150,I1197*1.15+6,I1197*1.15+8))),
IF(L1197="COMPLEMENTO",
   IF(I1197&lt;=25,I1197*1.25+1.5,IF(I1197&lt;=60,I1197*1.25+3,IF(I1197&lt;=120,I1197*1.25+4,I1197*1.25+5))),
""))),2)</f>
        <v>3893.48</v>
      </c>
      <c r="I1197" s="9">
        <f>($K$2+0.02)*Tabla1[[#This Row],[PRECIO $]]*1.18</f>
        <v>3522.2527999999998</v>
      </c>
      <c r="J1197" s="7">
        <f>+Tabla1[[#This Row],[PRECIO EN SOLES]]-Tabla1[[#This Row],[PC]]</f>
        <v>371.22720000000027</v>
      </c>
      <c r="K1197" s="15"/>
      <c r="L1197" s="15" t="str">
        <f t="shared" si="18"/>
        <v>GANCHO</v>
      </c>
    </row>
    <row r="1198" spans="1:12" x14ac:dyDescent="0.25">
      <c r="A1198" s="3" t="s">
        <v>1757</v>
      </c>
      <c r="B1198" s="3" t="s">
        <v>1758</v>
      </c>
      <c r="C1198" s="1">
        <v>20</v>
      </c>
      <c r="D1198" s="1">
        <v>992</v>
      </c>
      <c r="E1198" s="1" t="s">
        <v>74</v>
      </c>
      <c r="F1198" s="1" t="s">
        <v>3478</v>
      </c>
      <c r="G1198" s="3" t="s">
        <v>1759</v>
      </c>
      <c r="H1198" s="11">
        <f>ROUND(
IF(L1198="GANCHO",
   IF(I1198&lt;=50,I1198*1.1+4,IF(I1198&lt;=120,I1198*1.1+7,IF(I1198&lt;=250,I1198*1.1+11,I1198*1.1+19))),
IF(L1198="NORMAL",
   IF(I1198&lt;=30,I1198*1.15+2,IF(I1198&lt;=80,I1198*1.15+4,IF(I1198&lt;=150,I1198*1.15+6,I1198*1.15+8))),
IF(L1198="COMPLEMENTO",
   IF(I1198&lt;=25,I1198*1.25+1.5,IF(I1198&lt;=60,I1198*1.25+3,IF(I1198&lt;=120,I1198*1.25+4,I1198*1.25+5))),
""))),2)</f>
        <v>4551.41</v>
      </c>
      <c r="I1198" s="9">
        <f>($K$2+0.02)*Tabla1[[#This Row],[PRECIO $]]*1.18</f>
        <v>4120.3711999999996</v>
      </c>
      <c r="J1198" s="7">
        <f>+Tabla1[[#This Row],[PRECIO EN SOLES]]-Tabla1[[#This Row],[PC]]</f>
        <v>431.03880000000026</v>
      </c>
      <c r="K1198" s="15"/>
      <c r="L1198" s="15" t="str">
        <f t="shared" si="18"/>
        <v>GANCHO</v>
      </c>
    </row>
    <row r="1199" spans="1:12" x14ac:dyDescent="0.25">
      <c r="A1199" s="3" t="s">
        <v>4107</v>
      </c>
      <c r="B1199" s="3" t="s">
        <v>4108</v>
      </c>
      <c r="C1199" s="1">
        <v>16</v>
      </c>
      <c r="D1199" s="1">
        <v>1871</v>
      </c>
      <c r="E1199" s="1" t="s">
        <v>351</v>
      </c>
      <c r="F1199" s="1" t="s">
        <v>4109</v>
      </c>
      <c r="G1199" s="3" t="s">
        <v>4110</v>
      </c>
      <c r="H1199" s="11">
        <f>ROUND(
IF(L1199="GANCHO",
   IF(I1199&lt;=50,I1199*1.1+4,IF(I1199&lt;=120,I1199*1.1+7,IF(I1199&lt;=250,I1199*1.1+11,I1199*1.1+19))),
IF(L1199="NORMAL",
   IF(I1199&lt;=30,I1199*1.15+2,IF(I1199&lt;=80,I1199*1.15+4,IF(I1199&lt;=150,I1199*1.15+6,I1199*1.15+8))),
IF(L1199="COMPLEMENTO",
   IF(I1199&lt;=25,I1199*1.25+1.5,IF(I1199&lt;=60,I1199*1.25+3,IF(I1199&lt;=120,I1199*1.25+4,I1199*1.25+5))),
""))),2)</f>
        <v>8567.52</v>
      </c>
      <c r="I1199" s="9">
        <f>($K$2+0.02)*Tabla1[[#This Row],[PRECIO $]]*1.18</f>
        <v>7771.3855999999996</v>
      </c>
      <c r="J1199" s="7">
        <f>+Tabla1[[#This Row],[PRECIO EN SOLES]]-Tabla1[[#This Row],[PC]]</f>
        <v>796.13440000000082</v>
      </c>
      <c r="K1199" s="15"/>
      <c r="L1199" s="15" t="str">
        <f t="shared" si="18"/>
        <v>GANCHO</v>
      </c>
    </row>
    <row r="1200" spans="1:12" x14ac:dyDescent="0.25">
      <c r="A1200" s="3" t="s">
        <v>5561</v>
      </c>
      <c r="B1200" s="3" t="s">
        <v>5562</v>
      </c>
      <c r="C1200" s="1">
        <v>7</v>
      </c>
      <c r="D1200" s="1">
        <v>2715</v>
      </c>
      <c r="E1200" s="1" t="s">
        <v>351</v>
      </c>
      <c r="F1200" s="1" t="s">
        <v>5563</v>
      </c>
      <c r="G1200" s="3" t="s">
        <v>5564</v>
      </c>
      <c r="H1200" s="11">
        <f>ROUND(
IF(L1200="GANCHO",
   IF(I1200&lt;=50,I1200*1.1+4,IF(I1200&lt;=120,I1200*1.1+7,IF(I1200&lt;=250,I1200*1.1+11,I1200*1.1+19))),
IF(L1200="NORMAL",
   IF(I1200&lt;=30,I1200*1.15+2,IF(I1200&lt;=80,I1200*1.15+4,IF(I1200&lt;=150,I1200*1.15+6,I1200*1.15+8))),
IF(L1200="COMPLEMENTO",
   IF(I1200&lt;=25,I1200*1.25+1.5,IF(I1200&lt;=60,I1200*1.25+3,IF(I1200&lt;=120,I1200*1.25+4,I1200*1.25+5))),
""))),2)</f>
        <v>12423.73</v>
      </c>
      <c r="I1200" s="9">
        <f>($K$2+0.02)*Tabla1[[#This Row],[PRECIO $]]*1.18</f>
        <v>11277.023999999999</v>
      </c>
      <c r="J1200" s="7">
        <f>+Tabla1[[#This Row],[PRECIO EN SOLES]]-Tabla1[[#This Row],[PC]]</f>
        <v>1146.7060000000001</v>
      </c>
      <c r="K1200" s="15"/>
      <c r="L1200" s="15" t="str">
        <f t="shared" si="18"/>
        <v>GANCHO</v>
      </c>
    </row>
    <row r="1201" spans="1:12" x14ac:dyDescent="0.25">
      <c r="A1201" s="3" t="s">
        <v>7108</v>
      </c>
      <c r="B1201" s="3" t="s">
        <v>7109</v>
      </c>
      <c r="C1201" s="1">
        <v>1</v>
      </c>
      <c r="D1201" s="1">
        <v>1750</v>
      </c>
      <c r="E1201" s="1" t="s">
        <v>148</v>
      </c>
      <c r="F1201" s="1" t="s">
        <v>7110</v>
      </c>
      <c r="G1201" s="3" t="s">
        <v>7111</v>
      </c>
      <c r="H1201" s="11">
        <f>ROUND(
IF(L1201="GANCHO",
   IF(I1201&lt;=50,I1201*1.1+4,IF(I1201&lt;=120,I1201*1.1+7,IF(I1201&lt;=250,I1201*1.1+11,I1201*1.1+19))),
IF(L1201="NORMAL",
   IF(I1201&lt;=30,I1201*1.15+2,IF(I1201&lt;=80,I1201*1.15+4,IF(I1201&lt;=150,I1201*1.15+6,I1201*1.15+8))),
IF(L1201="COMPLEMENTO",
   IF(I1201&lt;=25,I1201*1.25+1.5,IF(I1201&lt;=60,I1201*1.25+3,IF(I1201&lt;=120,I1201*1.25+4,I1201*1.25+5))),
""))),2)</f>
        <v>8014.68</v>
      </c>
      <c r="I1201" s="9">
        <f>($K$2+0.02)*Tabla1[[#This Row],[PRECIO $]]*1.18</f>
        <v>7268.7999999999993</v>
      </c>
      <c r="J1201" s="7">
        <f>+Tabla1[[#This Row],[PRECIO EN SOLES]]-Tabla1[[#This Row],[PC]]</f>
        <v>745.88000000000102</v>
      </c>
      <c r="K1201" s="15"/>
      <c r="L1201" s="15" t="str">
        <f t="shared" si="18"/>
        <v>GANCHO</v>
      </c>
    </row>
    <row r="1202" spans="1:12" x14ac:dyDescent="0.25">
      <c r="A1202" s="3" t="s">
        <v>6652</v>
      </c>
      <c r="B1202" s="3" t="s">
        <v>6653</v>
      </c>
      <c r="C1202" s="1">
        <v>20</v>
      </c>
      <c r="D1202" s="1">
        <v>1671</v>
      </c>
      <c r="E1202" s="1" t="s">
        <v>148</v>
      </c>
      <c r="F1202" s="1" t="s">
        <v>6654</v>
      </c>
      <c r="G1202" s="3" t="s">
        <v>6655</v>
      </c>
      <c r="H1202" s="11">
        <f>ROUND(
IF(L1202="GANCHO",
   IF(I1202&lt;=50,I1202*1.1+4,IF(I1202&lt;=120,I1202*1.1+7,IF(I1202&lt;=250,I1202*1.1+11,I1202*1.1+19))),
IF(L1202="NORMAL",
   IF(I1202&lt;=30,I1202*1.15+2,IF(I1202&lt;=80,I1202*1.15+4,IF(I1202&lt;=150,I1202*1.15+6,I1202*1.15+8))),
IF(L1202="COMPLEMENTO",
   IF(I1202&lt;=25,I1202*1.25+1.5,IF(I1202&lt;=60,I1202*1.25+3,IF(I1202&lt;=120,I1202*1.25+4,I1202*1.25+5))),
""))),2)</f>
        <v>7653.73</v>
      </c>
      <c r="I1202" s="9">
        <f>($K$2+0.02)*Tabla1[[#This Row],[PRECIO $]]*1.18</f>
        <v>6940.6655999999994</v>
      </c>
      <c r="J1202" s="7">
        <f>+Tabla1[[#This Row],[PRECIO EN SOLES]]-Tabla1[[#This Row],[PC]]</f>
        <v>713.06440000000021</v>
      </c>
      <c r="K1202" s="15"/>
      <c r="L1202" s="15" t="str">
        <f t="shared" si="18"/>
        <v>GANCHO</v>
      </c>
    </row>
    <row r="1203" spans="1:12" x14ac:dyDescent="0.25">
      <c r="A1203" s="3" t="s">
        <v>1760</v>
      </c>
      <c r="B1203" s="3" t="s">
        <v>1761</v>
      </c>
      <c r="C1203" s="1">
        <v>18</v>
      </c>
      <c r="D1203" s="1">
        <v>1470</v>
      </c>
      <c r="E1203" s="1" t="s">
        <v>851</v>
      </c>
      <c r="F1203" s="1" t="s">
        <v>3479</v>
      </c>
      <c r="G1203" s="3" t="s">
        <v>1762</v>
      </c>
      <c r="H1203" s="11">
        <f>ROUND(
IF(L1203="GANCHO",
   IF(I1203&lt;=50,I1203*1.1+4,IF(I1203&lt;=120,I1203*1.1+7,IF(I1203&lt;=250,I1203*1.1+11,I1203*1.1+19))),
IF(L1203="NORMAL",
   IF(I1203&lt;=30,I1203*1.15+2,IF(I1203&lt;=80,I1203*1.15+4,IF(I1203&lt;=150,I1203*1.15+6,I1203*1.15+8))),
IF(L1203="COMPLEMENTO",
   IF(I1203&lt;=25,I1203*1.25+1.5,IF(I1203&lt;=60,I1203*1.25+3,IF(I1203&lt;=120,I1203*1.25+4,I1203*1.25+5))),
""))),2)</f>
        <v>6735.37</v>
      </c>
      <c r="I1203" s="9">
        <f>($K$2+0.02)*Tabla1[[#This Row],[PRECIO $]]*1.18</f>
        <v>6105.7919999999995</v>
      </c>
      <c r="J1203" s="7">
        <f>+Tabla1[[#This Row],[PRECIO EN SOLES]]-Tabla1[[#This Row],[PC]]</f>
        <v>629.57800000000043</v>
      </c>
      <c r="K1203" s="15"/>
      <c r="L1203" s="15" t="str">
        <f t="shared" si="18"/>
        <v>GANCHO</v>
      </c>
    </row>
    <row r="1204" spans="1:12" x14ac:dyDescent="0.25">
      <c r="A1204" s="3" t="s">
        <v>1763</v>
      </c>
      <c r="B1204" s="3" t="s">
        <v>1764</v>
      </c>
      <c r="C1204" s="1">
        <v>9</v>
      </c>
      <c r="D1204" s="1">
        <v>2425</v>
      </c>
      <c r="E1204" s="1" t="s">
        <v>56</v>
      </c>
      <c r="F1204" s="1" t="s">
        <v>3480</v>
      </c>
      <c r="G1204" s="3" t="s">
        <v>1765</v>
      </c>
      <c r="H1204" s="11">
        <f>ROUND(
IF(L1204="GANCHO",
   IF(I1204&lt;=50,I1204*1.1+4,IF(I1204&lt;=120,I1204*1.1+7,IF(I1204&lt;=250,I1204*1.1+11,I1204*1.1+19))),
IF(L1204="NORMAL",
   IF(I1204&lt;=30,I1204*1.15+2,IF(I1204&lt;=80,I1204*1.15+4,IF(I1204&lt;=150,I1204*1.15+6,I1204*1.15+8))),
IF(L1204="COMPLEMENTO",
   IF(I1204&lt;=25,I1204*1.25+1.5,IF(I1204&lt;=60,I1204*1.25+3,IF(I1204&lt;=120,I1204*1.25+4,I1204*1.25+5))),
""))),2)</f>
        <v>11098.73</v>
      </c>
      <c r="I1204" s="9">
        <f>($K$2+0.02)*Tabla1[[#This Row],[PRECIO $]]*1.18</f>
        <v>10072.48</v>
      </c>
      <c r="J1204" s="7">
        <f>+Tabla1[[#This Row],[PRECIO EN SOLES]]-Tabla1[[#This Row],[PC]]</f>
        <v>1026.25</v>
      </c>
      <c r="K1204" s="15"/>
      <c r="L1204" s="15" t="str">
        <f t="shared" si="18"/>
        <v>GANCHO</v>
      </c>
    </row>
    <row r="1205" spans="1:12" x14ac:dyDescent="0.25">
      <c r="A1205" s="3" t="s">
        <v>1766</v>
      </c>
      <c r="B1205" s="3" t="s">
        <v>1767</v>
      </c>
      <c r="C1205" s="1">
        <v>19</v>
      </c>
      <c r="D1205" s="1">
        <v>2351</v>
      </c>
      <c r="E1205" s="1" t="s">
        <v>56</v>
      </c>
      <c r="F1205" s="1" t="s">
        <v>3481</v>
      </c>
      <c r="G1205" s="3" t="s">
        <v>1768</v>
      </c>
      <c r="H1205" s="11">
        <f>ROUND(
IF(L1205="GANCHO",
   IF(I1205&lt;=50,I1205*1.1+4,IF(I1205&lt;=120,I1205*1.1+7,IF(I1205&lt;=250,I1205*1.1+11,I1205*1.1+19))),
IF(L1205="NORMAL",
   IF(I1205&lt;=30,I1205*1.15+2,IF(I1205&lt;=80,I1205*1.15+4,IF(I1205&lt;=150,I1205*1.15+6,I1205*1.15+8))),
IF(L1205="COMPLEMENTO",
   IF(I1205&lt;=25,I1205*1.25+1.5,IF(I1205&lt;=60,I1205*1.25+3,IF(I1205&lt;=120,I1205*1.25+4,I1205*1.25+5))),
""))),2)</f>
        <v>10760.62</v>
      </c>
      <c r="I1205" s="9">
        <f>($K$2+0.02)*Tabla1[[#This Row],[PRECIO $]]*1.18</f>
        <v>9765.1136000000006</v>
      </c>
      <c r="J1205" s="7">
        <f>+Tabla1[[#This Row],[PRECIO EN SOLES]]-Tabla1[[#This Row],[PC]]</f>
        <v>995.50640000000021</v>
      </c>
      <c r="K1205" s="15"/>
      <c r="L1205" s="15" t="str">
        <f t="shared" si="18"/>
        <v>GANCHO</v>
      </c>
    </row>
    <row r="1206" spans="1:12" x14ac:dyDescent="0.25">
      <c r="A1206" s="3" t="s">
        <v>1769</v>
      </c>
      <c r="B1206" s="3" t="s">
        <v>1770</v>
      </c>
      <c r="C1206" s="1">
        <v>0</v>
      </c>
      <c r="D1206" s="1">
        <v>1912</v>
      </c>
      <c r="E1206" s="1" t="s">
        <v>56</v>
      </c>
      <c r="F1206" s="1" t="s">
        <v>3482</v>
      </c>
      <c r="G1206" s="3" t="s">
        <v>1771</v>
      </c>
      <c r="H1206" s="11">
        <f>ROUND(
IF(L1206="GANCHO",
   IF(I1206&lt;=50,I1206*1.1+4,IF(I1206&lt;=120,I1206*1.1+7,IF(I1206&lt;=250,I1206*1.1+11,I1206*1.1+19))),
IF(L1206="NORMAL",
   IF(I1206&lt;=30,I1206*1.15+2,IF(I1206&lt;=80,I1206*1.15+4,IF(I1206&lt;=150,I1206*1.15+6,I1206*1.15+8))),
IF(L1206="COMPLEMENTO",
   IF(I1206&lt;=25,I1206*1.25+1.5,IF(I1206&lt;=60,I1206*1.25+3,IF(I1206&lt;=120,I1206*1.25+4,I1206*1.25+5))),
""))),2)</f>
        <v>8754.85</v>
      </c>
      <c r="I1206" s="9">
        <f>($K$2+0.02)*Tabla1[[#This Row],[PRECIO $]]*1.18</f>
        <v>7941.6831999999995</v>
      </c>
      <c r="J1206" s="7">
        <f>+Tabla1[[#This Row],[PRECIO EN SOLES]]-Tabla1[[#This Row],[PC]]</f>
        <v>813.16680000000088</v>
      </c>
      <c r="K1206" s="15"/>
      <c r="L1206" s="15" t="str">
        <f t="shared" si="18"/>
        <v>GANCHO</v>
      </c>
    </row>
    <row r="1207" spans="1:12" x14ac:dyDescent="0.25">
      <c r="A1207" s="3" t="s">
        <v>1772</v>
      </c>
      <c r="B1207" s="3" t="s">
        <v>1773</v>
      </c>
      <c r="C1207" s="1">
        <v>19</v>
      </c>
      <c r="D1207" s="1">
        <v>2541</v>
      </c>
      <c r="E1207" s="1" t="s">
        <v>56</v>
      </c>
      <c r="F1207" s="1" t="s">
        <v>3483</v>
      </c>
      <c r="G1207" s="3" t="s">
        <v>1774</v>
      </c>
      <c r="H1207" s="11">
        <f>ROUND(
IF(L1207="GANCHO",
   IF(I1207&lt;=50,I1207*1.1+4,IF(I1207&lt;=120,I1207*1.1+7,IF(I1207&lt;=250,I1207*1.1+11,I1207*1.1+19))),
IF(L1207="NORMAL",
   IF(I1207&lt;=30,I1207*1.15+2,IF(I1207&lt;=80,I1207*1.15+4,IF(I1207&lt;=150,I1207*1.15+6,I1207*1.15+8))),
IF(L1207="COMPLEMENTO",
   IF(I1207&lt;=25,I1207*1.25+1.5,IF(I1207&lt;=60,I1207*1.25+3,IF(I1207&lt;=120,I1207*1.25+4,I1207*1.25+5))),
""))),2)</f>
        <v>11628.73</v>
      </c>
      <c r="I1207" s="9">
        <f>($K$2+0.02)*Tabla1[[#This Row],[PRECIO $]]*1.18</f>
        <v>10554.2976</v>
      </c>
      <c r="J1207" s="7">
        <f>+Tabla1[[#This Row],[PRECIO EN SOLES]]-Tabla1[[#This Row],[PC]]</f>
        <v>1074.4323999999997</v>
      </c>
      <c r="K1207" s="15"/>
      <c r="L1207" s="15" t="str">
        <f t="shared" si="18"/>
        <v>GANCHO</v>
      </c>
    </row>
    <row r="1208" spans="1:12" x14ac:dyDescent="0.25">
      <c r="A1208" s="3" t="s">
        <v>1775</v>
      </c>
      <c r="B1208" s="3" t="s">
        <v>1776</v>
      </c>
      <c r="C1208" s="1">
        <v>9</v>
      </c>
      <c r="D1208" s="1">
        <v>2095</v>
      </c>
      <c r="E1208" s="1" t="s">
        <v>56</v>
      </c>
      <c r="F1208" s="1" t="s">
        <v>3484</v>
      </c>
      <c r="G1208" s="3" t="s">
        <v>1777</v>
      </c>
      <c r="H1208" s="11">
        <f>ROUND(
IF(L1208="GANCHO",
   IF(I1208&lt;=50,I1208*1.1+4,IF(I1208&lt;=120,I1208*1.1+7,IF(I1208&lt;=250,I1208*1.1+11,I1208*1.1+19))),
IF(L1208="NORMAL",
   IF(I1208&lt;=30,I1208*1.15+2,IF(I1208&lt;=80,I1208*1.15+4,IF(I1208&lt;=150,I1208*1.15+6,I1208*1.15+8))),
IF(L1208="COMPLEMENTO",
   IF(I1208&lt;=25,I1208*1.25+1.5,IF(I1208&lt;=60,I1208*1.25+3,IF(I1208&lt;=120,I1208*1.25+4,I1208*1.25+5))),
""))),2)</f>
        <v>9590.9699999999993</v>
      </c>
      <c r="I1208" s="9">
        <f>($K$2+0.02)*Tabla1[[#This Row],[PRECIO $]]*1.18</f>
        <v>8701.7919999999995</v>
      </c>
      <c r="J1208" s="7">
        <f>+Tabla1[[#This Row],[PRECIO EN SOLES]]-Tabla1[[#This Row],[PC]]</f>
        <v>889.17799999999988</v>
      </c>
      <c r="K1208" s="15"/>
      <c r="L1208" s="15" t="str">
        <f t="shared" si="18"/>
        <v>GANCHO</v>
      </c>
    </row>
    <row r="1209" spans="1:12" x14ac:dyDescent="0.25">
      <c r="A1209" s="3" t="s">
        <v>1778</v>
      </c>
      <c r="B1209" s="3" t="s">
        <v>1779</v>
      </c>
      <c r="C1209" s="1">
        <v>15</v>
      </c>
      <c r="D1209" s="1">
        <v>2475</v>
      </c>
      <c r="E1209" s="1" t="s">
        <v>56</v>
      </c>
      <c r="F1209" s="1" t="s">
        <v>3485</v>
      </c>
      <c r="G1209" s="3" t="s">
        <v>1780</v>
      </c>
      <c r="H1209" s="11">
        <f>ROUND(
IF(L1209="GANCHO",
   IF(I1209&lt;=50,I1209*1.1+4,IF(I1209&lt;=120,I1209*1.1+7,IF(I1209&lt;=250,I1209*1.1+11,I1209*1.1+19))),
IF(L1209="NORMAL",
   IF(I1209&lt;=30,I1209*1.15+2,IF(I1209&lt;=80,I1209*1.15+4,IF(I1209&lt;=150,I1209*1.15+6,I1209*1.15+8))),
IF(L1209="COMPLEMENTO",
   IF(I1209&lt;=25,I1209*1.25+1.5,IF(I1209&lt;=60,I1209*1.25+3,IF(I1209&lt;=120,I1209*1.25+4,I1209*1.25+5))),
""))),2)</f>
        <v>11327.18</v>
      </c>
      <c r="I1209" s="9">
        <f>($K$2+0.02)*Tabla1[[#This Row],[PRECIO $]]*1.18</f>
        <v>10280.16</v>
      </c>
      <c r="J1209" s="7">
        <f>+Tabla1[[#This Row],[PRECIO EN SOLES]]-Tabla1[[#This Row],[PC]]</f>
        <v>1047.0200000000004</v>
      </c>
      <c r="K1209" s="15"/>
      <c r="L1209" s="15" t="str">
        <f t="shared" si="18"/>
        <v>GANCHO</v>
      </c>
    </row>
    <row r="1210" spans="1:12" x14ac:dyDescent="0.25">
      <c r="A1210" s="3" t="s">
        <v>2702</v>
      </c>
      <c r="B1210" s="3" t="s">
        <v>6203</v>
      </c>
      <c r="C1210" s="1">
        <v>3</v>
      </c>
      <c r="D1210" s="1">
        <v>1817</v>
      </c>
      <c r="E1210" s="1" t="s">
        <v>56</v>
      </c>
      <c r="F1210" s="1" t="s">
        <v>3486</v>
      </c>
      <c r="G1210" s="3" t="s">
        <v>2703</v>
      </c>
      <c r="H1210" s="11">
        <f>ROUND(
IF(L1210="GANCHO",
   IF(I1210&lt;=50,I1210*1.1+4,IF(I1210&lt;=120,I1210*1.1+7,IF(I1210&lt;=250,I1210*1.1+11,I1210*1.1+19))),
IF(L1210="NORMAL",
   IF(I1210&lt;=30,I1210*1.15+2,IF(I1210&lt;=80,I1210*1.15+4,IF(I1210&lt;=150,I1210*1.15+6,I1210*1.15+8))),
IF(L1210="COMPLEMENTO",
   IF(I1210&lt;=25,I1210*1.25+1.5,IF(I1210&lt;=60,I1210*1.25+3,IF(I1210&lt;=120,I1210*1.25+4,I1210*1.25+5))),
""))),2)</f>
        <v>8320.7999999999993</v>
      </c>
      <c r="I1210" s="9">
        <f>($K$2+0.02)*Tabla1[[#This Row],[PRECIO $]]*1.18</f>
        <v>7547.0911999999998</v>
      </c>
      <c r="J1210" s="7">
        <f>+Tabla1[[#This Row],[PRECIO EN SOLES]]-Tabla1[[#This Row],[PC]]</f>
        <v>773.70879999999943</v>
      </c>
      <c r="K1210" s="15"/>
      <c r="L1210" s="15" t="str">
        <f t="shared" si="18"/>
        <v>GANCHO</v>
      </c>
    </row>
    <row r="1211" spans="1:12" x14ac:dyDescent="0.25">
      <c r="A1211" s="3" t="s">
        <v>1781</v>
      </c>
      <c r="B1211" s="3" t="s">
        <v>1782</v>
      </c>
      <c r="C1211" s="1">
        <v>0</v>
      </c>
      <c r="D1211" s="1">
        <v>2025</v>
      </c>
      <c r="E1211" s="1" t="s">
        <v>56</v>
      </c>
      <c r="F1211" s="1" t="s">
        <v>3487</v>
      </c>
      <c r="G1211" s="3" t="s">
        <v>1783</v>
      </c>
      <c r="H1211" s="11">
        <f>ROUND(
IF(L1211="GANCHO",
   IF(I1211&lt;=50,I1211*1.1+4,IF(I1211&lt;=120,I1211*1.1+7,IF(I1211&lt;=250,I1211*1.1+11,I1211*1.1+19))),
IF(L1211="NORMAL",
   IF(I1211&lt;=30,I1211*1.15+2,IF(I1211&lt;=80,I1211*1.15+4,IF(I1211&lt;=150,I1211*1.15+6,I1211*1.15+8))),
IF(L1211="COMPLEMENTO",
   IF(I1211&lt;=25,I1211*1.25+1.5,IF(I1211&lt;=60,I1211*1.25+3,IF(I1211&lt;=120,I1211*1.25+4,I1211*1.25+5))),
""))),2)</f>
        <v>9271.14</v>
      </c>
      <c r="I1211" s="9">
        <f>($K$2+0.02)*Tabla1[[#This Row],[PRECIO $]]*1.18</f>
        <v>8411.0399999999991</v>
      </c>
      <c r="J1211" s="7">
        <f>+Tabla1[[#This Row],[PRECIO EN SOLES]]-Tabla1[[#This Row],[PC]]</f>
        <v>860.10000000000036</v>
      </c>
      <c r="K1211" s="15"/>
      <c r="L1211" s="15" t="str">
        <f t="shared" si="18"/>
        <v>GANCHO</v>
      </c>
    </row>
    <row r="1212" spans="1:12" x14ac:dyDescent="0.25">
      <c r="A1212" s="3" t="s">
        <v>1784</v>
      </c>
      <c r="B1212" s="3" t="s">
        <v>1785</v>
      </c>
      <c r="C1212" s="1">
        <v>8</v>
      </c>
      <c r="D1212" s="1">
        <v>2685</v>
      </c>
      <c r="E1212" s="1" t="s">
        <v>56</v>
      </c>
      <c r="F1212" s="1" t="s">
        <v>3488</v>
      </c>
      <c r="G1212" s="3" t="s">
        <v>1786</v>
      </c>
      <c r="H1212" s="11">
        <f>ROUND(
IF(L1212="GANCHO",
   IF(I1212&lt;=50,I1212*1.1+4,IF(I1212&lt;=120,I1212*1.1+7,IF(I1212&lt;=250,I1212*1.1+11,I1212*1.1+19))),
IF(L1212="NORMAL",
   IF(I1212&lt;=30,I1212*1.15+2,IF(I1212&lt;=80,I1212*1.15+4,IF(I1212&lt;=150,I1212*1.15+6,I1212*1.15+8))),
IF(L1212="COMPLEMENTO",
   IF(I1212&lt;=25,I1212*1.25+1.5,IF(I1212&lt;=60,I1212*1.25+3,IF(I1212&lt;=120,I1212*1.25+4,I1212*1.25+5))),
""))),2)</f>
        <v>12286.66</v>
      </c>
      <c r="I1212" s="9">
        <f>($K$2+0.02)*Tabla1[[#This Row],[PRECIO $]]*1.18</f>
        <v>11152.416000000001</v>
      </c>
      <c r="J1212" s="7">
        <f>+Tabla1[[#This Row],[PRECIO EN SOLES]]-Tabla1[[#This Row],[PC]]</f>
        <v>1134.2439999999988</v>
      </c>
      <c r="K1212" s="15"/>
      <c r="L1212" s="15" t="str">
        <f t="shared" si="18"/>
        <v>GANCHO</v>
      </c>
    </row>
    <row r="1213" spans="1:12" x14ac:dyDescent="0.25">
      <c r="A1213" s="3" t="s">
        <v>4111</v>
      </c>
      <c r="B1213" s="3" t="s">
        <v>4112</v>
      </c>
      <c r="C1213" s="1">
        <v>18</v>
      </c>
      <c r="D1213" s="1">
        <v>2490</v>
      </c>
      <c r="E1213" s="1" t="s">
        <v>783</v>
      </c>
      <c r="F1213" s="1" t="s">
        <v>4113</v>
      </c>
      <c r="G1213" s="3" t="s">
        <v>4643</v>
      </c>
      <c r="H1213" s="11">
        <f>ROUND(
IF(L1213="GANCHO",
   IF(I1213&lt;=50,I1213*1.1+4,IF(I1213&lt;=120,I1213*1.1+7,IF(I1213&lt;=250,I1213*1.1+11,I1213*1.1+19))),
IF(L1213="NORMAL",
   IF(I1213&lt;=30,I1213*1.15+2,IF(I1213&lt;=80,I1213*1.15+4,IF(I1213&lt;=150,I1213*1.15+6,I1213*1.15+8))),
IF(L1213="COMPLEMENTO",
   IF(I1213&lt;=25,I1213*1.25+1.5,IF(I1213&lt;=60,I1213*1.25+3,IF(I1213&lt;=120,I1213*1.25+4,I1213*1.25+5))),
""))),2)</f>
        <v>11395.71</v>
      </c>
      <c r="I1213" s="9">
        <f>($K$2+0.02)*Tabla1[[#This Row],[PRECIO $]]*1.18</f>
        <v>10342.463999999998</v>
      </c>
      <c r="J1213" s="7">
        <f>+Tabla1[[#This Row],[PRECIO EN SOLES]]-Tabla1[[#This Row],[PC]]</f>
        <v>1053.246000000001</v>
      </c>
      <c r="K1213" s="15"/>
      <c r="L1213" s="15" t="str">
        <f t="shared" si="18"/>
        <v>GANCHO</v>
      </c>
    </row>
    <row r="1214" spans="1:12" x14ac:dyDescent="0.25">
      <c r="A1214" s="3" t="s">
        <v>4114</v>
      </c>
      <c r="B1214" s="3" t="s">
        <v>4115</v>
      </c>
      <c r="C1214" s="1">
        <v>20</v>
      </c>
      <c r="D1214" s="1">
        <v>3435</v>
      </c>
      <c r="E1214" s="1" t="s">
        <v>783</v>
      </c>
      <c r="F1214" s="1" t="s">
        <v>4116</v>
      </c>
      <c r="G1214" s="3" t="s">
        <v>4644</v>
      </c>
      <c r="H1214" s="11">
        <f>ROUND(
IF(L1214="GANCHO",
   IF(I1214&lt;=50,I1214*1.1+4,IF(I1214&lt;=120,I1214*1.1+7,IF(I1214&lt;=250,I1214*1.1+11,I1214*1.1+19))),
IF(L1214="NORMAL",
   IF(I1214&lt;=30,I1214*1.15+2,IF(I1214&lt;=80,I1214*1.15+4,IF(I1214&lt;=150,I1214*1.15+6,I1214*1.15+8))),
IF(L1214="COMPLEMENTO",
   IF(I1214&lt;=25,I1214*1.25+1.5,IF(I1214&lt;=60,I1214*1.25+3,IF(I1214&lt;=120,I1214*1.25+4,I1214*1.25+5))),
""))),2)</f>
        <v>15713.38</v>
      </c>
      <c r="I1214" s="9">
        <f>($K$2+0.02)*Tabla1[[#This Row],[PRECIO $]]*1.18</f>
        <v>14267.616</v>
      </c>
      <c r="J1214" s="7">
        <f>+Tabla1[[#This Row],[PRECIO EN SOLES]]-Tabla1[[#This Row],[PC]]</f>
        <v>1445.7639999999992</v>
      </c>
      <c r="K1214" s="15"/>
      <c r="L1214" s="15" t="str">
        <f t="shared" si="18"/>
        <v>GANCHO</v>
      </c>
    </row>
    <row r="1215" spans="1:12" x14ac:dyDescent="0.25">
      <c r="A1215" s="3" t="s">
        <v>4117</v>
      </c>
      <c r="B1215" s="3" t="s">
        <v>4118</v>
      </c>
      <c r="C1215" s="1">
        <v>8</v>
      </c>
      <c r="D1215" s="1">
        <v>3955</v>
      </c>
      <c r="E1215" s="1" t="s">
        <v>783</v>
      </c>
      <c r="F1215" s="1" t="s">
        <v>4119</v>
      </c>
      <c r="G1215" s="3" t="s">
        <v>4644</v>
      </c>
      <c r="H1215" s="11">
        <f>ROUND(
IF(L1215="GANCHO",
   IF(I1215&lt;=50,I1215*1.1+4,IF(I1215&lt;=120,I1215*1.1+7,IF(I1215&lt;=250,I1215*1.1+11,I1215*1.1+19))),
IF(L1215="NORMAL",
   IF(I1215&lt;=30,I1215*1.15+2,IF(I1215&lt;=80,I1215*1.15+4,IF(I1215&lt;=150,I1215*1.15+6,I1215*1.15+8))),
IF(L1215="COMPLEMENTO",
   IF(I1215&lt;=25,I1215*1.25+1.5,IF(I1215&lt;=60,I1215*1.25+3,IF(I1215&lt;=120,I1215*1.25+4,I1215*1.25+5))),
""))),2)</f>
        <v>18089.240000000002</v>
      </c>
      <c r="I1215" s="9">
        <f>($K$2+0.02)*Tabla1[[#This Row],[PRECIO $]]*1.18</f>
        <v>16427.488000000001</v>
      </c>
      <c r="J1215" s="7">
        <f>+Tabla1[[#This Row],[PRECIO EN SOLES]]-Tabla1[[#This Row],[PC]]</f>
        <v>1661.7520000000004</v>
      </c>
      <c r="K1215" s="15"/>
      <c r="L1215" s="15" t="str">
        <f t="shared" si="18"/>
        <v>GANCHO</v>
      </c>
    </row>
    <row r="1216" spans="1:12" x14ac:dyDescent="0.25">
      <c r="A1216" s="3" t="s">
        <v>4120</v>
      </c>
      <c r="B1216" s="3" t="s">
        <v>4121</v>
      </c>
      <c r="C1216" s="1">
        <v>12</v>
      </c>
      <c r="D1216" s="1">
        <v>3565</v>
      </c>
      <c r="E1216" s="1" t="s">
        <v>783</v>
      </c>
      <c r="F1216" s="1" t="s">
        <v>4122</v>
      </c>
      <c r="G1216" s="3" t="s">
        <v>4645</v>
      </c>
      <c r="H1216" s="11">
        <f>ROUND(
IF(L1216="GANCHO",
   IF(I1216&lt;=50,I1216*1.1+4,IF(I1216&lt;=120,I1216*1.1+7,IF(I1216&lt;=250,I1216*1.1+11,I1216*1.1+19))),
IF(L1216="NORMAL",
   IF(I1216&lt;=30,I1216*1.15+2,IF(I1216&lt;=80,I1216*1.15+4,IF(I1216&lt;=150,I1216*1.15+6,I1216*1.15+8))),
IF(L1216="COMPLEMENTO",
   IF(I1216&lt;=25,I1216*1.25+1.5,IF(I1216&lt;=60,I1216*1.25+3,IF(I1216&lt;=120,I1216*1.25+4,I1216*1.25+5))),
""))),2)</f>
        <v>16307.34</v>
      </c>
      <c r="I1216" s="9">
        <f>($K$2+0.02)*Tabla1[[#This Row],[PRECIO $]]*1.18</f>
        <v>14807.583999999999</v>
      </c>
      <c r="J1216" s="7">
        <f>+Tabla1[[#This Row],[PRECIO EN SOLES]]-Tabla1[[#This Row],[PC]]</f>
        <v>1499.7560000000012</v>
      </c>
      <c r="K1216" s="15"/>
      <c r="L1216" s="15" t="str">
        <f t="shared" si="18"/>
        <v>GANCHO</v>
      </c>
    </row>
    <row r="1217" spans="1:12" x14ac:dyDescent="0.25">
      <c r="A1217" s="3" t="s">
        <v>4123</v>
      </c>
      <c r="B1217" s="3" t="s">
        <v>4124</v>
      </c>
      <c r="C1217" s="1">
        <v>0</v>
      </c>
      <c r="D1217" s="1">
        <v>4115</v>
      </c>
      <c r="E1217" s="1" t="s">
        <v>783</v>
      </c>
      <c r="F1217" s="1" t="s">
        <v>4125</v>
      </c>
      <c r="G1217" s="3" t="s">
        <v>4645</v>
      </c>
      <c r="H1217" s="11">
        <f>ROUND(
IF(L1217="GANCHO",
   IF(I1217&lt;=50,I1217*1.1+4,IF(I1217&lt;=120,I1217*1.1+7,IF(I1217&lt;=250,I1217*1.1+11,I1217*1.1+19))),
IF(L1217="NORMAL",
   IF(I1217&lt;=30,I1217*1.15+2,IF(I1217&lt;=80,I1217*1.15+4,IF(I1217&lt;=150,I1217*1.15+6,I1217*1.15+8))),
IF(L1217="COMPLEMENTO",
   IF(I1217&lt;=25,I1217*1.25+1.5,IF(I1217&lt;=60,I1217*1.25+3,IF(I1217&lt;=120,I1217*1.25+4,I1217*1.25+5))),
""))),2)</f>
        <v>18820.27</v>
      </c>
      <c r="I1217" s="9">
        <f>($K$2+0.02)*Tabla1[[#This Row],[PRECIO $]]*1.18</f>
        <v>17092.063999999998</v>
      </c>
      <c r="J1217" s="7">
        <f>+Tabla1[[#This Row],[PRECIO EN SOLES]]-Tabla1[[#This Row],[PC]]</f>
        <v>1728.2060000000019</v>
      </c>
      <c r="K1217" s="15"/>
      <c r="L1217" s="15" t="str">
        <f t="shared" si="18"/>
        <v>GANCHO</v>
      </c>
    </row>
    <row r="1218" spans="1:12" x14ac:dyDescent="0.25">
      <c r="A1218" s="3" t="s">
        <v>4126</v>
      </c>
      <c r="B1218" s="3" t="s">
        <v>4127</v>
      </c>
      <c r="C1218" s="1">
        <v>20</v>
      </c>
      <c r="D1218" s="1">
        <v>2955</v>
      </c>
      <c r="E1218" s="1" t="s">
        <v>783</v>
      </c>
      <c r="F1218" s="1" t="s">
        <v>4128</v>
      </c>
      <c r="G1218" s="3" t="s">
        <v>4646</v>
      </c>
      <c r="H1218" s="11">
        <f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13520.28</v>
      </c>
      <c r="I1218" s="9">
        <f>($K$2+0.02)*Tabla1[[#This Row],[PRECIO $]]*1.18</f>
        <v>12273.887999999999</v>
      </c>
      <c r="J1218" s="7">
        <f>+Tabla1[[#This Row],[PRECIO EN SOLES]]-Tabla1[[#This Row],[PC]]</f>
        <v>1246.3920000000016</v>
      </c>
      <c r="K1218" s="15"/>
      <c r="L1218" s="15" t="str">
        <f t="shared" si="18"/>
        <v>GANCHO</v>
      </c>
    </row>
    <row r="1219" spans="1:12" x14ac:dyDescent="0.25">
      <c r="A1219" s="3" t="s">
        <v>1787</v>
      </c>
      <c r="B1219" s="3" t="s">
        <v>1788</v>
      </c>
      <c r="C1219" s="1">
        <v>20</v>
      </c>
      <c r="D1219" s="1">
        <v>19</v>
      </c>
      <c r="E1219" s="1" t="s">
        <v>783</v>
      </c>
      <c r="F1219" s="1" t="s">
        <v>3489</v>
      </c>
      <c r="G1219" s="3" t="s">
        <v>1789</v>
      </c>
      <c r="H1219" s="11">
        <f>ROUND(
IF(L1219="GANCHO",
   IF(I1219&lt;=50,I1219*1.1+4,IF(I1219&lt;=120,I1219*1.1+7,IF(I1219&lt;=250,I1219*1.1+11,I1219*1.1+19))),
IF(L1219="NORMAL",
   IF(I1219&lt;=30,I1219*1.15+2,IF(I1219&lt;=80,I1219*1.15+4,IF(I1219&lt;=150,I1219*1.15+6,I1219*1.15+8))),
IF(L1219="COMPLEMENTO",
   IF(I1219&lt;=25,I1219*1.25+1.5,IF(I1219&lt;=60,I1219*1.25+3,IF(I1219&lt;=120,I1219*1.25+4,I1219*1.25+5))),
""))),2)</f>
        <v>102.65</v>
      </c>
      <c r="I1219" s="9">
        <f>($K$2+0.02)*Tabla1[[#This Row],[PRECIO $]]*1.18</f>
        <v>78.918399999999991</v>
      </c>
      <c r="J1219" s="7">
        <f>+Tabla1[[#This Row],[PRECIO EN SOLES]]-Tabla1[[#This Row],[PC]]</f>
        <v>23.731600000000014</v>
      </c>
      <c r="K1219" s="15"/>
      <c r="L1219" s="15" t="str">
        <f t="shared" ref="L1219:L1282" si="1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COMPLEMENTO</v>
      </c>
    </row>
    <row r="1220" spans="1:12" x14ac:dyDescent="0.25">
      <c r="A1220" s="3" t="s">
        <v>1790</v>
      </c>
      <c r="B1220" s="3" t="s">
        <v>1791</v>
      </c>
      <c r="C1220" s="1">
        <v>16</v>
      </c>
      <c r="D1220" s="1">
        <v>35.799999999999997</v>
      </c>
      <c r="E1220" s="1" t="s">
        <v>783</v>
      </c>
      <c r="F1220" s="1" t="s">
        <v>3490</v>
      </c>
      <c r="G1220" s="3" t="s">
        <v>1792</v>
      </c>
      <c r="H1220" s="11">
        <f>ROUND(
IF(L1220="GANCHO",
   IF(I1220&lt;=50,I1220*1.1+4,IF(I1220&lt;=120,I1220*1.1+7,IF(I1220&lt;=250,I1220*1.1+11,I1220*1.1+19))),
IF(L1220="NORMAL",
   IF(I1220&lt;=30,I1220*1.15+2,IF(I1220&lt;=80,I1220*1.15+4,IF(I1220&lt;=150,I1220*1.15+6,I1220*1.15+8))),
IF(L1220="COMPLEMENTO",
   IF(I1220&lt;=25,I1220*1.25+1.5,IF(I1220&lt;=60,I1220*1.25+3,IF(I1220&lt;=120,I1220*1.25+4,I1220*1.25+5))),
""))),2)</f>
        <v>190.87</v>
      </c>
      <c r="I1220" s="9">
        <f>($K$2+0.02)*Tabla1[[#This Row],[PRECIO $]]*1.18</f>
        <v>148.69887999999997</v>
      </c>
      <c r="J1220" s="7">
        <f>+Tabla1[[#This Row],[PRECIO EN SOLES]]-Tabla1[[#This Row],[PC]]</f>
        <v>42.17112000000003</v>
      </c>
      <c r="K1220" s="15"/>
      <c r="L1220" s="15" t="str">
        <f t="shared" si="19"/>
        <v>COMPLEMENTO</v>
      </c>
    </row>
    <row r="1221" spans="1:12" x14ac:dyDescent="0.25">
      <c r="A1221" s="3" t="s">
        <v>1793</v>
      </c>
      <c r="B1221" s="3" t="s">
        <v>1794</v>
      </c>
      <c r="C1221" s="1">
        <v>0</v>
      </c>
      <c r="D1221" s="1">
        <v>174.2</v>
      </c>
      <c r="E1221" s="1" t="s">
        <v>56</v>
      </c>
      <c r="F1221" s="1" t="s">
        <v>3491</v>
      </c>
      <c r="G1221" s="3" t="s">
        <v>1795</v>
      </c>
      <c r="H1221" s="11">
        <f>ROUND(
IF(L1221="GANCHO",
   IF(I1221&lt;=50,I1221*1.1+4,IF(I1221&lt;=120,I1221*1.1+7,IF(I1221&lt;=250,I1221*1.1+11,I1221*1.1+19))),
IF(L1221="NORMAL",
   IF(I1221&lt;=30,I1221*1.15+2,IF(I1221&lt;=80,I1221*1.15+4,IF(I1221&lt;=150,I1221*1.15+6,I1221*1.15+8))),
IF(L1221="COMPLEMENTO",
   IF(I1221&lt;=25,I1221*1.25+1.5,IF(I1221&lt;=60,I1221*1.25+3,IF(I1221&lt;=120,I1221*1.25+4,I1221*1.25+5))),
""))),2)</f>
        <v>909.45</v>
      </c>
      <c r="I1221" s="9">
        <f>($K$2+0.02)*Tabla1[[#This Row],[PRECIO $]]*1.18</f>
        <v>723.55711999999994</v>
      </c>
      <c r="J1221" s="7">
        <f>+Tabla1[[#This Row],[PRECIO EN SOLES]]-Tabla1[[#This Row],[PC]]</f>
        <v>185.8928800000001</v>
      </c>
      <c r="K1221" s="15"/>
      <c r="L1221" s="15" t="str">
        <f t="shared" si="19"/>
        <v>COMPLEMENTO</v>
      </c>
    </row>
    <row r="1222" spans="1:12" x14ac:dyDescent="0.25">
      <c r="A1222" s="3" t="s">
        <v>1796</v>
      </c>
      <c r="B1222" s="3" t="s">
        <v>1797</v>
      </c>
      <c r="C1222" s="1">
        <v>0</v>
      </c>
      <c r="D1222" s="1">
        <v>1100</v>
      </c>
      <c r="E1222" s="1" t="s">
        <v>783</v>
      </c>
      <c r="F1222" s="1" t="s">
        <v>3492</v>
      </c>
      <c r="G1222" s="3" t="s">
        <v>1798</v>
      </c>
      <c r="H1222" s="11">
        <f>ROUND(
IF(L1222="GANCHO",
   IF(I1222&lt;=50,I1222*1.1+4,IF(I1222&lt;=120,I1222*1.1+7,IF(I1222&lt;=250,I1222*1.1+11,I1222*1.1+19))),
IF(L1222="NORMAL",
   IF(I1222&lt;=30,I1222*1.15+2,IF(I1222&lt;=80,I1222*1.15+4,IF(I1222&lt;=150,I1222*1.15+6,I1222*1.15+8))),
IF(L1222="COMPLEMENTO",
   IF(I1222&lt;=25,I1222*1.25+1.5,IF(I1222&lt;=60,I1222*1.25+3,IF(I1222&lt;=120,I1222*1.25+4,I1222*1.25+5))),
""))),2)</f>
        <v>5716.2</v>
      </c>
      <c r="I1222" s="9">
        <f>($K$2+0.02)*Tabla1[[#This Row],[PRECIO $]]*1.18</f>
        <v>4568.96</v>
      </c>
      <c r="J1222" s="7">
        <f>+Tabla1[[#This Row],[PRECIO EN SOLES]]-Tabla1[[#This Row],[PC]]</f>
        <v>1147.2399999999998</v>
      </c>
      <c r="K1222" s="15"/>
      <c r="L1222" s="15" t="str">
        <f t="shared" si="19"/>
        <v>COMPLEMENTO</v>
      </c>
    </row>
    <row r="1223" spans="1:12" x14ac:dyDescent="0.25">
      <c r="A1223" s="3" t="s">
        <v>1799</v>
      </c>
      <c r="B1223" s="3" t="s">
        <v>1800</v>
      </c>
      <c r="C1223" s="1">
        <v>0</v>
      </c>
      <c r="D1223" s="1">
        <v>165.3</v>
      </c>
      <c r="E1223" s="1" t="s">
        <v>783</v>
      </c>
      <c r="F1223" s="1" t="s">
        <v>3493</v>
      </c>
      <c r="G1223" s="3" t="s">
        <v>1801</v>
      </c>
      <c r="H1223" s="11">
        <f>ROUND(
IF(L1223="GANCHO",
   IF(I1223&lt;=50,I1223*1.1+4,IF(I1223&lt;=120,I1223*1.1+7,IF(I1223&lt;=250,I1223*1.1+11,I1223*1.1+19))),
IF(L1223="NORMAL",
   IF(I1223&lt;=30,I1223*1.15+2,IF(I1223&lt;=80,I1223*1.15+4,IF(I1223&lt;=150,I1223*1.15+6,I1223*1.15+8))),
IF(L1223="COMPLEMENTO",
   IF(I1223&lt;=25,I1223*1.25+1.5,IF(I1223&lt;=60,I1223*1.25+3,IF(I1223&lt;=120,I1223*1.25+4,I1223*1.25+5))),
""))),2)</f>
        <v>863.24</v>
      </c>
      <c r="I1223" s="9">
        <f>($K$2+0.02)*Tabla1[[#This Row],[PRECIO $]]*1.18</f>
        <v>686.59007999999994</v>
      </c>
      <c r="J1223" s="7">
        <f>+Tabla1[[#This Row],[PRECIO EN SOLES]]-Tabla1[[#This Row],[PC]]</f>
        <v>176.64992000000007</v>
      </c>
      <c r="K1223" s="15"/>
      <c r="L1223" s="15" t="str">
        <f t="shared" si="19"/>
        <v>COMPLEMENTO</v>
      </c>
    </row>
    <row r="1224" spans="1:12" x14ac:dyDescent="0.25">
      <c r="A1224" s="3" t="s">
        <v>1802</v>
      </c>
      <c r="B1224" s="3" t="s">
        <v>1803</v>
      </c>
      <c r="C1224" s="1">
        <v>20</v>
      </c>
      <c r="D1224" s="1">
        <v>22.7</v>
      </c>
      <c r="E1224" s="1" t="s">
        <v>783</v>
      </c>
      <c r="F1224" s="1" t="s">
        <v>3494</v>
      </c>
      <c r="G1224" s="3" t="s">
        <v>1804</v>
      </c>
      <c r="H1224" s="11">
        <f>ROUND(
IF(L1224="GANCHO",
   IF(I1224&lt;=50,I1224*1.1+4,IF(I1224&lt;=120,I1224*1.1+7,IF(I1224&lt;=250,I1224*1.1+11,I1224*1.1+19))),
IF(L1224="NORMAL",
   IF(I1224&lt;=30,I1224*1.15+2,IF(I1224&lt;=80,I1224*1.15+4,IF(I1224&lt;=150,I1224*1.15+6,I1224*1.15+8))),
IF(L1224="COMPLEMENTO",
   IF(I1224&lt;=25,I1224*1.25+1.5,IF(I1224&lt;=60,I1224*1.25+3,IF(I1224&lt;=120,I1224*1.25+4,I1224*1.25+5))),
""))),2)</f>
        <v>121.86</v>
      </c>
      <c r="I1224" s="9">
        <f>($K$2+0.02)*Tabla1[[#This Row],[PRECIO $]]*1.18</f>
        <v>94.286719999999988</v>
      </c>
      <c r="J1224" s="7">
        <f>+Tabla1[[#This Row],[PRECIO EN SOLES]]-Tabla1[[#This Row],[PC]]</f>
        <v>27.573280000000011</v>
      </c>
      <c r="K1224" s="15"/>
      <c r="L1224" s="15" t="str">
        <f t="shared" si="19"/>
        <v>COMPLEMENTO</v>
      </c>
    </row>
    <row r="1225" spans="1:12" x14ac:dyDescent="0.25">
      <c r="A1225" s="3" t="s">
        <v>1805</v>
      </c>
      <c r="B1225" s="3" t="s">
        <v>1806</v>
      </c>
      <c r="C1225" s="1">
        <v>0</v>
      </c>
      <c r="D1225" s="1">
        <v>55</v>
      </c>
      <c r="E1225" s="1" t="s">
        <v>56</v>
      </c>
      <c r="F1225" s="1" t="s">
        <v>3495</v>
      </c>
      <c r="G1225" s="3" t="s">
        <v>1807</v>
      </c>
      <c r="H1225" s="11">
        <f>ROUND(
IF(L1225="GANCHO",
   IF(I1225&lt;=50,I1225*1.1+4,IF(I1225&lt;=120,I1225*1.1+7,IF(I1225&lt;=250,I1225*1.1+11,I1225*1.1+19))),
IF(L1225="NORMAL",
   IF(I1225&lt;=30,I1225*1.15+2,IF(I1225&lt;=80,I1225*1.15+4,IF(I1225&lt;=150,I1225*1.15+6,I1225*1.15+8))),
IF(L1225="COMPLEMENTO",
   IF(I1225&lt;=25,I1225*1.25+1.5,IF(I1225&lt;=60,I1225*1.25+3,IF(I1225&lt;=120,I1225*1.25+4,I1225*1.25+5))),
""))),2)</f>
        <v>262.29000000000002</v>
      </c>
      <c r="I1225" s="9">
        <f>($K$2+0.02)*Tabla1[[#This Row],[PRECIO $]]*1.18</f>
        <v>228.44799999999998</v>
      </c>
      <c r="J1225" s="7">
        <f>+Tabla1[[#This Row],[PRECIO EN SOLES]]-Tabla1[[#This Row],[PC]]</f>
        <v>33.842000000000041</v>
      </c>
      <c r="K1225" s="15"/>
      <c r="L1225" s="15" t="str">
        <f t="shared" si="19"/>
        <v>GANCHO</v>
      </c>
    </row>
    <row r="1226" spans="1:12" x14ac:dyDescent="0.25">
      <c r="A1226" s="3" t="s">
        <v>1808</v>
      </c>
      <c r="B1226" s="3" t="s">
        <v>1809</v>
      </c>
      <c r="C1226" s="1">
        <v>0</v>
      </c>
      <c r="D1226" s="1">
        <v>12.97</v>
      </c>
      <c r="E1226" s="1" t="s">
        <v>56</v>
      </c>
      <c r="F1226" s="1" t="s">
        <v>3496</v>
      </c>
      <c r="G1226" s="3" t="s">
        <v>1810</v>
      </c>
      <c r="H1226" s="11">
        <f>ROUND(
IF(L1226="GANCHO",
   IF(I1226&lt;=50,I1226*1.1+4,IF(I1226&lt;=120,I1226*1.1+7,IF(I1226&lt;=250,I1226*1.1+11,I1226*1.1+19))),
IF(L1226="NORMAL",
   IF(I1226&lt;=30,I1226*1.15+2,IF(I1226&lt;=80,I1226*1.15+4,IF(I1226&lt;=150,I1226*1.15+6,I1226*1.15+8))),
IF(L1226="COMPLEMENTO",
   IF(I1226&lt;=25,I1226*1.25+1.5,IF(I1226&lt;=60,I1226*1.25+3,IF(I1226&lt;=120,I1226*1.25+4,I1226*1.25+5))),
""))),2)</f>
        <v>65.95</v>
      </c>
      <c r="I1226" s="9">
        <f>($K$2+0.02)*Tabla1[[#This Row],[PRECIO $]]*1.18</f>
        <v>53.872191999999998</v>
      </c>
      <c r="J1226" s="7">
        <f>+Tabla1[[#This Row],[PRECIO EN SOLES]]-Tabla1[[#This Row],[PC]]</f>
        <v>12.077808000000005</v>
      </c>
      <c r="K1226" s="15"/>
      <c r="L1226" s="15" t="str">
        <f t="shared" si="19"/>
        <v>NORMAL</v>
      </c>
    </row>
    <row r="1227" spans="1:12" x14ac:dyDescent="0.25">
      <c r="A1227" s="3" t="s">
        <v>1811</v>
      </c>
      <c r="B1227" s="3" t="s">
        <v>1812</v>
      </c>
      <c r="C1227" s="1">
        <v>0</v>
      </c>
      <c r="D1227" s="1">
        <v>55</v>
      </c>
      <c r="E1227" s="1" t="s">
        <v>56</v>
      </c>
      <c r="F1227" s="1" t="s">
        <v>3497</v>
      </c>
      <c r="G1227" s="3" t="s">
        <v>1813</v>
      </c>
      <c r="H1227" s="11">
        <f>ROUND(
IF(L1227="GANCHO",
   IF(I1227&lt;=50,I1227*1.1+4,IF(I1227&lt;=120,I1227*1.1+7,IF(I1227&lt;=250,I1227*1.1+11,I1227*1.1+19))),
IF(L1227="NORMAL",
   IF(I1227&lt;=30,I1227*1.15+2,IF(I1227&lt;=80,I1227*1.15+4,IF(I1227&lt;=150,I1227*1.15+6,I1227*1.15+8))),
IF(L1227="COMPLEMENTO",
   IF(I1227&lt;=25,I1227*1.25+1.5,IF(I1227&lt;=60,I1227*1.25+3,IF(I1227&lt;=120,I1227*1.25+4,I1227*1.25+5))),
""))),2)</f>
        <v>262.29000000000002</v>
      </c>
      <c r="I1227" s="9">
        <f>($K$2+0.02)*Tabla1[[#This Row],[PRECIO $]]*1.18</f>
        <v>228.44799999999998</v>
      </c>
      <c r="J1227" s="7">
        <f>+Tabla1[[#This Row],[PRECIO EN SOLES]]-Tabla1[[#This Row],[PC]]</f>
        <v>33.842000000000041</v>
      </c>
      <c r="K1227" s="15"/>
      <c r="L1227" s="15" t="str">
        <f t="shared" si="19"/>
        <v>GANCHO</v>
      </c>
    </row>
    <row r="1228" spans="1:12" x14ac:dyDescent="0.25">
      <c r="A1228" s="3" t="s">
        <v>1814</v>
      </c>
      <c r="B1228" s="3" t="s">
        <v>1815</v>
      </c>
      <c r="C1228" s="1">
        <v>15</v>
      </c>
      <c r="D1228" s="1">
        <v>48.9</v>
      </c>
      <c r="E1228" s="1" t="s">
        <v>783</v>
      </c>
      <c r="F1228" s="1" t="s">
        <v>3498</v>
      </c>
      <c r="G1228" s="3" t="s">
        <v>2610</v>
      </c>
      <c r="H1228" s="11">
        <f>ROUND(
IF(L1228="GANCHO",
   IF(I1228&lt;=50,I1228*1.1+4,IF(I1228&lt;=120,I1228*1.1+7,IF(I1228&lt;=250,I1228*1.1+11,I1228*1.1+19))),
IF(L1228="NORMAL",
   IF(I1228&lt;=30,I1228*1.15+2,IF(I1228&lt;=80,I1228*1.15+4,IF(I1228&lt;=150,I1228*1.15+6,I1228*1.15+8))),
IF(L1228="COMPLEMENTO",
   IF(I1228&lt;=25,I1228*1.25+1.5,IF(I1228&lt;=60,I1228*1.25+3,IF(I1228&lt;=120,I1228*1.25+4,I1228*1.25+5))),
""))),2)</f>
        <v>241.58</v>
      </c>
      <c r="I1228" s="9">
        <f>($K$2+0.02)*Tabla1[[#This Row],[PRECIO $]]*1.18</f>
        <v>203.11103999999997</v>
      </c>
      <c r="J1228" s="7">
        <f>+Tabla1[[#This Row],[PRECIO EN SOLES]]-Tabla1[[#This Row],[PC]]</f>
        <v>38.468960000000038</v>
      </c>
      <c r="K1228" s="15"/>
      <c r="L1228" s="15" t="str">
        <f t="shared" si="19"/>
        <v>NORMAL</v>
      </c>
    </row>
    <row r="1229" spans="1:12" x14ac:dyDescent="0.25">
      <c r="A1229" s="3" t="s">
        <v>1816</v>
      </c>
      <c r="B1229" s="3" t="s">
        <v>1817</v>
      </c>
      <c r="C1229" s="1">
        <v>20</v>
      </c>
      <c r="D1229" s="1">
        <v>54.1</v>
      </c>
      <c r="E1229" s="1" t="s">
        <v>783</v>
      </c>
      <c r="F1229" s="1" t="s">
        <v>3499</v>
      </c>
      <c r="G1229" s="3" t="s">
        <v>2704</v>
      </c>
      <c r="H1229" s="11">
        <f>ROUND(
IF(L1229="GANCHO",
   IF(I1229&lt;=50,I1229*1.1+4,IF(I1229&lt;=120,I1229*1.1+7,IF(I1229&lt;=250,I1229*1.1+11,I1229*1.1+19))),
IF(L1229="NORMAL",
   IF(I1229&lt;=30,I1229*1.15+2,IF(I1229&lt;=80,I1229*1.15+4,IF(I1229&lt;=150,I1229*1.15+6,I1229*1.15+8))),
IF(L1229="COMPLEMENTO",
   IF(I1229&lt;=25,I1229*1.25+1.5,IF(I1229&lt;=60,I1229*1.25+3,IF(I1229&lt;=120,I1229*1.25+4,I1229*1.25+5))),
""))),2)</f>
        <v>285.89</v>
      </c>
      <c r="I1229" s="9">
        <f>($K$2+0.02)*Tabla1[[#This Row],[PRECIO $]]*1.18</f>
        <v>224.70976000000002</v>
      </c>
      <c r="J1229" s="7">
        <f>+Tabla1[[#This Row],[PRECIO EN SOLES]]-Tabla1[[#This Row],[PC]]</f>
        <v>61.180239999999969</v>
      </c>
      <c r="K1229" s="15"/>
      <c r="L1229" s="15" t="str">
        <f t="shared" si="19"/>
        <v>COMPLEMENTO</v>
      </c>
    </row>
    <row r="1230" spans="1:12" x14ac:dyDescent="0.25">
      <c r="A1230" s="3" t="s">
        <v>6204</v>
      </c>
      <c r="B1230" s="3" t="s">
        <v>6205</v>
      </c>
      <c r="C1230" s="1">
        <v>20</v>
      </c>
      <c r="D1230" s="1">
        <v>7.1</v>
      </c>
      <c r="E1230" s="1" t="s">
        <v>52</v>
      </c>
      <c r="F1230" s="1" t="s">
        <v>6206</v>
      </c>
      <c r="G1230" s="3" t="s">
        <v>6207</v>
      </c>
      <c r="H1230" s="11">
        <f>ROUND(
IF(L1230="GANCHO",
   IF(I1230&lt;=50,I1230*1.1+4,IF(I1230&lt;=120,I1230*1.1+7,IF(I1230&lt;=250,I1230*1.1+11,I1230*1.1+19))),
IF(L1230="NORMAL",
   IF(I1230&lt;=30,I1230*1.15+2,IF(I1230&lt;=80,I1230*1.15+4,IF(I1230&lt;=150,I1230*1.15+6,I1230*1.15+8))),
IF(L1230="COMPLEMENTO",
   IF(I1230&lt;=25,I1230*1.25+1.5,IF(I1230&lt;=60,I1230*1.25+3,IF(I1230&lt;=120,I1230*1.25+4,I1230*1.25+5))),
""))),2)</f>
        <v>39.86</v>
      </c>
      <c r="I1230" s="9">
        <f>($K$2+0.02)*Tabla1[[#This Row],[PRECIO $]]*1.18</f>
        <v>29.490559999999995</v>
      </c>
      <c r="J1230" s="7">
        <f>+Tabla1[[#This Row],[PRECIO EN SOLES]]-Tabla1[[#This Row],[PC]]</f>
        <v>10.369440000000004</v>
      </c>
      <c r="K1230" s="15"/>
      <c r="L1230" s="15" t="str">
        <f t="shared" si="19"/>
        <v>COMPLEMENTO</v>
      </c>
    </row>
    <row r="1231" spans="1:12" x14ac:dyDescent="0.25">
      <c r="A1231" s="3" t="s">
        <v>392</v>
      </c>
      <c r="B1231" s="3" t="s">
        <v>6208</v>
      </c>
      <c r="C1231" s="1">
        <v>20</v>
      </c>
      <c r="D1231" s="1">
        <v>12.6</v>
      </c>
      <c r="E1231" s="1" t="s">
        <v>52</v>
      </c>
      <c r="F1231" s="1" t="s">
        <v>6209</v>
      </c>
      <c r="G1231" s="3" t="s">
        <v>6210</v>
      </c>
      <c r="H1231" s="11">
        <f>ROUND(
IF(L1231="GANCHO",
   IF(I1231&lt;=50,I1231*1.1+4,IF(I1231&lt;=120,I1231*1.1+7,IF(I1231&lt;=250,I1231*1.1+11,I1231*1.1+19))),
IF(L1231="NORMAL",
   IF(I1231&lt;=30,I1231*1.15+2,IF(I1231&lt;=80,I1231*1.15+4,IF(I1231&lt;=150,I1231*1.15+6,I1231*1.15+8))),
IF(L1231="COMPLEMENTO",
   IF(I1231&lt;=25,I1231*1.25+1.5,IF(I1231&lt;=60,I1231*1.25+3,IF(I1231&lt;=120,I1231*1.25+4,I1231*1.25+5))),
""))),2)</f>
        <v>68.42</v>
      </c>
      <c r="I1231" s="9">
        <f>($K$2+0.02)*Tabla1[[#This Row],[PRECIO $]]*1.18</f>
        <v>52.335359999999994</v>
      </c>
      <c r="J1231" s="7">
        <f>+Tabla1[[#This Row],[PRECIO EN SOLES]]-Tabla1[[#This Row],[PC]]</f>
        <v>16.084640000000007</v>
      </c>
      <c r="K1231" s="15"/>
      <c r="L1231" s="15" t="str">
        <f t="shared" si="19"/>
        <v>COMPLEMENTO</v>
      </c>
    </row>
    <row r="1232" spans="1:12" x14ac:dyDescent="0.25">
      <c r="A1232" s="3" t="s">
        <v>393</v>
      </c>
      <c r="B1232" s="3" t="s">
        <v>394</v>
      </c>
      <c r="C1232" s="1">
        <v>20</v>
      </c>
      <c r="D1232" s="1">
        <v>20.7</v>
      </c>
      <c r="E1232" s="1" t="s">
        <v>52</v>
      </c>
      <c r="F1232" s="1" t="s">
        <v>3500</v>
      </c>
      <c r="G1232" s="3" t="s">
        <v>395</v>
      </c>
      <c r="H1232" s="11">
        <f>ROUND(
IF(L1232="GANCHO",
   IF(I1232&lt;=50,I1232*1.1+4,IF(I1232&lt;=120,I1232*1.1+7,IF(I1232&lt;=250,I1232*1.1+11,I1232*1.1+19))),
IF(L1232="NORMAL",
   IF(I1232&lt;=30,I1232*1.15+2,IF(I1232&lt;=80,I1232*1.15+4,IF(I1232&lt;=150,I1232*1.15+6,I1232*1.15+8))),
IF(L1232="COMPLEMENTO",
   IF(I1232&lt;=25,I1232*1.25+1.5,IF(I1232&lt;=60,I1232*1.25+3,IF(I1232&lt;=120,I1232*1.25+4,I1232*1.25+5))),
""))),2)</f>
        <v>111.47</v>
      </c>
      <c r="I1232" s="9">
        <f>($K$2+0.02)*Tabla1[[#This Row],[PRECIO $]]*1.18</f>
        <v>85.979519999999994</v>
      </c>
      <c r="J1232" s="7">
        <f>+Tabla1[[#This Row],[PRECIO EN SOLES]]-Tabla1[[#This Row],[PC]]</f>
        <v>25.490480000000005</v>
      </c>
      <c r="K1232" s="15"/>
      <c r="L1232" s="15" t="str">
        <f t="shared" si="19"/>
        <v>COMPLEMENTO</v>
      </c>
    </row>
    <row r="1233" spans="1:12" x14ac:dyDescent="0.25">
      <c r="A1233" s="3" t="s">
        <v>396</v>
      </c>
      <c r="B1233" s="3" t="s">
        <v>397</v>
      </c>
      <c r="C1233" s="1">
        <v>1</v>
      </c>
      <c r="D1233" s="1">
        <v>14</v>
      </c>
      <c r="E1233" s="1" t="s">
        <v>52</v>
      </c>
      <c r="F1233" s="1" t="s">
        <v>3501</v>
      </c>
      <c r="G1233" s="3" t="s">
        <v>398</v>
      </c>
      <c r="H1233" s="11">
        <f>ROUND(
IF(L1233="GANCHO",
   IF(I1233&lt;=50,I1233*1.1+4,IF(I1233&lt;=120,I1233*1.1+7,IF(I1233&lt;=250,I1233*1.1+11,I1233*1.1+19))),
IF(L1233="NORMAL",
   IF(I1233&lt;=30,I1233*1.15+2,IF(I1233&lt;=80,I1233*1.15+4,IF(I1233&lt;=150,I1233*1.15+6,I1233*1.15+8))),
IF(L1233="COMPLEMENTO",
   IF(I1233&lt;=25,I1233*1.25+1.5,IF(I1233&lt;=60,I1233*1.25+3,IF(I1233&lt;=120,I1233*1.25+4,I1233*1.25+5))),
""))),2)</f>
        <v>75.69</v>
      </c>
      <c r="I1233" s="9">
        <f>($K$2+0.02)*Tabla1[[#This Row],[PRECIO $]]*1.18</f>
        <v>58.150399999999998</v>
      </c>
      <c r="J1233" s="7">
        <f>+Tabla1[[#This Row],[PRECIO EN SOLES]]-Tabla1[[#This Row],[PC]]</f>
        <v>17.5396</v>
      </c>
      <c r="K1233" s="15"/>
      <c r="L1233" s="15" t="str">
        <f t="shared" si="19"/>
        <v>COMPLEMENTO</v>
      </c>
    </row>
    <row r="1234" spans="1:12" x14ac:dyDescent="0.25">
      <c r="A1234" s="3" t="s">
        <v>1818</v>
      </c>
      <c r="B1234" s="3" t="s">
        <v>1819</v>
      </c>
      <c r="C1234" s="1">
        <v>16</v>
      </c>
      <c r="D1234" s="1">
        <v>11.3</v>
      </c>
      <c r="E1234" s="1" t="s">
        <v>58</v>
      </c>
      <c r="F1234" s="1" t="s">
        <v>3502</v>
      </c>
      <c r="G1234" s="3" t="s">
        <v>1820</v>
      </c>
      <c r="H1234" s="11">
        <f>ROUND(
IF(L1234="GANCHO",
   IF(I1234&lt;=50,I1234*1.1+4,IF(I1234&lt;=120,I1234*1.1+7,IF(I1234&lt;=250,I1234*1.1+11,I1234*1.1+19))),
IF(L1234="NORMAL",
   IF(I1234&lt;=30,I1234*1.15+2,IF(I1234&lt;=80,I1234*1.15+4,IF(I1234&lt;=150,I1234*1.15+6,I1234*1.15+8))),
IF(L1234="COMPLEMENTO",
   IF(I1234&lt;=25,I1234*1.25+1.5,IF(I1234&lt;=60,I1234*1.25+3,IF(I1234&lt;=120,I1234*1.25+4,I1234*1.25+5))),
""))),2)</f>
        <v>61.67</v>
      </c>
      <c r="I1234" s="9">
        <f>($K$2+0.02)*Tabla1[[#This Row],[PRECIO $]]*1.18</f>
        <v>46.935680000000005</v>
      </c>
      <c r="J1234" s="7">
        <f>+Tabla1[[#This Row],[PRECIO EN SOLES]]-Tabla1[[#This Row],[PC]]</f>
        <v>14.734319999999997</v>
      </c>
      <c r="K1234" s="15"/>
      <c r="L1234" s="15" t="str">
        <f t="shared" si="19"/>
        <v>COMPLEMENTO</v>
      </c>
    </row>
    <row r="1235" spans="1:12" x14ac:dyDescent="0.25">
      <c r="A1235" s="3" t="s">
        <v>1821</v>
      </c>
      <c r="B1235" s="3" t="s">
        <v>1822</v>
      </c>
      <c r="C1235" s="1">
        <v>20</v>
      </c>
      <c r="D1235" s="1">
        <v>9</v>
      </c>
      <c r="E1235" s="1" t="s">
        <v>58</v>
      </c>
      <c r="F1235" s="1" t="s">
        <v>3503</v>
      </c>
      <c r="G1235" s="3" t="s">
        <v>1823</v>
      </c>
      <c r="H1235" s="11">
        <f>ROUND(
IF(L1235="GANCHO",
   IF(I1235&lt;=50,I1235*1.1+4,IF(I1235&lt;=120,I1235*1.1+7,IF(I1235&lt;=250,I1235*1.1+11,I1235*1.1+19))),
IF(L1235="NORMAL",
   IF(I1235&lt;=30,I1235*1.15+2,IF(I1235&lt;=80,I1235*1.15+4,IF(I1235&lt;=150,I1235*1.15+6,I1235*1.15+8))),
IF(L1235="COMPLEMENTO",
   IF(I1235&lt;=25,I1235*1.25+1.5,IF(I1235&lt;=60,I1235*1.25+3,IF(I1235&lt;=120,I1235*1.25+4,I1235*1.25+5))),
""))),2)</f>
        <v>49.73</v>
      </c>
      <c r="I1235" s="9">
        <f>($K$2+0.02)*Tabla1[[#This Row],[PRECIO $]]*1.18</f>
        <v>37.382399999999997</v>
      </c>
      <c r="J1235" s="7">
        <f>+Tabla1[[#This Row],[PRECIO EN SOLES]]-Tabla1[[#This Row],[PC]]</f>
        <v>12.3476</v>
      </c>
      <c r="K1235" s="15"/>
      <c r="L1235" s="15" t="str">
        <f t="shared" si="19"/>
        <v>COMPLEMENTO</v>
      </c>
    </row>
    <row r="1236" spans="1:12" x14ac:dyDescent="0.25">
      <c r="A1236" s="3" t="s">
        <v>1824</v>
      </c>
      <c r="B1236" s="3" t="s">
        <v>1822</v>
      </c>
      <c r="C1236" s="1">
        <v>20</v>
      </c>
      <c r="D1236" s="1">
        <v>11.3</v>
      </c>
      <c r="E1236" s="1" t="s">
        <v>58</v>
      </c>
      <c r="F1236" s="1" t="s">
        <v>3504</v>
      </c>
      <c r="G1236" s="3" t="s">
        <v>1825</v>
      </c>
      <c r="H1236" s="11">
        <f>ROUND(
IF(L1236="GANCHO",
   IF(I1236&lt;=50,I1236*1.1+4,IF(I1236&lt;=120,I1236*1.1+7,IF(I1236&lt;=250,I1236*1.1+11,I1236*1.1+19))),
IF(L1236="NORMAL",
   IF(I1236&lt;=30,I1236*1.15+2,IF(I1236&lt;=80,I1236*1.15+4,IF(I1236&lt;=150,I1236*1.15+6,I1236*1.15+8))),
IF(L1236="COMPLEMENTO",
   IF(I1236&lt;=25,I1236*1.25+1.5,IF(I1236&lt;=60,I1236*1.25+3,IF(I1236&lt;=120,I1236*1.25+4,I1236*1.25+5))),
""))),2)</f>
        <v>61.67</v>
      </c>
      <c r="I1236" s="9">
        <f>($K$2+0.02)*Tabla1[[#This Row],[PRECIO $]]*1.18</f>
        <v>46.935680000000005</v>
      </c>
      <c r="J1236" s="7">
        <f>+Tabla1[[#This Row],[PRECIO EN SOLES]]-Tabla1[[#This Row],[PC]]</f>
        <v>14.734319999999997</v>
      </c>
      <c r="K1236" s="15"/>
      <c r="L1236" s="15" t="str">
        <f t="shared" si="19"/>
        <v>COMPLEMENTO</v>
      </c>
    </row>
    <row r="1237" spans="1:12" x14ac:dyDescent="0.25">
      <c r="A1237" s="3" t="s">
        <v>1826</v>
      </c>
      <c r="B1237" s="3" t="s">
        <v>1827</v>
      </c>
      <c r="C1237" s="1">
        <v>2</v>
      </c>
      <c r="D1237" s="1">
        <v>13.5</v>
      </c>
      <c r="E1237" s="1" t="s">
        <v>58</v>
      </c>
      <c r="F1237" s="1" t="s">
        <v>3505</v>
      </c>
      <c r="G1237" s="3" t="s">
        <v>1828</v>
      </c>
      <c r="H1237" s="11">
        <f>ROUND(
IF(L1237="GANCHO",
   IF(I1237&lt;=50,I1237*1.1+4,IF(I1237&lt;=120,I1237*1.1+7,IF(I1237&lt;=250,I1237*1.1+11,I1237*1.1+19))),
IF(L1237="NORMAL",
   IF(I1237&lt;=30,I1237*1.15+2,IF(I1237&lt;=80,I1237*1.15+4,IF(I1237&lt;=150,I1237*1.15+6,I1237*1.15+8))),
IF(L1237="COMPLEMENTO",
   IF(I1237&lt;=25,I1237*1.25+1.5,IF(I1237&lt;=60,I1237*1.25+3,IF(I1237&lt;=120,I1237*1.25+4,I1237*1.25+5))),
""))),2)</f>
        <v>73.09</v>
      </c>
      <c r="I1237" s="9">
        <f>($K$2+0.02)*Tabla1[[#This Row],[PRECIO $]]*1.18</f>
        <v>56.073599999999999</v>
      </c>
      <c r="J1237" s="7">
        <f>+Tabla1[[#This Row],[PRECIO EN SOLES]]-Tabla1[[#This Row],[PC]]</f>
        <v>17.016400000000004</v>
      </c>
      <c r="K1237" s="15"/>
      <c r="L1237" s="15" t="str">
        <f t="shared" si="19"/>
        <v>COMPLEMENTO</v>
      </c>
    </row>
    <row r="1238" spans="1:12" x14ac:dyDescent="0.25">
      <c r="A1238" s="3" t="s">
        <v>1829</v>
      </c>
      <c r="B1238" s="3" t="s">
        <v>1830</v>
      </c>
      <c r="C1238" s="1">
        <v>10</v>
      </c>
      <c r="D1238" s="1">
        <v>92.2</v>
      </c>
      <c r="E1238" s="1" t="s">
        <v>58</v>
      </c>
      <c r="F1238" s="1" t="s">
        <v>3506</v>
      </c>
      <c r="G1238" s="3" t="s">
        <v>1831</v>
      </c>
      <c r="H1238" s="11">
        <f>ROUND(
IF(L1238="GANCHO",
   IF(I1238&lt;=50,I1238*1.1+4,IF(I1238&lt;=120,I1238*1.1+7,IF(I1238&lt;=250,I1238*1.1+11,I1238*1.1+19))),
IF(L1238="NORMAL",
   IF(I1238&lt;=30,I1238*1.15+2,IF(I1238&lt;=80,I1238*1.15+4,IF(I1238&lt;=150,I1238*1.15+6,I1238*1.15+8))),
IF(L1238="COMPLEMENTO",
   IF(I1238&lt;=25,I1238*1.25+1.5,IF(I1238&lt;=60,I1238*1.25+3,IF(I1238&lt;=120,I1238*1.25+4,I1238*1.25+5))),
""))),2)</f>
        <v>448.41</v>
      </c>
      <c r="I1238" s="9">
        <f>($K$2+0.02)*Tabla1[[#This Row],[PRECIO $]]*1.18</f>
        <v>382.96192000000002</v>
      </c>
      <c r="J1238" s="7">
        <f>+Tabla1[[#This Row],[PRECIO EN SOLES]]-Tabla1[[#This Row],[PC]]</f>
        <v>65.448080000000004</v>
      </c>
      <c r="K1238" s="15"/>
      <c r="L1238" s="15" t="str">
        <f t="shared" si="19"/>
        <v>NORMAL</v>
      </c>
    </row>
    <row r="1239" spans="1:12" x14ac:dyDescent="0.25">
      <c r="A1239" s="3" t="s">
        <v>1832</v>
      </c>
      <c r="B1239" s="3" t="s">
        <v>1833</v>
      </c>
      <c r="C1239" s="1">
        <v>2</v>
      </c>
      <c r="D1239" s="1">
        <v>58.2</v>
      </c>
      <c r="E1239" s="1" t="s">
        <v>58</v>
      </c>
      <c r="F1239" s="1" t="s">
        <v>3507</v>
      </c>
      <c r="G1239" s="3" t="s">
        <v>1834</v>
      </c>
      <c r="H1239" s="11">
        <f>ROUND(
IF(L1239="GANCHO",
   IF(I1239&lt;=50,I1239*1.1+4,IF(I1239&lt;=120,I1239*1.1+7,IF(I1239&lt;=250,I1239*1.1+11,I1239*1.1+19))),
IF(L1239="NORMAL",
   IF(I1239&lt;=30,I1239*1.15+2,IF(I1239&lt;=80,I1239*1.15+4,IF(I1239&lt;=150,I1239*1.15+6,I1239*1.15+8))),
IF(L1239="COMPLEMENTO",
   IF(I1239&lt;=25,I1239*1.25+1.5,IF(I1239&lt;=60,I1239*1.25+3,IF(I1239&lt;=120,I1239*1.25+4,I1239*1.25+5))),
""))),2)</f>
        <v>307.17</v>
      </c>
      <c r="I1239" s="9">
        <f>($K$2+0.02)*Tabla1[[#This Row],[PRECIO $]]*1.18</f>
        <v>241.73952</v>
      </c>
      <c r="J1239" s="7">
        <f>+Tabla1[[#This Row],[PRECIO EN SOLES]]-Tabla1[[#This Row],[PC]]</f>
        <v>65.430480000000017</v>
      </c>
      <c r="K1239" s="15"/>
      <c r="L1239" s="15" t="str">
        <f t="shared" si="19"/>
        <v>COMPLEMENTO</v>
      </c>
    </row>
    <row r="1240" spans="1:12" x14ac:dyDescent="0.25">
      <c r="A1240" s="3" t="s">
        <v>1835</v>
      </c>
      <c r="B1240" s="3" t="s">
        <v>1836</v>
      </c>
      <c r="C1240" s="1">
        <v>20</v>
      </c>
      <c r="D1240" s="1">
        <v>20</v>
      </c>
      <c r="E1240" s="1" t="s">
        <v>170</v>
      </c>
      <c r="F1240" s="1" t="s">
        <v>3508</v>
      </c>
      <c r="G1240" s="3"/>
      <c r="H1240" s="11">
        <f>ROUND(
IF(L1240="GANCHO",
   IF(I1240&lt;=50,I1240*1.1+4,IF(I1240&lt;=120,I1240*1.1+7,IF(I1240&lt;=250,I1240*1.1+11,I1240*1.1+19))),
IF(L1240="NORMAL",
   IF(I1240&lt;=30,I1240*1.15+2,IF(I1240&lt;=80,I1240*1.15+4,IF(I1240&lt;=150,I1240*1.15+6,I1240*1.15+8))),
IF(L1240="COMPLEMENTO",
   IF(I1240&lt;=25,I1240*1.25+1.5,IF(I1240&lt;=60,I1240*1.25+3,IF(I1240&lt;=120,I1240*1.25+4,I1240*1.25+5))),
""))),2)</f>
        <v>107.84</v>
      </c>
      <c r="I1240" s="9">
        <f>($K$2+0.02)*Tabla1[[#This Row],[PRECIO $]]*1.18</f>
        <v>83.072000000000003</v>
      </c>
      <c r="J1240" s="7">
        <f>+Tabla1[[#This Row],[PRECIO EN SOLES]]-Tabla1[[#This Row],[PC]]</f>
        <v>24.768000000000001</v>
      </c>
      <c r="K1240" s="15"/>
      <c r="L1240" s="15" t="str">
        <f t="shared" si="19"/>
        <v>COMPLEMENTO</v>
      </c>
    </row>
    <row r="1241" spans="1:12" x14ac:dyDescent="0.25">
      <c r="A1241" s="3" t="s">
        <v>1839</v>
      </c>
      <c r="B1241" s="3" t="s">
        <v>1840</v>
      </c>
      <c r="C1241" s="1">
        <v>0</v>
      </c>
      <c r="D1241" s="1">
        <v>9999</v>
      </c>
      <c r="E1241" s="1" t="s">
        <v>851</v>
      </c>
      <c r="F1241" s="1" t="s">
        <v>3511</v>
      </c>
      <c r="G1241" s="3"/>
      <c r="H1241" s="11">
        <f>ROUND(
IF(L1241="GANCHO",
   IF(I1241&lt;=50,I1241*1.1+4,IF(I1241&lt;=120,I1241*1.1+7,IF(I1241&lt;=250,I1241*1.1+11,I1241*1.1+19))),
IF(L1241="NORMAL",
   IF(I1241&lt;=30,I1241*1.15+2,IF(I1241&lt;=80,I1241*1.15+4,IF(I1241&lt;=150,I1241*1.15+6,I1241*1.15+8))),
IF(L1241="COMPLEMENTO",
   IF(I1241&lt;=25,I1241*1.25+1.5,IF(I1241&lt;=60,I1241*1.25+3,IF(I1241&lt;=120,I1241*1.25+4,I1241*1.25+5))),
""))),2)</f>
        <v>51919.81</v>
      </c>
      <c r="I1241" s="9">
        <f>($K$2+0.02)*Tabla1[[#This Row],[PRECIO $]]*1.18</f>
        <v>41531.846400000002</v>
      </c>
      <c r="J1241" s="7">
        <f>+Tabla1[[#This Row],[PRECIO EN SOLES]]-Tabla1[[#This Row],[PC]]</f>
        <v>10387.963599999995</v>
      </c>
      <c r="K1241" s="15"/>
      <c r="L1241" s="15" t="str">
        <f t="shared" si="19"/>
        <v>COMPLEMENTO</v>
      </c>
    </row>
    <row r="1242" spans="1:12" x14ac:dyDescent="0.25">
      <c r="A1242" s="3" t="s">
        <v>1841</v>
      </c>
      <c r="B1242" s="3" t="s">
        <v>1840</v>
      </c>
      <c r="C1242" s="1">
        <v>0</v>
      </c>
      <c r="D1242" s="1">
        <v>9999</v>
      </c>
      <c r="E1242" s="1" t="s">
        <v>56</v>
      </c>
      <c r="F1242" s="1" t="s">
        <v>3512</v>
      </c>
      <c r="G1242" s="3"/>
      <c r="H1242" s="11">
        <f>ROUND(
IF(L1242="GANCHO",
   IF(I1242&lt;=50,I1242*1.1+4,IF(I1242&lt;=120,I1242*1.1+7,IF(I1242&lt;=250,I1242*1.1+11,I1242*1.1+19))),
IF(L1242="NORMAL",
   IF(I1242&lt;=30,I1242*1.15+2,IF(I1242&lt;=80,I1242*1.15+4,IF(I1242&lt;=150,I1242*1.15+6,I1242*1.15+8))),
IF(L1242="COMPLEMENTO",
   IF(I1242&lt;=25,I1242*1.25+1.5,IF(I1242&lt;=60,I1242*1.25+3,IF(I1242&lt;=120,I1242*1.25+4,I1242*1.25+5))),
""))),2)</f>
        <v>51919.81</v>
      </c>
      <c r="I1242" s="9">
        <f>($K$2+0.02)*Tabla1[[#This Row],[PRECIO $]]*1.18</f>
        <v>41531.846400000002</v>
      </c>
      <c r="J1242" s="7">
        <f>+Tabla1[[#This Row],[PRECIO EN SOLES]]-Tabla1[[#This Row],[PC]]</f>
        <v>10387.963599999995</v>
      </c>
      <c r="K1242" s="15"/>
      <c r="L1242" s="15" t="str">
        <f t="shared" si="19"/>
        <v>COMPLEMENTO</v>
      </c>
    </row>
    <row r="1243" spans="1:12" x14ac:dyDescent="0.25">
      <c r="A1243" s="3" t="s">
        <v>4316</v>
      </c>
      <c r="B1243" s="3" t="s">
        <v>4317</v>
      </c>
      <c r="C1243" s="1">
        <v>0</v>
      </c>
      <c r="D1243" s="1">
        <v>999</v>
      </c>
      <c r="E1243" s="1" t="s">
        <v>183</v>
      </c>
      <c r="F1243" s="1" t="s">
        <v>4318</v>
      </c>
      <c r="G1243" s="3"/>
      <c r="H1243" s="11">
        <f>ROUND(
IF(L1243="GANCHO",
   IF(I1243&lt;=50,I1243*1.1+4,IF(I1243&lt;=120,I1243*1.1+7,IF(I1243&lt;=250,I1243*1.1+11,I1243*1.1+19))),
IF(L1243="NORMAL",
   IF(I1243&lt;=30,I1243*1.15+2,IF(I1243&lt;=80,I1243*1.15+4,IF(I1243&lt;=150,I1243*1.15+6,I1243*1.15+8))),
IF(L1243="COMPLEMENTO",
   IF(I1243&lt;=25,I1243*1.25+1.5,IF(I1243&lt;=60,I1243*1.25+3,IF(I1243&lt;=120,I1243*1.25+4,I1243*1.25+5))),
""))),2)</f>
        <v>5191.8100000000004</v>
      </c>
      <c r="I1243" s="9">
        <f>($K$2+0.02)*Tabla1[[#This Row],[PRECIO $]]*1.18</f>
        <v>4149.4463999999998</v>
      </c>
      <c r="J1243" s="7">
        <f>+Tabla1[[#This Row],[PRECIO EN SOLES]]-Tabla1[[#This Row],[PC]]</f>
        <v>1042.3636000000006</v>
      </c>
      <c r="K1243" s="15"/>
      <c r="L1243" s="15" t="str">
        <f t="shared" si="19"/>
        <v>COMPLEMENTO</v>
      </c>
    </row>
    <row r="1244" spans="1:12" x14ac:dyDescent="0.25">
      <c r="A1244" s="3" t="s">
        <v>4129</v>
      </c>
      <c r="B1244" s="3" t="s">
        <v>4130</v>
      </c>
      <c r="C1244" s="1">
        <v>3</v>
      </c>
      <c r="D1244" s="1">
        <v>485</v>
      </c>
      <c r="E1244" s="1" t="s">
        <v>52</v>
      </c>
      <c r="F1244" s="1" t="s">
        <v>4131</v>
      </c>
      <c r="G1244" s="3" t="s">
        <v>4132</v>
      </c>
      <c r="H1244" s="11">
        <f>ROUND(
IF(L1244="GANCHO",
   IF(I1244&lt;=50,I1244*1.1+4,IF(I1244&lt;=120,I1244*1.1+7,IF(I1244&lt;=250,I1244*1.1+11,I1244*1.1+19))),
IF(L1244="NORMAL",
   IF(I1244&lt;=30,I1244*1.15+2,IF(I1244&lt;=80,I1244*1.15+4,IF(I1244&lt;=150,I1244*1.15+6,I1244*1.15+8))),
IF(L1244="COMPLEMENTO",
   IF(I1244&lt;=25,I1244*1.25+1.5,IF(I1244&lt;=60,I1244*1.25+3,IF(I1244&lt;=120,I1244*1.25+4,I1244*1.25+5))),
""))),2)</f>
        <v>2234.9499999999998</v>
      </c>
      <c r="I1244" s="9">
        <f>($K$2+0.02)*Tabla1[[#This Row],[PRECIO $]]*1.18</f>
        <v>2014.4959999999999</v>
      </c>
      <c r="J1244" s="7">
        <f>+Tabla1[[#This Row],[PRECIO EN SOLES]]-Tabla1[[#This Row],[PC]]</f>
        <v>220.45399999999995</v>
      </c>
      <c r="K1244" s="15"/>
      <c r="L1244" s="15" t="str">
        <f t="shared" si="19"/>
        <v>GANCHO</v>
      </c>
    </row>
    <row r="1245" spans="1:12" x14ac:dyDescent="0.25">
      <c r="A1245" s="3" t="s">
        <v>4647</v>
      </c>
      <c r="B1245" s="3" t="s">
        <v>4648</v>
      </c>
      <c r="C1245" s="1">
        <v>4</v>
      </c>
      <c r="D1245" s="1">
        <v>1629</v>
      </c>
      <c r="E1245" s="1" t="s">
        <v>52</v>
      </c>
      <c r="F1245" s="1" t="s">
        <v>4649</v>
      </c>
      <c r="G1245" s="3" t="s">
        <v>4650</v>
      </c>
      <c r="H1245" s="11">
        <f>ROUND(
IF(L1245="GANCHO",
   IF(I1245&lt;=50,I1245*1.1+4,IF(I1245&lt;=120,I1245*1.1+7,IF(I1245&lt;=250,I1245*1.1+11,I1245*1.1+19))),
IF(L1245="NORMAL",
   IF(I1245&lt;=30,I1245*1.15+2,IF(I1245&lt;=80,I1245*1.15+4,IF(I1245&lt;=150,I1245*1.15+6,I1245*1.15+8))),
IF(L1245="COMPLEMENTO",
   IF(I1245&lt;=25,I1245*1.25+1.5,IF(I1245&lt;=60,I1245*1.25+3,IF(I1245&lt;=120,I1245*1.25+4,I1245*1.25+5))),
""))),2)</f>
        <v>7789.15</v>
      </c>
      <c r="I1245" s="9">
        <f>($K$2+0.02)*Tabla1[[#This Row],[PRECIO $]]*1.18</f>
        <v>6766.2143999999998</v>
      </c>
      <c r="J1245" s="7">
        <f>+Tabla1[[#This Row],[PRECIO EN SOLES]]-Tabla1[[#This Row],[PC]]</f>
        <v>1022.9355999999998</v>
      </c>
      <c r="K1245" s="15"/>
      <c r="L1245" s="15" t="str">
        <f t="shared" si="19"/>
        <v>NORMAL</v>
      </c>
    </row>
    <row r="1246" spans="1:12" x14ac:dyDescent="0.25">
      <c r="A1246" s="3" t="s">
        <v>6019</v>
      </c>
      <c r="B1246" s="3" t="s">
        <v>6020</v>
      </c>
      <c r="C1246" s="1">
        <v>4</v>
      </c>
      <c r="D1246" s="1">
        <v>1979</v>
      </c>
      <c r="E1246" s="1" t="s">
        <v>52</v>
      </c>
      <c r="F1246" s="1" t="s">
        <v>6021</v>
      </c>
      <c r="G1246" s="3" t="s">
        <v>6022</v>
      </c>
      <c r="H1246" s="11">
        <f>ROUND(
IF(L1246="GANCHO",
   IF(I1246&lt;=50,I1246*1.1+4,IF(I1246&lt;=120,I1246*1.1+7,IF(I1246&lt;=250,I1246*1.1+11,I1246*1.1+19))),
IF(L1246="NORMAL",
   IF(I1246&lt;=30,I1246*1.15+2,IF(I1246&lt;=80,I1246*1.15+4,IF(I1246&lt;=150,I1246*1.15+6,I1246*1.15+8))),
IF(L1246="COMPLEMENTO",
   IF(I1246&lt;=25,I1246*1.25+1.5,IF(I1246&lt;=60,I1246*1.25+3,IF(I1246&lt;=120,I1246*1.25+4,I1246*1.25+5))),
""))),2)</f>
        <v>9460.9699999999993</v>
      </c>
      <c r="I1246" s="9">
        <f>($K$2+0.02)*Tabla1[[#This Row],[PRECIO $]]*1.18</f>
        <v>8219.9743999999992</v>
      </c>
      <c r="J1246" s="7">
        <f>+Tabla1[[#This Row],[PRECIO EN SOLES]]-Tabla1[[#This Row],[PC]]</f>
        <v>1240.9956000000002</v>
      </c>
      <c r="K1246" s="15"/>
      <c r="L1246" s="15" t="str">
        <f t="shared" si="19"/>
        <v>NORMAL</v>
      </c>
    </row>
    <row r="1247" spans="1:12" x14ac:dyDescent="0.25">
      <c r="A1247" s="3" t="s">
        <v>1842</v>
      </c>
      <c r="B1247" s="3" t="s">
        <v>1843</v>
      </c>
      <c r="C1247" s="1">
        <v>1</v>
      </c>
      <c r="D1247" s="1">
        <v>2140</v>
      </c>
      <c r="E1247" s="1" t="s">
        <v>52</v>
      </c>
      <c r="F1247" s="1" t="s">
        <v>3513</v>
      </c>
      <c r="G1247" s="3" t="s">
        <v>1844</v>
      </c>
      <c r="H1247" s="11">
        <f>ROUND(
IF(L1247="GANCHO",
   IF(I1247&lt;=50,I1247*1.1+4,IF(I1247&lt;=120,I1247*1.1+7,IF(I1247&lt;=250,I1247*1.1+11,I1247*1.1+19))),
IF(L1247="NORMAL",
   IF(I1247&lt;=30,I1247*1.15+2,IF(I1247&lt;=80,I1247*1.15+4,IF(I1247&lt;=150,I1247*1.15+6,I1247*1.15+8))),
IF(L1247="COMPLEMENTO",
   IF(I1247&lt;=25,I1247*1.25+1.5,IF(I1247&lt;=60,I1247*1.25+3,IF(I1247&lt;=120,I1247*1.25+4,I1247*1.25+5))),
""))),2)</f>
        <v>9796.57</v>
      </c>
      <c r="I1247" s="9">
        <f>($K$2+0.02)*Tabla1[[#This Row],[PRECIO $]]*1.18</f>
        <v>8888.7039999999997</v>
      </c>
      <c r="J1247" s="7">
        <f>+Tabla1[[#This Row],[PRECIO EN SOLES]]-Tabla1[[#This Row],[PC]]</f>
        <v>907.86599999999999</v>
      </c>
      <c r="K1247" s="15"/>
      <c r="L1247" s="15" t="str">
        <f t="shared" si="19"/>
        <v>GANCHO</v>
      </c>
    </row>
    <row r="1248" spans="1:12" x14ac:dyDescent="0.25">
      <c r="A1248" s="3" t="s">
        <v>6211</v>
      </c>
      <c r="B1248" s="3" t="s">
        <v>6212</v>
      </c>
      <c r="C1248" s="1">
        <v>20</v>
      </c>
      <c r="D1248" s="1">
        <v>56</v>
      </c>
      <c r="E1248" s="1" t="s">
        <v>6087</v>
      </c>
      <c r="F1248" s="1" t="s">
        <v>6213</v>
      </c>
      <c r="G1248" s="3" t="s">
        <v>6214</v>
      </c>
      <c r="H1248" s="11">
        <f>ROUND(
IF(L1248="GANCHO",
   IF(I1248&lt;=50,I1248*1.1+4,IF(I1248&lt;=120,I1248*1.1+7,IF(I1248&lt;=250,I1248*1.1+11,I1248*1.1+19))),
IF(L1248="NORMAL",
   IF(I1248&lt;=30,I1248*1.15+2,IF(I1248&lt;=80,I1248*1.15+4,IF(I1248&lt;=150,I1248*1.15+6,I1248*1.15+8))),
IF(L1248="COMPLEMENTO",
   IF(I1248&lt;=25,I1248*1.25+1.5,IF(I1248&lt;=60,I1248*1.25+3,IF(I1248&lt;=120,I1248*1.25+4,I1248*1.25+5))),
""))),2)</f>
        <v>275.49</v>
      </c>
      <c r="I1248" s="9">
        <f>($K$2+0.02)*Tabla1[[#This Row],[PRECIO $]]*1.18</f>
        <v>232.60159999999999</v>
      </c>
      <c r="J1248" s="7">
        <f>+Tabla1[[#This Row],[PRECIO EN SOLES]]-Tabla1[[#This Row],[PC]]</f>
        <v>42.888400000000019</v>
      </c>
      <c r="K1248" s="15"/>
      <c r="L1248" s="15" t="str">
        <f t="shared" si="19"/>
        <v>NORMAL</v>
      </c>
    </row>
    <row r="1249" spans="1:12" x14ac:dyDescent="0.25">
      <c r="A1249" s="3" t="s">
        <v>6215</v>
      </c>
      <c r="B1249" s="3" t="s">
        <v>6216</v>
      </c>
      <c r="C1249" s="1">
        <v>20</v>
      </c>
      <c r="D1249" s="1">
        <v>51</v>
      </c>
      <c r="E1249" s="1" t="s">
        <v>6087</v>
      </c>
      <c r="F1249" s="1" t="s">
        <v>6217</v>
      </c>
      <c r="G1249" s="3" t="s">
        <v>6218</v>
      </c>
      <c r="H1249" s="11">
        <f>ROUND(
IF(L1249="GANCHO",
   IF(I1249&lt;=50,I1249*1.1+4,IF(I1249&lt;=120,I1249*1.1+7,IF(I1249&lt;=250,I1249*1.1+11,I1249*1.1+19))),
IF(L1249="NORMAL",
   IF(I1249&lt;=30,I1249*1.15+2,IF(I1249&lt;=80,I1249*1.15+4,IF(I1249&lt;=150,I1249*1.15+6,I1249*1.15+8))),
IF(L1249="COMPLEMENTO",
   IF(I1249&lt;=25,I1249*1.25+1.5,IF(I1249&lt;=60,I1249*1.25+3,IF(I1249&lt;=120,I1249*1.25+4,I1249*1.25+5))),
""))),2)</f>
        <v>251.61</v>
      </c>
      <c r="I1249" s="9">
        <f>($K$2+0.02)*Tabla1[[#This Row],[PRECIO $]]*1.18</f>
        <v>211.83359999999999</v>
      </c>
      <c r="J1249" s="7">
        <f>+Tabla1[[#This Row],[PRECIO EN SOLES]]-Tabla1[[#This Row],[PC]]</f>
        <v>39.776400000000024</v>
      </c>
      <c r="K1249" s="15"/>
      <c r="L1249" s="15" t="str">
        <f t="shared" si="19"/>
        <v>NORMAL</v>
      </c>
    </row>
    <row r="1250" spans="1:12" x14ac:dyDescent="0.25">
      <c r="A1250" s="3" t="s">
        <v>1845</v>
      </c>
      <c r="B1250" s="3" t="s">
        <v>1846</v>
      </c>
      <c r="C1250" s="1">
        <v>2</v>
      </c>
      <c r="D1250" s="1">
        <v>13</v>
      </c>
      <c r="E1250" s="1" t="s">
        <v>1847</v>
      </c>
      <c r="F1250" s="1" t="s">
        <v>3514</v>
      </c>
      <c r="G1250" s="3"/>
      <c r="H1250" s="11">
        <f>ROUND(
IF(L1250="GANCHO",
   IF(I1250&lt;=50,I1250*1.1+4,IF(I1250&lt;=120,I1250*1.1+7,IF(I1250&lt;=250,I1250*1.1+11,I1250*1.1+19))),
IF(L1250="NORMAL",
   IF(I1250&lt;=30,I1250*1.15+2,IF(I1250&lt;=80,I1250*1.15+4,IF(I1250&lt;=150,I1250*1.15+6,I1250*1.15+8))),
IF(L1250="COMPLEMENTO",
   IF(I1250&lt;=25,I1250*1.25+1.5,IF(I1250&lt;=60,I1250*1.25+3,IF(I1250&lt;=120,I1250*1.25+4,I1250*1.25+5))),
""))),2)</f>
        <v>66.099999999999994</v>
      </c>
      <c r="I1250" s="9">
        <f>($K$2+0.02)*Tabla1[[#This Row],[PRECIO $]]*1.18</f>
        <v>53.996799999999993</v>
      </c>
      <c r="J1250" s="7">
        <f>+Tabla1[[#This Row],[PRECIO EN SOLES]]-Tabla1[[#This Row],[PC]]</f>
        <v>12.103200000000001</v>
      </c>
      <c r="K1250" s="15"/>
      <c r="L1250" s="15" t="str">
        <f t="shared" si="19"/>
        <v>NORMAL</v>
      </c>
    </row>
    <row r="1251" spans="1:12" x14ac:dyDescent="0.25">
      <c r="A1251" s="3" t="s">
        <v>1848</v>
      </c>
      <c r="B1251" s="3" t="s">
        <v>1849</v>
      </c>
      <c r="C1251" s="1">
        <v>12</v>
      </c>
      <c r="D1251" s="1">
        <v>500</v>
      </c>
      <c r="E1251" s="1" t="s">
        <v>57</v>
      </c>
      <c r="F1251" s="1" t="s">
        <v>3515</v>
      </c>
      <c r="G1251" s="3"/>
      <c r="H1251" s="11">
        <f>ROUND(
IF(L1251="GANCHO",
   IF(I1251&lt;=50,I1251*1.1+4,IF(I1251&lt;=120,I1251*1.1+7,IF(I1251&lt;=250,I1251*1.1+11,I1251*1.1+19))),
IF(L1251="NORMAL",
   IF(I1251&lt;=30,I1251*1.15+2,IF(I1251&lt;=80,I1251*1.15+4,IF(I1251&lt;=150,I1251*1.15+6,I1251*1.15+8))),
IF(L1251="COMPLEMENTO",
   IF(I1251&lt;=25,I1251*1.25+1.5,IF(I1251&lt;=60,I1251*1.25+3,IF(I1251&lt;=120,I1251*1.25+4,I1251*1.25+5))),
""))),2)</f>
        <v>2396.3200000000002</v>
      </c>
      <c r="I1251" s="9">
        <f>($K$2+0.02)*Tabla1[[#This Row],[PRECIO $]]*1.18</f>
        <v>2076.7999999999997</v>
      </c>
      <c r="J1251" s="7">
        <f>+Tabla1[[#This Row],[PRECIO EN SOLES]]-Tabla1[[#This Row],[PC]]</f>
        <v>319.52000000000044</v>
      </c>
      <c r="K1251" s="15"/>
      <c r="L1251" s="15" t="str">
        <f t="shared" si="19"/>
        <v>NORMAL</v>
      </c>
    </row>
    <row r="1252" spans="1:12" x14ac:dyDescent="0.25">
      <c r="A1252" s="3" t="s">
        <v>1850</v>
      </c>
      <c r="B1252" s="3" t="s">
        <v>1851</v>
      </c>
      <c r="C1252" s="1">
        <v>12</v>
      </c>
      <c r="D1252" s="1">
        <v>500</v>
      </c>
      <c r="E1252" s="1" t="s">
        <v>57</v>
      </c>
      <c r="F1252" s="1" t="s">
        <v>3516</v>
      </c>
      <c r="G1252" s="3"/>
      <c r="H1252" s="11">
        <f>ROUND(
IF(L1252="GANCHO",
   IF(I1252&lt;=50,I1252*1.1+4,IF(I1252&lt;=120,I1252*1.1+7,IF(I1252&lt;=250,I1252*1.1+11,I1252*1.1+19))),
IF(L1252="NORMAL",
   IF(I1252&lt;=30,I1252*1.15+2,IF(I1252&lt;=80,I1252*1.15+4,IF(I1252&lt;=150,I1252*1.15+6,I1252*1.15+8))),
IF(L1252="COMPLEMENTO",
   IF(I1252&lt;=25,I1252*1.25+1.5,IF(I1252&lt;=60,I1252*1.25+3,IF(I1252&lt;=120,I1252*1.25+4,I1252*1.25+5))),
""))),2)</f>
        <v>2396.3200000000002</v>
      </c>
      <c r="I1252" s="9">
        <f>($K$2+0.02)*Tabla1[[#This Row],[PRECIO $]]*1.18</f>
        <v>2076.7999999999997</v>
      </c>
      <c r="J1252" s="7">
        <f>+Tabla1[[#This Row],[PRECIO EN SOLES]]-Tabla1[[#This Row],[PC]]</f>
        <v>319.52000000000044</v>
      </c>
      <c r="K1252" s="15"/>
      <c r="L1252" s="15" t="str">
        <f t="shared" si="19"/>
        <v>NORMAL</v>
      </c>
    </row>
    <row r="1253" spans="1:12" x14ac:dyDescent="0.25">
      <c r="A1253" s="3" t="s">
        <v>1852</v>
      </c>
      <c r="B1253" s="3" t="s">
        <v>1853</v>
      </c>
      <c r="C1253" s="1">
        <v>20</v>
      </c>
      <c r="D1253" s="1">
        <v>1</v>
      </c>
      <c r="E1253" s="1" t="s">
        <v>54</v>
      </c>
      <c r="F1253" s="1" t="s">
        <v>3517</v>
      </c>
      <c r="G1253" s="3"/>
      <c r="H1253" s="11">
        <f>ROUND(
IF(L1253="GANCHO",
   IF(I1253&lt;=50,I1253*1.1+4,IF(I1253&lt;=120,I1253*1.1+7,IF(I1253&lt;=250,I1253*1.1+11,I1253*1.1+19))),
IF(L1253="NORMAL",
   IF(I1253&lt;=30,I1253*1.15+2,IF(I1253&lt;=80,I1253*1.15+4,IF(I1253&lt;=150,I1253*1.15+6,I1253*1.15+8))),
IF(L1253="COMPLEMENTO",
   IF(I1253&lt;=25,I1253*1.25+1.5,IF(I1253&lt;=60,I1253*1.25+3,IF(I1253&lt;=120,I1253*1.25+4,I1253*1.25+5))),
""))),2)</f>
        <v>6.78</v>
      </c>
      <c r="I1253" s="9">
        <f>($K$2+0.02)*Tabla1[[#This Row],[PRECIO $]]*1.18</f>
        <v>4.1536</v>
      </c>
      <c r="J1253" s="7">
        <f>+Tabla1[[#This Row],[PRECIO EN SOLES]]-Tabla1[[#This Row],[PC]]</f>
        <v>2.6264000000000003</v>
      </c>
      <c r="K1253" s="15"/>
      <c r="L1253" s="15" t="str">
        <f t="shared" si="19"/>
        <v>NORMAL</v>
      </c>
    </row>
    <row r="1254" spans="1:12" x14ac:dyDescent="0.25">
      <c r="A1254" s="3" t="s">
        <v>6995</v>
      </c>
      <c r="B1254" s="3" t="s">
        <v>6996</v>
      </c>
      <c r="C1254" s="1">
        <v>0</v>
      </c>
      <c r="D1254" s="1">
        <v>110</v>
      </c>
      <c r="E1254" s="1" t="s">
        <v>57</v>
      </c>
      <c r="F1254" s="1" t="s">
        <v>6997</v>
      </c>
      <c r="G1254" s="3"/>
      <c r="H1254" s="11">
        <f>ROUND(
IF(L1254="GANCHO",
   IF(I1254&lt;=50,I1254*1.1+4,IF(I1254&lt;=120,I1254*1.1+7,IF(I1254&lt;=250,I1254*1.1+11,I1254*1.1+19))),
IF(L1254="NORMAL",
   IF(I1254&lt;=30,I1254*1.15+2,IF(I1254&lt;=80,I1254*1.15+4,IF(I1254&lt;=150,I1254*1.15+6,I1254*1.15+8))),
IF(L1254="COMPLEMENTO",
   IF(I1254&lt;=25,I1254*1.25+1.5,IF(I1254&lt;=60,I1254*1.25+3,IF(I1254&lt;=120,I1254*1.25+4,I1254*1.25+5))),
""))),2)</f>
        <v>533.42999999999995</v>
      </c>
      <c r="I1254" s="9">
        <f>($K$2+0.02)*Tabla1[[#This Row],[PRECIO $]]*1.18</f>
        <v>456.89599999999996</v>
      </c>
      <c r="J1254" s="7">
        <f>+Tabla1[[#This Row],[PRECIO EN SOLES]]-Tabla1[[#This Row],[PC]]</f>
        <v>76.533999999999992</v>
      </c>
      <c r="K1254" s="15"/>
      <c r="L1254" s="15" t="str">
        <f t="shared" si="19"/>
        <v>NORMAL</v>
      </c>
    </row>
    <row r="1255" spans="1:12" x14ac:dyDescent="0.25">
      <c r="A1255" s="3" t="s">
        <v>1854</v>
      </c>
      <c r="B1255" s="3" t="s">
        <v>1855</v>
      </c>
      <c r="C1255" s="1">
        <v>12</v>
      </c>
      <c r="D1255" s="1">
        <v>500</v>
      </c>
      <c r="E1255" s="1" t="s">
        <v>57</v>
      </c>
      <c r="F1255" s="1" t="s">
        <v>3518</v>
      </c>
      <c r="G1255" s="3"/>
      <c r="H1255" s="11">
        <f>ROUND(
IF(L1255="GANCHO",
   IF(I1255&lt;=50,I1255*1.1+4,IF(I1255&lt;=120,I1255*1.1+7,IF(I1255&lt;=250,I1255*1.1+11,I1255*1.1+19))),
IF(L1255="NORMAL",
   IF(I1255&lt;=30,I1255*1.15+2,IF(I1255&lt;=80,I1255*1.15+4,IF(I1255&lt;=150,I1255*1.15+6,I1255*1.15+8))),
IF(L1255="COMPLEMENTO",
   IF(I1255&lt;=25,I1255*1.25+1.5,IF(I1255&lt;=60,I1255*1.25+3,IF(I1255&lt;=120,I1255*1.25+4,I1255*1.25+5))),
""))),2)</f>
        <v>2396.3200000000002</v>
      </c>
      <c r="I1255" s="9">
        <f>($K$2+0.02)*Tabla1[[#This Row],[PRECIO $]]*1.18</f>
        <v>2076.7999999999997</v>
      </c>
      <c r="J1255" s="7">
        <f>+Tabla1[[#This Row],[PRECIO EN SOLES]]-Tabla1[[#This Row],[PC]]</f>
        <v>319.52000000000044</v>
      </c>
      <c r="K1255" s="15"/>
      <c r="L1255" s="15" t="str">
        <f t="shared" si="19"/>
        <v>NORMAL</v>
      </c>
    </row>
    <row r="1256" spans="1:12" x14ac:dyDescent="0.25">
      <c r="A1256" s="3" t="s">
        <v>6998</v>
      </c>
      <c r="B1256" s="3" t="s">
        <v>6999</v>
      </c>
      <c r="C1256" s="1">
        <v>0</v>
      </c>
      <c r="D1256" s="1">
        <v>110</v>
      </c>
      <c r="E1256" s="1" t="s">
        <v>57</v>
      </c>
      <c r="F1256" s="1" t="s">
        <v>7000</v>
      </c>
      <c r="G1256" s="3"/>
      <c r="H1256" s="11">
        <f>ROUND(
IF(L1256="GANCHO",
   IF(I1256&lt;=50,I1256*1.1+4,IF(I1256&lt;=120,I1256*1.1+7,IF(I1256&lt;=250,I1256*1.1+11,I1256*1.1+19))),
IF(L1256="NORMAL",
   IF(I1256&lt;=30,I1256*1.15+2,IF(I1256&lt;=80,I1256*1.15+4,IF(I1256&lt;=150,I1256*1.15+6,I1256*1.15+8))),
IF(L1256="COMPLEMENTO",
   IF(I1256&lt;=25,I1256*1.25+1.5,IF(I1256&lt;=60,I1256*1.25+3,IF(I1256&lt;=120,I1256*1.25+4,I1256*1.25+5))),
""))),2)</f>
        <v>533.42999999999995</v>
      </c>
      <c r="I1256" s="9">
        <f>($K$2+0.02)*Tabla1[[#This Row],[PRECIO $]]*1.18</f>
        <v>456.89599999999996</v>
      </c>
      <c r="J1256" s="7">
        <f>+Tabla1[[#This Row],[PRECIO EN SOLES]]-Tabla1[[#This Row],[PC]]</f>
        <v>76.533999999999992</v>
      </c>
      <c r="K1256" s="15"/>
      <c r="L1256" s="15" t="str">
        <f t="shared" si="19"/>
        <v>NORMAL</v>
      </c>
    </row>
    <row r="1257" spans="1:12" x14ac:dyDescent="0.25">
      <c r="A1257" s="3" t="s">
        <v>7001</v>
      </c>
      <c r="B1257" s="3" t="s">
        <v>7002</v>
      </c>
      <c r="C1257" s="1">
        <v>0</v>
      </c>
      <c r="D1257" s="1">
        <v>110</v>
      </c>
      <c r="E1257" s="1" t="s">
        <v>57</v>
      </c>
      <c r="F1257" s="1" t="s">
        <v>7003</v>
      </c>
      <c r="G1257" s="3"/>
      <c r="H1257" s="11">
        <f>ROUND(
IF(L1257="GANCHO",
   IF(I1257&lt;=50,I1257*1.1+4,IF(I1257&lt;=120,I1257*1.1+7,IF(I1257&lt;=250,I1257*1.1+11,I1257*1.1+19))),
IF(L1257="NORMAL",
   IF(I1257&lt;=30,I1257*1.15+2,IF(I1257&lt;=80,I1257*1.15+4,IF(I1257&lt;=150,I1257*1.15+6,I1257*1.15+8))),
IF(L1257="COMPLEMENTO",
   IF(I1257&lt;=25,I1257*1.25+1.5,IF(I1257&lt;=60,I1257*1.25+3,IF(I1257&lt;=120,I1257*1.25+4,I1257*1.25+5))),
""))),2)</f>
        <v>576.12</v>
      </c>
      <c r="I1257" s="9">
        <f>($K$2+0.02)*Tabla1[[#This Row],[PRECIO $]]*1.18</f>
        <v>456.89599999999996</v>
      </c>
      <c r="J1257" s="7">
        <f>+Tabla1[[#This Row],[PRECIO EN SOLES]]-Tabla1[[#This Row],[PC]]</f>
        <v>119.22400000000005</v>
      </c>
      <c r="K1257" s="15"/>
      <c r="L1257" s="15" t="str">
        <f t="shared" si="19"/>
        <v>COMPLEMENTO</v>
      </c>
    </row>
    <row r="1258" spans="1:12" x14ac:dyDescent="0.25">
      <c r="A1258" s="3" t="s">
        <v>1856</v>
      </c>
      <c r="B1258" s="3" t="s">
        <v>1857</v>
      </c>
      <c r="C1258" s="1">
        <v>9</v>
      </c>
      <c r="D1258" s="1">
        <v>16.8</v>
      </c>
      <c r="E1258" s="1" t="s">
        <v>57</v>
      </c>
      <c r="F1258" s="1" t="s">
        <v>3519</v>
      </c>
      <c r="G1258" s="3" t="s">
        <v>1858</v>
      </c>
      <c r="H1258" s="11">
        <f>ROUND(
IF(L1258="GANCHO",
   IF(I1258&lt;=50,I1258*1.1+4,IF(I1258&lt;=120,I1258*1.1+7,IF(I1258&lt;=250,I1258*1.1+11,I1258*1.1+19))),
IF(L1258="NORMAL",
   IF(I1258&lt;=30,I1258*1.15+2,IF(I1258&lt;=80,I1258*1.15+4,IF(I1258&lt;=150,I1258*1.15+6,I1258*1.15+8))),
IF(L1258="COMPLEMENTO",
   IF(I1258&lt;=25,I1258*1.25+1.5,IF(I1258&lt;=60,I1258*1.25+3,IF(I1258&lt;=120,I1258*1.25+4,I1258*1.25+5))),
""))),2)</f>
        <v>84.25</v>
      </c>
      <c r="I1258" s="9">
        <f>($K$2+0.02)*Tabla1[[#This Row],[PRECIO $]]*1.18</f>
        <v>69.780479999999997</v>
      </c>
      <c r="J1258" s="7">
        <f>+Tabla1[[#This Row],[PRECIO EN SOLES]]-Tabla1[[#This Row],[PC]]</f>
        <v>14.469520000000003</v>
      </c>
      <c r="K1258" s="15"/>
      <c r="L1258" s="15" t="str">
        <f t="shared" si="19"/>
        <v>NORMAL</v>
      </c>
    </row>
    <row r="1259" spans="1:12" x14ac:dyDescent="0.25">
      <c r="A1259" s="3" t="s">
        <v>1860</v>
      </c>
      <c r="B1259" s="3" t="s">
        <v>1861</v>
      </c>
      <c r="C1259" s="1">
        <v>7</v>
      </c>
      <c r="D1259" s="1">
        <v>71.69</v>
      </c>
      <c r="E1259" s="1" t="s">
        <v>1859</v>
      </c>
      <c r="F1259" s="1" t="s">
        <v>3520</v>
      </c>
      <c r="G1259" s="3"/>
      <c r="H1259" s="11">
        <f>ROUND(
IF(L1259="GANCHO",
   IF(I1259&lt;=50,I1259*1.1+4,IF(I1259&lt;=120,I1259*1.1+7,IF(I1259&lt;=250,I1259*1.1+11,I1259*1.1+19))),
IF(L1259="NORMAL",
   IF(I1259&lt;=30,I1259*1.15+2,IF(I1259&lt;=80,I1259*1.15+4,IF(I1259&lt;=150,I1259*1.15+6,I1259*1.15+8))),
IF(L1259="COMPLEMENTO",
   IF(I1259&lt;=25,I1259*1.25+1.5,IF(I1259&lt;=60,I1259*1.25+3,IF(I1259&lt;=120,I1259*1.25+4,I1259*1.25+5))),
""))),2)</f>
        <v>350.44</v>
      </c>
      <c r="I1259" s="9">
        <f>($K$2+0.02)*Tabla1[[#This Row],[PRECIO $]]*1.18</f>
        <v>297.77158399999996</v>
      </c>
      <c r="J1259" s="7">
        <f>+Tabla1[[#This Row],[PRECIO EN SOLES]]-Tabla1[[#This Row],[PC]]</f>
        <v>52.668416000000036</v>
      </c>
      <c r="K1259" s="15"/>
      <c r="L1259" s="15" t="str">
        <f t="shared" si="19"/>
        <v>NORMAL</v>
      </c>
    </row>
    <row r="1260" spans="1:12" x14ac:dyDescent="0.25">
      <c r="A1260" s="3" t="s">
        <v>1862</v>
      </c>
      <c r="B1260" s="3" t="s">
        <v>1863</v>
      </c>
      <c r="C1260" s="1">
        <v>20</v>
      </c>
      <c r="D1260" s="1">
        <v>51.98</v>
      </c>
      <c r="E1260" s="1" t="s">
        <v>1859</v>
      </c>
      <c r="F1260" s="1" t="s">
        <v>3521</v>
      </c>
      <c r="G1260" s="3"/>
      <c r="H1260" s="11">
        <f>ROUND(
IF(L1260="GANCHO",
   IF(I1260&lt;=50,I1260*1.1+4,IF(I1260&lt;=120,I1260*1.1+7,IF(I1260&lt;=250,I1260*1.1+11,I1260*1.1+19))),
IF(L1260="NORMAL",
   IF(I1260&lt;=30,I1260*1.15+2,IF(I1260&lt;=80,I1260*1.15+4,IF(I1260&lt;=150,I1260*1.15+6,I1260*1.15+8))),
IF(L1260="COMPLEMENTO",
   IF(I1260&lt;=25,I1260*1.25+1.5,IF(I1260&lt;=60,I1260*1.25+3,IF(I1260&lt;=120,I1260*1.25+4,I1260*1.25+5))),
""))),2)</f>
        <v>256.29000000000002</v>
      </c>
      <c r="I1260" s="9">
        <f>($K$2+0.02)*Tabla1[[#This Row],[PRECIO $]]*1.18</f>
        <v>215.90412799999996</v>
      </c>
      <c r="J1260" s="7">
        <f>+Tabla1[[#This Row],[PRECIO EN SOLES]]-Tabla1[[#This Row],[PC]]</f>
        <v>40.385872000000063</v>
      </c>
      <c r="K1260" s="15"/>
      <c r="L1260" s="15" t="str">
        <f t="shared" si="19"/>
        <v>NORMAL</v>
      </c>
    </row>
    <row r="1261" spans="1:12" x14ac:dyDescent="0.25">
      <c r="A1261" s="3" t="s">
        <v>1864</v>
      </c>
      <c r="B1261" s="3" t="s">
        <v>1865</v>
      </c>
      <c r="C1261" s="1">
        <v>0</v>
      </c>
      <c r="D1261" s="1">
        <v>268</v>
      </c>
      <c r="E1261" s="1" t="s">
        <v>1045</v>
      </c>
      <c r="F1261" s="1" t="s">
        <v>3522</v>
      </c>
      <c r="G1261" s="3" t="s">
        <v>1866</v>
      </c>
      <c r="H1261" s="11">
        <f>ROUND(
IF(L1261="GANCHO",
   IF(I1261&lt;=50,I1261*1.1+4,IF(I1261&lt;=120,I1261*1.1+7,IF(I1261&lt;=250,I1261*1.1+11,I1261*1.1+19))),
IF(L1261="NORMAL",
   IF(I1261&lt;=30,I1261*1.15+2,IF(I1261&lt;=80,I1261*1.15+4,IF(I1261&lt;=150,I1261*1.15+6,I1261*1.15+8))),
IF(L1261="COMPLEMENTO",
   IF(I1261&lt;=25,I1261*1.25+1.5,IF(I1261&lt;=60,I1261*1.25+3,IF(I1261&lt;=120,I1261*1.25+4,I1261*1.25+5))),
""))),2)</f>
        <v>1288.1400000000001</v>
      </c>
      <c r="I1261" s="9">
        <f>($K$2+0.02)*Tabla1[[#This Row],[PRECIO $]]*1.18</f>
        <v>1113.1648</v>
      </c>
      <c r="J1261" s="7">
        <f>+Tabla1[[#This Row],[PRECIO EN SOLES]]-Tabla1[[#This Row],[PC]]</f>
        <v>174.97520000000009</v>
      </c>
      <c r="K1261" s="15"/>
      <c r="L1261" s="15" t="str">
        <f t="shared" si="19"/>
        <v>NORMAL</v>
      </c>
    </row>
    <row r="1262" spans="1:12" x14ac:dyDescent="0.25">
      <c r="A1262" s="3" t="s">
        <v>1867</v>
      </c>
      <c r="B1262" s="3" t="s">
        <v>1868</v>
      </c>
      <c r="C1262" s="1">
        <v>0</v>
      </c>
      <c r="D1262" s="1">
        <v>283</v>
      </c>
      <c r="E1262" s="1" t="s">
        <v>1045</v>
      </c>
      <c r="F1262" s="1" t="s">
        <v>3523</v>
      </c>
      <c r="G1262" s="3" t="s">
        <v>1869</v>
      </c>
      <c r="H1262" s="11">
        <f>ROUND(
IF(L1262="GANCHO",
   IF(I1262&lt;=50,I1262*1.1+4,IF(I1262&lt;=120,I1262*1.1+7,IF(I1262&lt;=250,I1262*1.1+11,I1262*1.1+19))),
IF(L1262="NORMAL",
   IF(I1262&lt;=30,I1262*1.15+2,IF(I1262&lt;=80,I1262*1.15+4,IF(I1262&lt;=150,I1262*1.15+6,I1262*1.15+8))),
IF(L1262="COMPLEMENTO",
   IF(I1262&lt;=25,I1262*1.25+1.5,IF(I1262&lt;=60,I1262*1.25+3,IF(I1262&lt;=120,I1262*1.25+4,I1262*1.25+5))),
""))),2)</f>
        <v>1359.79</v>
      </c>
      <c r="I1262" s="9">
        <f>($K$2+0.02)*Tabla1[[#This Row],[PRECIO $]]*1.18</f>
        <v>1175.4687999999999</v>
      </c>
      <c r="J1262" s="7">
        <f>+Tabla1[[#This Row],[PRECIO EN SOLES]]-Tabla1[[#This Row],[PC]]</f>
        <v>184.32120000000009</v>
      </c>
      <c r="K1262" s="15"/>
      <c r="L1262" s="15" t="str">
        <f t="shared" si="19"/>
        <v>NORMAL</v>
      </c>
    </row>
    <row r="1263" spans="1:12" x14ac:dyDescent="0.25">
      <c r="A1263" s="3" t="s">
        <v>1870</v>
      </c>
      <c r="B1263" s="3" t="s">
        <v>1871</v>
      </c>
      <c r="C1263" s="1">
        <v>0</v>
      </c>
      <c r="D1263" s="1">
        <v>686</v>
      </c>
      <c r="E1263" s="1" t="s">
        <v>1045</v>
      </c>
      <c r="F1263" s="1" t="s">
        <v>3524</v>
      </c>
      <c r="G1263" s="3" t="s">
        <v>1872</v>
      </c>
      <c r="H1263" s="11">
        <f>ROUND(
IF(L1263="GANCHO",
   IF(I1263&lt;=50,I1263*1.1+4,IF(I1263&lt;=120,I1263*1.1+7,IF(I1263&lt;=250,I1263*1.1+11,I1263*1.1+19))),
IF(L1263="NORMAL",
   IF(I1263&lt;=30,I1263*1.15+2,IF(I1263&lt;=80,I1263*1.15+4,IF(I1263&lt;=150,I1263*1.15+6,I1263*1.15+8))),
IF(L1263="COMPLEMENTO",
   IF(I1263&lt;=25,I1263*1.25+1.5,IF(I1263&lt;=60,I1263*1.25+3,IF(I1263&lt;=120,I1263*1.25+4,I1263*1.25+5))),
""))),2)</f>
        <v>3284.78</v>
      </c>
      <c r="I1263" s="9">
        <f>($K$2+0.02)*Tabla1[[#This Row],[PRECIO $]]*1.18</f>
        <v>2849.3695999999995</v>
      </c>
      <c r="J1263" s="7">
        <f>+Tabla1[[#This Row],[PRECIO EN SOLES]]-Tabla1[[#This Row],[PC]]</f>
        <v>435.41040000000066</v>
      </c>
      <c r="K1263" s="15"/>
      <c r="L1263" s="15" t="str">
        <f t="shared" si="19"/>
        <v>NORMAL</v>
      </c>
    </row>
    <row r="1264" spans="1:12" x14ac:dyDescent="0.25">
      <c r="A1264" s="3" t="s">
        <v>1873</v>
      </c>
      <c r="B1264" s="3" t="s">
        <v>1874</v>
      </c>
      <c r="C1264" s="1">
        <v>0</v>
      </c>
      <c r="D1264" s="1">
        <v>948</v>
      </c>
      <c r="E1264" s="1" t="s">
        <v>1045</v>
      </c>
      <c r="F1264" s="1" t="s">
        <v>3525</v>
      </c>
      <c r="G1264" s="3" t="s">
        <v>1875</v>
      </c>
      <c r="H1264" s="11">
        <f>ROUND(
IF(L1264="GANCHO",
   IF(I1264&lt;=50,I1264*1.1+4,IF(I1264&lt;=120,I1264*1.1+7,IF(I1264&lt;=250,I1264*1.1+11,I1264*1.1+19))),
IF(L1264="NORMAL",
   IF(I1264&lt;=30,I1264*1.15+2,IF(I1264&lt;=80,I1264*1.15+4,IF(I1264&lt;=150,I1264*1.15+6,I1264*1.15+8))),
IF(L1264="COMPLEMENTO",
   IF(I1264&lt;=25,I1264*1.25+1.5,IF(I1264&lt;=60,I1264*1.25+3,IF(I1264&lt;=120,I1264*1.25+4,I1264*1.25+5))),
""))),2)</f>
        <v>4536.25</v>
      </c>
      <c r="I1264" s="9">
        <f>($K$2+0.02)*Tabla1[[#This Row],[PRECIO $]]*1.18</f>
        <v>3937.6127999999999</v>
      </c>
      <c r="J1264" s="7">
        <f>+Tabla1[[#This Row],[PRECIO EN SOLES]]-Tabla1[[#This Row],[PC]]</f>
        <v>598.63720000000012</v>
      </c>
      <c r="K1264" s="15"/>
      <c r="L1264" s="15" t="str">
        <f t="shared" si="19"/>
        <v>NORMAL</v>
      </c>
    </row>
    <row r="1265" spans="1:12" x14ac:dyDescent="0.25">
      <c r="A1265" s="3" t="s">
        <v>1876</v>
      </c>
      <c r="B1265" s="3" t="s">
        <v>1877</v>
      </c>
      <c r="C1265" s="1">
        <v>0</v>
      </c>
      <c r="D1265" s="1">
        <v>320</v>
      </c>
      <c r="E1265" s="1" t="s">
        <v>1045</v>
      </c>
      <c r="F1265" s="1" t="s">
        <v>3526</v>
      </c>
      <c r="G1265" s="3" t="s">
        <v>1878</v>
      </c>
      <c r="H1265" s="11">
        <f>ROUND(
IF(L1265="GANCHO",
   IF(I1265&lt;=50,I1265*1.1+4,IF(I1265&lt;=120,I1265*1.1+7,IF(I1265&lt;=250,I1265*1.1+11,I1265*1.1+19))),
IF(L1265="NORMAL",
   IF(I1265&lt;=30,I1265*1.15+2,IF(I1265&lt;=80,I1265*1.15+4,IF(I1265&lt;=150,I1265*1.15+6,I1265*1.15+8))),
IF(L1265="COMPLEMENTO",
   IF(I1265&lt;=25,I1265*1.25+1.5,IF(I1265&lt;=60,I1265*1.25+3,IF(I1265&lt;=120,I1265*1.25+4,I1265*1.25+5))),
""))),2)</f>
        <v>1536.52</v>
      </c>
      <c r="I1265" s="9">
        <f>($K$2+0.02)*Tabla1[[#This Row],[PRECIO $]]*1.18</f>
        <v>1329.152</v>
      </c>
      <c r="J1265" s="7">
        <f>+Tabla1[[#This Row],[PRECIO EN SOLES]]-Tabla1[[#This Row],[PC]]</f>
        <v>207.36799999999994</v>
      </c>
      <c r="K1265" s="15"/>
      <c r="L1265" s="15" t="str">
        <f t="shared" si="19"/>
        <v>NORMAL</v>
      </c>
    </row>
    <row r="1266" spans="1:12" x14ac:dyDescent="0.25">
      <c r="A1266" s="3" t="s">
        <v>1879</v>
      </c>
      <c r="B1266" s="3" t="s">
        <v>1880</v>
      </c>
      <c r="C1266" s="1">
        <v>0</v>
      </c>
      <c r="D1266" s="1">
        <v>110</v>
      </c>
      <c r="E1266" s="1" t="s">
        <v>1045</v>
      </c>
      <c r="F1266" s="1" t="s">
        <v>3527</v>
      </c>
      <c r="G1266" s="3" t="s">
        <v>1881</v>
      </c>
      <c r="H1266" s="11">
        <f>ROUND(
IF(L1266="GANCHO",
   IF(I1266&lt;=50,I1266*1.1+4,IF(I1266&lt;=120,I1266*1.1+7,IF(I1266&lt;=250,I1266*1.1+11,I1266*1.1+19))),
IF(L1266="NORMAL",
   IF(I1266&lt;=30,I1266*1.15+2,IF(I1266&lt;=80,I1266*1.15+4,IF(I1266&lt;=150,I1266*1.15+6,I1266*1.15+8))),
IF(L1266="COMPLEMENTO",
   IF(I1266&lt;=25,I1266*1.25+1.5,IF(I1266&lt;=60,I1266*1.25+3,IF(I1266&lt;=120,I1266*1.25+4,I1266*1.25+5))),
""))),2)</f>
        <v>533.42999999999995</v>
      </c>
      <c r="I1266" s="9">
        <f>($K$2+0.02)*Tabla1[[#This Row],[PRECIO $]]*1.18</f>
        <v>456.89599999999996</v>
      </c>
      <c r="J1266" s="7">
        <f>+Tabla1[[#This Row],[PRECIO EN SOLES]]-Tabla1[[#This Row],[PC]]</f>
        <v>76.533999999999992</v>
      </c>
      <c r="K1266" s="15"/>
      <c r="L1266" s="15" t="str">
        <f t="shared" si="19"/>
        <v>NORMAL</v>
      </c>
    </row>
    <row r="1267" spans="1:12" x14ac:dyDescent="0.25">
      <c r="A1267" s="3" t="s">
        <v>1882</v>
      </c>
      <c r="B1267" s="3" t="s">
        <v>1883</v>
      </c>
      <c r="C1267" s="1">
        <v>20</v>
      </c>
      <c r="D1267" s="1">
        <v>12.35</v>
      </c>
      <c r="E1267" s="1" t="s">
        <v>402</v>
      </c>
      <c r="F1267" s="1" t="s">
        <v>3528</v>
      </c>
      <c r="G1267" s="3" t="s">
        <v>1884</v>
      </c>
      <c r="H1267" s="11">
        <f>ROUND(
IF(L1267="GANCHO",
   IF(I1267&lt;=50,I1267*1.1+4,IF(I1267&lt;=120,I1267*1.1+7,IF(I1267&lt;=250,I1267*1.1+11,I1267*1.1+19))),
IF(L1267="NORMAL",
   IF(I1267&lt;=30,I1267*1.15+2,IF(I1267&lt;=80,I1267*1.15+4,IF(I1267&lt;=150,I1267*1.15+6,I1267*1.15+8))),
IF(L1267="COMPLEMENTO",
   IF(I1267&lt;=25,I1267*1.25+1.5,IF(I1267&lt;=60,I1267*1.25+3,IF(I1267&lt;=120,I1267*1.25+4,I1267*1.25+5))),
""))),2)</f>
        <v>67.12</v>
      </c>
      <c r="I1267" s="9">
        <f>($K$2+0.02)*Tabla1[[#This Row],[PRECIO $]]*1.18</f>
        <v>51.296959999999999</v>
      </c>
      <c r="J1267" s="7">
        <f>+Tabla1[[#This Row],[PRECIO EN SOLES]]-Tabla1[[#This Row],[PC]]</f>
        <v>15.823040000000006</v>
      </c>
      <c r="K1267" s="15"/>
      <c r="L1267" s="15" t="str">
        <f t="shared" si="19"/>
        <v>COMPLEMENTO</v>
      </c>
    </row>
    <row r="1268" spans="1:12" x14ac:dyDescent="0.25">
      <c r="A1268" s="3" t="s">
        <v>4319</v>
      </c>
      <c r="B1268" s="3" t="s">
        <v>4320</v>
      </c>
      <c r="C1268" s="1">
        <v>9</v>
      </c>
      <c r="D1268" s="1">
        <v>6.2</v>
      </c>
      <c r="E1268" s="1" t="s">
        <v>402</v>
      </c>
      <c r="F1268" s="1" t="s">
        <v>4321</v>
      </c>
      <c r="G1268" s="3" t="s">
        <v>4322</v>
      </c>
      <c r="H1268" s="11">
        <f>ROUND(
IF(L1268="GANCHO",
   IF(I1268&lt;=50,I1268*1.1+4,IF(I1268&lt;=120,I1268*1.1+7,IF(I1268&lt;=250,I1268*1.1+11,I1268*1.1+19))),
IF(L1268="NORMAL",
   IF(I1268&lt;=30,I1268*1.15+2,IF(I1268&lt;=80,I1268*1.15+4,IF(I1268&lt;=150,I1268*1.15+6,I1268*1.15+8))),
IF(L1268="COMPLEMENTO",
   IF(I1268&lt;=25,I1268*1.25+1.5,IF(I1268&lt;=60,I1268*1.25+3,IF(I1268&lt;=120,I1268*1.25+4,I1268*1.25+5))),
""))),2)</f>
        <v>35.19</v>
      </c>
      <c r="I1268" s="9">
        <f>($K$2+0.02)*Tabla1[[#This Row],[PRECIO $]]*1.18</f>
        <v>25.752320000000001</v>
      </c>
      <c r="J1268" s="7">
        <f>+Tabla1[[#This Row],[PRECIO EN SOLES]]-Tabla1[[#This Row],[PC]]</f>
        <v>9.4376799999999967</v>
      </c>
      <c r="K1268" s="15"/>
      <c r="L1268" s="15" t="str">
        <f t="shared" si="19"/>
        <v>COMPLEMENTO</v>
      </c>
    </row>
    <row r="1269" spans="1:12" x14ac:dyDescent="0.25">
      <c r="A1269" s="3" t="s">
        <v>403</v>
      </c>
      <c r="B1269" s="3" t="s">
        <v>404</v>
      </c>
      <c r="C1269" s="1">
        <v>20</v>
      </c>
      <c r="D1269" s="1">
        <v>12.41</v>
      </c>
      <c r="E1269" s="1" t="s">
        <v>402</v>
      </c>
      <c r="F1269" s="1" t="s">
        <v>3529</v>
      </c>
      <c r="G1269" s="3" t="s">
        <v>405</v>
      </c>
      <c r="H1269" s="11">
        <f>ROUND(
IF(L1269="GANCHO",
   IF(I1269&lt;=50,I1269*1.1+4,IF(I1269&lt;=120,I1269*1.1+7,IF(I1269&lt;=250,I1269*1.1+11,I1269*1.1+19))),
IF(L1269="NORMAL",
   IF(I1269&lt;=30,I1269*1.15+2,IF(I1269&lt;=80,I1269*1.15+4,IF(I1269&lt;=150,I1269*1.15+6,I1269*1.15+8))),
IF(L1269="COMPLEMENTO",
   IF(I1269&lt;=25,I1269*1.25+1.5,IF(I1269&lt;=60,I1269*1.25+3,IF(I1269&lt;=120,I1269*1.25+4,I1269*1.25+5))),
""))),2)</f>
        <v>67.430000000000007</v>
      </c>
      <c r="I1269" s="9">
        <f>($K$2+0.02)*Tabla1[[#This Row],[PRECIO $]]*1.18</f>
        <v>51.546175999999996</v>
      </c>
      <c r="J1269" s="7">
        <f>+Tabla1[[#This Row],[PRECIO EN SOLES]]-Tabla1[[#This Row],[PC]]</f>
        <v>15.883824000000011</v>
      </c>
      <c r="K1269" s="15"/>
      <c r="L1269" s="15" t="str">
        <f t="shared" si="19"/>
        <v>COMPLEMENTO</v>
      </c>
    </row>
    <row r="1270" spans="1:12" x14ac:dyDescent="0.25">
      <c r="A1270" s="3" t="s">
        <v>406</v>
      </c>
      <c r="B1270" s="3" t="s">
        <v>407</v>
      </c>
      <c r="C1270" s="1">
        <v>20</v>
      </c>
      <c r="D1270" s="1">
        <v>15.78</v>
      </c>
      <c r="E1270" s="1" t="s">
        <v>402</v>
      </c>
      <c r="F1270" s="1" t="s">
        <v>3530</v>
      </c>
      <c r="G1270" s="3" t="s">
        <v>408</v>
      </c>
      <c r="H1270" s="11">
        <f>ROUND(
IF(L1270="GANCHO",
   IF(I1270&lt;=50,I1270*1.1+4,IF(I1270&lt;=120,I1270*1.1+7,IF(I1270&lt;=250,I1270*1.1+11,I1270*1.1+19))),
IF(L1270="NORMAL",
   IF(I1270&lt;=30,I1270*1.15+2,IF(I1270&lt;=80,I1270*1.15+4,IF(I1270&lt;=150,I1270*1.15+6,I1270*1.15+8))),
IF(L1270="COMPLEMENTO",
   IF(I1270&lt;=25,I1270*1.25+1.5,IF(I1270&lt;=60,I1270*1.25+3,IF(I1270&lt;=120,I1270*1.25+4,I1270*1.25+5))),
""))),2)</f>
        <v>79.38</v>
      </c>
      <c r="I1270" s="9">
        <f>($K$2+0.02)*Tabla1[[#This Row],[PRECIO $]]*1.18</f>
        <v>65.543807999999999</v>
      </c>
      <c r="J1270" s="7">
        <f>+Tabla1[[#This Row],[PRECIO EN SOLES]]-Tabla1[[#This Row],[PC]]</f>
        <v>13.836191999999997</v>
      </c>
      <c r="K1270" s="15"/>
      <c r="L1270" s="15" t="str">
        <f t="shared" si="19"/>
        <v>NORMAL</v>
      </c>
    </row>
    <row r="1271" spans="1:12" x14ac:dyDescent="0.25">
      <c r="A1271" s="3" t="s">
        <v>4323</v>
      </c>
      <c r="B1271" s="3" t="s">
        <v>4324</v>
      </c>
      <c r="C1271" s="1">
        <v>13</v>
      </c>
      <c r="D1271" s="1">
        <v>172.85</v>
      </c>
      <c r="E1271" s="1" t="s">
        <v>402</v>
      </c>
      <c r="F1271" s="1" t="s">
        <v>4325</v>
      </c>
      <c r="G1271" s="3" t="s">
        <v>4326</v>
      </c>
      <c r="H1271" s="11">
        <f>ROUND(
IF(L1271="GANCHO",
   IF(I1271&lt;=50,I1271*1.1+4,IF(I1271&lt;=120,I1271*1.1+7,IF(I1271&lt;=250,I1271*1.1+11,I1271*1.1+19))),
IF(L1271="NORMAL",
   IF(I1271&lt;=30,I1271*1.15+2,IF(I1271&lt;=80,I1271*1.15+4,IF(I1271&lt;=150,I1271*1.15+6,I1271*1.15+8))),
IF(L1271="COMPLEMENTO",
   IF(I1271&lt;=25,I1271*1.25+1.5,IF(I1271&lt;=60,I1271*1.25+3,IF(I1271&lt;=120,I1271*1.25+4,I1271*1.25+5))),
""))),2)</f>
        <v>833.64</v>
      </c>
      <c r="I1271" s="9">
        <f>($K$2+0.02)*Tabla1[[#This Row],[PRECIO $]]*1.18</f>
        <v>717.94975999999997</v>
      </c>
      <c r="J1271" s="7">
        <f>+Tabla1[[#This Row],[PRECIO EN SOLES]]-Tabla1[[#This Row],[PC]]</f>
        <v>115.69024000000002</v>
      </c>
      <c r="K1271" s="15"/>
      <c r="L1271" s="15" t="str">
        <f t="shared" si="19"/>
        <v>NORMAL</v>
      </c>
    </row>
    <row r="1272" spans="1:12" x14ac:dyDescent="0.25">
      <c r="A1272" s="3" t="s">
        <v>1885</v>
      </c>
      <c r="B1272" s="3" t="s">
        <v>1886</v>
      </c>
      <c r="C1272" s="1">
        <v>3</v>
      </c>
      <c r="D1272" s="1">
        <v>708.94</v>
      </c>
      <c r="E1272" s="1" t="s">
        <v>1859</v>
      </c>
      <c r="F1272" s="1" t="s">
        <v>3531</v>
      </c>
      <c r="G1272" s="3"/>
      <c r="H1272" s="11">
        <f>ROUND(
IF(L1272="GANCHO",
   IF(I1272&lt;=50,I1272*1.1+4,IF(I1272&lt;=120,I1272*1.1+7,IF(I1272&lt;=250,I1272*1.1+11,I1272*1.1+19))),
IF(L1272="NORMAL",
   IF(I1272&lt;=30,I1272*1.15+2,IF(I1272&lt;=80,I1272*1.15+4,IF(I1272&lt;=150,I1272*1.15+6,I1272*1.15+8))),
IF(L1272="COMPLEMENTO",
   IF(I1272&lt;=25,I1272*1.25+1.5,IF(I1272&lt;=60,I1272*1.25+3,IF(I1272&lt;=120,I1272*1.25+4,I1272*1.25+5))),
""))),2)</f>
        <v>3394.35</v>
      </c>
      <c r="I1272" s="9">
        <f>($K$2+0.02)*Tabla1[[#This Row],[PRECIO $]]*1.18</f>
        <v>2944.6531839999998</v>
      </c>
      <c r="J1272" s="7">
        <f>+Tabla1[[#This Row],[PRECIO EN SOLES]]-Tabla1[[#This Row],[PC]]</f>
        <v>449.69681600000013</v>
      </c>
      <c r="K1272" s="15"/>
      <c r="L1272" s="15" t="str">
        <f t="shared" si="19"/>
        <v>NORMAL</v>
      </c>
    </row>
    <row r="1273" spans="1:12" x14ac:dyDescent="0.25">
      <c r="A1273" s="3" t="s">
        <v>1887</v>
      </c>
      <c r="B1273" s="3" t="s">
        <v>1888</v>
      </c>
      <c r="C1273" s="1">
        <v>9</v>
      </c>
      <c r="D1273" s="1">
        <v>510.85</v>
      </c>
      <c r="E1273" s="1" t="s">
        <v>1859</v>
      </c>
      <c r="F1273" s="1" t="s">
        <v>3532</v>
      </c>
      <c r="G1273" s="3" t="s">
        <v>1889</v>
      </c>
      <c r="H1273" s="11">
        <f>ROUND(
IF(L1273="GANCHO",
   IF(I1273&lt;=50,I1273*1.1+4,IF(I1273&lt;=120,I1273*1.1+7,IF(I1273&lt;=250,I1273*1.1+11,I1273*1.1+19))),
IF(L1273="NORMAL",
   IF(I1273&lt;=30,I1273*1.15+2,IF(I1273&lt;=80,I1273*1.15+4,IF(I1273&lt;=150,I1273*1.15+6,I1273*1.15+8))),
IF(L1273="COMPLEMENTO",
   IF(I1273&lt;=25,I1273*1.25+1.5,IF(I1273&lt;=60,I1273*1.25+3,IF(I1273&lt;=120,I1273*1.25+4,I1273*1.25+5))),
""))),2)</f>
        <v>2448.15</v>
      </c>
      <c r="I1273" s="9">
        <f>($K$2+0.02)*Tabla1[[#This Row],[PRECIO $]]*1.18</f>
        <v>2121.8665599999999</v>
      </c>
      <c r="J1273" s="7">
        <f>+Tabla1[[#This Row],[PRECIO EN SOLES]]-Tabla1[[#This Row],[PC]]</f>
        <v>326.28344000000016</v>
      </c>
      <c r="K1273" s="15"/>
      <c r="L1273" s="15" t="str">
        <f t="shared" si="19"/>
        <v>NORMAL</v>
      </c>
    </row>
    <row r="1274" spans="1:12" x14ac:dyDescent="0.25">
      <c r="A1274" s="3" t="s">
        <v>1890</v>
      </c>
      <c r="B1274" s="3" t="s">
        <v>1891</v>
      </c>
      <c r="C1274" s="1">
        <v>20</v>
      </c>
      <c r="D1274" s="1">
        <v>137.01</v>
      </c>
      <c r="E1274" s="1" t="s">
        <v>402</v>
      </c>
      <c r="F1274" s="1" t="s">
        <v>3533</v>
      </c>
      <c r="G1274" s="3" t="s">
        <v>5565</v>
      </c>
      <c r="H1274" s="11">
        <f>ROUND(
IF(L1274="GANCHO",
   IF(I1274&lt;=50,I1274*1.1+4,IF(I1274&lt;=120,I1274*1.1+7,IF(I1274&lt;=250,I1274*1.1+11,I1274*1.1+19))),
IF(L1274="NORMAL",
   IF(I1274&lt;=30,I1274*1.15+2,IF(I1274&lt;=80,I1274*1.15+4,IF(I1274&lt;=150,I1274*1.15+6,I1274*1.15+8))),
IF(L1274="COMPLEMENTO",
   IF(I1274&lt;=25,I1274*1.25+1.5,IF(I1274&lt;=60,I1274*1.25+3,IF(I1274&lt;=120,I1274*1.25+4,I1274*1.25+5))),
""))),2)</f>
        <v>662.45</v>
      </c>
      <c r="I1274" s="9">
        <f>($K$2+0.02)*Tabla1[[#This Row],[PRECIO $]]*1.18</f>
        <v>569.08473599999991</v>
      </c>
      <c r="J1274" s="7">
        <f>+Tabla1[[#This Row],[PRECIO EN SOLES]]-Tabla1[[#This Row],[PC]]</f>
        <v>93.365264000000138</v>
      </c>
      <c r="K1274" s="15"/>
      <c r="L1274" s="15" t="str">
        <f t="shared" si="19"/>
        <v>NORMAL</v>
      </c>
    </row>
    <row r="1275" spans="1:12" x14ac:dyDescent="0.25">
      <c r="A1275" s="3" t="s">
        <v>5040</v>
      </c>
      <c r="B1275" s="3" t="s">
        <v>5041</v>
      </c>
      <c r="C1275" s="1">
        <v>5</v>
      </c>
      <c r="D1275" s="1">
        <v>81.34</v>
      </c>
      <c r="E1275" s="1" t="s">
        <v>1859</v>
      </c>
      <c r="F1275" s="1" t="s">
        <v>5042</v>
      </c>
      <c r="G1275" s="3"/>
      <c r="H1275" s="11">
        <f>ROUND(
IF(L1275="GANCHO",
   IF(I1275&lt;=50,I1275*1.1+4,IF(I1275&lt;=120,I1275*1.1+7,IF(I1275&lt;=250,I1275*1.1+11,I1275*1.1+19))),
IF(L1275="NORMAL",
   IF(I1275&lt;=30,I1275*1.15+2,IF(I1275&lt;=80,I1275*1.15+4,IF(I1275&lt;=150,I1275*1.15+6,I1275*1.15+8))),
IF(L1275="COMPLEMENTO",
   IF(I1275&lt;=25,I1275*1.25+1.5,IF(I1275&lt;=60,I1275*1.25+3,IF(I1275&lt;=120,I1275*1.25+4,I1275*1.25+5))),
""))),2)</f>
        <v>396.53</v>
      </c>
      <c r="I1275" s="9">
        <f>($K$2+0.02)*Tabla1[[#This Row],[PRECIO $]]*1.18</f>
        <v>337.85382399999997</v>
      </c>
      <c r="J1275" s="7">
        <f>+Tabla1[[#This Row],[PRECIO EN SOLES]]-Tabla1[[#This Row],[PC]]</f>
        <v>58.676175999999998</v>
      </c>
      <c r="K1275" s="15"/>
      <c r="L1275" s="15" t="str">
        <f t="shared" si="19"/>
        <v>NORMAL</v>
      </c>
    </row>
    <row r="1276" spans="1:12" x14ac:dyDescent="0.25">
      <c r="A1276" s="3" t="s">
        <v>4327</v>
      </c>
      <c r="B1276" s="3" t="s">
        <v>4328</v>
      </c>
      <c r="C1276" s="1">
        <v>16</v>
      </c>
      <c r="D1276" s="1">
        <v>19.86</v>
      </c>
      <c r="E1276" s="1" t="s">
        <v>402</v>
      </c>
      <c r="F1276" s="1" t="s">
        <v>4329</v>
      </c>
      <c r="G1276" s="3" t="s">
        <v>4330</v>
      </c>
      <c r="H1276" s="11">
        <f>ROUND(
IF(L1276="GANCHO",
   IF(I1276&lt;=50,I1276*1.1+4,IF(I1276&lt;=120,I1276*1.1+7,IF(I1276&lt;=250,I1276*1.1+11,I1276*1.1+19))),
IF(L1276="NORMAL",
   IF(I1276&lt;=30,I1276*1.15+2,IF(I1276&lt;=80,I1276*1.15+4,IF(I1276&lt;=150,I1276*1.15+6,I1276*1.15+8))),
IF(L1276="COMPLEMENTO",
   IF(I1276&lt;=25,I1276*1.25+1.5,IF(I1276&lt;=60,I1276*1.25+3,IF(I1276&lt;=120,I1276*1.25+4,I1276*1.25+5))),
""))),2)</f>
        <v>100.86</v>
      </c>
      <c r="I1276" s="9">
        <f>($K$2+0.02)*Tabla1[[#This Row],[PRECIO $]]*1.18</f>
        <v>82.490495999999993</v>
      </c>
      <c r="J1276" s="7">
        <f>+Tabla1[[#This Row],[PRECIO EN SOLES]]-Tabla1[[#This Row],[PC]]</f>
        <v>18.369504000000006</v>
      </c>
      <c r="K1276" s="15"/>
      <c r="L1276" s="15" t="str">
        <f t="shared" si="19"/>
        <v>NORMAL</v>
      </c>
    </row>
    <row r="1277" spans="1:12" x14ac:dyDescent="0.25">
      <c r="A1277" s="3" t="s">
        <v>1892</v>
      </c>
      <c r="B1277" s="3" t="s">
        <v>1893</v>
      </c>
      <c r="C1277" s="1">
        <v>20</v>
      </c>
      <c r="D1277" s="1">
        <v>39.15</v>
      </c>
      <c r="E1277" s="1" t="s">
        <v>402</v>
      </c>
      <c r="F1277" s="1" t="s">
        <v>3534</v>
      </c>
      <c r="G1277" s="3" t="s">
        <v>1894</v>
      </c>
      <c r="H1277" s="11">
        <f>ROUND(
IF(L1277="GANCHO",
   IF(I1277&lt;=50,I1277*1.1+4,IF(I1277&lt;=120,I1277*1.1+7,IF(I1277&lt;=250,I1277*1.1+11,I1277*1.1+19))),
IF(L1277="NORMAL",
   IF(I1277&lt;=30,I1277*1.15+2,IF(I1277&lt;=80,I1277*1.15+4,IF(I1277&lt;=150,I1277*1.15+6,I1277*1.15+8))),
IF(L1277="COMPLEMENTO",
   IF(I1277&lt;=25,I1277*1.25+1.5,IF(I1277&lt;=60,I1277*1.25+3,IF(I1277&lt;=120,I1277*1.25+4,I1277*1.25+5))),
""))),2)</f>
        <v>195.01</v>
      </c>
      <c r="I1277" s="9">
        <f>($K$2+0.02)*Tabla1[[#This Row],[PRECIO $]]*1.18</f>
        <v>162.61343999999997</v>
      </c>
      <c r="J1277" s="7">
        <f>+Tabla1[[#This Row],[PRECIO EN SOLES]]-Tabla1[[#This Row],[PC]]</f>
        <v>32.396560000000022</v>
      </c>
      <c r="K1277" s="15"/>
      <c r="L1277" s="15" t="str">
        <f t="shared" si="19"/>
        <v>NORMAL</v>
      </c>
    </row>
    <row r="1278" spans="1:12" x14ac:dyDescent="0.25">
      <c r="A1278" s="3" t="s">
        <v>1895</v>
      </c>
      <c r="B1278" s="3" t="s">
        <v>1896</v>
      </c>
      <c r="C1278" s="1">
        <v>2</v>
      </c>
      <c r="D1278" s="1">
        <v>5387</v>
      </c>
      <c r="E1278" s="1" t="s">
        <v>1859</v>
      </c>
      <c r="F1278" s="1" t="s">
        <v>3535</v>
      </c>
      <c r="G1278" s="3"/>
      <c r="H1278" s="11">
        <f>ROUND(
IF(L1278="GANCHO",
   IF(I1278&lt;=50,I1278*1.1+4,IF(I1278&lt;=120,I1278*1.1+7,IF(I1278&lt;=250,I1278*1.1+11,I1278*1.1+19))),
IF(L1278="NORMAL",
   IF(I1278&lt;=30,I1278*1.15+2,IF(I1278&lt;=80,I1278*1.15+4,IF(I1278&lt;=150,I1278*1.15+6,I1278*1.15+8))),
IF(L1278="COMPLEMENTO",
   IF(I1278&lt;=25,I1278*1.25+1.5,IF(I1278&lt;=60,I1278*1.25+3,IF(I1278&lt;=120,I1278*1.25+4,I1278*1.25+5))),
""))),2)</f>
        <v>25739.759999999998</v>
      </c>
      <c r="I1278" s="9">
        <f>($K$2+0.02)*Tabla1[[#This Row],[PRECIO $]]*1.18</f>
        <v>22375.443200000002</v>
      </c>
      <c r="J1278" s="7">
        <f>+Tabla1[[#This Row],[PRECIO EN SOLES]]-Tabla1[[#This Row],[PC]]</f>
        <v>3364.3167999999969</v>
      </c>
      <c r="K1278" s="15"/>
      <c r="L1278" s="15" t="str">
        <f t="shared" si="19"/>
        <v>NORMAL</v>
      </c>
    </row>
    <row r="1279" spans="1:12" x14ac:dyDescent="0.25">
      <c r="A1279" s="3" t="s">
        <v>6656</v>
      </c>
      <c r="B1279" s="3" t="s">
        <v>6657</v>
      </c>
      <c r="C1279" s="1">
        <v>10</v>
      </c>
      <c r="D1279" s="1">
        <v>216.52</v>
      </c>
      <c r="E1279" s="1" t="s">
        <v>402</v>
      </c>
      <c r="F1279" s="1" t="s">
        <v>6658</v>
      </c>
      <c r="G1279" s="3"/>
      <c r="H1279" s="11">
        <f>ROUND(
IF(L1279="GANCHO",
   IF(I1279&lt;=50,I1279*1.1+4,IF(I1279&lt;=120,I1279*1.1+7,IF(I1279&lt;=250,I1279*1.1+11,I1279*1.1+19))),
IF(L1279="NORMAL",
   IF(I1279&lt;=30,I1279*1.15+2,IF(I1279&lt;=80,I1279*1.15+4,IF(I1279&lt;=150,I1279*1.15+6,I1279*1.15+8))),
IF(L1279="COMPLEMENTO",
   IF(I1279&lt;=25,I1279*1.25+1.5,IF(I1279&lt;=60,I1279*1.25+3,IF(I1279&lt;=120,I1279*1.25+4,I1279*1.25+5))),
""))),2)</f>
        <v>1042.24</v>
      </c>
      <c r="I1279" s="9">
        <f>($K$2+0.02)*Tabla1[[#This Row],[PRECIO $]]*1.18</f>
        <v>899.33747199999993</v>
      </c>
      <c r="J1279" s="7">
        <f>+Tabla1[[#This Row],[PRECIO EN SOLES]]-Tabla1[[#This Row],[PC]]</f>
        <v>142.90252800000007</v>
      </c>
      <c r="K1279" s="15"/>
      <c r="L1279" s="15" t="str">
        <f t="shared" si="19"/>
        <v>NORMAL</v>
      </c>
    </row>
    <row r="1280" spans="1:12" x14ac:dyDescent="0.25">
      <c r="A1280" s="3" t="s">
        <v>1897</v>
      </c>
      <c r="B1280" s="3" t="s">
        <v>1898</v>
      </c>
      <c r="C1280" s="1">
        <v>1</v>
      </c>
      <c r="D1280" s="1">
        <v>2135.4299999999998</v>
      </c>
      <c r="E1280" s="1" t="s">
        <v>1859</v>
      </c>
      <c r="F1280" s="1" t="s">
        <v>3536</v>
      </c>
      <c r="G1280" s="3"/>
      <c r="H1280" s="11">
        <f>ROUND(
IF(L1280="GANCHO",
   IF(I1280&lt;=50,I1280*1.1+4,IF(I1280&lt;=120,I1280*1.1+7,IF(I1280&lt;=250,I1280*1.1+11,I1280*1.1+19))),
IF(L1280="NORMAL",
   IF(I1280&lt;=30,I1280*1.15+2,IF(I1280&lt;=80,I1280*1.15+4,IF(I1280&lt;=150,I1280*1.15+6,I1280*1.15+8))),
IF(L1280="COMPLEMENTO",
   IF(I1280&lt;=25,I1280*1.25+1.5,IF(I1280&lt;=60,I1280*1.25+3,IF(I1280&lt;=120,I1280*1.25+4,I1280*1.25+5))),
""))),2)</f>
        <v>10208.18</v>
      </c>
      <c r="I1280" s="9">
        <f>($K$2+0.02)*Tabla1[[#This Row],[PRECIO $]]*1.18</f>
        <v>8869.7220479999978</v>
      </c>
      <c r="J1280" s="7">
        <f>+Tabla1[[#This Row],[PRECIO EN SOLES]]-Tabla1[[#This Row],[PC]]</f>
        <v>1338.4579520000025</v>
      </c>
      <c r="K1280" s="15"/>
      <c r="L1280" s="15" t="str">
        <f t="shared" si="19"/>
        <v>NORMAL</v>
      </c>
    </row>
    <row r="1281" spans="1:12" x14ac:dyDescent="0.25">
      <c r="A1281" s="3" t="s">
        <v>4331</v>
      </c>
      <c r="B1281" s="3" t="s">
        <v>4332</v>
      </c>
      <c r="C1281" s="1">
        <v>20</v>
      </c>
      <c r="D1281" s="1">
        <v>27.24</v>
      </c>
      <c r="E1281" s="1" t="s">
        <v>402</v>
      </c>
      <c r="F1281" s="1" t="s">
        <v>4333</v>
      </c>
      <c r="G1281" s="3"/>
      <c r="H1281" s="11">
        <f>ROUND(
IF(L1281="GANCHO",
   IF(I1281&lt;=50,I1281*1.1+4,IF(I1281&lt;=120,I1281*1.1+7,IF(I1281&lt;=250,I1281*1.1+11,I1281*1.1+19))),
IF(L1281="NORMAL",
   IF(I1281&lt;=30,I1281*1.15+2,IF(I1281&lt;=80,I1281*1.15+4,IF(I1281&lt;=150,I1281*1.15+6,I1281*1.15+8))),
IF(L1281="COMPLEMENTO",
   IF(I1281&lt;=25,I1281*1.25+1.5,IF(I1281&lt;=60,I1281*1.25+3,IF(I1281&lt;=120,I1281*1.25+4,I1281*1.25+5))),
""))),2)</f>
        <v>136.12</v>
      </c>
      <c r="I1281" s="9">
        <f>($K$2+0.02)*Tabla1[[#This Row],[PRECIO $]]*1.18</f>
        <v>113.14406399999999</v>
      </c>
      <c r="J1281" s="7">
        <f>+Tabla1[[#This Row],[PRECIO EN SOLES]]-Tabla1[[#This Row],[PC]]</f>
        <v>22.975936000000019</v>
      </c>
      <c r="K1281" s="15"/>
      <c r="L1281" s="15" t="str">
        <f t="shared" si="19"/>
        <v>NORMAL</v>
      </c>
    </row>
    <row r="1282" spans="1:12" x14ac:dyDescent="0.25">
      <c r="A1282" s="3" t="s">
        <v>4028</v>
      </c>
      <c r="B1282" s="3" t="s">
        <v>4029</v>
      </c>
      <c r="C1282" s="1">
        <v>20</v>
      </c>
      <c r="D1282" s="1">
        <v>51.24</v>
      </c>
      <c r="E1282" s="1" t="s">
        <v>402</v>
      </c>
      <c r="F1282" s="1" t="s">
        <v>4030</v>
      </c>
      <c r="G1282" s="3" t="s">
        <v>4031</v>
      </c>
      <c r="H1282" s="11">
        <f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252.76</v>
      </c>
      <c r="I1282" s="9">
        <f>($K$2+0.02)*Tabla1[[#This Row],[PRECIO $]]*1.18</f>
        <v>212.83046399999998</v>
      </c>
      <c r="J1282" s="7">
        <f>+Tabla1[[#This Row],[PRECIO EN SOLES]]-Tabla1[[#This Row],[PC]]</f>
        <v>39.929536000000013</v>
      </c>
      <c r="K1282" s="15"/>
      <c r="L1282" s="15" t="str">
        <f t="shared" si="19"/>
        <v>NORMAL</v>
      </c>
    </row>
    <row r="1283" spans="1:12" x14ac:dyDescent="0.25">
      <c r="A1283" s="3" t="s">
        <v>1899</v>
      </c>
      <c r="B1283" s="3" t="s">
        <v>1900</v>
      </c>
      <c r="C1283" s="1">
        <v>20</v>
      </c>
      <c r="D1283" s="1">
        <v>63.79</v>
      </c>
      <c r="E1283" s="1" t="s">
        <v>402</v>
      </c>
      <c r="F1283" s="1" t="s">
        <v>3537</v>
      </c>
      <c r="G1283" s="3" t="s">
        <v>1901</v>
      </c>
      <c r="H1283" s="11">
        <f>ROUND(
IF(L1283="GANCHO",
   IF(I1283&lt;=50,I1283*1.1+4,IF(I1283&lt;=120,I1283*1.1+7,IF(I1283&lt;=250,I1283*1.1+11,I1283*1.1+19))),
IF(L1283="NORMAL",
   IF(I1283&lt;=30,I1283*1.15+2,IF(I1283&lt;=80,I1283*1.15+4,IF(I1283&lt;=150,I1283*1.15+6,I1283*1.15+8))),
IF(L1283="COMPLEMENTO",
   IF(I1283&lt;=25,I1283*1.25+1.5,IF(I1283&lt;=60,I1283*1.25+3,IF(I1283&lt;=120,I1283*1.25+4,I1283*1.25+5))),
""))),2)</f>
        <v>312.7</v>
      </c>
      <c r="I1283" s="9">
        <f>($K$2+0.02)*Tabla1[[#This Row],[PRECIO $]]*1.18</f>
        <v>264.95814399999995</v>
      </c>
      <c r="J1283" s="7">
        <f>+Tabla1[[#This Row],[PRECIO EN SOLES]]-Tabla1[[#This Row],[PC]]</f>
        <v>47.741856000000041</v>
      </c>
      <c r="K1283" s="15"/>
      <c r="L1283" s="15" t="str">
        <f t="shared" ref="L1283:L1346" si="20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1902</v>
      </c>
      <c r="B1284" s="3" t="s">
        <v>1903</v>
      </c>
      <c r="C1284" s="1">
        <v>0</v>
      </c>
      <c r="D1284" s="1">
        <v>36.39</v>
      </c>
      <c r="E1284" s="1" t="s">
        <v>402</v>
      </c>
      <c r="F1284" s="1" t="s">
        <v>3538</v>
      </c>
      <c r="G1284" s="3" t="s">
        <v>1901</v>
      </c>
      <c r="H1284" s="11">
        <f>ROUND(
IF(L1284="GANCHO",
   IF(I1284&lt;=50,I1284*1.1+4,IF(I1284&lt;=120,I1284*1.1+7,IF(I1284&lt;=250,I1284*1.1+11,I1284*1.1+19))),
IF(L1284="NORMAL",
   IF(I1284&lt;=30,I1284*1.15+2,IF(I1284&lt;=80,I1284*1.15+4,IF(I1284&lt;=150,I1284*1.15+6,I1284*1.15+8))),
IF(L1284="COMPLEMENTO",
   IF(I1284&lt;=25,I1284*1.25+1.5,IF(I1284&lt;=60,I1284*1.25+3,IF(I1284&lt;=120,I1284*1.25+4,I1284*1.25+5))),
""))),2)</f>
        <v>181.82</v>
      </c>
      <c r="I1284" s="9">
        <f>($K$2+0.02)*Tabla1[[#This Row],[PRECIO $]]*1.18</f>
        <v>151.14950400000001</v>
      </c>
      <c r="J1284" s="7">
        <f>+Tabla1[[#This Row],[PRECIO EN SOLES]]-Tabla1[[#This Row],[PC]]</f>
        <v>30.670495999999986</v>
      </c>
      <c r="K1284" s="15"/>
      <c r="L1284" s="15" t="str">
        <f t="shared" si="20"/>
        <v>NORMAL</v>
      </c>
    </row>
    <row r="1285" spans="1:12" x14ac:dyDescent="0.25">
      <c r="A1285" s="3" t="s">
        <v>4334</v>
      </c>
      <c r="B1285" s="3" t="s">
        <v>4335</v>
      </c>
      <c r="C1285" s="1">
        <v>20</v>
      </c>
      <c r="D1285" s="1">
        <v>93.17</v>
      </c>
      <c r="E1285" s="1" t="s">
        <v>402</v>
      </c>
      <c r="F1285" s="1" t="s">
        <v>4336</v>
      </c>
      <c r="G1285" s="3" t="s">
        <v>1901</v>
      </c>
      <c r="H1285" s="11">
        <f>ROUND(
IF(L1285="GANCHO",
   IF(I1285&lt;=50,I1285*1.1+4,IF(I1285&lt;=120,I1285*1.1+7,IF(I1285&lt;=250,I1285*1.1+11,I1285*1.1+19))),
IF(L1285="NORMAL",
   IF(I1285&lt;=30,I1285*1.15+2,IF(I1285&lt;=80,I1285*1.15+4,IF(I1285&lt;=150,I1285*1.15+6,I1285*1.15+8))),
IF(L1285="COMPLEMENTO",
   IF(I1285&lt;=25,I1285*1.25+1.5,IF(I1285&lt;=60,I1285*1.25+3,IF(I1285&lt;=120,I1285*1.25+4,I1285*1.25+5))),
""))),2)</f>
        <v>453.04</v>
      </c>
      <c r="I1285" s="9">
        <f>($K$2+0.02)*Tabla1[[#This Row],[PRECIO $]]*1.18</f>
        <v>386.99091199999998</v>
      </c>
      <c r="J1285" s="7">
        <f>+Tabla1[[#This Row],[PRECIO EN SOLES]]-Tabla1[[#This Row],[PC]]</f>
        <v>66.04908800000004</v>
      </c>
      <c r="K1285" s="15"/>
      <c r="L1285" s="15" t="str">
        <f t="shared" si="20"/>
        <v>NORMAL</v>
      </c>
    </row>
    <row r="1286" spans="1:12" x14ac:dyDescent="0.25">
      <c r="A1286" s="3" t="s">
        <v>1904</v>
      </c>
      <c r="B1286" s="3" t="s">
        <v>1905</v>
      </c>
      <c r="C1286" s="1">
        <v>10</v>
      </c>
      <c r="D1286" s="1">
        <v>47.04</v>
      </c>
      <c r="E1286" s="1" t="s">
        <v>402</v>
      </c>
      <c r="F1286" s="1" t="s">
        <v>3539</v>
      </c>
      <c r="G1286" s="3" t="s">
        <v>5566</v>
      </c>
      <c r="H1286" s="11">
        <f>ROUND(
IF(L1286="GANCHO",
   IF(I1286&lt;=50,I1286*1.1+4,IF(I1286&lt;=120,I1286*1.1+7,IF(I1286&lt;=250,I1286*1.1+11,I1286*1.1+19))),
IF(L1286="NORMAL",
   IF(I1286&lt;=30,I1286*1.15+2,IF(I1286&lt;=80,I1286*1.15+4,IF(I1286&lt;=150,I1286*1.15+6,I1286*1.15+8))),
IF(L1286="COMPLEMENTO",
   IF(I1286&lt;=25,I1286*1.25+1.5,IF(I1286&lt;=60,I1286*1.25+3,IF(I1286&lt;=120,I1286*1.25+4,I1286*1.25+5))),
""))),2)</f>
        <v>232.69</v>
      </c>
      <c r="I1286" s="9">
        <f>($K$2+0.02)*Tabla1[[#This Row],[PRECIO $]]*1.18</f>
        <v>195.385344</v>
      </c>
      <c r="J1286" s="7">
        <f>+Tabla1[[#This Row],[PRECIO EN SOLES]]-Tabla1[[#This Row],[PC]]</f>
        <v>37.304655999999994</v>
      </c>
      <c r="K1286" s="15"/>
      <c r="L1286" s="15" t="str">
        <f t="shared" si="20"/>
        <v>NORMAL</v>
      </c>
    </row>
    <row r="1287" spans="1:12" x14ac:dyDescent="0.25">
      <c r="A1287" s="3" t="s">
        <v>1906</v>
      </c>
      <c r="B1287" s="3" t="s">
        <v>1907</v>
      </c>
      <c r="C1287" s="1">
        <v>14</v>
      </c>
      <c r="D1287" s="1">
        <v>124.12</v>
      </c>
      <c r="E1287" s="1" t="s">
        <v>402</v>
      </c>
      <c r="F1287" s="1" t="s">
        <v>3540</v>
      </c>
      <c r="G1287" s="3" t="s">
        <v>1908</v>
      </c>
      <c r="H1287" s="11">
        <f>ROUND(
IF(L1287="GANCHO",
   IF(I1287&lt;=50,I1287*1.1+4,IF(I1287&lt;=120,I1287*1.1+7,IF(I1287&lt;=250,I1287*1.1+11,I1287*1.1+19))),
IF(L1287="NORMAL",
   IF(I1287&lt;=30,I1287*1.15+2,IF(I1287&lt;=80,I1287*1.15+4,IF(I1287&lt;=150,I1287*1.15+6,I1287*1.15+8))),
IF(L1287="COMPLEMENTO",
   IF(I1287&lt;=25,I1287*1.25+1.5,IF(I1287&lt;=60,I1287*1.25+3,IF(I1287&lt;=120,I1287*1.25+4,I1287*1.25+5))),
""))),2)</f>
        <v>600.88</v>
      </c>
      <c r="I1287" s="9">
        <f>($K$2+0.02)*Tabla1[[#This Row],[PRECIO $]]*1.18</f>
        <v>515.54483199999993</v>
      </c>
      <c r="J1287" s="7">
        <f>+Tabla1[[#This Row],[PRECIO EN SOLES]]-Tabla1[[#This Row],[PC]]</f>
        <v>85.335168000000067</v>
      </c>
      <c r="K1287" s="15"/>
      <c r="L1287" s="15" t="str">
        <f t="shared" si="20"/>
        <v>NORMAL</v>
      </c>
    </row>
    <row r="1288" spans="1:12" x14ac:dyDescent="0.25">
      <c r="A1288" s="3" t="s">
        <v>1909</v>
      </c>
      <c r="B1288" s="3" t="s">
        <v>1910</v>
      </c>
      <c r="C1288" s="1">
        <v>20</v>
      </c>
      <c r="D1288" s="1">
        <v>26.15</v>
      </c>
      <c r="E1288" s="1" t="s">
        <v>402</v>
      </c>
      <c r="F1288" s="1" t="s">
        <v>3541</v>
      </c>
      <c r="G1288" s="3" t="s">
        <v>1911</v>
      </c>
      <c r="H1288" s="11">
        <f>ROUND(
IF(L1288="GANCHO",
   IF(I1288&lt;=50,I1288*1.1+4,IF(I1288&lt;=120,I1288*1.1+7,IF(I1288&lt;=250,I1288*1.1+11,I1288*1.1+19))),
IF(L1288="NORMAL",
   IF(I1288&lt;=30,I1288*1.15+2,IF(I1288&lt;=80,I1288*1.15+4,IF(I1288&lt;=150,I1288*1.15+6,I1288*1.15+8))),
IF(L1288="COMPLEMENTO",
   IF(I1288&lt;=25,I1288*1.25+1.5,IF(I1288&lt;=60,I1288*1.25+3,IF(I1288&lt;=120,I1288*1.25+4,I1288*1.25+5))),
""))),2)</f>
        <v>130.91</v>
      </c>
      <c r="I1288" s="9">
        <f>($K$2+0.02)*Tabla1[[#This Row],[PRECIO $]]*1.18</f>
        <v>108.61663999999999</v>
      </c>
      <c r="J1288" s="7">
        <f>+Tabla1[[#This Row],[PRECIO EN SOLES]]-Tabla1[[#This Row],[PC]]</f>
        <v>22.293360000000007</v>
      </c>
      <c r="K1288" s="15"/>
      <c r="L1288" s="15" t="str">
        <f t="shared" si="20"/>
        <v>NORMAL</v>
      </c>
    </row>
    <row r="1289" spans="1:12" x14ac:dyDescent="0.25">
      <c r="A1289" s="3" t="s">
        <v>1912</v>
      </c>
      <c r="B1289" s="3" t="s">
        <v>1913</v>
      </c>
      <c r="C1289" s="1">
        <v>20</v>
      </c>
      <c r="D1289" s="1">
        <v>32.6</v>
      </c>
      <c r="E1289" s="1" t="s">
        <v>402</v>
      </c>
      <c r="F1289" s="1" t="s">
        <v>3542</v>
      </c>
      <c r="G1289" s="3" t="s">
        <v>1914</v>
      </c>
      <c r="H1289" s="11">
        <f>ROUND(
IF(L1289="GANCHO",
   IF(I1289&lt;=50,I1289*1.1+4,IF(I1289&lt;=120,I1289*1.1+7,IF(I1289&lt;=250,I1289*1.1+11,I1289*1.1+19))),
IF(L1289="NORMAL",
   IF(I1289&lt;=30,I1289*1.15+2,IF(I1289&lt;=80,I1289*1.15+4,IF(I1289&lt;=150,I1289*1.15+6,I1289*1.15+8))),
IF(L1289="COMPLEMENTO",
   IF(I1289&lt;=25,I1289*1.25+1.5,IF(I1289&lt;=60,I1289*1.25+3,IF(I1289&lt;=120,I1289*1.25+4,I1289*1.25+5))),
""))),2)</f>
        <v>161.72</v>
      </c>
      <c r="I1289" s="9">
        <f>($K$2+0.02)*Tabla1[[#This Row],[PRECIO $]]*1.18</f>
        <v>135.40736000000001</v>
      </c>
      <c r="J1289" s="7">
        <f>+Tabla1[[#This Row],[PRECIO EN SOLES]]-Tabla1[[#This Row],[PC]]</f>
        <v>26.312639999999988</v>
      </c>
      <c r="K1289" s="15"/>
      <c r="L1289" s="15" t="str">
        <f t="shared" si="20"/>
        <v>NORMAL</v>
      </c>
    </row>
    <row r="1290" spans="1:12" x14ac:dyDescent="0.25">
      <c r="A1290" s="3" t="s">
        <v>1915</v>
      </c>
      <c r="B1290" s="3" t="s">
        <v>1916</v>
      </c>
      <c r="C1290" s="1">
        <v>20</v>
      </c>
      <c r="D1290" s="1">
        <v>44.98</v>
      </c>
      <c r="E1290" s="1" t="s">
        <v>402</v>
      </c>
      <c r="F1290" s="1" t="s">
        <v>3543</v>
      </c>
      <c r="G1290" s="3" t="s">
        <v>1917</v>
      </c>
      <c r="H1290" s="11">
        <f>ROUND(
IF(L1290="GANCHO",
   IF(I1290&lt;=50,I1290*1.1+4,IF(I1290&lt;=120,I1290*1.1+7,IF(I1290&lt;=250,I1290*1.1+11,I1290*1.1+19))),
IF(L1290="NORMAL",
   IF(I1290&lt;=30,I1290*1.15+2,IF(I1290&lt;=80,I1290*1.15+4,IF(I1290&lt;=150,I1290*1.15+6,I1290*1.15+8))),
IF(L1290="COMPLEMENTO",
   IF(I1290&lt;=25,I1290*1.25+1.5,IF(I1290&lt;=60,I1290*1.25+3,IF(I1290&lt;=120,I1290*1.25+4,I1290*1.25+5))),
""))),2)</f>
        <v>222.85</v>
      </c>
      <c r="I1290" s="9">
        <f>($K$2+0.02)*Tabla1[[#This Row],[PRECIO $]]*1.18</f>
        <v>186.82892799999999</v>
      </c>
      <c r="J1290" s="7">
        <f>+Tabla1[[#This Row],[PRECIO EN SOLES]]-Tabla1[[#This Row],[PC]]</f>
        <v>36.021072000000004</v>
      </c>
      <c r="K1290" s="15"/>
      <c r="L1290" s="15" t="str">
        <f t="shared" si="20"/>
        <v>NORMAL</v>
      </c>
    </row>
    <row r="1291" spans="1:12" x14ac:dyDescent="0.25">
      <c r="A1291" s="3" t="s">
        <v>1918</v>
      </c>
      <c r="B1291" s="3" t="s">
        <v>1919</v>
      </c>
      <c r="C1291" s="1">
        <v>20</v>
      </c>
      <c r="D1291" s="1">
        <v>33.57</v>
      </c>
      <c r="E1291" s="1" t="s">
        <v>402</v>
      </c>
      <c r="F1291" s="1" t="s">
        <v>3544</v>
      </c>
      <c r="G1291" s="3" t="s">
        <v>1920</v>
      </c>
      <c r="H1291" s="11">
        <f>ROUND(
IF(L1291="GANCHO",
   IF(I1291&lt;=50,I1291*1.1+4,IF(I1291&lt;=120,I1291*1.1+7,IF(I1291&lt;=250,I1291*1.1+11,I1291*1.1+19))),
IF(L1291="NORMAL",
   IF(I1291&lt;=30,I1291*1.15+2,IF(I1291&lt;=80,I1291*1.15+4,IF(I1291&lt;=150,I1291*1.15+6,I1291*1.15+8))),
IF(L1291="COMPLEMENTO",
   IF(I1291&lt;=25,I1291*1.25+1.5,IF(I1291&lt;=60,I1291*1.25+3,IF(I1291&lt;=120,I1291*1.25+4,I1291*1.25+5))),
""))),2)</f>
        <v>166.35</v>
      </c>
      <c r="I1291" s="9">
        <f>($K$2+0.02)*Tabla1[[#This Row],[PRECIO $]]*1.18</f>
        <v>139.436352</v>
      </c>
      <c r="J1291" s="7">
        <f>+Tabla1[[#This Row],[PRECIO EN SOLES]]-Tabla1[[#This Row],[PC]]</f>
        <v>26.913647999999995</v>
      </c>
      <c r="K1291" s="15"/>
      <c r="L1291" s="15" t="str">
        <f t="shared" si="20"/>
        <v>NORMAL</v>
      </c>
    </row>
    <row r="1292" spans="1:12" x14ac:dyDescent="0.25">
      <c r="A1292" s="3" t="s">
        <v>1921</v>
      </c>
      <c r="B1292" s="3" t="s">
        <v>1922</v>
      </c>
      <c r="C1292" s="1">
        <v>20</v>
      </c>
      <c r="D1292" s="1">
        <v>185.77</v>
      </c>
      <c r="E1292" s="1" t="s">
        <v>402</v>
      </c>
      <c r="F1292" s="1" t="s">
        <v>3545</v>
      </c>
      <c r="G1292" s="3" t="s">
        <v>1923</v>
      </c>
      <c r="H1292" s="11">
        <f>ROUND(
IF(L1292="GANCHO",
   IF(I1292&lt;=50,I1292*1.1+4,IF(I1292&lt;=120,I1292*1.1+7,IF(I1292&lt;=250,I1292*1.1+11,I1292*1.1+19))),
IF(L1292="NORMAL",
   IF(I1292&lt;=30,I1292*1.15+2,IF(I1292&lt;=80,I1292*1.15+4,IF(I1292&lt;=150,I1292*1.15+6,I1292*1.15+8))),
IF(L1292="COMPLEMENTO",
   IF(I1292&lt;=25,I1292*1.25+1.5,IF(I1292&lt;=60,I1292*1.25+3,IF(I1292&lt;=120,I1292*1.25+4,I1292*1.25+5))),
""))),2)</f>
        <v>895.36</v>
      </c>
      <c r="I1292" s="9">
        <f>($K$2+0.02)*Tabla1[[#This Row],[PRECIO $]]*1.18</f>
        <v>771.61427200000003</v>
      </c>
      <c r="J1292" s="7">
        <f>+Tabla1[[#This Row],[PRECIO EN SOLES]]-Tabla1[[#This Row],[PC]]</f>
        <v>123.74572799999999</v>
      </c>
      <c r="K1292" s="15"/>
      <c r="L1292" s="15" t="str">
        <f t="shared" si="20"/>
        <v>NORMAL</v>
      </c>
    </row>
    <row r="1293" spans="1:12" x14ac:dyDescent="0.25">
      <c r="A1293" s="3" t="s">
        <v>4337</v>
      </c>
      <c r="B1293" s="3" t="s">
        <v>4338</v>
      </c>
      <c r="C1293" s="1">
        <v>20</v>
      </c>
      <c r="D1293" s="1">
        <v>10.77</v>
      </c>
      <c r="E1293" s="1" t="s">
        <v>402</v>
      </c>
      <c r="F1293" s="1" t="s">
        <v>4339</v>
      </c>
      <c r="G1293" s="3" t="s">
        <v>4340</v>
      </c>
      <c r="H1293" s="11">
        <f>ROUND(
IF(L1293="GANCHO",
   IF(I1293&lt;=50,I1293*1.1+4,IF(I1293&lt;=120,I1293*1.1+7,IF(I1293&lt;=250,I1293*1.1+11,I1293*1.1+19))),
IF(L1293="NORMAL",
   IF(I1293&lt;=30,I1293*1.15+2,IF(I1293&lt;=80,I1293*1.15+4,IF(I1293&lt;=150,I1293*1.15+6,I1293*1.15+8))),
IF(L1293="COMPLEMENTO",
   IF(I1293&lt;=25,I1293*1.25+1.5,IF(I1293&lt;=60,I1293*1.25+3,IF(I1293&lt;=120,I1293*1.25+4,I1293*1.25+5))),
""))),2)</f>
        <v>55.44</v>
      </c>
      <c r="I1293" s="9">
        <f>($K$2+0.02)*Tabla1[[#This Row],[PRECIO $]]*1.18</f>
        <v>44.73427199999999</v>
      </c>
      <c r="J1293" s="7">
        <f>+Tabla1[[#This Row],[PRECIO EN SOLES]]-Tabla1[[#This Row],[PC]]</f>
        <v>10.705728000000008</v>
      </c>
      <c r="K1293" s="15"/>
      <c r="L1293" s="15" t="str">
        <f t="shared" si="20"/>
        <v>NORMAL</v>
      </c>
    </row>
    <row r="1294" spans="1:12" x14ac:dyDescent="0.25">
      <c r="A1294" s="3" t="s">
        <v>409</v>
      </c>
      <c r="B1294" s="3" t="s">
        <v>410</v>
      </c>
      <c r="C1294" s="1">
        <v>20</v>
      </c>
      <c r="D1294" s="1">
        <v>22.08</v>
      </c>
      <c r="E1294" s="1" t="s">
        <v>402</v>
      </c>
      <c r="F1294" s="1" t="s">
        <v>3546</v>
      </c>
      <c r="G1294" s="3" t="s">
        <v>411</v>
      </c>
      <c r="H1294" s="11">
        <f>ROUND(
IF(L1294="GANCHO",
   IF(I1294&lt;=50,I1294*1.1+4,IF(I1294&lt;=120,I1294*1.1+7,IF(I1294&lt;=250,I1294*1.1+11,I1294*1.1+19))),
IF(L1294="NORMAL",
   IF(I1294&lt;=30,I1294*1.15+2,IF(I1294&lt;=80,I1294*1.15+4,IF(I1294&lt;=150,I1294*1.15+6,I1294*1.15+8))),
IF(L1294="COMPLEMENTO",
   IF(I1294&lt;=25,I1294*1.25+1.5,IF(I1294&lt;=60,I1294*1.25+3,IF(I1294&lt;=120,I1294*1.25+4,I1294*1.25+5))),
""))),2)</f>
        <v>111.47</v>
      </c>
      <c r="I1294" s="9">
        <f>($K$2+0.02)*Tabla1[[#This Row],[PRECIO $]]*1.18</f>
        <v>91.711487999999989</v>
      </c>
      <c r="J1294" s="7">
        <f>+Tabla1[[#This Row],[PRECIO EN SOLES]]-Tabla1[[#This Row],[PC]]</f>
        <v>19.75851200000001</v>
      </c>
      <c r="K1294" s="15"/>
      <c r="L1294" s="15" t="str">
        <f t="shared" si="20"/>
        <v>NORMAL</v>
      </c>
    </row>
    <row r="1295" spans="1:12" x14ac:dyDescent="0.25">
      <c r="A1295" s="3" t="s">
        <v>1924</v>
      </c>
      <c r="B1295" s="3" t="s">
        <v>1925</v>
      </c>
      <c r="C1295" s="1">
        <v>1</v>
      </c>
      <c r="D1295" s="1">
        <v>100</v>
      </c>
      <c r="E1295" s="1" t="s">
        <v>57</v>
      </c>
      <c r="F1295" s="1" t="s">
        <v>3547</v>
      </c>
      <c r="G1295" s="3"/>
      <c r="H1295" s="11">
        <f>ROUND(
IF(L1295="GANCHO",
   IF(I1295&lt;=50,I1295*1.1+4,IF(I1295&lt;=120,I1295*1.1+7,IF(I1295&lt;=250,I1295*1.1+11,I1295*1.1+19))),
IF(L1295="NORMAL",
   IF(I1295&lt;=30,I1295*1.15+2,IF(I1295&lt;=80,I1295*1.15+4,IF(I1295&lt;=150,I1295*1.15+6,I1295*1.15+8))),
IF(L1295="COMPLEMENTO",
   IF(I1295&lt;=25,I1295*1.25+1.5,IF(I1295&lt;=60,I1295*1.25+3,IF(I1295&lt;=120,I1295*1.25+4,I1295*1.25+5))),
""))),2)</f>
        <v>485.66</v>
      </c>
      <c r="I1295" s="9">
        <f>($K$2+0.02)*Tabla1[[#This Row],[PRECIO $]]*1.18</f>
        <v>415.35999999999996</v>
      </c>
      <c r="J1295" s="7">
        <f>+Tabla1[[#This Row],[PRECIO EN SOLES]]-Tabla1[[#This Row],[PC]]</f>
        <v>70.300000000000068</v>
      </c>
      <c r="K1295" s="15"/>
      <c r="L1295" s="15" t="str">
        <f t="shared" si="20"/>
        <v>NORMAL</v>
      </c>
    </row>
    <row r="1296" spans="1:12" x14ac:dyDescent="0.25">
      <c r="A1296" s="3" t="s">
        <v>4341</v>
      </c>
      <c r="B1296" s="3" t="s">
        <v>4342</v>
      </c>
      <c r="C1296" s="1">
        <v>6</v>
      </c>
      <c r="D1296" s="1">
        <v>10.119999999999999</v>
      </c>
      <c r="E1296" s="1" t="s">
        <v>402</v>
      </c>
      <c r="F1296" s="1" t="s">
        <v>4343</v>
      </c>
      <c r="G1296" s="3" t="s">
        <v>4344</v>
      </c>
      <c r="H1296" s="11">
        <f>ROUND(
IF(L1296="GANCHO",
   IF(I1296&lt;=50,I1296*1.1+4,IF(I1296&lt;=120,I1296*1.1+7,IF(I1296&lt;=250,I1296*1.1+11,I1296*1.1+19))),
IF(L1296="NORMAL",
   IF(I1296&lt;=30,I1296*1.15+2,IF(I1296&lt;=80,I1296*1.15+4,IF(I1296&lt;=150,I1296*1.15+6,I1296*1.15+8))),
IF(L1296="COMPLEMENTO",
   IF(I1296&lt;=25,I1296*1.25+1.5,IF(I1296&lt;=60,I1296*1.25+3,IF(I1296&lt;=120,I1296*1.25+4,I1296*1.25+5))),
""))),2)</f>
        <v>55.54</v>
      </c>
      <c r="I1296" s="9">
        <f>($K$2+0.02)*Tabla1[[#This Row],[PRECIO $]]*1.18</f>
        <v>42.034431999999995</v>
      </c>
      <c r="J1296" s="7">
        <f>+Tabla1[[#This Row],[PRECIO EN SOLES]]-Tabla1[[#This Row],[PC]]</f>
        <v>13.505568000000004</v>
      </c>
      <c r="K1296" s="15"/>
      <c r="L1296" s="15" t="str">
        <f t="shared" si="20"/>
        <v>COMPLEMENTO</v>
      </c>
    </row>
    <row r="1297" spans="1:12" x14ac:dyDescent="0.25">
      <c r="A1297" s="3" t="s">
        <v>4345</v>
      </c>
      <c r="B1297" s="3" t="s">
        <v>4346</v>
      </c>
      <c r="C1297" s="1">
        <v>20</v>
      </c>
      <c r="D1297" s="1">
        <v>11.18</v>
      </c>
      <c r="E1297" s="1" t="s">
        <v>402</v>
      </c>
      <c r="F1297" s="1" t="s">
        <v>4347</v>
      </c>
      <c r="G1297" s="3" t="s">
        <v>4348</v>
      </c>
      <c r="H1297" s="11">
        <f>ROUND(
IF(L1297="GANCHO",
   IF(I1297&lt;=50,I1297*1.1+4,IF(I1297&lt;=120,I1297*1.1+7,IF(I1297&lt;=250,I1297*1.1+11,I1297*1.1+19))),
IF(L1297="NORMAL",
   IF(I1297&lt;=30,I1297*1.15+2,IF(I1297&lt;=80,I1297*1.15+4,IF(I1297&lt;=150,I1297*1.15+6,I1297*1.15+8))),
IF(L1297="COMPLEMENTO",
   IF(I1297&lt;=25,I1297*1.25+1.5,IF(I1297&lt;=60,I1297*1.25+3,IF(I1297&lt;=120,I1297*1.25+4,I1297*1.25+5))),
""))),2)</f>
        <v>61.05</v>
      </c>
      <c r="I1297" s="9">
        <f>($K$2+0.02)*Tabla1[[#This Row],[PRECIO $]]*1.18</f>
        <v>46.437247999999997</v>
      </c>
      <c r="J1297" s="7">
        <f>+Tabla1[[#This Row],[PRECIO EN SOLES]]-Tabla1[[#This Row],[PC]]</f>
        <v>14.612752</v>
      </c>
      <c r="K1297" s="15"/>
      <c r="L1297" s="15" t="str">
        <f t="shared" si="20"/>
        <v>COMPLEMENTO</v>
      </c>
    </row>
    <row r="1298" spans="1:12" x14ac:dyDescent="0.25">
      <c r="A1298" s="3" t="s">
        <v>1926</v>
      </c>
      <c r="B1298" s="3" t="s">
        <v>1927</v>
      </c>
      <c r="C1298" s="1">
        <v>4</v>
      </c>
      <c r="D1298" s="1">
        <v>727.01</v>
      </c>
      <c r="E1298" s="1" t="s">
        <v>1859</v>
      </c>
      <c r="F1298" s="1" t="s">
        <v>3548</v>
      </c>
      <c r="G1298" s="3"/>
      <c r="H1298" s="11">
        <f>ROUND(
IF(L1298="GANCHO",
   IF(I1298&lt;=50,I1298*1.1+4,IF(I1298&lt;=120,I1298*1.1+7,IF(I1298&lt;=250,I1298*1.1+11,I1298*1.1+19))),
IF(L1298="NORMAL",
   IF(I1298&lt;=30,I1298*1.15+2,IF(I1298&lt;=80,I1298*1.15+4,IF(I1298&lt;=150,I1298*1.15+6,I1298*1.15+8))),
IF(L1298="COMPLEMENTO",
   IF(I1298&lt;=25,I1298*1.25+1.5,IF(I1298&lt;=60,I1298*1.25+3,IF(I1298&lt;=120,I1298*1.25+4,I1298*1.25+5))),
""))),2)</f>
        <v>3480.67</v>
      </c>
      <c r="I1298" s="9">
        <f>($K$2+0.02)*Tabla1[[#This Row],[PRECIO $]]*1.18</f>
        <v>3019.7087359999996</v>
      </c>
      <c r="J1298" s="7">
        <f>+Tabla1[[#This Row],[PRECIO EN SOLES]]-Tabla1[[#This Row],[PC]]</f>
        <v>460.96126400000048</v>
      </c>
      <c r="K1298" s="15"/>
      <c r="L1298" s="15" t="str">
        <f t="shared" si="20"/>
        <v>NORMAL</v>
      </c>
    </row>
    <row r="1299" spans="1:12" x14ac:dyDescent="0.25">
      <c r="A1299" s="3" t="s">
        <v>1928</v>
      </c>
      <c r="B1299" s="3" t="s">
        <v>1929</v>
      </c>
      <c r="C1299" s="1">
        <v>1</v>
      </c>
      <c r="D1299" s="1">
        <v>35.299999999999997</v>
      </c>
      <c r="E1299" s="1" t="s">
        <v>1859</v>
      </c>
      <c r="F1299" s="1" t="s">
        <v>3549</v>
      </c>
      <c r="G1299" s="3"/>
      <c r="H1299" s="11">
        <f>ROUND(
IF(L1299="GANCHO",
   IF(I1299&lt;=50,I1299*1.1+4,IF(I1299&lt;=120,I1299*1.1+7,IF(I1299&lt;=250,I1299*1.1+11,I1299*1.1+19))),
IF(L1299="NORMAL",
   IF(I1299&lt;=30,I1299*1.15+2,IF(I1299&lt;=80,I1299*1.15+4,IF(I1299&lt;=150,I1299*1.15+6,I1299*1.15+8))),
IF(L1299="COMPLEMENTO",
   IF(I1299&lt;=25,I1299*1.25+1.5,IF(I1299&lt;=60,I1299*1.25+3,IF(I1299&lt;=120,I1299*1.25+4,I1299*1.25+5))),
""))),2)</f>
        <v>174.62</v>
      </c>
      <c r="I1299" s="9">
        <f>($K$2+0.02)*Tabla1[[#This Row],[PRECIO $]]*1.18</f>
        <v>146.62207999999998</v>
      </c>
      <c r="J1299" s="7">
        <f>+Tabla1[[#This Row],[PRECIO EN SOLES]]-Tabla1[[#This Row],[PC]]</f>
        <v>27.997920000000022</v>
      </c>
      <c r="K1299" s="15"/>
      <c r="L1299" s="15" t="str">
        <f t="shared" si="20"/>
        <v>NORMAL</v>
      </c>
    </row>
    <row r="1300" spans="1:12" x14ac:dyDescent="0.25">
      <c r="A1300" s="3" t="s">
        <v>1930</v>
      </c>
      <c r="B1300" s="3" t="s">
        <v>1931</v>
      </c>
      <c r="C1300" s="1">
        <v>6</v>
      </c>
      <c r="D1300" s="1">
        <v>880.02</v>
      </c>
      <c r="E1300" s="1" t="s">
        <v>1859</v>
      </c>
      <c r="F1300" s="1" t="s">
        <v>3550</v>
      </c>
      <c r="G1300" s="3"/>
      <c r="H1300" s="11">
        <f>ROUND(
IF(L1300="GANCHO",
   IF(I1300&lt;=50,I1300*1.1+4,IF(I1300&lt;=120,I1300*1.1+7,IF(I1300&lt;=250,I1300*1.1+11,I1300*1.1+19))),
IF(L1300="NORMAL",
   IF(I1300&lt;=30,I1300*1.15+2,IF(I1300&lt;=80,I1300*1.15+4,IF(I1300&lt;=150,I1300*1.15+6,I1300*1.15+8))),
IF(L1300="COMPLEMENTO",
   IF(I1300&lt;=25,I1300*1.25+1.5,IF(I1300&lt;=60,I1300*1.25+3,IF(I1300&lt;=120,I1300*1.25+4,I1300*1.25+5))),
""))),2)</f>
        <v>4211.54</v>
      </c>
      <c r="I1300" s="9">
        <f>($K$2+0.02)*Tabla1[[#This Row],[PRECIO $]]*1.18</f>
        <v>3655.2510719999996</v>
      </c>
      <c r="J1300" s="7">
        <f>+Tabla1[[#This Row],[PRECIO EN SOLES]]-Tabla1[[#This Row],[PC]]</f>
        <v>556.2889280000004</v>
      </c>
      <c r="K1300" s="15"/>
      <c r="L1300" s="15" t="str">
        <f t="shared" si="20"/>
        <v>NORMAL</v>
      </c>
    </row>
    <row r="1301" spans="1:12" x14ac:dyDescent="0.25">
      <c r="A1301" s="3" t="s">
        <v>1932</v>
      </c>
      <c r="B1301" s="3" t="s">
        <v>1933</v>
      </c>
      <c r="C1301" s="1">
        <v>0</v>
      </c>
      <c r="D1301" s="1">
        <v>56</v>
      </c>
      <c r="E1301" s="1" t="s">
        <v>1045</v>
      </c>
      <c r="F1301" s="1" t="s">
        <v>3551</v>
      </c>
      <c r="G1301" s="3" t="s">
        <v>1934</v>
      </c>
      <c r="H1301" s="11">
        <f>ROUND(
IF(L1301="GANCHO",
   IF(I1301&lt;=50,I1301*1.1+4,IF(I1301&lt;=120,I1301*1.1+7,IF(I1301&lt;=250,I1301*1.1+11,I1301*1.1+19))),
IF(L1301="NORMAL",
   IF(I1301&lt;=30,I1301*1.15+2,IF(I1301&lt;=80,I1301*1.15+4,IF(I1301&lt;=150,I1301*1.15+6,I1301*1.15+8))),
IF(L1301="COMPLEMENTO",
   IF(I1301&lt;=25,I1301*1.25+1.5,IF(I1301&lt;=60,I1301*1.25+3,IF(I1301&lt;=120,I1301*1.25+4,I1301*1.25+5))),
""))),2)</f>
        <v>275.49</v>
      </c>
      <c r="I1301" s="9">
        <f>($K$2+0.02)*Tabla1[[#This Row],[PRECIO $]]*1.18</f>
        <v>232.60159999999999</v>
      </c>
      <c r="J1301" s="7">
        <f>+Tabla1[[#This Row],[PRECIO EN SOLES]]-Tabla1[[#This Row],[PC]]</f>
        <v>42.888400000000019</v>
      </c>
      <c r="K1301" s="15"/>
      <c r="L1301" s="15" t="str">
        <f t="shared" si="20"/>
        <v>NORMAL</v>
      </c>
    </row>
    <row r="1302" spans="1:12" x14ac:dyDescent="0.25">
      <c r="A1302" s="3" t="s">
        <v>1935</v>
      </c>
      <c r="B1302" s="3" t="s">
        <v>1936</v>
      </c>
      <c r="C1302" s="1">
        <v>1</v>
      </c>
      <c r="D1302" s="1">
        <v>101</v>
      </c>
      <c r="E1302" s="1" t="s">
        <v>402</v>
      </c>
      <c r="F1302" s="1" t="s">
        <v>3552</v>
      </c>
      <c r="G1302" s="3" t="s">
        <v>1937</v>
      </c>
      <c r="H1302" s="11">
        <f>ROUND(
IF(L1302="GANCHO",
   IF(I1302&lt;=50,I1302*1.1+4,IF(I1302&lt;=120,I1302*1.1+7,IF(I1302&lt;=250,I1302*1.1+11,I1302*1.1+19))),
IF(L1302="NORMAL",
   IF(I1302&lt;=30,I1302*1.15+2,IF(I1302&lt;=80,I1302*1.15+4,IF(I1302&lt;=150,I1302*1.15+6,I1302*1.15+8))),
IF(L1302="COMPLEMENTO",
   IF(I1302&lt;=25,I1302*1.25+1.5,IF(I1302&lt;=60,I1302*1.25+3,IF(I1302&lt;=120,I1302*1.25+4,I1302*1.25+5))),
""))),2)</f>
        <v>490.44</v>
      </c>
      <c r="I1302" s="9">
        <f>($K$2+0.02)*Tabla1[[#This Row],[PRECIO $]]*1.18</f>
        <v>419.51359999999994</v>
      </c>
      <c r="J1302" s="7">
        <f>+Tabla1[[#This Row],[PRECIO EN SOLES]]-Tabla1[[#This Row],[PC]]</f>
        <v>70.926400000000058</v>
      </c>
      <c r="K1302" s="15"/>
      <c r="L1302" s="15" t="str">
        <f t="shared" si="20"/>
        <v>NORMAL</v>
      </c>
    </row>
    <row r="1303" spans="1:12" x14ac:dyDescent="0.25">
      <c r="A1303" s="3" t="s">
        <v>1938</v>
      </c>
      <c r="B1303" s="3" t="s">
        <v>1939</v>
      </c>
      <c r="C1303" s="1">
        <v>1</v>
      </c>
      <c r="D1303" s="1">
        <v>494.44</v>
      </c>
      <c r="E1303" s="1" t="s">
        <v>402</v>
      </c>
      <c r="F1303" s="1" t="s">
        <v>3553</v>
      </c>
      <c r="G1303" s="3" t="s">
        <v>1940</v>
      </c>
      <c r="H1303" s="11">
        <f>ROUND(
IF(L1303="GANCHO",
   IF(I1303&lt;=50,I1303*1.1+4,IF(I1303&lt;=120,I1303*1.1+7,IF(I1303&lt;=250,I1303*1.1+11,I1303*1.1+19))),
IF(L1303="NORMAL",
   IF(I1303&lt;=30,I1303*1.15+2,IF(I1303&lt;=80,I1303*1.15+4,IF(I1303&lt;=150,I1303*1.15+6,I1303*1.15+8))),
IF(L1303="COMPLEMENTO",
   IF(I1303&lt;=25,I1303*1.25+1.5,IF(I1303&lt;=60,I1303*1.25+3,IF(I1303&lt;=120,I1303*1.25+4,I1303*1.25+5))),
""))),2)</f>
        <v>2369.7600000000002</v>
      </c>
      <c r="I1303" s="9">
        <f>($K$2+0.02)*Tabla1[[#This Row],[PRECIO $]]*1.18</f>
        <v>2053.7059839999997</v>
      </c>
      <c r="J1303" s="7">
        <f>+Tabla1[[#This Row],[PRECIO EN SOLES]]-Tabla1[[#This Row],[PC]]</f>
        <v>316.0540160000005</v>
      </c>
      <c r="K1303" s="15"/>
      <c r="L1303" s="15" t="str">
        <f t="shared" si="20"/>
        <v>NORMAL</v>
      </c>
    </row>
    <row r="1304" spans="1:12" x14ac:dyDescent="0.25">
      <c r="A1304" s="3" t="s">
        <v>1941</v>
      </c>
      <c r="B1304" s="3" t="s">
        <v>1942</v>
      </c>
      <c r="C1304" s="1">
        <v>3</v>
      </c>
      <c r="D1304" s="1">
        <v>941.62</v>
      </c>
      <c r="E1304" s="1" t="s">
        <v>1859</v>
      </c>
      <c r="F1304" s="1" t="s">
        <v>3554</v>
      </c>
      <c r="G1304" s="3" t="s">
        <v>1943</v>
      </c>
      <c r="H1304" s="11">
        <f>ROUND(
IF(L1304="GANCHO",
   IF(I1304&lt;=50,I1304*1.1+4,IF(I1304&lt;=120,I1304*1.1+7,IF(I1304&lt;=250,I1304*1.1+11,I1304*1.1+19))),
IF(L1304="NORMAL",
   IF(I1304&lt;=30,I1304*1.15+2,IF(I1304&lt;=80,I1304*1.15+4,IF(I1304&lt;=150,I1304*1.15+6,I1304*1.15+8))),
IF(L1304="COMPLEMENTO",
   IF(I1304&lt;=25,I1304*1.25+1.5,IF(I1304&lt;=60,I1304*1.25+3,IF(I1304&lt;=120,I1304*1.25+4,I1304*1.25+5))),
""))),2)</f>
        <v>4505.78</v>
      </c>
      <c r="I1304" s="9">
        <f>($K$2+0.02)*Tabla1[[#This Row],[PRECIO $]]*1.18</f>
        <v>3911.1128319999998</v>
      </c>
      <c r="J1304" s="7">
        <f>+Tabla1[[#This Row],[PRECIO EN SOLES]]-Tabla1[[#This Row],[PC]]</f>
        <v>594.66716799999995</v>
      </c>
      <c r="K1304" s="15"/>
      <c r="L1304" s="15" t="str">
        <f t="shared" si="20"/>
        <v>NORMAL</v>
      </c>
    </row>
    <row r="1305" spans="1:12" x14ac:dyDescent="0.25">
      <c r="A1305" s="3" t="s">
        <v>1944</v>
      </c>
      <c r="B1305" s="3" t="s">
        <v>1945</v>
      </c>
      <c r="C1305" s="1">
        <v>20</v>
      </c>
      <c r="D1305" s="1">
        <v>311.11</v>
      </c>
      <c r="E1305" s="1" t="s">
        <v>1859</v>
      </c>
      <c r="F1305" s="1" t="s">
        <v>3555</v>
      </c>
      <c r="G1305" s="3" t="s">
        <v>1946</v>
      </c>
      <c r="H1305" s="11">
        <f>ROUND(
IF(L1305="GANCHO",
   IF(I1305&lt;=50,I1305*1.1+4,IF(I1305&lt;=120,I1305*1.1+7,IF(I1305&lt;=250,I1305*1.1+11,I1305*1.1+19))),
IF(L1305="NORMAL",
   IF(I1305&lt;=30,I1305*1.15+2,IF(I1305&lt;=80,I1305*1.15+4,IF(I1305&lt;=150,I1305*1.15+6,I1305*1.15+8))),
IF(L1305="COMPLEMENTO",
   IF(I1305&lt;=25,I1305*1.25+1.5,IF(I1305&lt;=60,I1305*1.25+3,IF(I1305&lt;=120,I1305*1.25+4,I1305*1.25+5))),
""))),2)</f>
        <v>1494.06</v>
      </c>
      <c r="I1305" s="9">
        <f>($K$2+0.02)*Tabla1[[#This Row],[PRECIO $]]*1.18</f>
        <v>1292.226496</v>
      </c>
      <c r="J1305" s="7">
        <f>+Tabla1[[#This Row],[PRECIO EN SOLES]]-Tabla1[[#This Row],[PC]]</f>
        <v>201.83350399999995</v>
      </c>
      <c r="K1305" s="15"/>
      <c r="L1305" s="15" t="str">
        <f t="shared" si="20"/>
        <v>NORMAL</v>
      </c>
    </row>
    <row r="1306" spans="1:12" x14ac:dyDescent="0.25">
      <c r="A1306" s="3" t="s">
        <v>1947</v>
      </c>
      <c r="B1306" s="3" t="s">
        <v>1948</v>
      </c>
      <c r="C1306" s="1">
        <v>0</v>
      </c>
      <c r="D1306" s="1">
        <v>16.7</v>
      </c>
      <c r="E1306" s="1" t="s">
        <v>1859</v>
      </c>
      <c r="F1306" s="1" t="s">
        <v>3556</v>
      </c>
      <c r="G1306" s="3" t="s">
        <v>1949</v>
      </c>
      <c r="H1306" s="11">
        <f>ROUND(
IF(L1306="GANCHO",
   IF(I1306&lt;=50,I1306*1.1+4,IF(I1306&lt;=120,I1306*1.1+7,IF(I1306&lt;=250,I1306*1.1+11,I1306*1.1+19))),
IF(L1306="NORMAL",
   IF(I1306&lt;=30,I1306*1.15+2,IF(I1306&lt;=80,I1306*1.15+4,IF(I1306&lt;=150,I1306*1.15+6,I1306*1.15+8))),
IF(L1306="COMPLEMENTO",
   IF(I1306&lt;=25,I1306*1.25+1.5,IF(I1306&lt;=60,I1306*1.25+3,IF(I1306&lt;=120,I1306*1.25+4,I1306*1.25+5))),
""))),2)</f>
        <v>90.71</v>
      </c>
      <c r="I1306" s="9">
        <f>($K$2+0.02)*Tabla1[[#This Row],[PRECIO $]]*1.18</f>
        <v>69.36511999999999</v>
      </c>
      <c r="J1306" s="7">
        <f>+Tabla1[[#This Row],[PRECIO EN SOLES]]-Tabla1[[#This Row],[PC]]</f>
        <v>21.344880000000003</v>
      </c>
      <c r="K1306" s="15"/>
      <c r="L1306" s="15" t="str">
        <f t="shared" si="20"/>
        <v>COMPLEMENTO</v>
      </c>
    </row>
    <row r="1307" spans="1:12" x14ac:dyDescent="0.25">
      <c r="A1307" s="3" t="s">
        <v>1950</v>
      </c>
      <c r="B1307" s="3" t="s">
        <v>1951</v>
      </c>
      <c r="C1307" s="1">
        <v>1</v>
      </c>
      <c r="D1307" s="1">
        <v>118</v>
      </c>
      <c r="E1307" s="1" t="s">
        <v>1859</v>
      </c>
      <c r="F1307" s="1" t="s">
        <v>3557</v>
      </c>
      <c r="G1307" s="3"/>
      <c r="H1307" s="11">
        <f>ROUND(
IF(L1307="GANCHO",
   IF(I1307&lt;=50,I1307*1.1+4,IF(I1307&lt;=120,I1307*1.1+7,IF(I1307&lt;=250,I1307*1.1+11,I1307*1.1+19))),
IF(L1307="NORMAL",
   IF(I1307&lt;=30,I1307*1.15+2,IF(I1307&lt;=80,I1307*1.15+4,IF(I1307&lt;=150,I1307*1.15+6,I1307*1.15+8))),
IF(L1307="COMPLEMENTO",
   IF(I1307&lt;=25,I1307*1.25+1.5,IF(I1307&lt;=60,I1307*1.25+3,IF(I1307&lt;=120,I1307*1.25+4,I1307*1.25+5))),
""))),2)</f>
        <v>571.64</v>
      </c>
      <c r="I1307" s="9">
        <f>($K$2+0.02)*Tabla1[[#This Row],[PRECIO $]]*1.18</f>
        <v>490.12479999999999</v>
      </c>
      <c r="J1307" s="7">
        <f>+Tabla1[[#This Row],[PRECIO EN SOLES]]-Tabla1[[#This Row],[PC]]</f>
        <v>81.515199999999993</v>
      </c>
      <c r="K1307" s="15"/>
      <c r="L1307" s="15" t="str">
        <f t="shared" si="20"/>
        <v>NORMAL</v>
      </c>
    </row>
    <row r="1308" spans="1:12" x14ac:dyDescent="0.25">
      <c r="A1308" s="3" t="s">
        <v>1952</v>
      </c>
      <c r="B1308" s="3" t="s">
        <v>1953</v>
      </c>
      <c r="C1308" s="1">
        <v>19</v>
      </c>
      <c r="D1308" s="1">
        <v>93</v>
      </c>
      <c r="E1308" s="1" t="s">
        <v>1859</v>
      </c>
      <c r="F1308" s="1" t="s">
        <v>3558</v>
      </c>
      <c r="G1308" s="3" t="s">
        <v>1954</v>
      </c>
      <c r="H1308" s="11">
        <f>ROUND(
IF(L1308="GANCHO",
   IF(I1308&lt;=50,I1308*1.1+4,IF(I1308&lt;=120,I1308*1.1+7,IF(I1308&lt;=250,I1308*1.1+11,I1308*1.1+19))),
IF(L1308="NORMAL",
   IF(I1308&lt;=30,I1308*1.15+2,IF(I1308&lt;=80,I1308*1.15+4,IF(I1308&lt;=150,I1308*1.15+6,I1308*1.15+8))),
IF(L1308="COMPLEMENTO",
   IF(I1308&lt;=25,I1308*1.25+1.5,IF(I1308&lt;=60,I1308*1.25+3,IF(I1308&lt;=120,I1308*1.25+4,I1308*1.25+5))),
""))),2)</f>
        <v>452.23</v>
      </c>
      <c r="I1308" s="9">
        <f>($K$2+0.02)*Tabla1[[#This Row],[PRECIO $]]*1.18</f>
        <v>386.28480000000002</v>
      </c>
      <c r="J1308" s="7">
        <f>+Tabla1[[#This Row],[PRECIO EN SOLES]]-Tabla1[[#This Row],[PC]]</f>
        <v>65.9452</v>
      </c>
      <c r="K1308" s="15"/>
      <c r="L1308" s="15" t="str">
        <f t="shared" si="20"/>
        <v>NORMAL</v>
      </c>
    </row>
    <row r="1309" spans="1:12" x14ac:dyDescent="0.25">
      <c r="A1309" s="3" t="s">
        <v>1955</v>
      </c>
      <c r="B1309" s="3" t="s">
        <v>1956</v>
      </c>
      <c r="C1309" s="1">
        <v>3</v>
      </c>
      <c r="D1309" s="1">
        <v>278.88</v>
      </c>
      <c r="E1309" s="1" t="s">
        <v>1859</v>
      </c>
      <c r="F1309" s="1" t="s">
        <v>3559</v>
      </c>
      <c r="G1309" s="3" t="s">
        <v>1957</v>
      </c>
      <c r="H1309" s="11">
        <f>ROUND(
IF(L1309="GANCHO",
   IF(I1309&lt;=50,I1309*1.1+4,IF(I1309&lt;=120,I1309*1.1+7,IF(I1309&lt;=250,I1309*1.1+11,I1309*1.1+19))),
IF(L1309="NORMAL",
   IF(I1309&lt;=30,I1309*1.15+2,IF(I1309&lt;=80,I1309*1.15+4,IF(I1309&lt;=150,I1309*1.15+6,I1309*1.15+8))),
IF(L1309="COMPLEMENTO",
   IF(I1309&lt;=25,I1309*1.25+1.5,IF(I1309&lt;=60,I1309*1.25+3,IF(I1309&lt;=120,I1309*1.25+4,I1309*1.25+5))),
""))),2)</f>
        <v>1340.11</v>
      </c>
      <c r="I1309" s="9">
        <f>($K$2+0.02)*Tabla1[[#This Row],[PRECIO $]]*1.18</f>
        <v>1158.3559679999998</v>
      </c>
      <c r="J1309" s="7">
        <f>+Tabla1[[#This Row],[PRECIO EN SOLES]]-Tabla1[[#This Row],[PC]]</f>
        <v>181.75403200000005</v>
      </c>
      <c r="K1309" s="15"/>
      <c r="L1309" s="15" t="str">
        <f t="shared" si="20"/>
        <v>NORMAL</v>
      </c>
    </row>
    <row r="1310" spans="1:12" x14ac:dyDescent="0.25">
      <c r="A1310" s="3" t="s">
        <v>5567</v>
      </c>
      <c r="B1310" s="3" t="s">
        <v>5568</v>
      </c>
      <c r="C1310" s="1">
        <v>3</v>
      </c>
      <c r="D1310" s="1">
        <v>469.48</v>
      </c>
      <c r="E1310" s="1" t="s">
        <v>1859</v>
      </c>
      <c r="F1310" s="1" t="s">
        <v>5569</v>
      </c>
      <c r="G1310" s="3"/>
      <c r="H1310" s="11">
        <f>ROUND(
IF(L1310="GANCHO",
   IF(I1310&lt;=50,I1310*1.1+4,IF(I1310&lt;=120,I1310*1.1+7,IF(I1310&lt;=250,I1310*1.1+11,I1310*1.1+19))),
IF(L1310="NORMAL",
   IF(I1310&lt;=30,I1310*1.15+2,IF(I1310&lt;=80,I1310*1.15+4,IF(I1310&lt;=150,I1310*1.15+6,I1310*1.15+8))),
IF(L1310="COMPLEMENTO",
   IF(I1310&lt;=25,I1310*1.25+1.5,IF(I1310&lt;=60,I1310*1.25+3,IF(I1310&lt;=120,I1310*1.25+4,I1310*1.25+5))),
""))),2)</f>
        <v>2250.54</v>
      </c>
      <c r="I1310" s="9">
        <f>($K$2+0.02)*Tabla1[[#This Row],[PRECIO $]]*1.18</f>
        <v>1950.0321279999998</v>
      </c>
      <c r="J1310" s="7">
        <f>+Tabla1[[#This Row],[PRECIO EN SOLES]]-Tabla1[[#This Row],[PC]]</f>
        <v>300.50787200000013</v>
      </c>
      <c r="K1310" s="15"/>
      <c r="L1310" s="15" t="str">
        <f t="shared" si="20"/>
        <v>NORMAL</v>
      </c>
    </row>
    <row r="1311" spans="1:12" x14ac:dyDescent="0.25">
      <c r="A1311" s="3" t="s">
        <v>1958</v>
      </c>
      <c r="B1311" s="3" t="s">
        <v>1959</v>
      </c>
      <c r="C1311" s="1">
        <v>0</v>
      </c>
      <c r="D1311" s="1">
        <v>228</v>
      </c>
      <c r="E1311" s="1" t="s">
        <v>1045</v>
      </c>
      <c r="F1311" s="1" t="s">
        <v>3560</v>
      </c>
      <c r="G1311" s="3" t="s">
        <v>1960</v>
      </c>
      <c r="H1311" s="11">
        <f>ROUND(
IF(L1311="GANCHO",
   IF(I1311&lt;=50,I1311*1.1+4,IF(I1311&lt;=120,I1311*1.1+7,IF(I1311&lt;=250,I1311*1.1+11,I1311*1.1+19))),
IF(L1311="NORMAL",
   IF(I1311&lt;=30,I1311*1.15+2,IF(I1311&lt;=80,I1311*1.15+4,IF(I1311&lt;=150,I1311*1.15+6,I1311*1.15+8))),
IF(L1311="COMPLEMENTO",
   IF(I1311&lt;=25,I1311*1.25+1.5,IF(I1311&lt;=60,I1311*1.25+3,IF(I1311&lt;=120,I1311*1.25+4,I1311*1.25+5))),
""))),2)</f>
        <v>1097.07</v>
      </c>
      <c r="I1311" s="9">
        <f>($K$2+0.02)*Tabla1[[#This Row],[PRECIO $]]*1.18</f>
        <v>947.02080000000001</v>
      </c>
      <c r="J1311" s="7">
        <f>+Tabla1[[#This Row],[PRECIO EN SOLES]]-Tabla1[[#This Row],[PC]]</f>
        <v>150.04919999999993</v>
      </c>
      <c r="K1311" s="15"/>
      <c r="L1311" s="15" t="str">
        <f t="shared" si="20"/>
        <v>NORMAL</v>
      </c>
    </row>
    <row r="1312" spans="1:12" x14ac:dyDescent="0.25">
      <c r="A1312" s="3" t="s">
        <v>415</v>
      </c>
      <c r="B1312" s="3" t="s">
        <v>416</v>
      </c>
      <c r="C1312" s="1">
        <v>20</v>
      </c>
      <c r="D1312" s="1">
        <v>18.59</v>
      </c>
      <c r="E1312" s="1" t="s">
        <v>402</v>
      </c>
      <c r="F1312" s="1" t="s">
        <v>3668</v>
      </c>
      <c r="G1312" s="3" t="s">
        <v>417</v>
      </c>
      <c r="H1312" s="11">
        <f>ROUND(
IF(L1312="GANCHO",
   IF(I1312&lt;=50,I1312*1.1+4,IF(I1312&lt;=120,I1312*1.1+7,IF(I1312&lt;=250,I1312*1.1+11,I1312*1.1+19))),
IF(L1312="NORMAL",
   IF(I1312&lt;=30,I1312*1.15+2,IF(I1312&lt;=80,I1312*1.15+4,IF(I1312&lt;=150,I1312*1.15+6,I1312*1.15+8))),
IF(L1312="COMPLEMENTO",
   IF(I1312&lt;=25,I1312*1.25+1.5,IF(I1312&lt;=60,I1312*1.25+3,IF(I1312&lt;=120,I1312*1.25+4,I1312*1.25+5))),
""))),2)</f>
        <v>92.8</v>
      </c>
      <c r="I1312" s="9">
        <f>($K$2+0.02)*Tabla1[[#This Row],[PRECIO $]]*1.18</f>
        <v>77.215423999999999</v>
      </c>
      <c r="J1312" s="7">
        <f>+Tabla1[[#This Row],[PRECIO EN SOLES]]-Tabla1[[#This Row],[PC]]</f>
        <v>15.584575999999998</v>
      </c>
      <c r="K1312" s="15"/>
      <c r="L1312" s="15" t="str">
        <f t="shared" si="20"/>
        <v>NORMAL</v>
      </c>
    </row>
    <row r="1313" spans="1:12" x14ac:dyDescent="0.25">
      <c r="A1313" s="3" t="s">
        <v>4349</v>
      </c>
      <c r="B1313" s="3" t="s">
        <v>4350</v>
      </c>
      <c r="C1313" s="1">
        <v>20</v>
      </c>
      <c r="D1313" s="1">
        <v>11.48</v>
      </c>
      <c r="E1313" s="1" t="s">
        <v>402</v>
      </c>
      <c r="F1313" s="1" t="s">
        <v>4351</v>
      </c>
      <c r="G1313" s="3" t="s">
        <v>5570</v>
      </c>
      <c r="H1313" s="11">
        <f>ROUND(
IF(L1313="GANCHO",
   IF(I1313&lt;=50,I1313*1.1+4,IF(I1313&lt;=120,I1313*1.1+7,IF(I1313&lt;=250,I1313*1.1+11,I1313*1.1+19))),
IF(L1313="NORMAL",
   IF(I1313&lt;=30,I1313*1.15+2,IF(I1313&lt;=80,I1313*1.15+4,IF(I1313&lt;=150,I1313*1.15+6,I1313*1.15+8))),
IF(L1313="COMPLEMENTO",
   IF(I1313&lt;=25,I1313*1.25+1.5,IF(I1313&lt;=60,I1313*1.25+3,IF(I1313&lt;=120,I1313*1.25+4,I1313*1.25+5))),
""))),2)</f>
        <v>58.84</v>
      </c>
      <c r="I1313" s="9">
        <f>($K$2+0.02)*Tabla1[[#This Row],[PRECIO $]]*1.18</f>
        <v>47.683328000000003</v>
      </c>
      <c r="J1313" s="7">
        <f>+Tabla1[[#This Row],[PRECIO EN SOLES]]-Tabla1[[#This Row],[PC]]</f>
        <v>11.156672</v>
      </c>
      <c r="K1313" s="15"/>
      <c r="L1313" s="15" t="str">
        <f t="shared" si="20"/>
        <v>NORMAL</v>
      </c>
    </row>
    <row r="1314" spans="1:12" x14ac:dyDescent="0.25">
      <c r="A1314" s="3" t="s">
        <v>1961</v>
      </c>
      <c r="B1314" s="3" t="s">
        <v>1962</v>
      </c>
      <c r="C1314" s="1">
        <v>0</v>
      </c>
      <c r="D1314" s="1">
        <v>3370</v>
      </c>
      <c r="E1314" s="1" t="s">
        <v>1045</v>
      </c>
      <c r="F1314" s="1" t="s">
        <v>3561</v>
      </c>
      <c r="G1314" s="3" t="s">
        <v>1963</v>
      </c>
      <c r="H1314" s="11">
        <f>ROUND(
IF(L1314="GANCHO",
   IF(I1314&lt;=50,I1314*1.1+4,IF(I1314&lt;=120,I1314*1.1+7,IF(I1314&lt;=250,I1314*1.1+11,I1314*1.1+19))),
IF(L1314="NORMAL",
   IF(I1314&lt;=30,I1314*1.15+2,IF(I1314&lt;=80,I1314*1.15+4,IF(I1314&lt;=150,I1314*1.15+6,I1314*1.15+8))),
IF(L1314="COMPLEMENTO",
   IF(I1314&lt;=25,I1314*1.25+1.5,IF(I1314&lt;=60,I1314*1.25+3,IF(I1314&lt;=120,I1314*1.25+4,I1314*1.25+5))),
""))),2)</f>
        <v>16105.28</v>
      </c>
      <c r="I1314" s="9">
        <f>($K$2+0.02)*Tabla1[[#This Row],[PRECIO $]]*1.18</f>
        <v>13997.632</v>
      </c>
      <c r="J1314" s="7">
        <f>+Tabla1[[#This Row],[PRECIO EN SOLES]]-Tabla1[[#This Row],[PC]]</f>
        <v>2107.648000000001</v>
      </c>
      <c r="K1314" s="15"/>
      <c r="L1314" s="15" t="str">
        <f t="shared" si="20"/>
        <v>NORMAL</v>
      </c>
    </row>
    <row r="1315" spans="1:12" x14ac:dyDescent="0.25">
      <c r="A1315" s="3" t="s">
        <v>1964</v>
      </c>
      <c r="B1315" s="3" t="s">
        <v>1965</v>
      </c>
      <c r="C1315" s="1">
        <v>0</v>
      </c>
      <c r="D1315" s="1">
        <v>138</v>
      </c>
      <c r="E1315" s="1" t="s">
        <v>1045</v>
      </c>
      <c r="F1315" s="1" t="s">
        <v>3562</v>
      </c>
      <c r="G1315" s="3" t="s">
        <v>1966</v>
      </c>
      <c r="H1315" s="11">
        <f>ROUND(
IF(L1315="GANCHO",
   IF(I1315&lt;=50,I1315*1.1+4,IF(I1315&lt;=120,I1315*1.1+7,IF(I1315&lt;=250,I1315*1.1+11,I1315*1.1+19))),
IF(L1315="NORMAL",
   IF(I1315&lt;=30,I1315*1.15+2,IF(I1315&lt;=80,I1315*1.15+4,IF(I1315&lt;=150,I1315*1.15+6,I1315*1.15+8))),
IF(L1315="COMPLEMENTO",
   IF(I1315&lt;=25,I1315*1.25+1.5,IF(I1315&lt;=60,I1315*1.25+3,IF(I1315&lt;=120,I1315*1.25+4,I1315*1.25+5))),
""))),2)</f>
        <v>667.18</v>
      </c>
      <c r="I1315" s="9">
        <f>($K$2+0.02)*Tabla1[[#This Row],[PRECIO $]]*1.18</f>
        <v>573.19679999999994</v>
      </c>
      <c r="J1315" s="7">
        <f>+Tabla1[[#This Row],[PRECIO EN SOLES]]-Tabla1[[#This Row],[PC]]</f>
        <v>93.983200000000011</v>
      </c>
      <c r="K1315" s="15"/>
      <c r="L1315" s="15" t="str">
        <f t="shared" si="20"/>
        <v>NORMAL</v>
      </c>
    </row>
    <row r="1316" spans="1:12" x14ac:dyDescent="0.25">
      <c r="A1316" s="3" t="s">
        <v>1967</v>
      </c>
      <c r="B1316" s="3" t="s">
        <v>1968</v>
      </c>
      <c r="C1316" s="1">
        <v>0</v>
      </c>
      <c r="D1316" s="1">
        <v>418</v>
      </c>
      <c r="E1316" s="1" t="s">
        <v>1045</v>
      </c>
      <c r="F1316" s="1" t="s">
        <v>3563</v>
      </c>
      <c r="G1316" s="3" t="s">
        <v>1969</v>
      </c>
      <c r="H1316" s="11">
        <f>ROUND(
IF(L1316="GANCHO",
   IF(I1316&lt;=50,I1316*1.1+4,IF(I1316&lt;=120,I1316*1.1+7,IF(I1316&lt;=250,I1316*1.1+11,I1316*1.1+19))),
IF(L1316="NORMAL",
   IF(I1316&lt;=30,I1316*1.15+2,IF(I1316&lt;=80,I1316*1.15+4,IF(I1316&lt;=150,I1316*1.15+6,I1316*1.15+8))),
IF(L1316="COMPLEMENTO",
   IF(I1316&lt;=25,I1316*1.25+1.5,IF(I1316&lt;=60,I1316*1.25+3,IF(I1316&lt;=120,I1316*1.25+4,I1316*1.25+5))),
""))),2)</f>
        <v>2004.64</v>
      </c>
      <c r="I1316" s="9">
        <f>($K$2+0.02)*Tabla1[[#This Row],[PRECIO $]]*1.18</f>
        <v>1736.2047999999998</v>
      </c>
      <c r="J1316" s="7">
        <f>+Tabla1[[#This Row],[PRECIO EN SOLES]]-Tabla1[[#This Row],[PC]]</f>
        <v>268.43520000000035</v>
      </c>
      <c r="K1316" s="15"/>
      <c r="L1316" s="15" t="str">
        <f t="shared" si="20"/>
        <v>NORMAL</v>
      </c>
    </row>
    <row r="1317" spans="1:12" x14ac:dyDescent="0.25">
      <c r="A1317" s="3" t="s">
        <v>1970</v>
      </c>
      <c r="B1317" s="3" t="s">
        <v>1971</v>
      </c>
      <c r="C1317" s="1">
        <v>0</v>
      </c>
      <c r="D1317" s="1">
        <v>4398</v>
      </c>
      <c r="E1317" s="1" t="s">
        <v>1045</v>
      </c>
      <c r="F1317" s="1" t="s">
        <v>3564</v>
      </c>
      <c r="G1317" s="3" t="s">
        <v>1972</v>
      </c>
      <c r="H1317" s="11">
        <f>ROUND(
IF(L1317="GANCHO",
   IF(I1317&lt;=50,I1317*1.1+4,IF(I1317&lt;=120,I1317*1.1+7,IF(I1317&lt;=250,I1317*1.1+11,I1317*1.1+19))),
IF(L1317="NORMAL",
   IF(I1317&lt;=30,I1317*1.15+2,IF(I1317&lt;=80,I1317*1.15+4,IF(I1317&lt;=150,I1317*1.15+6,I1317*1.15+8))),
IF(L1317="COMPLEMENTO",
   IF(I1317&lt;=25,I1317*1.25+1.5,IF(I1317&lt;=60,I1317*1.25+3,IF(I1317&lt;=120,I1317*1.25+4,I1317*1.25+5))),
""))),2)</f>
        <v>21015.66</v>
      </c>
      <c r="I1317" s="9">
        <f>($K$2+0.02)*Tabla1[[#This Row],[PRECIO $]]*1.18</f>
        <v>18267.532800000001</v>
      </c>
      <c r="J1317" s="7">
        <f>+Tabla1[[#This Row],[PRECIO EN SOLES]]-Tabla1[[#This Row],[PC]]</f>
        <v>2748.127199999999</v>
      </c>
      <c r="K1317" s="15"/>
      <c r="L1317" s="15" t="str">
        <f t="shared" si="20"/>
        <v>NORMAL</v>
      </c>
    </row>
    <row r="1318" spans="1:12" x14ac:dyDescent="0.25">
      <c r="A1318" s="3" t="s">
        <v>1973</v>
      </c>
      <c r="B1318" s="3" t="s">
        <v>1974</v>
      </c>
      <c r="C1318" s="1">
        <v>0</v>
      </c>
      <c r="D1318" s="1">
        <v>197</v>
      </c>
      <c r="E1318" s="1" t="s">
        <v>1045</v>
      </c>
      <c r="F1318" s="1" t="s">
        <v>3565</v>
      </c>
      <c r="G1318" s="3" t="s">
        <v>1975</v>
      </c>
      <c r="H1318" s="11">
        <f>ROUND(
IF(L1318="GANCHO",
   IF(I1318&lt;=50,I1318*1.1+4,IF(I1318&lt;=120,I1318*1.1+7,IF(I1318&lt;=250,I1318*1.1+11,I1318*1.1+19))),
IF(L1318="NORMAL",
   IF(I1318&lt;=30,I1318*1.15+2,IF(I1318&lt;=80,I1318*1.15+4,IF(I1318&lt;=150,I1318*1.15+6,I1318*1.15+8))),
IF(L1318="COMPLEMENTO",
   IF(I1318&lt;=25,I1318*1.25+1.5,IF(I1318&lt;=60,I1318*1.25+3,IF(I1318&lt;=120,I1318*1.25+4,I1318*1.25+5))),
""))),2)</f>
        <v>949</v>
      </c>
      <c r="I1318" s="9">
        <f>($K$2+0.02)*Tabla1[[#This Row],[PRECIO $]]*1.18</f>
        <v>818.25920000000008</v>
      </c>
      <c r="J1318" s="7">
        <f>+Tabla1[[#This Row],[PRECIO EN SOLES]]-Tabla1[[#This Row],[PC]]</f>
        <v>130.74079999999992</v>
      </c>
      <c r="K1318" s="15"/>
      <c r="L1318" s="15" t="str">
        <f t="shared" si="20"/>
        <v>NORMAL</v>
      </c>
    </row>
    <row r="1319" spans="1:12" x14ac:dyDescent="0.25">
      <c r="A1319" s="3" t="s">
        <v>1976</v>
      </c>
      <c r="B1319" s="3" t="s">
        <v>1880</v>
      </c>
      <c r="C1319" s="1">
        <v>0</v>
      </c>
      <c r="D1319" s="1">
        <v>40</v>
      </c>
      <c r="E1319" s="1" t="s">
        <v>1045</v>
      </c>
      <c r="F1319" s="1" t="s">
        <v>3566</v>
      </c>
      <c r="G1319" s="3" t="s">
        <v>1977</v>
      </c>
      <c r="H1319" s="11">
        <f>ROUND(
IF(L1319="GANCHO",
   IF(I1319&lt;=50,I1319*1.1+4,IF(I1319&lt;=120,I1319*1.1+7,IF(I1319&lt;=250,I1319*1.1+11,I1319*1.1+19))),
IF(L1319="NORMAL",
   IF(I1319&lt;=30,I1319*1.15+2,IF(I1319&lt;=80,I1319*1.15+4,IF(I1319&lt;=150,I1319*1.15+6,I1319*1.15+8))),
IF(L1319="COMPLEMENTO",
   IF(I1319&lt;=25,I1319*1.25+1.5,IF(I1319&lt;=60,I1319*1.25+3,IF(I1319&lt;=120,I1319*1.25+4,I1319*1.25+5))),
""))),2)</f>
        <v>199.07</v>
      </c>
      <c r="I1319" s="9">
        <f>($K$2+0.02)*Tabla1[[#This Row],[PRECIO $]]*1.18</f>
        <v>166.14400000000001</v>
      </c>
      <c r="J1319" s="7">
        <f>+Tabla1[[#This Row],[PRECIO EN SOLES]]-Tabla1[[#This Row],[PC]]</f>
        <v>32.925999999999988</v>
      </c>
      <c r="K1319" s="15"/>
      <c r="L1319" s="15" t="str">
        <f t="shared" si="20"/>
        <v>NORMAL</v>
      </c>
    </row>
    <row r="1320" spans="1:12" x14ac:dyDescent="0.25">
      <c r="A1320" s="3" t="s">
        <v>1978</v>
      </c>
      <c r="B1320" s="3" t="s">
        <v>1979</v>
      </c>
      <c r="C1320" s="1">
        <v>0</v>
      </c>
      <c r="D1320" s="1">
        <v>1798</v>
      </c>
      <c r="E1320" s="1" t="s">
        <v>1045</v>
      </c>
      <c r="F1320" s="1" t="s">
        <v>3567</v>
      </c>
      <c r="G1320" s="3" t="s">
        <v>1980</v>
      </c>
      <c r="H1320" s="11">
        <f>ROUND(
IF(L1320="GANCHO",
   IF(I1320&lt;=50,I1320*1.1+4,IF(I1320&lt;=120,I1320*1.1+7,IF(I1320&lt;=250,I1320*1.1+11,I1320*1.1+19))),
IF(L1320="NORMAL",
   IF(I1320&lt;=30,I1320*1.15+2,IF(I1320&lt;=80,I1320*1.15+4,IF(I1320&lt;=150,I1320*1.15+6,I1320*1.15+8))),
IF(L1320="COMPLEMENTO",
   IF(I1320&lt;=25,I1320*1.25+1.5,IF(I1320&lt;=60,I1320*1.25+3,IF(I1320&lt;=120,I1320*1.25+4,I1320*1.25+5))),
""))),2)</f>
        <v>8596.4</v>
      </c>
      <c r="I1320" s="9">
        <f>($K$2+0.02)*Tabla1[[#This Row],[PRECIO $]]*1.18</f>
        <v>7468.1727999999994</v>
      </c>
      <c r="J1320" s="7">
        <f>+Tabla1[[#This Row],[PRECIO EN SOLES]]-Tabla1[[#This Row],[PC]]</f>
        <v>1128.2272000000003</v>
      </c>
      <c r="K1320" s="15"/>
      <c r="L1320" s="15" t="str">
        <f t="shared" si="20"/>
        <v>NORMAL</v>
      </c>
    </row>
    <row r="1321" spans="1:12" x14ac:dyDescent="0.25">
      <c r="A1321" s="3" t="s">
        <v>1981</v>
      </c>
      <c r="B1321" s="3" t="s">
        <v>1982</v>
      </c>
      <c r="C1321" s="1">
        <v>0</v>
      </c>
      <c r="D1321" s="1">
        <v>45</v>
      </c>
      <c r="E1321" s="1" t="s">
        <v>1045</v>
      </c>
      <c r="F1321" s="1" t="s">
        <v>3568</v>
      </c>
      <c r="G1321" s="3" t="s">
        <v>1983</v>
      </c>
      <c r="H1321" s="11">
        <f>ROUND(
IF(L1321="GANCHO",
   IF(I1321&lt;=50,I1321*1.1+4,IF(I1321&lt;=120,I1321*1.1+7,IF(I1321&lt;=250,I1321*1.1+11,I1321*1.1+19))),
IF(L1321="NORMAL",
   IF(I1321&lt;=30,I1321*1.15+2,IF(I1321&lt;=80,I1321*1.15+4,IF(I1321&lt;=150,I1321*1.15+6,I1321*1.15+8))),
IF(L1321="COMPLEMENTO",
   IF(I1321&lt;=25,I1321*1.25+1.5,IF(I1321&lt;=60,I1321*1.25+3,IF(I1321&lt;=120,I1321*1.25+4,I1321*1.25+5))),
""))),2)</f>
        <v>222.95</v>
      </c>
      <c r="I1321" s="9">
        <f>($K$2+0.02)*Tabla1[[#This Row],[PRECIO $]]*1.18</f>
        <v>186.91200000000001</v>
      </c>
      <c r="J1321" s="7">
        <f>+Tabla1[[#This Row],[PRECIO EN SOLES]]-Tabla1[[#This Row],[PC]]</f>
        <v>36.037999999999982</v>
      </c>
      <c r="K1321" s="15"/>
      <c r="L1321" s="15" t="str">
        <f t="shared" si="20"/>
        <v>NORMAL</v>
      </c>
    </row>
    <row r="1322" spans="1:12" x14ac:dyDescent="0.25">
      <c r="A1322" s="3" t="s">
        <v>1984</v>
      </c>
      <c r="B1322" s="3" t="s">
        <v>1985</v>
      </c>
      <c r="C1322" s="1">
        <v>0</v>
      </c>
      <c r="D1322" s="1">
        <v>2228</v>
      </c>
      <c r="E1322" s="1" t="s">
        <v>1045</v>
      </c>
      <c r="F1322" s="1" t="s">
        <v>3569</v>
      </c>
      <c r="G1322" s="3" t="s">
        <v>1986</v>
      </c>
      <c r="H1322" s="11">
        <f>ROUND(
IF(L1322="GANCHO",
   IF(I1322&lt;=50,I1322*1.1+4,IF(I1322&lt;=120,I1322*1.1+7,IF(I1322&lt;=250,I1322*1.1+11,I1322*1.1+19))),
IF(L1322="NORMAL",
   IF(I1322&lt;=30,I1322*1.15+2,IF(I1322&lt;=80,I1322*1.15+4,IF(I1322&lt;=150,I1322*1.15+6,I1322*1.15+8))),
IF(L1322="COMPLEMENTO",
   IF(I1322&lt;=25,I1322*1.25+1.5,IF(I1322&lt;=60,I1322*1.25+3,IF(I1322&lt;=120,I1322*1.25+4,I1322*1.25+5))),
""))),2)</f>
        <v>10650.35</v>
      </c>
      <c r="I1322" s="9">
        <f>($K$2+0.02)*Tabla1[[#This Row],[PRECIO $]]*1.18</f>
        <v>9254.2207999999991</v>
      </c>
      <c r="J1322" s="7">
        <f>+Tabla1[[#This Row],[PRECIO EN SOLES]]-Tabla1[[#This Row],[PC]]</f>
        <v>1396.1292000000012</v>
      </c>
      <c r="K1322" s="15"/>
      <c r="L1322" s="15" t="str">
        <f t="shared" si="20"/>
        <v>NORMAL</v>
      </c>
    </row>
    <row r="1323" spans="1:12" x14ac:dyDescent="0.25">
      <c r="A1323" s="3" t="s">
        <v>1987</v>
      </c>
      <c r="B1323" s="3" t="s">
        <v>1988</v>
      </c>
      <c r="C1323" s="1">
        <v>20</v>
      </c>
      <c r="D1323" s="1">
        <v>329</v>
      </c>
      <c r="E1323" s="1" t="s">
        <v>1859</v>
      </c>
      <c r="F1323" s="1" t="s">
        <v>3570</v>
      </c>
      <c r="G1323" s="3"/>
      <c r="H1323" s="11">
        <f>ROUND(
IF(L1323="GANCHO",
   IF(I1323&lt;=50,I1323*1.1+4,IF(I1323&lt;=120,I1323*1.1+7,IF(I1323&lt;=250,I1323*1.1+11,I1323*1.1+19))),
IF(L1323="NORMAL",
   IF(I1323&lt;=30,I1323*1.15+2,IF(I1323&lt;=80,I1323*1.15+4,IF(I1323&lt;=150,I1323*1.15+6,I1323*1.15+8))),
IF(L1323="COMPLEMENTO",
   IF(I1323&lt;=25,I1323*1.25+1.5,IF(I1323&lt;=60,I1323*1.25+3,IF(I1323&lt;=120,I1323*1.25+4,I1323*1.25+5))),
""))),2)</f>
        <v>1579.51</v>
      </c>
      <c r="I1323" s="9">
        <f>($K$2+0.02)*Tabla1[[#This Row],[PRECIO $]]*1.18</f>
        <v>1366.5343999999998</v>
      </c>
      <c r="J1323" s="7">
        <f>+Tabla1[[#This Row],[PRECIO EN SOLES]]-Tabla1[[#This Row],[PC]]</f>
        <v>212.97560000000021</v>
      </c>
      <c r="K1323" s="15"/>
      <c r="L1323" s="15" t="str">
        <f t="shared" si="20"/>
        <v>NORMAL</v>
      </c>
    </row>
    <row r="1324" spans="1:12" x14ac:dyDescent="0.25">
      <c r="A1324" s="3" t="s">
        <v>1989</v>
      </c>
      <c r="B1324" s="3" t="s">
        <v>1990</v>
      </c>
      <c r="C1324" s="1">
        <v>20</v>
      </c>
      <c r="D1324" s="1">
        <v>478.67</v>
      </c>
      <c r="E1324" s="1" t="s">
        <v>1859</v>
      </c>
      <c r="F1324" s="1" t="s">
        <v>3571</v>
      </c>
      <c r="G1324" s="3"/>
      <c r="H1324" s="11">
        <f>ROUND(
IF(L1324="GANCHO",
   IF(I1324&lt;=50,I1324*1.1+4,IF(I1324&lt;=120,I1324*1.1+7,IF(I1324&lt;=250,I1324*1.1+11,I1324*1.1+19))),
IF(L1324="NORMAL",
   IF(I1324&lt;=30,I1324*1.15+2,IF(I1324&lt;=80,I1324*1.15+4,IF(I1324&lt;=150,I1324*1.15+6,I1324*1.15+8))),
IF(L1324="COMPLEMENTO",
   IF(I1324&lt;=25,I1324*1.25+1.5,IF(I1324&lt;=60,I1324*1.25+3,IF(I1324&lt;=120,I1324*1.25+4,I1324*1.25+5))),
""))),2)</f>
        <v>2294.4299999999998</v>
      </c>
      <c r="I1324" s="9">
        <f>($K$2+0.02)*Tabla1[[#This Row],[PRECIO $]]*1.18</f>
        <v>1988.203712</v>
      </c>
      <c r="J1324" s="7">
        <f>+Tabla1[[#This Row],[PRECIO EN SOLES]]-Tabla1[[#This Row],[PC]]</f>
        <v>306.22628799999984</v>
      </c>
      <c r="K1324" s="15"/>
      <c r="L1324" s="15" t="str">
        <f t="shared" si="20"/>
        <v>NORMAL</v>
      </c>
    </row>
    <row r="1325" spans="1:12" x14ac:dyDescent="0.25">
      <c r="A1325" s="3" t="s">
        <v>1991</v>
      </c>
      <c r="B1325" s="3" t="s">
        <v>1990</v>
      </c>
      <c r="C1325" s="1">
        <v>1</v>
      </c>
      <c r="D1325" s="1">
        <v>428.3</v>
      </c>
      <c r="E1325" s="1" t="s">
        <v>1859</v>
      </c>
      <c r="F1325" s="1" t="s">
        <v>3572</v>
      </c>
      <c r="G1325" s="3"/>
      <c r="H1325" s="11">
        <f>ROUND(
IF(L1325="GANCHO",
   IF(I1325&lt;=50,I1325*1.1+4,IF(I1325&lt;=120,I1325*1.1+7,IF(I1325&lt;=250,I1325*1.1+11,I1325*1.1+19))),
IF(L1325="NORMAL",
   IF(I1325&lt;=30,I1325*1.15+2,IF(I1325&lt;=80,I1325*1.15+4,IF(I1325&lt;=150,I1325*1.15+6,I1325*1.15+8))),
IF(L1325="COMPLEMENTO",
   IF(I1325&lt;=25,I1325*1.25+1.5,IF(I1325&lt;=60,I1325*1.25+3,IF(I1325&lt;=120,I1325*1.25+4,I1325*1.25+5))),
""))),2)</f>
        <v>2053.83</v>
      </c>
      <c r="I1325" s="9">
        <f>($K$2+0.02)*Tabla1[[#This Row],[PRECIO $]]*1.18</f>
        <v>1778.9868799999999</v>
      </c>
      <c r="J1325" s="7">
        <f>+Tabla1[[#This Row],[PRECIO EN SOLES]]-Tabla1[[#This Row],[PC]]</f>
        <v>274.84312</v>
      </c>
      <c r="K1325" s="15"/>
      <c r="L1325" s="15" t="str">
        <f t="shared" si="20"/>
        <v>NORMAL</v>
      </c>
    </row>
    <row r="1326" spans="1:12" x14ac:dyDescent="0.25">
      <c r="A1326" s="3" t="s">
        <v>4352</v>
      </c>
      <c r="B1326" s="3" t="s">
        <v>4353</v>
      </c>
      <c r="C1326" s="1">
        <v>0</v>
      </c>
      <c r="D1326" s="1">
        <v>108.08</v>
      </c>
      <c r="E1326" s="1" t="s">
        <v>402</v>
      </c>
      <c r="F1326" s="1" t="s">
        <v>4354</v>
      </c>
      <c r="G1326" s="3" t="s">
        <v>4355</v>
      </c>
      <c r="H1326" s="11">
        <f>ROUND(
IF(L1326="GANCHO",
   IF(I1326&lt;=50,I1326*1.1+4,IF(I1326&lt;=120,I1326*1.1+7,IF(I1326&lt;=250,I1326*1.1+11,I1326*1.1+19))),
IF(L1326="NORMAL",
   IF(I1326&lt;=30,I1326*1.15+2,IF(I1326&lt;=80,I1326*1.15+4,IF(I1326&lt;=150,I1326*1.15+6,I1326*1.15+8))),
IF(L1326="COMPLEMENTO",
   IF(I1326&lt;=25,I1326*1.25+1.5,IF(I1326&lt;=60,I1326*1.25+3,IF(I1326&lt;=120,I1326*1.25+4,I1326*1.25+5))),
""))),2)</f>
        <v>524.26</v>
      </c>
      <c r="I1326" s="9">
        <f>($K$2+0.02)*Tabla1[[#This Row],[PRECIO $]]*1.18</f>
        <v>448.921088</v>
      </c>
      <c r="J1326" s="7">
        <f>+Tabla1[[#This Row],[PRECIO EN SOLES]]-Tabla1[[#This Row],[PC]]</f>
        <v>75.338911999999993</v>
      </c>
      <c r="K1326" s="15"/>
      <c r="L1326" s="15" t="str">
        <f t="shared" si="20"/>
        <v>NORMAL</v>
      </c>
    </row>
    <row r="1327" spans="1:12" x14ac:dyDescent="0.25">
      <c r="A1327" s="3" t="s">
        <v>4356</v>
      </c>
      <c r="B1327" s="3" t="s">
        <v>4357</v>
      </c>
      <c r="C1327" s="1">
        <v>2</v>
      </c>
      <c r="D1327" s="1">
        <v>402.32</v>
      </c>
      <c r="E1327" s="1" t="s">
        <v>402</v>
      </c>
      <c r="F1327" s="1" t="s">
        <v>4358</v>
      </c>
      <c r="G1327" s="3" t="s">
        <v>4359</v>
      </c>
      <c r="H1327" s="11">
        <f>ROUND(
IF(L1327="GANCHO",
   IF(I1327&lt;=50,I1327*1.1+4,IF(I1327&lt;=120,I1327*1.1+7,IF(I1327&lt;=250,I1327*1.1+11,I1327*1.1+19))),
IF(L1327="NORMAL",
   IF(I1327&lt;=30,I1327*1.15+2,IF(I1327&lt;=80,I1327*1.15+4,IF(I1327&lt;=150,I1327*1.15+6,I1327*1.15+8))),
IF(L1327="COMPLEMENTO",
   IF(I1327&lt;=25,I1327*1.25+1.5,IF(I1327&lt;=60,I1327*1.25+3,IF(I1327&lt;=120,I1327*1.25+4,I1327*1.25+5))),
""))),2)</f>
        <v>1929.74</v>
      </c>
      <c r="I1327" s="9">
        <f>($K$2+0.02)*Tabla1[[#This Row],[PRECIO $]]*1.18</f>
        <v>1671.076352</v>
      </c>
      <c r="J1327" s="7">
        <f>+Tabla1[[#This Row],[PRECIO EN SOLES]]-Tabla1[[#This Row],[PC]]</f>
        <v>258.66364799999997</v>
      </c>
      <c r="K1327" s="15"/>
      <c r="L1327" s="15" t="str">
        <f t="shared" si="20"/>
        <v>NORMAL</v>
      </c>
    </row>
    <row r="1328" spans="1:12" x14ac:dyDescent="0.25">
      <c r="A1328" s="3" t="s">
        <v>6659</v>
      </c>
      <c r="B1328" s="3" t="s">
        <v>6660</v>
      </c>
      <c r="C1328" s="1">
        <v>0</v>
      </c>
      <c r="D1328" s="1">
        <v>744.98</v>
      </c>
      <c r="E1328" s="1" t="s">
        <v>402</v>
      </c>
      <c r="F1328" s="1" t="s">
        <v>6661</v>
      </c>
      <c r="G1328" s="3" t="s">
        <v>6662</v>
      </c>
      <c r="H1328" s="11">
        <f>ROUND(
IF(L1328="GANCHO",
   IF(I1328&lt;=50,I1328*1.1+4,IF(I1328&lt;=120,I1328*1.1+7,IF(I1328&lt;=250,I1328*1.1+11,I1328*1.1+19))),
IF(L1328="NORMAL",
   IF(I1328&lt;=30,I1328*1.15+2,IF(I1328&lt;=80,I1328*1.15+4,IF(I1328&lt;=150,I1328*1.15+6,I1328*1.15+8))),
IF(L1328="COMPLEMENTO",
   IF(I1328&lt;=25,I1328*1.25+1.5,IF(I1328&lt;=60,I1328*1.25+3,IF(I1328&lt;=120,I1328*1.25+4,I1328*1.25+5))),
""))),2)</f>
        <v>3566.5</v>
      </c>
      <c r="I1328" s="9">
        <f>($K$2+0.02)*Tabla1[[#This Row],[PRECIO $]]*1.18</f>
        <v>3094.3489279999999</v>
      </c>
      <c r="J1328" s="7">
        <f>+Tabla1[[#This Row],[PRECIO EN SOLES]]-Tabla1[[#This Row],[PC]]</f>
        <v>472.15107200000011</v>
      </c>
      <c r="K1328" s="15"/>
      <c r="L1328" s="15" t="str">
        <f t="shared" si="20"/>
        <v>NORMAL</v>
      </c>
    </row>
    <row r="1329" spans="1:12" x14ac:dyDescent="0.25">
      <c r="A1329" s="3" t="s">
        <v>4360</v>
      </c>
      <c r="B1329" s="3" t="s">
        <v>4361</v>
      </c>
      <c r="C1329" s="1">
        <v>7</v>
      </c>
      <c r="D1329" s="1">
        <v>67.13</v>
      </c>
      <c r="E1329" s="1" t="s">
        <v>402</v>
      </c>
      <c r="F1329" s="1" t="s">
        <v>4362</v>
      </c>
      <c r="G1329" s="3" t="s">
        <v>4363</v>
      </c>
      <c r="H1329" s="11">
        <f>ROUND(
IF(L1329="GANCHO",
   IF(I1329&lt;=50,I1329*1.1+4,IF(I1329&lt;=120,I1329*1.1+7,IF(I1329&lt;=250,I1329*1.1+11,I1329*1.1+19))),
IF(L1329="NORMAL",
   IF(I1329&lt;=30,I1329*1.15+2,IF(I1329&lt;=80,I1329*1.15+4,IF(I1329&lt;=150,I1329*1.15+6,I1329*1.15+8))),
IF(L1329="COMPLEMENTO",
   IF(I1329&lt;=25,I1329*1.25+1.5,IF(I1329&lt;=60,I1329*1.25+3,IF(I1329&lt;=120,I1329*1.25+4,I1329*1.25+5))),
""))),2)</f>
        <v>328.66</v>
      </c>
      <c r="I1329" s="9">
        <f>($K$2+0.02)*Tabla1[[#This Row],[PRECIO $]]*1.18</f>
        <v>278.83116799999999</v>
      </c>
      <c r="J1329" s="7">
        <f>+Tabla1[[#This Row],[PRECIO EN SOLES]]-Tabla1[[#This Row],[PC]]</f>
        <v>49.828832000000034</v>
      </c>
      <c r="K1329" s="15"/>
      <c r="L1329" s="15" t="str">
        <f t="shared" si="20"/>
        <v>NORMAL</v>
      </c>
    </row>
    <row r="1330" spans="1:12" x14ac:dyDescent="0.25">
      <c r="A1330" s="3" t="s">
        <v>4032</v>
      </c>
      <c r="B1330" s="3" t="s">
        <v>4033</v>
      </c>
      <c r="C1330" s="1">
        <v>20</v>
      </c>
      <c r="D1330" s="1">
        <v>32.99</v>
      </c>
      <c r="E1330" s="1" t="s">
        <v>402</v>
      </c>
      <c r="F1330" s="1" t="s">
        <v>4034</v>
      </c>
      <c r="G1330" s="3"/>
      <c r="H1330" s="11">
        <f>ROUND(
IF(L1330="GANCHO",
   IF(I1330&lt;=50,I1330*1.1+4,IF(I1330&lt;=120,I1330*1.1+7,IF(I1330&lt;=250,I1330*1.1+11,I1330*1.1+19))),
IF(L1330="NORMAL",
   IF(I1330&lt;=30,I1330*1.15+2,IF(I1330&lt;=80,I1330*1.15+4,IF(I1330&lt;=150,I1330*1.15+6,I1330*1.15+8))),
IF(L1330="COMPLEMENTO",
   IF(I1330&lt;=25,I1330*1.25+1.5,IF(I1330&lt;=60,I1330*1.25+3,IF(I1330&lt;=120,I1330*1.25+4,I1330*1.25+5))),
""))),2)</f>
        <v>163.58000000000001</v>
      </c>
      <c r="I1330" s="9">
        <f>($K$2+0.02)*Tabla1[[#This Row],[PRECIO $]]*1.18</f>
        <v>137.027264</v>
      </c>
      <c r="J1330" s="7">
        <f>+Tabla1[[#This Row],[PRECIO EN SOLES]]-Tabla1[[#This Row],[PC]]</f>
        <v>26.55273600000001</v>
      </c>
      <c r="K1330" s="15"/>
      <c r="L1330" s="15" t="str">
        <f t="shared" si="20"/>
        <v>NORMAL</v>
      </c>
    </row>
    <row r="1331" spans="1:12" x14ac:dyDescent="0.25">
      <c r="A1331" s="3" t="s">
        <v>1992</v>
      </c>
      <c r="B1331" s="3" t="s">
        <v>1993</v>
      </c>
      <c r="C1331" s="1">
        <v>15</v>
      </c>
      <c r="D1331" s="1">
        <v>114.41</v>
      </c>
      <c r="E1331" s="1" t="s">
        <v>402</v>
      </c>
      <c r="F1331" s="1" t="s">
        <v>3573</v>
      </c>
      <c r="G1331" s="3" t="s">
        <v>1994</v>
      </c>
      <c r="H1331" s="11">
        <f>ROUND(
IF(L1331="GANCHO",
   IF(I1331&lt;=50,I1331*1.1+4,IF(I1331&lt;=120,I1331*1.1+7,IF(I1331&lt;=250,I1331*1.1+11,I1331*1.1+19))),
IF(L1331="NORMAL",
   IF(I1331&lt;=30,I1331*1.15+2,IF(I1331&lt;=80,I1331*1.15+4,IF(I1331&lt;=150,I1331*1.15+6,I1331*1.15+8))),
IF(L1331="COMPLEMENTO",
   IF(I1331&lt;=25,I1331*1.25+1.5,IF(I1331&lt;=60,I1331*1.25+3,IF(I1331&lt;=120,I1331*1.25+4,I1331*1.25+5))),
""))),2)</f>
        <v>554.5</v>
      </c>
      <c r="I1331" s="9">
        <f>($K$2+0.02)*Tabla1[[#This Row],[PRECIO $]]*1.18</f>
        <v>475.21337599999993</v>
      </c>
      <c r="J1331" s="7">
        <f>+Tabla1[[#This Row],[PRECIO EN SOLES]]-Tabla1[[#This Row],[PC]]</f>
        <v>79.286624000000074</v>
      </c>
      <c r="K1331" s="15"/>
      <c r="L1331" s="15" t="str">
        <f t="shared" si="20"/>
        <v>NORMAL</v>
      </c>
    </row>
    <row r="1332" spans="1:12" x14ac:dyDescent="0.25">
      <c r="A1332" s="3" t="s">
        <v>4364</v>
      </c>
      <c r="B1332" s="3" t="s">
        <v>4365</v>
      </c>
      <c r="C1332" s="1">
        <v>5</v>
      </c>
      <c r="D1332" s="1">
        <v>118.12</v>
      </c>
      <c r="E1332" s="1" t="s">
        <v>402</v>
      </c>
      <c r="F1332" s="1" t="s">
        <v>4366</v>
      </c>
      <c r="G1332" s="3" t="s">
        <v>4367</v>
      </c>
      <c r="H1332" s="11">
        <f>ROUND(
IF(L1332="GANCHO",
   IF(I1332&lt;=50,I1332*1.1+4,IF(I1332&lt;=120,I1332*1.1+7,IF(I1332&lt;=250,I1332*1.1+11,I1332*1.1+19))),
IF(L1332="NORMAL",
   IF(I1332&lt;=30,I1332*1.15+2,IF(I1332&lt;=80,I1332*1.15+4,IF(I1332&lt;=150,I1332*1.15+6,I1332*1.15+8))),
IF(L1332="COMPLEMENTO",
   IF(I1332&lt;=25,I1332*1.25+1.5,IF(I1332&lt;=60,I1332*1.25+3,IF(I1332&lt;=120,I1332*1.25+4,I1332*1.25+5))),
""))),2)</f>
        <v>572.22</v>
      </c>
      <c r="I1332" s="9">
        <f>($K$2+0.02)*Tabla1[[#This Row],[PRECIO $]]*1.18</f>
        <v>490.62323199999997</v>
      </c>
      <c r="J1332" s="7">
        <f>+Tabla1[[#This Row],[PRECIO EN SOLES]]-Tabla1[[#This Row],[PC]]</f>
        <v>81.596768000000054</v>
      </c>
      <c r="K1332" s="15"/>
      <c r="L1332" s="15" t="str">
        <f t="shared" si="20"/>
        <v>NORMAL</v>
      </c>
    </row>
    <row r="1333" spans="1:12" x14ac:dyDescent="0.25">
      <c r="A1333" s="3" t="s">
        <v>4368</v>
      </c>
      <c r="B1333" s="3" t="s">
        <v>4369</v>
      </c>
      <c r="C1333" s="1">
        <v>4</v>
      </c>
      <c r="D1333" s="1">
        <v>349.61</v>
      </c>
      <c r="E1333" s="1" t="s">
        <v>402</v>
      </c>
      <c r="F1333" s="1" t="s">
        <v>4370</v>
      </c>
      <c r="G1333" s="3" t="s">
        <v>4371</v>
      </c>
      <c r="H1333" s="11">
        <f>ROUND(
IF(L1333="GANCHO",
   IF(I1333&lt;=50,I1333*1.1+4,IF(I1333&lt;=120,I1333*1.1+7,IF(I1333&lt;=250,I1333*1.1+11,I1333*1.1+19))),
IF(L1333="NORMAL",
   IF(I1333&lt;=30,I1333*1.15+2,IF(I1333&lt;=80,I1333*1.15+4,IF(I1333&lt;=150,I1333*1.15+6,I1333*1.15+8))),
IF(L1333="COMPLEMENTO",
   IF(I1333&lt;=25,I1333*1.25+1.5,IF(I1333&lt;=60,I1333*1.25+3,IF(I1333&lt;=120,I1333*1.25+4,I1333*1.25+5))),
""))),2)</f>
        <v>1677.96</v>
      </c>
      <c r="I1333" s="9">
        <f>($K$2+0.02)*Tabla1[[#This Row],[PRECIO $]]*1.18</f>
        <v>1452.1400960000001</v>
      </c>
      <c r="J1333" s="7">
        <f>+Tabla1[[#This Row],[PRECIO EN SOLES]]-Tabla1[[#This Row],[PC]]</f>
        <v>225.81990399999995</v>
      </c>
      <c r="K1333" s="15"/>
      <c r="L1333" s="15" t="str">
        <f t="shared" si="20"/>
        <v>NORMAL</v>
      </c>
    </row>
    <row r="1334" spans="1:12" x14ac:dyDescent="0.25">
      <c r="A1334" s="3" t="s">
        <v>6663</v>
      </c>
      <c r="B1334" s="3" t="s">
        <v>6664</v>
      </c>
      <c r="C1334" s="1">
        <v>1</v>
      </c>
      <c r="D1334" s="1">
        <v>617.20000000000005</v>
      </c>
      <c r="E1334" s="1" t="s">
        <v>402</v>
      </c>
      <c r="F1334" s="1" t="s">
        <v>6665</v>
      </c>
      <c r="G1334" s="3"/>
      <c r="H1334" s="11">
        <f>ROUND(
IF(L1334="GANCHO",
   IF(I1334&lt;=50,I1334*1.1+4,IF(I1334&lt;=120,I1334*1.1+7,IF(I1334&lt;=250,I1334*1.1+11,I1334*1.1+19))),
IF(L1334="NORMAL",
   IF(I1334&lt;=30,I1334*1.15+2,IF(I1334&lt;=80,I1334*1.15+4,IF(I1334&lt;=150,I1334*1.15+6,I1334*1.15+8))),
IF(L1334="COMPLEMENTO",
   IF(I1334&lt;=25,I1334*1.25+1.5,IF(I1334&lt;=60,I1334*1.25+3,IF(I1334&lt;=120,I1334*1.25+4,I1334*1.25+5))),
""))),2)</f>
        <v>2956.14</v>
      </c>
      <c r="I1334" s="9">
        <f>($K$2+0.02)*Tabla1[[#This Row],[PRECIO $]]*1.18</f>
        <v>2563.6019200000001</v>
      </c>
      <c r="J1334" s="7">
        <f>+Tabla1[[#This Row],[PRECIO EN SOLES]]-Tabla1[[#This Row],[PC]]</f>
        <v>392.53807999999981</v>
      </c>
      <c r="K1334" s="15"/>
      <c r="L1334" s="15" t="str">
        <f t="shared" si="20"/>
        <v>NORMAL</v>
      </c>
    </row>
    <row r="1335" spans="1:12" x14ac:dyDescent="0.25">
      <c r="A1335" s="3" t="s">
        <v>6666</v>
      </c>
      <c r="B1335" s="3" t="s">
        <v>4365</v>
      </c>
      <c r="C1335" s="1">
        <v>4</v>
      </c>
      <c r="D1335" s="1">
        <v>542.13</v>
      </c>
      <c r="E1335" s="1" t="s">
        <v>402</v>
      </c>
      <c r="F1335" s="1" t="s">
        <v>6667</v>
      </c>
      <c r="G1335" s="3" t="s">
        <v>6668</v>
      </c>
      <c r="H1335" s="11">
        <f>ROUND(
IF(L1335="GANCHO",
   IF(I1335&lt;=50,I1335*1.1+4,IF(I1335&lt;=120,I1335*1.1+7,IF(I1335&lt;=250,I1335*1.1+11,I1335*1.1+19))),
IF(L1335="NORMAL",
   IF(I1335&lt;=30,I1335*1.15+2,IF(I1335&lt;=80,I1335*1.15+4,IF(I1335&lt;=150,I1335*1.15+6,I1335*1.15+8))),
IF(L1335="COMPLEMENTO",
   IF(I1335&lt;=25,I1335*1.25+1.5,IF(I1335&lt;=60,I1335*1.25+3,IF(I1335&lt;=120,I1335*1.25+4,I1335*1.25+5))),
""))),2)</f>
        <v>2597.56</v>
      </c>
      <c r="I1335" s="9">
        <f>($K$2+0.02)*Tabla1[[#This Row],[PRECIO $]]*1.18</f>
        <v>2251.7911680000002</v>
      </c>
      <c r="J1335" s="7">
        <f>+Tabla1[[#This Row],[PRECIO EN SOLES]]-Tabla1[[#This Row],[PC]]</f>
        <v>345.76883199999975</v>
      </c>
      <c r="K1335" s="15"/>
      <c r="L1335" s="15" t="str">
        <f t="shared" si="20"/>
        <v>NORMAL</v>
      </c>
    </row>
    <row r="1336" spans="1:12" x14ac:dyDescent="0.25">
      <c r="A1336" s="3" t="s">
        <v>1995</v>
      </c>
      <c r="B1336" s="3" t="s">
        <v>1996</v>
      </c>
      <c r="C1336" s="1">
        <v>20</v>
      </c>
      <c r="D1336" s="1">
        <v>108.56</v>
      </c>
      <c r="E1336" s="1" t="s">
        <v>1859</v>
      </c>
      <c r="F1336" s="1" t="s">
        <v>3574</v>
      </c>
      <c r="G1336" s="3"/>
      <c r="H1336" s="11">
        <f>ROUND(
IF(L1336="GANCHO",
   IF(I1336&lt;=50,I1336*1.1+4,IF(I1336&lt;=120,I1336*1.1+7,IF(I1336&lt;=250,I1336*1.1+11,I1336*1.1+19))),
IF(L1336="NORMAL",
   IF(I1336&lt;=30,I1336*1.15+2,IF(I1336&lt;=80,I1336*1.15+4,IF(I1336&lt;=150,I1336*1.15+6,I1336*1.15+8))),
IF(L1336="COMPLEMENTO",
   IF(I1336&lt;=25,I1336*1.25+1.5,IF(I1336&lt;=60,I1336*1.25+3,IF(I1336&lt;=120,I1336*1.25+4,I1336*1.25+5))),
""))),2)</f>
        <v>526.54999999999995</v>
      </c>
      <c r="I1336" s="9">
        <f>($K$2+0.02)*Tabla1[[#This Row],[PRECIO $]]*1.18</f>
        <v>450.91481600000003</v>
      </c>
      <c r="J1336" s="7">
        <f>+Tabla1[[#This Row],[PRECIO EN SOLES]]-Tabla1[[#This Row],[PC]]</f>
        <v>75.635183999999924</v>
      </c>
      <c r="K1336" s="15"/>
      <c r="L1336" s="15" t="str">
        <f t="shared" si="20"/>
        <v>NORMAL</v>
      </c>
    </row>
    <row r="1337" spans="1:12" x14ac:dyDescent="0.25">
      <c r="A1337" s="3" t="s">
        <v>4372</v>
      </c>
      <c r="B1337" s="3" t="s">
        <v>4373</v>
      </c>
      <c r="C1337" s="1">
        <v>5</v>
      </c>
      <c r="D1337" s="1">
        <v>532.46</v>
      </c>
      <c r="E1337" s="1" t="s">
        <v>402</v>
      </c>
      <c r="F1337" s="1" t="s">
        <v>4374</v>
      </c>
      <c r="G1337" s="3"/>
      <c r="H1337" s="11">
        <f>ROUND(
IF(L1337="GANCHO",
   IF(I1337&lt;=50,I1337*1.1+4,IF(I1337&lt;=120,I1337*1.1+7,IF(I1337&lt;=250,I1337*1.1+11,I1337*1.1+19))),
IF(L1337="NORMAL",
   IF(I1337&lt;=30,I1337*1.15+2,IF(I1337&lt;=80,I1337*1.15+4,IF(I1337&lt;=150,I1337*1.15+6,I1337*1.15+8))),
IF(L1337="COMPLEMENTO",
   IF(I1337&lt;=25,I1337*1.25+1.5,IF(I1337&lt;=60,I1337*1.25+3,IF(I1337&lt;=120,I1337*1.25+4,I1337*1.25+5))),
""))),2)</f>
        <v>2551.37</v>
      </c>
      <c r="I1337" s="9">
        <f>($K$2+0.02)*Tabla1[[#This Row],[PRECIO $]]*1.18</f>
        <v>2211.6258560000001</v>
      </c>
      <c r="J1337" s="7">
        <f>+Tabla1[[#This Row],[PRECIO EN SOLES]]-Tabla1[[#This Row],[PC]]</f>
        <v>339.74414399999978</v>
      </c>
      <c r="K1337" s="15"/>
      <c r="L1337" s="15" t="str">
        <f t="shared" si="20"/>
        <v>NORMAL</v>
      </c>
    </row>
    <row r="1338" spans="1:12" x14ac:dyDescent="0.25">
      <c r="A1338" s="3" t="s">
        <v>1997</v>
      </c>
      <c r="B1338" s="3" t="s">
        <v>1998</v>
      </c>
      <c r="C1338" s="1">
        <v>1</v>
      </c>
      <c r="D1338" s="1">
        <v>48.49</v>
      </c>
      <c r="E1338" s="1" t="s">
        <v>402</v>
      </c>
      <c r="F1338" s="1" t="s">
        <v>3575</v>
      </c>
      <c r="G1338" s="3" t="s">
        <v>1999</v>
      </c>
      <c r="H1338" s="11">
        <f>ROUND(
IF(L1338="GANCHO",
   IF(I1338&lt;=50,I1338*1.1+4,IF(I1338&lt;=120,I1338*1.1+7,IF(I1338&lt;=250,I1338*1.1+11,I1338*1.1+19))),
IF(L1338="NORMAL",
   IF(I1338&lt;=30,I1338*1.15+2,IF(I1338&lt;=80,I1338*1.15+4,IF(I1338&lt;=150,I1338*1.15+6,I1338*1.15+8))),
IF(L1338="COMPLEMENTO",
   IF(I1338&lt;=25,I1338*1.25+1.5,IF(I1338&lt;=60,I1338*1.25+3,IF(I1338&lt;=120,I1338*1.25+4,I1338*1.25+5))),
""))),2)</f>
        <v>239.62</v>
      </c>
      <c r="I1338" s="9">
        <f>($K$2+0.02)*Tabla1[[#This Row],[PRECIO $]]*1.18</f>
        <v>201.408064</v>
      </c>
      <c r="J1338" s="7">
        <f>+Tabla1[[#This Row],[PRECIO EN SOLES]]-Tabla1[[#This Row],[PC]]</f>
        <v>38.211936000000009</v>
      </c>
      <c r="K1338" s="15"/>
      <c r="L1338" s="15" t="str">
        <f t="shared" si="20"/>
        <v>NORMAL</v>
      </c>
    </row>
    <row r="1339" spans="1:12" x14ac:dyDescent="0.25">
      <c r="A1339" s="3" t="s">
        <v>2000</v>
      </c>
      <c r="B1339" s="3" t="s">
        <v>2001</v>
      </c>
      <c r="C1339" s="1">
        <v>0</v>
      </c>
      <c r="D1339" s="1">
        <v>1960</v>
      </c>
      <c r="E1339" s="1" t="s">
        <v>1859</v>
      </c>
      <c r="F1339" s="1" t="s">
        <v>3576</v>
      </c>
      <c r="G1339" s="3"/>
      <c r="H1339" s="11">
        <f>ROUND(
IF(L1339="GANCHO",
   IF(I1339&lt;=50,I1339*1.1+4,IF(I1339&lt;=120,I1339*1.1+7,IF(I1339&lt;=250,I1339*1.1+11,I1339*1.1+19))),
IF(L1339="NORMAL",
   IF(I1339&lt;=30,I1339*1.15+2,IF(I1339&lt;=80,I1339*1.15+4,IF(I1339&lt;=150,I1339*1.15+6,I1339*1.15+8))),
IF(L1339="COMPLEMENTO",
   IF(I1339&lt;=25,I1339*1.25+1.5,IF(I1339&lt;=60,I1339*1.25+3,IF(I1339&lt;=120,I1339*1.25+4,I1339*1.25+5))),
""))),2)</f>
        <v>9370.2099999999991</v>
      </c>
      <c r="I1339" s="9">
        <f>($K$2+0.02)*Tabla1[[#This Row],[PRECIO $]]*1.18</f>
        <v>8141.0559999999996</v>
      </c>
      <c r="J1339" s="7">
        <f>+Tabla1[[#This Row],[PRECIO EN SOLES]]-Tabla1[[#This Row],[PC]]</f>
        <v>1229.1539999999995</v>
      </c>
      <c r="K1339" s="15"/>
      <c r="L1339" s="15" t="str">
        <f t="shared" si="20"/>
        <v>NORMAL</v>
      </c>
    </row>
    <row r="1340" spans="1:12" x14ac:dyDescent="0.25">
      <c r="A1340" s="3" t="s">
        <v>2002</v>
      </c>
      <c r="B1340" s="3" t="s">
        <v>2003</v>
      </c>
      <c r="C1340" s="1">
        <v>1</v>
      </c>
      <c r="D1340" s="1">
        <v>1548.68</v>
      </c>
      <c r="E1340" s="1" t="s">
        <v>1859</v>
      </c>
      <c r="F1340" s="1" t="s">
        <v>3577</v>
      </c>
      <c r="G1340" s="3"/>
      <c r="H1340" s="11">
        <f>ROUND(
IF(L1340="GANCHO",
   IF(I1340&lt;=50,I1340*1.1+4,IF(I1340&lt;=120,I1340*1.1+7,IF(I1340&lt;=250,I1340*1.1+11,I1340*1.1+19))),
IF(L1340="NORMAL",
   IF(I1340&lt;=30,I1340*1.15+2,IF(I1340&lt;=80,I1340*1.15+4,IF(I1340&lt;=150,I1340*1.15+6,I1340*1.15+8))),
IF(L1340="COMPLEMENTO",
   IF(I1340&lt;=25,I1340*1.25+1.5,IF(I1340&lt;=60,I1340*1.25+3,IF(I1340&lt;=120,I1340*1.25+4,I1340*1.25+5))),
""))),2)</f>
        <v>7405.49</v>
      </c>
      <c r="I1340" s="9">
        <f>($K$2+0.02)*Tabla1[[#This Row],[PRECIO $]]*1.18</f>
        <v>6432.597248</v>
      </c>
      <c r="J1340" s="7">
        <f>+Tabla1[[#This Row],[PRECIO EN SOLES]]-Tabla1[[#This Row],[PC]]</f>
        <v>972.89275199999975</v>
      </c>
      <c r="K1340" s="15"/>
      <c r="L1340" s="15" t="str">
        <f t="shared" si="20"/>
        <v>NORMAL</v>
      </c>
    </row>
    <row r="1341" spans="1:12" x14ac:dyDescent="0.25">
      <c r="A1341" s="3" t="s">
        <v>2004</v>
      </c>
      <c r="B1341" s="3" t="s">
        <v>2005</v>
      </c>
      <c r="C1341" s="1">
        <v>1</v>
      </c>
      <c r="D1341" s="1">
        <v>1035.54</v>
      </c>
      <c r="E1341" s="1" t="s">
        <v>1859</v>
      </c>
      <c r="F1341" s="1" t="s">
        <v>3578</v>
      </c>
      <c r="G1341" s="3" t="s">
        <v>2006</v>
      </c>
      <c r="H1341" s="11">
        <f>ROUND(
IF(L1341="GANCHO",
   IF(I1341&lt;=50,I1341*1.1+4,IF(I1341&lt;=120,I1341*1.1+7,IF(I1341&lt;=250,I1341*1.1+11,I1341*1.1+19))),
IF(L1341="NORMAL",
   IF(I1341&lt;=30,I1341*1.15+2,IF(I1341&lt;=80,I1341*1.15+4,IF(I1341&lt;=150,I1341*1.15+6,I1341*1.15+8))),
IF(L1341="COMPLEMENTO",
   IF(I1341&lt;=25,I1341*1.25+1.5,IF(I1341&lt;=60,I1341*1.25+3,IF(I1341&lt;=120,I1341*1.25+4,I1341*1.25+5))),
""))),2)</f>
        <v>4954.3999999999996</v>
      </c>
      <c r="I1341" s="9">
        <f>($K$2+0.02)*Tabla1[[#This Row],[PRECIO $]]*1.18</f>
        <v>4301.2189439999993</v>
      </c>
      <c r="J1341" s="7">
        <f>+Tabla1[[#This Row],[PRECIO EN SOLES]]-Tabla1[[#This Row],[PC]]</f>
        <v>653.18105600000035</v>
      </c>
      <c r="K1341" s="15"/>
      <c r="L1341" s="15" t="str">
        <f t="shared" si="20"/>
        <v>NORMAL</v>
      </c>
    </row>
    <row r="1342" spans="1:12" x14ac:dyDescent="0.25">
      <c r="A1342" s="3" t="s">
        <v>2007</v>
      </c>
      <c r="B1342" s="3" t="s">
        <v>2008</v>
      </c>
      <c r="C1342" s="1">
        <v>16</v>
      </c>
      <c r="D1342" s="1">
        <v>1361.69</v>
      </c>
      <c r="E1342" s="1" t="s">
        <v>1859</v>
      </c>
      <c r="F1342" s="1" t="s">
        <v>3579</v>
      </c>
      <c r="G1342" s="3"/>
      <c r="H1342" s="11">
        <f>ROUND(
IF(L1342="GANCHO",
   IF(I1342&lt;=50,I1342*1.1+4,IF(I1342&lt;=120,I1342*1.1+7,IF(I1342&lt;=250,I1342*1.1+11,I1342*1.1+19))),
IF(L1342="NORMAL",
   IF(I1342&lt;=30,I1342*1.15+2,IF(I1342&lt;=80,I1342*1.15+4,IF(I1342&lt;=150,I1342*1.15+6,I1342*1.15+8))),
IF(L1342="COMPLEMENTO",
   IF(I1342&lt;=25,I1342*1.25+1.5,IF(I1342&lt;=60,I1342*1.25+3,IF(I1342&lt;=120,I1342*1.25+4,I1342*1.25+5))),
""))),2)</f>
        <v>6512.3</v>
      </c>
      <c r="I1342" s="9">
        <f>($K$2+0.02)*Tabla1[[#This Row],[PRECIO $]]*1.18</f>
        <v>5655.9155839999994</v>
      </c>
      <c r="J1342" s="7">
        <f>+Tabla1[[#This Row],[PRECIO EN SOLES]]-Tabla1[[#This Row],[PC]]</f>
        <v>856.38441600000078</v>
      </c>
      <c r="K1342" s="15"/>
      <c r="L1342" s="15" t="str">
        <f t="shared" si="20"/>
        <v>NORMAL</v>
      </c>
    </row>
    <row r="1343" spans="1:12" x14ac:dyDescent="0.25">
      <c r="A1343" s="3" t="s">
        <v>2009</v>
      </c>
      <c r="B1343" s="3" t="s">
        <v>2010</v>
      </c>
      <c r="C1343" s="1">
        <v>7</v>
      </c>
      <c r="D1343" s="1">
        <v>669.3</v>
      </c>
      <c r="E1343" s="1" t="s">
        <v>1859</v>
      </c>
      <c r="F1343" s="1" t="s">
        <v>3580</v>
      </c>
      <c r="G1343" s="3"/>
      <c r="H1343" s="11">
        <f>ROUND(
IF(L1343="GANCHO",
   IF(I1343&lt;=50,I1343*1.1+4,IF(I1343&lt;=120,I1343*1.1+7,IF(I1343&lt;=250,I1343*1.1+11,I1343*1.1+19))),
IF(L1343="NORMAL",
   IF(I1343&lt;=30,I1343*1.15+2,IF(I1343&lt;=80,I1343*1.15+4,IF(I1343&lt;=150,I1343*1.15+6,I1343*1.15+8))),
IF(L1343="COMPLEMENTO",
   IF(I1343&lt;=25,I1343*1.25+1.5,IF(I1343&lt;=60,I1343*1.25+3,IF(I1343&lt;=120,I1343*1.25+4,I1343*1.25+5))),
""))),2)</f>
        <v>3205.01</v>
      </c>
      <c r="I1343" s="9">
        <f>($K$2+0.02)*Tabla1[[#This Row],[PRECIO $]]*1.18</f>
        <v>2780.0044799999996</v>
      </c>
      <c r="J1343" s="7">
        <f>+Tabla1[[#This Row],[PRECIO EN SOLES]]-Tabla1[[#This Row],[PC]]</f>
        <v>425.00552000000062</v>
      </c>
      <c r="K1343" s="15"/>
      <c r="L1343" s="15" t="str">
        <f t="shared" si="20"/>
        <v>NORMAL</v>
      </c>
    </row>
    <row r="1344" spans="1:12" x14ac:dyDescent="0.25">
      <c r="A1344" s="3" t="s">
        <v>2011</v>
      </c>
      <c r="B1344" s="3" t="s">
        <v>2012</v>
      </c>
      <c r="C1344" s="1">
        <v>0</v>
      </c>
      <c r="D1344" s="1">
        <v>970</v>
      </c>
      <c r="E1344" s="1" t="s">
        <v>1859</v>
      </c>
      <c r="F1344" s="1" t="s">
        <v>3581</v>
      </c>
      <c r="G1344" s="3" t="s">
        <v>2013</v>
      </c>
      <c r="H1344" s="11">
        <f>ROUND(
IF(L1344="GANCHO",
   IF(I1344&lt;=50,I1344*1.1+4,IF(I1344&lt;=120,I1344*1.1+7,IF(I1344&lt;=250,I1344*1.1+11,I1344*1.1+19))),
IF(L1344="NORMAL",
   IF(I1344&lt;=30,I1344*1.15+2,IF(I1344&lt;=80,I1344*1.15+4,IF(I1344&lt;=150,I1344*1.15+6,I1344*1.15+8))),
IF(L1344="COMPLEMENTO",
   IF(I1344&lt;=25,I1344*1.25+1.5,IF(I1344&lt;=60,I1344*1.25+3,IF(I1344&lt;=120,I1344*1.25+4,I1344*1.25+5))),
""))),2)</f>
        <v>4641.34</v>
      </c>
      <c r="I1344" s="9">
        <f>($K$2+0.02)*Tabla1[[#This Row],[PRECIO $]]*1.18</f>
        <v>4028.9919999999997</v>
      </c>
      <c r="J1344" s="7">
        <f>+Tabla1[[#This Row],[PRECIO EN SOLES]]-Tabla1[[#This Row],[PC]]</f>
        <v>612.34800000000041</v>
      </c>
      <c r="K1344" s="15"/>
      <c r="L1344" s="15" t="str">
        <f t="shared" si="20"/>
        <v>NORMAL</v>
      </c>
    </row>
    <row r="1345" spans="1:12" x14ac:dyDescent="0.25">
      <c r="A1345" s="3" t="s">
        <v>6669</v>
      </c>
      <c r="B1345" s="3" t="s">
        <v>6670</v>
      </c>
      <c r="C1345" s="1">
        <v>7</v>
      </c>
      <c r="D1345" s="1">
        <v>440.8</v>
      </c>
      <c r="E1345" s="1" t="s">
        <v>1859</v>
      </c>
      <c r="F1345" s="1" t="s">
        <v>6671</v>
      </c>
      <c r="G1345" s="3"/>
      <c r="H1345" s="11">
        <f>ROUND(
IF(L1345="GANCHO",
   IF(I1345&lt;=50,I1345*1.1+4,IF(I1345&lt;=120,I1345*1.1+7,IF(I1345&lt;=250,I1345*1.1+11,I1345*1.1+19))),
IF(L1345="NORMAL",
   IF(I1345&lt;=30,I1345*1.15+2,IF(I1345&lt;=80,I1345*1.15+4,IF(I1345&lt;=150,I1345*1.15+6,I1345*1.15+8))),
IF(L1345="COMPLEMENTO",
   IF(I1345&lt;=25,I1345*1.25+1.5,IF(I1345&lt;=60,I1345*1.25+3,IF(I1345&lt;=120,I1345*1.25+4,I1345*1.25+5))),
""))),2)</f>
        <v>2113.54</v>
      </c>
      <c r="I1345" s="9">
        <f>($K$2+0.02)*Tabla1[[#This Row],[PRECIO $]]*1.18</f>
        <v>1830.9068799999998</v>
      </c>
      <c r="J1345" s="7">
        <f>+Tabla1[[#This Row],[PRECIO EN SOLES]]-Tabla1[[#This Row],[PC]]</f>
        <v>282.63312000000019</v>
      </c>
      <c r="K1345" s="15"/>
      <c r="L1345" s="15" t="str">
        <f t="shared" si="20"/>
        <v>NORMAL</v>
      </c>
    </row>
    <row r="1346" spans="1:12" x14ac:dyDescent="0.25">
      <c r="A1346" s="3" t="s">
        <v>2014</v>
      </c>
      <c r="B1346" s="3" t="s">
        <v>2015</v>
      </c>
      <c r="C1346" s="1">
        <v>17</v>
      </c>
      <c r="D1346" s="1">
        <v>750</v>
      </c>
      <c r="E1346" s="1" t="s">
        <v>1859</v>
      </c>
      <c r="F1346" s="1" t="s">
        <v>3582</v>
      </c>
      <c r="G1346" s="3"/>
      <c r="H1346" s="11">
        <f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3590.48</v>
      </c>
      <c r="I1346" s="9">
        <f>($K$2+0.02)*Tabla1[[#This Row],[PRECIO $]]*1.18</f>
        <v>3115.2</v>
      </c>
      <c r="J1346" s="7">
        <f>+Tabla1[[#This Row],[PRECIO EN SOLES]]-Tabla1[[#This Row],[PC]]</f>
        <v>475.2800000000002</v>
      </c>
      <c r="K1346" s="15"/>
      <c r="L1346" s="15" t="str">
        <f t="shared" si="20"/>
        <v>NORMAL</v>
      </c>
    </row>
    <row r="1347" spans="1:12" x14ac:dyDescent="0.25">
      <c r="A1347" s="3" t="s">
        <v>2016</v>
      </c>
      <c r="B1347" s="3" t="s">
        <v>2017</v>
      </c>
      <c r="C1347" s="1">
        <v>12</v>
      </c>
      <c r="D1347" s="1">
        <v>542.54</v>
      </c>
      <c r="E1347" s="1" t="s">
        <v>1859</v>
      </c>
      <c r="F1347" s="1" t="s">
        <v>3583</v>
      </c>
      <c r="G1347" s="3"/>
      <c r="H1347" s="11">
        <f>ROUND(
IF(L1347="GANCHO",
   IF(I1347&lt;=50,I1347*1.1+4,IF(I1347&lt;=120,I1347*1.1+7,IF(I1347&lt;=250,I1347*1.1+11,I1347*1.1+19))),
IF(L1347="NORMAL",
   IF(I1347&lt;=30,I1347*1.15+2,IF(I1347&lt;=80,I1347*1.15+4,IF(I1347&lt;=150,I1347*1.15+6,I1347*1.15+8))),
IF(L1347="COMPLEMENTO",
   IF(I1347&lt;=25,I1347*1.25+1.5,IF(I1347&lt;=60,I1347*1.25+3,IF(I1347&lt;=120,I1347*1.25+4,I1347*1.25+5))),
""))),2)</f>
        <v>2599.52</v>
      </c>
      <c r="I1347" s="9">
        <f>($K$2+0.02)*Tabla1[[#This Row],[PRECIO $]]*1.18</f>
        <v>2253.4941439999998</v>
      </c>
      <c r="J1347" s="7">
        <f>+Tabla1[[#This Row],[PRECIO EN SOLES]]-Tabla1[[#This Row],[PC]]</f>
        <v>346.0258560000002</v>
      </c>
      <c r="K1347" s="15"/>
      <c r="L1347" s="15" t="str">
        <f t="shared" ref="L1347:L1410" si="21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6219</v>
      </c>
      <c r="B1348" s="3" t="s">
        <v>6220</v>
      </c>
      <c r="C1348" s="1">
        <v>20</v>
      </c>
      <c r="D1348" s="1">
        <v>17</v>
      </c>
      <c r="E1348" s="1" t="s">
        <v>6221</v>
      </c>
      <c r="F1348" s="1" t="s">
        <v>6222</v>
      </c>
      <c r="G1348" s="3" t="s">
        <v>6223</v>
      </c>
      <c r="H1348" s="11">
        <f>ROUND(
IF(L1348="GANCHO",
   IF(I1348&lt;=50,I1348*1.1+4,IF(I1348&lt;=120,I1348*1.1+7,IF(I1348&lt;=250,I1348*1.1+11,I1348*1.1+19))),
IF(L1348="NORMAL",
   IF(I1348&lt;=30,I1348*1.15+2,IF(I1348&lt;=80,I1348*1.15+4,IF(I1348&lt;=150,I1348*1.15+6,I1348*1.15+8))),
IF(L1348="COMPLEMENTO",
   IF(I1348&lt;=25,I1348*1.25+1.5,IF(I1348&lt;=60,I1348*1.25+3,IF(I1348&lt;=120,I1348*1.25+4,I1348*1.25+5))),
""))),2)</f>
        <v>85.2</v>
      </c>
      <c r="I1348" s="9">
        <f>($K$2+0.02)*Tabla1[[#This Row],[PRECIO $]]*1.18</f>
        <v>70.611199999999997</v>
      </c>
      <c r="J1348" s="7">
        <f>+Tabla1[[#This Row],[PRECIO EN SOLES]]-Tabla1[[#This Row],[PC]]</f>
        <v>14.588800000000006</v>
      </c>
      <c r="K1348" s="15"/>
      <c r="L1348" s="15" t="str">
        <f t="shared" si="21"/>
        <v>NORMAL</v>
      </c>
    </row>
    <row r="1349" spans="1:12" x14ac:dyDescent="0.25">
      <c r="A1349" s="3" t="s">
        <v>6224</v>
      </c>
      <c r="B1349" s="3" t="s">
        <v>6225</v>
      </c>
      <c r="C1349" s="1">
        <v>20</v>
      </c>
      <c r="D1349" s="1">
        <v>19</v>
      </c>
      <c r="E1349" s="1" t="s">
        <v>6221</v>
      </c>
      <c r="F1349" s="1" t="s">
        <v>6226</v>
      </c>
      <c r="G1349" s="3" t="s">
        <v>6227</v>
      </c>
      <c r="H1349" s="11">
        <f>ROUND(
IF(L1349="GANCHO",
   IF(I1349&lt;=50,I1349*1.1+4,IF(I1349&lt;=120,I1349*1.1+7,IF(I1349&lt;=250,I1349*1.1+11,I1349*1.1+19))),
IF(L1349="NORMAL",
   IF(I1349&lt;=30,I1349*1.15+2,IF(I1349&lt;=80,I1349*1.15+4,IF(I1349&lt;=150,I1349*1.15+6,I1349*1.15+8))),
IF(L1349="COMPLEMENTO",
   IF(I1349&lt;=25,I1349*1.25+1.5,IF(I1349&lt;=60,I1349*1.25+3,IF(I1349&lt;=120,I1349*1.25+4,I1349*1.25+5))),
""))),2)</f>
        <v>94.76</v>
      </c>
      <c r="I1349" s="9">
        <f>($K$2+0.02)*Tabla1[[#This Row],[PRECIO $]]*1.18</f>
        <v>78.918399999999991</v>
      </c>
      <c r="J1349" s="7">
        <f>+Tabla1[[#This Row],[PRECIO EN SOLES]]-Tabla1[[#This Row],[PC]]</f>
        <v>15.841600000000014</v>
      </c>
      <c r="K1349" s="15"/>
      <c r="L1349" s="15" t="str">
        <f t="shared" si="21"/>
        <v>NORMAL</v>
      </c>
    </row>
    <row r="1350" spans="1:12" x14ac:dyDescent="0.25">
      <c r="A1350" s="3" t="s">
        <v>6228</v>
      </c>
      <c r="B1350" s="3" t="s">
        <v>6229</v>
      </c>
      <c r="C1350" s="1">
        <v>20</v>
      </c>
      <c r="D1350" s="1">
        <v>23.5</v>
      </c>
      <c r="E1350" s="1" t="s">
        <v>6221</v>
      </c>
      <c r="F1350" s="1" t="s">
        <v>6230</v>
      </c>
      <c r="G1350" s="3" t="s">
        <v>6231</v>
      </c>
      <c r="H1350" s="11">
        <f>ROUND(
IF(L1350="GANCHO",
   IF(I1350&lt;=50,I1350*1.1+4,IF(I1350&lt;=120,I1350*1.1+7,IF(I1350&lt;=250,I1350*1.1+11,I1350*1.1+19))),
IF(L1350="NORMAL",
   IF(I1350&lt;=30,I1350*1.15+2,IF(I1350&lt;=80,I1350*1.15+4,IF(I1350&lt;=150,I1350*1.15+6,I1350*1.15+8))),
IF(L1350="COMPLEMENTO",
   IF(I1350&lt;=25,I1350*1.25+1.5,IF(I1350&lt;=60,I1350*1.25+3,IF(I1350&lt;=120,I1350*1.25+4,I1350*1.25+5))),
""))),2)</f>
        <v>118.25</v>
      </c>
      <c r="I1350" s="9">
        <f>($K$2+0.02)*Tabla1[[#This Row],[PRECIO $]]*1.18</f>
        <v>97.6096</v>
      </c>
      <c r="J1350" s="7">
        <f>+Tabla1[[#This Row],[PRECIO EN SOLES]]-Tabla1[[#This Row],[PC]]</f>
        <v>20.6404</v>
      </c>
      <c r="K1350" s="15"/>
      <c r="L1350" s="15" t="str">
        <f t="shared" si="21"/>
        <v>NORMAL</v>
      </c>
    </row>
    <row r="1351" spans="1:12" x14ac:dyDescent="0.25">
      <c r="A1351" s="3" t="s">
        <v>412</v>
      </c>
      <c r="B1351" s="3" t="s">
        <v>413</v>
      </c>
      <c r="C1351" s="1">
        <v>20</v>
      </c>
      <c r="D1351" s="1">
        <v>7.04</v>
      </c>
      <c r="E1351" s="1" t="s">
        <v>402</v>
      </c>
      <c r="F1351" s="1" t="s">
        <v>3584</v>
      </c>
      <c r="G1351" s="3" t="s">
        <v>414</v>
      </c>
      <c r="H1351" s="11">
        <f>ROUND(
IF(L1351="GANCHO",
   IF(I1351&lt;=50,I1351*1.1+4,IF(I1351&lt;=120,I1351*1.1+7,IF(I1351&lt;=250,I1351*1.1+11,I1351*1.1+19))),
IF(L1351="NORMAL",
   IF(I1351&lt;=30,I1351*1.15+2,IF(I1351&lt;=80,I1351*1.15+4,IF(I1351&lt;=150,I1351*1.15+6,I1351*1.15+8))),
IF(L1351="COMPLEMENTO",
   IF(I1351&lt;=25,I1351*1.25+1.5,IF(I1351&lt;=60,I1351*1.25+3,IF(I1351&lt;=120,I1351*1.25+4,I1351*1.25+5))),
""))),2)</f>
        <v>35.630000000000003</v>
      </c>
      <c r="I1351" s="9">
        <f>($K$2+0.02)*Tabla1[[#This Row],[PRECIO $]]*1.18</f>
        <v>29.241343999999998</v>
      </c>
      <c r="J1351" s="7">
        <f>+Tabla1[[#This Row],[PRECIO EN SOLES]]-Tabla1[[#This Row],[PC]]</f>
        <v>6.3886560000000046</v>
      </c>
      <c r="K1351" s="15"/>
      <c r="L1351" s="15" t="str">
        <f t="shared" si="21"/>
        <v>NORMAL</v>
      </c>
    </row>
    <row r="1352" spans="1:12" x14ac:dyDescent="0.25">
      <c r="A1352" s="3" t="s">
        <v>7004</v>
      </c>
      <c r="B1352" s="3" t="s">
        <v>7005</v>
      </c>
      <c r="C1352" s="1">
        <v>0</v>
      </c>
      <c r="D1352" s="1">
        <v>32.270000000000003</v>
      </c>
      <c r="E1352" s="1" t="s">
        <v>402</v>
      </c>
      <c r="F1352" s="1" t="s">
        <v>7006</v>
      </c>
      <c r="G1352" s="3" t="s">
        <v>7007</v>
      </c>
      <c r="H1352" s="11">
        <f>ROUND(
IF(L1352="GANCHO",
   IF(I1352&lt;=50,I1352*1.1+4,IF(I1352&lt;=120,I1352*1.1+7,IF(I1352&lt;=250,I1352*1.1+11,I1352*1.1+19))),
IF(L1352="NORMAL",
   IF(I1352&lt;=30,I1352*1.15+2,IF(I1352&lt;=80,I1352*1.15+4,IF(I1352&lt;=150,I1352*1.15+6,I1352*1.15+8))),
IF(L1352="COMPLEMENTO",
   IF(I1352&lt;=25,I1352*1.25+1.5,IF(I1352&lt;=60,I1352*1.25+3,IF(I1352&lt;=120,I1352*1.25+4,I1352*1.25+5))),
""))),2)</f>
        <v>160.13999999999999</v>
      </c>
      <c r="I1352" s="9">
        <f>($K$2+0.02)*Tabla1[[#This Row],[PRECIO $]]*1.18</f>
        <v>134.03667200000001</v>
      </c>
      <c r="J1352" s="7">
        <f>+Tabla1[[#This Row],[PRECIO EN SOLES]]-Tabla1[[#This Row],[PC]]</f>
        <v>26.103327999999976</v>
      </c>
      <c r="K1352" s="15"/>
      <c r="L1352" s="15" t="str">
        <f t="shared" si="21"/>
        <v>NORMAL</v>
      </c>
    </row>
    <row r="1353" spans="1:12" x14ac:dyDescent="0.25">
      <c r="A1353" s="3" t="s">
        <v>4375</v>
      </c>
      <c r="B1353" s="3" t="s">
        <v>4376</v>
      </c>
      <c r="C1353" s="1">
        <v>20</v>
      </c>
      <c r="D1353" s="1">
        <v>9.7899999999999991</v>
      </c>
      <c r="E1353" s="1" t="s">
        <v>402</v>
      </c>
      <c r="F1353" s="1" t="s">
        <v>4377</v>
      </c>
      <c r="G1353" s="3" t="s">
        <v>4378</v>
      </c>
      <c r="H1353" s="11">
        <f>ROUND(
IF(L1353="GANCHO",
   IF(I1353&lt;=50,I1353*1.1+4,IF(I1353&lt;=120,I1353*1.1+7,IF(I1353&lt;=250,I1353*1.1+11,I1353*1.1+19))),
IF(L1353="NORMAL",
   IF(I1353&lt;=30,I1353*1.15+2,IF(I1353&lt;=80,I1353*1.15+4,IF(I1353&lt;=150,I1353*1.15+6,I1353*1.15+8))),
IF(L1353="COMPLEMENTO",
   IF(I1353&lt;=25,I1353*1.25+1.5,IF(I1353&lt;=60,I1353*1.25+3,IF(I1353&lt;=120,I1353*1.25+4,I1353*1.25+5))),
""))),2)</f>
        <v>50.76</v>
      </c>
      <c r="I1353" s="9">
        <f>($K$2+0.02)*Tabla1[[#This Row],[PRECIO $]]*1.18</f>
        <v>40.663743999999994</v>
      </c>
      <c r="J1353" s="7">
        <f>+Tabla1[[#This Row],[PRECIO EN SOLES]]-Tabla1[[#This Row],[PC]]</f>
        <v>10.096256000000004</v>
      </c>
      <c r="K1353" s="15"/>
      <c r="L1353" s="15" t="str">
        <f t="shared" si="21"/>
        <v>NORMAL</v>
      </c>
    </row>
    <row r="1354" spans="1:12" x14ac:dyDescent="0.25">
      <c r="A1354" s="3" t="s">
        <v>4379</v>
      </c>
      <c r="B1354" s="3" t="s">
        <v>4380</v>
      </c>
      <c r="C1354" s="1">
        <v>7</v>
      </c>
      <c r="D1354" s="1">
        <v>16.55</v>
      </c>
      <c r="E1354" s="1" t="s">
        <v>402</v>
      </c>
      <c r="F1354" s="1" t="s">
        <v>4381</v>
      </c>
      <c r="G1354" s="3" t="s">
        <v>4382</v>
      </c>
      <c r="H1354" s="11">
        <f>ROUND(
IF(L1354="GANCHO",
   IF(I1354&lt;=50,I1354*1.1+4,IF(I1354&lt;=120,I1354*1.1+7,IF(I1354&lt;=250,I1354*1.1+11,I1354*1.1+19))),
IF(L1354="NORMAL",
   IF(I1354&lt;=30,I1354*1.15+2,IF(I1354&lt;=80,I1354*1.15+4,IF(I1354&lt;=150,I1354*1.15+6,I1354*1.15+8))),
IF(L1354="COMPLEMENTO",
   IF(I1354&lt;=25,I1354*1.25+1.5,IF(I1354&lt;=60,I1354*1.25+3,IF(I1354&lt;=120,I1354*1.25+4,I1354*1.25+5))),
""))),2)</f>
        <v>83.05</v>
      </c>
      <c r="I1354" s="9">
        <f>($K$2+0.02)*Tabla1[[#This Row],[PRECIO $]]*1.18</f>
        <v>68.742080000000001</v>
      </c>
      <c r="J1354" s="7">
        <f>+Tabla1[[#This Row],[PRECIO EN SOLES]]-Tabla1[[#This Row],[PC]]</f>
        <v>14.307919999999996</v>
      </c>
      <c r="K1354" s="15"/>
      <c r="L1354" s="15" t="str">
        <f t="shared" si="21"/>
        <v>NORMAL</v>
      </c>
    </row>
    <row r="1355" spans="1:12" x14ac:dyDescent="0.25">
      <c r="A1355" s="3" t="s">
        <v>2018</v>
      </c>
      <c r="B1355" s="3" t="s">
        <v>2019</v>
      </c>
      <c r="C1355" s="1">
        <v>12</v>
      </c>
      <c r="D1355" s="1">
        <v>73.92</v>
      </c>
      <c r="E1355" s="1" t="s">
        <v>402</v>
      </c>
      <c r="F1355" s="1" t="s">
        <v>3585</v>
      </c>
      <c r="G1355" s="3" t="s">
        <v>2020</v>
      </c>
      <c r="H1355" s="11">
        <f>ROUND(
IF(L1355="GANCHO",
   IF(I1355&lt;=50,I1355*1.1+4,IF(I1355&lt;=120,I1355*1.1+7,IF(I1355&lt;=250,I1355*1.1+11,I1355*1.1+19))),
IF(L1355="NORMAL",
   IF(I1355&lt;=30,I1355*1.15+2,IF(I1355&lt;=80,I1355*1.15+4,IF(I1355&lt;=150,I1355*1.15+6,I1355*1.15+8))),
IF(L1355="COMPLEMENTO",
   IF(I1355&lt;=25,I1355*1.25+1.5,IF(I1355&lt;=60,I1355*1.25+3,IF(I1355&lt;=120,I1355*1.25+4,I1355*1.25+5))),
""))),2)</f>
        <v>361.09</v>
      </c>
      <c r="I1355" s="9">
        <f>($K$2+0.02)*Tabla1[[#This Row],[PRECIO $]]*1.18</f>
        <v>307.03411199999999</v>
      </c>
      <c r="J1355" s="7">
        <f>+Tabla1[[#This Row],[PRECIO EN SOLES]]-Tabla1[[#This Row],[PC]]</f>
        <v>54.055887999999982</v>
      </c>
      <c r="K1355" s="15"/>
      <c r="L1355" s="15" t="str">
        <f t="shared" si="21"/>
        <v>NORMAL</v>
      </c>
    </row>
    <row r="1356" spans="1:12" x14ac:dyDescent="0.25">
      <c r="A1356" s="3" t="s">
        <v>4383</v>
      </c>
      <c r="B1356" s="3" t="s">
        <v>4384</v>
      </c>
      <c r="C1356" s="1">
        <v>20</v>
      </c>
      <c r="D1356" s="1">
        <v>76.3</v>
      </c>
      <c r="E1356" s="1" t="s">
        <v>402</v>
      </c>
      <c r="F1356" s="1" t="s">
        <v>4385</v>
      </c>
      <c r="G1356" s="3" t="s">
        <v>4386</v>
      </c>
      <c r="H1356" s="11">
        <f>ROUND(
IF(L1356="GANCHO",
   IF(I1356&lt;=50,I1356*1.1+4,IF(I1356&lt;=120,I1356*1.1+7,IF(I1356&lt;=250,I1356*1.1+11,I1356*1.1+19))),
IF(L1356="NORMAL",
   IF(I1356&lt;=30,I1356*1.15+2,IF(I1356&lt;=80,I1356*1.15+4,IF(I1356&lt;=150,I1356*1.15+6,I1356*1.15+8))),
IF(L1356="COMPLEMENTO",
   IF(I1356&lt;=25,I1356*1.25+1.5,IF(I1356&lt;=60,I1356*1.25+3,IF(I1356&lt;=120,I1356*1.25+4,I1356*1.25+5))),
""))),2)</f>
        <v>372.46</v>
      </c>
      <c r="I1356" s="9">
        <f>($K$2+0.02)*Tabla1[[#This Row],[PRECIO $]]*1.18</f>
        <v>316.91967999999991</v>
      </c>
      <c r="J1356" s="7">
        <f>+Tabla1[[#This Row],[PRECIO EN SOLES]]-Tabla1[[#This Row],[PC]]</f>
        <v>55.540320000000065</v>
      </c>
      <c r="K1356" s="15"/>
      <c r="L1356" s="15" t="str">
        <f t="shared" si="21"/>
        <v>NORMAL</v>
      </c>
    </row>
    <row r="1357" spans="1:12" x14ac:dyDescent="0.25">
      <c r="A1357" s="3" t="s">
        <v>4387</v>
      </c>
      <c r="B1357" s="3" t="s">
        <v>4388</v>
      </c>
      <c r="C1357" s="1">
        <v>20</v>
      </c>
      <c r="D1357" s="1">
        <v>14.07</v>
      </c>
      <c r="E1357" s="1" t="s">
        <v>402</v>
      </c>
      <c r="F1357" s="1" t="s">
        <v>4389</v>
      </c>
      <c r="G1357" s="3"/>
      <c r="H1357" s="11">
        <f>ROUND(
IF(L1357="GANCHO",
   IF(I1357&lt;=50,I1357*1.1+4,IF(I1357&lt;=120,I1357*1.1+7,IF(I1357&lt;=250,I1357*1.1+11,I1357*1.1+19))),
IF(L1357="NORMAL",
   IF(I1357&lt;=30,I1357*1.15+2,IF(I1357&lt;=80,I1357*1.15+4,IF(I1357&lt;=150,I1357*1.15+6,I1357*1.15+8))),
IF(L1357="COMPLEMENTO",
   IF(I1357&lt;=25,I1357*1.25+1.5,IF(I1357&lt;=60,I1357*1.25+3,IF(I1357&lt;=120,I1357*1.25+4,I1357*1.25+5))),
""))),2)</f>
        <v>71.209999999999994</v>
      </c>
      <c r="I1357" s="9">
        <f>($K$2+0.02)*Tabla1[[#This Row],[PRECIO $]]*1.18</f>
        <v>58.441152000000002</v>
      </c>
      <c r="J1357" s="7">
        <f>+Tabla1[[#This Row],[PRECIO EN SOLES]]-Tabla1[[#This Row],[PC]]</f>
        <v>12.768847999999991</v>
      </c>
      <c r="K1357" s="15"/>
      <c r="L1357" s="15" t="str">
        <f t="shared" si="21"/>
        <v>NORMAL</v>
      </c>
    </row>
    <row r="1358" spans="1:12" x14ac:dyDescent="0.25">
      <c r="A1358" s="3" t="s">
        <v>4390</v>
      </c>
      <c r="B1358" s="3" t="s">
        <v>4391</v>
      </c>
      <c r="C1358" s="1">
        <v>20</v>
      </c>
      <c r="D1358" s="1">
        <v>18</v>
      </c>
      <c r="E1358" s="1" t="s">
        <v>402</v>
      </c>
      <c r="F1358" s="1" t="s">
        <v>4392</v>
      </c>
      <c r="G1358" s="3"/>
      <c r="H1358" s="11">
        <f>ROUND(
IF(L1358="GANCHO",
   IF(I1358&lt;=50,I1358*1.1+4,IF(I1358&lt;=120,I1358*1.1+7,IF(I1358&lt;=250,I1358*1.1+11,I1358*1.1+19))),
IF(L1358="NORMAL",
   IF(I1358&lt;=30,I1358*1.15+2,IF(I1358&lt;=80,I1358*1.15+4,IF(I1358&lt;=150,I1358*1.15+6,I1358*1.15+8))),
IF(L1358="COMPLEMENTO",
   IF(I1358&lt;=25,I1358*1.25+1.5,IF(I1358&lt;=60,I1358*1.25+3,IF(I1358&lt;=120,I1358*1.25+4,I1358*1.25+5))),
""))),2)</f>
        <v>89.98</v>
      </c>
      <c r="I1358" s="9">
        <f>($K$2+0.02)*Tabla1[[#This Row],[PRECIO $]]*1.18</f>
        <v>74.764799999999994</v>
      </c>
      <c r="J1358" s="7">
        <f>+Tabla1[[#This Row],[PRECIO EN SOLES]]-Tabla1[[#This Row],[PC]]</f>
        <v>15.21520000000001</v>
      </c>
      <c r="K1358" s="15"/>
      <c r="L1358" s="15" t="str">
        <f t="shared" si="21"/>
        <v>NORMAL</v>
      </c>
    </row>
    <row r="1359" spans="1:12" x14ac:dyDescent="0.25">
      <c r="A1359" s="3" t="s">
        <v>4393</v>
      </c>
      <c r="B1359" s="3" t="s">
        <v>4394</v>
      </c>
      <c r="C1359" s="1">
        <v>20</v>
      </c>
      <c r="D1359" s="1">
        <v>45.51</v>
      </c>
      <c r="E1359" s="1" t="s">
        <v>402</v>
      </c>
      <c r="F1359" s="1" t="s">
        <v>4395</v>
      </c>
      <c r="G1359" s="3" t="s">
        <v>4396</v>
      </c>
      <c r="H1359" s="11">
        <f>ROUND(
IF(L1359="GANCHO",
   IF(I1359&lt;=50,I1359*1.1+4,IF(I1359&lt;=120,I1359*1.1+7,IF(I1359&lt;=250,I1359*1.1+11,I1359*1.1+19))),
IF(L1359="NORMAL",
   IF(I1359&lt;=30,I1359*1.15+2,IF(I1359&lt;=80,I1359*1.15+4,IF(I1359&lt;=150,I1359*1.15+6,I1359*1.15+8))),
IF(L1359="COMPLEMENTO",
   IF(I1359&lt;=25,I1359*1.25+1.5,IF(I1359&lt;=60,I1359*1.25+3,IF(I1359&lt;=120,I1359*1.25+4,I1359*1.25+5))),
""))),2)</f>
        <v>225.38</v>
      </c>
      <c r="I1359" s="9">
        <f>($K$2+0.02)*Tabla1[[#This Row],[PRECIO $]]*1.18</f>
        <v>189.03033599999998</v>
      </c>
      <c r="J1359" s="7">
        <f>+Tabla1[[#This Row],[PRECIO EN SOLES]]-Tabla1[[#This Row],[PC]]</f>
        <v>36.349664000000018</v>
      </c>
      <c r="K1359" s="15"/>
      <c r="L1359" s="15" t="str">
        <f t="shared" si="21"/>
        <v>NORMAL</v>
      </c>
    </row>
    <row r="1360" spans="1:12" x14ac:dyDescent="0.25">
      <c r="A1360" s="3" t="s">
        <v>2021</v>
      </c>
      <c r="B1360" s="3" t="s">
        <v>2022</v>
      </c>
      <c r="C1360" s="1">
        <v>20</v>
      </c>
      <c r="D1360" s="1">
        <v>85.5</v>
      </c>
      <c r="E1360" s="1" t="s">
        <v>54</v>
      </c>
      <c r="F1360" s="1" t="s">
        <v>3586</v>
      </c>
      <c r="G1360" s="3" t="s">
        <v>2023</v>
      </c>
      <c r="H1360" s="11">
        <f>ROUND(
IF(L1360="GANCHO",
   IF(I1360&lt;=50,I1360*1.1+4,IF(I1360&lt;=120,I1360*1.1+7,IF(I1360&lt;=250,I1360*1.1+11,I1360*1.1+19))),
IF(L1360="NORMAL",
   IF(I1360&lt;=30,I1360*1.15+2,IF(I1360&lt;=80,I1360*1.15+4,IF(I1360&lt;=150,I1360*1.15+6,I1360*1.15+8))),
IF(L1360="COMPLEMENTO",
   IF(I1360&lt;=25,I1360*1.25+1.5,IF(I1360&lt;=60,I1360*1.25+3,IF(I1360&lt;=120,I1360*1.25+4,I1360*1.25+5))),
""))),2)</f>
        <v>416.4</v>
      </c>
      <c r="I1360" s="9">
        <f>($K$2+0.02)*Tabla1[[#This Row],[PRECIO $]]*1.18</f>
        <v>355.13279999999997</v>
      </c>
      <c r="J1360" s="7">
        <f>+Tabla1[[#This Row],[PRECIO EN SOLES]]-Tabla1[[#This Row],[PC]]</f>
        <v>61.267200000000003</v>
      </c>
      <c r="K1360" s="15"/>
      <c r="L1360" s="15" t="str">
        <f t="shared" si="21"/>
        <v>NORMAL</v>
      </c>
    </row>
    <row r="1361" spans="1:12" x14ac:dyDescent="0.25">
      <c r="A1361" s="3" t="s">
        <v>2024</v>
      </c>
      <c r="B1361" s="3" t="s">
        <v>2025</v>
      </c>
      <c r="C1361" s="1">
        <v>4</v>
      </c>
      <c r="D1361" s="1">
        <v>3480</v>
      </c>
      <c r="E1361" s="1" t="s">
        <v>1859</v>
      </c>
      <c r="F1361" s="1" t="s">
        <v>3587</v>
      </c>
      <c r="G1361" s="3"/>
      <c r="H1361" s="11">
        <f>ROUND(
IF(L1361="GANCHO",
   IF(I1361&lt;=50,I1361*1.1+4,IF(I1361&lt;=120,I1361*1.1+7,IF(I1361&lt;=250,I1361*1.1+11,I1361*1.1+19))),
IF(L1361="NORMAL",
   IF(I1361&lt;=30,I1361*1.15+2,IF(I1361&lt;=80,I1361*1.15+4,IF(I1361&lt;=150,I1361*1.15+6,I1361*1.15+8))),
IF(L1361="COMPLEMENTO",
   IF(I1361&lt;=25,I1361*1.25+1.5,IF(I1361&lt;=60,I1361*1.25+3,IF(I1361&lt;=120,I1361*1.25+4,I1361*1.25+5))),
""))),2)</f>
        <v>16630.71</v>
      </c>
      <c r="I1361" s="9">
        <f>($K$2+0.02)*Tabla1[[#This Row],[PRECIO $]]*1.18</f>
        <v>14454.528</v>
      </c>
      <c r="J1361" s="7">
        <f>+Tabla1[[#This Row],[PRECIO EN SOLES]]-Tabla1[[#This Row],[PC]]</f>
        <v>2176.1819999999989</v>
      </c>
      <c r="K1361" s="15"/>
      <c r="L1361" s="15" t="str">
        <f t="shared" si="21"/>
        <v>NORMAL</v>
      </c>
    </row>
    <row r="1362" spans="1:12" x14ac:dyDescent="0.25">
      <c r="A1362" s="3" t="s">
        <v>2026</v>
      </c>
      <c r="B1362" s="3" t="s">
        <v>2027</v>
      </c>
      <c r="C1362" s="1">
        <v>2</v>
      </c>
      <c r="D1362" s="1">
        <v>4542.42</v>
      </c>
      <c r="E1362" s="1" t="s">
        <v>1859</v>
      </c>
      <c r="F1362" s="1" t="s">
        <v>3588</v>
      </c>
      <c r="G1362" s="3"/>
      <c r="H1362" s="11">
        <f>ROUND(
IF(L1362="GANCHO",
   IF(I1362&lt;=50,I1362*1.1+4,IF(I1362&lt;=120,I1362*1.1+7,IF(I1362&lt;=250,I1362*1.1+11,I1362*1.1+19))),
IF(L1362="NORMAL",
   IF(I1362&lt;=30,I1362*1.15+2,IF(I1362&lt;=80,I1362*1.15+4,IF(I1362&lt;=150,I1362*1.15+6,I1362*1.15+8))),
IF(L1362="COMPLEMENTO",
   IF(I1362&lt;=25,I1362*1.25+1.5,IF(I1362&lt;=60,I1362*1.25+3,IF(I1362&lt;=120,I1362*1.25+4,I1362*1.25+5))),
""))),2)</f>
        <v>21705.51</v>
      </c>
      <c r="I1362" s="9">
        <f>($K$2+0.02)*Tabla1[[#This Row],[PRECIO $]]*1.18</f>
        <v>18867.395711999998</v>
      </c>
      <c r="J1362" s="7">
        <f>+Tabla1[[#This Row],[PRECIO EN SOLES]]-Tabla1[[#This Row],[PC]]</f>
        <v>2838.1142880000007</v>
      </c>
      <c r="K1362" s="15"/>
      <c r="L1362" s="15" t="str">
        <f t="shared" si="21"/>
        <v>NORMAL</v>
      </c>
    </row>
    <row r="1363" spans="1:12" x14ac:dyDescent="0.25">
      <c r="A1363" s="3" t="s">
        <v>2786</v>
      </c>
      <c r="B1363" s="3" t="s">
        <v>2787</v>
      </c>
      <c r="C1363" s="1">
        <v>1</v>
      </c>
      <c r="D1363" s="1">
        <v>2900</v>
      </c>
      <c r="E1363" s="1" t="s">
        <v>1859</v>
      </c>
      <c r="F1363" s="1" t="s">
        <v>3589</v>
      </c>
      <c r="G1363" s="3" t="s">
        <v>2788</v>
      </c>
      <c r="H1363" s="11">
        <f>ROUND(
IF(L1363="GANCHO",
   IF(I1363&lt;=50,I1363*1.1+4,IF(I1363&lt;=120,I1363*1.1+7,IF(I1363&lt;=250,I1363*1.1+11,I1363*1.1+19))),
IF(L1363="NORMAL",
   IF(I1363&lt;=30,I1363*1.15+2,IF(I1363&lt;=80,I1363*1.15+4,IF(I1363&lt;=150,I1363*1.15+6,I1363*1.15+8))),
IF(L1363="COMPLEMENTO",
   IF(I1363&lt;=25,I1363*1.25+1.5,IF(I1363&lt;=60,I1363*1.25+3,IF(I1363&lt;=120,I1363*1.25+4,I1363*1.25+5))),
""))),2)</f>
        <v>13860.26</v>
      </c>
      <c r="I1363" s="9">
        <f>($K$2+0.02)*Tabla1[[#This Row],[PRECIO $]]*1.18</f>
        <v>12045.439999999999</v>
      </c>
      <c r="J1363" s="7">
        <f>+Tabla1[[#This Row],[PRECIO EN SOLES]]-Tabla1[[#This Row],[PC]]</f>
        <v>1814.8200000000015</v>
      </c>
      <c r="K1363" s="15"/>
      <c r="L1363" s="15" t="str">
        <f t="shared" si="21"/>
        <v>NORMAL</v>
      </c>
    </row>
    <row r="1364" spans="1:12" x14ac:dyDescent="0.25">
      <c r="A1364" s="3" t="s">
        <v>5571</v>
      </c>
      <c r="B1364" s="3" t="s">
        <v>5572</v>
      </c>
      <c r="C1364" s="1">
        <v>3</v>
      </c>
      <c r="D1364" s="1">
        <v>4999.71</v>
      </c>
      <c r="E1364" s="1" t="s">
        <v>1859</v>
      </c>
      <c r="F1364" s="1" t="s">
        <v>5573</v>
      </c>
      <c r="G1364" s="3"/>
      <c r="H1364" s="11">
        <f>ROUND(
IF(L1364="GANCHO",
   IF(I1364&lt;=50,I1364*1.1+4,IF(I1364&lt;=120,I1364*1.1+7,IF(I1364&lt;=250,I1364*1.1+11,I1364*1.1+19))),
IF(L1364="NORMAL",
   IF(I1364&lt;=30,I1364*1.15+2,IF(I1364&lt;=80,I1364*1.15+4,IF(I1364&lt;=150,I1364*1.15+6,I1364*1.15+8))),
IF(L1364="COMPLEMENTO",
   IF(I1364&lt;=25,I1364*1.25+1.5,IF(I1364&lt;=60,I1364*1.25+3,IF(I1364&lt;=120,I1364*1.25+4,I1364*1.25+5))),
""))),2)</f>
        <v>23889.81</v>
      </c>
      <c r="I1364" s="9">
        <f>($K$2+0.02)*Tabla1[[#This Row],[PRECIO $]]*1.18</f>
        <v>20766.795456</v>
      </c>
      <c r="J1364" s="7">
        <f>+Tabla1[[#This Row],[PRECIO EN SOLES]]-Tabla1[[#This Row],[PC]]</f>
        <v>3123.0145440000015</v>
      </c>
      <c r="K1364" s="15"/>
      <c r="L1364" s="15" t="str">
        <f t="shared" si="21"/>
        <v>NORMAL</v>
      </c>
    </row>
    <row r="1365" spans="1:12" x14ac:dyDescent="0.25">
      <c r="A1365" s="3" t="s">
        <v>2028</v>
      </c>
      <c r="B1365" s="3" t="s">
        <v>2029</v>
      </c>
      <c r="C1365" s="1">
        <v>1</v>
      </c>
      <c r="D1365" s="1">
        <v>2090</v>
      </c>
      <c r="E1365" s="1" t="s">
        <v>1859</v>
      </c>
      <c r="F1365" s="1" t="s">
        <v>3590</v>
      </c>
      <c r="G1365" s="3"/>
      <c r="H1365" s="11">
        <f>ROUND(
IF(L1365="GANCHO",
   IF(I1365&lt;=50,I1365*1.1+4,IF(I1365&lt;=120,I1365*1.1+7,IF(I1365&lt;=250,I1365*1.1+11,I1365*1.1+19))),
IF(L1365="NORMAL",
   IF(I1365&lt;=30,I1365*1.15+2,IF(I1365&lt;=80,I1365*1.15+4,IF(I1365&lt;=150,I1365*1.15+6,I1365*1.15+8))),
IF(L1365="COMPLEMENTO",
   IF(I1365&lt;=25,I1365*1.25+1.5,IF(I1365&lt;=60,I1365*1.25+3,IF(I1365&lt;=120,I1365*1.25+4,I1365*1.25+5))),
""))),2)</f>
        <v>9991.18</v>
      </c>
      <c r="I1365" s="9">
        <f>($K$2+0.02)*Tabla1[[#This Row],[PRECIO $]]*1.18</f>
        <v>8681.0239999999994</v>
      </c>
      <c r="J1365" s="7">
        <f>+Tabla1[[#This Row],[PRECIO EN SOLES]]-Tabla1[[#This Row],[PC]]</f>
        <v>1310.1560000000009</v>
      </c>
      <c r="K1365" s="15"/>
      <c r="L1365" s="15" t="str">
        <f t="shared" si="21"/>
        <v>NORMAL</v>
      </c>
    </row>
    <row r="1366" spans="1:12" x14ac:dyDescent="0.25">
      <c r="A1366" s="3" t="s">
        <v>2030</v>
      </c>
      <c r="B1366" s="3" t="s">
        <v>2031</v>
      </c>
      <c r="C1366" s="1">
        <v>5</v>
      </c>
      <c r="D1366" s="1">
        <v>1440.4</v>
      </c>
      <c r="E1366" s="1" t="s">
        <v>1859</v>
      </c>
      <c r="F1366" s="1" t="s">
        <v>3591</v>
      </c>
      <c r="G1366" s="3" t="s">
        <v>2032</v>
      </c>
      <c r="H1366" s="11">
        <f>ROUND(
IF(L1366="GANCHO",
   IF(I1366&lt;=50,I1366*1.1+4,IF(I1366&lt;=120,I1366*1.1+7,IF(I1366&lt;=250,I1366*1.1+11,I1366*1.1+19))),
IF(L1366="NORMAL",
   IF(I1366&lt;=30,I1366*1.15+2,IF(I1366&lt;=80,I1366*1.15+4,IF(I1366&lt;=150,I1366*1.15+6,I1366*1.15+8))),
IF(L1366="COMPLEMENTO",
   IF(I1366&lt;=25,I1366*1.25+1.5,IF(I1366&lt;=60,I1366*1.25+3,IF(I1366&lt;=120,I1366*1.25+4,I1366*1.25+5))),
""))),2)</f>
        <v>6888.27</v>
      </c>
      <c r="I1366" s="9">
        <f>($K$2+0.02)*Tabla1[[#This Row],[PRECIO $]]*1.18</f>
        <v>5982.8454400000001</v>
      </c>
      <c r="J1366" s="7">
        <f>+Tabla1[[#This Row],[PRECIO EN SOLES]]-Tabla1[[#This Row],[PC]]</f>
        <v>905.42456000000038</v>
      </c>
      <c r="K1366" s="15"/>
      <c r="L1366" s="15" t="str">
        <f t="shared" si="21"/>
        <v>NORMAL</v>
      </c>
    </row>
    <row r="1367" spans="1:12" x14ac:dyDescent="0.25">
      <c r="A1367" s="3" t="s">
        <v>2033</v>
      </c>
      <c r="B1367" s="3" t="s">
        <v>2031</v>
      </c>
      <c r="C1367" s="1">
        <v>1</v>
      </c>
      <c r="D1367" s="1">
        <v>1396</v>
      </c>
      <c r="E1367" s="1" t="s">
        <v>1859</v>
      </c>
      <c r="F1367" s="1" t="s">
        <v>3592</v>
      </c>
      <c r="G1367" s="3"/>
      <c r="H1367" s="11">
        <f>ROUND(
IF(L1367="GANCHO",
   IF(I1367&lt;=50,I1367*1.1+4,IF(I1367&lt;=120,I1367*1.1+7,IF(I1367&lt;=250,I1367*1.1+11,I1367*1.1+19))),
IF(L1367="NORMAL",
   IF(I1367&lt;=30,I1367*1.15+2,IF(I1367&lt;=80,I1367*1.15+4,IF(I1367&lt;=150,I1367*1.15+6,I1367*1.15+8))),
IF(L1367="COMPLEMENTO",
   IF(I1367&lt;=25,I1367*1.25+1.5,IF(I1367&lt;=60,I1367*1.25+3,IF(I1367&lt;=120,I1367*1.25+4,I1367*1.25+5))),
""))),2)</f>
        <v>6676.19</v>
      </c>
      <c r="I1367" s="9">
        <f>($K$2+0.02)*Tabla1[[#This Row],[PRECIO $]]*1.18</f>
        <v>5798.4255999999996</v>
      </c>
      <c r="J1367" s="7">
        <f>+Tabla1[[#This Row],[PRECIO EN SOLES]]-Tabla1[[#This Row],[PC]]</f>
        <v>877.76440000000002</v>
      </c>
      <c r="K1367" s="15"/>
      <c r="L1367" s="15" t="str">
        <f t="shared" si="21"/>
        <v>NORMAL</v>
      </c>
    </row>
    <row r="1368" spans="1:12" x14ac:dyDescent="0.25">
      <c r="A1368" s="3" t="s">
        <v>2576</v>
      </c>
      <c r="B1368" s="3" t="s">
        <v>2035</v>
      </c>
      <c r="C1368" s="1">
        <v>3</v>
      </c>
      <c r="D1368" s="1">
        <v>957.36</v>
      </c>
      <c r="E1368" s="1" t="s">
        <v>1859</v>
      </c>
      <c r="F1368" s="1" t="s">
        <v>3593</v>
      </c>
      <c r="G1368" s="3" t="s">
        <v>2036</v>
      </c>
      <c r="H1368" s="11">
        <f>ROUND(
IF(L1368="GANCHO",
   IF(I1368&lt;=50,I1368*1.1+4,IF(I1368&lt;=120,I1368*1.1+7,IF(I1368&lt;=250,I1368*1.1+11,I1368*1.1+19))),
IF(L1368="NORMAL",
   IF(I1368&lt;=30,I1368*1.15+2,IF(I1368&lt;=80,I1368*1.15+4,IF(I1368&lt;=150,I1368*1.15+6,I1368*1.15+8))),
IF(L1368="COMPLEMENTO",
   IF(I1368&lt;=25,I1368*1.25+1.5,IF(I1368&lt;=60,I1368*1.25+3,IF(I1368&lt;=120,I1368*1.25+4,I1368*1.25+5))),
""))),2)</f>
        <v>4580.96</v>
      </c>
      <c r="I1368" s="9">
        <f>($K$2+0.02)*Tabla1[[#This Row],[PRECIO $]]*1.18</f>
        <v>3976.4904959999999</v>
      </c>
      <c r="J1368" s="7">
        <f>+Tabla1[[#This Row],[PRECIO EN SOLES]]-Tabla1[[#This Row],[PC]]</f>
        <v>604.46950400000014</v>
      </c>
      <c r="K1368" s="15"/>
      <c r="L1368" s="15" t="str">
        <f t="shared" si="21"/>
        <v>NORMAL</v>
      </c>
    </row>
    <row r="1369" spans="1:12" x14ac:dyDescent="0.25">
      <c r="A1369" s="3" t="s">
        <v>2034</v>
      </c>
      <c r="B1369" s="3" t="s">
        <v>2035</v>
      </c>
      <c r="C1369" s="1">
        <v>1</v>
      </c>
      <c r="D1369" s="1">
        <v>951.02</v>
      </c>
      <c r="E1369" s="1" t="s">
        <v>1859</v>
      </c>
      <c r="F1369" s="1" t="s">
        <v>3594</v>
      </c>
      <c r="G1369" s="3" t="s">
        <v>2036</v>
      </c>
      <c r="H1369" s="11">
        <f>ROUND(
IF(L1369="GANCHO",
   IF(I1369&lt;=50,I1369*1.1+4,IF(I1369&lt;=120,I1369*1.1+7,IF(I1369&lt;=250,I1369*1.1+11,I1369*1.1+19))),
IF(L1369="NORMAL",
   IF(I1369&lt;=30,I1369*1.15+2,IF(I1369&lt;=80,I1369*1.15+4,IF(I1369&lt;=150,I1369*1.15+6,I1369*1.15+8))),
IF(L1369="COMPLEMENTO",
   IF(I1369&lt;=25,I1369*1.25+1.5,IF(I1369&lt;=60,I1369*1.25+3,IF(I1369&lt;=120,I1369*1.25+4,I1369*1.25+5))),
""))),2)</f>
        <v>4550.68</v>
      </c>
      <c r="I1369" s="9">
        <f>($K$2+0.02)*Tabla1[[#This Row],[PRECIO $]]*1.18</f>
        <v>3950.1566720000001</v>
      </c>
      <c r="J1369" s="7">
        <f>+Tabla1[[#This Row],[PRECIO EN SOLES]]-Tabla1[[#This Row],[PC]]</f>
        <v>600.52332800000022</v>
      </c>
      <c r="K1369" s="15"/>
      <c r="L1369" s="15" t="str">
        <f t="shared" si="21"/>
        <v>NORMAL</v>
      </c>
    </row>
    <row r="1370" spans="1:12" x14ac:dyDescent="0.25">
      <c r="A1370" s="3" t="s">
        <v>2037</v>
      </c>
      <c r="B1370" s="3" t="s">
        <v>2038</v>
      </c>
      <c r="C1370" s="1">
        <v>7</v>
      </c>
      <c r="D1370" s="1">
        <v>1844.5</v>
      </c>
      <c r="E1370" s="1" t="s">
        <v>1859</v>
      </c>
      <c r="F1370" s="1" t="s">
        <v>3595</v>
      </c>
      <c r="G1370" s="3" t="s">
        <v>2039</v>
      </c>
      <c r="H1370" s="11">
        <f>ROUND(
IF(L1370="GANCHO",
   IF(I1370&lt;=50,I1370*1.1+4,IF(I1370&lt;=120,I1370*1.1+7,IF(I1370&lt;=250,I1370*1.1+11,I1370*1.1+19))),
IF(L1370="NORMAL",
   IF(I1370&lt;=30,I1370*1.15+2,IF(I1370&lt;=80,I1370*1.15+4,IF(I1370&lt;=150,I1370*1.15+6,I1370*1.15+8))),
IF(L1370="COMPLEMENTO",
   IF(I1370&lt;=25,I1370*1.25+1.5,IF(I1370&lt;=60,I1370*1.25+3,IF(I1370&lt;=120,I1370*1.25+4,I1370*1.25+5))),
""))),2)</f>
        <v>8818.51</v>
      </c>
      <c r="I1370" s="9">
        <f>($K$2+0.02)*Tabla1[[#This Row],[PRECIO $]]*1.18</f>
        <v>7661.3152</v>
      </c>
      <c r="J1370" s="7">
        <f>+Tabla1[[#This Row],[PRECIO EN SOLES]]-Tabla1[[#This Row],[PC]]</f>
        <v>1157.1948000000002</v>
      </c>
      <c r="K1370" s="15"/>
      <c r="L1370" s="15" t="str">
        <f t="shared" si="21"/>
        <v>NORMAL</v>
      </c>
    </row>
    <row r="1371" spans="1:12" x14ac:dyDescent="0.25">
      <c r="A1371" s="3" t="s">
        <v>2040</v>
      </c>
      <c r="B1371" s="3" t="s">
        <v>2041</v>
      </c>
      <c r="C1371" s="1">
        <v>1</v>
      </c>
      <c r="D1371" s="1">
        <v>1300</v>
      </c>
      <c r="E1371" s="1" t="s">
        <v>1859</v>
      </c>
      <c r="F1371" s="1" t="s">
        <v>3596</v>
      </c>
      <c r="G1371" s="3" t="s">
        <v>2042</v>
      </c>
      <c r="H1371" s="11">
        <f>ROUND(
IF(L1371="GANCHO",
   IF(I1371&lt;=50,I1371*1.1+4,IF(I1371&lt;=120,I1371*1.1+7,IF(I1371&lt;=250,I1371*1.1+11,I1371*1.1+19))),
IF(L1371="NORMAL",
   IF(I1371&lt;=30,I1371*1.15+2,IF(I1371&lt;=80,I1371*1.15+4,IF(I1371&lt;=150,I1371*1.15+6,I1371*1.15+8))),
IF(L1371="COMPLEMENTO",
   IF(I1371&lt;=25,I1371*1.25+1.5,IF(I1371&lt;=60,I1371*1.25+3,IF(I1371&lt;=120,I1371*1.25+4,I1371*1.25+5))),
""))),2)</f>
        <v>6217.63</v>
      </c>
      <c r="I1371" s="9">
        <f>($K$2+0.02)*Tabla1[[#This Row],[PRECIO $]]*1.18</f>
        <v>5399.6799999999994</v>
      </c>
      <c r="J1371" s="7">
        <f>+Tabla1[[#This Row],[PRECIO EN SOLES]]-Tabla1[[#This Row],[PC]]</f>
        <v>817.95000000000073</v>
      </c>
      <c r="K1371" s="15"/>
      <c r="L1371" s="15" t="str">
        <f t="shared" si="21"/>
        <v>NORMAL</v>
      </c>
    </row>
    <row r="1372" spans="1:12" x14ac:dyDescent="0.25">
      <c r="A1372" s="3" t="s">
        <v>2043</v>
      </c>
      <c r="B1372" s="3" t="s">
        <v>2044</v>
      </c>
      <c r="C1372" s="1">
        <v>4</v>
      </c>
      <c r="D1372" s="1">
        <v>4361.43</v>
      </c>
      <c r="E1372" s="1" t="s">
        <v>1859</v>
      </c>
      <c r="F1372" s="1" t="s">
        <v>3597</v>
      </c>
      <c r="G1372" s="3"/>
      <c r="H1372" s="11">
        <f>ROUND(
IF(L1372="GANCHO",
   IF(I1372&lt;=50,I1372*1.1+4,IF(I1372&lt;=120,I1372*1.1+7,IF(I1372&lt;=250,I1372*1.1+11,I1372*1.1+19))),
IF(L1372="NORMAL",
   IF(I1372&lt;=30,I1372*1.15+2,IF(I1372&lt;=80,I1372*1.15+4,IF(I1372&lt;=150,I1372*1.15+6,I1372*1.15+8))),
IF(L1372="COMPLEMENTO",
   IF(I1372&lt;=25,I1372*1.25+1.5,IF(I1372&lt;=60,I1372*1.25+3,IF(I1372&lt;=120,I1372*1.25+4,I1372*1.25+5))),
""))),2)</f>
        <v>20840.98</v>
      </c>
      <c r="I1372" s="9">
        <f>($K$2+0.02)*Tabla1[[#This Row],[PRECIO $]]*1.18</f>
        <v>18115.635647999999</v>
      </c>
      <c r="J1372" s="7">
        <f>+Tabla1[[#This Row],[PRECIO EN SOLES]]-Tabla1[[#This Row],[PC]]</f>
        <v>2725.3443520000001</v>
      </c>
      <c r="K1372" s="15"/>
      <c r="L1372" s="15" t="str">
        <f t="shared" si="21"/>
        <v>NORMAL</v>
      </c>
    </row>
    <row r="1373" spans="1:12" x14ac:dyDescent="0.25">
      <c r="A1373" s="3" t="s">
        <v>2045</v>
      </c>
      <c r="B1373" s="3" t="s">
        <v>2046</v>
      </c>
      <c r="C1373" s="1">
        <v>1</v>
      </c>
      <c r="D1373" s="1">
        <v>30000</v>
      </c>
      <c r="E1373" s="1" t="s">
        <v>1859</v>
      </c>
      <c r="F1373" s="1" t="s">
        <v>3598</v>
      </c>
      <c r="G1373" s="3"/>
      <c r="H1373" s="11">
        <f>ROUND(
IF(L1373="GANCHO",
   IF(I1373&lt;=50,I1373*1.1+4,IF(I1373&lt;=120,I1373*1.1+7,IF(I1373&lt;=250,I1373*1.1+11,I1373*1.1+19))),
IF(L1373="NORMAL",
   IF(I1373&lt;=30,I1373*1.15+2,IF(I1373&lt;=80,I1373*1.15+4,IF(I1373&lt;=150,I1373*1.15+6,I1373*1.15+8))),
IF(L1373="COMPLEMENTO",
   IF(I1373&lt;=25,I1373*1.25+1.5,IF(I1373&lt;=60,I1373*1.25+3,IF(I1373&lt;=120,I1373*1.25+4,I1373*1.25+5))),
""))),2)</f>
        <v>143307.20000000001</v>
      </c>
      <c r="I1373" s="9">
        <f>($K$2+0.02)*Tabla1[[#This Row],[PRECIO $]]*1.18</f>
        <v>124608</v>
      </c>
      <c r="J1373" s="7">
        <f>+Tabla1[[#This Row],[PRECIO EN SOLES]]-Tabla1[[#This Row],[PC]]</f>
        <v>18699.200000000012</v>
      </c>
      <c r="K1373" s="15"/>
      <c r="L1373" s="15" t="str">
        <f t="shared" si="21"/>
        <v>NORMAL</v>
      </c>
    </row>
    <row r="1374" spans="1:12" x14ac:dyDescent="0.25">
      <c r="A1374" s="3" t="s">
        <v>2047</v>
      </c>
      <c r="B1374" s="3" t="s">
        <v>2048</v>
      </c>
      <c r="C1374" s="1">
        <v>3</v>
      </c>
      <c r="D1374" s="1">
        <v>130.05000000000001</v>
      </c>
      <c r="E1374" s="1" t="s">
        <v>402</v>
      </c>
      <c r="F1374" s="1" t="s">
        <v>3599</v>
      </c>
      <c r="G1374" s="3" t="s">
        <v>2049</v>
      </c>
      <c r="H1374" s="11">
        <f>ROUND(
IF(L1374="GANCHO",
   IF(I1374&lt;=50,I1374*1.1+4,IF(I1374&lt;=120,I1374*1.1+7,IF(I1374&lt;=250,I1374*1.1+11,I1374*1.1+19))),
IF(L1374="NORMAL",
   IF(I1374&lt;=30,I1374*1.15+2,IF(I1374&lt;=80,I1374*1.15+4,IF(I1374&lt;=150,I1374*1.15+6,I1374*1.15+8))),
IF(L1374="COMPLEMENTO",
   IF(I1374&lt;=25,I1374*1.25+1.5,IF(I1374&lt;=60,I1374*1.25+3,IF(I1374&lt;=120,I1374*1.25+4,I1374*1.25+5))),
""))),2)</f>
        <v>629.20000000000005</v>
      </c>
      <c r="I1374" s="9">
        <f>($K$2+0.02)*Tabla1[[#This Row],[PRECIO $]]*1.18</f>
        <v>540.17568000000006</v>
      </c>
      <c r="J1374" s="7">
        <f>+Tabla1[[#This Row],[PRECIO EN SOLES]]-Tabla1[[#This Row],[PC]]</f>
        <v>89.024319999999989</v>
      </c>
      <c r="K1374" s="15"/>
      <c r="L1374" s="15" t="str">
        <f t="shared" si="21"/>
        <v>NORMAL</v>
      </c>
    </row>
    <row r="1375" spans="1:12" x14ac:dyDescent="0.25">
      <c r="A1375" s="3" t="s">
        <v>2050</v>
      </c>
      <c r="B1375" s="3" t="s">
        <v>2051</v>
      </c>
      <c r="C1375" s="1">
        <v>3</v>
      </c>
      <c r="D1375" s="1">
        <v>566.42999999999995</v>
      </c>
      <c r="E1375" s="1" t="s">
        <v>1859</v>
      </c>
      <c r="F1375" s="1" t="s">
        <v>3600</v>
      </c>
      <c r="G1375" s="3" t="s">
        <v>2052</v>
      </c>
      <c r="H1375" s="11">
        <f>ROUND(
IF(L1375="GANCHO",
   IF(I1375&lt;=50,I1375*1.1+4,IF(I1375&lt;=120,I1375*1.1+7,IF(I1375&lt;=250,I1375*1.1+11,I1375*1.1+19))),
IF(L1375="NORMAL",
   IF(I1375&lt;=30,I1375*1.15+2,IF(I1375&lt;=80,I1375*1.15+4,IF(I1375&lt;=150,I1375*1.15+6,I1375*1.15+8))),
IF(L1375="COMPLEMENTO",
   IF(I1375&lt;=25,I1375*1.25+1.5,IF(I1375&lt;=60,I1375*1.25+3,IF(I1375&lt;=120,I1375*1.25+4,I1375*1.25+5))),
""))),2)</f>
        <v>2713.63</v>
      </c>
      <c r="I1375" s="9">
        <f>($K$2+0.02)*Tabla1[[#This Row],[PRECIO $]]*1.18</f>
        <v>2352.7236479999997</v>
      </c>
      <c r="J1375" s="7">
        <f>+Tabla1[[#This Row],[PRECIO EN SOLES]]-Tabla1[[#This Row],[PC]]</f>
        <v>360.90635200000042</v>
      </c>
      <c r="K1375" s="15"/>
      <c r="L1375" s="15" t="str">
        <f t="shared" si="21"/>
        <v>NORMAL</v>
      </c>
    </row>
    <row r="1376" spans="1:12" x14ac:dyDescent="0.25">
      <c r="A1376" s="3" t="s">
        <v>2053</v>
      </c>
      <c r="B1376" s="3" t="s">
        <v>2054</v>
      </c>
      <c r="C1376" s="1">
        <v>1</v>
      </c>
      <c r="D1376" s="1">
        <v>19</v>
      </c>
      <c r="E1376" s="1" t="s">
        <v>54</v>
      </c>
      <c r="F1376" s="1" t="s">
        <v>3601</v>
      </c>
      <c r="G1376" s="3"/>
      <c r="H1376" s="11">
        <f>ROUND(
IF(L1376="GANCHO",
   IF(I1376&lt;=50,I1376*1.1+4,IF(I1376&lt;=120,I1376*1.1+7,IF(I1376&lt;=250,I1376*1.1+11,I1376*1.1+19))),
IF(L1376="NORMAL",
   IF(I1376&lt;=30,I1376*1.15+2,IF(I1376&lt;=80,I1376*1.15+4,IF(I1376&lt;=150,I1376*1.15+6,I1376*1.15+8))),
IF(L1376="COMPLEMENTO",
   IF(I1376&lt;=25,I1376*1.25+1.5,IF(I1376&lt;=60,I1376*1.25+3,IF(I1376&lt;=120,I1376*1.25+4,I1376*1.25+5))),
""))),2)</f>
        <v>94.76</v>
      </c>
      <c r="I1376" s="9">
        <f>($K$2+0.02)*Tabla1[[#This Row],[PRECIO $]]*1.18</f>
        <v>78.918399999999991</v>
      </c>
      <c r="J1376" s="7">
        <f>+Tabla1[[#This Row],[PRECIO EN SOLES]]-Tabla1[[#This Row],[PC]]</f>
        <v>15.841600000000014</v>
      </c>
      <c r="K1376" s="15"/>
      <c r="L1376" s="15" t="str">
        <f t="shared" si="21"/>
        <v>NORMAL</v>
      </c>
    </row>
    <row r="1377" spans="1:12" x14ac:dyDescent="0.25">
      <c r="A1377" s="3" t="s">
        <v>2055</v>
      </c>
      <c r="B1377" s="3" t="s">
        <v>2056</v>
      </c>
      <c r="C1377" s="1">
        <v>20</v>
      </c>
      <c r="D1377" s="1">
        <v>1.1000000000000001</v>
      </c>
      <c r="E1377" s="1" t="s">
        <v>54</v>
      </c>
      <c r="F1377" s="1" t="s">
        <v>3602</v>
      </c>
      <c r="G1377" s="3" t="s">
        <v>2057</v>
      </c>
      <c r="H1377" s="11">
        <f>ROUND(
IF(L1377="GANCHO",
   IF(I1377&lt;=50,I1377*1.1+4,IF(I1377&lt;=120,I1377*1.1+7,IF(I1377&lt;=250,I1377*1.1+11,I1377*1.1+19))),
IF(L1377="NORMAL",
   IF(I1377&lt;=30,I1377*1.15+2,IF(I1377&lt;=80,I1377*1.15+4,IF(I1377&lt;=150,I1377*1.15+6,I1377*1.15+8))),
IF(L1377="COMPLEMENTO",
   IF(I1377&lt;=25,I1377*1.25+1.5,IF(I1377&lt;=60,I1377*1.25+3,IF(I1377&lt;=120,I1377*1.25+4,I1377*1.25+5))),
""))),2)</f>
        <v>7.25</v>
      </c>
      <c r="I1377" s="9">
        <f>($K$2+0.02)*Tabla1[[#This Row],[PRECIO $]]*1.18</f>
        <v>4.5689600000000006</v>
      </c>
      <c r="J1377" s="7">
        <f>+Tabla1[[#This Row],[PRECIO EN SOLES]]-Tabla1[[#This Row],[PC]]</f>
        <v>2.6810399999999994</v>
      </c>
      <c r="K1377" s="15"/>
      <c r="L1377" s="15" t="str">
        <f t="shared" si="21"/>
        <v>NORMAL</v>
      </c>
    </row>
    <row r="1378" spans="1:12" x14ac:dyDescent="0.25">
      <c r="A1378" s="3" t="s">
        <v>2058</v>
      </c>
      <c r="B1378" s="3" t="s">
        <v>2059</v>
      </c>
      <c r="C1378" s="1">
        <v>0</v>
      </c>
      <c r="D1378" s="1">
        <v>9999999.9900000002</v>
      </c>
      <c r="E1378" s="1" t="s">
        <v>54</v>
      </c>
      <c r="F1378" s="1" t="s">
        <v>3603</v>
      </c>
      <c r="G1378" s="3"/>
      <c r="H1378" s="11">
        <f>ROUND(
IF(L1378="GANCHO",
   IF(I1378&lt;=50,I1378*1.1+4,IF(I1378&lt;=120,I1378*1.1+7,IF(I1378&lt;=250,I1378*1.1+11,I1378*1.1+19))),
IF(L1378="NORMAL",
   IF(I1378&lt;=30,I1378*1.15+2,IF(I1378&lt;=80,I1378*1.15+4,IF(I1378&lt;=150,I1378*1.15+6,I1378*1.15+8))),
IF(L1378="COMPLEMENTO",
   IF(I1378&lt;=25,I1378*1.25+1.5,IF(I1378&lt;=60,I1378*1.25+3,IF(I1378&lt;=120,I1378*1.25+4,I1378*1.25+5))),
""))),2)</f>
        <v>47766407.950000003</v>
      </c>
      <c r="I1378" s="9">
        <f>($K$2+0.02)*Tabla1[[#This Row],[PRECIO $]]*1.18</f>
        <v>41535999.958463997</v>
      </c>
      <c r="J1378" s="7">
        <f>+Tabla1[[#This Row],[PRECIO EN SOLES]]-Tabla1[[#This Row],[PC]]</f>
        <v>6230407.9915360063</v>
      </c>
      <c r="K1378" s="15"/>
      <c r="L1378" s="15" t="str">
        <f t="shared" si="21"/>
        <v>NORMAL</v>
      </c>
    </row>
    <row r="1379" spans="1:12" x14ac:dyDescent="0.25">
      <c r="A1379" s="3" t="s">
        <v>2060</v>
      </c>
      <c r="B1379" s="3" t="s">
        <v>2061</v>
      </c>
      <c r="C1379" s="1">
        <v>1</v>
      </c>
      <c r="D1379" s="1">
        <v>15</v>
      </c>
      <c r="E1379" s="1" t="s">
        <v>54</v>
      </c>
      <c r="F1379" s="1" t="s">
        <v>3604</v>
      </c>
      <c r="G1379" s="3"/>
      <c r="H1379" s="11">
        <f>ROUND(
IF(L1379="GANCHO",
   IF(I1379&lt;=50,I1379*1.1+4,IF(I1379&lt;=120,I1379*1.1+7,IF(I1379&lt;=250,I1379*1.1+11,I1379*1.1+19))),
IF(L1379="NORMAL",
   IF(I1379&lt;=30,I1379*1.15+2,IF(I1379&lt;=80,I1379*1.15+4,IF(I1379&lt;=150,I1379*1.15+6,I1379*1.15+8))),
IF(L1379="COMPLEMENTO",
   IF(I1379&lt;=25,I1379*1.25+1.5,IF(I1379&lt;=60,I1379*1.25+3,IF(I1379&lt;=120,I1379*1.25+4,I1379*1.25+5))),
""))),2)</f>
        <v>75.650000000000006</v>
      </c>
      <c r="I1379" s="9">
        <f>($K$2+0.02)*Tabla1[[#This Row],[PRECIO $]]*1.18</f>
        <v>62.303999999999995</v>
      </c>
      <c r="J1379" s="7">
        <f>+Tabla1[[#This Row],[PRECIO EN SOLES]]-Tabla1[[#This Row],[PC]]</f>
        <v>13.346000000000011</v>
      </c>
      <c r="K1379" s="15"/>
      <c r="L1379" s="15" t="str">
        <f t="shared" si="21"/>
        <v>NORMAL</v>
      </c>
    </row>
    <row r="1380" spans="1:12" x14ac:dyDescent="0.25">
      <c r="A1380" s="3" t="s">
        <v>2062</v>
      </c>
      <c r="B1380" s="3" t="s">
        <v>2063</v>
      </c>
      <c r="C1380" s="1">
        <v>0</v>
      </c>
      <c r="D1380" s="1">
        <v>110</v>
      </c>
      <c r="E1380" s="1" t="s">
        <v>54</v>
      </c>
      <c r="F1380" s="1" t="s">
        <v>3605</v>
      </c>
      <c r="G1380" s="3" t="s">
        <v>2064</v>
      </c>
      <c r="H1380" s="11">
        <f>ROUND(
IF(L1380="GANCHO",
   IF(I1380&lt;=50,I1380*1.1+4,IF(I1380&lt;=120,I1380*1.1+7,IF(I1380&lt;=250,I1380*1.1+11,I1380*1.1+19))),
IF(L1380="NORMAL",
   IF(I1380&lt;=30,I1380*1.15+2,IF(I1380&lt;=80,I1380*1.15+4,IF(I1380&lt;=150,I1380*1.15+6,I1380*1.15+8))),
IF(L1380="COMPLEMENTO",
   IF(I1380&lt;=25,I1380*1.25+1.5,IF(I1380&lt;=60,I1380*1.25+3,IF(I1380&lt;=120,I1380*1.25+4,I1380*1.25+5))),
""))),2)</f>
        <v>533.42999999999995</v>
      </c>
      <c r="I1380" s="9">
        <f>($K$2+0.02)*Tabla1[[#This Row],[PRECIO $]]*1.18</f>
        <v>456.89599999999996</v>
      </c>
      <c r="J1380" s="7">
        <f>+Tabla1[[#This Row],[PRECIO EN SOLES]]-Tabla1[[#This Row],[PC]]</f>
        <v>76.533999999999992</v>
      </c>
      <c r="K1380" s="15"/>
      <c r="L1380" s="15" t="str">
        <f t="shared" si="21"/>
        <v>NORMAL</v>
      </c>
    </row>
    <row r="1381" spans="1:12" x14ac:dyDescent="0.25">
      <c r="A1381" s="3" t="s">
        <v>2065</v>
      </c>
      <c r="B1381" s="3" t="s">
        <v>2066</v>
      </c>
      <c r="C1381" s="1">
        <v>0</v>
      </c>
      <c r="D1381" s="1">
        <v>30</v>
      </c>
      <c r="E1381" s="1" t="s">
        <v>54</v>
      </c>
      <c r="F1381" s="1" t="s">
        <v>3606</v>
      </c>
      <c r="G1381" s="3"/>
      <c r="H1381" s="11">
        <f>ROUND(
IF(L1381="GANCHO",
   IF(I1381&lt;=50,I1381*1.1+4,IF(I1381&lt;=120,I1381*1.1+7,IF(I1381&lt;=250,I1381*1.1+11,I1381*1.1+19))),
IF(L1381="NORMAL",
   IF(I1381&lt;=30,I1381*1.15+2,IF(I1381&lt;=80,I1381*1.15+4,IF(I1381&lt;=150,I1381*1.15+6,I1381*1.15+8))),
IF(L1381="COMPLEMENTO",
   IF(I1381&lt;=25,I1381*1.25+1.5,IF(I1381&lt;=60,I1381*1.25+3,IF(I1381&lt;=120,I1381*1.25+4,I1381*1.25+5))),
""))),2)</f>
        <v>160.76</v>
      </c>
      <c r="I1381" s="9">
        <f>($K$2+0.02)*Tabla1[[#This Row],[PRECIO $]]*1.18</f>
        <v>124.60799999999999</v>
      </c>
      <c r="J1381" s="7">
        <f>+Tabla1[[#This Row],[PRECIO EN SOLES]]-Tabla1[[#This Row],[PC]]</f>
        <v>36.152000000000001</v>
      </c>
      <c r="K1381" s="15"/>
      <c r="L1381" s="15" t="str">
        <f t="shared" si="21"/>
        <v>COMPLEMENTO</v>
      </c>
    </row>
    <row r="1382" spans="1:12" x14ac:dyDescent="0.25">
      <c r="A1382" s="3" t="s">
        <v>2067</v>
      </c>
      <c r="B1382" s="3" t="s">
        <v>2068</v>
      </c>
      <c r="C1382" s="1">
        <v>0</v>
      </c>
      <c r="D1382" s="1">
        <v>85</v>
      </c>
      <c r="E1382" s="1" t="s">
        <v>783</v>
      </c>
      <c r="F1382" s="1" t="s">
        <v>3607</v>
      </c>
      <c r="G1382" s="3" t="s">
        <v>2069</v>
      </c>
      <c r="H1382" s="11">
        <f>ROUND(
IF(L1382="GANCHO",
   IF(I1382&lt;=50,I1382*1.1+4,IF(I1382&lt;=120,I1382*1.1+7,IF(I1382&lt;=250,I1382*1.1+11,I1382*1.1+19))),
IF(L1382="NORMAL",
   IF(I1382&lt;=30,I1382*1.15+2,IF(I1382&lt;=80,I1382*1.15+4,IF(I1382&lt;=150,I1382*1.15+6,I1382*1.15+8))),
IF(L1382="COMPLEMENTO",
   IF(I1382&lt;=25,I1382*1.25+1.5,IF(I1382&lt;=60,I1382*1.25+3,IF(I1382&lt;=120,I1382*1.25+4,I1382*1.25+5))),
""))),2)</f>
        <v>414.01</v>
      </c>
      <c r="I1382" s="9">
        <f>($K$2+0.02)*Tabla1[[#This Row],[PRECIO $]]*1.18</f>
        <v>353.05599999999998</v>
      </c>
      <c r="J1382" s="7">
        <f>+Tabla1[[#This Row],[PRECIO EN SOLES]]-Tabla1[[#This Row],[PC]]</f>
        <v>60.954000000000008</v>
      </c>
      <c r="K1382" s="15"/>
      <c r="L1382" s="15" t="str">
        <f t="shared" si="21"/>
        <v>NORMAL</v>
      </c>
    </row>
    <row r="1383" spans="1:12" x14ac:dyDescent="0.25">
      <c r="A1383" s="3" t="s">
        <v>7008</v>
      </c>
      <c r="B1383" s="3" t="s">
        <v>7009</v>
      </c>
      <c r="C1383" s="1">
        <v>0</v>
      </c>
      <c r="D1383" s="1">
        <v>110</v>
      </c>
      <c r="E1383" s="1" t="s">
        <v>57</v>
      </c>
      <c r="F1383" s="1" t="s">
        <v>7010</v>
      </c>
      <c r="G1383" s="3"/>
      <c r="H1383" s="11">
        <f>ROUND(
IF(L1383="GANCHO",
   IF(I1383&lt;=50,I1383*1.1+4,IF(I1383&lt;=120,I1383*1.1+7,IF(I1383&lt;=250,I1383*1.1+11,I1383*1.1+19))),
IF(L1383="NORMAL",
   IF(I1383&lt;=30,I1383*1.15+2,IF(I1383&lt;=80,I1383*1.15+4,IF(I1383&lt;=150,I1383*1.15+6,I1383*1.15+8))),
IF(L1383="COMPLEMENTO",
   IF(I1383&lt;=25,I1383*1.25+1.5,IF(I1383&lt;=60,I1383*1.25+3,IF(I1383&lt;=120,I1383*1.25+4,I1383*1.25+5))),
""))),2)</f>
        <v>533.42999999999995</v>
      </c>
      <c r="I1383" s="9">
        <f>($K$2+0.02)*Tabla1[[#This Row],[PRECIO $]]*1.18</f>
        <v>456.89599999999996</v>
      </c>
      <c r="J1383" s="7">
        <f>+Tabla1[[#This Row],[PRECIO EN SOLES]]-Tabla1[[#This Row],[PC]]</f>
        <v>76.533999999999992</v>
      </c>
      <c r="K1383" s="15"/>
      <c r="L1383" s="15" t="str">
        <f t="shared" si="21"/>
        <v>NORMAL</v>
      </c>
    </row>
    <row r="1384" spans="1:12" x14ac:dyDescent="0.25">
      <c r="A1384" s="3" t="s">
        <v>2070</v>
      </c>
      <c r="B1384" s="3" t="s">
        <v>2071</v>
      </c>
      <c r="C1384" s="1">
        <v>0</v>
      </c>
      <c r="D1384" s="1">
        <v>48</v>
      </c>
      <c r="E1384" s="1" t="s">
        <v>1024</v>
      </c>
      <c r="F1384" s="1" t="s">
        <v>3608</v>
      </c>
      <c r="G1384" s="3" t="s">
        <v>2072</v>
      </c>
      <c r="H1384" s="11">
        <f>ROUND(
IF(L1384="GANCHO",
   IF(I1384&lt;=50,I1384*1.1+4,IF(I1384&lt;=120,I1384*1.1+7,IF(I1384&lt;=250,I1384*1.1+11,I1384*1.1+19))),
IF(L1384="NORMAL",
   IF(I1384&lt;=30,I1384*1.15+2,IF(I1384&lt;=80,I1384*1.15+4,IF(I1384&lt;=150,I1384*1.15+6,I1384*1.15+8))),
IF(L1384="COMPLEMENTO",
   IF(I1384&lt;=25,I1384*1.25+1.5,IF(I1384&lt;=60,I1384*1.25+3,IF(I1384&lt;=120,I1384*1.25+4,I1384*1.25+5))),
""))),2)</f>
        <v>237.28</v>
      </c>
      <c r="I1384" s="9">
        <f>($K$2+0.02)*Tabla1[[#This Row],[PRECIO $]]*1.18</f>
        <v>199.37280000000001</v>
      </c>
      <c r="J1384" s="7">
        <f>+Tabla1[[#This Row],[PRECIO EN SOLES]]-Tabla1[[#This Row],[PC]]</f>
        <v>37.907199999999989</v>
      </c>
      <c r="K1384" s="15"/>
      <c r="L1384" s="15" t="str">
        <f t="shared" si="21"/>
        <v>NORMAL</v>
      </c>
    </row>
    <row r="1385" spans="1:12" x14ac:dyDescent="0.25">
      <c r="A1385" s="3" t="s">
        <v>2073</v>
      </c>
      <c r="B1385" s="3" t="s">
        <v>2074</v>
      </c>
      <c r="C1385" s="1">
        <v>17</v>
      </c>
      <c r="D1385" s="1">
        <v>427.22</v>
      </c>
      <c r="E1385" s="1" t="s">
        <v>1024</v>
      </c>
      <c r="F1385" s="1" t="s">
        <v>3609</v>
      </c>
      <c r="G1385" s="3" t="s">
        <v>2075</v>
      </c>
      <c r="H1385" s="11">
        <f>ROUND(
IF(L1385="GANCHO",
   IF(I1385&lt;=50,I1385*1.1+4,IF(I1385&lt;=120,I1385*1.1+7,IF(I1385&lt;=250,I1385*1.1+11,I1385*1.1+19))),
IF(L1385="NORMAL",
   IF(I1385&lt;=30,I1385*1.15+2,IF(I1385&lt;=80,I1385*1.15+4,IF(I1385&lt;=150,I1385*1.15+6,I1385*1.15+8))),
IF(L1385="COMPLEMENTO",
   IF(I1385&lt;=25,I1385*1.25+1.5,IF(I1385&lt;=60,I1385*1.25+3,IF(I1385&lt;=120,I1385*1.25+4,I1385*1.25+5))),
""))),2)</f>
        <v>2048.6799999999998</v>
      </c>
      <c r="I1385" s="9">
        <f>($K$2+0.02)*Tabla1[[#This Row],[PRECIO $]]*1.18</f>
        <v>1774.5009920000002</v>
      </c>
      <c r="J1385" s="7">
        <f>+Tabla1[[#This Row],[PRECIO EN SOLES]]-Tabla1[[#This Row],[PC]]</f>
        <v>274.17900799999961</v>
      </c>
      <c r="K1385" s="15"/>
      <c r="L1385" s="15" t="str">
        <f t="shared" si="21"/>
        <v>NORMAL</v>
      </c>
    </row>
    <row r="1386" spans="1:12" x14ac:dyDescent="0.25">
      <c r="A1386" s="3" t="s">
        <v>2076</v>
      </c>
      <c r="B1386" s="3" t="s">
        <v>2077</v>
      </c>
      <c r="C1386" s="1">
        <v>1</v>
      </c>
      <c r="D1386" s="1">
        <v>728.07</v>
      </c>
      <c r="E1386" s="1" t="s">
        <v>1024</v>
      </c>
      <c r="F1386" s="1" t="s">
        <v>3610</v>
      </c>
      <c r="G1386" s="3" t="s">
        <v>2078</v>
      </c>
      <c r="H1386" s="11">
        <f>ROUND(
IF(L1386="GANCHO",
   IF(I1386&lt;=50,I1386*1.1+4,IF(I1386&lt;=120,I1386*1.1+7,IF(I1386&lt;=250,I1386*1.1+11,I1386*1.1+19))),
IF(L1386="NORMAL",
   IF(I1386&lt;=30,I1386*1.15+2,IF(I1386&lt;=80,I1386*1.15+4,IF(I1386&lt;=150,I1386*1.15+6,I1386*1.15+8))),
IF(L1386="COMPLEMENTO",
   IF(I1386&lt;=25,I1386*1.25+1.5,IF(I1386&lt;=60,I1386*1.25+3,IF(I1386&lt;=120,I1386*1.25+4,I1386*1.25+5))),
""))),2)</f>
        <v>3485.73</v>
      </c>
      <c r="I1386" s="9">
        <f>($K$2+0.02)*Tabla1[[#This Row],[PRECIO $]]*1.18</f>
        <v>3024.1115520000003</v>
      </c>
      <c r="J1386" s="7">
        <f>+Tabla1[[#This Row],[PRECIO EN SOLES]]-Tabla1[[#This Row],[PC]]</f>
        <v>461.61844799999972</v>
      </c>
      <c r="K1386" s="15"/>
      <c r="L1386" s="15" t="str">
        <f t="shared" si="21"/>
        <v>NORMAL</v>
      </c>
    </row>
    <row r="1387" spans="1:12" x14ac:dyDescent="0.25">
      <c r="A1387" s="3" t="s">
        <v>2079</v>
      </c>
      <c r="B1387" s="3" t="s">
        <v>2077</v>
      </c>
      <c r="C1387" s="1">
        <v>16</v>
      </c>
      <c r="D1387" s="1">
        <v>788.86</v>
      </c>
      <c r="E1387" s="1" t="s">
        <v>1024</v>
      </c>
      <c r="F1387" s="1" t="s">
        <v>3611</v>
      </c>
      <c r="G1387" s="3" t="s">
        <v>2078</v>
      </c>
      <c r="H1387" s="11">
        <f>ROUND(
IF(L1387="GANCHO",
   IF(I1387&lt;=50,I1387*1.1+4,IF(I1387&lt;=120,I1387*1.1+7,IF(I1387&lt;=250,I1387*1.1+11,I1387*1.1+19))),
IF(L1387="NORMAL",
   IF(I1387&lt;=30,I1387*1.15+2,IF(I1387&lt;=80,I1387*1.15+4,IF(I1387&lt;=150,I1387*1.15+6,I1387*1.15+8))),
IF(L1387="COMPLEMENTO",
   IF(I1387&lt;=25,I1387*1.25+1.5,IF(I1387&lt;=60,I1387*1.25+3,IF(I1387&lt;=120,I1387*1.25+4,I1387*1.25+5))),
""))),2)</f>
        <v>3776.1</v>
      </c>
      <c r="I1387" s="9">
        <f>($K$2+0.02)*Tabla1[[#This Row],[PRECIO $]]*1.18</f>
        <v>3276.6088960000002</v>
      </c>
      <c r="J1387" s="7">
        <f>+Tabla1[[#This Row],[PRECIO EN SOLES]]-Tabla1[[#This Row],[PC]]</f>
        <v>499.49110399999972</v>
      </c>
      <c r="K1387" s="15"/>
      <c r="L1387" s="15" t="str">
        <f t="shared" si="21"/>
        <v>NORMAL</v>
      </c>
    </row>
    <row r="1388" spans="1:12" x14ac:dyDescent="0.25">
      <c r="A1388" s="3" t="s">
        <v>2080</v>
      </c>
      <c r="B1388" s="3" t="s">
        <v>2081</v>
      </c>
      <c r="C1388" s="1">
        <v>4</v>
      </c>
      <c r="D1388" s="1">
        <v>433.17</v>
      </c>
      <c r="E1388" s="1" t="s">
        <v>1024</v>
      </c>
      <c r="F1388" s="1" t="s">
        <v>3612</v>
      </c>
      <c r="G1388" s="3"/>
      <c r="H1388" s="11">
        <f>ROUND(
IF(L1388="GANCHO",
   IF(I1388&lt;=50,I1388*1.1+4,IF(I1388&lt;=120,I1388*1.1+7,IF(I1388&lt;=250,I1388*1.1+11,I1388*1.1+19))),
IF(L1388="NORMAL",
   IF(I1388&lt;=30,I1388*1.15+2,IF(I1388&lt;=80,I1388*1.15+4,IF(I1388&lt;=150,I1388*1.15+6,I1388*1.15+8))),
IF(L1388="COMPLEMENTO",
   IF(I1388&lt;=25,I1388*1.25+1.5,IF(I1388&lt;=60,I1388*1.25+3,IF(I1388&lt;=120,I1388*1.25+4,I1388*1.25+5))),
""))),2)</f>
        <v>2077.1</v>
      </c>
      <c r="I1388" s="9">
        <f>($K$2+0.02)*Tabla1[[#This Row],[PRECIO $]]*1.18</f>
        <v>1799.2149120000001</v>
      </c>
      <c r="J1388" s="7">
        <f>+Tabla1[[#This Row],[PRECIO EN SOLES]]-Tabla1[[#This Row],[PC]]</f>
        <v>277.88508799999977</v>
      </c>
      <c r="K1388" s="15"/>
      <c r="L1388" s="15" t="str">
        <f t="shared" si="21"/>
        <v>NORMAL</v>
      </c>
    </row>
    <row r="1389" spans="1:12" x14ac:dyDescent="0.25">
      <c r="A1389" s="3" t="s">
        <v>2082</v>
      </c>
      <c r="B1389" s="3" t="s">
        <v>2083</v>
      </c>
      <c r="C1389" s="1">
        <v>17</v>
      </c>
      <c r="D1389" s="1">
        <v>491.66</v>
      </c>
      <c r="E1389" s="1" t="s">
        <v>1024</v>
      </c>
      <c r="F1389" s="1" t="s">
        <v>3613</v>
      </c>
      <c r="G1389" s="3"/>
      <c r="H1389" s="11">
        <f>ROUND(
IF(L1389="GANCHO",
   IF(I1389&lt;=50,I1389*1.1+4,IF(I1389&lt;=120,I1389*1.1+7,IF(I1389&lt;=250,I1389*1.1+11,I1389*1.1+19))),
IF(L1389="NORMAL",
   IF(I1389&lt;=30,I1389*1.15+2,IF(I1389&lt;=80,I1389*1.15+4,IF(I1389&lt;=150,I1389*1.15+6,I1389*1.15+8))),
IF(L1389="COMPLEMENTO",
   IF(I1389&lt;=25,I1389*1.25+1.5,IF(I1389&lt;=60,I1389*1.25+3,IF(I1389&lt;=120,I1389*1.25+4,I1389*1.25+5))),
""))),2)</f>
        <v>2356.48</v>
      </c>
      <c r="I1389" s="9">
        <f>($K$2+0.02)*Tabla1[[#This Row],[PRECIO $]]*1.18</f>
        <v>2042.1589760000002</v>
      </c>
      <c r="J1389" s="7">
        <f>+Tabla1[[#This Row],[PRECIO EN SOLES]]-Tabla1[[#This Row],[PC]]</f>
        <v>314.32102399999985</v>
      </c>
      <c r="K1389" s="15"/>
      <c r="L1389" s="15" t="str">
        <f t="shared" si="21"/>
        <v>NORMAL</v>
      </c>
    </row>
    <row r="1390" spans="1:12" x14ac:dyDescent="0.25">
      <c r="A1390" s="3" t="s">
        <v>2084</v>
      </c>
      <c r="B1390" s="3" t="s">
        <v>2085</v>
      </c>
      <c r="C1390" s="1">
        <v>0</v>
      </c>
      <c r="D1390" s="1">
        <v>748.15</v>
      </c>
      <c r="E1390" s="1" t="s">
        <v>1024</v>
      </c>
      <c r="F1390" s="1" t="s">
        <v>3614</v>
      </c>
      <c r="G1390" s="3" t="s">
        <v>2086</v>
      </c>
      <c r="H1390" s="11">
        <f>ROUND(
IF(L1390="GANCHO",
   IF(I1390&lt;=50,I1390*1.1+4,IF(I1390&lt;=120,I1390*1.1+7,IF(I1390&lt;=250,I1390*1.1+11,I1390*1.1+19))),
IF(L1390="NORMAL",
   IF(I1390&lt;=30,I1390*1.15+2,IF(I1390&lt;=80,I1390*1.15+4,IF(I1390&lt;=150,I1390*1.15+6,I1390*1.15+8))),
IF(L1390="COMPLEMENTO",
   IF(I1390&lt;=25,I1390*1.25+1.5,IF(I1390&lt;=60,I1390*1.25+3,IF(I1390&lt;=120,I1390*1.25+4,I1390*1.25+5))),
""))),2)</f>
        <v>3581.64</v>
      </c>
      <c r="I1390" s="9">
        <f>($K$2+0.02)*Tabla1[[#This Row],[PRECIO $]]*1.18</f>
        <v>3107.5158399999996</v>
      </c>
      <c r="J1390" s="7">
        <f>+Tabla1[[#This Row],[PRECIO EN SOLES]]-Tabla1[[#This Row],[PC]]</f>
        <v>474.1241600000003</v>
      </c>
      <c r="K1390" s="15"/>
      <c r="L1390" s="15" t="str">
        <f t="shared" si="21"/>
        <v>NORMAL</v>
      </c>
    </row>
    <row r="1391" spans="1:12" x14ac:dyDescent="0.25">
      <c r="A1391" s="3" t="s">
        <v>2087</v>
      </c>
      <c r="B1391" s="3" t="s">
        <v>2088</v>
      </c>
      <c r="C1391" s="1">
        <v>1</v>
      </c>
      <c r="D1391" s="1">
        <v>434.04</v>
      </c>
      <c r="E1391" s="1" t="s">
        <v>1088</v>
      </c>
      <c r="F1391" s="1" t="s">
        <v>3615</v>
      </c>
      <c r="G1391" s="3" t="s">
        <v>2089</v>
      </c>
      <c r="H1391" s="11">
        <f>ROUND(
IF(L1391="GANCHO",
   IF(I1391&lt;=50,I1391*1.1+4,IF(I1391&lt;=120,I1391*1.1+7,IF(I1391&lt;=250,I1391*1.1+11,I1391*1.1+19))),
IF(L1391="NORMAL",
   IF(I1391&lt;=30,I1391*1.15+2,IF(I1391&lt;=80,I1391*1.15+4,IF(I1391&lt;=150,I1391*1.15+6,I1391*1.15+8))),
IF(L1391="COMPLEMENTO",
   IF(I1391&lt;=25,I1391*1.25+1.5,IF(I1391&lt;=60,I1391*1.25+3,IF(I1391&lt;=120,I1391*1.25+4,I1391*1.25+5))),
""))),2)</f>
        <v>2081.25</v>
      </c>
      <c r="I1391" s="9">
        <f>($K$2+0.02)*Tabla1[[#This Row],[PRECIO $]]*1.18</f>
        <v>1802.8285440000002</v>
      </c>
      <c r="J1391" s="7">
        <f>+Tabla1[[#This Row],[PRECIO EN SOLES]]-Tabla1[[#This Row],[PC]]</f>
        <v>278.42145599999981</v>
      </c>
      <c r="K1391" s="15"/>
      <c r="L1391" s="15" t="str">
        <f t="shared" si="21"/>
        <v>NORMAL</v>
      </c>
    </row>
    <row r="1392" spans="1:12" x14ac:dyDescent="0.25">
      <c r="A1392" s="3" t="s">
        <v>6672</v>
      </c>
      <c r="B1392" s="3" t="s">
        <v>6673</v>
      </c>
      <c r="C1392" s="1">
        <v>4</v>
      </c>
      <c r="D1392" s="1">
        <v>537.23</v>
      </c>
      <c r="E1392" s="1" t="s">
        <v>1088</v>
      </c>
      <c r="F1392" s="1" t="s">
        <v>6674</v>
      </c>
      <c r="G1392" s="3" t="s">
        <v>6675</v>
      </c>
      <c r="H1392" s="11">
        <f>ROUND(
IF(L1392="GANCHO",
   IF(I1392&lt;=50,I1392*1.1+4,IF(I1392&lt;=120,I1392*1.1+7,IF(I1392&lt;=250,I1392*1.1+11,I1392*1.1+19))),
IF(L1392="NORMAL",
   IF(I1392&lt;=30,I1392*1.15+2,IF(I1392&lt;=80,I1392*1.15+4,IF(I1392&lt;=150,I1392*1.15+6,I1392*1.15+8))),
IF(L1392="COMPLEMENTO",
   IF(I1392&lt;=25,I1392*1.25+1.5,IF(I1392&lt;=60,I1392*1.25+3,IF(I1392&lt;=120,I1392*1.25+4,I1392*1.25+5))),
""))),2)</f>
        <v>2574.15</v>
      </c>
      <c r="I1392" s="9">
        <f>($K$2+0.02)*Tabla1[[#This Row],[PRECIO $]]*1.18</f>
        <v>2231.4385280000001</v>
      </c>
      <c r="J1392" s="7">
        <f>+Tabla1[[#This Row],[PRECIO EN SOLES]]-Tabla1[[#This Row],[PC]]</f>
        <v>342.71147199999996</v>
      </c>
      <c r="K1392" s="15"/>
      <c r="L1392" s="15" t="str">
        <f t="shared" si="21"/>
        <v>NORMAL</v>
      </c>
    </row>
    <row r="1393" spans="1:12" x14ac:dyDescent="0.25">
      <c r="A1393" s="3" t="s">
        <v>2090</v>
      </c>
      <c r="B1393" s="3" t="s">
        <v>2091</v>
      </c>
      <c r="C1393" s="1">
        <v>2</v>
      </c>
      <c r="D1393" s="1">
        <v>631.65</v>
      </c>
      <c r="E1393" s="1" t="s">
        <v>1088</v>
      </c>
      <c r="F1393" s="1" t="s">
        <v>3616</v>
      </c>
      <c r="G1393" s="3" t="s">
        <v>2092</v>
      </c>
      <c r="H1393" s="11">
        <f>ROUND(
IF(L1393="GANCHO",
   IF(I1393&lt;=50,I1393*1.1+4,IF(I1393&lt;=120,I1393*1.1+7,IF(I1393&lt;=250,I1393*1.1+11,I1393*1.1+19))),
IF(L1393="NORMAL",
   IF(I1393&lt;=30,I1393*1.15+2,IF(I1393&lt;=80,I1393*1.15+4,IF(I1393&lt;=150,I1393*1.15+6,I1393*1.15+8))),
IF(L1393="COMPLEMENTO",
   IF(I1393&lt;=25,I1393*1.25+1.5,IF(I1393&lt;=60,I1393*1.25+3,IF(I1393&lt;=120,I1393*1.25+4,I1393*1.25+5))),
""))),2)</f>
        <v>3025.16</v>
      </c>
      <c r="I1393" s="9">
        <f>($K$2+0.02)*Tabla1[[#This Row],[PRECIO $]]*1.18</f>
        <v>2623.6214399999999</v>
      </c>
      <c r="J1393" s="7">
        <f>+Tabla1[[#This Row],[PRECIO EN SOLES]]-Tabla1[[#This Row],[PC]]</f>
        <v>401.53855999999996</v>
      </c>
      <c r="K1393" s="15"/>
      <c r="L1393" s="15" t="str">
        <f t="shared" si="21"/>
        <v>NORMAL</v>
      </c>
    </row>
    <row r="1394" spans="1:12" x14ac:dyDescent="0.25">
      <c r="A1394" s="3" t="s">
        <v>2093</v>
      </c>
      <c r="B1394" s="3" t="s">
        <v>2094</v>
      </c>
      <c r="C1394" s="1">
        <v>20</v>
      </c>
      <c r="D1394" s="1">
        <v>2311.17</v>
      </c>
      <c r="E1394" s="1" t="s">
        <v>1024</v>
      </c>
      <c r="F1394" s="1" t="s">
        <v>3617</v>
      </c>
      <c r="G1394" s="3"/>
      <c r="H1394" s="11">
        <f>ROUND(
IF(L1394="GANCHO",
   IF(I1394&lt;=50,I1394*1.1+4,IF(I1394&lt;=120,I1394*1.1+7,IF(I1394&lt;=250,I1394*1.1+11,I1394*1.1+19))),
IF(L1394="NORMAL",
   IF(I1394&lt;=30,I1394*1.15+2,IF(I1394&lt;=80,I1394*1.15+4,IF(I1394&lt;=150,I1394*1.15+6,I1394*1.15+8))),
IF(L1394="COMPLEMENTO",
   IF(I1394&lt;=25,I1394*1.25+1.5,IF(I1394&lt;=60,I1394*1.25+3,IF(I1394&lt;=120,I1394*1.25+4,I1394*1.25+5))),
""))),2)</f>
        <v>11047.63</v>
      </c>
      <c r="I1394" s="9">
        <f>($K$2+0.02)*Tabla1[[#This Row],[PRECIO $]]*1.18</f>
        <v>9599.6757120000002</v>
      </c>
      <c r="J1394" s="7">
        <f>+Tabla1[[#This Row],[PRECIO EN SOLES]]-Tabla1[[#This Row],[PC]]</f>
        <v>1447.954287999999</v>
      </c>
      <c r="K1394" s="15"/>
      <c r="L1394" s="15" t="str">
        <f t="shared" si="21"/>
        <v>NORMAL</v>
      </c>
    </row>
    <row r="1395" spans="1:12" x14ac:dyDescent="0.25">
      <c r="A1395" s="3" t="s">
        <v>2095</v>
      </c>
      <c r="B1395" s="3" t="s">
        <v>2096</v>
      </c>
      <c r="C1395" s="1">
        <v>20</v>
      </c>
      <c r="D1395" s="1">
        <v>3827.13</v>
      </c>
      <c r="E1395" s="1" t="s">
        <v>1024</v>
      </c>
      <c r="F1395" s="1" t="s">
        <v>3618</v>
      </c>
      <c r="G1395" s="3"/>
      <c r="H1395" s="11">
        <f>ROUND(
IF(L1395="GANCHO",
   IF(I1395&lt;=50,I1395*1.1+4,IF(I1395&lt;=120,I1395*1.1+7,IF(I1395&lt;=250,I1395*1.1+11,I1395*1.1+19))),
IF(L1395="NORMAL",
   IF(I1395&lt;=30,I1395*1.15+2,IF(I1395&lt;=80,I1395*1.15+4,IF(I1395&lt;=150,I1395*1.15+6,I1395*1.15+8))),
IF(L1395="COMPLEMENTO",
   IF(I1395&lt;=25,I1395*1.25+1.5,IF(I1395&lt;=60,I1395*1.25+3,IF(I1395&lt;=120,I1395*1.25+4,I1395*1.25+5))),
""))),2)</f>
        <v>18288.82</v>
      </c>
      <c r="I1395" s="9">
        <f>($K$2+0.02)*Tabla1[[#This Row],[PRECIO $]]*1.18</f>
        <v>15896.367168000001</v>
      </c>
      <c r="J1395" s="7">
        <f>+Tabla1[[#This Row],[PRECIO EN SOLES]]-Tabla1[[#This Row],[PC]]</f>
        <v>2392.452831999999</v>
      </c>
      <c r="K1395" s="15"/>
      <c r="L1395" s="15" t="str">
        <f t="shared" si="21"/>
        <v>NORMAL</v>
      </c>
    </row>
    <row r="1396" spans="1:12" x14ac:dyDescent="0.25">
      <c r="A1396" s="3" t="s">
        <v>2097</v>
      </c>
      <c r="B1396" s="3" t="s">
        <v>2098</v>
      </c>
      <c r="C1396" s="1">
        <v>14</v>
      </c>
      <c r="D1396" s="1">
        <v>6452.13</v>
      </c>
      <c r="E1396" s="1" t="s">
        <v>1024</v>
      </c>
      <c r="F1396" s="1" t="s">
        <v>3619</v>
      </c>
      <c r="G1396" s="3" t="s">
        <v>6676</v>
      </c>
      <c r="H1396" s="11">
        <f>ROUND(
IF(L1396="GANCHO",
   IF(I1396&lt;=50,I1396*1.1+4,IF(I1396&lt;=120,I1396*1.1+7,IF(I1396&lt;=250,I1396*1.1+11,I1396*1.1+19))),
IF(L1396="NORMAL",
   IF(I1396&lt;=30,I1396*1.15+2,IF(I1396&lt;=80,I1396*1.15+4,IF(I1396&lt;=150,I1396*1.15+6,I1396*1.15+8))),
IF(L1396="COMPLEMENTO",
   IF(I1396&lt;=25,I1396*1.25+1.5,IF(I1396&lt;=60,I1396*1.25+3,IF(I1396&lt;=120,I1396*1.25+4,I1396*1.25+5))),
""))),2)</f>
        <v>30827.5</v>
      </c>
      <c r="I1396" s="9">
        <f>($K$2+0.02)*Tabla1[[#This Row],[PRECIO $]]*1.18</f>
        <v>26799.567167999998</v>
      </c>
      <c r="J1396" s="7">
        <f>+Tabla1[[#This Row],[PRECIO EN SOLES]]-Tabla1[[#This Row],[PC]]</f>
        <v>4027.9328320000022</v>
      </c>
      <c r="K1396" s="15"/>
      <c r="L1396" s="15" t="str">
        <f t="shared" si="21"/>
        <v>NORMAL</v>
      </c>
    </row>
    <row r="1397" spans="1:12" x14ac:dyDescent="0.25">
      <c r="A1397" s="3" t="s">
        <v>2101</v>
      </c>
      <c r="B1397" s="3" t="s">
        <v>2094</v>
      </c>
      <c r="C1397" s="1">
        <v>1</v>
      </c>
      <c r="D1397" s="1">
        <v>2311.17</v>
      </c>
      <c r="E1397" s="1" t="s">
        <v>1024</v>
      </c>
      <c r="F1397" s="1" t="s">
        <v>3621</v>
      </c>
      <c r="G1397" s="3"/>
      <c r="H1397" s="11">
        <f>ROUND(
IF(L1397="GANCHO",
   IF(I1397&lt;=50,I1397*1.1+4,IF(I1397&lt;=120,I1397*1.1+7,IF(I1397&lt;=250,I1397*1.1+11,I1397*1.1+19))),
IF(L1397="NORMAL",
   IF(I1397&lt;=30,I1397*1.15+2,IF(I1397&lt;=80,I1397*1.15+4,IF(I1397&lt;=150,I1397*1.15+6,I1397*1.15+8))),
IF(L1397="COMPLEMENTO",
   IF(I1397&lt;=25,I1397*1.25+1.5,IF(I1397&lt;=60,I1397*1.25+3,IF(I1397&lt;=120,I1397*1.25+4,I1397*1.25+5))),
""))),2)</f>
        <v>11047.63</v>
      </c>
      <c r="I1397" s="9">
        <f>($K$2+0.02)*Tabla1[[#This Row],[PRECIO $]]*1.18</f>
        <v>9599.6757120000002</v>
      </c>
      <c r="J1397" s="7">
        <f>+Tabla1[[#This Row],[PRECIO EN SOLES]]-Tabla1[[#This Row],[PC]]</f>
        <v>1447.954287999999</v>
      </c>
      <c r="K1397" s="15"/>
      <c r="L1397" s="15" t="str">
        <f t="shared" si="21"/>
        <v>NORMAL</v>
      </c>
    </row>
    <row r="1398" spans="1:12" x14ac:dyDescent="0.25">
      <c r="A1398" s="3" t="s">
        <v>2102</v>
      </c>
      <c r="B1398" s="3" t="s">
        <v>2103</v>
      </c>
      <c r="C1398" s="1">
        <v>7</v>
      </c>
      <c r="D1398" s="1">
        <v>1800</v>
      </c>
      <c r="E1398" s="1" t="s">
        <v>1024</v>
      </c>
      <c r="F1398" s="1" t="s">
        <v>3622</v>
      </c>
      <c r="G1398" s="3"/>
      <c r="H1398" s="11">
        <f>ROUND(
IF(L1398="GANCHO",
   IF(I1398&lt;=50,I1398*1.1+4,IF(I1398&lt;=120,I1398*1.1+7,IF(I1398&lt;=250,I1398*1.1+11,I1398*1.1+19))),
IF(L1398="NORMAL",
   IF(I1398&lt;=30,I1398*1.15+2,IF(I1398&lt;=80,I1398*1.15+4,IF(I1398&lt;=150,I1398*1.15+6,I1398*1.15+8))),
IF(L1398="COMPLEMENTO",
   IF(I1398&lt;=25,I1398*1.25+1.5,IF(I1398&lt;=60,I1398*1.25+3,IF(I1398&lt;=120,I1398*1.25+4,I1398*1.25+5))),
""))),2)</f>
        <v>8605.9500000000007</v>
      </c>
      <c r="I1398" s="9">
        <f>($K$2+0.02)*Tabla1[[#This Row],[PRECIO $]]*1.18</f>
        <v>7476.48</v>
      </c>
      <c r="J1398" s="7">
        <f>+Tabla1[[#This Row],[PRECIO EN SOLES]]-Tabla1[[#This Row],[PC]]</f>
        <v>1129.4700000000012</v>
      </c>
      <c r="K1398" s="15"/>
      <c r="L1398" s="15" t="str">
        <f t="shared" si="21"/>
        <v>NORMAL</v>
      </c>
    </row>
    <row r="1399" spans="1:12" x14ac:dyDescent="0.25">
      <c r="A1399" s="3" t="s">
        <v>2104</v>
      </c>
      <c r="B1399" s="3" t="s">
        <v>2105</v>
      </c>
      <c r="C1399" s="1">
        <v>8</v>
      </c>
      <c r="D1399" s="1">
        <v>2388.3000000000002</v>
      </c>
      <c r="E1399" s="1" t="s">
        <v>1088</v>
      </c>
      <c r="F1399" s="1" t="s">
        <v>3623</v>
      </c>
      <c r="G1399" s="3" t="s">
        <v>2106</v>
      </c>
      <c r="H1399" s="11">
        <f>ROUND(
IF(L1399="GANCHO",
   IF(I1399&lt;=50,I1399*1.1+4,IF(I1399&lt;=120,I1399*1.1+7,IF(I1399&lt;=250,I1399*1.1+11,I1399*1.1+19))),
IF(L1399="NORMAL",
   IF(I1399&lt;=30,I1399*1.15+2,IF(I1399&lt;=80,I1399*1.15+4,IF(I1399&lt;=150,I1399*1.15+6,I1399*1.15+8))),
IF(L1399="COMPLEMENTO",
   IF(I1399&lt;=25,I1399*1.25+1.5,IF(I1399&lt;=60,I1399*1.25+3,IF(I1399&lt;=120,I1399*1.25+4,I1399*1.25+5))),
""))),2)</f>
        <v>11416.05</v>
      </c>
      <c r="I1399" s="9">
        <f>($K$2+0.02)*Tabla1[[#This Row],[PRECIO $]]*1.18</f>
        <v>9920.0428800000009</v>
      </c>
      <c r="J1399" s="7">
        <f>+Tabla1[[#This Row],[PRECIO EN SOLES]]-Tabla1[[#This Row],[PC]]</f>
        <v>1496.0071199999984</v>
      </c>
      <c r="K1399" s="15"/>
      <c r="L1399" s="15" t="str">
        <f t="shared" si="21"/>
        <v>NORMAL</v>
      </c>
    </row>
    <row r="1400" spans="1:12" x14ac:dyDescent="0.25">
      <c r="A1400" s="3" t="s">
        <v>2107</v>
      </c>
      <c r="B1400" s="3" t="s">
        <v>2108</v>
      </c>
      <c r="C1400" s="1">
        <v>0</v>
      </c>
      <c r="D1400" s="1">
        <v>500</v>
      </c>
      <c r="E1400" s="1" t="s">
        <v>1024</v>
      </c>
      <c r="F1400" s="1" t="s">
        <v>3624</v>
      </c>
      <c r="G1400" s="3" t="s">
        <v>2109</v>
      </c>
      <c r="H1400" s="11">
        <f>ROUND(
IF(L1400="GANCHO",
   IF(I1400&lt;=50,I1400*1.1+4,IF(I1400&lt;=120,I1400*1.1+7,IF(I1400&lt;=250,I1400*1.1+11,I1400*1.1+19))),
IF(L1400="NORMAL",
   IF(I1400&lt;=30,I1400*1.15+2,IF(I1400&lt;=80,I1400*1.15+4,IF(I1400&lt;=150,I1400*1.15+6,I1400*1.15+8))),
IF(L1400="COMPLEMENTO",
   IF(I1400&lt;=25,I1400*1.25+1.5,IF(I1400&lt;=60,I1400*1.25+3,IF(I1400&lt;=120,I1400*1.25+4,I1400*1.25+5))),
""))),2)</f>
        <v>2396.3200000000002</v>
      </c>
      <c r="I1400" s="9">
        <f>($K$2+0.02)*Tabla1[[#This Row],[PRECIO $]]*1.18</f>
        <v>2076.7999999999997</v>
      </c>
      <c r="J1400" s="7">
        <f>+Tabla1[[#This Row],[PRECIO EN SOLES]]-Tabla1[[#This Row],[PC]]</f>
        <v>319.52000000000044</v>
      </c>
      <c r="K1400" s="15"/>
      <c r="L1400" s="15" t="str">
        <f t="shared" si="21"/>
        <v>NORMAL</v>
      </c>
    </row>
    <row r="1401" spans="1:12" x14ac:dyDescent="0.25">
      <c r="A1401" s="3" t="s">
        <v>2110</v>
      </c>
      <c r="B1401" s="3" t="s">
        <v>2111</v>
      </c>
      <c r="C1401" s="1">
        <v>15</v>
      </c>
      <c r="D1401" s="1">
        <v>800.91</v>
      </c>
      <c r="E1401" s="1" t="s">
        <v>1024</v>
      </c>
      <c r="F1401" s="1" t="s">
        <v>3625</v>
      </c>
      <c r="G1401" s="3"/>
      <c r="H1401" s="11">
        <f>ROUND(
IF(L1401="GANCHO",
   IF(I1401&lt;=50,I1401*1.1+4,IF(I1401&lt;=120,I1401*1.1+7,IF(I1401&lt;=250,I1401*1.1+11,I1401*1.1+19))),
IF(L1401="NORMAL",
   IF(I1401&lt;=30,I1401*1.15+2,IF(I1401&lt;=80,I1401*1.15+4,IF(I1401&lt;=150,I1401*1.15+6,I1401*1.15+8))),
IF(L1401="COMPLEMENTO",
   IF(I1401&lt;=25,I1401*1.25+1.5,IF(I1401&lt;=60,I1401*1.25+3,IF(I1401&lt;=120,I1401*1.25+4,I1401*1.25+5))),
""))),2)</f>
        <v>3833.66</v>
      </c>
      <c r="I1401" s="9">
        <f>($K$2+0.02)*Tabla1[[#This Row],[PRECIO $]]*1.18</f>
        <v>3326.6597759999995</v>
      </c>
      <c r="J1401" s="7">
        <f>+Tabla1[[#This Row],[PRECIO EN SOLES]]-Tabla1[[#This Row],[PC]]</f>
        <v>507.00022400000034</v>
      </c>
      <c r="K1401" s="15"/>
      <c r="L1401" s="15" t="str">
        <f t="shared" si="21"/>
        <v>NORMAL</v>
      </c>
    </row>
    <row r="1402" spans="1:12" x14ac:dyDescent="0.25">
      <c r="A1402" s="3" t="s">
        <v>2112</v>
      </c>
      <c r="B1402" s="3" t="s">
        <v>2113</v>
      </c>
      <c r="C1402" s="1">
        <v>14</v>
      </c>
      <c r="D1402" s="1">
        <v>4901.7</v>
      </c>
      <c r="E1402" s="1" t="s">
        <v>1024</v>
      </c>
      <c r="F1402" s="1" t="s">
        <v>3626</v>
      </c>
      <c r="G1402" s="3"/>
      <c r="H1402" s="11">
        <f>ROUND(
IF(L1402="GANCHO",
   IF(I1402&lt;=50,I1402*1.1+4,IF(I1402&lt;=120,I1402*1.1+7,IF(I1402&lt;=250,I1402*1.1+11,I1402*1.1+19))),
IF(L1402="NORMAL",
   IF(I1402&lt;=30,I1402*1.15+2,IF(I1402&lt;=80,I1402*1.15+4,IF(I1402&lt;=150,I1402*1.15+6,I1402*1.15+8))),
IF(L1402="COMPLEMENTO",
   IF(I1402&lt;=25,I1402*1.25+1.5,IF(I1402&lt;=60,I1402*1.25+3,IF(I1402&lt;=120,I1402*1.25+4,I1402*1.25+5))),
""))),2)</f>
        <v>23421.66</v>
      </c>
      <c r="I1402" s="9">
        <f>($K$2+0.02)*Tabla1[[#This Row],[PRECIO $]]*1.18</f>
        <v>20359.701119999998</v>
      </c>
      <c r="J1402" s="7">
        <f>+Tabla1[[#This Row],[PRECIO EN SOLES]]-Tabla1[[#This Row],[PC]]</f>
        <v>3061.958880000002</v>
      </c>
      <c r="K1402" s="15"/>
      <c r="L1402" s="15" t="str">
        <f t="shared" si="21"/>
        <v>NORMAL</v>
      </c>
    </row>
    <row r="1403" spans="1:12" x14ac:dyDescent="0.25">
      <c r="A1403" s="3" t="s">
        <v>2114</v>
      </c>
      <c r="B1403" s="3" t="s">
        <v>2115</v>
      </c>
      <c r="C1403" s="1">
        <v>10</v>
      </c>
      <c r="D1403" s="1">
        <v>2587.23</v>
      </c>
      <c r="E1403" s="1" t="s">
        <v>1088</v>
      </c>
      <c r="F1403" s="1" t="s">
        <v>3627</v>
      </c>
      <c r="G1403" s="3" t="s">
        <v>2116</v>
      </c>
      <c r="H1403" s="11">
        <f>ROUND(
IF(L1403="GANCHO",
   IF(I1403&lt;=50,I1403*1.1+4,IF(I1403&lt;=120,I1403*1.1+7,IF(I1403&lt;=250,I1403*1.1+11,I1403*1.1+19))),
IF(L1403="NORMAL",
   IF(I1403&lt;=30,I1403*1.15+2,IF(I1403&lt;=80,I1403*1.15+4,IF(I1403&lt;=150,I1403*1.15+6,I1403*1.15+8))),
IF(L1403="COMPLEMENTO",
   IF(I1403&lt;=25,I1403*1.25+1.5,IF(I1403&lt;=60,I1403*1.25+3,IF(I1403&lt;=120,I1403*1.25+4,I1403*1.25+5))),
""))),2)</f>
        <v>12366.27</v>
      </c>
      <c r="I1403" s="9">
        <f>($K$2+0.02)*Tabla1[[#This Row],[PRECIO $]]*1.18</f>
        <v>10746.318528</v>
      </c>
      <c r="J1403" s="7">
        <f>+Tabla1[[#This Row],[PRECIO EN SOLES]]-Tabla1[[#This Row],[PC]]</f>
        <v>1619.9514720000006</v>
      </c>
      <c r="K1403" s="15"/>
      <c r="L1403" s="15" t="str">
        <f t="shared" si="21"/>
        <v>NORMAL</v>
      </c>
    </row>
    <row r="1404" spans="1:12" x14ac:dyDescent="0.25">
      <c r="A1404" s="3" t="s">
        <v>2117</v>
      </c>
      <c r="B1404" s="3" t="s">
        <v>2118</v>
      </c>
      <c r="C1404" s="1">
        <v>5</v>
      </c>
      <c r="D1404" s="1">
        <v>3404.26</v>
      </c>
      <c r="E1404" s="1" t="s">
        <v>1088</v>
      </c>
      <c r="F1404" s="1" t="s">
        <v>3628</v>
      </c>
      <c r="G1404" s="3" t="s">
        <v>6232</v>
      </c>
      <c r="H1404" s="11">
        <f>ROUND(
IF(L1404="GANCHO",
   IF(I1404&lt;=50,I1404*1.1+4,IF(I1404&lt;=120,I1404*1.1+7,IF(I1404&lt;=250,I1404*1.1+11,I1404*1.1+19))),
IF(L1404="NORMAL",
   IF(I1404&lt;=30,I1404*1.15+2,IF(I1404&lt;=80,I1404*1.15+4,IF(I1404&lt;=150,I1404*1.15+6,I1404*1.15+8))),
IF(L1404="COMPLEMENTO",
   IF(I1404&lt;=25,I1404*1.25+1.5,IF(I1404&lt;=60,I1404*1.25+3,IF(I1404&lt;=120,I1404*1.25+4,I1404*1.25+5))),
""))),2)</f>
        <v>16268.92</v>
      </c>
      <c r="I1404" s="9">
        <f>($K$2+0.02)*Tabla1[[#This Row],[PRECIO $]]*1.18</f>
        <v>14139.934336</v>
      </c>
      <c r="J1404" s="7">
        <f>+Tabla1[[#This Row],[PRECIO EN SOLES]]-Tabla1[[#This Row],[PC]]</f>
        <v>2128.9856639999998</v>
      </c>
      <c r="K1404" s="15"/>
      <c r="L1404" s="15" t="str">
        <f t="shared" si="21"/>
        <v>NORMAL</v>
      </c>
    </row>
    <row r="1405" spans="1:12" x14ac:dyDescent="0.25">
      <c r="A1405" s="3" t="s">
        <v>2119</v>
      </c>
      <c r="B1405" s="3" t="s">
        <v>2120</v>
      </c>
      <c r="C1405" s="1">
        <v>8</v>
      </c>
      <c r="D1405" s="1">
        <v>3404.26</v>
      </c>
      <c r="E1405" s="1" t="s">
        <v>1088</v>
      </c>
      <c r="F1405" s="1" t="s">
        <v>3629</v>
      </c>
      <c r="G1405" s="3" t="s">
        <v>6233</v>
      </c>
      <c r="H1405" s="11">
        <f>ROUND(
IF(L1405="GANCHO",
   IF(I1405&lt;=50,I1405*1.1+4,IF(I1405&lt;=120,I1405*1.1+7,IF(I1405&lt;=250,I1405*1.1+11,I1405*1.1+19))),
IF(L1405="NORMAL",
   IF(I1405&lt;=30,I1405*1.15+2,IF(I1405&lt;=80,I1405*1.15+4,IF(I1405&lt;=150,I1405*1.15+6,I1405*1.15+8))),
IF(L1405="COMPLEMENTO",
   IF(I1405&lt;=25,I1405*1.25+1.5,IF(I1405&lt;=60,I1405*1.25+3,IF(I1405&lt;=120,I1405*1.25+4,I1405*1.25+5))),
""))),2)</f>
        <v>16268.92</v>
      </c>
      <c r="I1405" s="9">
        <f>($K$2+0.02)*Tabla1[[#This Row],[PRECIO $]]*1.18</f>
        <v>14139.934336</v>
      </c>
      <c r="J1405" s="7">
        <f>+Tabla1[[#This Row],[PRECIO EN SOLES]]-Tabla1[[#This Row],[PC]]</f>
        <v>2128.9856639999998</v>
      </c>
      <c r="K1405" s="15"/>
      <c r="L1405" s="15" t="str">
        <f t="shared" si="21"/>
        <v>NORMAL</v>
      </c>
    </row>
    <row r="1406" spans="1:12" x14ac:dyDescent="0.25">
      <c r="A1406" s="3" t="s">
        <v>5043</v>
      </c>
      <c r="B1406" s="3" t="s">
        <v>5044</v>
      </c>
      <c r="C1406" s="1">
        <v>3</v>
      </c>
      <c r="D1406" s="1">
        <v>4901.7</v>
      </c>
      <c r="E1406" s="1" t="s">
        <v>1024</v>
      </c>
      <c r="F1406" s="1" t="s">
        <v>5045</v>
      </c>
      <c r="G1406" s="3" t="s">
        <v>6677</v>
      </c>
      <c r="H1406" s="11">
        <f>ROUND(
IF(L1406="GANCHO",
   IF(I1406&lt;=50,I1406*1.1+4,IF(I1406&lt;=120,I1406*1.1+7,IF(I1406&lt;=250,I1406*1.1+11,I1406*1.1+19))),
IF(L1406="NORMAL",
   IF(I1406&lt;=30,I1406*1.15+2,IF(I1406&lt;=80,I1406*1.15+4,IF(I1406&lt;=150,I1406*1.15+6,I1406*1.15+8))),
IF(L1406="COMPLEMENTO",
   IF(I1406&lt;=25,I1406*1.25+1.5,IF(I1406&lt;=60,I1406*1.25+3,IF(I1406&lt;=120,I1406*1.25+4,I1406*1.25+5))),
""))),2)</f>
        <v>23421.66</v>
      </c>
      <c r="I1406" s="9">
        <f>($K$2+0.02)*Tabla1[[#This Row],[PRECIO $]]*1.18</f>
        <v>20359.701119999998</v>
      </c>
      <c r="J1406" s="7">
        <f>+Tabla1[[#This Row],[PRECIO EN SOLES]]-Tabla1[[#This Row],[PC]]</f>
        <v>3061.958880000002</v>
      </c>
      <c r="K1406" s="15"/>
      <c r="L1406" s="15" t="str">
        <f t="shared" si="21"/>
        <v>NORMAL</v>
      </c>
    </row>
    <row r="1407" spans="1:12" x14ac:dyDescent="0.25">
      <c r="A1407" s="3" t="s">
        <v>2123</v>
      </c>
      <c r="B1407" s="3" t="s">
        <v>2124</v>
      </c>
      <c r="C1407" s="1">
        <v>1</v>
      </c>
      <c r="D1407" s="1">
        <v>3329.79</v>
      </c>
      <c r="E1407" s="1" t="s">
        <v>1088</v>
      </c>
      <c r="F1407" s="1" t="s">
        <v>3631</v>
      </c>
      <c r="G1407" s="3"/>
      <c r="H1407" s="11">
        <f>ROUND(
IF(L1407="GANCHO",
   IF(I1407&lt;=50,I1407*1.1+4,IF(I1407&lt;=120,I1407*1.1+7,IF(I1407&lt;=250,I1407*1.1+11,I1407*1.1+19))),
IF(L1407="NORMAL",
   IF(I1407&lt;=30,I1407*1.15+2,IF(I1407&lt;=80,I1407*1.15+4,IF(I1407&lt;=150,I1407*1.15+6,I1407*1.15+8))),
IF(L1407="COMPLEMENTO",
   IF(I1407&lt;=25,I1407*1.25+1.5,IF(I1407&lt;=60,I1407*1.25+3,IF(I1407&lt;=120,I1407*1.25+4,I1407*1.25+5))),
""))),2)</f>
        <v>15913.21</v>
      </c>
      <c r="I1407" s="9">
        <f>($K$2+0.02)*Tabla1[[#This Row],[PRECIO $]]*1.18</f>
        <v>13830.615743999999</v>
      </c>
      <c r="J1407" s="7">
        <f>+Tabla1[[#This Row],[PRECIO EN SOLES]]-Tabla1[[#This Row],[PC]]</f>
        <v>2082.5942560000003</v>
      </c>
      <c r="K1407" s="15"/>
      <c r="L1407" s="15" t="str">
        <f t="shared" si="21"/>
        <v>NORMAL</v>
      </c>
    </row>
    <row r="1408" spans="1:12" x14ac:dyDescent="0.25">
      <c r="A1408" s="3" t="s">
        <v>2121</v>
      </c>
      <c r="B1408" s="3" t="s">
        <v>2122</v>
      </c>
      <c r="C1408" s="1">
        <v>12</v>
      </c>
      <c r="D1408" s="1">
        <v>1334.04</v>
      </c>
      <c r="E1408" s="1" t="s">
        <v>1088</v>
      </c>
      <c r="F1408" s="1" t="s">
        <v>3630</v>
      </c>
      <c r="G1408" s="3" t="s">
        <v>6678</v>
      </c>
      <c r="H1408" s="11">
        <f>ROUND(
IF(L1408="GANCHO",
   IF(I1408&lt;=50,I1408*1.1+4,IF(I1408&lt;=120,I1408*1.1+7,IF(I1408&lt;=250,I1408*1.1+11,I1408*1.1+19))),
IF(L1408="NORMAL",
   IF(I1408&lt;=30,I1408*1.15+2,IF(I1408&lt;=80,I1408*1.15+4,IF(I1408&lt;=150,I1408*1.15+6,I1408*1.15+8))),
IF(L1408="COMPLEMENTO",
   IF(I1408&lt;=25,I1408*1.25+1.5,IF(I1408&lt;=60,I1408*1.25+3,IF(I1408&lt;=120,I1408*1.25+4,I1408*1.25+5))),
""))),2)</f>
        <v>6380.23</v>
      </c>
      <c r="I1408" s="9">
        <f>($K$2+0.02)*Tabla1[[#This Row],[PRECIO $]]*1.18</f>
        <v>5541.0685439999988</v>
      </c>
      <c r="J1408" s="7">
        <f>+Tabla1[[#This Row],[PRECIO EN SOLES]]-Tabla1[[#This Row],[PC]]</f>
        <v>839.16145600000073</v>
      </c>
      <c r="K1408" s="15"/>
      <c r="L1408" s="15" t="str">
        <f t="shared" si="21"/>
        <v>NORMAL</v>
      </c>
    </row>
    <row r="1409" spans="1:12" x14ac:dyDescent="0.25">
      <c r="A1409" s="3" t="s">
        <v>2099</v>
      </c>
      <c r="B1409" s="3" t="s">
        <v>2100</v>
      </c>
      <c r="C1409" s="1">
        <v>5</v>
      </c>
      <c r="D1409" s="1">
        <v>2723.4</v>
      </c>
      <c r="E1409" s="1" t="s">
        <v>1024</v>
      </c>
      <c r="F1409" s="1" t="s">
        <v>3620</v>
      </c>
      <c r="G1409" s="3" t="s">
        <v>6679</v>
      </c>
      <c r="H1409" s="11">
        <f>ROUND(
IF(L1409="GANCHO",
   IF(I1409&lt;=50,I1409*1.1+4,IF(I1409&lt;=120,I1409*1.1+7,IF(I1409&lt;=250,I1409*1.1+11,I1409*1.1+19))),
IF(L1409="NORMAL",
   IF(I1409&lt;=30,I1409*1.15+2,IF(I1409&lt;=80,I1409*1.15+4,IF(I1409&lt;=150,I1409*1.15+6,I1409*1.15+8))),
IF(L1409="COMPLEMENTO",
   IF(I1409&lt;=25,I1409*1.25+1.5,IF(I1409&lt;=60,I1409*1.25+3,IF(I1409&lt;=120,I1409*1.25+4,I1409*1.25+5))),
""))),2)</f>
        <v>13016.7</v>
      </c>
      <c r="I1409" s="9">
        <f>($K$2+0.02)*Tabla1[[#This Row],[PRECIO $]]*1.18</f>
        <v>11311.91424</v>
      </c>
      <c r="J1409" s="7">
        <f>+Tabla1[[#This Row],[PRECIO EN SOLES]]-Tabla1[[#This Row],[PC]]</f>
        <v>1704.7857600000007</v>
      </c>
      <c r="K1409" s="15"/>
      <c r="L1409" s="15" t="str">
        <f t="shared" si="21"/>
        <v>NORMAL</v>
      </c>
    </row>
    <row r="1410" spans="1:12" x14ac:dyDescent="0.25">
      <c r="A1410" s="3" t="s">
        <v>2125</v>
      </c>
      <c r="B1410" s="3" t="s">
        <v>2126</v>
      </c>
      <c r="C1410" s="1">
        <v>7</v>
      </c>
      <c r="D1410" s="1">
        <v>1872.34</v>
      </c>
      <c r="E1410" s="1" t="s">
        <v>1088</v>
      </c>
      <c r="F1410" s="1" t="s">
        <v>3632</v>
      </c>
      <c r="G1410" s="3" t="s">
        <v>2127</v>
      </c>
      <c r="H1410" s="11">
        <f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8951.49</v>
      </c>
      <c r="I1410" s="9">
        <f>($K$2+0.02)*Tabla1[[#This Row],[PRECIO $]]*1.18</f>
        <v>7776.951423999999</v>
      </c>
      <c r="J1410" s="7">
        <f>+Tabla1[[#This Row],[PRECIO EN SOLES]]-Tabla1[[#This Row],[PC]]</f>
        <v>1174.5385760000008</v>
      </c>
      <c r="K1410" s="15"/>
      <c r="L1410" s="15" t="str">
        <f t="shared" si="21"/>
        <v>NORMAL</v>
      </c>
    </row>
    <row r="1411" spans="1:12" x14ac:dyDescent="0.25">
      <c r="A1411" s="3" t="s">
        <v>5956</v>
      </c>
      <c r="B1411" s="3" t="s">
        <v>5957</v>
      </c>
      <c r="C1411" s="1">
        <v>1</v>
      </c>
      <c r="D1411" s="1">
        <v>328.57</v>
      </c>
      <c r="E1411" s="1" t="s">
        <v>1088</v>
      </c>
      <c r="F1411" s="1" t="s">
        <v>5958</v>
      </c>
      <c r="G1411" s="3" t="s">
        <v>6680</v>
      </c>
      <c r="H1411" s="11">
        <f>ROUND(
IF(L1411="GANCHO",
   IF(I1411&lt;=50,I1411*1.1+4,IF(I1411&lt;=120,I1411*1.1+7,IF(I1411&lt;=250,I1411*1.1+11,I1411*1.1+19))),
IF(L1411="NORMAL",
   IF(I1411&lt;=30,I1411*1.15+2,IF(I1411&lt;=80,I1411*1.15+4,IF(I1411&lt;=150,I1411*1.15+6,I1411*1.15+8))),
IF(L1411="COMPLEMENTO",
   IF(I1411&lt;=25,I1411*1.25+1.5,IF(I1411&lt;=60,I1411*1.25+3,IF(I1411&lt;=120,I1411*1.25+4,I1411*1.25+5))),
""))),2)</f>
        <v>1577.46</v>
      </c>
      <c r="I1411" s="9">
        <f>($K$2+0.02)*Tabla1[[#This Row],[PRECIO $]]*1.18</f>
        <v>1364.7483519999998</v>
      </c>
      <c r="J1411" s="7">
        <f>+Tabla1[[#This Row],[PRECIO EN SOLES]]-Tabla1[[#This Row],[PC]]</f>
        <v>212.7116480000002</v>
      </c>
      <c r="K1411" s="15"/>
      <c r="L1411" s="15" t="str">
        <f t="shared" ref="L1411:L1474" si="22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2128</v>
      </c>
      <c r="B1412" s="3" t="s">
        <v>2129</v>
      </c>
      <c r="C1412" s="1">
        <v>20</v>
      </c>
      <c r="D1412" s="1">
        <v>1</v>
      </c>
      <c r="E1412" s="1" t="s">
        <v>2130</v>
      </c>
      <c r="F1412" s="1" t="s">
        <v>3633</v>
      </c>
      <c r="G1412" s="3"/>
      <c r="H1412" s="11">
        <f>ROUND(
IF(L1412="GANCHO",
   IF(I1412&lt;=50,I1412*1.1+4,IF(I1412&lt;=120,I1412*1.1+7,IF(I1412&lt;=250,I1412*1.1+11,I1412*1.1+19))),
IF(L1412="NORMAL",
   IF(I1412&lt;=30,I1412*1.15+2,IF(I1412&lt;=80,I1412*1.15+4,IF(I1412&lt;=150,I1412*1.15+6,I1412*1.15+8))),
IF(L1412="COMPLEMENTO",
   IF(I1412&lt;=25,I1412*1.25+1.5,IF(I1412&lt;=60,I1412*1.25+3,IF(I1412&lt;=120,I1412*1.25+4,I1412*1.25+5))),
""))),2)</f>
        <v>6.78</v>
      </c>
      <c r="I1412" s="9">
        <f>($K$2+0.02)*Tabla1[[#This Row],[PRECIO $]]*1.18</f>
        <v>4.1536</v>
      </c>
      <c r="J1412" s="7">
        <f>+Tabla1[[#This Row],[PRECIO EN SOLES]]-Tabla1[[#This Row],[PC]]</f>
        <v>2.6264000000000003</v>
      </c>
      <c r="K1412" s="15"/>
      <c r="L1412" s="15" t="str">
        <f t="shared" si="22"/>
        <v>NORMAL</v>
      </c>
    </row>
    <row r="1413" spans="1:12" x14ac:dyDescent="0.25">
      <c r="A1413" s="3" t="s">
        <v>2131</v>
      </c>
      <c r="B1413" s="3" t="s">
        <v>2132</v>
      </c>
      <c r="C1413" s="1">
        <v>0</v>
      </c>
      <c r="D1413" s="1">
        <v>9999999.9900000002</v>
      </c>
      <c r="E1413" s="1" t="s">
        <v>57</v>
      </c>
      <c r="F1413" s="1" t="s">
        <v>3634</v>
      </c>
      <c r="G1413" s="3"/>
      <c r="H1413" s="11">
        <f>ROUND(
IF(L1413="GANCHO",
   IF(I1413&lt;=50,I1413*1.1+4,IF(I1413&lt;=120,I1413*1.1+7,IF(I1413&lt;=250,I1413*1.1+11,I1413*1.1+19))),
IF(L1413="NORMAL",
   IF(I1413&lt;=30,I1413*1.15+2,IF(I1413&lt;=80,I1413*1.15+4,IF(I1413&lt;=150,I1413*1.15+6,I1413*1.15+8))),
IF(L1413="COMPLEMENTO",
   IF(I1413&lt;=25,I1413*1.25+1.5,IF(I1413&lt;=60,I1413*1.25+3,IF(I1413&lt;=120,I1413*1.25+4,I1413*1.25+5))),
""))),2)</f>
        <v>47766407.950000003</v>
      </c>
      <c r="I1413" s="9">
        <f>($K$2+0.02)*Tabla1[[#This Row],[PRECIO $]]*1.18</f>
        <v>41535999.958463997</v>
      </c>
      <c r="J1413" s="7">
        <f>+Tabla1[[#This Row],[PRECIO EN SOLES]]-Tabla1[[#This Row],[PC]]</f>
        <v>6230407.9915360063</v>
      </c>
      <c r="K1413" s="15"/>
      <c r="L1413" s="15" t="str">
        <f t="shared" si="22"/>
        <v>NORMAL</v>
      </c>
    </row>
    <row r="1414" spans="1:12" x14ac:dyDescent="0.25">
      <c r="A1414" s="3" t="s">
        <v>2133</v>
      </c>
      <c r="B1414" s="3" t="s">
        <v>2134</v>
      </c>
      <c r="C1414" s="1">
        <v>20</v>
      </c>
      <c r="D1414" s="1">
        <v>72.94</v>
      </c>
      <c r="E1414" s="1" t="s">
        <v>2130</v>
      </c>
      <c r="F1414" s="1" t="s">
        <v>3635</v>
      </c>
      <c r="G1414" s="3"/>
      <c r="H1414" s="11">
        <f>ROUND(
IF(L1414="GANCHO",
   IF(I1414&lt;=50,I1414*1.1+4,IF(I1414&lt;=120,I1414*1.1+7,IF(I1414&lt;=250,I1414*1.1+11,I1414*1.1+19))),
IF(L1414="NORMAL",
   IF(I1414&lt;=30,I1414*1.15+2,IF(I1414&lt;=80,I1414*1.15+4,IF(I1414&lt;=150,I1414*1.15+6,I1414*1.15+8))),
IF(L1414="COMPLEMENTO",
   IF(I1414&lt;=25,I1414*1.25+1.5,IF(I1414&lt;=60,I1414*1.25+3,IF(I1414&lt;=120,I1414*1.25+4,I1414*1.25+5))),
""))),2)</f>
        <v>356.41</v>
      </c>
      <c r="I1414" s="9">
        <f>($K$2+0.02)*Tabla1[[#This Row],[PRECIO $]]*1.18</f>
        <v>302.96358400000003</v>
      </c>
      <c r="J1414" s="7">
        <f>+Tabla1[[#This Row],[PRECIO EN SOLES]]-Tabla1[[#This Row],[PC]]</f>
        <v>53.446415999999999</v>
      </c>
      <c r="K1414" s="15"/>
      <c r="L1414" s="15" t="str">
        <f t="shared" si="22"/>
        <v>NORMAL</v>
      </c>
    </row>
    <row r="1415" spans="1:12" x14ac:dyDescent="0.25">
      <c r="A1415" s="3" t="s">
        <v>2135</v>
      </c>
      <c r="B1415" s="3" t="s">
        <v>2136</v>
      </c>
      <c r="C1415" s="1">
        <v>20</v>
      </c>
      <c r="D1415" s="1">
        <v>663.13</v>
      </c>
      <c r="E1415" s="1" t="s">
        <v>2130</v>
      </c>
      <c r="F1415" s="1" t="s">
        <v>3636</v>
      </c>
      <c r="G1415" s="3"/>
      <c r="H1415" s="11">
        <f>ROUND(
IF(L1415="GANCHO",
   IF(I1415&lt;=50,I1415*1.1+4,IF(I1415&lt;=120,I1415*1.1+7,IF(I1415&lt;=250,I1415*1.1+11,I1415*1.1+19))),
IF(L1415="NORMAL",
   IF(I1415&lt;=30,I1415*1.15+2,IF(I1415&lt;=80,I1415*1.15+4,IF(I1415&lt;=150,I1415*1.15+6,I1415*1.15+8))),
IF(L1415="COMPLEMENTO",
   IF(I1415&lt;=25,I1415*1.25+1.5,IF(I1415&lt;=60,I1415*1.25+3,IF(I1415&lt;=120,I1415*1.25+4,I1415*1.25+5))),
""))),2)</f>
        <v>3175.53</v>
      </c>
      <c r="I1415" s="9">
        <f>($K$2+0.02)*Tabla1[[#This Row],[PRECIO $]]*1.18</f>
        <v>2754.3767679999996</v>
      </c>
      <c r="J1415" s="7">
        <f>+Tabla1[[#This Row],[PRECIO EN SOLES]]-Tabla1[[#This Row],[PC]]</f>
        <v>421.15323200000057</v>
      </c>
      <c r="K1415" s="15"/>
      <c r="L1415" s="15" t="str">
        <f t="shared" si="22"/>
        <v>NORMAL</v>
      </c>
    </row>
    <row r="1416" spans="1:12" x14ac:dyDescent="0.25">
      <c r="A1416" s="3" t="s">
        <v>2137</v>
      </c>
      <c r="B1416" s="3" t="s">
        <v>2138</v>
      </c>
      <c r="C1416" s="1">
        <v>20</v>
      </c>
      <c r="D1416" s="1">
        <v>352</v>
      </c>
      <c r="E1416" s="1" t="s">
        <v>2130</v>
      </c>
      <c r="F1416" s="1" t="s">
        <v>3637</v>
      </c>
      <c r="G1416" s="3"/>
      <c r="H1416" s="11">
        <f>ROUND(
IF(L1416="GANCHO",
   IF(I1416&lt;=50,I1416*1.1+4,IF(I1416&lt;=120,I1416*1.1+7,IF(I1416&lt;=250,I1416*1.1+11,I1416*1.1+19))),
IF(L1416="NORMAL",
   IF(I1416&lt;=30,I1416*1.15+2,IF(I1416&lt;=80,I1416*1.15+4,IF(I1416&lt;=150,I1416*1.15+6,I1416*1.15+8))),
IF(L1416="COMPLEMENTO",
   IF(I1416&lt;=25,I1416*1.25+1.5,IF(I1416&lt;=60,I1416*1.25+3,IF(I1416&lt;=120,I1416*1.25+4,I1416*1.25+5))),
""))),2)</f>
        <v>1689.38</v>
      </c>
      <c r="I1416" s="9">
        <f>($K$2+0.02)*Tabla1[[#This Row],[PRECIO $]]*1.18</f>
        <v>1462.0672</v>
      </c>
      <c r="J1416" s="7">
        <f>+Tabla1[[#This Row],[PRECIO EN SOLES]]-Tabla1[[#This Row],[PC]]</f>
        <v>227.31280000000015</v>
      </c>
      <c r="K1416" s="15"/>
      <c r="L1416" s="15" t="str">
        <f t="shared" si="22"/>
        <v>NORMAL</v>
      </c>
    </row>
    <row r="1417" spans="1:12" x14ac:dyDescent="0.25">
      <c r="A1417" s="3" t="s">
        <v>2139</v>
      </c>
      <c r="B1417" s="3" t="s">
        <v>2140</v>
      </c>
      <c r="C1417" s="1">
        <v>20</v>
      </c>
      <c r="D1417" s="1">
        <v>0.01</v>
      </c>
      <c r="E1417" s="1" t="s">
        <v>2130</v>
      </c>
      <c r="F1417" s="1" t="s">
        <v>3638</v>
      </c>
      <c r="G1417" s="3"/>
      <c r="H1417" s="11">
        <f>ROUND(
IF(L1417="GANCHO",
   IF(I1417&lt;=50,I1417*1.1+4,IF(I1417&lt;=120,I1417*1.1+7,IF(I1417&lt;=250,I1417*1.1+11,I1417*1.1+19))),
IF(L1417="NORMAL",
   IF(I1417&lt;=30,I1417*1.15+2,IF(I1417&lt;=80,I1417*1.15+4,IF(I1417&lt;=150,I1417*1.15+6,I1417*1.15+8))),
IF(L1417="COMPLEMENTO",
   IF(I1417&lt;=25,I1417*1.25+1.5,IF(I1417&lt;=60,I1417*1.25+3,IF(I1417&lt;=120,I1417*1.25+4,I1417*1.25+5))),
""))),2)</f>
        <v>2.0499999999999998</v>
      </c>
      <c r="I1417" s="9">
        <f>($K$2+0.02)*Tabla1[[#This Row],[PRECIO $]]*1.18</f>
        <v>4.1536000000000003E-2</v>
      </c>
      <c r="J1417" s="7">
        <f>+Tabla1[[#This Row],[PRECIO EN SOLES]]-Tabla1[[#This Row],[PC]]</f>
        <v>2.008464</v>
      </c>
      <c r="K1417" s="15"/>
      <c r="L1417" s="15" t="str">
        <f t="shared" si="22"/>
        <v>NORMAL</v>
      </c>
    </row>
    <row r="1418" spans="1:12" x14ac:dyDescent="0.25">
      <c r="A1418" s="3" t="s">
        <v>7011</v>
      </c>
      <c r="B1418" s="3" t="s">
        <v>7012</v>
      </c>
      <c r="C1418" s="1">
        <v>0</v>
      </c>
      <c r="D1418" s="1">
        <v>11000</v>
      </c>
      <c r="E1418" s="1" t="s">
        <v>57</v>
      </c>
      <c r="F1418" s="1" t="s">
        <v>7013</v>
      </c>
      <c r="G1418" s="3"/>
      <c r="H1418" s="11">
        <f>ROUND(
IF(L1418="GANCHO",
   IF(I1418&lt;=50,I1418*1.1+4,IF(I1418&lt;=120,I1418*1.1+7,IF(I1418&lt;=250,I1418*1.1+11,I1418*1.1+19))),
IF(L1418="NORMAL",
   IF(I1418&lt;=30,I1418*1.15+2,IF(I1418&lt;=80,I1418*1.15+4,IF(I1418&lt;=150,I1418*1.15+6,I1418*1.15+8))),
IF(L1418="COMPLEMENTO",
   IF(I1418&lt;=25,I1418*1.25+1.5,IF(I1418&lt;=60,I1418*1.25+3,IF(I1418&lt;=120,I1418*1.25+4,I1418*1.25+5))),
""))),2)</f>
        <v>57117</v>
      </c>
      <c r="I1418" s="9">
        <f>($K$2+0.02)*Tabla1[[#This Row],[PRECIO $]]*1.18</f>
        <v>45689.599999999999</v>
      </c>
      <c r="J1418" s="7">
        <f>+Tabla1[[#This Row],[PRECIO EN SOLES]]-Tabla1[[#This Row],[PC]]</f>
        <v>11427.400000000001</v>
      </c>
      <c r="K1418" s="15"/>
      <c r="L1418" s="15" t="str">
        <f t="shared" si="22"/>
        <v>COMPLEMENTO</v>
      </c>
    </row>
    <row r="1419" spans="1:12" x14ac:dyDescent="0.25">
      <c r="A1419" s="3" t="s">
        <v>7014</v>
      </c>
      <c r="B1419" s="3" t="s">
        <v>7012</v>
      </c>
      <c r="C1419" s="1">
        <v>0</v>
      </c>
      <c r="D1419" s="1">
        <v>11000</v>
      </c>
      <c r="E1419" s="1" t="s">
        <v>57</v>
      </c>
      <c r="F1419" s="1" t="s">
        <v>7015</v>
      </c>
      <c r="G1419" s="3"/>
      <c r="H1419" s="11">
        <f>ROUND(
IF(L1419="GANCHO",
   IF(I1419&lt;=50,I1419*1.1+4,IF(I1419&lt;=120,I1419*1.1+7,IF(I1419&lt;=250,I1419*1.1+11,I1419*1.1+19))),
IF(L1419="NORMAL",
   IF(I1419&lt;=30,I1419*1.15+2,IF(I1419&lt;=80,I1419*1.15+4,IF(I1419&lt;=150,I1419*1.15+6,I1419*1.15+8))),
IF(L1419="COMPLEMENTO",
   IF(I1419&lt;=25,I1419*1.25+1.5,IF(I1419&lt;=60,I1419*1.25+3,IF(I1419&lt;=120,I1419*1.25+4,I1419*1.25+5))),
""))),2)</f>
        <v>57117</v>
      </c>
      <c r="I1419" s="9">
        <f>($K$2+0.02)*Tabla1[[#This Row],[PRECIO $]]*1.18</f>
        <v>45689.599999999999</v>
      </c>
      <c r="J1419" s="7">
        <f>+Tabla1[[#This Row],[PRECIO EN SOLES]]-Tabla1[[#This Row],[PC]]</f>
        <v>11427.400000000001</v>
      </c>
      <c r="K1419" s="15"/>
      <c r="L1419" s="15" t="str">
        <f t="shared" si="22"/>
        <v>COMPLEMENTO</v>
      </c>
    </row>
    <row r="1420" spans="1:12" x14ac:dyDescent="0.25">
      <c r="A1420" s="3" t="s">
        <v>7016</v>
      </c>
      <c r="B1420" s="3" t="s">
        <v>7017</v>
      </c>
      <c r="C1420" s="1">
        <v>0</v>
      </c>
      <c r="D1420" s="1">
        <v>11000</v>
      </c>
      <c r="E1420" s="1" t="s">
        <v>57</v>
      </c>
      <c r="F1420" s="1" t="s">
        <v>7018</v>
      </c>
      <c r="G1420" s="3"/>
      <c r="H1420" s="11">
        <f>ROUND(
IF(L1420="GANCHO",
   IF(I1420&lt;=50,I1420*1.1+4,IF(I1420&lt;=120,I1420*1.1+7,IF(I1420&lt;=250,I1420*1.1+11,I1420*1.1+19))),
IF(L1420="NORMAL",
   IF(I1420&lt;=30,I1420*1.15+2,IF(I1420&lt;=80,I1420*1.15+4,IF(I1420&lt;=150,I1420*1.15+6,I1420*1.15+8))),
IF(L1420="COMPLEMENTO",
   IF(I1420&lt;=25,I1420*1.25+1.5,IF(I1420&lt;=60,I1420*1.25+3,IF(I1420&lt;=120,I1420*1.25+4,I1420*1.25+5))),
""))),2)</f>
        <v>57117</v>
      </c>
      <c r="I1420" s="9">
        <f>($K$2+0.02)*Tabla1[[#This Row],[PRECIO $]]*1.18</f>
        <v>45689.599999999999</v>
      </c>
      <c r="J1420" s="7">
        <f>+Tabla1[[#This Row],[PRECIO EN SOLES]]-Tabla1[[#This Row],[PC]]</f>
        <v>11427.400000000001</v>
      </c>
      <c r="K1420" s="15"/>
      <c r="L1420" s="15" t="str">
        <f t="shared" si="22"/>
        <v>COMPLEMENTO</v>
      </c>
    </row>
    <row r="1421" spans="1:12" x14ac:dyDescent="0.25">
      <c r="A1421" s="3" t="s">
        <v>2141</v>
      </c>
      <c r="B1421" s="3" t="s">
        <v>2142</v>
      </c>
      <c r="C1421" s="1">
        <v>1</v>
      </c>
      <c r="D1421" s="1">
        <v>1025</v>
      </c>
      <c r="E1421" s="1" t="s">
        <v>2143</v>
      </c>
      <c r="F1421" s="1" t="s">
        <v>3639</v>
      </c>
      <c r="G1421" s="3"/>
      <c r="H1421" s="11">
        <f>ROUND(
IF(L1421="GANCHO",
   IF(I1421&lt;=50,I1421*1.1+4,IF(I1421&lt;=120,I1421*1.1+7,IF(I1421&lt;=250,I1421*1.1+11,I1421*1.1+19))),
IF(L1421="NORMAL",
   IF(I1421&lt;=30,I1421*1.15+2,IF(I1421&lt;=80,I1421*1.15+4,IF(I1421&lt;=150,I1421*1.15+6,I1421*1.15+8))),
IF(L1421="COMPLEMENTO",
   IF(I1421&lt;=25,I1421*1.25+1.5,IF(I1421&lt;=60,I1421*1.25+3,IF(I1421&lt;=120,I1421*1.25+4,I1421*1.25+5))),
""))),2)</f>
        <v>4904.0600000000004</v>
      </c>
      <c r="I1421" s="9">
        <f>($K$2+0.02)*Tabla1[[#This Row],[PRECIO $]]*1.18</f>
        <v>4257.4399999999996</v>
      </c>
      <c r="J1421" s="7">
        <f>+Tabla1[[#This Row],[PRECIO EN SOLES]]-Tabla1[[#This Row],[PC]]</f>
        <v>646.6200000000008</v>
      </c>
      <c r="K1421" s="15"/>
      <c r="L1421" s="15" t="str">
        <f t="shared" si="22"/>
        <v>NORMAL</v>
      </c>
    </row>
    <row r="1422" spans="1:12" x14ac:dyDescent="0.25">
      <c r="A1422" s="3" t="s">
        <v>2144</v>
      </c>
      <c r="B1422" s="3" t="s">
        <v>2145</v>
      </c>
      <c r="C1422" s="1">
        <v>1</v>
      </c>
      <c r="D1422" s="1">
        <v>309</v>
      </c>
      <c r="E1422" s="1" t="s">
        <v>2146</v>
      </c>
      <c r="F1422" s="1" t="s">
        <v>3640</v>
      </c>
      <c r="G1422" s="3"/>
      <c r="H1422" s="11">
        <f>ROUND(
IF(L1422="GANCHO",
   IF(I1422&lt;=50,I1422*1.1+4,IF(I1422&lt;=120,I1422*1.1+7,IF(I1422&lt;=250,I1422*1.1+11,I1422*1.1+19))),
IF(L1422="NORMAL",
   IF(I1422&lt;=30,I1422*1.15+2,IF(I1422&lt;=80,I1422*1.15+4,IF(I1422&lt;=150,I1422*1.15+6,I1422*1.15+8))),
IF(L1422="COMPLEMENTO",
   IF(I1422&lt;=25,I1422*1.25+1.5,IF(I1422&lt;=60,I1422*1.25+3,IF(I1422&lt;=120,I1422*1.25+4,I1422*1.25+5))),
""))),2)</f>
        <v>1483.98</v>
      </c>
      <c r="I1422" s="9">
        <f>($K$2+0.02)*Tabla1[[#This Row],[PRECIO $]]*1.18</f>
        <v>1283.4624000000001</v>
      </c>
      <c r="J1422" s="7">
        <f>+Tabla1[[#This Row],[PRECIO EN SOLES]]-Tabla1[[#This Row],[PC]]</f>
        <v>200.5175999999999</v>
      </c>
      <c r="K1422" s="15"/>
      <c r="L1422" s="15" t="str">
        <f t="shared" si="22"/>
        <v>NORMAL</v>
      </c>
    </row>
    <row r="1423" spans="1:12" x14ac:dyDescent="0.25">
      <c r="A1423" s="3" t="s">
        <v>2147</v>
      </c>
      <c r="B1423" s="3" t="s">
        <v>2148</v>
      </c>
      <c r="C1423" s="1">
        <v>1</v>
      </c>
      <c r="D1423" s="1">
        <v>288</v>
      </c>
      <c r="E1423" s="1" t="s">
        <v>2146</v>
      </c>
      <c r="F1423" s="1" t="s">
        <v>3641</v>
      </c>
      <c r="G1423" s="3"/>
      <c r="H1423" s="11">
        <f>ROUND(
IF(L1423="GANCHO",
   IF(I1423&lt;=50,I1423*1.1+4,IF(I1423&lt;=120,I1423*1.1+7,IF(I1423&lt;=250,I1423*1.1+11,I1423*1.1+19))),
IF(L1423="NORMAL",
   IF(I1423&lt;=30,I1423*1.15+2,IF(I1423&lt;=80,I1423*1.15+4,IF(I1423&lt;=150,I1423*1.15+6,I1423*1.15+8))),
IF(L1423="COMPLEMENTO",
   IF(I1423&lt;=25,I1423*1.25+1.5,IF(I1423&lt;=60,I1423*1.25+3,IF(I1423&lt;=120,I1423*1.25+4,I1423*1.25+5))),
""))),2)</f>
        <v>1383.67</v>
      </c>
      <c r="I1423" s="9">
        <f>($K$2+0.02)*Tabla1[[#This Row],[PRECIO $]]*1.18</f>
        <v>1196.2367999999999</v>
      </c>
      <c r="J1423" s="7">
        <f>+Tabla1[[#This Row],[PRECIO EN SOLES]]-Tabla1[[#This Row],[PC]]</f>
        <v>187.43320000000017</v>
      </c>
      <c r="K1423" s="15"/>
      <c r="L1423" s="15" t="str">
        <f t="shared" si="22"/>
        <v>NORMAL</v>
      </c>
    </row>
    <row r="1424" spans="1:12" x14ac:dyDescent="0.25">
      <c r="A1424" s="3" t="s">
        <v>2149</v>
      </c>
      <c r="B1424" s="3" t="s">
        <v>2150</v>
      </c>
      <c r="C1424" s="1">
        <v>1</v>
      </c>
      <c r="D1424" s="1">
        <v>153</v>
      </c>
      <c r="E1424" s="1" t="s">
        <v>2146</v>
      </c>
      <c r="F1424" s="1" t="s">
        <v>3642</v>
      </c>
      <c r="G1424" s="3"/>
      <c r="H1424" s="11">
        <f>ROUND(
IF(L1424="GANCHO",
   IF(I1424&lt;=50,I1424*1.1+4,IF(I1424&lt;=120,I1424*1.1+7,IF(I1424&lt;=250,I1424*1.1+11,I1424*1.1+19))),
IF(L1424="NORMAL",
   IF(I1424&lt;=30,I1424*1.15+2,IF(I1424&lt;=80,I1424*1.15+4,IF(I1424&lt;=150,I1424*1.15+6,I1424*1.15+8))),
IF(L1424="COMPLEMENTO",
   IF(I1424&lt;=25,I1424*1.25+1.5,IF(I1424&lt;=60,I1424*1.25+3,IF(I1424&lt;=120,I1424*1.25+4,I1424*1.25+5))),
""))),2)</f>
        <v>738.83</v>
      </c>
      <c r="I1424" s="9">
        <f>($K$2+0.02)*Tabla1[[#This Row],[PRECIO $]]*1.18</f>
        <v>635.50080000000003</v>
      </c>
      <c r="J1424" s="7">
        <f>+Tabla1[[#This Row],[PRECIO EN SOLES]]-Tabla1[[#This Row],[PC]]</f>
        <v>103.32920000000001</v>
      </c>
      <c r="K1424" s="15"/>
      <c r="L1424" s="15" t="str">
        <f t="shared" si="22"/>
        <v>NORMAL</v>
      </c>
    </row>
    <row r="1425" spans="1:12" x14ac:dyDescent="0.25">
      <c r="A1425" s="3" t="s">
        <v>2151</v>
      </c>
      <c r="B1425" s="3" t="s">
        <v>2152</v>
      </c>
      <c r="C1425" s="1">
        <v>1</v>
      </c>
      <c r="D1425" s="1">
        <v>676</v>
      </c>
      <c r="E1425" s="1" t="s">
        <v>2143</v>
      </c>
      <c r="F1425" s="1" t="s">
        <v>3643</v>
      </c>
      <c r="G1425" s="3"/>
      <c r="H1425" s="11">
        <f>ROUND(
IF(L1425="GANCHO",
   IF(I1425&lt;=50,I1425*1.1+4,IF(I1425&lt;=120,I1425*1.1+7,IF(I1425&lt;=250,I1425*1.1+11,I1425*1.1+19))),
IF(L1425="NORMAL",
   IF(I1425&lt;=30,I1425*1.15+2,IF(I1425&lt;=80,I1425*1.15+4,IF(I1425&lt;=150,I1425*1.15+6,I1425*1.15+8))),
IF(L1425="COMPLEMENTO",
   IF(I1425&lt;=25,I1425*1.25+1.5,IF(I1425&lt;=60,I1425*1.25+3,IF(I1425&lt;=120,I1425*1.25+4,I1425*1.25+5))),
""))),2)</f>
        <v>3237.01</v>
      </c>
      <c r="I1425" s="9">
        <f>($K$2+0.02)*Tabla1[[#This Row],[PRECIO $]]*1.18</f>
        <v>2807.8335999999999</v>
      </c>
      <c r="J1425" s="7">
        <f>+Tabla1[[#This Row],[PRECIO EN SOLES]]-Tabla1[[#This Row],[PC]]</f>
        <v>429.17640000000029</v>
      </c>
      <c r="K1425" s="15"/>
      <c r="L1425" s="15" t="str">
        <f t="shared" si="22"/>
        <v>NORMAL</v>
      </c>
    </row>
    <row r="1426" spans="1:12" x14ac:dyDescent="0.25">
      <c r="A1426" s="3" t="s">
        <v>2153</v>
      </c>
      <c r="B1426" s="3" t="s">
        <v>2154</v>
      </c>
      <c r="C1426" s="1">
        <v>20</v>
      </c>
      <c r="D1426" s="1">
        <v>97</v>
      </c>
      <c r="E1426" s="1" t="s">
        <v>2130</v>
      </c>
      <c r="F1426" s="1" t="s">
        <v>3644</v>
      </c>
      <c r="G1426" s="3"/>
      <c r="H1426" s="11">
        <f>ROUND(
IF(L1426="GANCHO",
   IF(I1426&lt;=50,I1426*1.1+4,IF(I1426&lt;=120,I1426*1.1+7,IF(I1426&lt;=250,I1426*1.1+11,I1426*1.1+19))),
IF(L1426="NORMAL",
   IF(I1426&lt;=30,I1426*1.15+2,IF(I1426&lt;=80,I1426*1.15+4,IF(I1426&lt;=150,I1426*1.15+6,I1426*1.15+8))),
IF(L1426="COMPLEMENTO",
   IF(I1426&lt;=25,I1426*1.25+1.5,IF(I1426&lt;=60,I1426*1.25+3,IF(I1426&lt;=120,I1426*1.25+4,I1426*1.25+5))),
""))),2)</f>
        <v>471.33</v>
      </c>
      <c r="I1426" s="9">
        <f>($K$2+0.02)*Tabla1[[#This Row],[PRECIO $]]*1.18</f>
        <v>402.89919999999995</v>
      </c>
      <c r="J1426" s="7">
        <f>+Tabla1[[#This Row],[PRECIO EN SOLES]]-Tabla1[[#This Row],[PC]]</f>
        <v>68.430800000000033</v>
      </c>
      <c r="K1426" s="15"/>
      <c r="L1426" s="15" t="str">
        <f t="shared" si="22"/>
        <v>NORMAL</v>
      </c>
    </row>
    <row r="1427" spans="1:12" x14ac:dyDescent="0.25">
      <c r="A1427" s="3" t="s">
        <v>2155</v>
      </c>
      <c r="B1427" s="3" t="s">
        <v>2156</v>
      </c>
      <c r="C1427" s="1">
        <v>20</v>
      </c>
      <c r="D1427" s="1">
        <v>1380</v>
      </c>
      <c r="E1427" s="1" t="s">
        <v>2130</v>
      </c>
      <c r="F1427" s="1" t="s">
        <v>3645</v>
      </c>
      <c r="G1427" s="3"/>
      <c r="H1427" s="11">
        <f>ROUND(
IF(L1427="GANCHO",
   IF(I1427&lt;=50,I1427*1.1+4,IF(I1427&lt;=120,I1427*1.1+7,IF(I1427&lt;=250,I1427*1.1+11,I1427*1.1+19))),
IF(L1427="NORMAL",
   IF(I1427&lt;=30,I1427*1.15+2,IF(I1427&lt;=80,I1427*1.15+4,IF(I1427&lt;=150,I1427*1.15+6,I1427*1.15+8))),
IF(L1427="COMPLEMENTO",
   IF(I1427&lt;=25,I1427*1.25+1.5,IF(I1427&lt;=60,I1427*1.25+3,IF(I1427&lt;=120,I1427*1.25+4,I1427*1.25+5))),
""))),2)</f>
        <v>6599.76</v>
      </c>
      <c r="I1427" s="9">
        <f>($K$2+0.02)*Tabla1[[#This Row],[PRECIO $]]*1.18</f>
        <v>5731.9679999999998</v>
      </c>
      <c r="J1427" s="7">
        <f>+Tabla1[[#This Row],[PRECIO EN SOLES]]-Tabla1[[#This Row],[PC]]</f>
        <v>867.79200000000037</v>
      </c>
      <c r="K1427" s="15"/>
      <c r="L1427" s="15" t="str">
        <f t="shared" si="22"/>
        <v>NORMAL</v>
      </c>
    </row>
    <row r="1428" spans="1:12" x14ac:dyDescent="0.25">
      <c r="A1428" s="3" t="s">
        <v>2157</v>
      </c>
      <c r="B1428" s="3" t="s">
        <v>2158</v>
      </c>
      <c r="C1428" s="1">
        <v>20</v>
      </c>
      <c r="D1428" s="1">
        <v>10</v>
      </c>
      <c r="E1428" s="1" t="s">
        <v>2130</v>
      </c>
      <c r="F1428" s="1" t="s">
        <v>3646</v>
      </c>
      <c r="G1428" s="3"/>
      <c r="H1428" s="11">
        <f>ROUND(
IF(L1428="GANCHO",
   IF(I1428&lt;=50,I1428*1.1+4,IF(I1428&lt;=120,I1428*1.1+7,IF(I1428&lt;=250,I1428*1.1+11,I1428*1.1+19))),
IF(L1428="NORMAL",
   IF(I1428&lt;=30,I1428*1.15+2,IF(I1428&lt;=80,I1428*1.15+4,IF(I1428&lt;=150,I1428*1.15+6,I1428*1.15+8))),
IF(L1428="COMPLEMENTO",
   IF(I1428&lt;=25,I1428*1.25+1.5,IF(I1428&lt;=60,I1428*1.25+3,IF(I1428&lt;=120,I1428*1.25+4,I1428*1.25+5))),
""))),2)</f>
        <v>51.77</v>
      </c>
      <c r="I1428" s="9">
        <f>($K$2+0.02)*Tabla1[[#This Row],[PRECIO $]]*1.18</f>
        <v>41.536000000000001</v>
      </c>
      <c r="J1428" s="7">
        <f>+Tabla1[[#This Row],[PRECIO EN SOLES]]-Tabla1[[#This Row],[PC]]</f>
        <v>10.234000000000002</v>
      </c>
      <c r="K1428" s="15"/>
      <c r="L1428" s="15" t="str">
        <f t="shared" si="22"/>
        <v>NORMAL</v>
      </c>
    </row>
    <row r="1429" spans="1:12" x14ac:dyDescent="0.25">
      <c r="A1429" s="3" t="s">
        <v>5574</v>
      </c>
      <c r="B1429" s="3" t="s">
        <v>5575</v>
      </c>
      <c r="C1429" s="1">
        <v>1</v>
      </c>
      <c r="D1429" s="1">
        <v>5178.72</v>
      </c>
      <c r="E1429" s="1" t="s">
        <v>1024</v>
      </c>
      <c r="F1429" s="1" t="s">
        <v>5576</v>
      </c>
      <c r="G1429" s="3"/>
      <c r="H1429" s="11">
        <f>ROUND(
IF(L1429="GANCHO",
   IF(I1429&lt;=50,I1429*1.1+4,IF(I1429&lt;=120,I1429*1.1+7,IF(I1429&lt;=250,I1429*1.1+11,I1429*1.1+19))),
IF(L1429="NORMAL",
   IF(I1429&lt;=30,I1429*1.15+2,IF(I1429&lt;=80,I1429*1.15+4,IF(I1429&lt;=150,I1429*1.15+6,I1429*1.15+8))),
IF(L1429="COMPLEMENTO",
   IF(I1429&lt;=25,I1429*1.25+1.5,IF(I1429&lt;=60,I1429*1.25+3,IF(I1429&lt;=120,I1429*1.25+4,I1429*1.25+5))),
""))),2)</f>
        <v>24744.880000000001</v>
      </c>
      <c r="I1429" s="9">
        <f>($K$2+0.02)*Tabla1[[#This Row],[PRECIO $]]*1.18</f>
        <v>21510.331392</v>
      </c>
      <c r="J1429" s="7">
        <f>+Tabla1[[#This Row],[PRECIO EN SOLES]]-Tabla1[[#This Row],[PC]]</f>
        <v>3234.548608000001</v>
      </c>
      <c r="K1429" s="15"/>
      <c r="L1429" s="15" t="str">
        <f t="shared" si="22"/>
        <v>NORMAL</v>
      </c>
    </row>
    <row r="1430" spans="1:12" x14ac:dyDescent="0.25">
      <c r="A1430" s="3" t="s">
        <v>5046</v>
      </c>
      <c r="B1430" s="3" t="s">
        <v>5047</v>
      </c>
      <c r="C1430" s="1">
        <v>8</v>
      </c>
      <c r="D1430" s="1">
        <v>3908.09</v>
      </c>
      <c r="E1430" s="1" t="s">
        <v>1024</v>
      </c>
      <c r="F1430" s="1" t="s">
        <v>5048</v>
      </c>
      <c r="G1430" s="3" t="s">
        <v>6681</v>
      </c>
      <c r="H1430" s="11">
        <f>ROUND(
IF(L1430="GANCHO",
   IF(I1430&lt;=50,I1430*1.1+4,IF(I1430&lt;=120,I1430*1.1+7,IF(I1430&lt;=250,I1430*1.1+11,I1430*1.1+19))),
IF(L1430="NORMAL",
   IF(I1430&lt;=30,I1430*1.15+2,IF(I1430&lt;=80,I1430*1.15+4,IF(I1430&lt;=150,I1430*1.15+6,I1430*1.15+8))),
IF(L1430="COMPLEMENTO",
   IF(I1430&lt;=25,I1430*1.25+1.5,IF(I1430&lt;=60,I1430*1.25+3,IF(I1430&lt;=120,I1430*1.25+4,I1430*1.25+5))),
""))),2)</f>
        <v>18675.54</v>
      </c>
      <c r="I1430" s="9">
        <f>($K$2+0.02)*Tabla1[[#This Row],[PRECIO $]]*1.18</f>
        <v>16232.642624</v>
      </c>
      <c r="J1430" s="7">
        <f>+Tabla1[[#This Row],[PRECIO EN SOLES]]-Tabla1[[#This Row],[PC]]</f>
        <v>2442.8973760000008</v>
      </c>
      <c r="K1430" s="15"/>
      <c r="L1430" s="15" t="str">
        <f t="shared" si="22"/>
        <v>NORMAL</v>
      </c>
    </row>
    <row r="1431" spans="1:12" x14ac:dyDescent="0.25">
      <c r="A1431" s="3" t="s">
        <v>6682</v>
      </c>
      <c r="B1431" s="3" t="s">
        <v>6683</v>
      </c>
      <c r="C1431" s="1">
        <v>3</v>
      </c>
      <c r="D1431" s="1">
        <v>2523.91</v>
      </c>
      <c r="E1431" s="1" t="s">
        <v>1024</v>
      </c>
      <c r="F1431" s="1" t="s">
        <v>6684</v>
      </c>
      <c r="G1431" s="3"/>
      <c r="H1431" s="11">
        <f>ROUND(
IF(L1431="GANCHO",
   IF(I1431&lt;=50,I1431*1.1+4,IF(I1431&lt;=120,I1431*1.1+7,IF(I1431&lt;=250,I1431*1.1+11,I1431*1.1+19))),
IF(L1431="NORMAL",
   IF(I1431&lt;=30,I1431*1.15+2,IF(I1431&lt;=80,I1431*1.15+4,IF(I1431&lt;=150,I1431*1.15+6,I1431*1.15+8))),
IF(L1431="COMPLEMENTO",
   IF(I1431&lt;=25,I1431*1.25+1.5,IF(I1431&lt;=60,I1431*1.25+3,IF(I1431&lt;=120,I1431*1.25+4,I1431*1.25+5))),
""))),2)</f>
        <v>12063.81</v>
      </c>
      <c r="I1431" s="9">
        <f>($K$2+0.02)*Tabla1[[#This Row],[PRECIO $]]*1.18</f>
        <v>10483.312575999998</v>
      </c>
      <c r="J1431" s="7">
        <f>+Tabla1[[#This Row],[PRECIO EN SOLES]]-Tabla1[[#This Row],[PC]]</f>
        <v>1580.497424000001</v>
      </c>
      <c r="K1431" s="15"/>
      <c r="L1431" s="15" t="str">
        <f t="shared" si="22"/>
        <v>NORMAL</v>
      </c>
    </row>
    <row r="1432" spans="1:12" x14ac:dyDescent="0.25">
      <c r="A1432" s="3" t="s">
        <v>2159</v>
      </c>
      <c r="B1432" s="3" t="s">
        <v>2160</v>
      </c>
      <c r="C1432" s="1">
        <v>3</v>
      </c>
      <c r="D1432" s="1">
        <v>4254.46</v>
      </c>
      <c r="E1432" s="1" t="s">
        <v>1088</v>
      </c>
      <c r="F1432" s="1" t="s">
        <v>3647</v>
      </c>
      <c r="G1432" s="3" t="s">
        <v>6685</v>
      </c>
      <c r="H1432" s="11">
        <f>ROUND(
IF(L1432="GANCHO",
   IF(I1432&lt;=50,I1432*1.1+4,IF(I1432&lt;=120,I1432*1.1+7,IF(I1432&lt;=250,I1432*1.1+11,I1432*1.1+19))),
IF(L1432="NORMAL",
   IF(I1432&lt;=30,I1432*1.15+2,IF(I1432&lt;=80,I1432*1.15+4,IF(I1432&lt;=150,I1432*1.15+6,I1432*1.15+8))),
IF(L1432="COMPLEMENTO",
   IF(I1432&lt;=25,I1432*1.25+1.5,IF(I1432&lt;=60,I1432*1.25+3,IF(I1432&lt;=120,I1432*1.25+4,I1432*1.25+5))),
""))),2)</f>
        <v>20330.02</v>
      </c>
      <c r="I1432" s="9">
        <f>($K$2+0.02)*Tabla1[[#This Row],[PRECIO $]]*1.18</f>
        <v>17671.325056000001</v>
      </c>
      <c r="J1432" s="7">
        <f>+Tabla1[[#This Row],[PRECIO EN SOLES]]-Tabla1[[#This Row],[PC]]</f>
        <v>2658.6949439999989</v>
      </c>
      <c r="K1432" s="15"/>
      <c r="L1432" s="15" t="str">
        <f t="shared" si="22"/>
        <v>NORMAL</v>
      </c>
    </row>
    <row r="1433" spans="1:12" x14ac:dyDescent="0.25">
      <c r="A1433" s="3" t="s">
        <v>2161</v>
      </c>
      <c r="B1433" s="3" t="s">
        <v>2162</v>
      </c>
      <c r="C1433" s="1">
        <v>14</v>
      </c>
      <c r="D1433" s="1">
        <v>1592.75</v>
      </c>
      <c r="E1433" s="1" t="s">
        <v>1088</v>
      </c>
      <c r="F1433" s="1" t="s">
        <v>3648</v>
      </c>
      <c r="G1433" s="3" t="s">
        <v>2163</v>
      </c>
      <c r="H1433" s="11">
        <f>ROUND(
IF(L1433="GANCHO",
   IF(I1433&lt;=50,I1433*1.1+4,IF(I1433&lt;=120,I1433*1.1+7,IF(I1433&lt;=250,I1433*1.1+11,I1433*1.1+19))),
IF(L1433="NORMAL",
   IF(I1433&lt;=30,I1433*1.15+2,IF(I1433&lt;=80,I1433*1.15+4,IF(I1433&lt;=150,I1433*1.15+6,I1433*1.15+8))),
IF(L1433="COMPLEMENTO",
   IF(I1433&lt;=25,I1433*1.25+1.5,IF(I1433&lt;=60,I1433*1.25+3,IF(I1433&lt;=120,I1433*1.25+4,I1433*1.25+5))),
""))),2)</f>
        <v>7615.99</v>
      </c>
      <c r="I1433" s="9">
        <f>($K$2+0.02)*Tabla1[[#This Row],[PRECIO $]]*1.18</f>
        <v>6615.6464000000005</v>
      </c>
      <c r="J1433" s="7">
        <f>+Tabla1[[#This Row],[PRECIO EN SOLES]]-Tabla1[[#This Row],[PC]]</f>
        <v>1000.3435999999992</v>
      </c>
      <c r="K1433" s="15"/>
      <c r="L1433" s="15" t="str">
        <f t="shared" si="22"/>
        <v>NORMAL</v>
      </c>
    </row>
    <row r="1434" spans="1:12" x14ac:dyDescent="0.25">
      <c r="A1434" s="3" t="s">
        <v>2164</v>
      </c>
      <c r="B1434" s="3" t="s">
        <v>2165</v>
      </c>
      <c r="C1434" s="1">
        <v>2</v>
      </c>
      <c r="D1434" s="1">
        <v>6851.06</v>
      </c>
      <c r="E1434" s="1" t="s">
        <v>1088</v>
      </c>
      <c r="F1434" s="1" t="s">
        <v>3649</v>
      </c>
      <c r="G1434" s="3" t="s">
        <v>6686</v>
      </c>
      <c r="H1434" s="11">
        <f>ROUND(
IF(L1434="GANCHO",
   IF(I1434&lt;=50,I1434*1.1+4,IF(I1434&lt;=120,I1434*1.1+7,IF(I1434&lt;=250,I1434*1.1+11,I1434*1.1+19))),
IF(L1434="NORMAL",
   IF(I1434&lt;=30,I1434*1.15+2,IF(I1434&lt;=80,I1434*1.15+4,IF(I1434&lt;=150,I1434*1.15+6,I1434*1.15+8))),
IF(L1434="COMPLEMENTO",
   IF(I1434&lt;=25,I1434*1.25+1.5,IF(I1434&lt;=60,I1434*1.25+3,IF(I1434&lt;=120,I1434*1.25+4,I1434*1.25+5))),
""))),2)</f>
        <v>32733.05</v>
      </c>
      <c r="I1434" s="9">
        <f>($K$2+0.02)*Tabla1[[#This Row],[PRECIO $]]*1.18</f>
        <v>28456.562816000001</v>
      </c>
      <c r="J1434" s="7">
        <f>+Tabla1[[#This Row],[PRECIO EN SOLES]]-Tabla1[[#This Row],[PC]]</f>
        <v>4276.4871839999978</v>
      </c>
      <c r="K1434" s="15"/>
      <c r="L1434" s="15" t="str">
        <f t="shared" si="22"/>
        <v>NORMAL</v>
      </c>
    </row>
    <row r="1435" spans="1:12" x14ac:dyDescent="0.25">
      <c r="A1435" s="3" t="s">
        <v>6234</v>
      </c>
      <c r="B1435" s="3" t="s">
        <v>6235</v>
      </c>
      <c r="C1435" s="1">
        <v>2</v>
      </c>
      <c r="D1435" s="1">
        <v>7021.51</v>
      </c>
      <c r="E1435" s="1" t="s">
        <v>1088</v>
      </c>
      <c r="F1435" s="1" t="s">
        <v>6236</v>
      </c>
      <c r="G1435" s="3" t="s">
        <v>6687</v>
      </c>
      <c r="H1435" s="11">
        <f>ROUND(
IF(L1435="GANCHO",
   IF(I1435&lt;=50,I1435*1.1+4,IF(I1435&lt;=120,I1435*1.1+7,IF(I1435&lt;=250,I1435*1.1+11,I1435*1.1+19))),
IF(L1435="NORMAL",
   IF(I1435&lt;=30,I1435*1.15+2,IF(I1435&lt;=80,I1435*1.15+4,IF(I1435&lt;=150,I1435*1.15+6,I1435*1.15+8))),
IF(L1435="COMPLEMENTO",
   IF(I1435&lt;=25,I1435*1.25+1.5,IF(I1435&lt;=60,I1435*1.25+3,IF(I1435&lt;=120,I1435*1.25+4,I1435*1.25+5))),
""))),2)</f>
        <v>33547.230000000003</v>
      </c>
      <c r="I1435" s="9">
        <f>($K$2+0.02)*Tabla1[[#This Row],[PRECIO $]]*1.18</f>
        <v>29164.543936000002</v>
      </c>
      <c r="J1435" s="7">
        <f>+Tabla1[[#This Row],[PRECIO EN SOLES]]-Tabla1[[#This Row],[PC]]</f>
        <v>4382.6860640000014</v>
      </c>
      <c r="K1435" s="15"/>
      <c r="L1435" s="15" t="str">
        <f t="shared" si="22"/>
        <v>NORMAL</v>
      </c>
    </row>
    <row r="1436" spans="1:12" x14ac:dyDescent="0.25">
      <c r="A1436" s="3" t="s">
        <v>2167</v>
      </c>
      <c r="B1436" s="3" t="s">
        <v>2166</v>
      </c>
      <c r="C1436" s="1">
        <v>20</v>
      </c>
      <c r="D1436" s="1">
        <v>1130</v>
      </c>
      <c r="E1436" s="1" t="s">
        <v>1088</v>
      </c>
      <c r="F1436" s="1" t="s">
        <v>3650</v>
      </c>
      <c r="G1436" s="3" t="s">
        <v>2168</v>
      </c>
      <c r="H1436" s="11">
        <f>ROUND(
IF(L1436="GANCHO",
   IF(I1436&lt;=50,I1436*1.1+4,IF(I1436&lt;=120,I1436*1.1+7,IF(I1436&lt;=250,I1436*1.1+11,I1436*1.1+19))),
IF(L1436="NORMAL",
   IF(I1436&lt;=30,I1436*1.15+2,IF(I1436&lt;=80,I1436*1.15+4,IF(I1436&lt;=150,I1436*1.15+6,I1436*1.15+8))),
IF(L1436="COMPLEMENTO",
   IF(I1436&lt;=25,I1436*1.25+1.5,IF(I1436&lt;=60,I1436*1.25+3,IF(I1436&lt;=120,I1436*1.25+4,I1436*1.25+5))),
""))),2)</f>
        <v>5405.6</v>
      </c>
      <c r="I1436" s="9">
        <f>($K$2+0.02)*Tabla1[[#This Row],[PRECIO $]]*1.18</f>
        <v>4693.5679999999993</v>
      </c>
      <c r="J1436" s="7">
        <f>+Tabla1[[#This Row],[PRECIO EN SOLES]]-Tabla1[[#This Row],[PC]]</f>
        <v>712.03200000000106</v>
      </c>
      <c r="K1436" s="15"/>
      <c r="L1436" s="15" t="str">
        <f t="shared" si="22"/>
        <v>NORMAL</v>
      </c>
    </row>
    <row r="1437" spans="1:12" x14ac:dyDescent="0.25">
      <c r="A1437" s="3" t="s">
        <v>2169</v>
      </c>
      <c r="B1437" s="3" t="s">
        <v>2170</v>
      </c>
      <c r="C1437" s="1">
        <v>0</v>
      </c>
      <c r="D1437" s="1">
        <v>15</v>
      </c>
      <c r="E1437" s="1" t="s">
        <v>1024</v>
      </c>
      <c r="F1437" s="1" t="s">
        <v>3651</v>
      </c>
      <c r="G1437" s="3" t="s">
        <v>2171</v>
      </c>
      <c r="H1437" s="11">
        <f>ROUND(
IF(L1437="GANCHO",
   IF(I1437&lt;=50,I1437*1.1+4,IF(I1437&lt;=120,I1437*1.1+7,IF(I1437&lt;=250,I1437*1.1+11,I1437*1.1+19))),
IF(L1437="NORMAL",
   IF(I1437&lt;=30,I1437*1.15+2,IF(I1437&lt;=80,I1437*1.15+4,IF(I1437&lt;=150,I1437*1.15+6,I1437*1.15+8))),
IF(L1437="COMPLEMENTO",
   IF(I1437&lt;=25,I1437*1.25+1.5,IF(I1437&lt;=60,I1437*1.25+3,IF(I1437&lt;=120,I1437*1.25+4,I1437*1.25+5))),
""))),2)</f>
        <v>81.88</v>
      </c>
      <c r="I1437" s="9">
        <f>($K$2+0.02)*Tabla1[[#This Row],[PRECIO $]]*1.18</f>
        <v>62.303999999999995</v>
      </c>
      <c r="J1437" s="7">
        <f>+Tabla1[[#This Row],[PRECIO EN SOLES]]-Tabla1[[#This Row],[PC]]</f>
        <v>19.576000000000001</v>
      </c>
      <c r="K1437" s="15"/>
      <c r="L1437" s="15" t="str">
        <f t="shared" si="22"/>
        <v>COMPLEMENTO</v>
      </c>
    </row>
    <row r="1438" spans="1:12" x14ac:dyDescent="0.25">
      <c r="A1438" s="3" t="s">
        <v>2172</v>
      </c>
      <c r="B1438" s="3" t="s">
        <v>2173</v>
      </c>
      <c r="C1438" s="1">
        <v>1</v>
      </c>
      <c r="D1438" s="1">
        <v>115.27</v>
      </c>
      <c r="E1438" s="1" t="s">
        <v>1088</v>
      </c>
      <c r="F1438" s="1" t="s">
        <v>3652</v>
      </c>
      <c r="G1438" s="3" t="s">
        <v>6688</v>
      </c>
      <c r="H1438" s="11">
        <f>ROUND(
IF(L1438="GANCHO",
   IF(I1438&lt;=50,I1438*1.1+4,IF(I1438&lt;=120,I1438*1.1+7,IF(I1438&lt;=250,I1438*1.1+11,I1438*1.1+19))),
IF(L1438="NORMAL",
   IF(I1438&lt;=30,I1438*1.15+2,IF(I1438&lt;=80,I1438*1.15+4,IF(I1438&lt;=150,I1438*1.15+6,I1438*1.15+8))),
IF(L1438="COMPLEMENTO",
   IF(I1438&lt;=25,I1438*1.25+1.5,IF(I1438&lt;=60,I1438*1.25+3,IF(I1438&lt;=120,I1438*1.25+4,I1438*1.25+5))),
""))),2)</f>
        <v>558.6</v>
      </c>
      <c r="I1438" s="9">
        <f>($K$2+0.02)*Tabla1[[#This Row],[PRECIO $]]*1.18</f>
        <v>478.78547199999997</v>
      </c>
      <c r="J1438" s="7">
        <f>+Tabla1[[#This Row],[PRECIO EN SOLES]]-Tabla1[[#This Row],[PC]]</f>
        <v>79.814528000000053</v>
      </c>
      <c r="K1438" s="15"/>
      <c r="L1438" s="15" t="str">
        <f t="shared" si="22"/>
        <v>NORMAL</v>
      </c>
    </row>
    <row r="1439" spans="1:12" x14ac:dyDescent="0.25">
      <c r="A1439" s="3" t="s">
        <v>2174</v>
      </c>
      <c r="B1439" s="3" t="s">
        <v>2175</v>
      </c>
      <c r="C1439" s="1">
        <v>18</v>
      </c>
      <c r="D1439" s="1">
        <v>30.85</v>
      </c>
      <c r="E1439" s="1" t="s">
        <v>1088</v>
      </c>
      <c r="F1439" s="1" t="s">
        <v>3653</v>
      </c>
      <c r="G1439" s="3" t="s">
        <v>2176</v>
      </c>
      <c r="H1439" s="11">
        <f>ROUND(
IF(L1439="GANCHO",
   IF(I1439&lt;=50,I1439*1.1+4,IF(I1439&lt;=120,I1439*1.1+7,IF(I1439&lt;=250,I1439*1.1+11,I1439*1.1+19))),
IF(L1439="NORMAL",
   IF(I1439&lt;=30,I1439*1.15+2,IF(I1439&lt;=80,I1439*1.15+4,IF(I1439&lt;=150,I1439*1.15+6,I1439*1.15+8))),
IF(L1439="COMPLEMENTO",
   IF(I1439&lt;=25,I1439*1.25+1.5,IF(I1439&lt;=60,I1439*1.25+3,IF(I1439&lt;=120,I1439*1.25+4,I1439*1.25+5))),
""))),2)</f>
        <v>165.17</v>
      </c>
      <c r="I1439" s="9">
        <f>($K$2+0.02)*Tabla1[[#This Row],[PRECIO $]]*1.18</f>
        <v>128.13855999999998</v>
      </c>
      <c r="J1439" s="7">
        <f>+Tabla1[[#This Row],[PRECIO EN SOLES]]-Tabla1[[#This Row],[PC]]</f>
        <v>37.031440000000003</v>
      </c>
      <c r="K1439" s="15"/>
      <c r="L1439" s="15" t="str">
        <f t="shared" si="22"/>
        <v>COMPLEMENTO</v>
      </c>
    </row>
    <row r="1440" spans="1:12" x14ac:dyDescent="0.25">
      <c r="A1440" s="3" t="s">
        <v>5959</v>
      </c>
      <c r="B1440" s="3" t="s">
        <v>5960</v>
      </c>
      <c r="C1440" s="1">
        <v>3</v>
      </c>
      <c r="D1440" s="1">
        <v>184.78</v>
      </c>
      <c r="E1440" s="1" t="s">
        <v>1088</v>
      </c>
      <c r="F1440" s="1" t="s">
        <v>5961</v>
      </c>
      <c r="G1440" s="3" t="s">
        <v>5962</v>
      </c>
      <c r="H1440" s="11">
        <f>ROUND(
IF(L1440="GANCHO",
   IF(I1440&lt;=50,I1440*1.1+4,IF(I1440&lt;=120,I1440*1.1+7,IF(I1440&lt;=250,I1440*1.1+11,I1440*1.1+19))),
IF(L1440="NORMAL",
   IF(I1440&lt;=30,I1440*1.15+2,IF(I1440&lt;=80,I1440*1.15+4,IF(I1440&lt;=150,I1440*1.15+6,I1440*1.15+8))),
IF(L1440="COMPLEMENTO",
   IF(I1440&lt;=25,I1440*1.25+1.5,IF(I1440&lt;=60,I1440*1.25+3,IF(I1440&lt;=120,I1440*1.25+4,I1440*1.25+5))),
""))),2)</f>
        <v>890.63</v>
      </c>
      <c r="I1440" s="9">
        <f>($K$2+0.02)*Tabla1[[#This Row],[PRECIO $]]*1.18</f>
        <v>767.502208</v>
      </c>
      <c r="J1440" s="7">
        <f>+Tabla1[[#This Row],[PRECIO EN SOLES]]-Tabla1[[#This Row],[PC]]</f>
        <v>123.127792</v>
      </c>
      <c r="K1440" s="15"/>
      <c r="L1440" s="15" t="str">
        <f t="shared" si="22"/>
        <v>NORMAL</v>
      </c>
    </row>
    <row r="1441" spans="1:12" x14ac:dyDescent="0.25">
      <c r="A1441" s="3" t="s">
        <v>2177</v>
      </c>
      <c r="B1441" s="3" t="s">
        <v>2178</v>
      </c>
      <c r="C1441" s="1">
        <v>0</v>
      </c>
      <c r="D1441" s="1">
        <v>72</v>
      </c>
      <c r="E1441" s="1" t="s">
        <v>1024</v>
      </c>
      <c r="F1441" s="1" t="s">
        <v>3654</v>
      </c>
      <c r="G1441" s="3" t="s">
        <v>2179</v>
      </c>
      <c r="H1441" s="11">
        <f>ROUND(
IF(L1441="GANCHO",
   IF(I1441&lt;=50,I1441*1.1+4,IF(I1441&lt;=120,I1441*1.1+7,IF(I1441&lt;=250,I1441*1.1+11,I1441*1.1+19))),
IF(L1441="NORMAL",
   IF(I1441&lt;=30,I1441*1.15+2,IF(I1441&lt;=80,I1441*1.15+4,IF(I1441&lt;=150,I1441*1.15+6,I1441*1.15+8))),
IF(L1441="COMPLEMENTO",
   IF(I1441&lt;=25,I1441*1.25+1.5,IF(I1441&lt;=60,I1441*1.25+3,IF(I1441&lt;=120,I1441*1.25+4,I1441*1.25+5))),
""))),2)</f>
        <v>351.92</v>
      </c>
      <c r="I1441" s="9">
        <f>($K$2+0.02)*Tabla1[[#This Row],[PRECIO $]]*1.18</f>
        <v>299.05919999999998</v>
      </c>
      <c r="J1441" s="7">
        <f>+Tabla1[[#This Row],[PRECIO EN SOLES]]-Tabla1[[#This Row],[PC]]</f>
        <v>52.86080000000004</v>
      </c>
      <c r="K1441" s="15"/>
      <c r="L1441" s="15" t="str">
        <f t="shared" si="22"/>
        <v>NORMAL</v>
      </c>
    </row>
    <row r="1442" spans="1:12" x14ac:dyDescent="0.25">
      <c r="A1442" s="3" t="s">
        <v>2180</v>
      </c>
      <c r="B1442" s="3" t="s">
        <v>2181</v>
      </c>
      <c r="C1442" s="1">
        <v>7</v>
      </c>
      <c r="D1442" s="1">
        <v>510</v>
      </c>
      <c r="E1442" s="1" t="s">
        <v>1024</v>
      </c>
      <c r="F1442" s="1" t="s">
        <v>3655</v>
      </c>
      <c r="G1442" s="3" t="s">
        <v>2182</v>
      </c>
      <c r="H1442" s="11">
        <f>ROUND(
IF(L1442="GANCHO",
   IF(I1442&lt;=50,I1442*1.1+4,IF(I1442&lt;=120,I1442*1.1+7,IF(I1442&lt;=250,I1442*1.1+11,I1442*1.1+19))),
IF(L1442="NORMAL",
   IF(I1442&lt;=30,I1442*1.15+2,IF(I1442&lt;=80,I1442*1.15+4,IF(I1442&lt;=150,I1442*1.15+6,I1442*1.15+8))),
IF(L1442="COMPLEMENTO",
   IF(I1442&lt;=25,I1442*1.25+1.5,IF(I1442&lt;=60,I1442*1.25+3,IF(I1442&lt;=120,I1442*1.25+4,I1442*1.25+5))),
""))),2)</f>
        <v>2444.09</v>
      </c>
      <c r="I1442" s="9">
        <f>($K$2+0.02)*Tabla1[[#This Row],[PRECIO $]]*1.18</f>
        <v>2118.3359999999998</v>
      </c>
      <c r="J1442" s="7">
        <f>+Tabla1[[#This Row],[PRECIO EN SOLES]]-Tabla1[[#This Row],[PC]]</f>
        <v>325.75400000000036</v>
      </c>
      <c r="K1442" s="15"/>
      <c r="L1442" s="15" t="str">
        <f t="shared" si="22"/>
        <v>NORMAL</v>
      </c>
    </row>
    <row r="1443" spans="1:12" x14ac:dyDescent="0.25">
      <c r="A1443" s="3" t="s">
        <v>2183</v>
      </c>
      <c r="B1443" s="3" t="s">
        <v>2184</v>
      </c>
      <c r="C1443" s="1">
        <v>0</v>
      </c>
      <c r="D1443" s="1">
        <v>41</v>
      </c>
      <c r="E1443" s="1" t="s">
        <v>1088</v>
      </c>
      <c r="F1443" s="1" t="s">
        <v>3656</v>
      </c>
      <c r="G1443" s="3"/>
      <c r="H1443" s="11">
        <f>ROUND(
IF(L1443="GANCHO",
   IF(I1443&lt;=50,I1443*1.1+4,IF(I1443&lt;=120,I1443*1.1+7,IF(I1443&lt;=250,I1443*1.1+11,I1443*1.1+19))),
IF(L1443="NORMAL",
   IF(I1443&lt;=30,I1443*1.15+2,IF(I1443&lt;=80,I1443*1.15+4,IF(I1443&lt;=150,I1443*1.15+6,I1443*1.15+8))),
IF(L1443="COMPLEMENTO",
   IF(I1443&lt;=25,I1443*1.25+1.5,IF(I1443&lt;=60,I1443*1.25+3,IF(I1443&lt;=120,I1443*1.25+4,I1443*1.25+5))),
""))),2)</f>
        <v>203.84</v>
      </c>
      <c r="I1443" s="9">
        <f>($K$2+0.02)*Tabla1[[#This Row],[PRECIO $]]*1.18</f>
        <v>170.29759999999999</v>
      </c>
      <c r="J1443" s="7">
        <f>+Tabla1[[#This Row],[PRECIO EN SOLES]]-Tabla1[[#This Row],[PC]]</f>
        <v>33.542400000000015</v>
      </c>
      <c r="K1443" s="15"/>
      <c r="L1443" s="15" t="str">
        <f t="shared" si="22"/>
        <v>NORMAL</v>
      </c>
    </row>
    <row r="1444" spans="1:12" x14ac:dyDescent="0.25">
      <c r="A1444" s="3" t="s">
        <v>2185</v>
      </c>
      <c r="B1444" s="3" t="s">
        <v>2186</v>
      </c>
      <c r="C1444" s="1">
        <v>1</v>
      </c>
      <c r="D1444" s="1">
        <v>163</v>
      </c>
      <c r="E1444" s="1" t="s">
        <v>1024</v>
      </c>
      <c r="F1444" s="1" t="s">
        <v>3657</v>
      </c>
      <c r="G1444" s="3"/>
      <c r="H1444" s="11">
        <f>ROUND(
IF(L1444="GANCHO",
   IF(I1444&lt;=50,I1444*1.1+4,IF(I1444&lt;=120,I1444*1.1+7,IF(I1444&lt;=250,I1444*1.1+11,I1444*1.1+19))),
IF(L1444="NORMAL",
   IF(I1444&lt;=30,I1444*1.15+2,IF(I1444&lt;=80,I1444*1.15+4,IF(I1444&lt;=150,I1444*1.15+6,I1444*1.15+8))),
IF(L1444="COMPLEMENTO",
   IF(I1444&lt;=25,I1444*1.25+1.5,IF(I1444&lt;=60,I1444*1.25+3,IF(I1444&lt;=120,I1444*1.25+4,I1444*1.25+5))),
""))),2)</f>
        <v>786.59</v>
      </c>
      <c r="I1444" s="9">
        <f>($K$2+0.02)*Tabla1[[#This Row],[PRECIO $]]*1.18</f>
        <v>677.03679999999997</v>
      </c>
      <c r="J1444" s="7">
        <f>+Tabla1[[#This Row],[PRECIO EN SOLES]]-Tabla1[[#This Row],[PC]]</f>
        <v>109.55320000000006</v>
      </c>
      <c r="K1444" s="15"/>
      <c r="L1444" s="15" t="str">
        <f t="shared" si="22"/>
        <v>NORMAL</v>
      </c>
    </row>
    <row r="1445" spans="1:12" x14ac:dyDescent="0.25">
      <c r="A1445" s="3" t="s">
        <v>2187</v>
      </c>
      <c r="B1445" s="3" t="s">
        <v>2186</v>
      </c>
      <c r="C1445" s="1">
        <v>20</v>
      </c>
      <c r="D1445" s="1">
        <v>230</v>
      </c>
      <c r="E1445" s="1" t="s">
        <v>1024</v>
      </c>
      <c r="F1445" s="1" t="s">
        <v>3658</v>
      </c>
      <c r="G1445" s="3" t="s">
        <v>2188</v>
      </c>
      <c r="H1445" s="11">
        <f>ROUND(
IF(L1445="GANCHO",
   IF(I1445&lt;=50,I1445*1.1+4,IF(I1445&lt;=120,I1445*1.1+7,IF(I1445&lt;=250,I1445*1.1+11,I1445*1.1+19))),
IF(L1445="NORMAL",
   IF(I1445&lt;=30,I1445*1.15+2,IF(I1445&lt;=80,I1445*1.15+4,IF(I1445&lt;=150,I1445*1.15+6,I1445*1.15+8))),
IF(L1445="COMPLEMENTO",
   IF(I1445&lt;=25,I1445*1.25+1.5,IF(I1445&lt;=60,I1445*1.25+3,IF(I1445&lt;=120,I1445*1.25+4,I1445*1.25+5))),
""))),2)</f>
        <v>1106.6300000000001</v>
      </c>
      <c r="I1445" s="9">
        <f>($K$2+0.02)*Tabla1[[#This Row],[PRECIO $]]*1.18</f>
        <v>955.32799999999997</v>
      </c>
      <c r="J1445" s="7">
        <f>+Tabla1[[#This Row],[PRECIO EN SOLES]]-Tabla1[[#This Row],[PC]]</f>
        <v>151.30200000000013</v>
      </c>
      <c r="K1445" s="15"/>
      <c r="L1445" s="15" t="str">
        <f t="shared" si="22"/>
        <v>NORMAL</v>
      </c>
    </row>
    <row r="1446" spans="1:12" x14ac:dyDescent="0.25">
      <c r="A1446" s="3" t="s">
        <v>2189</v>
      </c>
      <c r="B1446" s="3" t="s">
        <v>2190</v>
      </c>
      <c r="C1446" s="1">
        <v>3</v>
      </c>
      <c r="D1446" s="1">
        <v>369</v>
      </c>
      <c r="E1446" s="1" t="s">
        <v>1024</v>
      </c>
      <c r="F1446" s="1" t="s">
        <v>3659</v>
      </c>
      <c r="G1446" s="3" t="s">
        <v>2191</v>
      </c>
      <c r="H1446" s="11">
        <f>ROUND(
IF(L1446="GANCHO",
   IF(I1446&lt;=50,I1446*1.1+4,IF(I1446&lt;=120,I1446*1.1+7,IF(I1446&lt;=250,I1446*1.1+11,I1446*1.1+19))),
IF(L1446="NORMAL",
   IF(I1446&lt;=30,I1446*1.15+2,IF(I1446&lt;=80,I1446*1.15+4,IF(I1446&lt;=150,I1446*1.15+6,I1446*1.15+8))),
IF(L1446="COMPLEMENTO",
   IF(I1446&lt;=25,I1446*1.25+1.5,IF(I1446&lt;=60,I1446*1.25+3,IF(I1446&lt;=120,I1446*1.25+4,I1446*1.25+5))),
""))),2)</f>
        <v>1770.58</v>
      </c>
      <c r="I1446" s="9">
        <f>($K$2+0.02)*Tabla1[[#This Row],[PRECIO $]]*1.18</f>
        <v>1532.6784</v>
      </c>
      <c r="J1446" s="7">
        <f>+Tabla1[[#This Row],[PRECIO EN SOLES]]-Tabla1[[#This Row],[PC]]</f>
        <v>237.90159999999992</v>
      </c>
      <c r="K1446" s="15"/>
      <c r="L1446" s="15" t="str">
        <f t="shared" si="22"/>
        <v>NORMAL</v>
      </c>
    </row>
    <row r="1447" spans="1:12" x14ac:dyDescent="0.25">
      <c r="A1447" s="3" t="s">
        <v>2192</v>
      </c>
      <c r="B1447" s="3" t="s">
        <v>2190</v>
      </c>
      <c r="C1447" s="1">
        <v>20</v>
      </c>
      <c r="D1447" s="1">
        <v>311.06</v>
      </c>
      <c r="E1447" s="1" t="s">
        <v>1024</v>
      </c>
      <c r="F1447" s="1" t="s">
        <v>3660</v>
      </c>
      <c r="G1447" s="3"/>
      <c r="H1447" s="11">
        <f>ROUND(
IF(L1447="GANCHO",
   IF(I1447&lt;=50,I1447*1.1+4,IF(I1447&lt;=120,I1447*1.1+7,IF(I1447&lt;=250,I1447*1.1+11,I1447*1.1+19))),
IF(L1447="NORMAL",
   IF(I1447&lt;=30,I1447*1.15+2,IF(I1447&lt;=80,I1447*1.15+4,IF(I1447&lt;=150,I1447*1.15+6,I1447*1.15+8))),
IF(L1447="COMPLEMENTO",
   IF(I1447&lt;=25,I1447*1.25+1.5,IF(I1447&lt;=60,I1447*1.25+3,IF(I1447&lt;=120,I1447*1.25+4,I1447*1.25+5))),
""))),2)</f>
        <v>1493.82</v>
      </c>
      <c r="I1447" s="9">
        <f>($K$2+0.02)*Tabla1[[#This Row],[PRECIO $]]*1.18</f>
        <v>1292.018816</v>
      </c>
      <c r="J1447" s="7">
        <f>+Tabla1[[#This Row],[PRECIO EN SOLES]]-Tabla1[[#This Row],[PC]]</f>
        <v>201.80118399999992</v>
      </c>
      <c r="K1447" s="15"/>
      <c r="L1447" s="15" t="str">
        <f t="shared" si="22"/>
        <v>NORMAL</v>
      </c>
    </row>
    <row r="1448" spans="1:12" x14ac:dyDescent="0.25">
      <c r="A1448" s="3" t="s">
        <v>2196</v>
      </c>
      <c r="B1448" s="3" t="s">
        <v>2197</v>
      </c>
      <c r="C1448" s="1">
        <v>2</v>
      </c>
      <c r="D1448" s="1">
        <v>450</v>
      </c>
      <c r="E1448" s="1" t="s">
        <v>1024</v>
      </c>
      <c r="F1448" s="1" t="s">
        <v>3662</v>
      </c>
      <c r="G1448" s="3" t="s">
        <v>2198</v>
      </c>
      <c r="H1448" s="11">
        <f>ROUND(
IF(L1448="GANCHO",
   IF(I1448&lt;=50,I1448*1.1+4,IF(I1448&lt;=120,I1448*1.1+7,IF(I1448&lt;=250,I1448*1.1+11,I1448*1.1+19))),
IF(L1448="NORMAL",
   IF(I1448&lt;=30,I1448*1.15+2,IF(I1448&lt;=80,I1448*1.15+4,IF(I1448&lt;=150,I1448*1.15+6,I1448*1.15+8))),
IF(L1448="COMPLEMENTO",
   IF(I1448&lt;=25,I1448*1.25+1.5,IF(I1448&lt;=60,I1448*1.25+3,IF(I1448&lt;=120,I1448*1.25+4,I1448*1.25+5))),
""))),2)</f>
        <v>2157.4899999999998</v>
      </c>
      <c r="I1448" s="9">
        <f>($K$2+0.02)*Tabla1[[#This Row],[PRECIO $]]*1.18</f>
        <v>1869.12</v>
      </c>
      <c r="J1448" s="7">
        <f>+Tabla1[[#This Row],[PRECIO EN SOLES]]-Tabla1[[#This Row],[PC]]</f>
        <v>288.36999999999989</v>
      </c>
      <c r="K1448" s="15"/>
      <c r="L1448" s="15" t="str">
        <f t="shared" si="22"/>
        <v>NORMAL</v>
      </c>
    </row>
    <row r="1449" spans="1:12" x14ac:dyDescent="0.25">
      <c r="A1449" s="3" t="s">
        <v>2199</v>
      </c>
      <c r="B1449" s="3" t="s">
        <v>2200</v>
      </c>
      <c r="C1449" s="1">
        <v>7</v>
      </c>
      <c r="D1449" s="1">
        <v>350</v>
      </c>
      <c r="E1449" s="1" t="s">
        <v>1024</v>
      </c>
      <c r="F1449" s="1" t="s">
        <v>3663</v>
      </c>
      <c r="G1449" s="3"/>
      <c r="H1449" s="11">
        <f>ROUND(
IF(L1449="GANCHO",
   IF(I1449&lt;=50,I1449*1.1+4,IF(I1449&lt;=120,I1449*1.1+7,IF(I1449&lt;=250,I1449*1.1+11,I1449*1.1+19))),
IF(L1449="NORMAL",
   IF(I1449&lt;=30,I1449*1.15+2,IF(I1449&lt;=80,I1449*1.15+4,IF(I1449&lt;=150,I1449*1.15+6,I1449*1.15+8))),
IF(L1449="COMPLEMENTO",
   IF(I1449&lt;=25,I1449*1.25+1.5,IF(I1449&lt;=60,I1449*1.25+3,IF(I1449&lt;=120,I1449*1.25+4,I1449*1.25+5))),
""))),2)</f>
        <v>1679.82</v>
      </c>
      <c r="I1449" s="9">
        <f>($K$2+0.02)*Tabla1[[#This Row],[PRECIO $]]*1.18</f>
        <v>1453.76</v>
      </c>
      <c r="J1449" s="7">
        <f>+Tabla1[[#This Row],[PRECIO EN SOLES]]-Tabla1[[#This Row],[PC]]</f>
        <v>226.05999999999995</v>
      </c>
      <c r="K1449" s="15"/>
      <c r="L1449" s="15" t="str">
        <f t="shared" si="22"/>
        <v>NORMAL</v>
      </c>
    </row>
    <row r="1450" spans="1:12" x14ac:dyDescent="0.25">
      <c r="A1450" s="3" t="s">
        <v>2201</v>
      </c>
      <c r="B1450" s="3" t="s">
        <v>2202</v>
      </c>
      <c r="C1450" s="1">
        <v>1</v>
      </c>
      <c r="D1450" s="1">
        <v>168.42</v>
      </c>
      <c r="E1450" s="1" t="s">
        <v>1024</v>
      </c>
      <c r="F1450" s="1" t="s">
        <v>3664</v>
      </c>
      <c r="G1450" s="3"/>
      <c r="H1450" s="11">
        <f>ROUND(
IF(L1450="GANCHO",
   IF(I1450&lt;=50,I1450*1.1+4,IF(I1450&lt;=120,I1450*1.1+7,IF(I1450&lt;=250,I1450*1.1+11,I1450*1.1+19))),
IF(L1450="NORMAL",
   IF(I1450&lt;=30,I1450*1.15+2,IF(I1450&lt;=80,I1450*1.15+4,IF(I1450&lt;=150,I1450*1.15+6,I1450*1.15+8))),
IF(L1450="COMPLEMENTO",
   IF(I1450&lt;=25,I1450*1.25+1.5,IF(I1450&lt;=60,I1450*1.25+3,IF(I1450&lt;=120,I1450*1.25+4,I1450*1.25+5))),
""))),2)</f>
        <v>812.48</v>
      </c>
      <c r="I1450" s="9">
        <f>($K$2+0.02)*Tabla1[[#This Row],[PRECIO $]]*1.18</f>
        <v>699.54931199999999</v>
      </c>
      <c r="J1450" s="7">
        <f>+Tabla1[[#This Row],[PRECIO EN SOLES]]-Tabla1[[#This Row],[PC]]</f>
        <v>112.93068800000003</v>
      </c>
      <c r="K1450" s="15"/>
      <c r="L1450" s="15" t="str">
        <f t="shared" si="22"/>
        <v>NORMAL</v>
      </c>
    </row>
    <row r="1451" spans="1:12" x14ac:dyDescent="0.25">
      <c r="A1451" s="3" t="s">
        <v>2203</v>
      </c>
      <c r="B1451" s="3" t="s">
        <v>2204</v>
      </c>
      <c r="C1451" s="1">
        <v>1</v>
      </c>
      <c r="D1451" s="1">
        <v>678</v>
      </c>
      <c r="E1451" s="1" t="s">
        <v>1024</v>
      </c>
      <c r="F1451" s="1" t="s">
        <v>3665</v>
      </c>
      <c r="G1451" s="3" t="s">
        <v>2205</v>
      </c>
      <c r="H1451" s="11">
        <f>ROUND(
IF(L1451="GANCHO",
   IF(I1451&lt;=50,I1451*1.1+4,IF(I1451&lt;=120,I1451*1.1+7,IF(I1451&lt;=250,I1451*1.1+11,I1451*1.1+19))),
IF(L1451="NORMAL",
   IF(I1451&lt;=30,I1451*1.15+2,IF(I1451&lt;=80,I1451*1.15+4,IF(I1451&lt;=150,I1451*1.15+6,I1451*1.15+8))),
IF(L1451="COMPLEMENTO",
   IF(I1451&lt;=25,I1451*1.25+1.5,IF(I1451&lt;=60,I1451*1.25+3,IF(I1451&lt;=120,I1451*1.25+4,I1451*1.25+5))),
""))),2)</f>
        <v>3246.56</v>
      </c>
      <c r="I1451" s="9">
        <f>($K$2+0.02)*Tabla1[[#This Row],[PRECIO $]]*1.18</f>
        <v>2816.1407999999997</v>
      </c>
      <c r="J1451" s="7">
        <f>+Tabla1[[#This Row],[PRECIO EN SOLES]]-Tabla1[[#This Row],[PC]]</f>
        <v>430.41920000000027</v>
      </c>
      <c r="K1451" s="15"/>
      <c r="L1451" s="15" t="str">
        <f t="shared" si="22"/>
        <v>NORMAL</v>
      </c>
    </row>
    <row r="1452" spans="1:12" x14ac:dyDescent="0.25">
      <c r="A1452" s="3" t="s">
        <v>5963</v>
      </c>
      <c r="B1452" s="3" t="s">
        <v>5964</v>
      </c>
      <c r="C1452" s="1">
        <v>1</v>
      </c>
      <c r="D1452" s="1">
        <v>326</v>
      </c>
      <c r="E1452" s="1" t="s">
        <v>1088</v>
      </c>
      <c r="F1452" s="1" t="s">
        <v>5965</v>
      </c>
      <c r="G1452" s="3" t="s">
        <v>5966</v>
      </c>
      <c r="H1452" s="11">
        <f>ROUND(
IF(L1452="GANCHO",
   IF(I1452&lt;=50,I1452*1.1+4,IF(I1452&lt;=120,I1452*1.1+7,IF(I1452&lt;=250,I1452*1.1+11,I1452*1.1+19))),
IF(L1452="NORMAL",
   IF(I1452&lt;=30,I1452*1.15+2,IF(I1452&lt;=80,I1452*1.15+4,IF(I1452&lt;=150,I1452*1.15+6,I1452*1.15+8))),
IF(L1452="COMPLEMENTO",
   IF(I1452&lt;=25,I1452*1.25+1.5,IF(I1452&lt;=60,I1452*1.25+3,IF(I1452&lt;=120,I1452*1.25+4,I1452*1.25+5))),
""))),2)</f>
        <v>1565.18</v>
      </c>
      <c r="I1452" s="9">
        <f>($K$2+0.02)*Tabla1[[#This Row],[PRECIO $]]*1.18</f>
        <v>1354.0735999999999</v>
      </c>
      <c r="J1452" s="7">
        <f>+Tabla1[[#This Row],[PRECIO EN SOLES]]-Tabla1[[#This Row],[PC]]</f>
        <v>211.10640000000012</v>
      </c>
      <c r="K1452" s="15"/>
      <c r="L1452" s="15" t="str">
        <f t="shared" si="22"/>
        <v>NORMAL</v>
      </c>
    </row>
    <row r="1453" spans="1:12" x14ac:dyDescent="0.25">
      <c r="A1453" s="3" t="s">
        <v>2206</v>
      </c>
      <c r="B1453" s="3" t="s">
        <v>2207</v>
      </c>
      <c r="C1453" s="1">
        <v>10</v>
      </c>
      <c r="D1453" s="1">
        <v>190.15</v>
      </c>
      <c r="E1453" s="1" t="s">
        <v>1088</v>
      </c>
      <c r="F1453" s="1" t="s">
        <v>3666</v>
      </c>
      <c r="G1453" s="3" t="s">
        <v>2208</v>
      </c>
      <c r="H1453" s="11">
        <f>ROUND(
IF(L1453="GANCHO",
   IF(I1453&lt;=50,I1453*1.1+4,IF(I1453&lt;=120,I1453*1.1+7,IF(I1453&lt;=250,I1453*1.1+11,I1453*1.1+19))),
IF(L1453="NORMAL",
   IF(I1453&lt;=30,I1453*1.15+2,IF(I1453&lt;=80,I1453*1.15+4,IF(I1453&lt;=150,I1453*1.15+6,I1453*1.15+8))),
IF(L1453="COMPLEMENTO",
   IF(I1453&lt;=25,I1453*1.25+1.5,IF(I1453&lt;=60,I1453*1.25+3,IF(I1453&lt;=120,I1453*1.25+4,I1453*1.25+5))),
""))),2)</f>
        <v>916.28</v>
      </c>
      <c r="I1453" s="9">
        <f>($K$2+0.02)*Tabla1[[#This Row],[PRECIO $]]*1.18</f>
        <v>789.80703999999992</v>
      </c>
      <c r="J1453" s="7">
        <f>+Tabla1[[#This Row],[PRECIO EN SOLES]]-Tabla1[[#This Row],[PC]]</f>
        <v>126.47296000000006</v>
      </c>
      <c r="K1453" s="15"/>
      <c r="L1453" s="15" t="str">
        <f t="shared" si="22"/>
        <v>NORMAL</v>
      </c>
    </row>
    <row r="1454" spans="1:12" x14ac:dyDescent="0.25">
      <c r="A1454" s="3" t="s">
        <v>715</v>
      </c>
      <c r="B1454" s="3" t="s">
        <v>633</v>
      </c>
      <c r="C1454" s="1">
        <v>9</v>
      </c>
      <c r="D1454" s="1">
        <v>106</v>
      </c>
      <c r="E1454" s="1" t="s">
        <v>52</v>
      </c>
      <c r="F1454" s="1" t="s">
        <v>3667</v>
      </c>
      <c r="G1454" s="3" t="s">
        <v>716</v>
      </c>
      <c r="H1454" s="11">
        <f>ROUND(
IF(L1454="GANCHO",
   IF(I1454&lt;=50,I1454*1.1+4,IF(I1454&lt;=120,I1454*1.1+7,IF(I1454&lt;=250,I1454*1.1+11,I1454*1.1+19))),
IF(L1454="NORMAL",
   IF(I1454&lt;=30,I1454*1.15+2,IF(I1454&lt;=80,I1454*1.15+4,IF(I1454&lt;=150,I1454*1.15+6,I1454*1.15+8))),
IF(L1454="COMPLEMENTO",
   IF(I1454&lt;=25,I1454*1.25+1.5,IF(I1454&lt;=60,I1454*1.25+3,IF(I1454&lt;=120,I1454*1.25+4,I1454*1.25+5))),
""))),2)</f>
        <v>514.32000000000005</v>
      </c>
      <c r="I1454" s="9">
        <f>($K$2+0.02)*Tabla1[[#This Row],[PRECIO $]]*1.18</f>
        <v>440.28159999999997</v>
      </c>
      <c r="J1454" s="7">
        <f>+Tabla1[[#This Row],[PRECIO EN SOLES]]-Tabla1[[#This Row],[PC]]</f>
        <v>74.038400000000081</v>
      </c>
      <c r="K1454" s="15"/>
      <c r="L1454" s="15" t="str">
        <f t="shared" si="22"/>
        <v>NORMAL</v>
      </c>
    </row>
    <row r="1455" spans="1:12" x14ac:dyDescent="0.25">
      <c r="A1455" s="3" t="s">
        <v>418</v>
      </c>
      <c r="B1455" s="3" t="s">
        <v>419</v>
      </c>
      <c r="C1455" s="1">
        <v>20</v>
      </c>
      <c r="D1455" s="1">
        <v>12.9</v>
      </c>
      <c r="E1455" s="1" t="s">
        <v>52</v>
      </c>
      <c r="F1455" s="1" t="s">
        <v>3669</v>
      </c>
      <c r="G1455" s="3" t="s">
        <v>420</v>
      </c>
      <c r="H1455" s="11">
        <f>ROUND(
IF(L1455="GANCHO",
   IF(I1455&lt;=50,I1455*1.1+4,IF(I1455&lt;=120,I1455*1.1+7,IF(I1455&lt;=250,I1455*1.1+11,I1455*1.1+19))),
IF(L1455="NORMAL",
   IF(I1455&lt;=30,I1455*1.15+2,IF(I1455&lt;=80,I1455*1.15+4,IF(I1455&lt;=150,I1455*1.15+6,I1455*1.15+8))),
IF(L1455="COMPLEMENTO",
   IF(I1455&lt;=25,I1455*1.25+1.5,IF(I1455&lt;=60,I1455*1.25+3,IF(I1455&lt;=120,I1455*1.25+4,I1455*1.25+5))),
""))),2)</f>
        <v>65.62</v>
      </c>
      <c r="I1455" s="9">
        <f>($K$2+0.02)*Tabla1[[#This Row],[PRECIO $]]*1.18</f>
        <v>53.581440000000001</v>
      </c>
      <c r="J1455" s="7">
        <f>+Tabla1[[#This Row],[PRECIO EN SOLES]]-Tabla1[[#This Row],[PC]]</f>
        <v>12.038560000000004</v>
      </c>
      <c r="K1455" s="15"/>
      <c r="L1455" s="15" t="str">
        <f t="shared" si="22"/>
        <v>NORMAL</v>
      </c>
    </row>
    <row r="1456" spans="1:12" x14ac:dyDescent="0.25">
      <c r="A1456" s="3" t="s">
        <v>421</v>
      </c>
      <c r="B1456" s="3" t="s">
        <v>422</v>
      </c>
      <c r="C1456" s="1">
        <v>20</v>
      </c>
      <c r="D1456" s="1">
        <v>19.399999999999999</v>
      </c>
      <c r="E1456" s="1" t="s">
        <v>52</v>
      </c>
      <c r="F1456" s="1" t="s">
        <v>3670</v>
      </c>
      <c r="G1456" s="3" t="s">
        <v>423</v>
      </c>
      <c r="H1456" s="11">
        <f>ROUND(
IF(L1456="GANCHO",
   IF(I1456&lt;=50,I1456*1.1+4,IF(I1456&lt;=120,I1456*1.1+7,IF(I1456&lt;=250,I1456*1.1+11,I1456*1.1+19))),
IF(L1456="NORMAL",
   IF(I1456&lt;=30,I1456*1.15+2,IF(I1456&lt;=80,I1456*1.15+4,IF(I1456&lt;=150,I1456*1.15+6,I1456*1.15+8))),
IF(L1456="COMPLEMENTO",
   IF(I1456&lt;=25,I1456*1.25+1.5,IF(I1456&lt;=60,I1456*1.25+3,IF(I1456&lt;=120,I1456*1.25+4,I1456*1.25+5))),
""))),2)</f>
        <v>98.67</v>
      </c>
      <c r="I1456" s="9">
        <f>($K$2+0.02)*Tabla1[[#This Row],[PRECIO $]]*1.18</f>
        <v>80.57983999999999</v>
      </c>
      <c r="J1456" s="7">
        <f>+Tabla1[[#This Row],[PRECIO EN SOLES]]-Tabla1[[#This Row],[PC]]</f>
        <v>18.090160000000012</v>
      </c>
      <c r="K1456" s="15"/>
      <c r="L1456" s="15" t="str">
        <f t="shared" si="22"/>
        <v>NORMAL</v>
      </c>
    </row>
    <row r="1457" spans="1:12" x14ac:dyDescent="0.25">
      <c r="A1457" s="3" t="s">
        <v>2209</v>
      </c>
      <c r="B1457" s="3" t="s">
        <v>2210</v>
      </c>
      <c r="C1457" s="1">
        <v>8</v>
      </c>
      <c r="D1457" s="1">
        <v>93</v>
      </c>
      <c r="E1457" s="1" t="s">
        <v>54</v>
      </c>
      <c r="F1457" s="1" t="s">
        <v>3671</v>
      </c>
      <c r="G1457" s="3" t="s">
        <v>2211</v>
      </c>
      <c r="H1457" s="11">
        <f>ROUND(
IF(L1457="GANCHO",
   IF(I1457&lt;=50,I1457*1.1+4,IF(I1457&lt;=120,I1457*1.1+7,IF(I1457&lt;=250,I1457*1.1+11,I1457*1.1+19))),
IF(L1457="NORMAL",
   IF(I1457&lt;=30,I1457*1.15+2,IF(I1457&lt;=80,I1457*1.15+4,IF(I1457&lt;=150,I1457*1.15+6,I1457*1.15+8))),
IF(L1457="COMPLEMENTO",
   IF(I1457&lt;=25,I1457*1.25+1.5,IF(I1457&lt;=60,I1457*1.25+3,IF(I1457&lt;=120,I1457*1.25+4,I1457*1.25+5))),
""))),2)</f>
        <v>452.23</v>
      </c>
      <c r="I1457" s="9">
        <f>($K$2+0.02)*Tabla1[[#This Row],[PRECIO $]]*1.18</f>
        <v>386.28480000000002</v>
      </c>
      <c r="J1457" s="7">
        <f>+Tabla1[[#This Row],[PRECIO EN SOLES]]-Tabla1[[#This Row],[PC]]</f>
        <v>65.9452</v>
      </c>
      <c r="K1457" s="15"/>
      <c r="L1457" s="15" t="str">
        <f t="shared" si="22"/>
        <v>NORMAL</v>
      </c>
    </row>
    <row r="1458" spans="1:12" x14ac:dyDescent="0.25">
      <c r="A1458" s="3" t="s">
        <v>424</v>
      </c>
      <c r="B1458" s="3" t="s">
        <v>425</v>
      </c>
      <c r="C1458" s="1">
        <v>0</v>
      </c>
      <c r="D1458" s="1">
        <v>999</v>
      </c>
      <c r="E1458" s="1" t="s">
        <v>426</v>
      </c>
      <c r="F1458" s="1" t="s">
        <v>3672</v>
      </c>
      <c r="G1458" s="3" t="s">
        <v>427</v>
      </c>
      <c r="H1458" s="11">
        <f>ROUND(
IF(L1458="GANCHO",
   IF(I1458&lt;=50,I1458*1.1+4,IF(I1458&lt;=120,I1458*1.1+7,IF(I1458&lt;=250,I1458*1.1+11,I1458*1.1+19))),
IF(L1458="NORMAL",
   IF(I1458&lt;=30,I1458*1.15+2,IF(I1458&lt;=80,I1458*1.15+4,IF(I1458&lt;=150,I1458*1.15+6,I1458*1.15+8))),
IF(L1458="COMPLEMENTO",
   IF(I1458&lt;=25,I1458*1.25+1.5,IF(I1458&lt;=60,I1458*1.25+3,IF(I1458&lt;=120,I1458*1.25+4,I1458*1.25+5))),
""))),2)</f>
        <v>4779.8599999999997</v>
      </c>
      <c r="I1458" s="9">
        <f>($K$2+0.02)*Tabla1[[#This Row],[PRECIO $]]*1.18</f>
        <v>4149.4463999999998</v>
      </c>
      <c r="J1458" s="7">
        <f>+Tabla1[[#This Row],[PRECIO EN SOLES]]-Tabla1[[#This Row],[PC]]</f>
        <v>630.41359999999986</v>
      </c>
      <c r="K1458" s="15"/>
      <c r="L1458" s="15" t="str">
        <f t="shared" si="22"/>
        <v>NORMAL</v>
      </c>
    </row>
    <row r="1459" spans="1:12" x14ac:dyDescent="0.25">
      <c r="A1459" s="3" t="s">
        <v>2212</v>
      </c>
      <c r="B1459" s="3" t="s">
        <v>2213</v>
      </c>
      <c r="C1459" s="1">
        <v>0</v>
      </c>
      <c r="D1459" s="1">
        <v>999</v>
      </c>
      <c r="E1459" s="1" t="s">
        <v>426</v>
      </c>
      <c r="F1459" s="1" t="s">
        <v>3673</v>
      </c>
      <c r="G1459" s="3" t="s">
        <v>2214</v>
      </c>
      <c r="H1459" s="11">
        <f>ROUND(
IF(L1459="GANCHO",
   IF(I1459&lt;=50,I1459*1.1+4,IF(I1459&lt;=120,I1459*1.1+7,IF(I1459&lt;=250,I1459*1.1+11,I1459*1.1+19))),
IF(L1459="NORMAL",
   IF(I1459&lt;=30,I1459*1.15+2,IF(I1459&lt;=80,I1459*1.15+4,IF(I1459&lt;=150,I1459*1.15+6,I1459*1.15+8))),
IF(L1459="COMPLEMENTO",
   IF(I1459&lt;=25,I1459*1.25+1.5,IF(I1459&lt;=60,I1459*1.25+3,IF(I1459&lt;=120,I1459*1.25+4,I1459*1.25+5))),
""))),2)</f>
        <v>4779.8599999999997</v>
      </c>
      <c r="I1459" s="9">
        <f>($K$2+0.02)*Tabla1[[#This Row],[PRECIO $]]*1.18</f>
        <v>4149.4463999999998</v>
      </c>
      <c r="J1459" s="7">
        <f>+Tabla1[[#This Row],[PRECIO EN SOLES]]-Tabla1[[#This Row],[PC]]</f>
        <v>630.41359999999986</v>
      </c>
      <c r="K1459" s="15"/>
      <c r="L1459" s="15" t="str">
        <f t="shared" si="22"/>
        <v>NORMAL</v>
      </c>
    </row>
    <row r="1460" spans="1:12" x14ac:dyDescent="0.25">
      <c r="A1460" s="3" t="s">
        <v>2215</v>
      </c>
      <c r="B1460" s="3" t="s">
        <v>2216</v>
      </c>
      <c r="C1460" s="1">
        <v>15</v>
      </c>
      <c r="D1460" s="1">
        <v>500</v>
      </c>
      <c r="E1460" s="1" t="s">
        <v>426</v>
      </c>
      <c r="F1460" s="1" t="s">
        <v>3674</v>
      </c>
      <c r="G1460" s="3"/>
      <c r="H1460" s="11">
        <f>ROUND(
IF(L1460="GANCHO",
   IF(I1460&lt;=50,I1460*1.1+4,IF(I1460&lt;=120,I1460*1.1+7,IF(I1460&lt;=250,I1460*1.1+11,I1460*1.1+19))),
IF(L1460="NORMAL",
   IF(I1460&lt;=30,I1460*1.15+2,IF(I1460&lt;=80,I1460*1.15+4,IF(I1460&lt;=150,I1460*1.15+6,I1460*1.15+8))),
IF(L1460="COMPLEMENTO",
   IF(I1460&lt;=25,I1460*1.25+1.5,IF(I1460&lt;=60,I1460*1.25+3,IF(I1460&lt;=120,I1460*1.25+4,I1460*1.25+5))),
""))),2)</f>
        <v>2396.3200000000002</v>
      </c>
      <c r="I1460" s="9">
        <f>($K$2+0.02)*Tabla1[[#This Row],[PRECIO $]]*1.18</f>
        <v>2076.7999999999997</v>
      </c>
      <c r="J1460" s="7">
        <f>+Tabla1[[#This Row],[PRECIO EN SOLES]]-Tabla1[[#This Row],[PC]]</f>
        <v>319.52000000000044</v>
      </c>
      <c r="K1460" s="15"/>
      <c r="L1460" s="15" t="str">
        <f t="shared" si="22"/>
        <v>NORMAL</v>
      </c>
    </row>
    <row r="1461" spans="1:12" x14ac:dyDescent="0.25">
      <c r="A1461" s="3" t="s">
        <v>2217</v>
      </c>
      <c r="B1461" s="3" t="s">
        <v>2213</v>
      </c>
      <c r="C1461" s="1">
        <v>20</v>
      </c>
      <c r="D1461" s="1">
        <v>200</v>
      </c>
      <c r="E1461" s="1" t="s">
        <v>426</v>
      </c>
      <c r="F1461" s="1" t="s">
        <v>3675</v>
      </c>
      <c r="G1461" s="3"/>
      <c r="H1461" s="11">
        <f>ROUND(
IF(L1461="GANCHO",
   IF(I1461&lt;=50,I1461*1.1+4,IF(I1461&lt;=120,I1461*1.1+7,IF(I1461&lt;=250,I1461*1.1+11,I1461*1.1+19))),
IF(L1461="NORMAL",
   IF(I1461&lt;=30,I1461*1.15+2,IF(I1461&lt;=80,I1461*1.15+4,IF(I1461&lt;=150,I1461*1.15+6,I1461*1.15+8))),
IF(L1461="COMPLEMENTO",
   IF(I1461&lt;=25,I1461*1.25+1.5,IF(I1461&lt;=60,I1461*1.25+3,IF(I1461&lt;=120,I1461*1.25+4,I1461*1.25+5))),
""))),2)</f>
        <v>963.33</v>
      </c>
      <c r="I1461" s="9">
        <f>($K$2+0.02)*Tabla1[[#This Row],[PRECIO $]]*1.18</f>
        <v>830.71999999999991</v>
      </c>
      <c r="J1461" s="7">
        <f>+Tabla1[[#This Row],[PRECIO EN SOLES]]-Tabla1[[#This Row],[PC]]</f>
        <v>132.61000000000013</v>
      </c>
      <c r="K1461" s="15"/>
      <c r="L1461" s="15" t="str">
        <f t="shared" si="22"/>
        <v>NORMAL</v>
      </c>
    </row>
    <row r="1462" spans="1:12" x14ac:dyDescent="0.25">
      <c r="A1462" s="3" t="s">
        <v>2218</v>
      </c>
      <c r="B1462" s="3" t="s">
        <v>2219</v>
      </c>
      <c r="C1462" s="1">
        <v>7</v>
      </c>
      <c r="D1462" s="1">
        <v>70</v>
      </c>
      <c r="E1462" s="1" t="s">
        <v>426</v>
      </c>
      <c r="F1462" s="1" t="s">
        <v>3676</v>
      </c>
      <c r="G1462" s="3"/>
      <c r="H1462" s="11">
        <f>ROUND(
IF(L1462="GANCHO",
   IF(I1462&lt;=50,I1462*1.1+4,IF(I1462&lt;=120,I1462*1.1+7,IF(I1462&lt;=250,I1462*1.1+11,I1462*1.1+19))),
IF(L1462="NORMAL",
   IF(I1462&lt;=30,I1462*1.15+2,IF(I1462&lt;=80,I1462*1.15+4,IF(I1462&lt;=150,I1462*1.15+6,I1462*1.15+8))),
IF(L1462="COMPLEMENTO",
   IF(I1462&lt;=25,I1462*1.25+1.5,IF(I1462&lt;=60,I1462*1.25+3,IF(I1462&lt;=120,I1462*1.25+4,I1462*1.25+5))),
""))),2)</f>
        <v>342.36</v>
      </c>
      <c r="I1462" s="9">
        <f>($K$2+0.02)*Tabla1[[#This Row],[PRECIO $]]*1.18</f>
        <v>290.75200000000001</v>
      </c>
      <c r="J1462" s="7">
        <f>+Tabla1[[#This Row],[PRECIO EN SOLES]]-Tabla1[[#This Row],[PC]]</f>
        <v>51.608000000000004</v>
      </c>
      <c r="K1462" s="15"/>
      <c r="L1462" s="15" t="str">
        <f t="shared" si="22"/>
        <v>NORMAL</v>
      </c>
    </row>
    <row r="1463" spans="1:12" x14ac:dyDescent="0.25">
      <c r="A1463" s="3" t="s">
        <v>2220</v>
      </c>
      <c r="B1463" s="3" t="s">
        <v>2221</v>
      </c>
      <c r="C1463" s="1">
        <v>20</v>
      </c>
      <c r="D1463" s="1">
        <v>10.32</v>
      </c>
      <c r="E1463" s="1" t="s">
        <v>429</v>
      </c>
      <c r="F1463" s="1" t="s">
        <v>3677</v>
      </c>
      <c r="G1463" s="3"/>
      <c r="H1463" s="11">
        <f>ROUND(
IF(L1463="GANCHO",
   IF(I1463&lt;=50,I1463*1.1+4,IF(I1463&lt;=120,I1463*1.1+7,IF(I1463&lt;=250,I1463*1.1+11,I1463*1.1+19))),
IF(L1463="NORMAL",
   IF(I1463&lt;=30,I1463*1.15+2,IF(I1463&lt;=80,I1463*1.15+4,IF(I1463&lt;=150,I1463*1.15+6,I1463*1.15+8))),
IF(L1463="COMPLEMENTO",
   IF(I1463&lt;=25,I1463*1.25+1.5,IF(I1463&lt;=60,I1463*1.25+3,IF(I1463&lt;=120,I1463*1.25+4,I1463*1.25+5))),
""))),2)</f>
        <v>53.29</v>
      </c>
      <c r="I1463" s="9">
        <f>($K$2+0.02)*Tabla1[[#This Row],[PRECIO $]]*1.18</f>
        <v>42.865151999999995</v>
      </c>
      <c r="J1463" s="7">
        <f>+Tabla1[[#This Row],[PRECIO EN SOLES]]-Tabla1[[#This Row],[PC]]</f>
        <v>10.424848000000004</v>
      </c>
      <c r="K1463" s="15"/>
      <c r="L1463" s="15" t="str">
        <f t="shared" si="22"/>
        <v>NORMAL</v>
      </c>
    </row>
    <row r="1464" spans="1:12" x14ac:dyDescent="0.25">
      <c r="A1464" s="3" t="s">
        <v>2222</v>
      </c>
      <c r="B1464" s="3" t="s">
        <v>2223</v>
      </c>
      <c r="C1464" s="1">
        <v>20</v>
      </c>
      <c r="D1464" s="1">
        <v>16.8</v>
      </c>
      <c r="E1464" s="1" t="s">
        <v>429</v>
      </c>
      <c r="F1464" s="1" t="s">
        <v>3678</v>
      </c>
      <c r="G1464" s="3" t="s">
        <v>6689</v>
      </c>
      <c r="H1464" s="11">
        <f>ROUND(
IF(L1464="GANCHO",
   IF(I1464&lt;=50,I1464*1.1+4,IF(I1464&lt;=120,I1464*1.1+7,IF(I1464&lt;=250,I1464*1.1+11,I1464*1.1+19))),
IF(L1464="NORMAL",
   IF(I1464&lt;=30,I1464*1.15+2,IF(I1464&lt;=80,I1464*1.15+4,IF(I1464&lt;=150,I1464*1.15+6,I1464*1.15+8))),
IF(L1464="COMPLEMENTO",
   IF(I1464&lt;=25,I1464*1.25+1.5,IF(I1464&lt;=60,I1464*1.25+3,IF(I1464&lt;=120,I1464*1.25+4,I1464*1.25+5))),
""))),2)</f>
        <v>84.25</v>
      </c>
      <c r="I1464" s="9">
        <f>($K$2+0.02)*Tabla1[[#This Row],[PRECIO $]]*1.18</f>
        <v>69.780479999999997</v>
      </c>
      <c r="J1464" s="7">
        <f>+Tabla1[[#This Row],[PRECIO EN SOLES]]-Tabla1[[#This Row],[PC]]</f>
        <v>14.469520000000003</v>
      </c>
      <c r="K1464" s="15"/>
      <c r="L1464" s="15" t="str">
        <f t="shared" si="22"/>
        <v>NORMAL</v>
      </c>
    </row>
    <row r="1465" spans="1:12" x14ac:dyDescent="0.25">
      <c r="A1465" s="3" t="s">
        <v>7019</v>
      </c>
      <c r="B1465" s="3" t="s">
        <v>7020</v>
      </c>
      <c r="C1465" s="1">
        <v>20</v>
      </c>
      <c r="D1465" s="1">
        <v>6.3</v>
      </c>
      <c r="E1465" s="1" t="s">
        <v>429</v>
      </c>
      <c r="F1465" s="1" t="s">
        <v>7021</v>
      </c>
      <c r="G1465" s="3"/>
      <c r="H1465" s="11">
        <f>ROUND(
IF(L1465="GANCHO",
   IF(I1465&lt;=50,I1465*1.1+4,IF(I1465&lt;=120,I1465*1.1+7,IF(I1465&lt;=250,I1465*1.1+11,I1465*1.1+19))),
IF(L1465="NORMAL",
   IF(I1465&lt;=30,I1465*1.15+2,IF(I1465&lt;=80,I1465*1.15+4,IF(I1465&lt;=150,I1465*1.15+6,I1465*1.15+8))),
IF(L1465="COMPLEMENTO",
   IF(I1465&lt;=25,I1465*1.25+1.5,IF(I1465&lt;=60,I1465*1.25+3,IF(I1465&lt;=120,I1465*1.25+4,I1465*1.25+5))),
""))),2)</f>
        <v>32.090000000000003</v>
      </c>
      <c r="I1465" s="9">
        <f>($K$2+0.02)*Tabla1[[#This Row],[PRECIO $]]*1.18</f>
        <v>26.167679999999997</v>
      </c>
      <c r="J1465" s="7">
        <f>+Tabla1[[#This Row],[PRECIO EN SOLES]]-Tabla1[[#This Row],[PC]]</f>
        <v>5.9223200000000062</v>
      </c>
      <c r="K1465" s="15"/>
      <c r="L1465" s="15" t="str">
        <f t="shared" si="22"/>
        <v>NORMAL</v>
      </c>
    </row>
    <row r="1466" spans="1:12" x14ac:dyDescent="0.25">
      <c r="A1466" s="3" t="s">
        <v>6237</v>
      </c>
      <c r="B1466" s="3" t="s">
        <v>6238</v>
      </c>
      <c r="C1466" s="1">
        <v>20</v>
      </c>
      <c r="D1466" s="1">
        <v>12</v>
      </c>
      <c r="E1466" s="1" t="s">
        <v>429</v>
      </c>
      <c r="F1466" s="1" t="s">
        <v>6239</v>
      </c>
      <c r="G1466" s="3"/>
      <c r="H1466" s="11">
        <f>ROUND(
IF(L1466="GANCHO",
   IF(I1466&lt;=50,I1466*1.1+4,IF(I1466&lt;=120,I1466*1.1+7,IF(I1466&lt;=250,I1466*1.1+11,I1466*1.1+19))),
IF(L1466="NORMAL",
   IF(I1466&lt;=30,I1466*1.15+2,IF(I1466&lt;=80,I1466*1.15+4,IF(I1466&lt;=150,I1466*1.15+6,I1466*1.15+8))),
IF(L1466="COMPLEMENTO",
   IF(I1466&lt;=25,I1466*1.25+1.5,IF(I1466&lt;=60,I1466*1.25+3,IF(I1466&lt;=120,I1466*1.25+4,I1466*1.25+5))),
""))),2)</f>
        <v>61.32</v>
      </c>
      <c r="I1466" s="9">
        <f>($K$2+0.02)*Tabla1[[#This Row],[PRECIO $]]*1.18</f>
        <v>49.843200000000003</v>
      </c>
      <c r="J1466" s="7">
        <f>+Tabla1[[#This Row],[PRECIO EN SOLES]]-Tabla1[[#This Row],[PC]]</f>
        <v>11.476799999999997</v>
      </c>
      <c r="K1466" s="15"/>
      <c r="L1466" s="15" t="str">
        <f t="shared" si="22"/>
        <v>NORMAL</v>
      </c>
    </row>
    <row r="1467" spans="1:12" x14ac:dyDescent="0.25">
      <c r="A1467" s="3" t="s">
        <v>6240</v>
      </c>
      <c r="B1467" s="3" t="s">
        <v>6241</v>
      </c>
      <c r="C1467" s="1">
        <v>20</v>
      </c>
      <c r="D1467" s="1">
        <v>21.5</v>
      </c>
      <c r="E1467" s="1" t="s">
        <v>429</v>
      </c>
      <c r="F1467" s="1" t="s">
        <v>6242</v>
      </c>
      <c r="G1467" s="3"/>
      <c r="H1467" s="11">
        <f>ROUND(
IF(L1467="GANCHO",
   IF(I1467&lt;=50,I1467*1.1+4,IF(I1467&lt;=120,I1467*1.1+7,IF(I1467&lt;=250,I1467*1.1+11,I1467*1.1+19))),
IF(L1467="NORMAL",
   IF(I1467&lt;=30,I1467*1.15+2,IF(I1467&lt;=80,I1467*1.15+4,IF(I1467&lt;=150,I1467*1.15+6,I1467*1.15+8))),
IF(L1467="COMPLEMENTO",
   IF(I1467&lt;=25,I1467*1.25+1.5,IF(I1467&lt;=60,I1467*1.25+3,IF(I1467&lt;=120,I1467*1.25+4,I1467*1.25+5))),
""))),2)</f>
        <v>108.7</v>
      </c>
      <c r="I1467" s="9">
        <f>($K$2+0.02)*Tabla1[[#This Row],[PRECIO $]]*1.18</f>
        <v>89.302400000000006</v>
      </c>
      <c r="J1467" s="7">
        <f>+Tabla1[[#This Row],[PRECIO EN SOLES]]-Tabla1[[#This Row],[PC]]</f>
        <v>19.397599999999997</v>
      </c>
      <c r="K1467" s="15"/>
      <c r="L1467" s="15" t="str">
        <f t="shared" si="22"/>
        <v>NORMAL</v>
      </c>
    </row>
    <row r="1468" spans="1:12" x14ac:dyDescent="0.25">
      <c r="A1468" s="3" t="s">
        <v>430</v>
      </c>
      <c r="B1468" s="3" t="s">
        <v>431</v>
      </c>
      <c r="C1468" s="1">
        <v>20</v>
      </c>
      <c r="D1468" s="1">
        <v>15.1</v>
      </c>
      <c r="E1468" s="1" t="s">
        <v>429</v>
      </c>
      <c r="F1468" s="1" t="s">
        <v>3679</v>
      </c>
      <c r="G1468" s="3" t="s">
        <v>6690</v>
      </c>
      <c r="H1468" s="11">
        <f>ROUND(
IF(L1468="GANCHO",
   IF(I1468&lt;=50,I1468*1.1+4,IF(I1468&lt;=120,I1468*1.1+7,IF(I1468&lt;=250,I1468*1.1+11,I1468*1.1+19))),
IF(L1468="NORMAL",
   IF(I1468&lt;=30,I1468*1.15+2,IF(I1468&lt;=80,I1468*1.15+4,IF(I1468&lt;=150,I1468*1.15+6,I1468*1.15+8))),
IF(L1468="COMPLEMENTO",
   IF(I1468&lt;=25,I1468*1.25+1.5,IF(I1468&lt;=60,I1468*1.25+3,IF(I1468&lt;=120,I1468*1.25+4,I1468*1.25+5))),
""))),2)</f>
        <v>76.13</v>
      </c>
      <c r="I1468" s="9">
        <f>($K$2+0.02)*Tabla1[[#This Row],[PRECIO $]]*1.18</f>
        <v>62.719359999999995</v>
      </c>
      <c r="J1468" s="7">
        <f>+Tabla1[[#This Row],[PRECIO EN SOLES]]-Tabla1[[#This Row],[PC]]</f>
        <v>13.410640000000001</v>
      </c>
      <c r="K1468" s="15"/>
      <c r="L1468" s="15" t="str">
        <f t="shared" si="22"/>
        <v>NORMAL</v>
      </c>
    </row>
    <row r="1469" spans="1:12" x14ac:dyDescent="0.25">
      <c r="A1469" s="3" t="s">
        <v>432</v>
      </c>
      <c r="B1469" s="3" t="s">
        <v>433</v>
      </c>
      <c r="C1469" s="1">
        <v>20</v>
      </c>
      <c r="D1469" s="1">
        <v>19.809999999999999</v>
      </c>
      <c r="E1469" s="1" t="s">
        <v>429</v>
      </c>
      <c r="F1469" s="1" t="s">
        <v>3680</v>
      </c>
      <c r="G1469" s="3" t="s">
        <v>6691</v>
      </c>
      <c r="H1469" s="11">
        <f>ROUND(
IF(L1469="GANCHO",
   IF(I1469&lt;=50,I1469*1.1+4,IF(I1469&lt;=120,I1469*1.1+7,IF(I1469&lt;=250,I1469*1.1+11,I1469*1.1+19))),
IF(L1469="NORMAL",
   IF(I1469&lt;=30,I1469*1.15+2,IF(I1469&lt;=80,I1469*1.15+4,IF(I1469&lt;=150,I1469*1.15+6,I1469*1.15+8))),
IF(L1469="COMPLEMENTO",
   IF(I1469&lt;=25,I1469*1.25+1.5,IF(I1469&lt;=60,I1469*1.25+3,IF(I1469&lt;=120,I1469*1.25+4,I1469*1.25+5))),
""))),2)</f>
        <v>100.63</v>
      </c>
      <c r="I1469" s="9">
        <f>($K$2+0.02)*Tabla1[[#This Row],[PRECIO $]]*1.18</f>
        <v>82.282815999999997</v>
      </c>
      <c r="J1469" s="7">
        <f>+Tabla1[[#This Row],[PRECIO EN SOLES]]-Tabla1[[#This Row],[PC]]</f>
        <v>18.347183999999999</v>
      </c>
      <c r="K1469" s="15"/>
      <c r="L1469" s="15" t="str">
        <f t="shared" si="22"/>
        <v>NORMAL</v>
      </c>
    </row>
    <row r="1470" spans="1:12" x14ac:dyDescent="0.25">
      <c r="A1470" s="3" t="s">
        <v>2224</v>
      </c>
      <c r="B1470" s="3" t="s">
        <v>2225</v>
      </c>
      <c r="C1470" s="1">
        <v>20</v>
      </c>
      <c r="D1470" s="1">
        <v>4.29</v>
      </c>
      <c r="E1470" s="1" t="s">
        <v>429</v>
      </c>
      <c r="F1470" s="1" t="s">
        <v>3681</v>
      </c>
      <c r="G1470" s="3"/>
      <c r="H1470" s="11">
        <f>ROUND(
IF(L1470="GANCHO",
   IF(I1470&lt;=50,I1470*1.1+4,IF(I1470&lt;=120,I1470*1.1+7,IF(I1470&lt;=250,I1470*1.1+11,I1470*1.1+19))),
IF(L1470="NORMAL",
   IF(I1470&lt;=30,I1470*1.15+2,IF(I1470&lt;=80,I1470*1.15+4,IF(I1470&lt;=150,I1470*1.15+6,I1470*1.15+8))),
IF(L1470="COMPLEMENTO",
   IF(I1470&lt;=25,I1470*1.25+1.5,IF(I1470&lt;=60,I1470*1.25+3,IF(I1470&lt;=120,I1470*1.25+4,I1470*1.25+5))),
""))),2)</f>
        <v>22.49</v>
      </c>
      <c r="I1470" s="9">
        <f>($K$2+0.02)*Tabla1[[#This Row],[PRECIO $]]*1.18</f>
        <v>17.818943999999998</v>
      </c>
      <c r="J1470" s="7">
        <f>+Tabla1[[#This Row],[PRECIO EN SOLES]]-Tabla1[[#This Row],[PC]]</f>
        <v>4.6710560000000001</v>
      </c>
      <c r="K1470" s="15"/>
      <c r="L1470" s="15" t="str">
        <f t="shared" si="22"/>
        <v>NORMAL</v>
      </c>
    </row>
    <row r="1471" spans="1:12" x14ac:dyDescent="0.25">
      <c r="A1471" s="3" t="s">
        <v>2226</v>
      </c>
      <c r="B1471" s="3" t="s">
        <v>2227</v>
      </c>
      <c r="C1471" s="1">
        <v>2</v>
      </c>
      <c r="D1471" s="1">
        <v>23.09</v>
      </c>
      <c r="E1471" s="1" t="s">
        <v>429</v>
      </c>
      <c r="F1471" s="1" t="s">
        <v>3682</v>
      </c>
      <c r="G1471" s="3" t="s">
        <v>2228</v>
      </c>
      <c r="H1471" s="11">
        <f>ROUND(
IF(L1471="GANCHO",
   IF(I1471&lt;=50,I1471*1.1+4,IF(I1471&lt;=120,I1471*1.1+7,IF(I1471&lt;=250,I1471*1.1+11,I1471*1.1+19))),
IF(L1471="NORMAL",
   IF(I1471&lt;=30,I1471*1.15+2,IF(I1471&lt;=80,I1471*1.15+4,IF(I1471&lt;=150,I1471*1.15+6,I1471*1.15+8))),
IF(L1471="COMPLEMENTO",
   IF(I1471&lt;=25,I1471*1.25+1.5,IF(I1471&lt;=60,I1471*1.25+3,IF(I1471&lt;=120,I1471*1.25+4,I1471*1.25+5))),
""))),2)</f>
        <v>116.29</v>
      </c>
      <c r="I1471" s="9">
        <f>($K$2+0.02)*Tabla1[[#This Row],[PRECIO $]]*1.18</f>
        <v>95.906623999999994</v>
      </c>
      <c r="J1471" s="7">
        <f>+Tabla1[[#This Row],[PRECIO EN SOLES]]-Tabla1[[#This Row],[PC]]</f>
        <v>20.383376000000013</v>
      </c>
      <c r="K1471" s="15"/>
      <c r="L1471" s="15" t="str">
        <f t="shared" si="22"/>
        <v>NORMAL</v>
      </c>
    </row>
    <row r="1472" spans="1:12" x14ac:dyDescent="0.25">
      <c r="A1472" s="3" t="s">
        <v>2229</v>
      </c>
      <c r="B1472" s="3" t="s">
        <v>2230</v>
      </c>
      <c r="C1472" s="1">
        <v>9</v>
      </c>
      <c r="D1472" s="1">
        <v>37.6</v>
      </c>
      <c r="E1472" s="1" t="s">
        <v>429</v>
      </c>
      <c r="F1472" s="1" t="s">
        <v>3683</v>
      </c>
      <c r="G1472" s="3"/>
      <c r="H1472" s="11">
        <f>ROUND(
IF(L1472="GANCHO",
   IF(I1472&lt;=50,I1472*1.1+4,IF(I1472&lt;=120,I1472*1.1+7,IF(I1472&lt;=250,I1472*1.1+11,I1472*1.1+19))),
IF(L1472="NORMAL",
   IF(I1472&lt;=30,I1472*1.15+2,IF(I1472&lt;=80,I1472*1.15+4,IF(I1472&lt;=150,I1472*1.15+6,I1472*1.15+8))),
IF(L1472="COMPLEMENTO",
   IF(I1472&lt;=25,I1472*1.25+1.5,IF(I1472&lt;=60,I1472*1.25+3,IF(I1472&lt;=120,I1472*1.25+4,I1472*1.25+5))),
""))),2)</f>
        <v>187.6</v>
      </c>
      <c r="I1472" s="9">
        <f>($K$2+0.02)*Tabla1[[#This Row],[PRECIO $]]*1.18</f>
        <v>156.17535999999998</v>
      </c>
      <c r="J1472" s="7">
        <f>+Tabla1[[#This Row],[PRECIO EN SOLES]]-Tabla1[[#This Row],[PC]]</f>
        <v>31.424640000000011</v>
      </c>
      <c r="K1472" s="15"/>
      <c r="L1472" s="15" t="str">
        <f t="shared" si="22"/>
        <v>NORMAL</v>
      </c>
    </row>
    <row r="1473" spans="1:12" x14ac:dyDescent="0.25">
      <c r="A1473" s="3" t="s">
        <v>6243</v>
      </c>
      <c r="B1473" s="3" t="s">
        <v>6244</v>
      </c>
      <c r="C1473" s="1">
        <v>20</v>
      </c>
      <c r="D1473" s="1">
        <v>29</v>
      </c>
      <c r="E1473" s="1" t="s">
        <v>429</v>
      </c>
      <c r="F1473" s="1" t="s">
        <v>6245</v>
      </c>
      <c r="G1473" s="3"/>
      <c r="H1473" s="11">
        <f>ROUND(
IF(L1473="GANCHO",
   IF(I1473&lt;=50,I1473*1.1+4,IF(I1473&lt;=120,I1473*1.1+7,IF(I1473&lt;=250,I1473*1.1+11,I1473*1.1+19))),
IF(L1473="NORMAL",
   IF(I1473&lt;=30,I1473*1.15+2,IF(I1473&lt;=80,I1473*1.15+4,IF(I1473&lt;=150,I1473*1.15+6,I1473*1.15+8))),
IF(L1473="COMPLEMENTO",
   IF(I1473&lt;=25,I1473*1.25+1.5,IF(I1473&lt;=60,I1473*1.25+3,IF(I1473&lt;=120,I1473*1.25+4,I1473*1.25+5))),
""))),2)</f>
        <v>144.52000000000001</v>
      </c>
      <c r="I1473" s="9">
        <f>($K$2+0.02)*Tabla1[[#This Row],[PRECIO $]]*1.18</f>
        <v>120.45439999999999</v>
      </c>
      <c r="J1473" s="7">
        <f>+Tabla1[[#This Row],[PRECIO EN SOLES]]-Tabla1[[#This Row],[PC]]</f>
        <v>24.065600000000018</v>
      </c>
      <c r="K1473" s="15"/>
      <c r="L1473" s="15" t="str">
        <f t="shared" si="22"/>
        <v>NORMAL</v>
      </c>
    </row>
    <row r="1474" spans="1:12" x14ac:dyDescent="0.25">
      <c r="A1474" s="3" t="s">
        <v>6246</v>
      </c>
      <c r="B1474" s="3" t="s">
        <v>6247</v>
      </c>
      <c r="C1474" s="1">
        <v>20</v>
      </c>
      <c r="D1474" s="1">
        <v>30</v>
      </c>
      <c r="E1474" s="1" t="s">
        <v>429</v>
      </c>
      <c r="F1474" s="1" t="s">
        <v>6248</v>
      </c>
      <c r="G1474" s="3"/>
      <c r="H1474" s="11">
        <f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149.30000000000001</v>
      </c>
      <c r="I1474" s="9">
        <f>($K$2+0.02)*Tabla1[[#This Row],[PRECIO $]]*1.18</f>
        <v>124.60799999999999</v>
      </c>
      <c r="J1474" s="7">
        <f>+Tabla1[[#This Row],[PRECIO EN SOLES]]-Tabla1[[#This Row],[PC]]</f>
        <v>24.692000000000021</v>
      </c>
      <c r="K1474" s="15"/>
      <c r="L1474" s="15" t="str">
        <f t="shared" si="22"/>
        <v>NORMAL</v>
      </c>
    </row>
    <row r="1475" spans="1:12" x14ac:dyDescent="0.25">
      <c r="A1475" s="3" t="s">
        <v>2231</v>
      </c>
      <c r="B1475" s="3" t="s">
        <v>2232</v>
      </c>
      <c r="C1475" s="1">
        <v>1</v>
      </c>
      <c r="D1475" s="1">
        <v>16.2</v>
      </c>
      <c r="E1475" s="1" t="s">
        <v>238</v>
      </c>
      <c r="F1475" s="1" t="s">
        <v>3684</v>
      </c>
      <c r="G1475" s="3"/>
      <c r="H1475" s="11">
        <f>ROUND(
IF(L1475="GANCHO",
   IF(I1475&lt;=50,I1475*1.1+4,IF(I1475&lt;=120,I1475*1.1+7,IF(I1475&lt;=250,I1475*1.1+11,I1475*1.1+19))),
IF(L1475="NORMAL",
   IF(I1475&lt;=30,I1475*1.15+2,IF(I1475&lt;=80,I1475*1.15+4,IF(I1475&lt;=150,I1475*1.15+6,I1475*1.15+8))),
IF(L1475="COMPLEMENTO",
   IF(I1475&lt;=25,I1475*1.25+1.5,IF(I1475&lt;=60,I1475*1.25+3,IF(I1475&lt;=120,I1475*1.25+4,I1475*1.25+5))),
""))),2)</f>
        <v>88.11</v>
      </c>
      <c r="I1475" s="9">
        <f>($K$2+0.02)*Tabla1[[#This Row],[PRECIO $]]*1.18</f>
        <v>67.288319999999999</v>
      </c>
      <c r="J1475" s="7">
        <f>+Tabla1[[#This Row],[PRECIO EN SOLES]]-Tabla1[[#This Row],[PC]]</f>
        <v>20.821680000000001</v>
      </c>
      <c r="K1475" s="15"/>
      <c r="L1475" s="15" t="str">
        <f t="shared" ref="L1475:L1538" si="23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COMPLEMENTO</v>
      </c>
    </row>
    <row r="1476" spans="1:12" x14ac:dyDescent="0.25">
      <c r="A1476" s="3" t="s">
        <v>4035</v>
      </c>
      <c r="B1476" s="3" t="s">
        <v>4036</v>
      </c>
      <c r="C1476" s="1">
        <v>15</v>
      </c>
      <c r="D1476" s="1">
        <v>26.7</v>
      </c>
      <c r="E1476" s="1" t="s">
        <v>238</v>
      </c>
      <c r="F1476" s="1" t="s">
        <v>4037</v>
      </c>
      <c r="G1476" s="3"/>
      <c r="H1476" s="11">
        <f>ROUND(
IF(L1476="GANCHO",
   IF(I1476&lt;=50,I1476*1.1+4,IF(I1476&lt;=120,I1476*1.1+7,IF(I1476&lt;=250,I1476*1.1+11,I1476*1.1+19))),
IF(L1476="NORMAL",
   IF(I1476&lt;=30,I1476*1.15+2,IF(I1476&lt;=80,I1476*1.15+4,IF(I1476&lt;=150,I1476*1.15+6,I1476*1.15+8))),
IF(L1476="COMPLEMENTO",
   IF(I1476&lt;=25,I1476*1.25+1.5,IF(I1476&lt;=60,I1476*1.25+3,IF(I1476&lt;=120,I1476*1.25+4,I1476*1.25+5))),
""))),2)</f>
        <v>142.63</v>
      </c>
      <c r="I1476" s="9">
        <f>($K$2+0.02)*Tabla1[[#This Row],[PRECIO $]]*1.18</f>
        <v>110.90111999999999</v>
      </c>
      <c r="J1476" s="7">
        <f>+Tabla1[[#This Row],[PRECIO EN SOLES]]-Tabla1[[#This Row],[PC]]</f>
        <v>31.728880000000004</v>
      </c>
      <c r="K1476" s="15"/>
      <c r="L1476" s="15" t="str">
        <f t="shared" si="23"/>
        <v>COMPLEMENTO</v>
      </c>
    </row>
    <row r="1477" spans="1:12" x14ac:dyDescent="0.25">
      <c r="A1477" s="3" t="s">
        <v>4038</v>
      </c>
      <c r="B1477" s="3" t="s">
        <v>4039</v>
      </c>
      <c r="C1477" s="1">
        <v>18</v>
      </c>
      <c r="D1477" s="1">
        <v>37.46</v>
      </c>
      <c r="E1477" s="1" t="s">
        <v>238</v>
      </c>
      <c r="F1477" s="1" t="s">
        <v>4040</v>
      </c>
      <c r="G1477" s="3"/>
      <c r="H1477" s="11">
        <f>ROUND(
IF(L1477="GANCHO",
   IF(I1477&lt;=50,I1477*1.1+4,IF(I1477&lt;=120,I1477*1.1+7,IF(I1477&lt;=250,I1477*1.1+11,I1477*1.1+19))),
IF(L1477="NORMAL",
   IF(I1477&lt;=30,I1477*1.15+2,IF(I1477&lt;=80,I1477*1.15+4,IF(I1477&lt;=150,I1477*1.15+6,I1477*1.15+8))),
IF(L1477="COMPLEMENTO",
   IF(I1477&lt;=25,I1477*1.25+1.5,IF(I1477&lt;=60,I1477*1.25+3,IF(I1477&lt;=120,I1477*1.25+4,I1477*1.25+5))),
""))),2)</f>
        <v>199.49</v>
      </c>
      <c r="I1477" s="9">
        <f>($K$2+0.02)*Tabla1[[#This Row],[PRECIO $]]*1.18</f>
        <v>155.59385600000002</v>
      </c>
      <c r="J1477" s="7">
        <f>+Tabla1[[#This Row],[PRECIO EN SOLES]]-Tabla1[[#This Row],[PC]]</f>
        <v>43.896143999999993</v>
      </c>
      <c r="K1477" s="15"/>
      <c r="L1477" s="15" t="str">
        <f t="shared" si="23"/>
        <v>COMPLEMENTO</v>
      </c>
    </row>
    <row r="1478" spans="1:12" x14ac:dyDescent="0.25">
      <c r="A1478" s="3" t="s">
        <v>2233</v>
      </c>
      <c r="B1478" s="3" t="s">
        <v>2234</v>
      </c>
      <c r="C1478" s="1">
        <v>14</v>
      </c>
      <c r="D1478" s="1">
        <v>24.2</v>
      </c>
      <c r="E1478" s="1" t="s">
        <v>238</v>
      </c>
      <c r="F1478" s="1" t="s">
        <v>3685</v>
      </c>
      <c r="G1478" s="3"/>
      <c r="H1478" s="11">
        <f>ROUND(
IF(L1478="GANCHO",
   IF(I1478&lt;=50,I1478*1.1+4,IF(I1478&lt;=120,I1478*1.1+7,IF(I1478&lt;=250,I1478*1.1+11,I1478*1.1+19))),
IF(L1478="NORMAL",
   IF(I1478&lt;=30,I1478*1.15+2,IF(I1478&lt;=80,I1478*1.15+4,IF(I1478&lt;=150,I1478*1.15+6,I1478*1.15+8))),
IF(L1478="COMPLEMENTO",
   IF(I1478&lt;=25,I1478*1.25+1.5,IF(I1478&lt;=60,I1478*1.25+3,IF(I1478&lt;=120,I1478*1.25+4,I1478*1.25+5))),
""))),2)</f>
        <v>121.59</v>
      </c>
      <c r="I1478" s="9">
        <f>($K$2+0.02)*Tabla1[[#This Row],[PRECIO $]]*1.18</f>
        <v>100.51711999999999</v>
      </c>
      <c r="J1478" s="7">
        <f>+Tabla1[[#This Row],[PRECIO EN SOLES]]-Tabla1[[#This Row],[PC]]</f>
        <v>21.072880000000012</v>
      </c>
      <c r="K1478" s="15"/>
      <c r="L1478" s="15" t="str">
        <f t="shared" si="23"/>
        <v>NORMAL</v>
      </c>
    </row>
    <row r="1479" spans="1:12" x14ac:dyDescent="0.25">
      <c r="A1479" s="3" t="s">
        <v>2235</v>
      </c>
      <c r="B1479" s="3" t="s">
        <v>2236</v>
      </c>
      <c r="C1479" s="1">
        <v>13</v>
      </c>
      <c r="D1479" s="1">
        <v>34</v>
      </c>
      <c r="E1479" s="1" t="s">
        <v>238</v>
      </c>
      <c r="F1479" s="1" t="s">
        <v>3686</v>
      </c>
      <c r="G1479" s="3" t="s">
        <v>2237</v>
      </c>
      <c r="H1479" s="11">
        <f>ROUND(
IF(L1479="GANCHO",
   IF(I1479&lt;=50,I1479*1.1+4,IF(I1479&lt;=120,I1479*1.1+7,IF(I1479&lt;=250,I1479*1.1+11,I1479*1.1+19))),
IF(L1479="NORMAL",
   IF(I1479&lt;=30,I1479*1.15+2,IF(I1479&lt;=80,I1479*1.15+4,IF(I1479&lt;=150,I1479*1.15+6,I1479*1.15+8))),
IF(L1479="COMPLEMENTO",
   IF(I1479&lt;=25,I1479*1.25+1.5,IF(I1479&lt;=60,I1479*1.25+3,IF(I1479&lt;=120,I1479*1.25+4,I1479*1.25+5))),
""))),2)</f>
        <v>168.41</v>
      </c>
      <c r="I1479" s="9">
        <f>($K$2+0.02)*Tabla1[[#This Row],[PRECIO $]]*1.18</f>
        <v>141.22239999999999</v>
      </c>
      <c r="J1479" s="7">
        <f>+Tabla1[[#This Row],[PRECIO EN SOLES]]-Tabla1[[#This Row],[PC]]</f>
        <v>27.187600000000003</v>
      </c>
      <c r="K1479" s="15"/>
      <c r="L1479" s="15" t="str">
        <f t="shared" si="23"/>
        <v>NORMAL</v>
      </c>
    </row>
    <row r="1480" spans="1:12" x14ac:dyDescent="0.25">
      <c r="A1480" s="3" t="s">
        <v>2238</v>
      </c>
      <c r="B1480" s="3" t="s">
        <v>2239</v>
      </c>
      <c r="C1480" s="1">
        <v>13</v>
      </c>
      <c r="D1480" s="1">
        <v>34</v>
      </c>
      <c r="E1480" s="1" t="s">
        <v>238</v>
      </c>
      <c r="F1480" s="1" t="s">
        <v>3687</v>
      </c>
      <c r="G1480" s="3"/>
      <c r="H1480" s="11">
        <f>ROUND(
IF(L1480="GANCHO",
   IF(I1480&lt;=50,I1480*1.1+4,IF(I1480&lt;=120,I1480*1.1+7,IF(I1480&lt;=250,I1480*1.1+11,I1480*1.1+19))),
IF(L1480="NORMAL",
   IF(I1480&lt;=30,I1480*1.15+2,IF(I1480&lt;=80,I1480*1.15+4,IF(I1480&lt;=150,I1480*1.15+6,I1480*1.15+8))),
IF(L1480="COMPLEMENTO",
   IF(I1480&lt;=25,I1480*1.25+1.5,IF(I1480&lt;=60,I1480*1.25+3,IF(I1480&lt;=120,I1480*1.25+4,I1480*1.25+5))),
""))),2)</f>
        <v>168.41</v>
      </c>
      <c r="I1480" s="9">
        <f>($K$2+0.02)*Tabla1[[#This Row],[PRECIO $]]*1.18</f>
        <v>141.22239999999999</v>
      </c>
      <c r="J1480" s="7">
        <f>+Tabla1[[#This Row],[PRECIO EN SOLES]]-Tabla1[[#This Row],[PC]]</f>
        <v>27.187600000000003</v>
      </c>
      <c r="K1480" s="15"/>
      <c r="L1480" s="15" t="str">
        <f t="shared" si="23"/>
        <v>NORMAL</v>
      </c>
    </row>
    <row r="1481" spans="1:12" x14ac:dyDescent="0.25">
      <c r="A1481" s="3" t="s">
        <v>2240</v>
      </c>
      <c r="B1481" s="3" t="s">
        <v>2241</v>
      </c>
      <c r="C1481" s="1">
        <v>4</v>
      </c>
      <c r="D1481" s="1">
        <v>35.1</v>
      </c>
      <c r="E1481" s="1" t="s">
        <v>238</v>
      </c>
      <c r="F1481" s="1" t="s">
        <v>3688</v>
      </c>
      <c r="G1481" s="3"/>
      <c r="H1481" s="11">
        <f>ROUND(
IF(L1481="GANCHO",
   IF(I1481&lt;=50,I1481*1.1+4,IF(I1481&lt;=120,I1481*1.1+7,IF(I1481&lt;=250,I1481*1.1+11,I1481*1.1+19))),
IF(L1481="NORMAL",
   IF(I1481&lt;=30,I1481*1.15+2,IF(I1481&lt;=80,I1481*1.15+4,IF(I1481&lt;=150,I1481*1.15+6,I1481*1.15+8))),
IF(L1481="COMPLEMENTO",
   IF(I1481&lt;=25,I1481*1.25+1.5,IF(I1481&lt;=60,I1481*1.25+3,IF(I1481&lt;=120,I1481*1.25+4,I1481*1.25+5))),
""))),2)</f>
        <v>173.66</v>
      </c>
      <c r="I1481" s="9">
        <f>($K$2+0.02)*Tabla1[[#This Row],[PRECIO $]]*1.18</f>
        <v>145.79136</v>
      </c>
      <c r="J1481" s="7">
        <f>+Tabla1[[#This Row],[PRECIO EN SOLES]]-Tabla1[[#This Row],[PC]]</f>
        <v>27.868639999999999</v>
      </c>
      <c r="K1481" s="15"/>
      <c r="L1481" s="15" t="str">
        <f t="shared" si="23"/>
        <v>NORMAL</v>
      </c>
    </row>
    <row r="1482" spans="1:12" x14ac:dyDescent="0.25">
      <c r="A1482" s="3" t="s">
        <v>2242</v>
      </c>
      <c r="B1482" s="3" t="s">
        <v>2243</v>
      </c>
      <c r="C1482" s="1">
        <v>10</v>
      </c>
      <c r="D1482" s="1">
        <v>25.1</v>
      </c>
      <c r="E1482" s="1" t="s">
        <v>238</v>
      </c>
      <c r="F1482" s="1" t="s">
        <v>3689</v>
      </c>
      <c r="G1482" s="3"/>
      <c r="H1482" s="11">
        <f>ROUND(
IF(L1482="GANCHO",
   IF(I1482&lt;=50,I1482*1.1+4,IF(I1482&lt;=120,I1482*1.1+7,IF(I1482&lt;=250,I1482*1.1+11,I1482*1.1+19))),
IF(L1482="NORMAL",
   IF(I1482&lt;=30,I1482*1.15+2,IF(I1482&lt;=80,I1482*1.15+4,IF(I1482&lt;=150,I1482*1.15+6,I1482*1.15+8))),
IF(L1482="COMPLEMENTO",
   IF(I1482&lt;=25,I1482*1.25+1.5,IF(I1482&lt;=60,I1482*1.25+3,IF(I1482&lt;=120,I1482*1.25+4,I1482*1.25+5))),
""))),2)</f>
        <v>125.89</v>
      </c>
      <c r="I1482" s="9">
        <f>($K$2+0.02)*Tabla1[[#This Row],[PRECIO $]]*1.18</f>
        <v>104.25536</v>
      </c>
      <c r="J1482" s="7">
        <f>+Tabla1[[#This Row],[PRECIO EN SOLES]]-Tabla1[[#This Row],[PC]]</f>
        <v>21.634640000000005</v>
      </c>
      <c r="K1482" s="15"/>
      <c r="L1482" s="15" t="str">
        <f t="shared" si="23"/>
        <v>NORMAL</v>
      </c>
    </row>
    <row r="1483" spans="1:12" x14ac:dyDescent="0.25">
      <c r="A1483" s="3" t="s">
        <v>4041</v>
      </c>
      <c r="B1483" s="3" t="s">
        <v>4042</v>
      </c>
      <c r="C1483" s="1">
        <v>20</v>
      </c>
      <c r="D1483" s="1">
        <v>30</v>
      </c>
      <c r="E1483" s="1" t="s">
        <v>238</v>
      </c>
      <c r="F1483" s="1" t="s">
        <v>4043</v>
      </c>
      <c r="G1483" s="3"/>
      <c r="H1483" s="11">
        <f>ROUND(
IF(L1483="GANCHO",
   IF(I1483&lt;=50,I1483*1.1+4,IF(I1483&lt;=120,I1483*1.1+7,IF(I1483&lt;=250,I1483*1.1+11,I1483*1.1+19))),
IF(L1483="NORMAL",
   IF(I1483&lt;=30,I1483*1.15+2,IF(I1483&lt;=80,I1483*1.15+4,IF(I1483&lt;=150,I1483*1.15+6,I1483*1.15+8))),
IF(L1483="COMPLEMENTO",
   IF(I1483&lt;=25,I1483*1.25+1.5,IF(I1483&lt;=60,I1483*1.25+3,IF(I1483&lt;=120,I1483*1.25+4,I1483*1.25+5))),
""))),2)</f>
        <v>149.30000000000001</v>
      </c>
      <c r="I1483" s="9">
        <f>($K$2+0.02)*Tabla1[[#This Row],[PRECIO $]]*1.18</f>
        <v>124.60799999999999</v>
      </c>
      <c r="J1483" s="7">
        <f>+Tabla1[[#This Row],[PRECIO EN SOLES]]-Tabla1[[#This Row],[PC]]</f>
        <v>24.692000000000021</v>
      </c>
      <c r="K1483" s="15"/>
      <c r="L1483" s="15" t="str">
        <f t="shared" si="23"/>
        <v>NORMAL</v>
      </c>
    </row>
    <row r="1484" spans="1:12" x14ac:dyDescent="0.25">
      <c r="A1484" s="3" t="s">
        <v>4044</v>
      </c>
      <c r="B1484" s="3" t="s">
        <v>4045</v>
      </c>
      <c r="C1484" s="1">
        <v>10</v>
      </c>
      <c r="D1484" s="1">
        <v>35.799999999999997</v>
      </c>
      <c r="E1484" s="1" t="s">
        <v>238</v>
      </c>
      <c r="F1484" s="1" t="s">
        <v>4046</v>
      </c>
      <c r="G1484" s="3"/>
      <c r="H1484" s="11">
        <f>ROUND(
IF(L1484="GANCHO",
   IF(I1484&lt;=50,I1484*1.1+4,IF(I1484&lt;=120,I1484*1.1+7,IF(I1484&lt;=250,I1484*1.1+11,I1484*1.1+19))),
IF(L1484="NORMAL",
   IF(I1484&lt;=30,I1484*1.15+2,IF(I1484&lt;=80,I1484*1.15+4,IF(I1484&lt;=150,I1484*1.15+6,I1484*1.15+8))),
IF(L1484="COMPLEMENTO",
   IF(I1484&lt;=25,I1484*1.25+1.5,IF(I1484&lt;=60,I1484*1.25+3,IF(I1484&lt;=120,I1484*1.25+4,I1484*1.25+5))),
""))),2)</f>
        <v>177</v>
      </c>
      <c r="I1484" s="9">
        <f>($K$2+0.02)*Tabla1[[#This Row],[PRECIO $]]*1.18</f>
        <v>148.69887999999997</v>
      </c>
      <c r="J1484" s="7">
        <f>+Tabla1[[#This Row],[PRECIO EN SOLES]]-Tabla1[[#This Row],[PC]]</f>
        <v>28.301120000000026</v>
      </c>
      <c r="K1484" s="15"/>
      <c r="L1484" s="15" t="str">
        <f t="shared" si="23"/>
        <v>NORMAL</v>
      </c>
    </row>
    <row r="1485" spans="1:12" x14ac:dyDescent="0.25">
      <c r="A1485" s="3" t="s">
        <v>2244</v>
      </c>
      <c r="B1485" s="3" t="s">
        <v>2245</v>
      </c>
      <c r="C1485" s="1">
        <v>4</v>
      </c>
      <c r="D1485" s="1">
        <v>26.6</v>
      </c>
      <c r="E1485" s="1" t="s">
        <v>426</v>
      </c>
      <c r="F1485" s="1" t="s">
        <v>3690</v>
      </c>
      <c r="G1485" s="3"/>
      <c r="H1485" s="11">
        <f>ROUND(
IF(L1485="GANCHO",
   IF(I1485&lt;=50,I1485*1.1+4,IF(I1485&lt;=120,I1485*1.1+7,IF(I1485&lt;=250,I1485*1.1+11,I1485*1.1+19))),
IF(L1485="NORMAL",
   IF(I1485&lt;=30,I1485*1.15+2,IF(I1485&lt;=80,I1485*1.15+4,IF(I1485&lt;=150,I1485*1.15+6,I1485*1.15+8))),
IF(L1485="COMPLEMENTO",
   IF(I1485&lt;=25,I1485*1.25+1.5,IF(I1485&lt;=60,I1485*1.25+3,IF(I1485&lt;=120,I1485*1.25+4,I1485*1.25+5))),
""))),2)</f>
        <v>133.06</v>
      </c>
      <c r="I1485" s="9">
        <f>($K$2+0.02)*Tabla1[[#This Row],[PRECIO $]]*1.18</f>
        <v>110.48576</v>
      </c>
      <c r="J1485" s="7">
        <f>+Tabla1[[#This Row],[PRECIO EN SOLES]]-Tabla1[[#This Row],[PC]]</f>
        <v>22.574240000000003</v>
      </c>
      <c r="K1485" s="15"/>
      <c r="L1485" s="15" t="str">
        <f t="shared" si="23"/>
        <v>NORMAL</v>
      </c>
    </row>
    <row r="1486" spans="1:12" x14ac:dyDescent="0.25">
      <c r="A1486" s="3" t="s">
        <v>2246</v>
      </c>
      <c r="B1486" s="3" t="s">
        <v>2247</v>
      </c>
      <c r="C1486" s="1">
        <v>7</v>
      </c>
      <c r="D1486" s="1">
        <v>300</v>
      </c>
      <c r="E1486" s="1" t="s">
        <v>426</v>
      </c>
      <c r="F1486" s="1" t="s">
        <v>3691</v>
      </c>
      <c r="G1486" s="3"/>
      <c r="H1486" s="11">
        <f>ROUND(
IF(L1486="GANCHO",
   IF(I1486&lt;=50,I1486*1.1+4,IF(I1486&lt;=120,I1486*1.1+7,IF(I1486&lt;=250,I1486*1.1+11,I1486*1.1+19))),
IF(L1486="NORMAL",
   IF(I1486&lt;=30,I1486*1.15+2,IF(I1486&lt;=80,I1486*1.15+4,IF(I1486&lt;=150,I1486*1.15+6,I1486*1.15+8))),
IF(L1486="COMPLEMENTO",
   IF(I1486&lt;=25,I1486*1.25+1.5,IF(I1486&lt;=60,I1486*1.25+3,IF(I1486&lt;=120,I1486*1.25+4,I1486*1.25+5))),
""))),2)</f>
        <v>1440.99</v>
      </c>
      <c r="I1486" s="9">
        <f>($K$2+0.02)*Tabla1[[#This Row],[PRECIO $]]*1.18</f>
        <v>1246.08</v>
      </c>
      <c r="J1486" s="7">
        <f>+Tabla1[[#This Row],[PRECIO EN SOLES]]-Tabla1[[#This Row],[PC]]</f>
        <v>194.91000000000008</v>
      </c>
      <c r="K1486" s="15"/>
      <c r="L1486" s="15" t="str">
        <f t="shared" si="23"/>
        <v>NORMAL</v>
      </c>
    </row>
    <row r="1487" spans="1:12" x14ac:dyDescent="0.25">
      <c r="A1487" s="3" t="s">
        <v>2248</v>
      </c>
      <c r="B1487" s="3" t="s">
        <v>2249</v>
      </c>
      <c r="C1487" s="1">
        <v>1</v>
      </c>
      <c r="D1487" s="1">
        <v>20</v>
      </c>
      <c r="E1487" s="1" t="s">
        <v>426</v>
      </c>
      <c r="F1487" s="1" t="s">
        <v>3692</v>
      </c>
      <c r="G1487" s="3"/>
      <c r="H1487" s="11">
        <f>ROUND(
IF(L1487="GANCHO",
   IF(I1487&lt;=50,I1487*1.1+4,IF(I1487&lt;=120,I1487*1.1+7,IF(I1487&lt;=250,I1487*1.1+11,I1487*1.1+19))),
IF(L1487="NORMAL",
   IF(I1487&lt;=30,I1487*1.15+2,IF(I1487&lt;=80,I1487*1.15+4,IF(I1487&lt;=150,I1487*1.15+6,I1487*1.15+8))),
IF(L1487="COMPLEMENTO",
   IF(I1487&lt;=25,I1487*1.25+1.5,IF(I1487&lt;=60,I1487*1.25+3,IF(I1487&lt;=120,I1487*1.25+4,I1487*1.25+5))),
""))),2)</f>
        <v>101.53</v>
      </c>
      <c r="I1487" s="9">
        <f>($K$2+0.02)*Tabla1[[#This Row],[PRECIO $]]*1.18</f>
        <v>83.072000000000003</v>
      </c>
      <c r="J1487" s="7">
        <f>+Tabla1[[#This Row],[PRECIO EN SOLES]]-Tabla1[[#This Row],[PC]]</f>
        <v>18.457999999999998</v>
      </c>
      <c r="K1487" s="15"/>
      <c r="L1487" s="15" t="str">
        <f t="shared" si="23"/>
        <v>NORMAL</v>
      </c>
    </row>
    <row r="1488" spans="1:12" x14ac:dyDescent="0.25">
      <c r="A1488" s="3" t="s">
        <v>434</v>
      </c>
      <c r="B1488" s="3" t="s">
        <v>435</v>
      </c>
      <c r="C1488" s="1">
        <v>11</v>
      </c>
      <c r="D1488" s="1">
        <v>32.6</v>
      </c>
      <c r="E1488" s="1" t="s">
        <v>426</v>
      </c>
      <c r="F1488" s="1" t="s">
        <v>3693</v>
      </c>
      <c r="G1488" s="3"/>
      <c r="H1488" s="11">
        <f>ROUND(
IF(L1488="GANCHO",
   IF(I1488&lt;=50,I1488*1.1+4,IF(I1488&lt;=120,I1488*1.1+7,IF(I1488&lt;=250,I1488*1.1+11,I1488*1.1+19))),
IF(L1488="NORMAL",
   IF(I1488&lt;=30,I1488*1.15+2,IF(I1488&lt;=80,I1488*1.15+4,IF(I1488&lt;=150,I1488*1.15+6,I1488*1.15+8))),
IF(L1488="COMPLEMENTO",
   IF(I1488&lt;=25,I1488*1.25+1.5,IF(I1488&lt;=60,I1488*1.25+3,IF(I1488&lt;=120,I1488*1.25+4,I1488*1.25+5))),
""))),2)</f>
        <v>161.72</v>
      </c>
      <c r="I1488" s="9">
        <f>($K$2+0.02)*Tabla1[[#This Row],[PRECIO $]]*1.18</f>
        <v>135.40736000000001</v>
      </c>
      <c r="J1488" s="7">
        <f>+Tabla1[[#This Row],[PRECIO EN SOLES]]-Tabla1[[#This Row],[PC]]</f>
        <v>26.312639999999988</v>
      </c>
      <c r="K1488" s="15"/>
      <c r="L1488" s="15" t="str">
        <f t="shared" si="23"/>
        <v>NORMAL</v>
      </c>
    </row>
    <row r="1489" spans="1:12" x14ac:dyDescent="0.25">
      <c r="A1489" s="3" t="s">
        <v>436</v>
      </c>
      <c r="B1489" s="3" t="s">
        <v>437</v>
      </c>
      <c r="C1489" s="1">
        <v>0</v>
      </c>
      <c r="D1489" s="1">
        <v>47.8</v>
      </c>
      <c r="E1489" s="1" t="s">
        <v>426</v>
      </c>
      <c r="F1489" s="1" t="s">
        <v>3694</v>
      </c>
      <c r="G1489" s="3"/>
      <c r="H1489" s="11">
        <f>ROUND(
IF(L1489="GANCHO",
   IF(I1489&lt;=50,I1489*1.1+4,IF(I1489&lt;=120,I1489*1.1+7,IF(I1489&lt;=250,I1489*1.1+11,I1489*1.1+19))),
IF(L1489="NORMAL",
   IF(I1489&lt;=30,I1489*1.15+2,IF(I1489&lt;=80,I1489*1.15+4,IF(I1489&lt;=150,I1489*1.15+6,I1489*1.15+8))),
IF(L1489="COMPLEMENTO",
   IF(I1489&lt;=25,I1489*1.25+1.5,IF(I1489&lt;=60,I1489*1.25+3,IF(I1489&lt;=120,I1489*1.25+4,I1489*1.25+5))),
""))),2)</f>
        <v>236.32</v>
      </c>
      <c r="I1489" s="9">
        <f>($K$2+0.02)*Tabla1[[#This Row],[PRECIO $]]*1.18</f>
        <v>198.54208</v>
      </c>
      <c r="J1489" s="7">
        <f>+Tabla1[[#This Row],[PRECIO EN SOLES]]-Tabla1[[#This Row],[PC]]</f>
        <v>37.777919999999995</v>
      </c>
      <c r="K1489" s="15"/>
      <c r="L1489" s="15" t="str">
        <f t="shared" si="23"/>
        <v>NORMAL</v>
      </c>
    </row>
    <row r="1490" spans="1:12" x14ac:dyDescent="0.25">
      <c r="A1490" s="3" t="s">
        <v>6023</v>
      </c>
      <c r="B1490" s="3" t="s">
        <v>6024</v>
      </c>
      <c r="C1490" s="1">
        <v>0</v>
      </c>
      <c r="D1490" s="1">
        <v>9999999.9900000002</v>
      </c>
      <c r="E1490" s="1" t="s">
        <v>426</v>
      </c>
      <c r="F1490" s="1" t="s">
        <v>6025</v>
      </c>
      <c r="G1490" s="3"/>
      <c r="H1490" s="11">
        <f>ROUND(
IF(L1490="GANCHO",
   IF(I1490&lt;=50,I1490*1.1+4,IF(I1490&lt;=120,I1490*1.1+7,IF(I1490&lt;=250,I1490*1.1+11,I1490*1.1+19))),
IF(L1490="NORMAL",
   IF(I1490&lt;=30,I1490*1.15+2,IF(I1490&lt;=80,I1490*1.15+4,IF(I1490&lt;=150,I1490*1.15+6,I1490*1.15+8))),
IF(L1490="COMPLEMENTO",
   IF(I1490&lt;=25,I1490*1.25+1.5,IF(I1490&lt;=60,I1490*1.25+3,IF(I1490&lt;=120,I1490*1.25+4,I1490*1.25+5))),
""))),2)</f>
        <v>47766407.950000003</v>
      </c>
      <c r="I1490" s="9">
        <f>($K$2+0.02)*Tabla1[[#This Row],[PRECIO $]]*1.18</f>
        <v>41535999.958463997</v>
      </c>
      <c r="J1490" s="7">
        <f>+Tabla1[[#This Row],[PRECIO EN SOLES]]-Tabla1[[#This Row],[PC]]</f>
        <v>6230407.9915360063</v>
      </c>
      <c r="K1490" s="15"/>
      <c r="L1490" s="15" t="str">
        <f t="shared" si="23"/>
        <v>NORMAL</v>
      </c>
    </row>
    <row r="1491" spans="1:12" x14ac:dyDescent="0.25">
      <c r="A1491" s="3" t="s">
        <v>6026</v>
      </c>
      <c r="B1491" s="3" t="s">
        <v>6249</v>
      </c>
      <c r="C1491" s="1">
        <v>20</v>
      </c>
      <c r="D1491" s="1">
        <v>25.88</v>
      </c>
      <c r="E1491" s="1" t="s">
        <v>426</v>
      </c>
      <c r="F1491" s="1" t="s">
        <v>6027</v>
      </c>
      <c r="G1491" s="3"/>
      <c r="H1491" s="11">
        <f>ROUND(
IF(L1491="GANCHO",
   IF(I1491&lt;=50,I1491*1.1+4,IF(I1491&lt;=120,I1491*1.1+7,IF(I1491&lt;=250,I1491*1.1+11,I1491*1.1+19))),
IF(L1491="NORMAL",
   IF(I1491&lt;=30,I1491*1.15+2,IF(I1491&lt;=80,I1491*1.15+4,IF(I1491&lt;=150,I1491*1.15+6,I1491*1.15+8))),
IF(L1491="COMPLEMENTO",
   IF(I1491&lt;=25,I1491*1.25+1.5,IF(I1491&lt;=60,I1491*1.25+3,IF(I1491&lt;=120,I1491*1.25+4,I1491*1.25+5))),
""))),2)</f>
        <v>129.62</v>
      </c>
      <c r="I1491" s="9">
        <f>($K$2+0.02)*Tabla1[[#This Row],[PRECIO $]]*1.18</f>
        <v>107.49516799999999</v>
      </c>
      <c r="J1491" s="7">
        <f>+Tabla1[[#This Row],[PRECIO EN SOLES]]-Tabla1[[#This Row],[PC]]</f>
        <v>22.124832000000012</v>
      </c>
      <c r="K1491" s="15"/>
      <c r="L1491" s="15" t="str">
        <f t="shared" si="23"/>
        <v>NORMAL</v>
      </c>
    </row>
    <row r="1492" spans="1:12" x14ac:dyDescent="0.25">
      <c r="A1492" s="3" t="s">
        <v>2250</v>
      </c>
      <c r="B1492" s="3" t="s">
        <v>2251</v>
      </c>
      <c r="C1492" s="1">
        <v>20</v>
      </c>
      <c r="D1492" s="1">
        <v>75.599999999999994</v>
      </c>
      <c r="E1492" s="1" t="s">
        <v>426</v>
      </c>
      <c r="F1492" s="1" t="s">
        <v>3695</v>
      </c>
      <c r="G1492" s="3" t="s">
        <v>2252</v>
      </c>
      <c r="H1492" s="11">
        <f>ROUND(
IF(L1492="GANCHO",
   IF(I1492&lt;=50,I1492*1.1+4,IF(I1492&lt;=120,I1492*1.1+7,IF(I1492&lt;=250,I1492*1.1+11,I1492*1.1+19))),
IF(L1492="NORMAL",
   IF(I1492&lt;=30,I1492*1.15+2,IF(I1492&lt;=80,I1492*1.15+4,IF(I1492&lt;=150,I1492*1.15+6,I1492*1.15+8))),
IF(L1492="COMPLEMENTO",
   IF(I1492&lt;=25,I1492*1.25+1.5,IF(I1492&lt;=60,I1492*1.25+3,IF(I1492&lt;=120,I1492*1.25+4,I1492*1.25+5))),
""))),2)</f>
        <v>369.11</v>
      </c>
      <c r="I1492" s="9">
        <f>($K$2+0.02)*Tabla1[[#This Row],[PRECIO $]]*1.18</f>
        <v>314.01215999999994</v>
      </c>
      <c r="J1492" s="7">
        <f>+Tabla1[[#This Row],[PRECIO EN SOLES]]-Tabla1[[#This Row],[PC]]</f>
        <v>55.097840000000076</v>
      </c>
      <c r="K1492" s="15"/>
      <c r="L1492" s="15" t="str">
        <f t="shared" si="23"/>
        <v>NORMAL</v>
      </c>
    </row>
    <row r="1493" spans="1:12" x14ac:dyDescent="0.25">
      <c r="A1493" s="3" t="s">
        <v>2253</v>
      </c>
      <c r="B1493" s="3" t="s">
        <v>2254</v>
      </c>
      <c r="C1493" s="1">
        <v>20</v>
      </c>
      <c r="D1493" s="1">
        <v>87.5</v>
      </c>
      <c r="E1493" s="1" t="s">
        <v>426</v>
      </c>
      <c r="F1493" s="1" t="s">
        <v>3696</v>
      </c>
      <c r="G1493" s="3"/>
      <c r="H1493" s="11">
        <f>ROUND(
IF(L1493="GANCHO",
   IF(I1493&lt;=50,I1493*1.1+4,IF(I1493&lt;=120,I1493*1.1+7,IF(I1493&lt;=250,I1493*1.1+11,I1493*1.1+19))),
IF(L1493="NORMAL",
   IF(I1493&lt;=30,I1493*1.15+2,IF(I1493&lt;=80,I1493*1.15+4,IF(I1493&lt;=150,I1493*1.15+6,I1493*1.15+8))),
IF(L1493="COMPLEMENTO",
   IF(I1493&lt;=25,I1493*1.25+1.5,IF(I1493&lt;=60,I1493*1.25+3,IF(I1493&lt;=120,I1493*1.25+4,I1493*1.25+5))),
""))),2)</f>
        <v>425.96</v>
      </c>
      <c r="I1493" s="9">
        <f>($K$2+0.02)*Tabla1[[#This Row],[PRECIO $]]*1.18</f>
        <v>363.44</v>
      </c>
      <c r="J1493" s="7">
        <f>+Tabla1[[#This Row],[PRECIO EN SOLES]]-Tabla1[[#This Row],[PC]]</f>
        <v>62.519999999999982</v>
      </c>
      <c r="K1493" s="15"/>
      <c r="L1493" s="15" t="str">
        <f t="shared" si="23"/>
        <v>NORMAL</v>
      </c>
    </row>
    <row r="1494" spans="1:12" x14ac:dyDescent="0.25">
      <c r="A1494" s="3" t="s">
        <v>4461</v>
      </c>
      <c r="B1494" s="3" t="s">
        <v>4462</v>
      </c>
      <c r="C1494" s="1">
        <v>9</v>
      </c>
      <c r="D1494" s="1">
        <v>108.2</v>
      </c>
      <c r="E1494" s="1" t="s">
        <v>426</v>
      </c>
      <c r="F1494" s="1" t="s">
        <v>4463</v>
      </c>
      <c r="G1494" s="3"/>
      <c r="H1494" s="11">
        <f>ROUND(
IF(L1494="GANCHO",
   IF(I1494&lt;=50,I1494*1.1+4,IF(I1494&lt;=120,I1494*1.1+7,IF(I1494&lt;=250,I1494*1.1+11,I1494*1.1+19))),
IF(L1494="NORMAL",
   IF(I1494&lt;=30,I1494*1.15+2,IF(I1494&lt;=80,I1494*1.15+4,IF(I1494&lt;=150,I1494*1.15+6,I1494*1.15+8))),
IF(L1494="COMPLEMENTO",
   IF(I1494&lt;=25,I1494*1.25+1.5,IF(I1494&lt;=60,I1494*1.25+3,IF(I1494&lt;=120,I1494*1.25+4,I1494*1.25+5))),
""))),2)</f>
        <v>524.83000000000004</v>
      </c>
      <c r="I1494" s="9">
        <f>($K$2+0.02)*Tabla1[[#This Row],[PRECIO $]]*1.18</f>
        <v>449.41952000000003</v>
      </c>
      <c r="J1494" s="7">
        <f>+Tabla1[[#This Row],[PRECIO EN SOLES]]-Tabla1[[#This Row],[PC]]</f>
        <v>75.410480000000007</v>
      </c>
      <c r="K1494" s="15"/>
      <c r="L1494" s="15" t="str">
        <f t="shared" si="23"/>
        <v>NORMAL</v>
      </c>
    </row>
    <row r="1495" spans="1:12" x14ac:dyDescent="0.25">
      <c r="A1495" s="3" t="s">
        <v>2255</v>
      </c>
      <c r="B1495" s="3" t="s">
        <v>2256</v>
      </c>
      <c r="C1495" s="1">
        <v>9</v>
      </c>
      <c r="D1495" s="1">
        <v>150.80000000000001</v>
      </c>
      <c r="E1495" s="1" t="s">
        <v>426</v>
      </c>
      <c r="F1495" s="1" t="s">
        <v>3697</v>
      </c>
      <c r="G1495" s="3"/>
      <c r="H1495" s="11">
        <f>ROUND(
IF(L1495="GANCHO",
   IF(I1495&lt;=50,I1495*1.1+4,IF(I1495&lt;=120,I1495*1.1+7,IF(I1495&lt;=250,I1495*1.1+11,I1495*1.1+19))),
IF(L1495="NORMAL",
   IF(I1495&lt;=30,I1495*1.15+2,IF(I1495&lt;=80,I1495*1.15+4,IF(I1495&lt;=150,I1495*1.15+6,I1495*1.15+8))),
IF(L1495="COMPLEMENTO",
   IF(I1495&lt;=25,I1495*1.25+1.5,IF(I1495&lt;=60,I1495*1.25+3,IF(I1495&lt;=120,I1495*1.25+4,I1495*1.25+5))),
""))),2)</f>
        <v>728.32</v>
      </c>
      <c r="I1495" s="9">
        <f>($K$2+0.02)*Tabla1[[#This Row],[PRECIO $]]*1.18</f>
        <v>626.36288000000002</v>
      </c>
      <c r="J1495" s="7">
        <f>+Tabla1[[#This Row],[PRECIO EN SOLES]]-Tabla1[[#This Row],[PC]]</f>
        <v>101.95712000000003</v>
      </c>
      <c r="K1495" s="15"/>
      <c r="L1495" s="15" t="str">
        <f t="shared" si="23"/>
        <v>NORMAL</v>
      </c>
    </row>
    <row r="1496" spans="1:12" x14ac:dyDescent="0.25">
      <c r="A1496" s="3" t="s">
        <v>2257</v>
      </c>
      <c r="B1496" s="3" t="s">
        <v>2258</v>
      </c>
      <c r="C1496" s="1">
        <v>4</v>
      </c>
      <c r="D1496" s="1">
        <v>201.37</v>
      </c>
      <c r="E1496" s="1" t="s">
        <v>426</v>
      </c>
      <c r="F1496" s="1" t="s">
        <v>3698</v>
      </c>
      <c r="G1496" s="3"/>
      <c r="H1496" s="11">
        <f>ROUND(
IF(L1496="GANCHO",
   IF(I1496&lt;=50,I1496*1.1+4,IF(I1496&lt;=120,I1496*1.1+7,IF(I1496&lt;=250,I1496*1.1+11,I1496*1.1+19))),
IF(L1496="NORMAL",
   IF(I1496&lt;=30,I1496*1.15+2,IF(I1496&lt;=80,I1496*1.15+4,IF(I1496&lt;=150,I1496*1.15+6,I1496*1.15+8))),
IF(L1496="COMPLEMENTO",
   IF(I1496&lt;=25,I1496*1.25+1.5,IF(I1496&lt;=60,I1496*1.25+3,IF(I1496&lt;=120,I1496*1.25+4,I1496*1.25+5))),
""))),2)</f>
        <v>969.87</v>
      </c>
      <c r="I1496" s="9">
        <f>($K$2+0.02)*Tabla1[[#This Row],[PRECIO $]]*1.18</f>
        <v>836.41043200000001</v>
      </c>
      <c r="J1496" s="7">
        <f>+Tabla1[[#This Row],[PRECIO EN SOLES]]-Tabla1[[#This Row],[PC]]</f>
        <v>133.45956799999999</v>
      </c>
      <c r="K1496" s="15"/>
      <c r="L1496" s="15" t="str">
        <f t="shared" si="23"/>
        <v>NORMAL</v>
      </c>
    </row>
    <row r="1497" spans="1:12" x14ac:dyDescent="0.25">
      <c r="A1497" s="3" t="s">
        <v>4464</v>
      </c>
      <c r="B1497" s="3" t="s">
        <v>4465</v>
      </c>
      <c r="C1497" s="1">
        <v>5</v>
      </c>
      <c r="D1497" s="1">
        <v>251.5</v>
      </c>
      <c r="E1497" s="1" t="s">
        <v>426</v>
      </c>
      <c r="F1497" s="1" t="s">
        <v>4466</v>
      </c>
      <c r="G1497" s="3"/>
      <c r="H1497" s="11">
        <f>ROUND(
IF(L1497="GANCHO",
   IF(I1497&lt;=50,I1497*1.1+4,IF(I1497&lt;=120,I1497*1.1+7,IF(I1497&lt;=250,I1497*1.1+11,I1497*1.1+19))),
IF(L1497="NORMAL",
   IF(I1497&lt;=30,I1497*1.15+2,IF(I1497&lt;=80,I1497*1.15+4,IF(I1497&lt;=150,I1497*1.15+6,I1497*1.15+8))),
IF(L1497="COMPLEMENTO",
   IF(I1497&lt;=25,I1497*1.25+1.5,IF(I1497&lt;=60,I1497*1.25+3,IF(I1497&lt;=120,I1497*1.25+4,I1497*1.25+5))),
""))),2)</f>
        <v>1209.32</v>
      </c>
      <c r="I1497" s="9">
        <f>($K$2+0.02)*Tabla1[[#This Row],[PRECIO $]]*1.18</f>
        <v>1044.6304</v>
      </c>
      <c r="J1497" s="7">
        <f>+Tabla1[[#This Row],[PRECIO EN SOLES]]-Tabla1[[#This Row],[PC]]</f>
        <v>164.68959999999993</v>
      </c>
      <c r="K1497" s="15"/>
      <c r="L1497" s="15" t="str">
        <f t="shared" si="23"/>
        <v>NORMAL</v>
      </c>
    </row>
    <row r="1498" spans="1:12" x14ac:dyDescent="0.25">
      <c r="A1498" s="3" t="s">
        <v>438</v>
      </c>
      <c r="B1498" s="3" t="s">
        <v>439</v>
      </c>
      <c r="C1498" s="1">
        <v>20</v>
      </c>
      <c r="D1498" s="1">
        <v>32.4</v>
      </c>
      <c r="E1498" s="1" t="s">
        <v>426</v>
      </c>
      <c r="F1498" s="1" t="s">
        <v>3699</v>
      </c>
      <c r="G1498" s="3"/>
      <c r="H1498" s="11">
        <f>ROUND(
IF(L1498="GANCHO",
   IF(I1498&lt;=50,I1498*1.1+4,IF(I1498&lt;=120,I1498*1.1+7,IF(I1498&lt;=250,I1498*1.1+11,I1498*1.1+19))),
IF(L1498="NORMAL",
   IF(I1498&lt;=30,I1498*1.15+2,IF(I1498&lt;=80,I1498*1.15+4,IF(I1498&lt;=150,I1498*1.15+6,I1498*1.15+8))),
IF(L1498="COMPLEMENTO",
   IF(I1498&lt;=25,I1498*1.25+1.5,IF(I1498&lt;=60,I1498*1.25+3,IF(I1498&lt;=120,I1498*1.25+4,I1498*1.25+5))),
""))),2)</f>
        <v>160.76</v>
      </c>
      <c r="I1498" s="9">
        <f>($K$2+0.02)*Tabla1[[#This Row],[PRECIO $]]*1.18</f>
        <v>134.57664</v>
      </c>
      <c r="J1498" s="7">
        <f>+Tabla1[[#This Row],[PRECIO EN SOLES]]-Tabla1[[#This Row],[PC]]</f>
        <v>26.183359999999993</v>
      </c>
      <c r="K1498" s="15"/>
      <c r="L1498" s="15" t="str">
        <f t="shared" si="23"/>
        <v>NORMAL</v>
      </c>
    </row>
    <row r="1499" spans="1:12" x14ac:dyDescent="0.25">
      <c r="A1499" s="3" t="s">
        <v>440</v>
      </c>
      <c r="B1499" s="3" t="s">
        <v>441</v>
      </c>
      <c r="C1499" s="1">
        <v>20</v>
      </c>
      <c r="D1499" s="1">
        <v>52.6</v>
      </c>
      <c r="E1499" s="1" t="s">
        <v>426</v>
      </c>
      <c r="F1499" s="1" t="s">
        <v>3700</v>
      </c>
      <c r="G1499" s="3"/>
      <c r="H1499" s="11">
        <f>ROUND(
IF(L1499="GANCHO",
   IF(I1499&lt;=50,I1499*1.1+4,IF(I1499&lt;=120,I1499*1.1+7,IF(I1499&lt;=250,I1499*1.1+11,I1499*1.1+19))),
IF(L1499="NORMAL",
   IF(I1499&lt;=30,I1499*1.15+2,IF(I1499&lt;=80,I1499*1.15+4,IF(I1499&lt;=150,I1499*1.15+6,I1499*1.15+8))),
IF(L1499="COMPLEMENTO",
   IF(I1499&lt;=25,I1499*1.25+1.5,IF(I1499&lt;=60,I1499*1.25+3,IF(I1499&lt;=120,I1499*1.25+4,I1499*1.25+5))),
""))),2)</f>
        <v>259.25</v>
      </c>
      <c r="I1499" s="9">
        <f>($K$2+0.02)*Tabla1[[#This Row],[PRECIO $]]*1.18</f>
        <v>218.47936000000001</v>
      </c>
      <c r="J1499" s="7">
        <f>+Tabla1[[#This Row],[PRECIO EN SOLES]]-Tabla1[[#This Row],[PC]]</f>
        <v>40.770639999999986</v>
      </c>
      <c r="K1499" s="15"/>
      <c r="L1499" s="15" t="str">
        <f t="shared" si="23"/>
        <v>NORMAL</v>
      </c>
    </row>
    <row r="1500" spans="1:12" x14ac:dyDescent="0.25">
      <c r="A1500" s="3" t="s">
        <v>2259</v>
      </c>
      <c r="B1500" s="3" t="s">
        <v>2260</v>
      </c>
      <c r="C1500" s="1">
        <v>20</v>
      </c>
      <c r="D1500" s="1">
        <v>49</v>
      </c>
      <c r="E1500" s="1" t="s">
        <v>426</v>
      </c>
      <c r="F1500" s="1" t="s">
        <v>3701</v>
      </c>
      <c r="G1500" s="3"/>
      <c r="H1500" s="11">
        <f>ROUND(
IF(L1500="GANCHO",
   IF(I1500&lt;=50,I1500*1.1+4,IF(I1500&lt;=120,I1500*1.1+7,IF(I1500&lt;=250,I1500*1.1+11,I1500*1.1+19))),
IF(L1500="NORMAL",
   IF(I1500&lt;=30,I1500*1.15+2,IF(I1500&lt;=80,I1500*1.15+4,IF(I1500&lt;=150,I1500*1.15+6,I1500*1.15+8))),
IF(L1500="COMPLEMENTO",
   IF(I1500&lt;=25,I1500*1.25+1.5,IF(I1500&lt;=60,I1500*1.25+3,IF(I1500&lt;=120,I1500*1.25+4,I1500*1.25+5))),
""))),2)</f>
        <v>242.06</v>
      </c>
      <c r="I1500" s="9">
        <f>($K$2+0.02)*Tabla1[[#This Row],[PRECIO $]]*1.18</f>
        <v>203.52639999999997</v>
      </c>
      <c r="J1500" s="7">
        <f>+Tabla1[[#This Row],[PRECIO EN SOLES]]-Tabla1[[#This Row],[PC]]</f>
        <v>38.533600000000035</v>
      </c>
      <c r="K1500" s="15"/>
      <c r="L1500" s="15" t="str">
        <f t="shared" si="23"/>
        <v>NORMAL</v>
      </c>
    </row>
    <row r="1501" spans="1:12" x14ac:dyDescent="0.25">
      <c r="A1501" s="3" t="s">
        <v>2261</v>
      </c>
      <c r="B1501" s="3" t="s">
        <v>2262</v>
      </c>
      <c r="C1501" s="1">
        <v>20</v>
      </c>
      <c r="D1501" s="1">
        <v>25.65</v>
      </c>
      <c r="E1501" s="1" t="s">
        <v>426</v>
      </c>
      <c r="F1501" s="1" t="s">
        <v>3702</v>
      </c>
      <c r="G1501" s="3"/>
      <c r="H1501" s="11">
        <f>ROUND(
IF(L1501="GANCHO",
   IF(I1501&lt;=50,I1501*1.1+4,IF(I1501&lt;=120,I1501*1.1+7,IF(I1501&lt;=250,I1501*1.1+11,I1501*1.1+19))),
IF(L1501="NORMAL",
   IF(I1501&lt;=30,I1501*1.15+2,IF(I1501&lt;=80,I1501*1.15+4,IF(I1501&lt;=150,I1501*1.15+6,I1501*1.15+8))),
IF(L1501="COMPLEMENTO",
   IF(I1501&lt;=25,I1501*1.25+1.5,IF(I1501&lt;=60,I1501*1.25+3,IF(I1501&lt;=120,I1501*1.25+4,I1501*1.25+5))),
""))),2)</f>
        <v>128.52000000000001</v>
      </c>
      <c r="I1501" s="9">
        <f>($K$2+0.02)*Tabla1[[#This Row],[PRECIO $]]*1.18</f>
        <v>106.53983999999998</v>
      </c>
      <c r="J1501" s="7">
        <f>+Tabla1[[#This Row],[PRECIO EN SOLES]]-Tabla1[[#This Row],[PC]]</f>
        <v>21.980160000000026</v>
      </c>
      <c r="K1501" s="15"/>
      <c r="L1501" s="15" t="str">
        <f t="shared" si="23"/>
        <v>NORMAL</v>
      </c>
    </row>
    <row r="1502" spans="1:12" x14ac:dyDescent="0.25">
      <c r="A1502" s="3" t="s">
        <v>2263</v>
      </c>
      <c r="B1502" s="3" t="s">
        <v>2264</v>
      </c>
      <c r="C1502" s="1">
        <v>20</v>
      </c>
      <c r="D1502" s="1">
        <v>20.55</v>
      </c>
      <c r="E1502" s="1" t="s">
        <v>426</v>
      </c>
      <c r="F1502" s="1" t="s">
        <v>3703</v>
      </c>
      <c r="G1502" s="3"/>
      <c r="H1502" s="11">
        <f>ROUND(
IF(L1502="GANCHO",
   IF(I1502&lt;=50,I1502*1.1+4,IF(I1502&lt;=120,I1502*1.1+7,IF(I1502&lt;=250,I1502*1.1+11,I1502*1.1+19))),
IF(L1502="NORMAL",
   IF(I1502&lt;=30,I1502*1.15+2,IF(I1502&lt;=80,I1502*1.15+4,IF(I1502&lt;=150,I1502*1.15+6,I1502*1.15+8))),
IF(L1502="COMPLEMENTO",
   IF(I1502&lt;=25,I1502*1.25+1.5,IF(I1502&lt;=60,I1502*1.25+3,IF(I1502&lt;=120,I1502*1.25+4,I1502*1.25+5))),
""))),2)</f>
        <v>104.16</v>
      </c>
      <c r="I1502" s="9">
        <f>($K$2+0.02)*Tabla1[[#This Row],[PRECIO $]]*1.18</f>
        <v>85.356479999999991</v>
      </c>
      <c r="J1502" s="7">
        <f>+Tabla1[[#This Row],[PRECIO EN SOLES]]-Tabla1[[#This Row],[PC]]</f>
        <v>18.803520000000006</v>
      </c>
      <c r="K1502" s="15"/>
      <c r="L1502" s="15" t="str">
        <f t="shared" si="23"/>
        <v>NORMAL</v>
      </c>
    </row>
    <row r="1503" spans="1:12" x14ac:dyDescent="0.25">
      <c r="A1503" s="3" t="s">
        <v>7022</v>
      </c>
      <c r="B1503" s="3" t="s">
        <v>7023</v>
      </c>
      <c r="C1503" s="1">
        <v>0</v>
      </c>
      <c r="D1503" s="1">
        <v>15.1</v>
      </c>
      <c r="E1503" s="1" t="s">
        <v>426</v>
      </c>
      <c r="F1503" s="1" t="s">
        <v>7024</v>
      </c>
      <c r="G1503" s="3"/>
      <c r="H1503" s="11">
        <f>ROUND(
IF(L1503="GANCHO",
   IF(I1503&lt;=50,I1503*1.1+4,IF(I1503&lt;=120,I1503*1.1+7,IF(I1503&lt;=250,I1503*1.1+11,I1503*1.1+19))),
IF(L1503="NORMAL",
   IF(I1503&lt;=30,I1503*1.15+2,IF(I1503&lt;=80,I1503*1.15+4,IF(I1503&lt;=150,I1503*1.15+6,I1503*1.15+8))),
IF(L1503="COMPLEMENTO",
   IF(I1503&lt;=25,I1503*1.25+1.5,IF(I1503&lt;=60,I1503*1.25+3,IF(I1503&lt;=120,I1503*1.25+4,I1503*1.25+5))),
""))),2)</f>
        <v>76.13</v>
      </c>
      <c r="I1503" s="9">
        <f>($K$2+0.02)*Tabla1[[#This Row],[PRECIO $]]*1.18</f>
        <v>62.719359999999995</v>
      </c>
      <c r="J1503" s="7">
        <f>+Tabla1[[#This Row],[PRECIO EN SOLES]]-Tabla1[[#This Row],[PC]]</f>
        <v>13.410640000000001</v>
      </c>
      <c r="K1503" s="15"/>
      <c r="L1503" s="15" t="str">
        <f t="shared" si="23"/>
        <v>NORMAL</v>
      </c>
    </row>
    <row r="1504" spans="1:12" x14ac:dyDescent="0.25">
      <c r="A1504" s="3" t="s">
        <v>2265</v>
      </c>
      <c r="B1504" s="3" t="s">
        <v>2266</v>
      </c>
      <c r="C1504" s="1">
        <v>20</v>
      </c>
      <c r="D1504" s="1">
        <v>20.3</v>
      </c>
      <c r="E1504" s="1" t="s">
        <v>426</v>
      </c>
      <c r="F1504" s="1" t="s">
        <v>3704</v>
      </c>
      <c r="G1504" s="3"/>
      <c r="H1504" s="11">
        <f>ROUND(
IF(L1504="GANCHO",
   IF(I1504&lt;=50,I1504*1.1+4,IF(I1504&lt;=120,I1504*1.1+7,IF(I1504&lt;=250,I1504*1.1+11,I1504*1.1+19))),
IF(L1504="NORMAL",
   IF(I1504&lt;=30,I1504*1.15+2,IF(I1504&lt;=80,I1504*1.15+4,IF(I1504&lt;=150,I1504*1.15+6,I1504*1.15+8))),
IF(L1504="COMPLEMENTO",
   IF(I1504&lt;=25,I1504*1.25+1.5,IF(I1504&lt;=60,I1504*1.25+3,IF(I1504&lt;=120,I1504*1.25+4,I1504*1.25+5))),
""))),2)</f>
        <v>102.97</v>
      </c>
      <c r="I1504" s="9">
        <f>($K$2+0.02)*Tabla1[[#This Row],[PRECIO $]]*1.18</f>
        <v>84.318079999999995</v>
      </c>
      <c r="J1504" s="7">
        <f>+Tabla1[[#This Row],[PRECIO EN SOLES]]-Tabla1[[#This Row],[PC]]</f>
        <v>18.651920000000004</v>
      </c>
      <c r="K1504" s="15"/>
      <c r="L1504" s="15" t="str">
        <f t="shared" si="23"/>
        <v>NORMAL</v>
      </c>
    </row>
    <row r="1505" spans="1:12" x14ac:dyDescent="0.25">
      <c r="A1505" s="3" t="s">
        <v>6028</v>
      </c>
      <c r="B1505" s="3" t="s">
        <v>6029</v>
      </c>
      <c r="C1505" s="1">
        <v>0</v>
      </c>
      <c r="D1505" s="1">
        <v>9999999.9900000002</v>
      </c>
      <c r="E1505" s="1" t="s">
        <v>426</v>
      </c>
      <c r="F1505" s="1" t="s">
        <v>6030</v>
      </c>
      <c r="G1505" s="3"/>
      <c r="H1505" s="11">
        <f>ROUND(
IF(L1505="GANCHO",
   IF(I1505&lt;=50,I1505*1.1+4,IF(I1505&lt;=120,I1505*1.1+7,IF(I1505&lt;=250,I1505*1.1+11,I1505*1.1+19))),
IF(L1505="NORMAL",
   IF(I1505&lt;=30,I1505*1.15+2,IF(I1505&lt;=80,I1505*1.15+4,IF(I1505&lt;=150,I1505*1.15+6,I1505*1.15+8))),
IF(L1505="COMPLEMENTO",
   IF(I1505&lt;=25,I1505*1.25+1.5,IF(I1505&lt;=60,I1505*1.25+3,IF(I1505&lt;=120,I1505*1.25+4,I1505*1.25+5))),
""))),2)</f>
        <v>47766407.950000003</v>
      </c>
      <c r="I1505" s="9">
        <f>($K$2+0.02)*Tabla1[[#This Row],[PRECIO $]]*1.18</f>
        <v>41535999.958463997</v>
      </c>
      <c r="J1505" s="7">
        <f>+Tabla1[[#This Row],[PRECIO EN SOLES]]-Tabla1[[#This Row],[PC]]</f>
        <v>6230407.9915360063</v>
      </c>
      <c r="K1505" s="15"/>
      <c r="L1505" s="15" t="str">
        <f t="shared" si="23"/>
        <v>NORMAL</v>
      </c>
    </row>
    <row r="1506" spans="1:12" x14ac:dyDescent="0.25">
      <c r="A1506" s="3" t="s">
        <v>4467</v>
      </c>
      <c r="B1506" s="3" t="s">
        <v>4468</v>
      </c>
      <c r="C1506" s="1">
        <v>20</v>
      </c>
      <c r="D1506" s="1">
        <v>65.3</v>
      </c>
      <c r="E1506" s="1" t="s">
        <v>426</v>
      </c>
      <c r="F1506" s="1" t="s">
        <v>4469</v>
      </c>
      <c r="G1506" s="3"/>
      <c r="H1506" s="11">
        <f>ROUND(
IF(L1506="GANCHO",
   IF(I1506&lt;=50,I1506*1.1+4,IF(I1506&lt;=120,I1506*1.1+7,IF(I1506&lt;=250,I1506*1.1+11,I1506*1.1+19))),
IF(L1506="NORMAL",
   IF(I1506&lt;=30,I1506*1.15+2,IF(I1506&lt;=80,I1506*1.15+4,IF(I1506&lt;=150,I1506*1.15+6,I1506*1.15+8))),
IF(L1506="COMPLEMENTO",
   IF(I1506&lt;=25,I1506*1.25+1.5,IF(I1506&lt;=60,I1506*1.25+3,IF(I1506&lt;=120,I1506*1.25+4,I1506*1.25+5))),
""))),2)</f>
        <v>319.91000000000003</v>
      </c>
      <c r="I1506" s="9">
        <f>($K$2+0.02)*Tabla1[[#This Row],[PRECIO $]]*1.18</f>
        <v>271.23007999999999</v>
      </c>
      <c r="J1506" s="7">
        <f>+Tabla1[[#This Row],[PRECIO EN SOLES]]-Tabla1[[#This Row],[PC]]</f>
        <v>48.679920000000038</v>
      </c>
      <c r="K1506" s="15"/>
      <c r="L1506" s="15" t="str">
        <f t="shared" si="23"/>
        <v>NORMAL</v>
      </c>
    </row>
    <row r="1507" spans="1:12" x14ac:dyDescent="0.25">
      <c r="A1507" s="3" t="s">
        <v>6031</v>
      </c>
      <c r="B1507" s="3" t="s">
        <v>6250</v>
      </c>
      <c r="C1507" s="1">
        <v>20</v>
      </c>
      <c r="D1507" s="1">
        <v>28.61</v>
      </c>
      <c r="E1507" s="1" t="s">
        <v>426</v>
      </c>
      <c r="F1507" s="1" t="s">
        <v>6032</v>
      </c>
      <c r="G1507" s="3"/>
      <c r="H1507" s="11">
        <f>ROUND(
IF(L1507="GANCHO",
   IF(I1507&lt;=50,I1507*1.1+4,IF(I1507&lt;=120,I1507*1.1+7,IF(I1507&lt;=250,I1507*1.1+11,I1507*1.1+19))),
IF(L1507="NORMAL",
   IF(I1507&lt;=30,I1507*1.15+2,IF(I1507&lt;=80,I1507*1.15+4,IF(I1507&lt;=150,I1507*1.15+6,I1507*1.15+8))),
IF(L1507="COMPLEMENTO",
   IF(I1507&lt;=25,I1507*1.25+1.5,IF(I1507&lt;=60,I1507*1.25+3,IF(I1507&lt;=120,I1507*1.25+4,I1507*1.25+5))),
""))),2)</f>
        <v>142.66</v>
      </c>
      <c r="I1507" s="9">
        <f>($K$2+0.02)*Tabla1[[#This Row],[PRECIO $]]*1.18</f>
        <v>118.83449599999999</v>
      </c>
      <c r="J1507" s="7">
        <f>+Tabla1[[#This Row],[PRECIO EN SOLES]]-Tabla1[[#This Row],[PC]]</f>
        <v>23.825504000000009</v>
      </c>
      <c r="K1507" s="15"/>
      <c r="L1507" s="15" t="str">
        <f t="shared" si="23"/>
        <v>NORMAL</v>
      </c>
    </row>
    <row r="1508" spans="1:12" x14ac:dyDescent="0.25">
      <c r="A1508" s="3" t="s">
        <v>6033</v>
      </c>
      <c r="B1508" s="3" t="s">
        <v>6251</v>
      </c>
      <c r="C1508" s="1">
        <v>20</v>
      </c>
      <c r="D1508" s="1">
        <v>24.13</v>
      </c>
      <c r="E1508" s="1" t="s">
        <v>426</v>
      </c>
      <c r="F1508" s="1" t="s">
        <v>6034</v>
      </c>
      <c r="G1508" s="3"/>
      <c r="H1508" s="11">
        <f>ROUND(
IF(L1508="GANCHO",
   IF(I1508&lt;=50,I1508*1.1+4,IF(I1508&lt;=120,I1508*1.1+7,IF(I1508&lt;=250,I1508*1.1+11,I1508*1.1+19))),
IF(L1508="NORMAL",
   IF(I1508&lt;=30,I1508*1.15+2,IF(I1508&lt;=80,I1508*1.15+4,IF(I1508&lt;=150,I1508*1.15+6,I1508*1.15+8))),
IF(L1508="COMPLEMENTO",
   IF(I1508&lt;=25,I1508*1.25+1.5,IF(I1508&lt;=60,I1508*1.25+3,IF(I1508&lt;=120,I1508*1.25+4,I1508*1.25+5))),
""))),2)</f>
        <v>121.26</v>
      </c>
      <c r="I1508" s="9">
        <f>($K$2+0.02)*Tabla1[[#This Row],[PRECIO $]]*1.18</f>
        <v>100.22636799999999</v>
      </c>
      <c r="J1508" s="7">
        <f>+Tabla1[[#This Row],[PRECIO EN SOLES]]-Tabla1[[#This Row],[PC]]</f>
        <v>21.033632000000011</v>
      </c>
      <c r="K1508" s="15"/>
      <c r="L1508" s="15" t="str">
        <f t="shared" si="23"/>
        <v>NORMAL</v>
      </c>
    </row>
    <row r="1509" spans="1:12" x14ac:dyDescent="0.25">
      <c r="A1509" s="3" t="s">
        <v>6035</v>
      </c>
      <c r="B1509" s="3" t="s">
        <v>6036</v>
      </c>
      <c r="C1509" s="1">
        <v>0</v>
      </c>
      <c r="D1509" s="1">
        <v>9999999.9900000002</v>
      </c>
      <c r="E1509" s="1" t="s">
        <v>426</v>
      </c>
      <c r="F1509" s="1" t="s">
        <v>6037</v>
      </c>
      <c r="G1509" s="3"/>
      <c r="H1509" s="11">
        <f>ROUND(
IF(L1509="GANCHO",
   IF(I1509&lt;=50,I1509*1.1+4,IF(I1509&lt;=120,I1509*1.1+7,IF(I1509&lt;=250,I1509*1.1+11,I1509*1.1+19))),
IF(L1509="NORMAL",
   IF(I1509&lt;=30,I1509*1.15+2,IF(I1509&lt;=80,I1509*1.15+4,IF(I1509&lt;=150,I1509*1.15+6,I1509*1.15+8))),
IF(L1509="COMPLEMENTO",
   IF(I1509&lt;=25,I1509*1.25+1.5,IF(I1509&lt;=60,I1509*1.25+3,IF(I1509&lt;=120,I1509*1.25+4,I1509*1.25+5))),
""))),2)</f>
        <v>47766407.950000003</v>
      </c>
      <c r="I1509" s="9">
        <f>($K$2+0.02)*Tabla1[[#This Row],[PRECIO $]]*1.18</f>
        <v>41535999.958463997</v>
      </c>
      <c r="J1509" s="7">
        <f>+Tabla1[[#This Row],[PRECIO EN SOLES]]-Tabla1[[#This Row],[PC]]</f>
        <v>6230407.9915360063</v>
      </c>
      <c r="K1509" s="15"/>
      <c r="L1509" s="15" t="str">
        <f t="shared" si="23"/>
        <v>NORMAL</v>
      </c>
    </row>
    <row r="1510" spans="1:12" x14ac:dyDescent="0.25">
      <c r="A1510" s="3" t="s">
        <v>2267</v>
      </c>
      <c r="B1510" s="3" t="s">
        <v>428</v>
      </c>
      <c r="C1510" s="1">
        <v>0</v>
      </c>
      <c r="D1510" s="1">
        <v>999</v>
      </c>
      <c r="E1510" s="1" t="s">
        <v>184</v>
      </c>
      <c r="F1510" s="1" t="s">
        <v>3705</v>
      </c>
      <c r="G1510" s="3"/>
      <c r="H1510" s="11">
        <f>ROUND(
IF(L1510="GANCHO",
   IF(I1510&lt;=50,I1510*1.1+4,IF(I1510&lt;=120,I1510*1.1+7,IF(I1510&lt;=250,I1510*1.1+11,I1510*1.1+19))),
IF(L1510="NORMAL",
   IF(I1510&lt;=30,I1510*1.15+2,IF(I1510&lt;=80,I1510*1.15+4,IF(I1510&lt;=150,I1510*1.15+6,I1510*1.15+8))),
IF(L1510="COMPLEMENTO",
   IF(I1510&lt;=25,I1510*1.25+1.5,IF(I1510&lt;=60,I1510*1.25+3,IF(I1510&lt;=120,I1510*1.25+4,I1510*1.25+5))),
""))),2)</f>
        <v>4779.8599999999997</v>
      </c>
      <c r="I1510" s="9">
        <f>($K$2+0.02)*Tabla1[[#This Row],[PRECIO $]]*1.18</f>
        <v>4149.4463999999998</v>
      </c>
      <c r="J1510" s="7">
        <f>+Tabla1[[#This Row],[PRECIO EN SOLES]]-Tabla1[[#This Row],[PC]]</f>
        <v>630.41359999999986</v>
      </c>
      <c r="K1510" s="15"/>
      <c r="L1510" s="15" t="str">
        <f t="shared" si="23"/>
        <v>NORMAL</v>
      </c>
    </row>
    <row r="1511" spans="1:12" x14ac:dyDescent="0.25">
      <c r="A1511" s="3" t="s">
        <v>2268</v>
      </c>
      <c r="B1511" s="3" t="s">
        <v>2225</v>
      </c>
      <c r="C1511" s="1">
        <v>0</v>
      </c>
      <c r="D1511" s="1">
        <v>999</v>
      </c>
      <c r="E1511" s="1" t="s">
        <v>184</v>
      </c>
      <c r="F1511" s="1" t="s">
        <v>3706</v>
      </c>
      <c r="G1511" s="3"/>
      <c r="H1511" s="11">
        <f>ROUND(
IF(L1511="GANCHO",
   IF(I1511&lt;=50,I1511*1.1+4,IF(I1511&lt;=120,I1511*1.1+7,IF(I1511&lt;=250,I1511*1.1+11,I1511*1.1+19))),
IF(L1511="NORMAL",
   IF(I1511&lt;=30,I1511*1.15+2,IF(I1511&lt;=80,I1511*1.15+4,IF(I1511&lt;=150,I1511*1.15+6,I1511*1.15+8))),
IF(L1511="COMPLEMENTO",
   IF(I1511&lt;=25,I1511*1.25+1.5,IF(I1511&lt;=60,I1511*1.25+3,IF(I1511&lt;=120,I1511*1.25+4,I1511*1.25+5))),
""))),2)</f>
        <v>4779.8599999999997</v>
      </c>
      <c r="I1511" s="9">
        <f>($K$2+0.02)*Tabla1[[#This Row],[PRECIO $]]*1.18</f>
        <v>4149.4463999999998</v>
      </c>
      <c r="J1511" s="7">
        <f>+Tabla1[[#This Row],[PRECIO EN SOLES]]-Tabla1[[#This Row],[PC]]</f>
        <v>630.41359999999986</v>
      </c>
      <c r="K1511" s="15"/>
      <c r="L1511" s="15" t="str">
        <f t="shared" si="23"/>
        <v>NORMAL</v>
      </c>
    </row>
    <row r="1512" spans="1:12" x14ac:dyDescent="0.25">
      <c r="A1512" s="3" t="s">
        <v>2269</v>
      </c>
      <c r="B1512" s="3" t="s">
        <v>2227</v>
      </c>
      <c r="C1512" s="1">
        <v>20</v>
      </c>
      <c r="D1512" s="1">
        <v>666</v>
      </c>
      <c r="E1512" s="1" t="s">
        <v>240</v>
      </c>
      <c r="F1512" s="1" t="s">
        <v>3707</v>
      </c>
      <c r="G1512" s="3"/>
      <c r="H1512" s="11">
        <f>ROUND(
IF(L1512="GANCHO",
   IF(I1512&lt;=50,I1512*1.1+4,IF(I1512&lt;=120,I1512*1.1+7,IF(I1512&lt;=250,I1512*1.1+11,I1512*1.1+19))),
IF(L1512="NORMAL",
   IF(I1512&lt;=30,I1512*1.15+2,IF(I1512&lt;=80,I1512*1.15+4,IF(I1512&lt;=150,I1512*1.15+6,I1512*1.15+8))),
IF(L1512="COMPLEMENTO",
   IF(I1512&lt;=25,I1512*1.25+1.5,IF(I1512&lt;=60,I1512*1.25+3,IF(I1512&lt;=120,I1512*1.25+4,I1512*1.25+5))),
""))),2)</f>
        <v>3189.24</v>
      </c>
      <c r="I1512" s="9">
        <f>($K$2+0.02)*Tabla1[[#This Row],[PRECIO $]]*1.18</f>
        <v>2766.2975999999999</v>
      </c>
      <c r="J1512" s="7">
        <f>+Tabla1[[#This Row],[PRECIO EN SOLES]]-Tabla1[[#This Row],[PC]]</f>
        <v>422.94239999999991</v>
      </c>
      <c r="K1512" s="15"/>
      <c r="L1512" s="15" t="str">
        <f t="shared" si="23"/>
        <v>NORMAL</v>
      </c>
    </row>
    <row r="1513" spans="1:12" x14ac:dyDescent="0.25">
      <c r="A1513" s="3" t="s">
        <v>2270</v>
      </c>
      <c r="B1513" s="3" t="s">
        <v>2271</v>
      </c>
      <c r="C1513" s="1">
        <v>0</v>
      </c>
      <c r="D1513" s="1">
        <v>999</v>
      </c>
      <c r="E1513" s="1" t="s">
        <v>74</v>
      </c>
      <c r="F1513" s="1" t="s">
        <v>3708</v>
      </c>
      <c r="G1513" s="3"/>
      <c r="H1513" s="11">
        <f>ROUND(
IF(L1513="GANCHO",
   IF(I1513&lt;=50,I1513*1.1+4,IF(I1513&lt;=120,I1513*1.1+7,IF(I1513&lt;=250,I1513*1.1+11,I1513*1.1+19))),
IF(L1513="NORMAL",
   IF(I1513&lt;=30,I1513*1.15+2,IF(I1513&lt;=80,I1513*1.15+4,IF(I1513&lt;=150,I1513*1.15+6,I1513*1.15+8))),
IF(L1513="COMPLEMENTO",
   IF(I1513&lt;=25,I1513*1.25+1.5,IF(I1513&lt;=60,I1513*1.25+3,IF(I1513&lt;=120,I1513*1.25+4,I1513*1.25+5))),
""))),2)</f>
        <v>4779.8599999999997</v>
      </c>
      <c r="I1513" s="9">
        <f>($K$2+0.02)*Tabla1[[#This Row],[PRECIO $]]*1.18</f>
        <v>4149.4463999999998</v>
      </c>
      <c r="J1513" s="7">
        <f>+Tabla1[[#This Row],[PRECIO EN SOLES]]-Tabla1[[#This Row],[PC]]</f>
        <v>630.41359999999986</v>
      </c>
      <c r="K1513" s="15"/>
      <c r="L1513" s="15" t="str">
        <f t="shared" si="23"/>
        <v>NORMAL</v>
      </c>
    </row>
    <row r="1514" spans="1:12" x14ac:dyDescent="0.25">
      <c r="A1514" s="3" t="s">
        <v>2272</v>
      </c>
      <c r="B1514" s="3" t="s">
        <v>2273</v>
      </c>
      <c r="C1514" s="1">
        <v>0</v>
      </c>
      <c r="D1514" s="1">
        <v>137</v>
      </c>
      <c r="E1514" s="1" t="s">
        <v>1859</v>
      </c>
      <c r="F1514" s="1" t="s">
        <v>3709</v>
      </c>
      <c r="G1514" s="3"/>
      <c r="H1514" s="11">
        <f>ROUND(
IF(L1514="GANCHO",
   IF(I1514&lt;=50,I1514*1.1+4,IF(I1514&lt;=120,I1514*1.1+7,IF(I1514&lt;=250,I1514*1.1+11,I1514*1.1+19))),
IF(L1514="NORMAL",
   IF(I1514&lt;=30,I1514*1.15+2,IF(I1514&lt;=80,I1514*1.15+4,IF(I1514&lt;=150,I1514*1.15+6,I1514*1.15+8))),
IF(L1514="COMPLEMENTO",
   IF(I1514&lt;=25,I1514*1.25+1.5,IF(I1514&lt;=60,I1514*1.25+3,IF(I1514&lt;=120,I1514*1.25+4,I1514*1.25+5))),
""))),2)</f>
        <v>662.4</v>
      </c>
      <c r="I1514" s="9">
        <f>($K$2+0.02)*Tabla1[[#This Row],[PRECIO $]]*1.18</f>
        <v>569.04319999999996</v>
      </c>
      <c r="J1514" s="7">
        <f>+Tabla1[[#This Row],[PRECIO EN SOLES]]-Tabla1[[#This Row],[PC]]</f>
        <v>93.356800000000021</v>
      </c>
      <c r="K1514" s="15"/>
      <c r="L1514" s="15" t="str">
        <f t="shared" si="23"/>
        <v>NORMAL</v>
      </c>
    </row>
    <row r="1515" spans="1:12" x14ac:dyDescent="0.25">
      <c r="A1515" s="3" t="s">
        <v>2274</v>
      </c>
      <c r="B1515" s="3" t="s">
        <v>2275</v>
      </c>
      <c r="C1515" s="1">
        <v>0</v>
      </c>
      <c r="D1515" s="1">
        <v>16.38</v>
      </c>
      <c r="E1515" s="1" t="s">
        <v>56</v>
      </c>
      <c r="F1515" s="1" t="s">
        <v>3710</v>
      </c>
      <c r="G1515" s="3" t="s">
        <v>2276</v>
      </c>
      <c r="H1515" s="11">
        <f>ROUND(
IF(L1515="GANCHO",
   IF(I1515&lt;=50,I1515*1.1+4,IF(I1515&lt;=120,I1515*1.1+7,IF(I1515&lt;=250,I1515*1.1+11,I1515*1.1+19))),
IF(L1515="NORMAL",
   IF(I1515&lt;=30,I1515*1.15+2,IF(I1515&lt;=80,I1515*1.15+4,IF(I1515&lt;=150,I1515*1.15+6,I1515*1.15+8))),
IF(L1515="COMPLEMENTO",
   IF(I1515&lt;=25,I1515*1.25+1.5,IF(I1515&lt;=60,I1515*1.25+3,IF(I1515&lt;=120,I1515*1.25+4,I1515*1.25+5))),
""))),2)</f>
        <v>82.24</v>
      </c>
      <c r="I1515" s="9">
        <f>($K$2+0.02)*Tabla1[[#This Row],[PRECIO $]]*1.18</f>
        <v>68.035967999999997</v>
      </c>
      <c r="J1515" s="7">
        <f>+Tabla1[[#This Row],[PRECIO EN SOLES]]-Tabla1[[#This Row],[PC]]</f>
        <v>14.204031999999998</v>
      </c>
      <c r="K1515" s="15"/>
      <c r="L1515" s="15" t="str">
        <f t="shared" si="23"/>
        <v>NORMAL</v>
      </c>
    </row>
    <row r="1516" spans="1:12" x14ac:dyDescent="0.25">
      <c r="A1516" s="3" t="s">
        <v>2277</v>
      </c>
      <c r="B1516" s="3" t="s">
        <v>2278</v>
      </c>
      <c r="C1516" s="1">
        <v>0</v>
      </c>
      <c r="D1516" s="1">
        <v>999</v>
      </c>
      <c r="E1516" s="1" t="s">
        <v>238</v>
      </c>
      <c r="F1516" s="1" t="s">
        <v>3711</v>
      </c>
      <c r="G1516" s="3"/>
      <c r="H1516" s="11">
        <f>ROUND(
IF(L1516="GANCHO",
   IF(I1516&lt;=50,I1516*1.1+4,IF(I1516&lt;=120,I1516*1.1+7,IF(I1516&lt;=250,I1516*1.1+11,I1516*1.1+19))),
IF(L1516="NORMAL",
   IF(I1516&lt;=30,I1516*1.15+2,IF(I1516&lt;=80,I1516*1.15+4,IF(I1516&lt;=150,I1516*1.15+6,I1516*1.15+8))),
IF(L1516="COMPLEMENTO",
   IF(I1516&lt;=25,I1516*1.25+1.5,IF(I1516&lt;=60,I1516*1.25+3,IF(I1516&lt;=120,I1516*1.25+4,I1516*1.25+5))),
""))),2)</f>
        <v>4779.8599999999997</v>
      </c>
      <c r="I1516" s="9">
        <f>($K$2+0.02)*Tabla1[[#This Row],[PRECIO $]]*1.18</f>
        <v>4149.4463999999998</v>
      </c>
      <c r="J1516" s="7">
        <f>+Tabla1[[#This Row],[PRECIO EN SOLES]]-Tabla1[[#This Row],[PC]]</f>
        <v>630.41359999999986</v>
      </c>
      <c r="K1516" s="15"/>
      <c r="L1516" s="15" t="str">
        <f t="shared" si="23"/>
        <v>NORMAL</v>
      </c>
    </row>
    <row r="1517" spans="1:12" x14ac:dyDescent="0.25">
      <c r="A1517" s="3" t="s">
        <v>2279</v>
      </c>
      <c r="B1517" s="3" t="s">
        <v>2280</v>
      </c>
      <c r="C1517" s="1">
        <v>2</v>
      </c>
      <c r="D1517" s="1">
        <v>195</v>
      </c>
      <c r="E1517" s="1" t="s">
        <v>238</v>
      </c>
      <c r="F1517" s="1" t="s">
        <v>3712</v>
      </c>
      <c r="G1517" s="3"/>
      <c r="H1517" s="11">
        <f>ROUND(
IF(L1517="GANCHO",
   IF(I1517&lt;=50,I1517*1.1+4,IF(I1517&lt;=120,I1517*1.1+7,IF(I1517&lt;=250,I1517*1.1+11,I1517*1.1+19))),
IF(L1517="NORMAL",
   IF(I1517&lt;=30,I1517*1.15+2,IF(I1517&lt;=80,I1517*1.15+4,IF(I1517&lt;=150,I1517*1.15+6,I1517*1.15+8))),
IF(L1517="COMPLEMENTO",
   IF(I1517&lt;=25,I1517*1.25+1.5,IF(I1517&lt;=60,I1517*1.25+3,IF(I1517&lt;=120,I1517*1.25+4,I1517*1.25+5))),
""))),2)</f>
        <v>939.44</v>
      </c>
      <c r="I1517" s="9">
        <f>($K$2+0.02)*Tabla1[[#This Row],[PRECIO $]]*1.18</f>
        <v>809.95199999999988</v>
      </c>
      <c r="J1517" s="7">
        <f>+Tabla1[[#This Row],[PRECIO EN SOLES]]-Tabla1[[#This Row],[PC]]</f>
        <v>129.48800000000017</v>
      </c>
      <c r="K1517" s="15"/>
      <c r="L1517" s="15" t="str">
        <f t="shared" si="23"/>
        <v>NORMAL</v>
      </c>
    </row>
    <row r="1518" spans="1:12" x14ac:dyDescent="0.25">
      <c r="A1518" s="3" t="s">
        <v>2281</v>
      </c>
      <c r="B1518" s="3" t="s">
        <v>2282</v>
      </c>
      <c r="C1518" s="1">
        <v>2</v>
      </c>
      <c r="D1518" s="1">
        <v>185</v>
      </c>
      <c r="E1518" s="1" t="s">
        <v>238</v>
      </c>
      <c r="F1518" s="1" t="s">
        <v>3713</v>
      </c>
      <c r="G1518" s="3"/>
      <c r="H1518" s="11">
        <f>ROUND(
IF(L1518="GANCHO",
   IF(I1518&lt;=50,I1518*1.1+4,IF(I1518&lt;=120,I1518*1.1+7,IF(I1518&lt;=250,I1518*1.1+11,I1518*1.1+19))),
IF(L1518="NORMAL",
   IF(I1518&lt;=30,I1518*1.15+2,IF(I1518&lt;=80,I1518*1.15+4,IF(I1518&lt;=150,I1518*1.15+6,I1518*1.15+8))),
IF(L1518="COMPLEMENTO",
   IF(I1518&lt;=25,I1518*1.25+1.5,IF(I1518&lt;=60,I1518*1.25+3,IF(I1518&lt;=120,I1518*1.25+4,I1518*1.25+5))),
""))),2)</f>
        <v>891.68</v>
      </c>
      <c r="I1518" s="9">
        <f>($K$2+0.02)*Tabla1[[#This Row],[PRECIO $]]*1.18</f>
        <v>768.41600000000005</v>
      </c>
      <c r="J1518" s="7">
        <f>+Tabla1[[#This Row],[PRECIO EN SOLES]]-Tabla1[[#This Row],[PC]]</f>
        <v>123.2639999999999</v>
      </c>
      <c r="K1518" s="15"/>
      <c r="L1518" s="15" t="str">
        <f t="shared" si="23"/>
        <v>NORMAL</v>
      </c>
    </row>
    <row r="1519" spans="1:12" x14ac:dyDescent="0.25">
      <c r="A1519" s="3" t="s">
        <v>2283</v>
      </c>
      <c r="B1519" s="3" t="s">
        <v>2284</v>
      </c>
      <c r="C1519" s="1">
        <v>5</v>
      </c>
      <c r="D1519" s="1">
        <v>188</v>
      </c>
      <c r="E1519" s="1" t="s">
        <v>1088</v>
      </c>
      <c r="F1519" s="1" t="s">
        <v>3714</v>
      </c>
      <c r="G1519" s="3" t="s">
        <v>2285</v>
      </c>
      <c r="H1519" s="11">
        <f>ROUND(
IF(L1519="GANCHO",
   IF(I1519&lt;=50,I1519*1.1+4,IF(I1519&lt;=120,I1519*1.1+7,IF(I1519&lt;=250,I1519*1.1+11,I1519*1.1+19))),
IF(L1519="NORMAL",
   IF(I1519&lt;=30,I1519*1.15+2,IF(I1519&lt;=80,I1519*1.15+4,IF(I1519&lt;=150,I1519*1.15+6,I1519*1.15+8))),
IF(L1519="COMPLEMENTO",
   IF(I1519&lt;=25,I1519*1.25+1.5,IF(I1519&lt;=60,I1519*1.25+3,IF(I1519&lt;=120,I1519*1.25+4,I1519*1.25+5))),
""))),2)</f>
        <v>906.01</v>
      </c>
      <c r="I1519" s="9">
        <f>($K$2+0.02)*Tabla1[[#This Row],[PRECIO $]]*1.18</f>
        <v>780.8768</v>
      </c>
      <c r="J1519" s="7">
        <f>+Tabla1[[#This Row],[PRECIO EN SOLES]]-Tabla1[[#This Row],[PC]]</f>
        <v>125.13319999999999</v>
      </c>
      <c r="K1519" s="15"/>
      <c r="L1519" s="15" t="str">
        <f t="shared" si="23"/>
        <v>NORMAL</v>
      </c>
    </row>
    <row r="1520" spans="1:12" x14ac:dyDescent="0.25">
      <c r="A1520" s="3" t="s">
        <v>2286</v>
      </c>
      <c r="B1520" s="3" t="s">
        <v>2287</v>
      </c>
      <c r="C1520" s="1">
        <v>1</v>
      </c>
      <c r="D1520" s="1">
        <v>897</v>
      </c>
      <c r="E1520" s="1" t="s">
        <v>57</v>
      </c>
      <c r="F1520" s="1" t="s">
        <v>3715</v>
      </c>
      <c r="G1520" s="3" t="s">
        <v>2288</v>
      </c>
      <c r="H1520" s="11">
        <f>ROUND(
IF(L1520="GANCHO",
   IF(I1520&lt;=50,I1520*1.1+4,IF(I1520&lt;=120,I1520*1.1+7,IF(I1520&lt;=250,I1520*1.1+11,I1520*1.1+19))),
IF(L1520="NORMAL",
   IF(I1520&lt;=30,I1520*1.15+2,IF(I1520&lt;=80,I1520*1.15+4,IF(I1520&lt;=150,I1520*1.15+6,I1520*1.15+8))),
IF(L1520="COMPLEMENTO",
   IF(I1520&lt;=25,I1520*1.25+1.5,IF(I1520&lt;=60,I1520*1.25+3,IF(I1520&lt;=120,I1520*1.25+4,I1520*1.25+5))),
""))),2)</f>
        <v>4292.6499999999996</v>
      </c>
      <c r="I1520" s="9">
        <f>($K$2+0.02)*Tabla1[[#This Row],[PRECIO $]]*1.18</f>
        <v>3725.7791999999999</v>
      </c>
      <c r="J1520" s="7">
        <f>+Tabla1[[#This Row],[PRECIO EN SOLES]]-Tabla1[[#This Row],[PC]]</f>
        <v>566.87079999999969</v>
      </c>
      <c r="K1520" s="15"/>
      <c r="L1520" s="15" t="str">
        <f t="shared" si="23"/>
        <v>NORMAL</v>
      </c>
    </row>
    <row r="1521" spans="1:12" x14ac:dyDescent="0.25">
      <c r="A1521" s="3" t="s">
        <v>7025</v>
      </c>
      <c r="B1521" s="3" t="s">
        <v>7026</v>
      </c>
      <c r="C1521" s="1">
        <v>0</v>
      </c>
      <c r="D1521" s="1">
        <v>110</v>
      </c>
      <c r="E1521" s="1" t="s">
        <v>54</v>
      </c>
      <c r="F1521" s="1" t="s">
        <v>7027</v>
      </c>
      <c r="G1521" s="3"/>
      <c r="H1521" s="11">
        <f>ROUND(
IF(L1521="GANCHO",
   IF(I1521&lt;=50,I1521*1.1+4,IF(I1521&lt;=120,I1521*1.1+7,IF(I1521&lt;=250,I1521*1.1+11,I1521*1.1+19))),
IF(L1521="NORMAL",
   IF(I1521&lt;=30,I1521*1.15+2,IF(I1521&lt;=80,I1521*1.15+4,IF(I1521&lt;=150,I1521*1.15+6,I1521*1.15+8))),
IF(L1521="COMPLEMENTO",
   IF(I1521&lt;=25,I1521*1.25+1.5,IF(I1521&lt;=60,I1521*1.25+3,IF(I1521&lt;=120,I1521*1.25+4,I1521*1.25+5))),
""))),2)</f>
        <v>533.42999999999995</v>
      </c>
      <c r="I1521" s="9">
        <f>($K$2+0.02)*Tabla1[[#This Row],[PRECIO $]]*1.18</f>
        <v>456.89599999999996</v>
      </c>
      <c r="J1521" s="7">
        <f>+Tabla1[[#This Row],[PRECIO EN SOLES]]-Tabla1[[#This Row],[PC]]</f>
        <v>76.533999999999992</v>
      </c>
      <c r="K1521" s="15"/>
      <c r="L1521" s="15" t="str">
        <f t="shared" si="23"/>
        <v>NORMAL</v>
      </c>
    </row>
    <row r="1522" spans="1:12" x14ac:dyDescent="0.25">
      <c r="A1522" s="3" t="s">
        <v>6252</v>
      </c>
      <c r="B1522" s="3" t="s">
        <v>6253</v>
      </c>
      <c r="C1522" s="1">
        <v>20</v>
      </c>
      <c r="D1522" s="1">
        <v>31.2</v>
      </c>
      <c r="E1522" s="1" t="s">
        <v>442</v>
      </c>
      <c r="F1522" s="1" t="s">
        <v>6254</v>
      </c>
      <c r="G1522" s="3" t="s">
        <v>6255</v>
      </c>
      <c r="H1522" s="11">
        <f>ROUND(
IF(L1522="GANCHO",
   IF(I1522&lt;=50,I1522*1.1+4,IF(I1522&lt;=120,I1522*1.1+7,IF(I1522&lt;=250,I1522*1.1+11,I1522*1.1+19))),
IF(L1522="NORMAL",
   IF(I1522&lt;=30,I1522*1.15+2,IF(I1522&lt;=80,I1522*1.15+4,IF(I1522&lt;=150,I1522*1.15+6,I1522*1.15+8))),
IF(L1522="COMPLEMENTO",
   IF(I1522&lt;=25,I1522*1.25+1.5,IF(I1522&lt;=60,I1522*1.25+3,IF(I1522&lt;=120,I1522*1.25+4,I1522*1.25+5))),
""))),2)</f>
        <v>155.03</v>
      </c>
      <c r="I1522" s="9">
        <f>($K$2+0.02)*Tabla1[[#This Row],[PRECIO $]]*1.18</f>
        <v>129.59232</v>
      </c>
      <c r="J1522" s="7">
        <f>+Tabla1[[#This Row],[PRECIO EN SOLES]]-Tabla1[[#This Row],[PC]]</f>
        <v>25.43768</v>
      </c>
      <c r="K1522" s="15"/>
      <c r="L1522" s="15" t="str">
        <f t="shared" si="23"/>
        <v>NORMAL</v>
      </c>
    </row>
    <row r="1523" spans="1:12" x14ac:dyDescent="0.25">
      <c r="A1523" s="3" t="s">
        <v>6256</v>
      </c>
      <c r="B1523" s="3" t="s">
        <v>6257</v>
      </c>
      <c r="C1523" s="1">
        <v>20</v>
      </c>
      <c r="D1523" s="1">
        <v>121.1</v>
      </c>
      <c r="E1523" s="1" t="s">
        <v>442</v>
      </c>
      <c r="F1523" s="1" t="s">
        <v>6258</v>
      </c>
      <c r="G1523" s="3" t="s">
        <v>6259</v>
      </c>
      <c r="H1523" s="11">
        <f>ROUND(
IF(L1523="GANCHO",
   IF(I1523&lt;=50,I1523*1.1+4,IF(I1523&lt;=120,I1523*1.1+7,IF(I1523&lt;=250,I1523*1.1+11,I1523*1.1+19))),
IF(L1523="NORMAL",
   IF(I1523&lt;=30,I1523*1.15+2,IF(I1523&lt;=80,I1523*1.15+4,IF(I1523&lt;=150,I1523*1.15+6,I1523*1.15+8))),
IF(L1523="COMPLEMENTO",
   IF(I1523&lt;=25,I1523*1.25+1.5,IF(I1523&lt;=60,I1523*1.25+3,IF(I1523&lt;=120,I1523*1.25+4,I1523*1.25+5))),
""))),2)</f>
        <v>586.45000000000005</v>
      </c>
      <c r="I1523" s="9">
        <f>($K$2+0.02)*Tabla1[[#This Row],[PRECIO $]]*1.18</f>
        <v>503.00095999999996</v>
      </c>
      <c r="J1523" s="7">
        <f>+Tabla1[[#This Row],[PRECIO EN SOLES]]-Tabla1[[#This Row],[PC]]</f>
        <v>83.449040000000082</v>
      </c>
      <c r="K1523" s="15"/>
      <c r="L1523" s="15" t="str">
        <f t="shared" si="23"/>
        <v>NORMAL</v>
      </c>
    </row>
    <row r="1524" spans="1:12" x14ac:dyDescent="0.25">
      <c r="A1524" s="3" t="s">
        <v>4194</v>
      </c>
      <c r="B1524" s="3" t="s">
        <v>4195</v>
      </c>
      <c r="C1524" s="1">
        <v>20</v>
      </c>
      <c r="D1524" s="1">
        <v>120.8</v>
      </c>
      <c r="E1524" s="1" t="s">
        <v>442</v>
      </c>
      <c r="F1524" s="1" t="s">
        <v>4196</v>
      </c>
      <c r="G1524" s="3" t="s">
        <v>4197</v>
      </c>
      <c r="H1524" s="11">
        <f>ROUND(
IF(L1524="GANCHO",
   IF(I1524&lt;=50,I1524*1.1+4,IF(I1524&lt;=120,I1524*1.1+7,IF(I1524&lt;=250,I1524*1.1+11,I1524*1.1+19))),
IF(L1524="NORMAL",
   IF(I1524&lt;=30,I1524*1.15+2,IF(I1524&lt;=80,I1524*1.15+4,IF(I1524&lt;=150,I1524*1.15+6,I1524*1.15+8))),
IF(L1524="COMPLEMENTO",
   IF(I1524&lt;=25,I1524*1.25+1.5,IF(I1524&lt;=60,I1524*1.25+3,IF(I1524&lt;=120,I1524*1.25+4,I1524*1.25+5))),
""))),2)</f>
        <v>585.02</v>
      </c>
      <c r="I1524" s="9">
        <f>($K$2+0.02)*Tabla1[[#This Row],[PRECIO $]]*1.18</f>
        <v>501.75487999999996</v>
      </c>
      <c r="J1524" s="7">
        <f>+Tabla1[[#This Row],[PRECIO EN SOLES]]-Tabla1[[#This Row],[PC]]</f>
        <v>83.265120000000024</v>
      </c>
      <c r="K1524" s="15"/>
      <c r="L1524" s="15" t="str">
        <f t="shared" si="23"/>
        <v>NORMAL</v>
      </c>
    </row>
    <row r="1525" spans="1:12" x14ac:dyDescent="0.25">
      <c r="A1525" s="3" t="s">
        <v>4146</v>
      </c>
      <c r="B1525" s="3" t="s">
        <v>4492</v>
      </c>
      <c r="C1525" s="1">
        <v>20</v>
      </c>
      <c r="D1525" s="1">
        <v>48.2</v>
      </c>
      <c r="E1525" s="1" t="s">
        <v>195</v>
      </c>
      <c r="F1525" s="1" t="s">
        <v>4493</v>
      </c>
      <c r="G1525" s="3" t="s">
        <v>4494</v>
      </c>
      <c r="H1525" s="11">
        <f>ROUND(
IF(L1525="GANCHO",
   IF(I1525&lt;=50,I1525*1.1+4,IF(I1525&lt;=120,I1525*1.1+7,IF(I1525&lt;=250,I1525*1.1+11,I1525*1.1+19))),
IF(L1525="NORMAL",
   IF(I1525&lt;=30,I1525*1.15+2,IF(I1525&lt;=80,I1525*1.15+4,IF(I1525&lt;=150,I1525*1.15+6,I1525*1.15+8))),
IF(L1525="COMPLEMENTO",
   IF(I1525&lt;=25,I1525*1.25+1.5,IF(I1525&lt;=60,I1525*1.25+3,IF(I1525&lt;=120,I1525*1.25+4,I1525*1.25+5))),
""))),2)</f>
        <v>238.23</v>
      </c>
      <c r="I1525" s="9">
        <f>($K$2+0.02)*Tabla1[[#This Row],[PRECIO $]]*1.18</f>
        <v>200.20352</v>
      </c>
      <c r="J1525" s="7">
        <f>+Tabla1[[#This Row],[PRECIO EN SOLES]]-Tabla1[[#This Row],[PC]]</f>
        <v>38.026479999999992</v>
      </c>
      <c r="K1525" s="15"/>
      <c r="L1525" s="15" t="str">
        <f t="shared" si="23"/>
        <v>NORMAL</v>
      </c>
    </row>
    <row r="1526" spans="1:12" x14ac:dyDescent="0.25">
      <c r="A1526" s="3" t="s">
        <v>4651</v>
      </c>
      <c r="B1526" s="3" t="s">
        <v>4652</v>
      </c>
      <c r="C1526" s="1">
        <v>20</v>
      </c>
      <c r="D1526" s="1">
        <v>51.25</v>
      </c>
      <c r="E1526" s="1" t="s">
        <v>442</v>
      </c>
      <c r="F1526" s="1" t="s">
        <v>4653</v>
      </c>
      <c r="G1526" s="3" t="s">
        <v>4654</v>
      </c>
      <c r="H1526" s="11">
        <f>ROUND(
IF(L1526="GANCHO",
   IF(I1526&lt;=50,I1526*1.1+4,IF(I1526&lt;=120,I1526*1.1+7,IF(I1526&lt;=250,I1526*1.1+11,I1526*1.1+19))),
IF(L1526="NORMAL",
   IF(I1526&lt;=30,I1526*1.15+2,IF(I1526&lt;=80,I1526*1.15+4,IF(I1526&lt;=150,I1526*1.15+6,I1526*1.15+8))),
IF(L1526="COMPLEMENTO",
   IF(I1526&lt;=25,I1526*1.25+1.5,IF(I1526&lt;=60,I1526*1.25+3,IF(I1526&lt;=120,I1526*1.25+4,I1526*1.25+5))),
""))),2)</f>
        <v>252.8</v>
      </c>
      <c r="I1526" s="9">
        <f>($K$2+0.02)*Tabla1[[#This Row],[PRECIO $]]*1.18</f>
        <v>212.87199999999999</v>
      </c>
      <c r="J1526" s="7">
        <f>+Tabla1[[#This Row],[PRECIO EN SOLES]]-Tabla1[[#This Row],[PC]]</f>
        <v>39.928000000000026</v>
      </c>
      <c r="K1526" s="15"/>
      <c r="L1526" s="15" t="str">
        <f t="shared" si="23"/>
        <v>NORMAL</v>
      </c>
    </row>
    <row r="1527" spans="1:12" x14ac:dyDescent="0.25">
      <c r="A1527" s="3" t="s">
        <v>2289</v>
      </c>
      <c r="B1527" s="3" t="s">
        <v>2290</v>
      </c>
      <c r="C1527" s="1">
        <v>9</v>
      </c>
      <c r="D1527" s="1">
        <v>170.5</v>
      </c>
      <c r="E1527" s="1" t="s">
        <v>195</v>
      </c>
      <c r="F1527" s="1" t="s">
        <v>3716</v>
      </c>
      <c r="G1527" s="3" t="s">
        <v>2291</v>
      </c>
      <c r="H1527" s="11">
        <f>ROUND(
IF(L1527="GANCHO",
   IF(I1527&lt;=50,I1527*1.1+4,IF(I1527&lt;=120,I1527*1.1+7,IF(I1527&lt;=250,I1527*1.1+11,I1527*1.1+19))),
IF(L1527="NORMAL",
   IF(I1527&lt;=30,I1527*1.15+2,IF(I1527&lt;=80,I1527*1.15+4,IF(I1527&lt;=150,I1527*1.15+6,I1527*1.15+8))),
IF(L1527="COMPLEMENTO",
   IF(I1527&lt;=25,I1527*1.25+1.5,IF(I1527&lt;=60,I1527*1.25+3,IF(I1527&lt;=120,I1527*1.25+4,I1527*1.25+5))),
""))),2)</f>
        <v>822.42</v>
      </c>
      <c r="I1527" s="9">
        <f>($K$2+0.02)*Tabla1[[#This Row],[PRECIO $]]*1.18</f>
        <v>708.1887999999999</v>
      </c>
      <c r="J1527" s="7">
        <f>+Tabla1[[#This Row],[PRECIO EN SOLES]]-Tabla1[[#This Row],[PC]]</f>
        <v>114.23120000000006</v>
      </c>
      <c r="K1527" s="15"/>
      <c r="L1527" s="15" t="str">
        <f t="shared" si="23"/>
        <v>NORMAL</v>
      </c>
    </row>
    <row r="1528" spans="1:12" x14ac:dyDescent="0.25">
      <c r="A1528" s="3" t="s">
        <v>634</v>
      </c>
      <c r="B1528" s="3" t="s">
        <v>635</v>
      </c>
      <c r="C1528" s="1">
        <v>2</v>
      </c>
      <c r="D1528" s="1">
        <v>163.9</v>
      </c>
      <c r="E1528" s="1" t="s">
        <v>442</v>
      </c>
      <c r="F1528" s="1" t="s">
        <v>3717</v>
      </c>
      <c r="G1528" s="3" t="s">
        <v>636</v>
      </c>
      <c r="H1528" s="11">
        <f>ROUND(
IF(L1528="GANCHO",
   IF(I1528&lt;=50,I1528*1.1+4,IF(I1528&lt;=120,I1528*1.1+7,IF(I1528&lt;=250,I1528*1.1+11,I1528*1.1+19))),
IF(L1528="NORMAL",
   IF(I1528&lt;=30,I1528*1.15+2,IF(I1528&lt;=80,I1528*1.15+4,IF(I1528&lt;=150,I1528*1.15+6,I1528*1.15+8))),
IF(L1528="COMPLEMENTO",
   IF(I1528&lt;=25,I1528*1.25+1.5,IF(I1528&lt;=60,I1528*1.25+3,IF(I1528&lt;=120,I1528*1.25+4,I1528*1.25+5))),
""))),2)</f>
        <v>790.89</v>
      </c>
      <c r="I1528" s="9">
        <f>($K$2+0.02)*Tabla1[[#This Row],[PRECIO $]]*1.18</f>
        <v>680.77503999999999</v>
      </c>
      <c r="J1528" s="7">
        <f>+Tabla1[[#This Row],[PRECIO EN SOLES]]-Tabla1[[#This Row],[PC]]</f>
        <v>110.11496</v>
      </c>
      <c r="K1528" s="15"/>
      <c r="L1528" s="15" t="str">
        <f t="shared" si="23"/>
        <v>NORMAL</v>
      </c>
    </row>
    <row r="1529" spans="1:12" x14ac:dyDescent="0.25">
      <c r="A1529" s="3" t="s">
        <v>4495</v>
      </c>
      <c r="B1529" s="3" t="s">
        <v>4496</v>
      </c>
      <c r="C1529" s="1">
        <v>20</v>
      </c>
      <c r="D1529" s="1">
        <v>75.3</v>
      </c>
      <c r="E1529" s="1" t="s">
        <v>195</v>
      </c>
      <c r="F1529" s="1" t="s">
        <v>4497</v>
      </c>
      <c r="G1529" s="3" t="s">
        <v>4498</v>
      </c>
      <c r="H1529" s="11">
        <f>ROUND(
IF(L1529="GANCHO",
   IF(I1529&lt;=50,I1529*1.1+4,IF(I1529&lt;=120,I1529*1.1+7,IF(I1529&lt;=250,I1529*1.1+11,I1529*1.1+19))),
IF(L1529="NORMAL",
   IF(I1529&lt;=30,I1529*1.15+2,IF(I1529&lt;=80,I1529*1.15+4,IF(I1529&lt;=150,I1529*1.15+6,I1529*1.15+8))),
IF(L1529="COMPLEMENTO",
   IF(I1529&lt;=25,I1529*1.25+1.5,IF(I1529&lt;=60,I1529*1.25+3,IF(I1529&lt;=120,I1529*1.25+4,I1529*1.25+5))),
""))),2)</f>
        <v>367.68</v>
      </c>
      <c r="I1529" s="9">
        <f>($K$2+0.02)*Tabla1[[#This Row],[PRECIO $]]*1.18</f>
        <v>312.76607999999999</v>
      </c>
      <c r="J1529" s="7">
        <f>+Tabla1[[#This Row],[PRECIO EN SOLES]]-Tabla1[[#This Row],[PC]]</f>
        <v>54.913920000000019</v>
      </c>
      <c r="K1529" s="15"/>
      <c r="L1529" s="15" t="str">
        <f t="shared" si="23"/>
        <v>NORMAL</v>
      </c>
    </row>
    <row r="1530" spans="1:12" x14ac:dyDescent="0.25">
      <c r="A1530" s="3" t="s">
        <v>4763</v>
      </c>
      <c r="B1530" s="3" t="s">
        <v>4764</v>
      </c>
      <c r="C1530" s="1">
        <v>20</v>
      </c>
      <c r="D1530" s="1">
        <v>47.2</v>
      </c>
      <c r="E1530" s="1" t="s">
        <v>4765</v>
      </c>
      <c r="F1530" s="1" t="s">
        <v>4766</v>
      </c>
      <c r="G1530" s="3" t="s">
        <v>4767</v>
      </c>
      <c r="H1530" s="11">
        <f>ROUND(
IF(L1530="GANCHO",
   IF(I1530&lt;=50,I1530*1.1+4,IF(I1530&lt;=120,I1530*1.1+7,IF(I1530&lt;=250,I1530*1.1+11,I1530*1.1+19))),
IF(L1530="NORMAL",
   IF(I1530&lt;=30,I1530*1.15+2,IF(I1530&lt;=80,I1530*1.15+4,IF(I1530&lt;=150,I1530*1.15+6,I1530*1.15+8))),
IF(L1530="COMPLEMENTO",
   IF(I1530&lt;=25,I1530*1.25+1.5,IF(I1530&lt;=60,I1530*1.25+3,IF(I1530&lt;=120,I1530*1.25+4,I1530*1.25+5))),
""))),2)</f>
        <v>233.46</v>
      </c>
      <c r="I1530" s="9">
        <f>($K$2+0.02)*Tabla1[[#This Row],[PRECIO $]]*1.18</f>
        <v>196.04991999999999</v>
      </c>
      <c r="J1530" s="7">
        <f>+Tabla1[[#This Row],[PRECIO EN SOLES]]-Tabla1[[#This Row],[PC]]</f>
        <v>37.410080000000022</v>
      </c>
      <c r="K1530" s="15"/>
      <c r="L1530" s="15" t="str">
        <f t="shared" si="23"/>
        <v>NORMAL</v>
      </c>
    </row>
    <row r="1531" spans="1:12" x14ac:dyDescent="0.25">
      <c r="A1531" s="3" t="s">
        <v>4768</v>
      </c>
      <c r="B1531" s="3" t="s">
        <v>4769</v>
      </c>
      <c r="C1531" s="1">
        <v>20</v>
      </c>
      <c r="D1531" s="1">
        <v>80.3</v>
      </c>
      <c r="E1531" s="1" t="s">
        <v>4765</v>
      </c>
      <c r="F1531" s="1" t="s">
        <v>4770</v>
      </c>
      <c r="G1531" s="3" t="s">
        <v>4771</v>
      </c>
      <c r="H1531" s="11">
        <f>ROUND(
IF(L1531="GANCHO",
   IF(I1531&lt;=50,I1531*1.1+4,IF(I1531&lt;=120,I1531*1.1+7,IF(I1531&lt;=250,I1531*1.1+11,I1531*1.1+19))),
IF(L1531="NORMAL",
   IF(I1531&lt;=30,I1531*1.15+2,IF(I1531&lt;=80,I1531*1.15+4,IF(I1531&lt;=150,I1531*1.15+6,I1531*1.15+8))),
IF(L1531="COMPLEMENTO",
   IF(I1531&lt;=25,I1531*1.25+1.5,IF(I1531&lt;=60,I1531*1.25+3,IF(I1531&lt;=120,I1531*1.25+4,I1531*1.25+5))),
""))),2)</f>
        <v>391.56</v>
      </c>
      <c r="I1531" s="9">
        <f>($K$2+0.02)*Tabla1[[#This Row],[PRECIO $]]*1.18</f>
        <v>333.53408000000002</v>
      </c>
      <c r="J1531" s="7">
        <f>+Tabla1[[#This Row],[PRECIO EN SOLES]]-Tabla1[[#This Row],[PC]]</f>
        <v>58.025919999999985</v>
      </c>
      <c r="K1531" s="15"/>
      <c r="L1531" s="15" t="str">
        <f t="shared" si="23"/>
        <v>NORMAL</v>
      </c>
    </row>
    <row r="1532" spans="1:12" x14ac:dyDescent="0.25">
      <c r="A1532" s="3" t="s">
        <v>5049</v>
      </c>
      <c r="B1532" s="3" t="s">
        <v>5050</v>
      </c>
      <c r="C1532" s="1">
        <v>20</v>
      </c>
      <c r="D1532" s="1">
        <v>136.30000000000001</v>
      </c>
      <c r="E1532" s="1" t="s">
        <v>196</v>
      </c>
      <c r="F1532" s="1" t="s">
        <v>5051</v>
      </c>
      <c r="G1532" s="3" t="s">
        <v>5577</v>
      </c>
      <c r="H1532" s="11">
        <f>ROUND(
IF(L1532="GANCHO",
   IF(I1532&lt;=50,I1532*1.1+4,IF(I1532&lt;=120,I1532*1.1+7,IF(I1532&lt;=250,I1532*1.1+11,I1532*1.1+19))),
IF(L1532="NORMAL",
   IF(I1532&lt;=30,I1532*1.15+2,IF(I1532&lt;=80,I1532*1.15+4,IF(I1532&lt;=150,I1532*1.15+6,I1532*1.15+8))),
IF(L1532="COMPLEMENTO",
   IF(I1532&lt;=25,I1532*1.25+1.5,IF(I1532&lt;=60,I1532*1.25+3,IF(I1532&lt;=120,I1532*1.25+4,I1532*1.25+5))),
""))),2)</f>
        <v>659.06</v>
      </c>
      <c r="I1532" s="9">
        <f>($K$2+0.02)*Tabla1[[#This Row],[PRECIO $]]*1.18</f>
        <v>566.13568000000009</v>
      </c>
      <c r="J1532" s="7">
        <f>+Tabla1[[#This Row],[PRECIO EN SOLES]]-Tabla1[[#This Row],[PC]]</f>
        <v>92.924319999999852</v>
      </c>
      <c r="K1532" s="15"/>
      <c r="L1532" s="15" t="str">
        <f t="shared" si="23"/>
        <v>NORMAL</v>
      </c>
    </row>
    <row r="1533" spans="1:12" x14ac:dyDescent="0.25">
      <c r="A1533" s="3" t="s">
        <v>5052</v>
      </c>
      <c r="B1533" s="3" t="s">
        <v>5053</v>
      </c>
      <c r="C1533" s="1">
        <v>20</v>
      </c>
      <c r="D1533" s="1">
        <v>47.2</v>
      </c>
      <c r="E1533" s="1" t="s">
        <v>196</v>
      </c>
      <c r="F1533" s="1" t="s">
        <v>5054</v>
      </c>
      <c r="G1533" s="3" t="s">
        <v>5055</v>
      </c>
      <c r="H1533" s="11">
        <f>ROUND(
IF(L1533="GANCHO",
   IF(I1533&lt;=50,I1533*1.1+4,IF(I1533&lt;=120,I1533*1.1+7,IF(I1533&lt;=250,I1533*1.1+11,I1533*1.1+19))),
IF(L1533="NORMAL",
   IF(I1533&lt;=30,I1533*1.15+2,IF(I1533&lt;=80,I1533*1.15+4,IF(I1533&lt;=150,I1533*1.15+6,I1533*1.15+8))),
IF(L1533="COMPLEMENTO",
   IF(I1533&lt;=25,I1533*1.25+1.5,IF(I1533&lt;=60,I1533*1.25+3,IF(I1533&lt;=120,I1533*1.25+4,I1533*1.25+5))),
""))),2)</f>
        <v>233.46</v>
      </c>
      <c r="I1533" s="9">
        <f>($K$2+0.02)*Tabla1[[#This Row],[PRECIO $]]*1.18</f>
        <v>196.04991999999999</v>
      </c>
      <c r="J1533" s="7">
        <f>+Tabla1[[#This Row],[PRECIO EN SOLES]]-Tabla1[[#This Row],[PC]]</f>
        <v>37.410080000000022</v>
      </c>
      <c r="K1533" s="15"/>
      <c r="L1533" s="15" t="str">
        <f t="shared" si="23"/>
        <v>NORMAL</v>
      </c>
    </row>
    <row r="1534" spans="1:12" x14ac:dyDescent="0.25">
      <c r="A1534" s="3" t="s">
        <v>5056</v>
      </c>
      <c r="B1534" s="3" t="s">
        <v>5057</v>
      </c>
      <c r="C1534" s="1">
        <v>20</v>
      </c>
      <c r="D1534" s="1">
        <v>76.3</v>
      </c>
      <c r="E1534" s="1" t="s">
        <v>196</v>
      </c>
      <c r="F1534" s="1" t="s">
        <v>5058</v>
      </c>
      <c r="G1534" s="3" t="s">
        <v>5059</v>
      </c>
      <c r="H1534" s="11">
        <f>ROUND(
IF(L1534="GANCHO",
   IF(I1534&lt;=50,I1534*1.1+4,IF(I1534&lt;=120,I1534*1.1+7,IF(I1534&lt;=250,I1534*1.1+11,I1534*1.1+19))),
IF(L1534="NORMAL",
   IF(I1534&lt;=30,I1534*1.15+2,IF(I1534&lt;=80,I1534*1.15+4,IF(I1534&lt;=150,I1534*1.15+6,I1534*1.15+8))),
IF(L1534="COMPLEMENTO",
   IF(I1534&lt;=25,I1534*1.25+1.5,IF(I1534&lt;=60,I1534*1.25+3,IF(I1534&lt;=120,I1534*1.25+4,I1534*1.25+5))),
""))),2)</f>
        <v>372.46</v>
      </c>
      <c r="I1534" s="9">
        <f>($K$2+0.02)*Tabla1[[#This Row],[PRECIO $]]*1.18</f>
        <v>316.91967999999991</v>
      </c>
      <c r="J1534" s="7">
        <f>+Tabla1[[#This Row],[PRECIO EN SOLES]]-Tabla1[[#This Row],[PC]]</f>
        <v>55.540320000000065</v>
      </c>
      <c r="K1534" s="15"/>
      <c r="L1534" s="15" t="str">
        <f t="shared" si="23"/>
        <v>NORMAL</v>
      </c>
    </row>
    <row r="1535" spans="1:12" x14ac:dyDescent="0.25">
      <c r="A1535" s="3" t="s">
        <v>2705</v>
      </c>
      <c r="B1535" s="3" t="s">
        <v>2706</v>
      </c>
      <c r="C1535" s="1">
        <v>20</v>
      </c>
      <c r="D1535" s="1">
        <v>653.5</v>
      </c>
      <c r="E1535" s="1" t="s">
        <v>193</v>
      </c>
      <c r="F1535" s="1" t="s">
        <v>3718</v>
      </c>
      <c r="G1535" s="3" t="s">
        <v>2707</v>
      </c>
      <c r="H1535" s="11">
        <f>ROUND(
IF(L1535="GANCHO",
   IF(I1535&lt;=50,I1535*1.1+4,IF(I1535&lt;=120,I1535*1.1+7,IF(I1535&lt;=250,I1535*1.1+11,I1535*1.1+19))),
IF(L1535="NORMAL",
   IF(I1535&lt;=30,I1535*1.15+2,IF(I1535&lt;=80,I1535*1.15+4,IF(I1535&lt;=150,I1535*1.15+6,I1535*1.15+8))),
IF(L1535="COMPLEMENTO",
   IF(I1535&lt;=25,I1535*1.25+1.5,IF(I1535&lt;=60,I1535*1.25+3,IF(I1535&lt;=120,I1535*1.25+4,I1535*1.25+5))),
""))),2)</f>
        <v>3129.53</v>
      </c>
      <c r="I1535" s="9">
        <f>($K$2+0.02)*Tabla1[[#This Row],[PRECIO $]]*1.18</f>
        <v>2714.3776000000003</v>
      </c>
      <c r="J1535" s="7">
        <f>+Tabla1[[#This Row],[PRECIO EN SOLES]]-Tabla1[[#This Row],[PC]]</f>
        <v>415.15239999999994</v>
      </c>
      <c r="K1535" s="15"/>
      <c r="L1535" s="15" t="str">
        <f t="shared" si="23"/>
        <v>NORMAL</v>
      </c>
    </row>
    <row r="1536" spans="1:12" x14ac:dyDescent="0.25">
      <c r="A1536" s="3" t="s">
        <v>2708</v>
      </c>
      <c r="B1536" s="3" t="s">
        <v>2709</v>
      </c>
      <c r="C1536" s="1">
        <v>0</v>
      </c>
      <c r="D1536" s="1">
        <v>1291</v>
      </c>
      <c r="E1536" s="1" t="s">
        <v>193</v>
      </c>
      <c r="F1536" s="1" t="s">
        <v>3719</v>
      </c>
      <c r="G1536" s="3" t="s">
        <v>2710</v>
      </c>
      <c r="H1536" s="11">
        <f>ROUND(
IF(L1536="GANCHO",
   IF(I1536&lt;=50,I1536*1.1+4,IF(I1536&lt;=120,I1536*1.1+7,IF(I1536&lt;=250,I1536*1.1+11,I1536*1.1+19))),
IF(L1536="NORMAL",
   IF(I1536&lt;=30,I1536*1.15+2,IF(I1536&lt;=80,I1536*1.15+4,IF(I1536&lt;=150,I1536*1.15+6,I1536*1.15+8))),
IF(L1536="COMPLEMENTO",
   IF(I1536&lt;=25,I1536*1.25+1.5,IF(I1536&lt;=60,I1536*1.25+3,IF(I1536&lt;=120,I1536*1.25+4,I1536*1.25+5))),
""))),2)</f>
        <v>6174.64</v>
      </c>
      <c r="I1536" s="9">
        <f>($K$2+0.02)*Tabla1[[#This Row],[PRECIO $]]*1.18</f>
        <v>5362.297599999999</v>
      </c>
      <c r="J1536" s="7">
        <f>+Tabla1[[#This Row],[PRECIO EN SOLES]]-Tabla1[[#This Row],[PC]]</f>
        <v>812.34240000000136</v>
      </c>
      <c r="K1536" s="15"/>
      <c r="L1536" s="15" t="str">
        <f t="shared" si="23"/>
        <v>NORMAL</v>
      </c>
    </row>
    <row r="1537" spans="1:12" x14ac:dyDescent="0.25">
      <c r="A1537" s="3" t="s">
        <v>2292</v>
      </c>
      <c r="B1537" s="3" t="s">
        <v>2293</v>
      </c>
      <c r="C1537" s="1">
        <v>4</v>
      </c>
      <c r="D1537" s="1">
        <v>266.5</v>
      </c>
      <c r="E1537" s="1" t="s">
        <v>193</v>
      </c>
      <c r="F1537" s="1" t="s">
        <v>3720</v>
      </c>
      <c r="G1537" s="3" t="s">
        <v>2294</v>
      </c>
      <c r="H1537" s="11">
        <f>ROUND(
IF(L1537="GANCHO",
   IF(I1537&lt;=50,I1537*1.1+4,IF(I1537&lt;=120,I1537*1.1+7,IF(I1537&lt;=250,I1537*1.1+11,I1537*1.1+19))),
IF(L1537="NORMAL",
   IF(I1537&lt;=30,I1537*1.15+2,IF(I1537&lt;=80,I1537*1.15+4,IF(I1537&lt;=150,I1537*1.15+6,I1537*1.15+8))),
IF(L1537="COMPLEMENTO",
   IF(I1537&lt;=25,I1537*1.25+1.5,IF(I1537&lt;=60,I1537*1.25+3,IF(I1537&lt;=120,I1537*1.25+4,I1537*1.25+5))),
""))),2)</f>
        <v>1280.97</v>
      </c>
      <c r="I1537" s="9">
        <f>($K$2+0.02)*Tabla1[[#This Row],[PRECIO $]]*1.18</f>
        <v>1106.9344000000001</v>
      </c>
      <c r="J1537" s="7">
        <f>+Tabla1[[#This Row],[PRECIO EN SOLES]]-Tabla1[[#This Row],[PC]]</f>
        <v>174.03559999999993</v>
      </c>
      <c r="K1537" s="15"/>
      <c r="L1537" s="15" t="str">
        <f t="shared" si="23"/>
        <v>NORMAL</v>
      </c>
    </row>
    <row r="1538" spans="1:12" x14ac:dyDescent="0.25">
      <c r="A1538" s="3" t="s">
        <v>2295</v>
      </c>
      <c r="B1538" s="3" t="s">
        <v>2296</v>
      </c>
      <c r="C1538" s="1">
        <v>13</v>
      </c>
      <c r="D1538" s="1">
        <v>2101</v>
      </c>
      <c r="E1538" s="1" t="s">
        <v>193</v>
      </c>
      <c r="F1538" s="1" t="s">
        <v>3721</v>
      </c>
      <c r="G1538" s="3" t="s">
        <v>2297</v>
      </c>
      <c r="H1538" s="11">
        <f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10043.719999999999</v>
      </c>
      <c r="I1538" s="9">
        <f>($K$2+0.02)*Tabla1[[#This Row],[PRECIO $]]*1.18</f>
        <v>8726.713600000001</v>
      </c>
      <c r="J1538" s="7">
        <f>+Tabla1[[#This Row],[PRECIO EN SOLES]]-Tabla1[[#This Row],[PC]]</f>
        <v>1317.0063999999984</v>
      </c>
      <c r="K1538" s="15"/>
      <c r="L1538" s="15" t="str">
        <f t="shared" si="23"/>
        <v>NORMAL</v>
      </c>
    </row>
    <row r="1539" spans="1:12" x14ac:dyDescent="0.25">
      <c r="A1539" s="3" t="s">
        <v>2711</v>
      </c>
      <c r="B1539" s="3" t="s">
        <v>2712</v>
      </c>
      <c r="C1539" s="1">
        <v>20</v>
      </c>
      <c r="D1539" s="1">
        <v>373.5</v>
      </c>
      <c r="E1539" s="1" t="s">
        <v>193</v>
      </c>
      <c r="F1539" s="1" t="s">
        <v>3722</v>
      </c>
      <c r="G1539" s="3" t="s">
        <v>2713</v>
      </c>
      <c r="H1539" s="11">
        <f>ROUND(
IF(L1539="GANCHO",
   IF(I1539&lt;=50,I1539*1.1+4,IF(I1539&lt;=120,I1539*1.1+7,IF(I1539&lt;=250,I1539*1.1+11,I1539*1.1+19))),
IF(L1539="NORMAL",
   IF(I1539&lt;=30,I1539*1.15+2,IF(I1539&lt;=80,I1539*1.15+4,IF(I1539&lt;=150,I1539*1.15+6,I1539*1.15+8))),
IF(L1539="COMPLEMENTO",
   IF(I1539&lt;=25,I1539*1.25+1.5,IF(I1539&lt;=60,I1539*1.25+3,IF(I1539&lt;=120,I1539*1.25+4,I1539*1.25+5))),
""))),2)</f>
        <v>1792.08</v>
      </c>
      <c r="I1539" s="9">
        <f>($K$2+0.02)*Tabla1[[#This Row],[PRECIO $]]*1.18</f>
        <v>1551.3696</v>
      </c>
      <c r="J1539" s="7">
        <f>+Tabla1[[#This Row],[PRECIO EN SOLES]]-Tabla1[[#This Row],[PC]]</f>
        <v>240.71039999999994</v>
      </c>
      <c r="K1539" s="15"/>
      <c r="L1539" s="15" t="str">
        <f t="shared" ref="L1539:L1602" si="24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443</v>
      </c>
      <c r="B1540" s="3" t="s">
        <v>444</v>
      </c>
      <c r="C1540" s="1">
        <v>20</v>
      </c>
      <c r="D1540" s="1">
        <v>51.3</v>
      </c>
      <c r="E1540" s="1" t="s">
        <v>193</v>
      </c>
      <c r="F1540" s="1" t="s">
        <v>3723</v>
      </c>
      <c r="G1540" s="3" t="s">
        <v>445</v>
      </c>
      <c r="H1540" s="11">
        <f>ROUND(
IF(L1540="GANCHO",
   IF(I1540&lt;=50,I1540*1.1+4,IF(I1540&lt;=120,I1540*1.1+7,IF(I1540&lt;=250,I1540*1.1+11,I1540*1.1+19))),
IF(L1540="NORMAL",
   IF(I1540&lt;=30,I1540*1.15+2,IF(I1540&lt;=80,I1540*1.15+4,IF(I1540&lt;=150,I1540*1.15+6,I1540*1.15+8))),
IF(L1540="COMPLEMENTO",
   IF(I1540&lt;=25,I1540*1.25+1.5,IF(I1540&lt;=60,I1540*1.25+3,IF(I1540&lt;=120,I1540*1.25+4,I1540*1.25+5))),
""))),2)</f>
        <v>253.04</v>
      </c>
      <c r="I1540" s="9">
        <f>($K$2+0.02)*Tabla1[[#This Row],[PRECIO $]]*1.18</f>
        <v>213.07967999999997</v>
      </c>
      <c r="J1540" s="7">
        <f>+Tabla1[[#This Row],[PRECIO EN SOLES]]-Tabla1[[#This Row],[PC]]</f>
        <v>39.960320000000024</v>
      </c>
      <c r="K1540" s="15"/>
      <c r="L1540" s="15" t="str">
        <f t="shared" si="24"/>
        <v>NORMAL</v>
      </c>
    </row>
    <row r="1541" spans="1:12" x14ac:dyDescent="0.25">
      <c r="A1541" s="3" t="s">
        <v>5578</v>
      </c>
      <c r="B1541" s="3" t="s">
        <v>5579</v>
      </c>
      <c r="C1541" s="1">
        <v>20</v>
      </c>
      <c r="D1541" s="1">
        <v>99.3</v>
      </c>
      <c r="E1541" s="1" t="s">
        <v>193</v>
      </c>
      <c r="F1541" s="1" t="s">
        <v>5580</v>
      </c>
      <c r="G1541" s="3" t="s">
        <v>5581</v>
      </c>
      <c r="H1541" s="11">
        <f>ROUND(
IF(L1541="GANCHO",
   IF(I1541&lt;=50,I1541*1.1+4,IF(I1541&lt;=120,I1541*1.1+7,IF(I1541&lt;=250,I1541*1.1+11,I1541*1.1+19))),
IF(L1541="NORMAL",
   IF(I1541&lt;=30,I1541*1.15+2,IF(I1541&lt;=80,I1541*1.15+4,IF(I1541&lt;=150,I1541*1.15+6,I1541*1.15+8))),
IF(L1541="COMPLEMENTO",
   IF(I1541&lt;=25,I1541*1.25+1.5,IF(I1541&lt;=60,I1541*1.25+3,IF(I1541&lt;=120,I1541*1.25+4,I1541*1.25+5))),
""))),2)</f>
        <v>482.32</v>
      </c>
      <c r="I1541" s="9">
        <f>($K$2+0.02)*Tabla1[[#This Row],[PRECIO $]]*1.18</f>
        <v>412.45247999999998</v>
      </c>
      <c r="J1541" s="7">
        <f>+Tabla1[[#This Row],[PRECIO EN SOLES]]-Tabla1[[#This Row],[PC]]</f>
        <v>69.867520000000013</v>
      </c>
      <c r="K1541" s="15"/>
      <c r="L1541" s="15" t="str">
        <f t="shared" si="24"/>
        <v>NORMAL</v>
      </c>
    </row>
    <row r="1542" spans="1:12" x14ac:dyDescent="0.25">
      <c r="A1542" s="3" t="s">
        <v>446</v>
      </c>
      <c r="B1542" s="3" t="s">
        <v>447</v>
      </c>
      <c r="C1542" s="1">
        <v>20</v>
      </c>
      <c r="D1542" s="1">
        <v>121.3</v>
      </c>
      <c r="E1542" s="1" t="s">
        <v>193</v>
      </c>
      <c r="F1542" s="1" t="s">
        <v>3724</v>
      </c>
      <c r="G1542" s="3" t="s">
        <v>448</v>
      </c>
      <c r="H1542" s="11">
        <f>ROUND(
IF(L1542="GANCHO",
   IF(I1542&lt;=50,I1542*1.1+4,IF(I1542&lt;=120,I1542*1.1+7,IF(I1542&lt;=250,I1542*1.1+11,I1542*1.1+19))),
IF(L1542="NORMAL",
   IF(I1542&lt;=30,I1542*1.15+2,IF(I1542&lt;=80,I1542*1.15+4,IF(I1542&lt;=150,I1542*1.15+6,I1542*1.15+8))),
IF(L1542="COMPLEMENTO",
   IF(I1542&lt;=25,I1542*1.25+1.5,IF(I1542&lt;=60,I1542*1.25+3,IF(I1542&lt;=120,I1542*1.25+4,I1542*1.25+5))),
""))),2)</f>
        <v>587.41</v>
      </c>
      <c r="I1542" s="9">
        <f>($K$2+0.02)*Tabla1[[#This Row],[PRECIO $]]*1.18</f>
        <v>503.83167999999995</v>
      </c>
      <c r="J1542" s="7">
        <f>+Tabla1[[#This Row],[PRECIO EN SOLES]]-Tabla1[[#This Row],[PC]]</f>
        <v>83.578320000000019</v>
      </c>
      <c r="K1542" s="15"/>
      <c r="L1542" s="15" t="str">
        <f t="shared" si="24"/>
        <v>NORMAL</v>
      </c>
    </row>
    <row r="1543" spans="1:12" x14ac:dyDescent="0.25">
      <c r="A1543" s="3" t="s">
        <v>449</v>
      </c>
      <c r="B1543" s="3" t="s">
        <v>450</v>
      </c>
      <c r="C1543" s="1">
        <v>0</v>
      </c>
      <c r="D1543" s="1">
        <v>148.30000000000001</v>
      </c>
      <c r="E1543" s="1" t="s">
        <v>193</v>
      </c>
      <c r="F1543" s="1" t="s">
        <v>3725</v>
      </c>
      <c r="G1543" s="3" t="s">
        <v>451</v>
      </c>
      <c r="H1543" s="11">
        <f>ROUND(
IF(L1543="GANCHO",
   IF(I1543&lt;=50,I1543*1.1+4,IF(I1543&lt;=120,I1543*1.1+7,IF(I1543&lt;=250,I1543*1.1+11,I1543*1.1+19))),
IF(L1543="NORMAL",
   IF(I1543&lt;=30,I1543*1.15+2,IF(I1543&lt;=80,I1543*1.15+4,IF(I1543&lt;=150,I1543*1.15+6,I1543*1.15+8))),
IF(L1543="COMPLEMENTO",
   IF(I1543&lt;=25,I1543*1.25+1.5,IF(I1543&lt;=60,I1543*1.25+3,IF(I1543&lt;=120,I1543*1.25+4,I1543*1.25+5))),
""))),2)</f>
        <v>716.38</v>
      </c>
      <c r="I1543" s="9">
        <f>($K$2+0.02)*Tabla1[[#This Row],[PRECIO $]]*1.18</f>
        <v>615.97888</v>
      </c>
      <c r="J1543" s="7">
        <f>+Tabla1[[#This Row],[PRECIO EN SOLES]]-Tabla1[[#This Row],[PC]]</f>
        <v>100.40111999999999</v>
      </c>
      <c r="K1543" s="15"/>
      <c r="L1543" s="15" t="str">
        <f t="shared" si="24"/>
        <v>NORMAL</v>
      </c>
    </row>
    <row r="1544" spans="1:12" x14ac:dyDescent="0.25">
      <c r="A1544" s="3" t="s">
        <v>452</v>
      </c>
      <c r="B1544" s="3" t="s">
        <v>453</v>
      </c>
      <c r="C1544" s="1">
        <v>20</v>
      </c>
      <c r="D1544" s="1">
        <v>54.3</v>
      </c>
      <c r="E1544" s="1" t="s">
        <v>193</v>
      </c>
      <c r="F1544" s="1" t="s">
        <v>3726</v>
      </c>
      <c r="G1544" s="3" t="s">
        <v>454</v>
      </c>
      <c r="H1544" s="11">
        <f>ROUND(
IF(L1544="GANCHO",
   IF(I1544&lt;=50,I1544*1.1+4,IF(I1544&lt;=120,I1544*1.1+7,IF(I1544&lt;=250,I1544*1.1+11,I1544*1.1+19))),
IF(L1544="NORMAL",
   IF(I1544&lt;=30,I1544*1.15+2,IF(I1544&lt;=80,I1544*1.15+4,IF(I1544&lt;=150,I1544*1.15+6,I1544*1.15+8))),
IF(L1544="COMPLEMENTO",
   IF(I1544&lt;=25,I1544*1.25+1.5,IF(I1544&lt;=60,I1544*1.25+3,IF(I1544&lt;=120,I1544*1.25+4,I1544*1.25+5))),
""))),2)</f>
        <v>267.37</v>
      </c>
      <c r="I1544" s="9">
        <f>($K$2+0.02)*Tabla1[[#This Row],[PRECIO $]]*1.18</f>
        <v>225.54047999999997</v>
      </c>
      <c r="J1544" s="7">
        <f>+Tabla1[[#This Row],[PRECIO EN SOLES]]-Tabla1[[#This Row],[PC]]</f>
        <v>41.829520000000031</v>
      </c>
      <c r="K1544" s="15"/>
      <c r="L1544" s="15" t="str">
        <f t="shared" si="24"/>
        <v>NORMAL</v>
      </c>
    </row>
    <row r="1545" spans="1:12" x14ac:dyDescent="0.25">
      <c r="A1545" s="3" t="s">
        <v>637</v>
      </c>
      <c r="B1545" s="3" t="s">
        <v>638</v>
      </c>
      <c r="C1545" s="1">
        <v>20</v>
      </c>
      <c r="D1545" s="1">
        <v>89.9</v>
      </c>
      <c r="E1545" s="1" t="s">
        <v>193</v>
      </c>
      <c r="F1545" s="1" t="s">
        <v>3727</v>
      </c>
      <c r="G1545" s="3" t="s">
        <v>639</v>
      </c>
      <c r="H1545" s="11">
        <f>ROUND(
IF(L1545="GANCHO",
   IF(I1545&lt;=50,I1545*1.1+4,IF(I1545&lt;=120,I1545*1.1+7,IF(I1545&lt;=250,I1545*1.1+11,I1545*1.1+19))),
IF(L1545="NORMAL",
   IF(I1545&lt;=30,I1545*1.15+2,IF(I1545&lt;=80,I1545*1.15+4,IF(I1545&lt;=150,I1545*1.15+6,I1545*1.15+8))),
IF(L1545="COMPLEMENTO",
   IF(I1545&lt;=25,I1545*1.25+1.5,IF(I1545&lt;=60,I1545*1.25+3,IF(I1545&lt;=120,I1545*1.25+4,I1545*1.25+5))),
""))),2)</f>
        <v>437.42</v>
      </c>
      <c r="I1545" s="9">
        <f>($K$2+0.02)*Tabla1[[#This Row],[PRECIO $]]*1.18</f>
        <v>373.40864000000005</v>
      </c>
      <c r="J1545" s="7">
        <f>+Tabla1[[#This Row],[PRECIO EN SOLES]]-Tabla1[[#This Row],[PC]]</f>
        <v>64.011359999999968</v>
      </c>
      <c r="K1545" s="15"/>
      <c r="L1545" s="15" t="str">
        <f t="shared" si="24"/>
        <v>NORMAL</v>
      </c>
    </row>
    <row r="1546" spans="1:12" x14ac:dyDescent="0.25">
      <c r="A1546" s="3" t="s">
        <v>6692</v>
      </c>
      <c r="B1546" s="3" t="s">
        <v>6693</v>
      </c>
      <c r="C1546" s="1">
        <v>20</v>
      </c>
      <c r="D1546" s="1">
        <v>171.6</v>
      </c>
      <c r="E1546" s="1" t="s">
        <v>784</v>
      </c>
      <c r="F1546" s="1" t="s">
        <v>6694</v>
      </c>
      <c r="G1546" s="3" t="s">
        <v>6695</v>
      </c>
      <c r="H1546" s="11">
        <f>ROUND(
IF(L1546="GANCHO",
   IF(I1546&lt;=50,I1546*1.1+4,IF(I1546&lt;=120,I1546*1.1+7,IF(I1546&lt;=250,I1546*1.1+11,I1546*1.1+19))),
IF(L1546="NORMAL",
   IF(I1546&lt;=30,I1546*1.15+2,IF(I1546&lt;=80,I1546*1.15+4,IF(I1546&lt;=150,I1546*1.15+6,I1546*1.15+8))),
IF(L1546="COMPLEMENTO",
   IF(I1546&lt;=25,I1546*1.25+1.5,IF(I1546&lt;=60,I1546*1.25+3,IF(I1546&lt;=120,I1546*1.25+4,I1546*1.25+5))),
""))),2)</f>
        <v>827.67</v>
      </c>
      <c r="I1546" s="9">
        <f>($K$2+0.02)*Tabla1[[#This Row],[PRECIO $]]*1.18</f>
        <v>712.75775999999996</v>
      </c>
      <c r="J1546" s="7">
        <f>+Tabla1[[#This Row],[PRECIO EN SOLES]]-Tabla1[[#This Row],[PC]]</f>
        <v>114.91224</v>
      </c>
      <c r="K1546" s="15"/>
      <c r="L1546" s="15" t="str">
        <f t="shared" si="24"/>
        <v>NORMAL</v>
      </c>
    </row>
    <row r="1547" spans="1:12" x14ac:dyDescent="0.25">
      <c r="A1547" s="3" t="s">
        <v>2298</v>
      </c>
      <c r="B1547" s="3" t="s">
        <v>2299</v>
      </c>
      <c r="C1547" s="1">
        <v>20</v>
      </c>
      <c r="D1547" s="1">
        <v>210.5</v>
      </c>
      <c r="E1547" s="1" t="s">
        <v>215</v>
      </c>
      <c r="F1547" s="1" t="s">
        <v>3728</v>
      </c>
      <c r="G1547" s="3" t="s">
        <v>2300</v>
      </c>
      <c r="H1547" s="11">
        <f>ROUND(
IF(L1547="GANCHO",
   IF(I1547&lt;=50,I1547*1.1+4,IF(I1547&lt;=120,I1547*1.1+7,IF(I1547&lt;=250,I1547*1.1+11,I1547*1.1+19))),
IF(L1547="NORMAL",
   IF(I1547&lt;=30,I1547*1.15+2,IF(I1547&lt;=80,I1547*1.15+4,IF(I1547&lt;=150,I1547*1.15+6,I1547*1.15+8))),
IF(L1547="COMPLEMENTO",
   IF(I1547&lt;=25,I1547*1.25+1.5,IF(I1547&lt;=60,I1547*1.25+3,IF(I1547&lt;=120,I1547*1.25+4,I1547*1.25+5))),
""))),2)</f>
        <v>1013.48</v>
      </c>
      <c r="I1547" s="9">
        <f>($K$2+0.02)*Tabla1[[#This Row],[PRECIO $]]*1.18</f>
        <v>874.33280000000002</v>
      </c>
      <c r="J1547" s="7">
        <f>+Tabla1[[#This Row],[PRECIO EN SOLES]]-Tabla1[[#This Row],[PC]]</f>
        <v>139.1472</v>
      </c>
      <c r="K1547" s="15"/>
      <c r="L1547" s="15" t="str">
        <f t="shared" si="24"/>
        <v>NORMAL</v>
      </c>
    </row>
    <row r="1548" spans="1:12" x14ac:dyDescent="0.25">
      <c r="A1548" s="3" t="s">
        <v>4499</v>
      </c>
      <c r="B1548" s="3" t="s">
        <v>4500</v>
      </c>
      <c r="C1548" s="1">
        <v>0</v>
      </c>
      <c r="D1548" s="1">
        <v>159.4</v>
      </c>
      <c r="E1548" s="1" t="s">
        <v>195</v>
      </c>
      <c r="F1548" s="1" t="s">
        <v>4501</v>
      </c>
      <c r="G1548" s="3" t="s">
        <v>4502</v>
      </c>
      <c r="H1548" s="11">
        <f>ROUND(
IF(L1548="GANCHO",
   IF(I1548&lt;=50,I1548*1.1+4,IF(I1548&lt;=120,I1548*1.1+7,IF(I1548&lt;=250,I1548*1.1+11,I1548*1.1+19))),
IF(L1548="NORMAL",
   IF(I1548&lt;=30,I1548*1.15+2,IF(I1548&lt;=80,I1548*1.15+4,IF(I1548&lt;=150,I1548*1.15+6,I1548*1.15+8))),
IF(L1548="COMPLEMENTO",
   IF(I1548&lt;=25,I1548*1.25+1.5,IF(I1548&lt;=60,I1548*1.25+3,IF(I1548&lt;=120,I1548*1.25+4,I1548*1.25+5))),
""))),2)</f>
        <v>769.4</v>
      </c>
      <c r="I1548" s="9">
        <f>($K$2+0.02)*Tabla1[[#This Row],[PRECIO $]]*1.18</f>
        <v>662.08384000000001</v>
      </c>
      <c r="J1548" s="7">
        <f>+Tabla1[[#This Row],[PRECIO EN SOLES]]-Tabla1[[#This Row],[PC]]</f>
        <v>107.31615999999997</v>
      </c>
      <c r="K1548" s="15"/>
      <c r="L1548" s="15" t="str">
        <f t="shared" si="24"/>
        <v>NORMAL</v>
      </c>
    </row>
    <row r="1549" spans="1:12" x14ac:dyDescent="0.25">
      <c r="A1549" s="3" t="s">
        <v>4655</v>
      </c>
      <c r="B1549" s="3" t="s">
        <v>4656</v>
      </c>
      <c r="C1549" s="1">
        <v>20</v>
      </c>
      <c r="D1549" s="1">
        <v>157.80000000000001</v>
      </c>
      <c r="E1549" s="1" t="s">
        <v>442</v>
      </c>
      <c r="F1549" s="1" t="s">
        <v>4657</v>
      </c>
      <c r="G1549" s="3" t="s">
        <v>5060</v>
      </c>
      <c r="H1549" s="11">
        <f>ROUND(
IF(L1549="GANCHO",
   IF(I1549&lt;=50,I1549*1.1+4,IF(I1549&lt;=120,I1549*1.1+7,IF(I1549&lt;=250,I1549*1.1+11,I1549*1.1+19))),
IF(L1549="NORMAL",
   IF(I1549&lt;=30,I1549*1.15+2,IF(I1549&lt;=80,I1549*1.15+4,IF(I1549&lt;=150,I1549*1.15+6,I1549*1.15+8))),
IF(L1549="COMPLEMENTO",
   IF(I1549&lt;=25,I1549*1.25+1.5,IF(I1549&lt;=60,I1549*1.25+3,IF(I1549&lt;=120,I1549*1.25+4,I1549*1.25+5))),
""))),2)</f>
        <v>761.75</v>
      </c>
      <c r="I1549" s="9">
        <f>($K$2+0.02)*Tabla1[[#This Row],[PRECIO $]]*1.18</f>
        <v>655.43808000000001</v>
      </c>
      <c r="J1549" s="7">
        <f>+Tabla1[[#This Row],[PRECIO EN SOLES]]-Tabla1[[#This Row],[PC]]</f>
        <v>106.31191999999999</v>
      </c>
      <c r="K1549" s="15"/>
      <c r="L1549" s="15" t="str">
        <f t="shared" si="24"/>
        <v>NORMAL</v>
      </c>
    </row>
    <row r="1550" spans="1:12" x14ac:dyDescent="0.25">
      <c r="A1550" s="3" t="s">
        <v>579</v>
      </c>
      <c r="B1550" s="3" t="s">
        <v>580</v>
      </c>
      <c r="C1550" s="1">
        <v>7</v>
      </c>
      <c r="D1550" s="1">
        <v>62.25</v>
      </c>
      <c r="E1550" s="1" t="s">
        <v>442</v>
      </c>
      <c r="F1550" s="1" t="s">
        <v>3729</v>
      </c>
      <c r="G1550" s="3" t="s">
        <v>581</v>
      </c>
      <c r="H1550" s="11">
        <f>ROUND(
IF(L1550="GANCHO",
   IF(I1550&lt;=50,I1550*1.1+4,IF(I1550&lt;=120,I1550*1.1+7,IF(I1550&lt;=250,I1550*1.1+11,I1550*1.1+19))),
IF(L1550="NORMAL",
   IF(I1550&lt;=30,I1550*1.15+2,IF(I1550&lt;=80,I1550*1.15+4,IF(I1550&lt;=150,I1550*1.15+6,I1550*1.15+8))),
IF(L1550="COMPLEMENTO",
   IF(I1550&lt;=25,I1550*1.25+1.5,IF(I1550&lt;=60,I1550*1.25+3,IF(I1550&lt;=120,I1550*1.25+4,I1550*1.25+5))),
""))),2)</f>
        <v>305.35000000000002</v>
      </c>
      <c r="I1550" s="9">
        <f>($K$2+0.02)*Tabla1[[#This Row],[PRECIO $]]*1.18</f>
        <v>258.5616</v>
      </c>
      <c r="J1550" s="7">
        <f>+Tabla1[[#This Row],[PRECIO EN SOLES]]-Tabla1[[#This Row],[PC]]</f>
        <v>46.788400000000024</v>
      </c>
      <c r="K1550" s="15"/>
      <c r="L1550" s="15" t="str">
        <f t="shared" si="24"/>
        <v>NORMAL</v>
      </c>
    </row>
    <row r="1551" spans="1:12" x14ac:dyDescent="0.25">
      <c r="A1551" s="3" t="s">
        <v>2301</v>
      </c>
      <c r="B1551" s="3" t="s">
        <v>2302</v>
      </c>
      <c r="C1551" s="1">
        <v>20</v>
      </c>
      <c r="D1551" s="1">
        <v>198</v>
      </c>
      <c r="E1551" s="1" t="s">
        <v>442</v>
      </c>
      <c r="F1551" s="1" t="s">
        <v>3730</v>
      </c>
      <c r="G1551" s="3" t="s">
        <v>5061</v>
      </c>
      <c r="H1551" s="11">
        <f>ROUND(
IF(L1551="GANCHO",
   IF(I1551&lt;=50,I1551*1.1+4,IF(I1551&lt;=120,I1551*1.1+7,IF(I1551&lt;=250,I1551*1.1+11,I1551*1.1+19))),
IF(L1551="NORMAL",
   IF(I1551&lt;=30,I1551*1.15+2,IF(I1551&lt;=80,I1551*1.15+4,IF(I1551&lt;=150,I1551*1.15+6,I1551*1.15+8))),
IF(L1551="COMPLEMENTO",
   IF(I1551&lt;=25,I1551*1.25+1.5,IF(I1551&lt;=60,I1551*1.25+3,IF(I1551&lt;=120,I1551*1.25+4,I1551*1.25+5))),
""))),2)</f>
        <v>953.77</v>
      </c>
      <c r="I1551" s="9">
        <f>($K$2+0.02)*Tabla1[[#This Row],[PRECIO $]]*1.18</f>
        <v>822.41279999999995</v>
      </c>
      <c r="J1551" s="7">
        <f>+Tabla1[[#This Row],[PRECIO EN SOLES]]-Tabla1[[#This Row],[PC]]</f>
        <v>131.35720000000003</v>
      </c>
      <c r="K1551" s="15"/>
      <c r="L1551" s="15" t="str">
        <f t="shared" si="24"/>
        <v>NORMAL</v>
      </c>
    </row>
    <row r="1552" spans="1:12" x14ac:dyDescent="0.25">
      <c r="A1552" s="3" t="s">
        <v>582</v>
      </c>
      <c r="B1552" s="3" t="s">
        <v>583</v>
      </c>
      <c r="C1552" s="1">
        <v>0</v>
      </c>
      <c r="D1552" s="1">
        <v>73.400000000000006</v>
      </c>
      <c r="E1552" s="1" t="s">
        <v>442</v>
      </c>
      <c r="F1552" s="1" t="s">
        <v>3731</v>
      </c>
      <c r="G1552" s="3" t="s">
        <v>584</v>
      </c>
      <c r="H1552" s="11">
        <f>ROUND(
IF(L1552="GANCHO",
   IF(I1552&lt;=50,I1552*1.1+4,IF(I1552&lt;=120,I1552*1.1+7,IF(I1552&lt;=250,I1552*1.1+11,I1552*1.1+19))),
IF(L1552="NORMAL",
   IF(I1552&lt;=30,I1552*1.15+2,IF(I1552&lt;=80,I1552*1.15+4,IF(I1552&lt;=150,I1552*1.15+6,I1552*1.15+8))),
IF(L1552="COMPLEMENTO",
   IF(I1552&lt;=25,I1552*1.25+1.5,IF(I1552&lt;=60,I1552*1.25+3,IF(I1552&lt;=120,I1552*1.25+4,I1552*1.25+5))),
""))),2)</f>
        <v>358.61</v>
      </c>
      <c r="I1552" s="9">
        <f>($K$2+0.02)*Tabla1[[#This Row],[PRECIO $]]*1.18</f>
        <v>304.87423999999999</v>
      </c>
      <c r="J1552" s="7">
        <f>+Tabla1[[#This Row],[PRECIO EN SOLES]]-Tabla1[[#This Row],[PC]]</f>
        <v>53.735760000000028</v>
      </c>
      <c r="K1552" s="15"/>
      <c r="L1552" s="15" t="str">
        <f t="shared" si="24"/>
        <v>NORMAL</v>
      </c>
    </row>
    <row r="1553" spans="1:12" x14ac:dyDescent="0.25">
      <c r="A1553" s="3" t="s">
        <v>4772</v>
      </c>
      <c r="B1553" s="3" t="s">
        <v>4773</v>
      </c>
      <c r="C1553" s="1">
        <v>20</v>
      </c>
      <c r="D1553" s="1">
        <v>85.3</v>
      </c>
      <c r="E1553" s="1" t="s">
        <v>4765</v>
      </c>
      <c r="F1553" s="1" t="s">
        <v>4774</v>
      </c>
      <c r="G1553" s="3" t="s">
        <v>4775</v>
      </c>
      <c r="H1553" s="11">
        <f>ROUND(
IF(L1553="GANCHO",
   IF(I1553&lt;=50,I1553*1.1+4,IF(I1553&lt;=120,I1553*1.1+7,IF(I1553&lt;=250,I1553*1.1+11,I1553*1.1+19))),
IF(L1553="NORMAL",
   IF(I1553&lt;=30,I1553*1.15+2,IF(I1553&lt;=80,I1553*1.15+4,IF(I1553&lt;=150,I1553*1.15+6,I1553*1.15+8))),
IF(L1553="COMPLEMENTO",
   IF(I1553&lt;=25,I1553*1.25+1.5,IF(I1553&lt;=60,I1553*1.25+3,IF(I1553&lt;=120,I1553*1.25+4,I1553*1.25+5))),
""))),2)</f>
        <v>415.45</v>
      </c>
      <c r="I1553" s="9">
        <f>($K$2+0.02)*Tabla1[[#This Row],[PRECIO $]]*1.18</f>
        <v>354.30207999999993</v>
      </c>
      <c r="J1553" s="7">
        <f>+Tabla1[[#This Row],[PRECIO EN SOLES]]-Tabla1[[#This Row],[PC]]</f>
        <v>61.147920000000056</v>
      </c>
      <c r="K1553" s="15"/>
      <c r="L1553" s="15" t="str">
        <f t="shared" si="24"/>
        <v>NORMAL</v>
      </c>
    </row>
    <row r="1554" spans="1:12" x14ac:dyDescent="0.25">
      <c r="A1554" s="3" t="s">
        <v>5062</v>
      </c>
      <c r="B1554" s="3" t="s">
        <v>5063</v>
      </c>
      <c r="C1554" s="1">
        <v>20</v>
      </c>
      <c r="D1554" s="1">
        <v>84.5</v>
      </c>
      <c r="E1554" s="1" t="s">
        <v>196</v>
      </c>
      <c r="F1554" s="1" t="s">
        <v>5064</v>
      </c>
      <c r="G1554" s="3" t="s">
        <v>5582</v>
      </c>
      <c r="H1554" s="11">
        <f>ROUND(
IF(L1554="GANCHO",
   IF(I1554&lt;=50,I1554*1.1+4,IF(I1554&lt;=120,I1554*1.1+7,IF(I1554&lt;=250,I1554*1.1+11,I1554*1.1+19))),
IF(L1554="NORMAL",
   IF(I1554&lt;=30,I1554*1.15+2,IF(I1554&lt;=80,I1554*1.15+4,IF(I1554&lt;=150,I1554*1.15+6,I1554*1.15+8))),
IF(L1554="COMPLEMENTO",
   IF(I1554&lt;=25,I1554*1.25+1.5,IF(I1554&lt;=60,I1554*1.25+3,IF(I1554&lt;=120,I1554*1.25+4,I1554*1.25+5))),
""))),2)</f>
        <v>411.63</v>
      </c>
      <c r="I1554" s="9">
        <f>($K$2+0.02)*Tabla1[[#This Row],[PRECIO $]]*1.18</f>
        <v>350.97919999999999</v>
      </c>
      <c r="J1554" s="7">
        <f>+Tabla1[[#This Row],[PRECIO EN SOLES]]-Tabla1[[#This Row],[PC]]</f>
        <v>60.650800000000004</v>
      </c>
      <c r="K1554" s="15"/>
      <c r="L1554" s="15" t="str">
        <f t="shared" si="24"/>
        <v>NORMAL</v>
      </c>
    </row>
    <row r="1555" spans="1:12" x14ac:dyDescent="0.25">
      <c r="A1555" s="3" t="s">
        <v>5065</v>
      </c>
      <c r="B1555" s="3" t="s">
        <v>5066</v>
      </c>
      <c r="C1555" s="1">
        <v>20</v>
      </c>
      <c r="D1555" s="1">
        <v>53.2</v>
      </c>
      <c r="E1555" s="1" t="s">
        <v>196</v>
      </c>
      <c r="F1555" s="1" t="s">
        <v>5067</v>
      </c>
      <c r="G1555" s="3" t="s">
        <v>5583</v>
      </c>
      <c r="H1555" s="11">
        <f>ROUND(
IF(L1555="GANCHO",
   IF(I1555&lt;=50,I1555*1.1+4,IF(I1555&lt;=120,I1555*1.1+7,IF(I1555&lt;=250,I1555*1.1+11,I1555*1.1+19))),
IF(L1555="NORMAL",
   IF(I1555&lt;=30,I1555*1.15+2,IF(I1555&lt;=80,I1555*1.15+4,IF(I1555&lt;=150,I1555*1.15+6,I1555*1.15+8))),
IF(L1555="COMPLEMENTO",
   IF(I1555&lt;=25,I1555*1.25+1.5,IF(I1555&lt;=60,I1555*1.25+3,IF(I1555&lt;=120,I1555*1.25+4,I1555*1.25+5))),
""))),2)</f>
        <v>262.12</v>
      </c>
      <c r="I1555" s="9">
        <f>($K$2+0.02)*Tabla1[[#This Row],[PRECIO $]]*1.18</f>
        <v>220.97152</v>
      </c>
      <c r="J1555" s="7">
        <f>+Tabla1[[#This Row],[PRECIO EN SOLES]]-Tabla1[[#This Row],[PC]]</f>
        <v>41.148480000000006</v>
      </c>
      <c r="K1555" s="15"/>
      <c r="L1555" s="15" t="str">
        <f t="shared" si="24"/>
        <v>NORMAL</v>
      </c>
    </row>
    <row r="1556" spans="1:12" x14ac:dyDescent="0.25">
      <c r="A1556" s="3" t="s">
        <v>5068</v>
      </c>
      <c r="B1556" s="3" t="s">
        <v>5069</v>
      </c>
      <c r="C1556" s="1">
        <v>20</v>
      </c>
      <c r="D1556" s="1">
        <v>81.3</v>
      </c>
      <c r="E1556" s="1" t="s">
        <v>196</v>
      </c>
      <c r="F1556" s="1" t="s">
        <v>5070</v>
      </c>
      <c r="G1556" s="3" t="s">
        <v>5584</v>
      </c>
      <c r="H1556" s="11">
        <f>ROUND(
IF(L1556="GANCHO",
   IF(I1556&lt;=50,I1556*1.1+4,IF(I1556&lt;=120,I1556*1.1+7,IF(I1556&lt;=250,I1556*1.1+11,I1556*1.1+19))),
IF(L1556="NORMAL",
   IF(I1556&lt;=30,I1556*1.15+2,IF(I1556&lt;=80,I1556*1.15+4,IF(I1556&lt;=150,I1556*1.15+6,I1556*1.15+8))),
IF(L1556="COMPLEMENTO",
   IF(I1556&lt;=25,I1556*1.25+1.5,IF(I1556&lt;=60,I1556*1.25+3,IF(I1556&lt;=120,I1556*1.25+4,I1556*1.25+5))),
""))),2)</f>
        <v>396.34</v>
      </c>
      <c r="I1556" s="9">
        <f>($K$2+0.02)*Tabla1[[#This Row],[PRECIO $]]*1.18</f>
        <v>337.68767999999994</v>
      </c>
      <c r="J1556" s="7">
        <f>+Tabla1[[#This Row],[PRECIO EN SOLES]]-Tabla1[[#This Row],[PC]]</f>
        <v>58.652320000000032</v>
      </c>
      <c r="K1556" s="15"/>
      <c r="L1556" s="15" t="str">
        <f t="shared" si="24"/>
        <v>NORMAL</v>
      </c>
    </row>
    <row r="1557" spans="1:12" x14ac:dyDescent="0.25">
      <c r="A1557" s="3" t="s">
        <v>455</v>
      </c>
      <c r="B1557" s="3" t="s">
        <v>456</v>
      </c>
      <c r="C1557" s="1">
        <v>20</v>
      </c>
      <c r="D1557" s="1">
        <v>174.5</v>
      </c>
      <c r="E1557" s="1" t="s">
        <v>193</v>
      </c>
      <c r="F1557" s="1" t="s">
        <v>3732</v>
      </c>
      <c r="G1557" s="3" t="s">
        <v>457</v>
      </c>
      <c r="H1557" s="11">
        <f>ROUND(
IF(L1557="GANCHO",
   IF(I1557&lt;=50,I1557*1.1+4,IF(I1557&lt;=120,I1557*1.1+7,IF(I1557&lt;=250,I1557*1.1+11,I1557*1.1+19))),
IF(L1557="NORMAL",
   IF(I1557&lt;=30,I1557*1.15+2,IF(I1557&lt;=80,I1557*1.15+4,IF(I1557&lt;=150,I1557*1.15+6,I1557*1.15+8))),
IF(L1557="COMPLEMENTO",
   IF(I1557&lt;=25,I1557*1.25+1.5,IF(I1557&lt;=60,I1557*1.25+3,IF(I1557&lt;=120,I1557*1.25+4,I1557*1.25+5))),
""))),2)</f>
        <v>841.52</v>
      </c>
      <c r="I1557" s="9">
        <f>($K$2+0.02)*Tabla1[[#This Row],[PRECIO $]]*1.18</f>
        <v>724.80319999999995</v>
      </c>
      <c r="J1557" s="7">
        <f>+Tabla1[[#This Row],[PRECIO EN SOLES]]-Tabla1[[#This Row],[PC]]</f>
        <v>116.71680000000003</v>
      </c>
      <c r="K1557" s="15"/>
      <c r="L1557" s="15" t="str">
        <f t="shared" si="24"/>
        <v>NORMAL</v>
      </c>
    </row>
    <row r="1558" spans="1:12" x14ac:dyDescent="0.25">
      <c r="A1558" s="3" t="s">
        <v>2303</v>
      </c>
      <c r="B1558" s="3" t="s">
        <v>2304</v>
      </c>
      <c r="C1558" s="1">
        <v>20</v>
      </c>
      <c r="D1558" s="1">
        <v>289.5</v>
      </c>
      <c r="E1558" s="1" t="s">
        <v>193</v>
      </c>
      <c r="F1558" s="1" t="s">
        <v>3733</v>
      </c>
      <c r="G1558" s="3" t="s">
        <v>2305</v>
      </c>
      <c r="H1558" s="11">
        <f>ROUND(
IF(L1558="GANCHO",
   IF(I1558&lt;=50,I1558*1.1+4,IF(I1558&lt;=120,I1558*1.1+7,IF(I1558&lt;=250,I1558*1.1+11,I1558*1.1+19))),
IF(L1558="NORMAL",
   IF(I1558&lt;=30,I1558*1.15+2,IF(I1558&lt;=80,I1558*1.15+4,IF(I1558&lt;=150,I1558*1.15+6,I1558*1.15+8))),
IF(L1558="COMPLEMENTO",
   IF(I1558&lt;=25,I1558*1.25+1.5,IF(I1558&lt;=60,I1558*1.25+3,IF(I1558&lt;=120,I1558*1.25+4,I1558*1.25+5))),
""))),2)</f>
        <v>1390.84</v>
      </c>
      <c r="I1558" s="9">
        <f>($K$2+0.02)*Tabla1[[#This Row],[PRECIO $]]*1.18</f>
        <v>1202.4671999999998</v>
      </c>
      <c r="J1558" s="7">
        <f>+Tabla1[[#This Row],[PRECIO EN SOLES]]-Tabla1[[#This Row],[PC]]</f>
        <v>188.3728000000001</v>
      </c>
      <c r="K1558" s="15"/>
      <c r="L1558" s="15" t="str">
        <f t="shared" si="24"/>
        <v>NORMAL</v>
      </c>
    </row>
    <row r="1559" spans="1:12" x14ac:dyDescent="0.25">
      <c r="A1559" s="3" t="s">
        <v>2306</v>
      </c>
      <c r="B1559" s="3" t="s">
        <v>2307</v>
      </c>
      <c r="C1559" s="1">
        <v>9</v>
      </c>
      <c r="D1559" s="1">
        <v>663</v>
      </c>
      <c r="E1559" s="1" t="s">
        <v>193</v>
      </c>
      <c r="F1559" s="1" t="s">
        <v>3734</v>
      </c>
      <c r="G1559" s="3" t="s">
        <v>2308</v>
      </c>
      <c r="H1559" s="11">
        <f>ROUND(
IF(L1559="GANCHO",
   IF(I1559&lt;=50,I1559*1.1+4,IF(I1559&lt;=120,I1559*1.1+7,IF(I1559&lt;=250,I1559*1.1+11,I1559*1.1+19))),
IF(L1559="NORMAL",
   IF(I1559&lt;=30,I1559*1.15+2,IF(I1559&lt;=80,I1559*1.15+4,IF(I1559&lt;=150,I1559*1.15+6,I1559*1.15+8))),
IF(L1559="COMPLEMENTO",
   IF(I1559&lt;=25,I1559*1.25+1.5,IF(I1559&lt;=60,I1559*1.25+3,IF(I1559&lt;=120,I1559*1.25+4,I1559*1.25+5))),
""))),2)</f>
        <v>3174.91</v>
      </c>
      <c r="I1559" s="9">
        <f>($K$2+0.02)*Tabla1[[#This Row],[PRECIO $]]*1.18</f>
        <v>2753.8368</v>
      </c>
      <c r="J1559" s="7">
        <f>+Tabla1[[#This Row],[PRECIO EN SOLES]]-Tabla1[[#This Row],[PC]]</f>
        <v>421.07319999999982</v>
      </c>
      <c r="K1559" s="15"/>
      <c r="L1559" s="15" t="str">
        <f t="shared" si="24"/>
        <v>NORMAL</v>
      </c>
    </row>
    <row r="1560" spans="1:12" x14ac:dyDescent="0.25">
      <c r="A1560" s="3" t="s">
        <v>7112</v>
      </c>
      <c r="B1560" s="3" t="s">
        <v>7113</v>
      </c>
      <c r="C1560" s="1">
        <v>1</v>
      </c>
      <c r="D1560" s="1">
        <v>127.5</v>
      </c>
      <c r="E1560" s="1" t="s">
        <v>193</v>
      </c>
      <c r="F1560" s="1" t="s">
        <v>7114</v>
      </c>
      <c r="G1560" s="3" t="s">
        <v>7115</v>
      </c>
      <c r="H1560" s="11">
        <f>ROUND(
IF(L1560="GANCHO",
   IF(I1560&lt;=50,I1560*1.1+4,IF(I1560&lt;=120,I1560*1.1+7,IF(I1560&lt;=250,I1560*1.1+11,I1560*1.1+19))),
IF(L1560="NORMAL",
   IF(I1560&lt;=30,I1560*1.15+2,IF(I1560&lt;=80,I1560*1.15+4,IF(I1560&lt;=150,I1560*1.15+6,I1560*1.15+8))),
IF(L1560="COMPLEMENTO",
   IF(I1560&lt;=25,I1560*1.25+1.5,IF(I1560&lt;=60,I1560*1.25+3,IF(I1560&lt;=120,I1560*1.25+4,I1560*1.25+5))),
""))),2)</f>
        <v>617.02</v>
      </c>
      <c r="I1560" s="9">
        <f>($K$2+0.02)*Tabla1[[#This Row],[PRECIO $]]*1.18</f>
        <v>529.58399999999995</v>
      </c>
      <c r="J1560" s="7">
        <f>+Tabla1[[#This Row],[PRECIO EN SOLES]]-Tabla1[[#This Row],[PC]]</f>
        <v>87.436000000000035</v>
      </c>
      <c r="K1560" s="15"/>
      <c r="L1560" s="15" t="str">
        <f t="shared" si="24"/>
        <v>NORMAL</v>
      </c>
    </row>
    <row r="1561" spans="1:12" x14ac:dyDescent="0.25">
      <c r="A1561" s="3" t="s">
        <v>2789</v>
      </c>
      <c r="B1561" s="3" t="s">
        <v>2790</v>
      </c>
      <c r="C1561" s="1">
        <v>3</v>
      </c>
      <c r="D1561" s="1">
        <v>194.5</v>
      </c>
      <c r="E1561" s="1" t="s">
        <v>193</v>
      </c>
      <c r="F1561" s="1" t="s">
        <v>3735</v>
      </c>
      <c r="G1561" s="3" t="s">
        <v>2791</v>
      </c>
      <c r="H1561" s="11">
        <f>ROUND(
IF(L1561="GANCHO",
   IF(I1561&lt;=50,I1561*1.1+4,IF(I1561&lt;=120,I1561*1.1+7,IF(I1561&lt;=250,I1561*1.1+11,I1561*1.1+19))),
IF(L1561="NORMAL",
   IF(I1561&lt;=30,I1561*1.15+2,IF(I1561&lt;=80,I1561*1.15+4,IF(I1561&lt;=150,I1561*1.15+6,I1561*1.15+8))),
IF(L1561="COMPLEMENTO",
   IF(I1561&lt;=25,I1561*1.25+1.5,IF(I1561&lt;=60,I1561*1.25+3,IF(I1561&lt;=120,I1561*1.25+4,I1561*1.25+5))),
""))),2)</f>
        <v>937.06</v>
      </c>
      <c r="I1561" s="9">
        <f>($K$2+0.02)*Tabla1[[#This Row],[PRECIO $]]*1.18</f>
        <v>807.87519999999995</v>
      </c>
      <c r="J1561" s="7">
        <f>+Tabla1[[#This Row],[PRECIO EN SOLES]]-Tabla1[[#This Row],[PC]]</f>
        <v>129.1848</v>
      </c>
      <c r="K1561" s="15"/>
      <c r="L1561" s="15" t="str">
        <f t="shared" si="24"/>
        <v>NORMAL</v>
      </c>
    </row>
    <row r="1562" spans="1:12" x14ac:dyDescent="0.25">
      <c r="A1562" s="3" t="s">
        <v>2309</v>
      </c>
      <c r="B1562" s="3" t="s">
        <v>2310</v>
      </c>
      <c r="C1562" s="1">
        <v>20</v>
      </c>
      <c r="D1562" s="1">
        <v>260.5</v>
      </c>
      <c r="E1562" s="1" t="s">
        <v>193</v>
      </c>
      <c r="F1562" s="1" t="s">
        <v>3736</v>
      </c>
      <c r="G1562" s="3" t="s">
        <v>2311</v>
      </c>
      <c r="H1562" s="11">
        <f>ROUND(
IF(L1562="GANCHO",
   IF(I1562&lt;=50,I1562*1.1+4,IF(I1562&lt;=120,I1562*1.1+7,IF(I1562&lt;=250,I1562*1.1+11,I1562*1.1+19))),
IF(L1562="NORMAL",
   IF(I1562&lt;=30,I1562*1.15+2,IF(I1562&lt;=80,I1562*1.15+4,IF(I1562&lt;=150,I1562*1.15+6,I1562*1.15+8))),
IF(L1562="COMPLEMENTO",
   IF(I1562&lt;=25,I1562*1.25+1.5,IF(I1562&lt;=60,I1562*1.25+3,IF(I1562&lt;=120,I1562*1.25+4,I1562*1.25+5))),
""))),2)</f>
        <v>1252.31</v>
      </c>
      <c r="I1562" s="9">
        <f>($K$2+0.02)*Tabla1[[#This Row],[PRECIO $]]*1.18</f>
        <v>1082.0128</v>
      </c>
      <c r="J1562" s="7">
        <f>+Tabla1[[#This Row],[PRECIO EN SOLES]]-Tabla1[[#This Row],[PC]]</f>
        <v>170.29719999999998</v>
      </c>
      <c r="K1562" s="15"/>
      <c r="L1562" s="15" t="str">
        <f t="shared" si="24"/>
        <v>NORMAL</v>
      </c>
    </row>
    <row r="1563" spans="1:12" x14ac:dyDescent="0.25">
      <c r="A1563" s="3" t="s">
        <v>2312</v>
      </c>
      <c r="B1563" s="3" t="s">
        <v>2313</v>
      </c>
      <c r="C1563" s="1">
        <v>20</v>
      </c>
      <c r="D1563" s="1">
        <v>89.3</v>
      </c>
      <c r="E1563" s="1" t="s">
        <v>193</v>
      </c>
      <c r="F1563" s="1" t="s">
        <v>3737</v>
      </c>
      <c r="G1563" s="3" t="s">
        <v>2314</v>
      </c>
      <c r="H1563" s="11">
        <f>ROUND(
IF(L1563="GANCHO",
   IF(I1563&lt;=50,I1563*1.1+4,IF(I1563&lt;=120,I1563*1.1+7,IF(I1563&lt;=250,I1563*1.1+11,I1563*1.1+19))),
IF(L1563="NORMAL",
   IF(I1563&lt;=30,I1563*1.15+2,IF(I1563&lt;=80,I1563*1.15+4,IF(I1563&lt;=150,I1563*1.15+6,I1563*1.15+8))),
IF(L1563="COMPLEMENTO",
   IF(I1563&lt;=25,I1563*1.25+1.5,IF(I1563&lt;=60,I1563*1.25+3,IF(I1563&lt;=120,I1563*1.25+4,I1563*1.25+5))),
""))),2)</f>
        <v>434.55</v>
      </c>
      <c r="I1563" s="9">
        <f>($K$2+0.02)*Tabla1[[#This Row],[PRECIO $]]*1.18</f>
        <v>370.91647999999998</v>
      </c>
      <c r="J1563" s="7">
        <f>+Tabla1[[#This Row],[PRECIO EN SOLES]]-Tabla1[[#This Row],[PC]]</f>
        <v>63.633520000000033</v>
      </c>
      <c r="K1563" s="15"/>
      <c r="L1563" s="15" t="str">
        <f t="shared" si="24"/>
        <v>NORMAL</v>
      </c>
    </row>
    <row r="1564" spans="1:12" x14ac:dyDescent="0.25">
      <c r="A1564" s="3" t="s">
        <v>2315</v>
      </c>
      <c r="B1564" s="3" t="s">
        <v>2316</v>
      </c>
      <c r="C1564" s="1">
        <v>14</v>
      </c>
      <c r="D1564" s="1">
        <v>360.3</v>
      </c>
      <c r="E1564" s="1" t="s">
        <v>193</v>
      </c>
      <c r="F1564" s="1" t="s">
        <v>3738</v>
      </c>
      <c r="G1564" s="3" t="s">
        <v>2317</v>
      </c>
      <c r="H1564" s="11">
        <f>ROUND(
IF(L1564="GANCHO",
   IF(I1564&lt;=50,I1564*1.1+4,IF(I1564&lt;=120,I1564*1.1+7,IF(I1564&lt;=250,I1564*1.1+11,I1564*1.1+19))),
IF(L1564="NORMAL",
   IF(I1564&lt;=30,I1564*1.15+2,IF(I1564&lt;=80,I1564*1.15+4,IF(I1564&lt;=150,I1564*1.15+6,I1564*1.15+8))),
IF(L1564="COMPLEMENTO",
   IF(I1564&lt;=25,I1564*1.25+1.5,IF(I1564&lt;=60,I1564*1.25+3,IF(I1564&lt;=120,I1564*1.25+4,I1564*1.25+5))),
""))),2)</f>
        <v>1729.02</v>
      </c>
      <c r="I1564" s="9">
        <f>($K$2+0.02)*Tabla1[[#This Row],[PRECIO $]]*1.18</f>
        <v>1496.5420799999999</v>
      </c>
      <c r="J1564" s="7">
        <f>+Tabla1[[#This Row],[PRECIO EN SOLES]]-Tabla1[[#This Row],[PC]]</f>
        <v>232.47792000000004</v>
      </c>
      <c r="K1564" s="15"/>
      <c r="L1564" s="15" t="str">
        <f t="shared" si="24"/>
        <v>NORMAL</v>
      </c>
    </row>
    <row r="1565" spans="1:12" x14ac:dyDescent="0.25">
      <c r="A1565" s="3" t="s">
        <v>2714</v>
      </c>
      <c r="B1565" s="3" t="s">
        <v>2715</v>
      </c>
      <c r="C1565" s="1">
        <v>20</v>
      </c>
      <c r="D1565" s="1">
        <v>490</v>
      </c>
      <c r="E1565" s="1" t="s">
        <v>193</v>
      </c>
      <c r="F1565" s="1" t="s">
        <v>3739</v>
      </c>
      <c r="G1565" s="3" t="s">
        <v>2716</v>
      </c>
      <c r="H1565" s="11">
        <f>ROUND(
IF(L1565="GANCHO",
   IF(I1565&lt;=50,I1565*1.1+4,IF(I1565&lt;=120,I1565*1.1+7,IF(I1565&lt;=250,I1565*1.1+11,I1565*1.1+19))),
IF(L1565="NORMAL",
   IF(I1565&lt;=30,I1565*1.15+2,IF(I1565&lt;=80,I1565*1.15+4,IF(I1565&lt;=150,I1565*1.15+6,I1565*1.15+8))),
IF(L1565="COMPLEMENTO",
   IF(I1565&lt;=25,I1565*1.25+1.5,IF(I1565&lt;=60,I1565*1.25+3,IF(I1565&lt;=120,I1565*1.25+4,I1565*1.25+5))),
""))),2)</f>
        <v>2348.5500000000002</v>
      </c>
      <c r="I1565" s="9">
        <f>($K$2+0.02)*Tabla1[[#This Row],[PRECIO $]]*1.18</f>
        <v>2035.2639999999999</v>
      </c>
      <c r="J1565" s="7">
        <f>+Tabla1[[#This Row],[PRECIO EN SOLES]]-Tabla1[[#This Row],[PC]]</f>
        <v>313.28600000000029</v>
      </c>
      <c r="K1565" s="15"/>
      <c r="L1565" s="15" t="str">
        <f t="shared" si="24"/>
        <v>NORMAL</v>
      </c>
    </row>
    <row r="1566" spans="1:12" x14ac:dyDescent="0.25">
      <c r="A1566" s="3" t="s">
        <v>2318</v>
      </c>
      <c r="B1566" s="3" t="s">
        <v>2319</v>
      </c>
      <c r="C1566" s="1">
        <v>9</v>
      </c>
      <c r="D1566" s="1">
        <v>896</v>
      </c>
      <c r="E1566" s="1" t="s">
        <v>193</v>
      </c>
      <c r="F1566" s="1" t="s">
        <v>3740</v>
      </c>
      <c r="G1566" s="3" t="s">
        <v>2320</v>
      </c>
      <c r="H1566" s="11">
        <f>ROUND(
IF(L1566="GANCHO",
   IF(I1566&lt;=50,I1566*1.1+4,IF(I1566&lt;=120,I1566*1.1+7,IF(I1566&lt;=250,I1566*1.1+11,I1566*1.1+19))),
IF(L1566="NORMAL",
   IF(I1566&lt;=30,I1566*1.15+2,IF(I1566&lt;=80,I1566*1.15+4,IF(I1566&lt;=150,I1566*1.15+6,I1566*1.15+8))),
IF(L1566="COMPLEMENTO",
   IF(I1566&lt;=25,I1566*1.25+1.5,IF(I1566&lt;=60,I1566*1.25+3,IF(I1566&lt;=120,I1566*1.25+4,I1566*1.25+5))),
""))),2)</f>
        <v>4287.87</v>
      </c>
      <c r="I1566" s="9">
        <f>($K$2+0.02)*Tabla1[[#This Row],[PRECIO $]]*1.18</f>
        <v>3721.6255999999998</v>
      </c>
      <c r="J1566" s="7">
        <f>+Tabla1[[#This Row],[PRECIO EN SOLES]]-Tabla1[[#This Row],[PC]]</f>
        <v>566.24440000000004</v>
      </c>
      <c r="K1566" s="15"/>
      <c r="L1566" s="15" t="str">
        <f t="shared" si="24"/>
        <v>NORMAL</v>
      </c>
    </row>
    <row r="1567" spans="1:12" x14ac:dyDescent="0.25">
      <c r="A1567" s="3" t="s">
        <v>2717</v>
      </c>
      <c r="B1567" s="3" t="s">
        <v>2718</v>
      </c>
      <c r="C1567" s="1">
        <v>20</v>
      </c>
      <c r="D1567" s="1">
        <v>455.5</v>
      </c>
      <c r="E1567" s="1" t="s">
        <v>193</v>
      </c>
      <c r="F1567" s="1" t="s">
        <v>3741</v>
      </c>
      <c r="G1567" s="3" t="s">
        <v>2719</v>
      </c>
      <c r="H1567" s="11">
        <f>ROUND(
IF(L1567="GANCHO",
   IF(I1567&lt;=50,I1567*1.1+4,IF(I1567&lt;=120,I1567*1.1+7,IF(I1567&lt;=250,I1567*1.1+11,I1567*1.1+19))),
IF(L1567="NORMAL",
   IF(I1567&lt;=30,I1567*1.15+2,IF(I1567&lt;=80,I1567*1.15+4,IF(I1567&lt;=150,I1567*1.15+6,I1567*1.15+8))),
IF(L1567="COMPLEMENTO",
   IF(I1567&lt;=25,I1567*1.25+1.5,IF(I1567&lt;=60,I1567*1.25+3,IF(I1567&lt;=120,I1567*1.25+4,I1567*1.25+5))),
""))),2)</f>
        <v>2183.7600000000002</v>
      </c>
      <c r="I1567" s="9">
        <f>($K$2+0.02)*Tabla1[[#This Row],[PRECIO $]]*1.18</f>
        <v>1891.9647999999997</v>
      </c>
      <c r="J1567" s="7">
        <f>+Tabla1[[#This Row],[PRECIO EN SOLES]]-Tabla1[[#This Row],[PC]]</f>
        <v>291.79520000000048</v>
      </c>
      <c r="K1567" s="15"/>
      <c r="L1567" s="15" t="str">
        <f t="shared" si="24"/>
        <v>NORMAL</v>
      </c>
    </row>
    <row r="1568" spans="1:12" x14ac:dyDescent="0.25">
      <c r="A1568" s="3" t="s">
        <v>2321</v>
      </c>
      <c r="B1568" s="3" t="s">
        <v>2322</v>
      </c>
      <c r="C1568" s="1">
        <v>16</v>
      </c>
      <c r="D1568" s="1">
        <v>857</v>
      </c>
      <c r="E1568" s="1" t="s">
        <v>193</v>
      </c>
      <c r="F1568" s="1" t="s">
        <v>3742</v>
      </c>
      <c r="G1568" s="3" t="s">
        <v>2323</v>
      </c>
      <c r="H1568" s="11">
        <f>ROUND(
IF(L1568="GANCHO",
   IF(I1568&lt;=50,I1568*1.1+4,IF(I1568&lt;=120,I1568*1.1+7,IF(I1568&lt;=250,I1568*1.1+11,I1568*1.1+19))),
IF(L1568="NORMAL",
   IF(I1568&lt;=30,I1568*1.15+2,IF(I1568&lt;=80,I1568*1.15+4,IF(I1568&lt;=150,I1568*1.15+6,I1568*1.15+8))),
IF(L1568="COMPLEMENTO",
   IF(I1568&lt;=25,I1568*1.25+1.5,IF(I1568&lt;=60,I1568*1.25+3,IF(I1568&lt;=120,I1568*1.25+4,I1568*1.25+5))),
""))),2)</f>
        <v>4101.58</v>
      </c>
      <c r="I1568" s="9">
        <f>($K$2+0.02)*Tabla1[[#This Row],[PRECIO $]]*1.18</f>
        <v>3559.6351999999997</v>
      </c>
      <c r="J1568" s="7">
        <f>+Tabla1[[#This Row],[PRECIO EN SOLES]]-Tabla1[[#This Row],[PC]]</f>
        <v>541.94480000000021</v>
      </c>
      <c r="K1568" s="15"/>
      <c r="L1568" s="15" t="str">
        <f t="shared" si="24"/>
        <v>NORMAL</v>
      </c>
    </row>
    <row r="1569" spans="1:12" x14ac:dyDescent="0.25">
      <c r="A1569" s="3" t="s">
        <v>458</v>
      </c>
      <c r="B1569" s="3" t="s">
        <v>459</v>
      </c>
      <c r="C1569" s="1">
        <v>20</v>
      </c>
      <c r="D1569" s="1">
        <v>272.5</v>
      </c>
      <c r="E1569" s="1" t="s">
        <v>193</v>
      </c>
      <c r="F1569" s="1" t="s">
        <v>3743</v>
      </c>
      <c r="G1569" s="3" t="s">
        <v>460</v>
      </c>
      <c r="H1569" s="11">
        <f>ROUND(
IF(L1569="GANCHO",
   IF(I1569&lt;=50,I1569*1.1+4,IF(I1569&lt;=120,I1569*1.1+7,IF(I1569&lt;=250,I1569*1.1+11,I1569*1.1+19))),
IF(L1569="NORMAL",
   IF(I1569&lt;=30,I1569*1.15+2,IF(I1569&lt;=80,I1569*1.15+4,IF(I1569&lt;=150,I1569*1.15+6,I1569*1.15+8))),
IF(L1569="COMPLEMENTO",
   IF(I1569&lt;=25,I1569*1.25+1.5,IF(I1569&lt;=60,I1569*1.25+3,IF(I1569&lt;=120,I1569*1.25+4,I1569*1.25+5))),
""))),2)</f>
        <v>1309.6300000000001</v>
      </c>
      <c r="I1569" s="9">
        <f>($K$2+0.02)*Tabla1[[#This Row],[PRECIO $]]*1.18</f>
        <v>1131.856</v>
      </c>
      <c r="J1569" s="7">
        <f>+Tabla1[[#This Row],[PRECIO EN SOLES]]-Tabla1[[#This Row],[PC]]</f>
        <v>177.77400000000011</v>
      </c>
      <c r="K1569" s="15"/>
      <c r="L1569" s="15" t="str">
        <f t="shared" si="24"/>
        <v>NORMAL</v>
      </c>
    </row>
    <row r="1570" spans="1:12" x14ac:dyDescent="0.25">
      <c r="A1570" s="3" t="s">
        <v>2324</v>
      </c>
      <c r="B1570" s="3" t="s">
        <v>2325</v>
      </c>
      <c r="C1570" s="1">
        <v>20</v>
      </c>
      <c r="D1570" s="1">
        <v>140.30000000000001</v>
      </c>
      <c r="E1570" s="1" t="s">
        <v>193</v>
      </c>
      <c r="F1570" s="1" t="s">
        <v>3744</v>
      </c>
      <c r="G1570" s="3" t="s">
        <v>2326</v>
      </c>
      <c r="H1570" s="11">
        <f>ROUND(
IF(L1570="GANCHO",
   IF(I1570&lt;=50,I1570*1.1+4,IF(I1570&lt;=120,I1570*1.1+7,IF(I1570&lt;=250,I1570*1.1+11,I1570*1.1+19))),
IF(L1570="NORMAL",
   IF(I1570&lt;=30,I1570*1.15+2,IF(I1570&lt;=80,I1570*1.15+4,IF(I1570&lt;=150,I1570*1.15+6,I1570*1.15+8))),
IF(L1570="COMPLEMENTO",
   IF(I1570&lt;=25,I1570*1.25+1.5,IF(I1570&lt;=60,I1570*1.25+3,IF(I1570&lt;=120,I1570*1.25+4,I1570*1.25+5))),
""))),2)</f>
        <v>678.16</v>
      </c>
      <c r="I1570" s="9">
        <f>($K$2+0.02)*Tabla1[[#This Row],[PRECIO $]]*1.18</f>
        <v>582.75008000000003</v>
      </c>
      <c r="J1570" s="7">
        <f>+Tabla1[[#This Row],[PRECIO EN SOLES]]-Tabla1[[#This Row],[PC]]</f>
        <v>95.409919999999943</v>
      </c>
      <c r="K1570" s="15"/>
      <c r="L1570" s="15" t="str">
        <f t="shared" si="24"/>
        <v>NORMAL</v>
      </c>
    </row>
    <row r="1571" spans="1:12" x14ac:dyDescent="0.25">
      <c r="A1571" s="3" t="s">
        <v>461</v>
      </c>
      <c r="B1571" s="3" t="s">
        <v>462</v>
      </c>
      <c r="C1571" s="1">
        <v>20</v>
      </c>
      <c r="D1571" s="1">
        <v>238</v>
      </c>
      <c r="E1571" s="1" t="s">
        <v>193</v>
      </c>
      <c r="F1571" s="1" t="s">
        <v>3745</v>
      </c>
      <c r="G1571" s="3" t="s">
        <v>463</v>
      </c>
      <c r="H1571" s="11">
        <f>ROUND(
IF(L1571="GANCHO",
   IF(I1571&lt;=50,I1571*1.1+4,IF(I1571&lt;=120,I1571*1.1+7,IF(I1571&lt;=250,I1571*1.1+11,I1571*1.1+19))),
IF(L1571="NORMAL",
   IF(I1571&lt;=30,I1571*1.15+2,IF(I1571&lt;=80,I1571*1.15+4,IF(I1571&lt;=150,I1571*1.15+6,I1571*1.15+8))),
IF(L1571="COMPLEMENTO",
   IF(I1571&lt;=25,I1571*1.25+1.5,IF(I1571&lt;=60,I1571*1.25+3,IF(I1571&lt;=120,I1571*1.25+4,I1571*1.25+5))),
""))),2)</f>
        <v>1144.8399999999999</v>
      </c>
      <c r="I1571" s="9">
        <f>($K$2+0.02)*Tabla1[[#This Row],[PRECIO $]]*1.18</f>
        <v>988.55679999999995</v>
      </c>
      <c r="J1571" s="7">
        <f>+Tabla1[[#This Row],[PRECIO EN SOLES]]-Tabla1[[#This Row],[PC]]</f>
        <v>156.28319999999997</v>
      </c>
      <c r="K1571" s="15"/>
      <c r="L1571" s="15" t="str">
        <f t="shared" si="24"/>
        <v>NORMAL</v>
      </c>
    </row>
    <row r="1572" spans="1:12" x14ac:dyDescent="0.25">
      <c r="A1572" s="3" t="s">
        <v>2327</v>
      </c>
      <c r="B1572" s="3" t="s">
        <v>2328</v>
      </c>
      <c r="C1572" s="1">
        <v>20</v>
      </c>
      <c r="D1572" s="1">
        <v>405.5</v>
      </c>
      <c r="E1572" s="1" t="s">
        <v>193</v>
      </c>
      <c r="F1572" s="1" t="s">
        <v>3746</v>
      </c>
      <c r="G1572" s="3" t="s">
        <v>2329</v>
      </c>
      <c r="H1572" s="11">
        <f>ROUND(
IF(L1572="GANCHO",
   IF(I1572&lt;=50,I1572*1.1+4,IF(I1572&lt;=120,I1572*1.1+7,IF(I1572&lt;=250,I1572*1.1+11,I1572*1.1+19))),
IF(L1572="NORMAL",
   IF(I1572&lt;=30,I1572*1.15+2,IF(I1572&lt;=80,I1572*1.15+4,IF(I1572&lt;=150,I1572*1.15+6,I1572*1.15+8))),
IF(L1572="COMPLEMENTO",
   IF(I1572&lt;=25,I1572*1.25+1.5,IF(I1572&lt;=60,I1572*1.25+3,IF(I1572&lt;=120,I1572*1.25+4,I1572*1.25+5))),
""))),2)</f>
        <v>1944.93</v>
      </c>
      <c r="I1572" s="9">
        <f>($K$2+0.02)*Tabla1[[#This Row],[PRECIO $]]*1.18</f>
        <v>1684.2847999999999</v>
      </c>
      <c r="J1572" s="7">
        <f>+Tabla1[[#This Row],[PRECIO EN SOLES]]-Tabla1[[#This Row],[PC]]</f>
        <v>260.64520000000016</v>
      </c>
      <c r="K1572" s="15"/>
      <c r="L1572" s="15" t="str">
        <f t="shared" si="24"/>
        <v>NORMAL</v>
      </c>
    </row>
    <row r="1573" spans="1:12" x14ac:dyDescent="0.25">
      <c r="A1573" s="3" t="s">
        <v>464</v>
      </c>
      <c r="B1573" s="3" t="s">
        <v>465</v>
      </c>
      <c r="C1573" s="1">
        <v>20</v>
      </c>
      <c r="D1573" s="1">
        <v>98.3</v>
      </c>
      <c r="E1573" s="1" t="s">
        <v>193</v>
      </c>
      <c r="F1573" s="1" t="s">
        <v>3747</v>
      </c>
      <c r="G1573" s="3" t="s">
        <v>466</v>
      </c>
      <c r="H1573" s="11">
        <f>ROUND(
IF(L1573="GANCHO",
   IF(I1573&lt;=50,I1573*1.1+4,IF(I1573&lt;=120,I1573*1.1+7,IF(I1573&lt;=250,I1573*1.1+11,I1573*1.1+19))),
IF(L1573="NORMAL",
   IF(I1573&lt;=30,I1573*1.15+2,IF(I1573&lt;=80,I1573*1.15+4,IF(I1573&lt;=150,I1573*1.15+6,I1573*1.15+8))),
IF(L1573="COMPLEMENTO",
   IF(I1573&lt;=25,I1573*1.25+1.5,IF(I1573&lt;=60,I1573*1.25+3,IF(I1573&lt;=120,I1573*1.25+4,I1573*1.25+5))),
""))),2)</f>
        <v>477.54</v>
      </c>
      <c r="I1573" s="9">
        <f>($K$2+0.02)*Tabla1[[#This Row],[PRECIO $]]*1.18</f>
        <v>408.29888</v>
      </c>
      <c r="J1573" s="7">
        <f>+Tabla1[[#This Row],[PRECIO EN SOLES]]-Tabla1[[#This Row],[PC]]</f>
        <v>69.241120000000024</v>
      </c>
      <c r="K1573" s="15"/>
      <c r="L1573" s="15" t="str">
        <f t="shared" si="24"/>
        <v>NORMAL</v>
      </c>
    </row>
    <row r="1574" spans="1:12" x14ac:dyDescent="0.25">
      <c r="A1574" s="3" t="s">
        <v>2854</v>
      </c>
      <c r="B1574" s="3" t="s">
        <v>2330</v>
      </c>
      <c r="C1574" s="1">
        <v>0</v>
      </c>
      <c r="D1574" s="1">
        <v>9999999.9900000002</v>
      </c>
      <c r="E1574" s="1" t="s">
        <v>1351</v>
      </c>
      <c r="F1574" s="1" t="s">
        <v>3748</v>
      </c>
      <c r="G1574" s="3"/>
      <c r="H1574" s="11">
        <f>ROUND(
IF(L1574="GANCHO",
   IF(I1574&lt;=50,I1574*1.1+4,IF(I1574&lt;=120,I1574*1.1+7,IF(I1574&lt;=250,I1574*1.1+11,I1574*1.1+19))),
IF(L1574="NORMAL",
   IF(I1574&lt;=30,I1574*1.15+2,IF(I1574&lt;=80,I1574*1.15+4,IF(I1574&lt;=150,I1574*1.15+6,I1574*1.15+8))),
IF(L1574="COMPLEMENTO",
   IF(I1574&lt;=25,I1574*1.25+1.5,IF(I1574&lt;=60,I1574*1.25+3,IF(I1574&lt;=120,I1574*1.25+4,I1574*1.25+5))),
""))),2)</f>
        <v>47766407.950000003</v>
      </c>
      <c r="I1574" s="9">
        <f>($K$2+0.02)*Tabla1[[#This Row],[PRECIO $]]*1.18</f>
        <v>41535999.958463997</v>
      </c>
      <c r="J1574" s="7">
        <f>+Tabla1[[#This Row],[PRECIO EN SOLES]]-Tabla1[[#This Row],[PC]]</f>
        <v>6230407.9915360063</v>
      </c>
      <c r="K1574" s="15"/>
      <c r="L1574" s="15" t="str">
        <f t="shared" si="24"/>
        <v>NORMAL</v>
      </c>
    </row>
    <row r="1575" spans="1:12" x14ac:dyDescent="0.25">
      <c r="A1575" s="3" t="s">
        <v>6696</v>
      </c>
      <c r="B1575" s="3" t="s">
        <v>6697</v>
      </c>
      <c r="C1575" s="1">
        <v>20</v>
      </c>
      <c r="D1575" s="1">
        <v>277.60000000000002</v>
      </c>
      <c r="E1575" s="1" t="s">
        <v>784</v>
      </c>
      <c r="F1575" s="1" t="s">
        <v>6698</v>
      </c>
      <c r="G1575" s="3" t="s">
        <v>6699</v>
      </c>
      <c r="H1575" s="11">
        <f>ROUND(
IF(L1575="GANCHO",
   IF(I1575&lt;=50,I1575*1.1+4,IF(I1575&lt;=120,I1575*1.1+7,IF(I1575&lt;=250,I1575*1.1+11,I1575*1.1+19))),
IF(L1575="NORMAL",
   IF(I1575&lt;=30,I1575*1.15+2,IF(I1575&lt;=80,I1575*1.15+4,IF(I1575&lt;=150,I1575*1.15+6,I1575*1.15+8))),
IF(L1575="COMPLEMENTO",
   IF(I1575&lt;=25,I1575*1.25+1.5,IF(I1575&lt;=60,I1575*1.25+3,IF(I1575&lt;=120,I1575*1.25+4,I1575*1.25+5))),
""))),2)</f>
        <v>1334</v>
      </c>
      <c r="I1575" s="9">
        <f>($K$2+0.02)*Tabla1[[#This Row],[PRECIO $]]*1.18</f>
        <v>1153.03936</v>
      </c>
      <c r="J1575" s="7">
        <f>+Tabla1[[#This Row],[PRECIO EN SOLES]]-Tabla1[[#This Row],[PC]]</f>
        <v>180.96064000000001</v>
      </c>
      <c r="K1575" s="15"/>
      <c r="L1575" s="15" t="str">
        <f t="shared" si="24"/>
        <v>NORMAL</v>
      </c>
    </row>
    <row r="1576" spans="1:12" x14ac:dyDescent="0.25">
      <c r="A1576" s="3" t="s">
        <v>4658</v>
      </c>
      <c r="B1576" s="3" t="s">
        <v>4659</v>
      </c>
      <c r="C1576" s="1">
        <v>13</v>
      </c>
      <c r="D1576" s="1">
        <v>327</v>
      </c>
      <c r="E1576" s="1" t="s">
        <v>784</v>
      </c>
      <c r="F1576" s="1" t="s">
        <v>4660</v>
      </c>
      <c r="G1576" s="3" t="s">
        <v>4661</v>
      </c>
      <c r="H1576" s="11">
        <f>ROUND(
IF(L1576="GANCHO",
   IF(I1576&lt;=50,I1576*1.1+4,IF(I1576&lt;=120,I1576*1.1+7,IF(I1576&lt;=250,I1576*1.1+11,I1576*1.1+19))),
IF(L1576="NORMAL",
   IF(I1576&lt;=30,I1576*1.15+2,IF(I1576&lt;=80,I1576*1.15+4,IF(I1576&lt;=150,I1576*1.15+6,I1576*1.15+8))),
IF(L1576="COMPLEMENTO",
   IF(I1576&lt;=25,I1576*1.25+1.5,IF(I1576&lt;=60,I1576*1.25+3,IF(I1576&lt;=120,I1576*1.25+4,I1576*1.25+5))),
""))),2)</f>
        <v>1569.96</v>
      </c>
      <c r="I1576" s="9">
        <f>($K$2+0.02)*Tabla1[[#This Row],[PRECIO $]]*1.18</f>
        <v>1358.2271999999998</v>
      </c>
      <c r="J1576" s="7">
        <f>+Tabla1[[#This Row],[PRECIO EN SOLES]]-Tabla1[[#This Row],[PC]]</f>
        <v>211.73280000000022</v>
      </c>
      <c r="K1576" s="15"/>
      <c r="L1576" s="15" t="str">
        <f t="shared" si="24"/>
        <v>NORMAL</v>
      </c>
    </row>
    <row r="1577" spans="1:12" x14ac:dyDescent="0.25">
      <c r="A1577" s="3" t="s">
        <v>4662</v>
      </c>
      <c r="B1577" s="3" t="s">
        <v>4663</v>
      </c>
      <c r="C1577" s="1">
        <v>19</v>
      </c>
      <c r="D1577" s="1">
        <v>208.2</v>
      </c>
      <c r="E1577" s="1" t="s">
        <v>784</v>
      </c>
      <c r="F1577" s="1" t="s">
        <v>4664</v>
      </c>
      <c r="G1577" s="3" t="s">
        <v>4665</v>
      </c>
      <c r="H1577" s="11">
        <f>ROUND(
IF(L1577="GANCHO",
   IF(I1577&lt;=50,I1577*1.1+4,IF(I1577&lt;=120,I1577*1.1+7,IF(I1577&lt;=250,I1577*1.1+11,I1577*1.1+19))),
IF(L1577="NORMAL",
   IF(I1577&lt;=30,I1577*1.15+2,IF(I1577&lt;=80,I1577*1.15+4,IF(I1577&lt;=150,I1577*1.15+6,I1577*1.15+8))),
IF(L1577="COMPLEMENTO",
   IF(I1577&lt;=25,I1577*1.25+1.5,IF(I1577&lt;=60,I1577*1.25+3,IF(I1577&lt;=120,I1577*1.25+4,I1577*1.25+5))),
""))),2)</f>
        <v>1002.5</v>
      </c>
      <c r="I1577" s="9">
        <f>($K$2+0.02)*Tabla1[[#This Row],[PRECIO $]]*1.18</f>
        <v>864.77951999999982</v>
      </c>
      <c r="J1577" s="7">
        <f>+Tabla1[[#This Row],[PRECIO EN SOLES]]-Tabla1[[#This Row],[PC]]</f>
        <v>137.72048000000018</v>
      </c>
      <c r="K1577" s="15"/>
      <c r="L1577" s="15" t="str">
        <f t="shared" si="24"/>
        <v>NORMAL</v>
      </c>
    </row>
    <row r="1578" spans="1:12" x14ac:dyDescent="0.25">
      <c r="A1578" s="3" t="s">
        <v>4666</v>
      </c>
      <c r="B1578" s="3" t="s">
        <v>4667</v>
      </c>
      <c r="C1578" s="1">
        <v>20</v>
      </c>
      <c r="D1578" s="1">
        <v>398.2</v>
      </c>
      <c r="E1578" s="1" t="s">
        <v>784</v>
      </c>
      <c r="F1578" s="1" t="s">
        <v>4668</v>
      </c>
      <c r="G1578" s="3" t="s">
        <v>4669</v>
      </c>
      <c r="H1578" s="11">
        <f>ROUND(
IF(L1578="GANCHO",
   IF(I1578&lt;=50,I1578*1.1+4,IF(I1578&lt;=120,I1578*1.1+7,IF(I1578&lt;=250,I1578*1.1+11,I1578*1.1+19))),
IF(L1578="NORMAL",
   IF(I1578&lt;=30,I1578*1.15+2,IF(I1578&lt;=80,I1578*1.15+4,IF(I1578&lt;=150,I1578*1.15+6,I1578*1.15+8))),
IF(L1578="COMPLEMENTO",
   IF(I1578&lt;=25,I1578*1.25+1.5,IF(I1578&lt;=60,I1578*1.25+3,IF(I1578&lt;=120,I1578*1.25+4,I1578*1.25+5))),
""))),2)</f>
        <v>1910.06</v>
      </c>
      <c r="I1578" s="9">
        <f>($K$2+0.02)*Tabla1[[#This Row],[PRECIO $]]*1.18</f>
        <v>1653.9635199999998</v>
      </c>
      <c r="J1578" s="7">
        <f>+Tabla1[[#This Row],[PRECIO EN SOLES]]-Tabla1[[#This Row],[PC]]</f>
        <v>256.09648000000016</v>
      </c>
      <c r="K1578" s="15"/>
      <c r="L1578" s="15" t="str">
        <f t="shared" si="24"/>
        <v>NORMAL</v>
      </c>
    </row>
    <row r="1579" spans="1:12" x14ac:dyDescent="0.25">
      <c r="A1579" s="3" t="s">
        <v>5783</v>
      </c>
      <c r="B1579" s="3" t="s">
        <v>5784</v>
      </c>
      <c r="C1579" s="1">
        <v>20</v>
      </c>
      <c r="D1579" s="1">
        <v>311</v>
      </c>
      <c r="E1579" s="1" t="s">
        <v>215</v>
      </c>
      <c r="F1579" s="1" t="s">
        <v>5785</v>
      </c>
      <c r="G1579" s="3" t="s">
        <v>5786</v>
      </c>
      <c r="H1579" s="11">
        <f>ROUND(
IF(L1579="GANCHO",
   IF(I1579&lt;=50,I1579*1.1+4,IF(I1579&lt;=120,I1579*1.1+7,IF(I1579&lt;=250,I1579*1.1+11,I1579*1.1+19))),
IF(L1579="NORMAL",
   IF(I1579&lt;=30,I1579*1.15+2,IF(I1579&lt;=80,I1579*1.15+4,IF(I1579&lt;=150,I1579*1.15+6,I1579*1.15+8))),
IF(L1579="COMPLEMENTO",
   IF(I1579&lt;=25,I1579*1.25+1.5,IF(I1579&lt;=60,I1579*1.25+3,IF(I1579&lt;=120,I1579*1.25+4,I1579*1.25+5))),
""))),2)</f>
        <v>1493.54</v>
      </c>
      <c r="I1579" s="9">
        <f>($K$2+0.02)*Tabla1[[#This Row],[PRECIO $]]*1.18</f>
        <v>1291.7695999999999</v>
      </c>
      <c r="J1579" s="7">
        <f>+Tabla1[[#This Row],[PRECIO EN SOLES]]-Tabla1[[#This Row],[PC]]</f>
        <v>201.77040000000011</v>
      </c>
      <c r="K1579" s="15"/>
      <c r="L1579" s="15" t="str">
        <f t="shared" si="24"/>
        <v>NORMAL</v>
      </c>
    </row>
    <row r="1580" spans="1:12" x14ac:dyDescent="0.25">
      <c r="A1580" s="3" t="s">
        <v>640</v>
      </c>
      <c r="B1580" s="3" t="s">
        <v>641</v>
      </c>
      <c r="C1580" s="1">
        <v>19</v>
      </c>
      <c r="D1580" s="1">
        <v>296</v>
      </c>
      <c r="E1580" s="1" t="s">
        <v>215</v>
      </c>
      <c r="F1580" s="1" t="s">
        <v>3749</v>
      </c>
      <c r="G1580" s="3" t="s">
        <v>642</v>
      </c>
      <c r="H1580" s="11">
        <f>ROUND(
IF(L1580="GANCHO",
   IF(I1580&lt;=50,I1580*1.1+4,IF(I1580&lt;=120,I1580*1.1+7,IF(I1580&lt;=250,I1580*1.1+11,I1580*1.1+19))),
IF(L1580="NORMAL",
   IF(I1580&lt;=30,I1580*1.15+2,IF(I1580&lt;=80,I1580*1.15+4,IF(I1580&lt;=150,I1580*1.15+6,I1580*1.15+8))),
IF(L1580="COMPLEMENTO",
   IF(I1580&lt;=25,I1580*1.25+1.5,IF(I1580&lt;=60,I1580*1.25+3,IF(I1580&lt;=120,I1580*1.25+4,I1580*1.25+5))),
""))),2)</f>
        <v>1421.89</v>
      </c>
      <c r="I1580" s="9">
        <f>($K$2+0.02)*Tabla1[[#This Row],[PRECIO $]]*1.18</f>
        <v>1229.4656</v>
      </c>
      <c r="J1580" s="7">
        <f>+Tabla1[[#This Row],[PRECIO EN SOLES]]-Tabla1[[#This Row],[PC]]</f>
        <v>192.42440000000011</v>
      </c>
      <c r="K1580" s="15"/>
      <c r="L1580" s="15" t="str">
        <f t="shared" si="24"/>
        <v>NORMAL</v>
      </c>
    </row>
    <row r="1581" spans="1:12" x14ac:dyDescent="0.25">
      <c r="A1581" s="3" t="s">
        <v>2331</v>
      </c>
      <c r="B1581" s="3" t="s">
        <v>2332</v>
      </c>
      <c r="C1581" s="1">
        <v>11</v>
      </c>
      <c r="D1581" s="1">
        <v>487</v>
      </c>
      <c r="E1581" s="1" t="s">
        <v>215</v>
      </c>
      <c r="F1581" s="1" t="s">
        <v>3750</v>
      </c>
      <c r="G1581" s="3" t="s">
        <v>2333</v>
      </c>
      <c r="H1581" s="11">
        <f>ROUND(
IF(L1581="GANCHO",
   IF(I1581&lt;=50,I1581*1.1+4,IF(I1581&lt;=120,I1581*1.1+7,IF(I1581&lt;=250,I1581*1.1+11,I1581*1.1+19))),
IF(L1581="NORMAL",
   IF(I1581&lt;=30,I1581*1.15+2,IF(I1581&lt;=80,I1581*1.15+4,IF(I1581&lt;=150,I1581*1.15+6,I1581*1.15+8))),
IF(L1581="COMPLEMENTO",
   IF(I1581&lt;=25,I1581*1.25+1.5,IF(I1581&lt;=60,I1581*1.25+3,IF(I1581&lt;=120,I1581*1.25+4,I1581*1.25+5))),
""))),2)</f>
        <v>2334.2199999999998</v>
      </c>
      <c r="I1581" s="9">
        <f>($K$2+0.02)*Tabla1[[#This Row],[PRECIO $]]*1.18</f>
        <v>2022.8031999999998</v>
      </c>
      <c r="J1581" s="7">
        <f>+Tabla1[[#This Row],[PRECIO EN SOLES]]-Tabla1[[#This Row],[PC]]</f>
        <v>311.41679999999997</v>
      </c>
      <c r="K1581" s="15"/>
      <c r="L1581" s="15" t="str">
        <f t="shared" si="24"/>
        <v>NORMAL</v>
      </c>
    </row>
    <row r="1582" spans="1:12" x14ac:dyDescent="0.25">
      <c r="A1582" s="3" t="s">
        <v>5236</v>
      </c>
      <c r="B1582" s="3" t="s">
        <v>5237</v>
      </c>
      <c r="C1582" s="1">
        <v>20</v>
      </c>
      <c r="D1582" s="1">
        <v>165.3</v>
      </c>
      <c r="E1582" s="1" t="s">
        <v>215</v>
      </c>
      <c r="F1582" s="1" t="s">
        <v>5238</v>
      </c>
      <c r="G1582" s="3" t="s">
        <v>5239</v>
      </c>
      <c r="H1582" s="11">
        <f>ROUND(
IF(L1582="GANCHO",
   IF(I1582&lt;=50,I1582*1.1+4,IF(I1582&lt;=120,I1582*1.1+7,IF(I1582&lt;=250,I1582*1.1+11,I1582*1.1+19))),
IF(L1582="NORMAL",
   IF(I1582&lt;=30,I1582*1.15+2,IF(I1582&lt;=80,I1582*1.15+4,IF(I1582&lt;=150,I1582*1.15+6,I1582*1.15+8))),
IF(L1582="COMPLEMENTO",
   IF(I1582&lt;=25,I1582*1.25+1.5,IF(I1582&lt;=60,I1582*1.25+3,IF(I1582&lt;=120,I1582*1.25+4,I1582*1.25+5))),
""))),2)</f>
        <v>797.58</v>
      </c>
      <c r="I1582" s="9">
        <f>($K$2+0.02)*Tabla1[[#This Row],[PRECIO $]]*1.18</f>
        <v>686.59007999999994</v>
      </c>
      <c r="J1582" s="7">
        <f>+Tabla1[[#This Row],[PRECIO EN SOLES]]-Tabla1[[#This Row],[PC]]</f>
        <v>110.9899200000001</v>
      </c>
      <c r="K1582" s="15"/>
      <c r="L1582" s="15" t="str">
        <f t="shared" si="24"/>
        <v>NORMAL</v>
      </c>
    </row>
    <row r="1583" spans="1:12" x14ac:dyDescent="0.25">
      <c r="A1583" s="3" t="s">
        <v>4670</v>
      </c>
      <c r="B1583" s="3" t="s">
        <v>4671</v>
      </c>
      <c r="C1583" s="1">
        <v>20</v>
      </c>
      <c r="D1583" s="1">
        <v>130</v>
      </c>
      <c r="E1583" s="1" t="s">
        <v>442</v>
      </c>
      <c r="F1583" s="1" t="s">
        <v>4672</v>
      </c>
      <c r="G1583" s="3" t="s">
        <v>4673</v>
      </c>
      <c r="H1583" s="11">
        <f>ROUND(
IF(L1583="GANCHO",
   IF(I1583&lt;=50,I1583*1.1+4,IF(I1583&lt;=120,I1583*1.1+7,IF(I1583&lt;=250,I1583*1.1+11,I1583*1.1+19))),
IF(L1583="NORMAL",
   IF(I1583&lt;=30,I1583*1.15+2,IF(I1583&lt;=80,I1583*1.15+4,IF(I1583&lt;=150,I1583*1.15+6,I1583*1.15+8))),
IF(L1583="COMPLEMENTO",
   IF(I1583&lt;=25,I1583*1.25+1.5,IF(I1583&lt;=60,I1583*1.25+3,IF(I1583&lt;=120,I1583*1.25+4,I1583*1.25+5))),
""))),2)</f>
        <v>628.96</v>
      </c>
      <c r="I1583" s="9">
        <f>($K$2+0.02)*Tabla1[[#This Row],[PRECIO $]]*1.18</f>
        <v>539.96799999999996</v>
      </c>
      <c r="J1583" s="7">
        <f>+Tabla1[[#This Row],[PRECIO EN SOLES]]-Tabla1[[#This Row],[PC]]</f>
        <v>88.992000000000075</v>
      </c>
      <c r="K1583" s="15"/>
      <c r="L1583" s="15" t="str">
        <f t="shared" si="24"/>
        <v>NORMAL</v>
      </c>
    </row>
    <row r="1584" spans="1:12" x14ac:dyDescent="0.25">
      <c r="A1584" s="3" t="s">
        <v>6260</v>
      </c>
      <c r="B1584" s="3" t="s">
        <v>6261</v>
      </c>
      <c r="C1584" s="1">
        <v>15</v>
      </c>
      <c r="D1584" s="1">
        <v>58.55</v>
      </c>
      <c r="E1584" s="1" t="s">
        <v>442</v>
      </c>
      <c r="F1584" s="1" t="s">
        <v>6262</v>
      </c>
      <c r="G1584" s="3" t="s">
        <v>6263</v>
      </c>
      <c r="H1584" s="11">
        <f>ROUND(
IF(L1584="GANCHO",
   IF(I1584&lt;=50,I1584*1.1+4,IF(I1584&lt;=120,I1584*1.1+7,IF(I1584&lt;=250,I1584*1.1+11,I1584*1.1+19))),
IF(L1584="NORMAL",
   IF(I1584&lt;=30,I1584*1.15+2,IF(I1584&lt;=80,I1584*1.15+4,IF(I1584&lt;=150,I1584*1.15+6,I1584*1.15+8))),
IF(L1584="COMPLEMENTO",
   IF(I1584&lt;=25,I1584*1.25+1.5,IF(I1584&lt;=60,I1584*1.25+3,IF(I1584&lt;=120,I1584*1.25+4,I1584*1.25+5))),
""))),2)</f>
        <v>287.67</v>
      </c>
      <c r="I1584" s="9">
        <f>($K$2+0.02)*Tabla1[[#This Row],[PRECIO $]]*1.18</f>
        <v>243.19327999999999</v>
      </c>
      <c r="J1584" s="7">
        <f>+Tabla1[[#This Row],[PRECIO EN SOLES]]-Tabla1[[#This Row],[PC]]</f>
        <v>44.476720000000029</v>
      </c>
      <c r="K1584" s="15"/>
      <c r="L1584" s="15" t="str">
        <f t="shared" si="24"/>
        <v>NORMAL</v>
      </c>
    </row>
    <row r="1585" spans="1:12" x14ac:dyDescent="0.25">
      <c r="A1585" s="3" t="s">
        <v>4674</v>
      </c>
      <c r="B1585" s="3" t="s">
        <v>4675</v>
      </c>
      <c r="C1585" s="1">
        <v>20</v>
      </c>
      <c r="D1585" s="1">
        <v>75.900000000000006</v>
      </c>
      <c r="E1585" s="1" t="s">
        <v>442</v>
      </c>
      <c r="F1585" s="1" t="s">
        <v>4676</v>
      </c>
      <c r="G1585" s="3" t="s">
        <v>4677</v>
      </c>
      <c r="H1585" s="11">
        <f>ROUND(
IF(L1585="GANCHO",
   IF(I1585&lt;=50,I1585*1.1+4,IF(I1585&lt;=120,I1585*1.1+7,IF(I1585&lt;=250,I1585*1.1+11,I1585*1.1+19))),
IF(L1585="NORMAL",
   IF(I1585&lt;=30,I1585*1.15+2,IF(I1585&lt;=80,I1585*1.15+4,IF(I1585&lt;=150,I1585*1.15+6,I1585*1.15+8))),
IF(L1585="COMPLEMENTO",
   IF(I1585&lt;=25,I1585*1.25+1.5,IF(I1585&lt;=60,I1585*1.25+3,IF(I1585&lt;=120,I1585*1.25+4,I1585*1.25+5))),
""))),2)</f>
        <v>370.55</v>
      </c>
      <c r="I1585" s="9">
        <f>($K$2+0.02)*Tabla1[[#This Row],[PRECIO $]]*1.18</f>
        <v>315.25824</v>
      </c>
      <c r="J1585" s="7">
        <f>+Tabla1[[#This Row],[PRECIO EN SOLES]]-Tabla1[[#This Row],[PC]]</f>
        <v>55.291760000000011</v>
      </c>
      <c r="K1585" s="15"/>
      <c r="L1585" s="15" t="str">
        <f t="shared" si="24"/>
        <v>NORMAL</v>
      </c>
    </row>
    <row r="1586" spans="1:12" x14ac:dyDescent="0.25">
      <c r="A1586" s="3" t="s">
        <v>5071</v>
      </c>
      <c r="B1586" s="3" t="s">
        <v>5072</v>
      </c>
      <c r="C1586" s="1">
        <v>11</v>
      </c>
      <c r="D1586" s="1">
        <v>122.5</v>
      </c>
      <c r="E1586" s="1" t="s">
        <v>2334</v>
      </c>
      <c r="F1586" s="1" t="s">
        <v>5073</v>
      </c>
      <c r="G1586" s="3" t="s">
        <v>5074</v>
      </c>
      <c r="H1586" s="11">
        <f>ROUND(
IF(L1586="GANCHO",
   IF(I1586&lt;=50,I1586*1.1+4,IF(I1586&lt;=120,I1586*1.1+7,IF(I1586&lt;=250,I1586*1.1+11,I1586*1.1+19))),
IF(L1586="NORMAL",
   IF(I1586&lt;=30,I1586*1.15+2,IF(I1586&lt;=80,I1586*1.15+4,IF(I1586&lt;=150,I1586*1.15+6,I1586*1.15+8))),
IF(L1586="COMPLEMENTO",
   IF(I1586&lt;=25,I1586*1.25+1.5,IF(I1586&lt;=60,I1586*1.25+3,IF(I1586&lt;=120,I1586*1.25+4,I1586*1.25+5))),
""))),2)</f>
        <v>593.14</v>
      </c>
      <c r="I1586" s="9">
        <f>($K$2+0.02)*Tabla1[[#This Row],[PRECIO $]]*1.18</f>
        <v>508.81599999999997</v>
      </c>
      <c r="J1586" s="7">
        <f>+Tabla1[[#This Row],[PRECIO EN SOLES]]-Tabla1[[#This Row],[PC]]</f>
        <v>84.324000000000012</v>
      </c>
      <c r="K1586" s="15"/>
      <c r="L1586" s="15" t="str">
        <f t="shared" si="24"/>
        <v>NORMAL</v>
      </c>
    </row>
    <row r="1587" spans="1:12" x14ac:dyDescent="0.25">
      <c r="A1587" s="3" t="s">
        <v>4397</v>
      </c>
      <c r="B1587" s="3" t="s">
        <v>4398</v>
      </c>
      <c r="C1587" s="1">
        <v>7</v>
      </c>
      <c r="D1587" s="1">
        <v>208.5</v>
      </c>
      <c r="E1587" s="1" t="s">
        <v>4399</v>
      </c>
      <c r="F1587" s="1" t="s">
        <v>4400</v>
      </c>
      <c r="G1587" s="3" t="s">
        <v>4678</v>
      </c>
      <c r="H1587" s="11">
        <f>ROUND(
IF(L1587="GANCHO",
   IF(I1587&lt;=50,I1587*1.1+4,IF(I1587&lt;=120,I1587*1.1+7,IF(I1587&lt;=250,I1587*1.1+11,I1587*1.1+19))),
IF(L1587="NORMAL",
   IF(I1587&lt;=30,I1587*1.15+2,IF(I1587&lt;=80,I1587*1.15+4,IF(I1587&lt;=150,I1587*1.15+6,I1587*1.15+8))),
IF(L1587="COMPLEMENTO",
   IF(I1587&lt;=25,I1587*1.25+1.5,IF(I1587&lt;=60,I1587*1.25+3,IF(I1587&lt;=120,I1587*1.25+4,I1587*1.25+5))),
""))),2)</f>
        <v>1003.93</v>
      </c>
      <c r="I1587" s="9">
        <f>($K$2+0.02)*Tabla1[[#This Row],[PRECIO $]]*1.18</f>
        <v>866.02559999999994</v>
      </c>
      <c r="J1587" s="7">
        <f>+Tabla1[[#This Row],[PRECIO EN SOLES]]-Tabla1[[#This Row],[PC]]</f>
        <v>137.90440000000001</v>
      </c>
      <c r="K1587" s="15"/>
      <c r="L1587" s="15" t="str">
        <f t="shared" si="24"/>
        <v>NORMAL</v>
      </c>
    </row>
    <row r="1588" spans="1:12" x14ac:dyDescent="0.25">
      <c r="A1588" s="3" t="s">
        <v>4401</v>
      </c>
      <c r="B1588" s="3" t="s">
        <v>4402</v>
      </c>
      <c r="C1588" s="1">
        <v>4</v>
      </c>
      <c r="D1588" s="1">
        <v>283.5</v>
      </c>
      <c r="E1588" s="1" t="s">
        <v>4399</v>
      </c>
      <c r="F1588" s="1" t="s">
        <v>4403</v>
      </c>
      <c r="G1588" s="3" t="s">
        <v>4679</v>
      </c>
      <c r="H1588" s="11">
        <f>ROUND(
IF(L1588="GANCHO",
   IF(I1588&lt;=50,I1588*1.1+4,IF(I1588&lt;=120,I1588*1.1+7,IF(I1588&lt;=250,I1588*1.1+11,I1588*1.1+19))),
IF(L1588="NORMAL",
   IF(I1588&lt;=30,I1588*1.15+2,IF(I1588&lt;=80,I1588*1.15+4,IF(I1588&lt;=150,I1588*1.15+6,I1588*1.15+8))),
IF(L1588="COMPLEMENTO",
   IF(I1588&lt;=25,I1588*1.25+1.5,IF(I1588&lt;=60,I1588*1.25+3,IF(I1588&lt;=120,I1588*1.25+4,I1588*1.25+5))),
""))),2)</f>
        <v>1362.18</v>
      </c>
      <c r="I1588" s="9">
        <f>($K$2+0.02)*Tabla1[[#This Row],[PRECIO $]]*1.18</f>
        <v>1177.5455999999999</v>
      </c>
      <c r="J1588" s="7">
        <f>+Tabla1[[#This Row],[PRECIO EN SOLES]]-Tabla1[[#This Row],[PC]]</f>
        <v>184.63440000000014</v>
      </c>
      <c r="K1588" s="15"/>
      <c r="L1588" s="15" t="str">
        <f t="shared" si="24"/>
        <v>NORMAL</v>
      </c>
    </row>
    <row r="1589" spans="1:12" x14ac:dyDescent="0.25">
      <c r="A1589" s="3" t="s">
        <v>4404</v>
      </c>
      <c r="B1589" s="3" t="s">
        <v>4405</v>
      </c>
      <c r="C1589" s="1">
        <v>4</v>
      </c>
      <c r="D1589" s="1">
        <v>285.5</v>
      </c>
      <c r="E1589" s="1" t="s">
        <v>4399</v>
      </c>
      <c r="F1589" s="1" t="s">
        <v>4406</v>
      </c>
      <c r="G1589" s="3" t="s">
        <v>4680</v>
      </c>
      <c r="H1589" s="11">
        <f>ROUND(
IF(L1589="GANCHO",
   IF(I1589&lt;=50,I1589*1.1+4,IF(I1589&lt;=120,I1589*1.1+7,IF(I1589&lt;=250,I1589*1.1+11,I1589*1.1+19))),
IF(L1589="NORMAL",
   IF(I1589&lt;=30,I1589*1.15+2,IF(I1589&lt;=80,I1589*1.15+4,IF(I1589&lt;=150,I1589*1.15+6,I1589*1.15+8))),
IF(L1589="COMPLEMENTO",
   IF(I1589&lt;=25,I1589*1.25+1.5,IF(I1589&lt;=60,I1589*1.25+3,IF(I1589&lt;=120,I1589*1.25+4,I1589*1.25+5))),
""))),2)</f>
        <v>1371.73</v>
      </c>
      <c r="I1589" s="9">
        <f>($K$2+0.02)*Tabla1[[#This Row],[PRECIO $]]*1.18</f>
        <v>1185.8527999999999</v>
      </c>
      <c r="J1589" s="7">
        <f>+Tabla1[[#This Row],[PRECIO EN SOLES]]-Tabla1[[#This Row],[PC]]</f>
        <v>185.87720000000013</v>
      </c>
      <c r="K1589" s="15"/>
      <c r="L1589" s="15" t="str">
        <f t="shared" si="24"/>
        <v>NORMAL</v>
      </c>
    </row>
    <row r="1590" spans="1:12" x14ac:dyDescent="0.25">
      <c r="A1590" s="3" t="s">
        <v>4407</v>
      </c>
      <c r="B1590" s="3" t="s">
        <v>4408</v>
      </c>
      <c r="C1590" s="1">
        <v>3</v>
      </c>
      <c r="D1590" s="1">
        <v>358.5</v>
      </c>
      <c r="E1590" s="1" t="s">
        <v>4399</v>
      </c>
      <c r="F1590" s="1" t="s">
        <v>4409</v>
      </c>
      <c r="G1590" s="3" t="s">
        <v>4681</v>
      </c>
      <c r="H1590" s="11">
        <f>ROUND(
IF(L1590="GANCHO",
   IF(I1590&lt;=50,I1590*1.1+4,IF(I1590&lt;=120,I1590*1.1+7,IF(I1590&lt;=250,I1590*1.1+11,I1590*1.1+19))),
IF(L1590="NORMAL",
   IF(I1590&lt;=30,I1590*1.15+2,IF(I1590&lt;=80,I1590*1.15+4,IF(I1590&lt;=150,I1590*1.15+6,I1590*1.15+8))),
IF(L1590="COMPLEMENTO",
   IF(I1590&lt;=25,I1590*1.25+1.5,IF(I1590&lt;=60,I1590*1.25+3,IF(I1590&lt;=120,I1590*1.25+4,I1590*1.25+5))),
""))),2)</f>
        <v>1720.43</v>
      </c>
      <c r="I1590" s="9">
        <f>($K$2+0.02)*Tabla1[[#This Row],[PRECIO $]]*1.18</f>
        <v>1489.0655999999999</v>
      </c>
      <c r="J1590" s="7">
        <f>+Tabla1[[#This Row],[PRECIO EN SOLES]]-Tabla1[[#This Row],[PC]]</f>
        <v>231.36440000000016</v>
      </c>
      <c r="K1590" s="15"/>
      <c r="L1590" s="15" t="str">
        <f t="shared" si="24"/>
        <v>NORMAL</v>
      </c>
    </row>
    <row r="1591" spans="1:12" x14ac:dyDescent="0.25">
      <c r="A1591" s="3" t="s">
        <v>4410</v>
      </c>
      <c r="B1591" s="3" t="s">
        <v>4411</v>
      </c>
      <c r="C1591" s="1">
        <v>3</v>
      </c>
      <c r="D1591" s="1">
        <v>557.5</v>
      </c>
      <c r="E1591" s="1" t="s">
        <v>4399</v>
      </c>
      <c r="F1591" s="1" t="s">
        <v>4412</v>
      </c>
      <c r="G1591" s="3" t="s">
        <v>4682</v>
      </c>
      <c r="H1591" s="11">
        <f>ROUND(
IF(L1591="GANCHO",
   IF(I1591&lt;=50,I1591*1.1+4,IF(I1591&lt;=120,I1591*1.1+7,IF(I1591&lt;=250,I1591*1.1+11,I1591*1.1+19))),
IF(L1591="NORMAL",
   IF(I1591&lt;=30,I1591*1.15+2,IF(I1591&lt;=80,I1591*1.15+4,IF(I1591&lt;=150,I1591*1.15+6,I1591*1.15+8))),
IF(L1591="COMPLEMENTO",
   IF(I1591&lt;=25,I1591*1.25+1.5,IF(I1591&lt;=60,I1591*1.25+3,IF(I1591&lt;=120,I1591*1.25+4,I1591*1.25+5))),
""))),2)</f>
        <v>2670.98</v>
      </c>
      <c r="I1591" s="9">
        <f>($K$2+0.02)*Tabla1[[#This Row],[PRECIO $]]*1.18</f>
        <v>2315.6320000000001</v>
      </c>
      <c r="J1591" s="7">
        <f>+Tabla1[[#This Row],[PRECIO EN SOLES]]-Tabla1[[#This Row],[PC]]</f>
        <v>355.34799999999996</v>
      </c>
      <c r="K1591" s="15"/>
      <c r="L1591" s="15" t="str">
        <f t="shared" si="24"/>
        <v>NORMAL</v>
      </c>
    </row>
    <row r="1592" spans="1:12" x14ac:dyDescent="0.25">
      <c r="A1592" s="3" t="s">
        <v>4413</v>
      </c>
      <c r="B1592" s="3" t="s">
        <v>4414</v>
      </c>
      <c r="C1592" s="1">
        <v>2</v>
      </c>
      <c r="D1592" s="1">
        <v>922.5</v>
      </c>
      <c r="E1592" s="1" t="s">
        <v>4399</v>
      </c>
      <c r="F1592" s="1" t="s">
        <v>4415</v>
      </c>
      <c r="G1592" s="3" t="s">
        <v>4683</v>
      </c>
      <c r="H1592" s="11">
        <f>ROUND(
IF(L1592="GANCHO",
   IF(I1592&lt;=50,I1592*1.1+4,IF(I1592&lt;=120,I1592*1.1+7,IF(I1592&lt;=250,I1592*1.1+11,I1592*1.1+19))),
IF(L1592="NORMAL",
   IF(I1592&lt;=30,I1592*1.15+2,IF(I1592&lt;=80,I1592*1.15+4,IF(I1592&lt;=150,I1592*1.15+6,I1592*1.15+8))),
IF(L1592="COMPLEMENTO",
   IF(I1592&lt;=25,I1592*1.25+1.5,IF(I1592&lt;=60,I1592*1.25+3,IF(I1592&lt;=120,I1592*1.25+4,I1592*1.25+5))),
""))),2)</f>
        <v>4414.45</v>
      </c>
      <c r="I1592" s="9">
        <f>($K$2+0.02)*Tabla1[[#This Row],[PRECIO $]]*1.18</f>
        <v>3831.6959999999995</v>
      </c>
      <c r="J1592" s="7">
        <f>+Tabla1[[#This Row],[PRECIO EN SOLES]]-Tabla1[[#This Row],[PC]]</f>
        <v>582.75400000000036</v>
      </c>
      <c r="K1592" s="15"/>
      <c r="L1592" s="15" t="str">
        <f t="shared" si="24"/>
        <v>NORMAL</v>
      </c>
    </row>
    <row r="1593" spans="1:12" x14ac:dyDescent="0.25">
      <c r="A1593" s="3" t="s">
        <v>4416</v>
      </c>
      <c r="B1593" s="3" t="s">
        <v>4417</v>
      </c>
      <c r="C1593" s="1">
        <v>2</v>
      </c>
      <c r="D1593" s="1">
        <v>1393</v>
      </c>
      <c r="E1593" s="1" t="s">
        <v>4399</v>
      </c>
      <c r="F1593" s="1" t="s">
        <v>4418</v>
      </c>
      <c r="G1593" s="3" t="s">
        <v>4684</v>
      </c>
      <c r="H1593" s="11">
        <f>ROUND(
IF(L1593="GANCHO",
   IF(I1593&lt;=50,I1593*1.1+4,IF(I1593&lt;=120,I1593*1.1+7,IF(I1593&lt;=250,I1593*1.1+11,I1593*1.1+19))),
IF(L1593="NORMAL",
   IF(I1593&lt;=30,I1593*1.15+2,IF(I1593&lt;=80,I1593*1.15+4,IF(I1593&lt;=150,I1593*1.15+6,I1593*1.15+8))),
IF(L1593="COMPLEMENTO",
   IF(I1593&lt;=25,I1593*1.25+1.5,IF(I1593&lt;=60,I1593*1.25+3,IF(I1593&lt;=120,I1593*1.25+4,I1593*1.25+5))),
""))),2)</f>
        <v>6661.86</v>
      </c>
      <c r="I1593" s="9">
        <f>($K$2+0.02)*Tabla1[[#This Row],[PRECIO $]]*1.18</f>
        <v>5785.9647999999997</v>
      </c>
      <c r="J1593" s="7">
        <f>+Tabla1[[#This Row],[PRECIO EN SOLES]]-Tabla1[[#This Row],[PC]]</f>
        <v>875.89519999999993</v>
      </c>
      <c r="K1593" s="15"/>
      <c r="L1593" s="15" t="str">
        <f t="shared" si="24"/>
        <v>NORMAL</v>
      </c>
    </row>
    <row r="1594" spans="1:12" x14ac:dyDescent="0.25">
      <c r="A1594" s="3" t="s">
        <v>5075</v>
      </c>
      <c r="B1594" s="3" t="s">
        <v>5076</v>
      </c>
      <c r="C1594" s="1">
        <v>8</v>
      </c>
      <c r="D1594" s="1">
        <v>303.5</v>
      </c>
      <c r="E1594" s="1" t="s">
        <v>2334</v>
      </c>
      <c r="F1594" s="1" t="s">
        <v>5077</v>
      </c>
      <c r="G1594" s="3" t="s">
        <v>5078</v>
      </c>
      <c r="H1594" s="11">
        <f>ROUND(
IF(L1594="GANCHO",
   IF(I1594&lt;=50,I1594*1.1+4,IF(I1594&lt;=120,I1594*1.1+7,IF(I1594&lt;=250,I1594*1.1+11,I1594*1.1+19))),
IF(L1594="NORMAL",
   IF(I1594&lt;=30,I1594*1.15+2,IF(I1594&lt;=80,I1594*1.15+4,IF(I1594&lt;=150,I1594*1.15+6,I1594*1.15+8))),
IF(L1594="COMPLEMENTO",
   IF(I1594&lt;=25,I1594*1.25+1.5,IF(I1594&lt;=60,I1594*1.25+3,IF(I1594&lt;=120,I1594*1.25+4,I1594*1.25+5))),
""))),2)</f>
        <v>1457.71</v>
      </c>
      <c r="I1594" s="9">
        <f>($K$2+0.02)*Tabla1[[#This Row],[PRECIO $]]*1.18</f>
        <v>1260.6175999999998</v>
      </c>
      <c r="J1594" s="7">
        <f>+Tabla1[[#This Row],[PRECIO EN SOLES]]-Tabla1[[#This Row],[PC]]</f>
        <v>197.09240000000023</v>
      </c>
      <c r="K1594" s="15"/>
      <c r="L1594" s="15" t="str">
        <f t="shared" si="24"/>
        <v>NORMAL</v>
      </c>
    </row>
    <row r="1595" spans="1:12" x14ac:dyDescent="0.25">
      <c r="A1595" s="3" t="s">
        <v>5079</v>
      </c>
      <c r="B1595" s="3" t="s">
        <v>5080</v>
      </c>
      <c r="C1595" s="1">
        <v>7</v>
      </c>
      <c r="D1595" s="1">
        <v>246.5</v>
      </c>
      <c r="E1595" s="1" t="s">
        <v>2334</v>
      </c>
      <c r="F1595" s="1" t="s">
        <v>5081</v>
      </c>
      <c r="G1595" s="3" t="s">
        <v>5082</v>
      </c>
      <c r="H1595" s="11">
        <f>ROUND(
IF(L1595="GANCHO",
   IF(I1595&lt;=50,I1595*1.1+4,IF(I1595&lt;=120,I1595*1.1+7,IF(I1595&lt;=250,I1595*1.1+11,I1595*1.1+19))),
IF(L1595="NORMAL",
   IF(I1595&lt;=30,I1595*1.15+2,IF(I1595&lt;=80,I1595*1.15+4,IF(I1595&lt;=150,I1595*1.15+6,I1595*1.15+8))),
IF(L1595="COMPLEMENTO",
   IF(I1595&lt;=25,I1595*1.25+1.5,IF(I1595&lt;=60,I1595*1.25+3,IF(I1595&lt;=120,I1595*1.25+4,I1595*1.25+5))),
""))),2)</f>
        <v>1185.44</v>
      </c>
      <c r="I1595" s="9">
        <f>($K$2+0.02)*Tabla1[[#This Row],[PRECIO $]]*1.18</f>
        <v>1023.8623999999999</v>
      </c>
      <c r="J1595" s="7">
        <f>+Tabla1[[#This Row],[PRECIO EN SOLES]]-Tabla1[[#This Row],[PC]]</f>
        <v>161.57760000000019</v>
      </c>
      <c r="K1595" s="15"/>
      <c r="L1595" s="15" t="str">
        <f t="shared" si="24"/>
        <v>NORMAL</v>
      </c>
    </row>
    <row r="1596" spans="1:12" x14ac:dyDescent="0.25">
      <c r="A1596" s="3" t="s">
        <v>5083</v>
      </c>
      <c r="B1596" s="3" t="s">
        <v>5084</v>
      </c>
      <c r="C1596" s="1">
        <v>1</v>
      </c>
      <c r="D1596" s="1">
        <v>710.5</v>
      </c>
      <c r="E1596" s="1" t="s">
        <v>2334</v>
      </c>
      <c r="F1596" s="1" t="s">
        <v>5085</v>
      </c>
      <c r="G1596" s="3" t="s">
        <v>5086</v>
      </c>
      <c r="H1596" s="11">
        <f>ROUND(
IF(L1596="GANCHO",
   IF(I1596&lt;=50,I1596*1.1+4,IF(I1596&lt;=120,I1596*1.1+7,IF(I1596&lt;=250,I1596*1.1+11,I1596*1.1+19))),
IF(L1596="NORMAL",
   IF(I1596&lt;=30,I1596*1.15+2,IF(I1596&lt;=80,I1596*1.15+4,IF(I1596&lt;=150,I1596*1.15+6,I1596*1.15+8))),
IF(L1596="COMPLEMENTO",
   IF(I1596&lt;=25,I1596*1.25+1.5,IF(I1596&lt;=60,I1596*1.25+3,IF(I1596&lt;=120,I1596*1.25+4,I1596*1.25+5))),
""))),2)</f>
        <v>3401.8</v>
      </c>
      <c r="I1596" s="9">
        <f>($K$2+0.02)*Tabla1[[#This Row],[PRECIO $]]*1.18</f>
        <v>2951.1327999999999</v>
      </c>
      <c r="J1596" s="7">
        <f>+Tabla1[[#This Row],[PRECIO EN SOLES]]-Tabla1[[#This Row],[PC]]</f>
        <v>450.66720000000032</v>
      </c>
      <c r="K1596" s="15"/>
      <c r="L1596" s="15" t="str">
        <f t="shared" si="24"/>
        <v>NORMAL</v>
      </c>
    </row>
    <row r="1597" spans="1:12" x14ac:dyDescent="0.25">
      <c r="A1597" s="3" t="s">
        <v>5087</v>
      </c>
      <c r="B1597" s="3" t="s">
        <v>5088</v>
      </c>
      <c r="C1597" s="1">
        <v>4</v>
      </c>
      <c r="D1597" s="1">
        <v>461.5</v>
      </c>
      <c r="E1597" s="1" t="s">
        <v>2334</v>
      </c>
      <c r="F1597" s="1" t="s">
        <v>5089</v>
      </c>
      <c r="G1597" s="3" t="s">
        <v>5090</v>
      </c>
      <c r="H1597" s="11">
        <f>ROUND(
IF(L1597="GANCHO",
   IF(I1597&lt;=50,I1597*1.1+4,IF(I1597&lt;=120,I1597*1.1+7,IF(I1597&lt;=250,I1597*1.1+11,I1597*1.1+19))),
IF(L1597="NORMAL",
   IF(I1597&lt;=30,I1597*1.15+2,IF(I1597&lt;=80,I1597*1.15+4,IF(I1597&lt;=150,I1597*1.15+6,I1597*1.15+8))),
IF(L1597="COMPLEMENTO",
   IF(I1597&lt;=25,I1597*1.25+1.5,IF(I1597&lt;=60,I1597*1.25+3,IF(I1597&lt;=120,I1597*1.25+4,I1597*1.25+5))),
""))),2)</f>
        <v>2212.42</v>
      </c>
      <c r="I1597" s="9">
        <f>($K$2+0.02)*Tabla1[[#This Row],[PRECIO $]]*1.18</f>
        <v>1916.8863999999999</v>
      </c>
      <c r="J1597" s="7">
        <f>+Tabla1[[#This Row],[PRECIO EN SOLES]]-Tabla1[[#This Row],[PC]]</f>
        <v>295.53360000000021</v>
      </c>
      <c r="K1597" s="15"/>
      <c r="L1597" s="15" t="str">
        <f t="shared" si="24"/>
        <v>NORMAL</v>
      </c>
    </row>
    <row r="1598" spans="1:12" x14ac:dyDescent="0.25">
      <c r="A1598" s="3" t="s">
        <v>5091</v>
      </c>
      <c r="B1598" s="3" t="s">
        <v>5092</v>
      </c>
      <c r="C1598" s="1">
        <v>3</v>
      </c>
      <c r="D1598" s="1">
        <v>732.5</v>
      </c>
      <c r="E1598" s="1" t="s">
        <v>2334</v>
      </c>
      <c r="F1598" s="1" t="s">
        <v>5093</v>
      </c>
      <c r="G1598" s="3" t="s">
        <v>5094</v>
      </c>
      <c r="H1598" s="11">
        <f>ROUND(
IF(L1598="GANCHO",
   IF(I1598&lt;=50,I1598*1.1+4,IF(I1598&lt;=120,I1598*1.1+7,IF(I1598&lt;=250,I1598*1.1+11,I1598*1.1+19))),
IF(L1598="NORMAL",
   IF(I1598&lt;=30,I1598*1.15+2,IF(I1598&lt;=80,I1598*1.15+4,IF(I1598&lt;=150,I1598*1.15+6,I1598*1.15+8))),
IF(L1598="COMPLEMENTO",
   IF(I1598&lt;=25,I1598*1.25+1.5,IF(I1598&lt;=60,I1598*1.25+3,IF(I1598&lt;=120,I1598*1.25+4,I1598*1.25+5))),
""))),2)</f>
        <v>3506.89</v>
      </c>
      <c r="I1598" s="9">
        <f>($K$2+0.02)*Tabla1[[#This Row],[PRECIO $]]*1.18</f>
        <v>3042.5120000000002</v>
      </c>
      <c r="J1598" s="7">
        <f>+Tabla1[[#This Row],[PRECIO EN SOLES]]-Tabla1[[#This Row],[PC]]</f>
        <v>464.3779999999997</v>
      </c>
      <c r="K1598" s="15"/>
      <c r="L1598" s="15" t="str">
        <f t="shared" si="24"/>
        <v>NORMAL</v>
      </c>
    </row>
    <row r="1599" spans="1:12" x14ac:dyDescent="0.25">
      <c r="A1599" s="3" t="s">
        <v>5095</v>
      </c>
      <c r="B1599" s="3" t="s">
        <v>5096</v>
      </c>
      <c r="C1599" s="1">
        <v>6</v>
      </c>
      <c r="D1599" s="1">
        <v>941</v>
      </c>
      <c r="E1599" s="1" t="s">
        <v>2334</v>
      </c>
      <c r="F1599" s="1" t="s">
        <v>5097</v>
      </c>
      <c r="G1599" s="3" t="s">
        <v>5098</v>
      </c>
      <c r="H1599" s="11">
        <f>ROUND(
IF(L1599="GANCHO",
   IF(I1599&lt;=50,I1599*1.1+4,IF(I1599&lt;=120,I1599*1.1+7,IF(I1599&lt;=250,I1599*1.1+11,I1599*1.1+19))),
IF(L1599="NORMAL",
   IF(I1599&lt;=30,I1599*1.15+2,IF(I1599&lt;=80,I1599*1.15+4,IF(I1599&lt;=150,I1599*1.15+6,I1599*1.15+8))),
IF(L1599="COMPLEMENTO",
   IF(I1599&lt;=25,I1599*1.25+1.5,IF(I1599&lt;=60,I1599*1.25+3,IF(I1599&lt;=120,I1599*1.25+4,I1599*1.25+5))),
""))),2)</f>
        <v>4502.82</v>
      </c>
      <c r="I1599" s="9">
        <f>($K$2+0.02)*Tabla1[[#This Row],[PRECIO $]]*1.18</f>
        <v>3908.5376000000001</v>
      </c>
      <c r="J1599" s="7">
        <f>+Tabla1[[#This Row],[PRECIO EN SOLES]]-Tabla1[[#This Row],[PC]]</f>
        <v>594.2823999999996</v>
      </c>
      <c r="K1599" s="15"/>
      <c r="L1599" s="15" t="str">
        <f t="shared" si="24"/>
        <v>NORMAL</v>
      </c>
    </row>
    <row r="1600" spans="1:12" x14ac:dyDescent="0.25">
      <c r="A1600" s="3" t="s">
        <v>5099</v>
      </c>
      <c r="B1600" s="3" t="s">
        <v>5100</v>
      </c>
      <c r="C1600" s="1">
        <v>2</v>
      </c>
      <c r="D1600" s="1">
        <v>836.5</v>
      </c>
      <c r="E1600" s="1" t="s">
        <v>2334</v>
      </c>
      <c r="F1600" s="1" t="s">
        <v>5101</v>
      </c>
      <c r="G1600" s="3" t="s">
        <v>5102</v>
      </c>
      <c r="H1600" s="11">
        <f>ROUND(
IF(L1600="GANCHO",
   IF(I1600&lt;=50,I1600*1.1+4,IF(I1600&lt;=120,I1600*1.1+7,IF(I1600&lt;=250,I1600*1.1+11,I1600*1.1+19))),
IF(L1600="NORMAL",
   IF(I1600&lt;=30,I1600*1.15+2,IF(I1600&lt;=80,I1600*1.15+4,IF(I1600&lt;=150,I1600*1.15+6,I1600*1.15+8))),
IF(L1600="COMPLEMENTO",
   IF(I1600&lt;=25,I1600*1.25+1.5,IF(I1600&lt;=60,I1600*1.25+3,IF(I1600&lt;=120,I1600*1.25+4,I1600*1.25+5))),
""))),2)</f>
        <v>4003.66</v>
      </c>
      <c r="I1600" s="9">
        <f>($K$2+0.02)*Tabla1[[#This Row],[PRECIO $]]*1.18</f>
        <v>3474.4863999999998</v>
      </c>
      <c r="J1600" s="7">
        <f>+Tabla1[[#This Row],[PRECIO EN SOLES]]-Tabla1[[#This Row],[PC]]</f>
        <v>529.17360000000008</v>
      </c>
      <c r="K1600" s="15"/>
      <c r="L1600" s="15" t="str">
        <f t="shared" si="24"/>
        <v>NORMAL</v>
      </c>
    </row>
    <row r="1601" spans="1:12" x14ac:dyDescent="0.25">
      <c r="A1601" s="3" t="s">
        <v>2335</v>
      </c>
      <c r="B1601" s="3" t="s">
        <v>2336</v>
      </c>
      <c r="C1601" s="1">
        <v>4</v>
      </c>
      <c r="D1601" s="1">
        <v>1048</v>
      </c>
      <c r="E1601" s="1" t="s">
        <v>2334</v>
      </c>
      <c r="F1601" s="1" t="s">
        <v>3751</v>
      </c>
      <c r="G1601" s="3" t="s">
        <v>2337</v>
      </c>
      <c r="H1601" s="11">
        <f>ROUND(
IF(L1601="GANCHO",
   IF(I1601&lt;=50,I1601*1.1+4,IF(I1601&lt;=120,I1601*1.1+7,IF(I1601&lt;=250,I1601*1.1+11,I1601*1.1+19))),
IF(L1601="NORMAL",
   IF(I1601&lt;=30,I1601*1.15+2,IF(I1601&lt;=80,I1601*1.15+4,IF(I1601&lt;=150,I1601*1.15+6,I1601*1.15+8))),
IF(L1601="COMPLEMENTO",
   IF(I1601&lt;=25,I1601*1.25+1.5,IF(I1601&lt;=60,I1601*1.25+3,IF(I1601&lt;=120,I1601*1.25+4,I1601*1.25+5))),
""))),2)</f>
        <v>5013.92</v>
      </c>
      <c r="I1601" s="9">
        <f>($K$2+0.02)*Tabla1[[#This Row],[PRECIO $]]*1.18</f>
        <v>4352.9727999999996</v>
      </c>
      <c r="J1601" s="7">
        <f>+Tabla1[[#This Row],[PRECIO EN SOLES]]-Tabla1[[#This Row],[PC]]</f>
        <v>660.94720000000052</v>
      </c>
      <c r="K1601" s="15"/>
      <c r="L1601" s="15" t="str">
        <f t="shared" si="24"/>
        <v>NORMAL</v>
      </c>
    </row>
    <row r="1602" spans="1:12" x14ac:dyDescent="0.25">
      <c r="A1602" s="3" t="s">
        <v>5103</v>
      </c>
      <c r="B1602" s="3" t="s">
        <v>5104</v>
      </c>
      <c r="C1602" s="1">
        <v>1</v>
      </c>
      <c r="D1602" s="1">
        <v>789</v>
      </c>
      <c r="E1602" s="1" t="s">
        <v>2334</v>
      </c>
      <c r="F1602" s="1" t="s">
        <v>5105</v>
      </c>
      <c r="G1602" s="3" t="s">
        <v>5106</v>
      </c>
      <c r="H1602" s="11">
        <f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3776.77</v>
      </c>
      <c r="I1602" s="9">
        <f>($K$2+0.02)*Tabla1[[#This Row],[PRECIO $]]*1.18</f>
        <v>3277.1904</v>
      </c>
      <c r="J1602" s="7">
        <f>+Tabla1[[#This Row],[PRECIO EN SOLES]]-Tabla1[[#This Row],[PC]]</f>
        <v>499.57960000000003</v>
      </c>
      <c r="K1602" s="15"/>
      <c r="L1602" s="15" t="str">
        <f t="shared" si="24"/>
        <v>NORMAL</v>
      </c>
    </row>
    <row r="1603" spans="1:12" x14ac:dyDescent="0.25">
      <c r="A1603" s="3" t="s">
        <v>2193</v>
      </c>
      <c r="B1603" s="3" t="s">
        <v>2194</v>
      </c>
      <c r="C1603" s="1">
        <v>0</v>
      </c>
      <c r="D1603" s="1">
        <v>310</v>
      </c>
      <c r="E1603" s="1" t="s">
        <v>57</v>
      </c>
      <c r="F1603" s="1" t="s">
        <v>3661</v>
      </c>
      <c r="G1603" s="3" t="s">
        <v>2195</v>
      </c>
      <c r="H1603" s="11">
        <f>ROUND(
IF(L1603="GANCHO",
   IF(I1603&lt;=50,I1603*1.1+4,IF(I1603&lt;=120,I1603*1.1+7,IF(I1603&lt;=250,I1603*1.1+11,I1603*1.1+19))),
IF(L1603="NORMAL",
   IF(I1603&lt;=30,I1603*1.15+2,IF(I1603&lt;=80,I1603*1.15+4,IF(I1603&lt;=150,I1603*1.15+6,I1603*1.15+8))),
IF(L1603="COMPLEMENTO",
   IF(I1603&lt;=25,I1603*1.25+1.5,IF(I1603&lt;=60,I1603*1.25+3,IF(I1603&lt;=120,I1603*1.25+4,I1603*1.25+5))),
""))),2)</f>
        <v>1488.76</v>
      </c>
      <c r="I1603" s="9">
        <f>($K$2+0.02)*Tabla1[[#This Row],[PRECIO $]]*1.18</f>
        <v>1287.616</v>
      </c>
      <c r="J1603" s="7">
        <f>+Tabla1[[#This Row],[PRECIO EN SOLES]]-Tabla1[[#This Row],[PC]]</f>
        <v>201.14400000000001</v>
      </c>
      <c r="K1603" s="15"/>
      <c r="L1603" s="15" t="str">
        <f t="shared" ref="L1603:L1666" si="25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4198</v>
      </c>
      <c r="B1604" s="3" t="s">
        <v>4199</v>
      </c>
      <c r="C1604" s="1">
        <v>20</v>
      </c>
      <c r="D1604" s="1">
        <v>41.7</v>
      </c>
      <c r="E1604" s="1" t="s">
        <v>141</v>
      </c>
      <c r="F1604" s="1" t="s">
        <v>4200</v>
      </c>
      <c r="G1604" s="3" t="s">
        <v>4201</v>
      </c>
      <c r="H1604" s="11">
        <f>ROUND(
IF(L1604="GANCHO",
   IF(I1604&lt;=50,I1604*1.1+4,IF(I1604&lt;=120,I1604*1.1+7,IF(I1604&lt;=250,I1604*1.1+11,I1604*1.1+19))),
IF(L1604="NORMAL",
   IF(I1604&lt;=30,I1604*1.15+2,IF(I1604&lt;=80,I1604*1.15+4,IF(I1604&lt;=150,I1604*1.15+6,I1604*1.15+8))),
IF(L1604="COMPLEMENTO",
   IF(I1604&lt;=25,I1604*1.25+1.5,IF(I1604&lt;=60,I1604*1.25+3,IF(I1604&lt;=120,I1604*1.25+4,I1604*1.25+5))),
""))),2)</f>
        <v>207.19</v>
      </c>
      <c r="I1604" s="9">
        <f>($K$2+0.02)*Tabla1[[#This Row],[PRECIO $]]*1.18</f>
        <v>173.20512000000002</v>
      </c>
      <c r="J1604" s="7">
        <f>+Tabla1[[#This Row],[PRECIO EN SOLES]]-Tabla1[[#This Row],[PC]]</f>
        <v>33.984879999999976</v>
      </c>
      <c r="K1604" s="15"/>
      <c r="L1604" s="15" t="str">
        <f t="shared" si="25"/>
        <v>NORMAL</v>
      </c>
    </row>
    <row r="1605" spans="1:12" x14ac:dyDescent="0.25">
      <c r="A1605" s="3" t="s">
        <v>2338</v>
      </c>
      <c r="B1605" s="3" t="s">
        <v>2339</v>
      </c>
      <c r="C1605" s="1">
        <v>16</v>
      </c>
      <c r="D1605" s="1">
        <v>240.5</v>
      </c>
      <c r="E1605" s="1" t="s">
        <v>141</v>
      </c>
      <c r="F1605" s="1" t="s">
        <v>3752</v>
      </c>
      <c r="G1605" s="3"/>
      <c r="H1605" s="11">
        <f>ROUND(
IF(L1605="GANCHO",
   IF(I1605&lt;=50,I1605*1.1+4,IF(I1605&lt;=120,I1605*1.1+7,IF(I1605&lt;=250,I1605*1.1+11,I1605*1.1+19))),
IF(L1605="NORMAL",
   IF(I1605&lt;=30,I1605*1.15+2,IF(I1605&lt;=80,I1605*1.15+4,IF(I1605&lt;=150,I1605*1.15+6,I1605*1.15+8))),
IF(L1605="COMPLEMENTO",
   IF(I1605&lt;=25,I1605*1.25+1.5,IF(I1605&lt;=60,I1605*1.25+3,IF(I1605&lt;=120,I1605*1.25+4,I1605*1.25+5))),
""))),2)</f>
        <v>1156.78</v>
      </c>
      <c r="I1605" s="9">
        <f>($K$2+0.02)*Tabla1[[#This Row],[PRECIO $]]*1.18</f>
        <v>998.94079999999997</v>
      </c>
      <c r="J1605" s="7">
        <f>+Tabla1[[#This Row],[PRECIO EN SOLES]]-Tabla1[[#This Row],[PC]]</f>
        <v>157.83920000000001</v>
      </c>
      <c r="K1605" s="15"/>
      <c r="L1605" s="15" t="str">
        <f t="shared" si="25"/>
        <v>NORMAL</v>
      </c>
    </row>
    <row r="1606" spans="1:12" x14ac:dyDescent="0.25">
      <c r="A1606" s="3" t="s">
        <v>2340</v>
      </c>
      <c r="B1606" s="3" t="s">
        <v>2339</v>
      </c>
      <c r="C1606" s="1">
        <v>20</v>
      </c>
      <c r="D1606" s="1">
        <v>239</v>
      </c>
      <c r="E1606" s="1" t="s">
        <v>141</v>
      </c>
      <c r="F1606" s="1" t="s">
        <v>3753</v>
      </c>
      <c r="G1606" s="3"/>
      <c r="H1606" s="11">
        <f>ROUND(
IF(L1606="GANCHO",
   IF(I1606&lt;=50,I1606*1.1+4,IF(I1606&lt;=120,I1606*1.1+7,IF(I1606&lt;=250,I1606*1.1+11,I1606*1.1+19))),
IF(L1606="NORMAL",
   IF(I1606&lt;=30,I1606*1.15+2,IF(I1606&lt;=80,I1606*1.15+4,IF(I1606&lt;=150,I1606*1.15+6,I1606*1.15+8))),
IF(L1606="COMPLEMENTO",
   IF(I1606&lt;=25,I1606*1.25+1.5,IF(I1606&lt;=60,I1606*1.25+3,IF(I1606&lt;=120,I1606*1.25+4,I1606*1.25+5))),
""))),2)</f>
        <v>1149.6199999999999</v>
      </c>
      <c r="I1606" s="9">
        <f>($K$2+0.02)*Tabla1[[#This Row],[PRECIO $]]*1.18</f>
        <v>992.71039999999994</v>
      </c>
      <c r="J1606" s="7">
        <f>+Tabla1[[#This Row],[PRECIO EN SOLES]]-Tabla1[[#This Row],[PC]]</f>
        <v>156.90959999999995</v>
      </c>
      <c r="K1606" s="15"/>
      <c r="L1606" s="15" t="str">
        <f t="shared" si="25"/>
        <v>NORMAL</v>
      </c>
    </row>
    <row r="1607" spans="1:12" x14ac:dyDescent="0.25">
      <c r="A1607" s="3" t="s">
        <v>2341</v>
      </c>
      <c r="B1607" s="3" t="s">
        <v>2342</v>
      </c>
      <c r="C1607" s="1">
        <v>20</v>
      </c>
      <c r="D1607" s="1">
        <v>239</v>
      </c>
      <c r="E1607" s="1" t="s">
        <v>141</v>
      </c>
      <c r="F1607" s="1" t="s">
        <v>3754</v>
      </c>
      <c r="G1607" s="3"/>
      <c r="H1607" s="11">
        <f>ROUND(
IF(L1607="GANCHO",
   IF(I1607&lt;=50,I1607*1.1+4,IF(I1607&lt;=120,I1607*1.1+7,IF(I1607&lt;=250,I1607*1.1+11,I1607*1.1+19))),
IF(L1607="NORMAL",
   IF(I1607&lt;=30,I1607*1.15+2,IF(I1607&lt;=80,I1607*1.15+4,IF(I1607&lt;=150,I1607*1.15+6,I1607*1.15+8))),
IF(L1607="COMPLEMENTO",
   IF(I1607&lt;=25,I1607*1.25+1.5,IF(I1607&lt;=60,I1607*1.25+3,IF(I1607&lt;=120,I1607*1.25+4,I1607*1.25+5))),
""))),2)</f>
        <v>1149.6199999999999</v>
      </c>
      <c r="I1607" s="9">
        <f>($K$2+0.02)*Tabla1[[#This Row],[PRECIO $]]*1.18</f>
        <v>992.71039999999994</v>
      </c>
      <c r="J1607" s="7">
        <f>+Tabla1[[#This Row],[PRECIO EN SOLES]]-Tabla1[[#This Row],[PC]]</f>
        <v>156.90959999999995</v>
      </c>
      <c r="K1607" s="15"/>
      <c r="L1607" s="15" t="str">
        <f t="shared" si="25"/>
        <v>NORMAL</v>
      </c>
    </row>
    <row r="1608" spans="1:12" x14ac:dyDescent="0.25">
      <c r="A1608" s="3" t="s">
        <v>2343</v>
      </c>
      <c r="B1608" s="3" t="s">
        <v>2339</v>
      </c>
      <c r="C1608" s="1">
        <v>20</v>
      </c>
      <c r="D1608" s="1">
        <v>239</v>
      </c>
      <c r="E1608" s="1" t="s">
        <v>141</v>
      </c>
      <c r="F1608" s="1" t="s">
        <v>3755</v>
      </c>
      <c r="G1608" s="3"/>
      <c r="H1608" s="11">
        <f>ROUND(
IF(L1608="GANCHO",
   IF(I1608&lt;=50,I1608*1.1+4,IF(I1608&lt;=120,I1608*1.1+7,IF(I1608&lt;=250,I1608*1.1+11,I1608*1.1+19))),
IF(L1608="NORMAL",
   IF(I1608&lt;=30,I1608*1.15+2,IF(I1608&lt;=80,I1608*1.15+4,IF(I1608&lt;=150,I1608*1.15+6,I1608*1.15+8))),
IF(L1608="COMPLEMENTO",
   IF(I1608&lt;=25,I1608*1.25+1.5,IF(I1608&lt;=60,I1608*1.25+3,IF(I1608&lt;=120,I1608*1.25+4,I1608*1.25+5))),
""))),2)</f>
        <v>1149.6199999999999</v>
      </c>
      <c r="I1608" s="9">
        <f>($K$2+0.02)*Tabla1[[#This Row],[PRECIO $]]*1.18</f>
        <v>992.71039999999994</v>
      </c>
      <c r="J1608" s="7">
        <f>+Tabla1[[#This Row],[PRECIO EN SOLES]]-Tabla1[[#This Row],[PC]]</f>
        <v>156.90959999999995</v>
      </c>
      <c r="K1608" s="15"/>
      <c r="L1608" s="15" t="str">
        <f t="shared" si="25"/>
        <v>NORMAL</v>
      </c>
    </row>
    <row r="1609" spans="1:12" x14ac:dyDescent="0.25">
      <c r="A1609" s="3" t="s">
        <v>4154</v>
      </c>
      <c r="B1609" s="3" t="s">
        <v>4155</v>
      </c>
      <c r="C1609" s="1">
        <v>6</v>
      </c>
      <c r="D1609" s="1">
        <v>19.7</v>
      </c>
      <c r="E1609" s="1" t="s">
        <v>141</v>
      </c>
      <c r="F1609" s="1" t="s">
        <v>4156</v>
      </c>
      <c r="G1609" s="3" t="s">
        <v>4157</v>
      </c>
      <c r="H1609" s="11">
        <f>ROUND(
IF(L1609="GANCHO",
   IF(I1609&lt;=50,I1609*1.1+4,IF(I1609&lt;=120,I1609*1.1+7,IF(I1609&lt;=250,I1609*1.1+11,I1609*1.1+19))),
IF(L1609="NORMAL",
   IF(I1609&lt;=30,I1609*1.15+2,IF(I1609&lt;=80,I1609*1.15+4,IF(I1609&lt;=150,I1609*1.15+6,I1609*1.15+8))),
IF(L1609="COMPLEMENTO",
   IF(I1609&lt;=25,I1609*1.25+1.5,IF(I1609&lt;=60,I1609*1.25+3,IF(I1609&lt;=120,I1609*1.25+4,I1609*1.25+5))),
""))),2)</f>
        <v>100.1</v>
      </c>
      <c r="I1609" s="9">
        <f>($K$2+0.02)*Tabla1[[#This Row],[PRECIO $]]*1.18</f>
        <v>81.825919999999982</v>
      </c>
      <c r="J1609" s="7">
        <f>+Tabla1[[#This Row],[PRECIO EN SOLES]]-Tabla1[[#This Row],[PC]]</f>
        <v>18.274080000000012</v>
      </c>
      <c r="K1609" s="15"/>
      <c r="L1609" s="15" t="str">
        <f t="shared" si="25"/>
        <v>NORMAL</v>
      </c>
    </row>
    <row r="1610" spans="1:12" x14ac:dyDescent="0.25">
      <c r="A1610" s="3" t="s">
        <v>2344</v>
      </c>
      <c r="B1610" s="3" t="s">
        <v>2345</v>
      </c>
      <c r="C1610" s="1">
        <v>20</v>
      </c>
      <c r="D1610" s="1">
        <v>14</v>
      </c>
      <c r="E1610" s="1" t="s">
        <v>141</v>
      </c>
      <c r="F1610" s="1" t="s">
        <v>3756</v>
      </c>
      <c r="G1610" s="3"/>
      <c r="H1610" s="11">
        <f>ROUND(
IF(L1610="GANCHO",
   IF(I1610&lt;=50,I1610*1.1+4,IF(I1610&lt;=120,I1610*1.1+7,IF(I1610&lt;=250,I1610*1.1+11,I1610*1.1+19))),
IF(L1610="NORMAL",
   IF(I1610&lt;=30,I1610*1.15+2,IF(I1610&lt;=80,I1610*1.15+4,IF(I1610&lt;=150,I1610*1.15+6,I1610*1.15+8))),
IF(L1610="COMPLEMENTO",
   IF(I1610&lt;=25,I1610*1.25+1.5,IF(I1610&lt;=60,I1610*1.25+3,IF(I1610&lt;=120,I1610*1.25+4,I1610*1.25+5))),
""))),2)</f>
        <v>70.87</v>
      </c>
      <c r="I1610" s="9">
        <f>($K$2+0.02)*Tabla1[[#This Row],[PRECIO $]]*1.18</f>
        <v>58.150399999999998</v>
      </c>
      <c r="J1610" s="7">
        <f>+Tabla1[[#This Row],[PRECIO EN SOLES]]-Tabla1[[#This Row],[PC]]</f>
        <v>12.719600000000007</v>
      </c>
      <c r="K1610" s="15"/>
      <c r="L1610" s="15" t="str">
        <f t="shared" si="25"/>
        <v>NORMAL</v>
      </c>
    </row>
    <row r="1611" spans="1:12" x14ac:dyDescent="0.25">
      <c r="A1611" s="3" t="s">
        <v>2346</v>
      </c>
      <c r="B1611" s="3" t="s">
        <v>2347</v>
      </c>
      <c r="C1611" s="1">
        <v>20</v>
      </c>
      <c r="D1611" s="1">
        <v>14</v>
      </c>
      <c r="E1611" s="1" t="s">
        <v>141</v>
      </c>
      <c r="F1611" s="1" t="s">
        <v>3757</v>
      </c>
      <c r="G1611" s="3"/>
      <c r="H1611" s="11">
        <f>ROUND(
IF(L1611="GANCHO",
   IF(I1611&lt;=50,I1611*1.1+4,IF(I1611&lt;=120,I1611*1.1+7,IF(I1611&lt;=250,I1611*1.1+11,I1611*1.1+19))),
IF(L1611="NORMAL",
   IF(I1611&lt;=30,I1611*1.15+2,IF(I1611&lt;=80,I1611*1.15+4,IF(I1611&lt;=150,I1611*1.15+6,I1611*1.15+8))),
IF(L1611="COMPLEMENTO",
   IF(I1611&lt;=25,I1611*1.25+1.5,IF(I1611&lt;=60,I1611*1.25+3,IF(I1611&lt;=120,I1611*1.25+4,I1611*1.25+5))),
""))),2)</f>
        <v>70.87</v>
      </c>
      <c r="I1611" s="9">
        <f>($K$2+0.02)*Tabla1[[#This Row],[PRECIO $]]*1.18</f>
        <v>58.150399999999998</v>
      </c>
      <c r="J1611" s="7">
        <f>+Tabla1[[#This Row],[PRECIO EN SOLES]]-Tabla1[[#This Row],[PC]]</f>
        <v>12.719600000000007</v>
      </c>
      <c r="K1611" s="15"/>
      <c r="L1611" s="15" t="str">
        <f t="shared" si="25"/>
        <v>NORMAL</v>
      </c>
    </row>
    <row r="1612" spans="1:12" x14ac:dyDescent="0.25">
      <c r="A1612" s="3" t="s">
        <v>2348</v>
      </c>
      <c r="B1612" s="3" t="s">
        <v>2349</v>
      </c>
      <c r="C1612" s="1">
        <v>20</v>
      </c>
      <c r="D1612" s="1">
        <v>14.6</v>
      </c>
      <c r="E1612" s="1" t="s">
        <v>141</v>
      </c>
      <c r="F1612" s="1" t="s">
        <v>3758</v>
      </c>
      <c r="G1612" s="3"/>
      <c r="H1612" s="11">
        <f>ROUND(
IF(L1612="GANCHO",
   IF(I1612&lt;=50,I1612*1.1+4,IF(I1612&lt;=120,I1612*1.1+7,IF(I1612&lt;=250,I1612*1.1+11,I1612*1.1+19))),
IF(L1612="NORMAL",
   IF(I1612&lt;=30,I1612*1.15+2,IF(I1612&lt;=80,I1612*1.15+4,IF(I1612&lt;=150,I1612*1.15+6,I1612*1.15+8))),
IF(L1612="COMPLEMENTO",
   IF(I1612&lt;=25,I1612*1.25+1.5,IF(I1612&lt;=60,I1612*1.25+3,IF(I1612&lt;=120,I1612*1.25+4,I1612*1.25+5))),
""))),2)</f>
        <v>73.739999999999995</v>
      </c>
      <c r="I1612" s="9">
        <f>($K$2+0.02)*Tabla1[[#This Row],[PRECIO $]]*1.18</f>
        <v>60.642559999999989</v>
      </c>
      <c r="J1612" s="7">
        <f>+Tabla1[[#This Row],[PRECIO EN SOLES]]-Tabla1[[#This Row],[PC]]</f>
        <v>13.097440000000006</v>
      </c>
      <c r="K1612" s="15"/>
      <c r="L1612" s="15" t="str">
        <f t="shared" si="25"/>
        <v>NORMAL</v>
      </c>
    </row>
    <row r="1613" spans="1:12" x14ac:dyDescent="0.25">
      <c r="A1613" s="3" t="s">
        <v>2350</v>
      </c>
      <c r="B1613" s="3" t="s">
        <v>2351</v>
      </c>
      <c r="C1613" s="1">
        <v>20</v>
      </c>
      <c r="D1613" s="1">
        <v>14.8</v>
      </c>
      <c r="E1613" s="1" t="s">
        <v>141</v>
      </c>
      <c r="F1613" s="1" t="s">
        <v>3759</v>
      </c>
      <c r="G1613" s="3"/>
      <c r="H1613" s="11">
        <f>ROUND(
IF(L1613="GANCHO",
   IF(I1613&lt;=50,I1613*1.1+4,IF(I1613&lt;=120,I1613*1.1+7,IF(I1613&lt;=250,I1613*1.1+11,I1613*1.1+19))),
IF(L1613="NORMAL",
   IF(I1613&lt;=30,I1613*1.15+2,IF(I1613&lt;=80,I1613*1.15+4,IF(I1613&lt;=150,I1613*1.15+6,I1613*1.15+8))),
IF(L1613="COMPLEMENTO",
   IF(I1613&lt;=25,I1613*1.25+1.5,IF(I1613&lt;=60,I1613*1.25+3,IF(I1613&lt;=120,I1613*1.25+4,I1613*1.25+5))),
""))),2)</f>
        <v>74.69</v>
      </c>
      <c r="I1613" s="9">
        <f>($K$2+0.02)*Tabla1[[#This Row],[PRECIO $]]*1.18</f>
        <v>61.473280000000003</v>
      </c>
      <c r="J1613" s="7">
        <f>+Tabla1[[#This Row],[PRECIO EN SOLES]]-Tabla1[[#This Row],[PC]]</f>
        <v>13.216719999999995</v>
      </c>
      <c r="K1613" s="15"/>
      <c r="L1613" s="15" t="str">
        <f t="shared" si="25"/>
        <v>NORMAL</v>
      </c>
    </row>
    <row r="1614" spans="1:12" x14ac:dyDescent="0.25">
      <c r="A1614" s="3" t="s">
        <v>2352</v>
      </c>
      <c r="B1614" s="3" t="s">
        <v>2353</v>
      </c>
      <c r="C1614" s="1">
        <v>20</v>
      </c>
      <c r="D1614" s="1">
        <v>14</v>
      </c>
      <c r="E1614" s="1" t="s">
        <v>141</v>
      </c>
      <c r="F1614" s="1" t="s">
        <v>3760</v>
      </c>
      <c r="G1614" s="3"/>
      <c r="H1614" s="11">
        <f>ROUND(
IF(L1614="GANCHO",
   IF(I1614&lt;=50,I1614*1.1+4,IF(I1614&lt;=120,I1614*1.1+7,IF(I1614&lt;=250,I1614*1.1+11,I1614*1.1+19))),
IF(L1614="NORMAL",
   IF(I1614&lt;=30,I1614*1.15+2,IF(I1614&lt;=80,I1614*1.15+4,IF(I1614&lt;=150,I1614*1.15+6,I1614*1.15+8))),
IF(L1614="COMPLEMENTO",
   IF(I1614&lt;=25,I1614*1.25+1.5,IF(I1614&lt;=60,I1614*1.25+3,IF(I1614&lt;=120,I1614*1.25+4,I1614*1.25+5))),
""))),2)</f>
        <v>70.87</v>
      </c>
      <c r="I1614" s="9">
        <f>($K$2+0.02)*Tabla1[[#This Row],[PRECIO $]]*1.18</f>
        <v>58.150399999999998</v>
      </c>
      <c r="J1614" s="7">
        <f>+Tabla1[[#This Row],[PRECIO EN SOLES]]-Tabla1[[#This Row],[PC]]</f>
        <v>12.719600000000007</v>
      </c>
      <c r="K1614" s="15"/>
      <c r="L1614" s="15" t="str">
        <f t="shared" si="25"/>
        <v>NORMAL</v>
      </c>
    </row>
    <row r="1615" spans="1:12" x14ac:dyDescent="0.25">
      <c r="A1615" s="3" t="s">
        <v>467</v>
      </c>
      <c r="B1615" s="3" t="s">
        <v>468</v>
      </c>
      <c r="C1615" s="1">
        <v>20</v>
      </c>
      <c r="D1615" s="1">
        <v>12.3</v>
      </c>
      <c r="E1615" s="1" t="s">
        <v>141</v>
      </c>
      <c r="F1615" s="1" t="s">
        <v>3761</v>
      </c>
      <c r="G1615" s="3"/>
      <c r="H1615" s="11">
        <f>ROUND(
IF(L1615="GANCHO",
   IF(I1615&lt;=50,I1615*1.1+4,IF(I1615&lt;=120,I1615*1.1+7,IF(I1615&lt;=250,I1615*1.1+11,I1615*1.1+19))),
IF(L1615="NORMAL",
   IF(I1615&lt;=30,I1615*1.15+2,IF(I1615&lt;=80,I1615*1.15+4,IF(I1615&lt;=150,I1615*1.15+6,I1615*1.15+8))),
IF(L1615="COMPLEMENTO",
   IF(I1615&lt;=25,I1615*1.25+1.5,IF(I1615&lt;=60,I1615*1.25+3,IF(I1615&lt;=120,I1615*1.25+4,I1615*1.25+5))),
""))),2)</f>
        <v>62.75</v>
      </c>
      <c r="I1615" s="9">
        <f>($K$2+0.02)*Tabla1[[#This Row],[PRECIO $]]*1.18</f>
        <v>51.089279999999995</v>
      </c>
      <c r="J1615" s="7">
        <f>+Tabla1[[#This Row],[PRECIO EN SOLES]]-Tabla1[[#This Row],[PC]]</f>
        <v>11.660720000000005</v>
      </c>
      <c r="K1615" s="15"/>
      <c r="L1615" s="15" t="str">
        <f t="shared" si="25"/>
        <v>NORMAL</v>
      </c>
    </row>
    <row r="1616" spans="1:12" x14ac:dyDescent="0.25">
      <c r="A1616" s="3" t="s">
        <v>469</v>
      </c>
      <c r="B1616" s="3" t="s">
        <v>470</v>
      </c>
      <c r="C1616" s="1">
        <v>2</v>
      </c>
      <c r="D1616" s="1">
        <v>12.2</v>
      </c>
      <c r="E1616" s="1" t="s">
        <v>141</v>
      </c>
      <c r="F1616" s="1" t="s">
        <v>3762</v>
      </c>
      <c r="G1616" s="3"/>
      <c r="H1616" s="11">
        <f>ROUND(
IF(L1616="GANCHO",
   IF(I1616&lt;=50,I1616*1.1+4,IF(I1616&lt;=120,I1616*1.1+7,IF(I1616&lt;=250,I1616*1.1+11,I1616*1.1+19))),
IF(L1616="NORMAL",
   IF(I1616&lt;=30,I1616*1.15+2,IF(I1616&lt;=80,I1616*1.15+4,IF(I1616&lt;=150,I1616*1.15+6,I1616*1.15+8))),
IF(L1616="COMPLEMENTO",
   IF(I1616&lt;=25,I1616*1.25+1.5,IF(I1616&lt;=60,I1616*1.25+3,IF(I1616&lt;=120,I1616*1.25+4,I1616*1.25+5))),
""))),2)</f>
        <v>62.28</v>
      </c>
      <c r="I1616" s="9">
        <f>($K$2+0.02)*Tabla1[[#This Row],[PRECIO $]]*1.18</f>
        <v>50.673919999999995</v>
      </c>
      <c r="J1616" s="7">
        <f>+Tabla1[[#This Row],[PRECIO EN SOLES]]-Tabla1[[#This Row],[PC]]</f>
        <v>11.606080000000006</v>
      </c>
      <c r="K1616" s="15"/>
      <c r="L1616" s="15" t="str">
        <f t="shared" si="25"/>
        <v>NORMAL</v>
      </c>
    </row>
    <row r="1617" spans="1:12" x14ac:dyDescent="0.25">
      <c r="A1617" s="3" t="s">
        <v>2354</v>
      </c>
      <c r="B1617" s="3" t="s">
        <v>2355</v>
      </c>
      <c r="C1617" s="1">
        <v>3</v>
      </c>
      <c r="D1617" s="1">
        <v>22.5</v>
      </c>
      <c r="E1617" s="1" t="s">
        <v>141</v>
      </c>
      <c r="F1617" s="1" t="s">
        <v>3763</v>
      </c>
      <c r="G1617" s="3"/>
      <c r="H1617" s="11">
        <f>ROUND(
IF(L1617="GANCHO",
   IF(I1617&lt;=50,I1617*1.1+4,IF(I1617&lt;=120,I1617*1.1+7,IF(I1617&lt;=250,I1617*1.1+11,I1617*1.1+19))),
IF(L1617="NORMAL",
   IF(I1617&lt;=30,I1617*1.15+2,IF(I1617&lt;=80,I1617*1.15+4,IF(I1617&lt;=150,I1617*1.15+6,I1617*1.15+8))),
IF(L1617="COMPLEMENTO",
   IF(I1617&lt;=25,I1617*1.25+1.5,IF(I1617&lt;=60,I1617*1.25+3,IF(I1617&lt;=120,I1617*1.25+4,I1617*1.25+5))),
""))),2)</f>
        <v>113.47</v>
      </c>
      <c r="I1617" s="9">
        <f>($K$2+0.02)*Tabla1[[#This Row],[PRECIO $]]*1.18</f>
        <v>93.456000000000003</v>
      </c>
      <c r="J1617" s="7">
        <f>+Tabla1[[#This Row],[PRECIO EN SOLES]]-Tabla1[[#This Row],[PC]]</f>
        <v>20.013999999999996</v>
      </c>
      <c r="K1617" s="15"/>
      <c r="L1617" s="15" t="str">
        <f t="shared" si="25"/>
        <v>NORMAL</v>
      </c>
    </row>
    <row r="1618" spans="1:12" x14ac:dyDescent="0.25">
      <c r="A1618" s="3" t="s">
        <v>471</v>
      </c>
      <c r="B1618" s="3" t="s">
        <v>472</v>
      </c>
      <c r="C1618" s="1">
        <v>20</v>
      </c>
      <c r="D1618" s="1">
        <v>8.3000000000000007</v>
      </c>
      <c r="E1618" s="1" t="s">
        <v>154</v>
      </c>
      <c r="F1618" s="1" t="s">
        <v>3764</v>
      </c>
      <c r="G1618" s="3" t="s">
        <v>473</v>
      </c>
      <c r="H1618" s="11">
        <f>ROUND(
IF(L1618="GANCHO",
   IF(I1618&lt;=50,I1618*1.1+4,IF(I1618&lt;=120,I1618*1.1+7,IF(I1618&lt;=250,I1618*1.1+11,I1618*1.1+19))),
IF(L1618="NORMAL",
   IF(I1618&lt;=30,I1618*1.15+2,IF(I1618&lt;=80,I1618*1.15+4,IF(I1618&lt;=150,I1618*1.15+6,I1618*1.15+8))),
IF(L1618="COMPLEMENTO",
   IF(I1618&lt;=25,I1618*1.25+1.5,IF(I1618&lt;=60,I1618*1.25+3,IF(I1618&lt;=120,I1618*1.25+4,I1618*1.25+5))),
""))),2)</f>
        <v>43.65</v>
      </c>
      <c r="I1618" s="9">
        <f>($K$2+0.02)*Tabla1[[#This Row],[PRECIO $]]*1.18</f>
        <v>34.474879999999999</v>
      </c>
      <c r="J1618" s="7">
        <f>+Tabla1[[#This Row],[PRECIO EN SOLES]]-Tabla1[[#This Row],[PC]]</f>
        <v>9.1751199999999997</v>
      </c>
      <c r="K1618" s="15"/>
      <c r="L1618" s="15" t="str">
        <f t="shared" si="25"/>
        <v>NORMAL</v>
      </c>
    </row>
    <row r="1619" spans="1:12" x14ac:dyDescent="0.25">
      <c r="A1619" s="3" t="s">
        <v>474</v>
      </c>
      <c r="B1619" s="3" t="s">
        <v>475</v>
      </c>
      <c r="C1619" s="1">
        <v>20</v>
      </c>
      <c r="D1619" s="1">
        <v>7.65</v>
      </c>
      <c r="E1619" s="1" t="s">
        <v>154</v>
      </c>
      <c r="F1619" s="1" t="s">
        <v>3765</v>
      </c>
      <c r="G1619" s="3" t="s">
        <v>476</v>
      </c>
      <c r="H1619" s="11">
        <f>ROUND(
IF(L1619="GANCHO",
   IF(I1619&lt;=50,I1619*1.1+4,IF(I1619&lt;=120,I1619*1.1+7,IF(I1619&lt;=250,I1619*1.1+11,I1619*1.1+19))),
IF(L1619="NORMAL",
   IF(I1619&lt;=30,I1619*1.15+2,IF(I1619&lt;=80,I1619*1.15+4,IF(I1619&lt;=150,I1619*1.15+6,I1619*1.15+8))),
IF(L1619="COMPLEMENTO",
   IF(I1619&lt;=25,I1619*1.25+1.5,IF(I1619&lt;=60,I1619*1.25+3,IF(I1619&lt;=120,I1619*1.25+4,I1619*1.25+5))),
""))),2)</f>
        <v>40.54</v>
      </c>
      <c r="I1619" s="9">
        <f>($K$2+0.02)*Tabla1[[#This Row],[PRECIO $]]*1.18</f>
        <v>31.775040000000001</v>
      </c>
      <c r="J1619" s="7">
        <f>+Tabla1[[#This Row],[PRECIO EN SOLES]]-Tabla1[[#This Row],[PC]]</f>
        <v>8.7649599999999985</v>
      </c>
      <c r="K1619" s="15"/>
      <c r="L1619" s="15" t="str">
        <f t="shared" si="25"/>
        <v>NORMAL</v>
      </c>
    </row>
    <row r="1620" spans="1:12" x14ac:dyDescent="0.25">
      <c r="A1620" s="3" t="s">
        <v>3899</v>
      </c>
      <c r="B1620" s="3" t="s">
        <v>3900</v>
      </c>
      <c r="C1620" s="1">
        <v>0</v>
      </c>
      <c r="D1620" s="1">
        <v>7.65</v>
      </c>
      <c r="E1620" s="1" t="s">
        <v>154</v>
      </c>
      <c r="F1620" s="1" t="s">
        <v>3939</v>
      </c>
      <c r="G1620" s="3" t="s">
        <v>3901</v>
      </c>
      <c r="H1620" s="11">
        <f>ROUND(
IF(L1620="GANCHO",
   IF(I1620&lt;=50,I1620*1.1+4,IF(I1620&lt;=120,I1620*1.1+7,IF(I1620&lt;=250,I1620*1.1+11,I1620*1.1+19))),
IF(L1620="NORMAL",
   IF(I1620&lt;=30,I1620*1.15+2,IF(I1620&lt;=80,I1620*1.15+4,IF(I1620&lt;=150,I1620*1.15+6,I1620*1.15+8))),
IF(L1620="COMPLEMENTO",
   IF(I1620&lt;=25,I1620*1.25+1.5,IF(I1620&lt;=60,I1620*1.25+3,IF(I1620&lt;=120,I1620*1.25+4,I1620*1.25+5))),
""))),2)</f>
        <v>40.54</v>
      </c>
      <c r="I1620" s="9">
        <f>($K$2+0.02)*Tabla1[[#This Row],[PRECIO $]]*1.18</f>
        <v>31.775040000000001</v>
      </c>
      <c r="J1620" s="7">
        <f>+Tabla1[[#This Row],[PRECIO EN SOLES]]-Tabla1[[#This Row],[PC]]</f>
        <v>8.7649599999999985</v>
      </c>
      <c r="K1620" s="15"/>
      <c r="L1620" s="15" t="str">
        <f t="shared" si="25"/>
        <v>NORMAL</v>
      </c>
    </row>
    <row r="1621" spans="1:12" x14ac:dyDescent="0.25">
      <c r="A1621" s="3" t="s">
        <v>3902</v>
      </c>
      <c r="B1621" s="3" t="s">
        <v>3903</v>
      </c>
      <c r="C1621" s="1">
        <v>20</v>
      </c>
      <c r="D1621" s="1">
        <v>7.65</v>
      </c>
      <c r="E1621" s="1" t="s">
        <v>154</v>
      </c>
      <c r="F1621" s="1" t="s">
        <v>3940</v>
      </c>
      <c r="G1621" s="3" t="s">
        <v>3904</v>
      </c>
      <c r="H1621" s="11">
        <f>ROUND(
IF(L1621="GANCHO",
   IF(I1621&lt;=50,I1621*1.1+4,IF(I1621&lt;=120,I1621*1.1+7,IF(I1621&lt;=250,I1621*1.1+11,I1621*1.1+19))),
IF(L1621="NORMAL",
   IF(I1621&lt;=30,I1621*1.15+2,IF(I1621&lt;=80,I1621*1.15+4,IF(I1621&lt;=150,I1621*1.15+6,I1621*1.15+8))),
IF(L1621="COMPLEMENTO",
   IF(I1621&lt;=25,I1621*1.25+1.5,IF(I1621&lt;=60,I1621*1.25+3,IF(I1621&lt;=120,I1621*1.25+4,I1621*1.25+5))),
""))),2)</f>
        <v>40.54</v>
      </c>
      <c r="I1621" s="9">
        <f>($K$2+0.02)*Tabla1[[#This Row],[PRECIO $]]*1.18</f>
        <v>31.775040000000001</v>
      </c>
      <c r="J1621" s="7">
        <f>+Tabla1[[#This Row],[PRECIO EN SOLES]]-Tabla1[[#This Row],[PC]]</f>
        <v>8.7649599999999985</v>
      </c>
      <c r="K1621" s="15"/>
      <c r="L1621" s="15" t="str">
        <f t="shared" si="25"/>
        <v>NORMAL</v>
      </c>
    </row>
    <row r="1622" spans="1:12" x14ac:dyDescent="0.25">
      <c r="A1622" s="3" t="s">
        <v>477</v>
      </c>
      <c r="B1622" s="3" t="s">
        <v>478</v>
      </c>
      <c r="C1622" s="1">
        <v>20</v>
      </c>
      <c r="D1622" s="1">
        <v>7.63</v>
      </c>
      <c r="E1622" s="1" t="s">
        <v>154</v>
      </c>
      <c r="F1622" s="1" t="s">
        <v>3766</v>
      </c>
      <c r="G1622" s="3" t="s">
        <v>479</v>
      </c>
      <c r="H1622" s="11">
        <f>ROUND(
IF(L1622="GANCHO",
   IF(I1622&lt;=50,I1622*1.1+4,IF(I1622&lt;=120,I1622*1.1+7,IF(I1622&lt;=250,I1622*1.1+11,I1622*1.1+19))),
IF(L1622="NORMAL",
   IF(I1622&lt;=30,I1622*1.15+2,IF(I1622&lt;=80,I1622*1.15+4,IF(I1622&lt;=150,I1622*1.15+6,I1622*1.15+8))),
IF(L1622="COMPLEMENTO",
   IF(I1622&lt;=25,I1622*1.25+1.5,IF(I1622&lt;=60,I1622*1.25+3,IF(I1622&lt;=120,I1622*1.25+4,I1622*1.25+5))),
""))),2)</f>
        <v>40.450000000000003</v>
      </c>
      <c r="I1622" s="9">
        <f>($K$2+0.02)*Tabla1[[#This Row],[PRECIO $]]*1.18</f>
        <v>31.691967999999999</v>
      </c>
      <c r="J1622" s="7">
        <f>+Tabla1[[#This Row],[PRECIO EN SOLES]]-Tabla1[[#This Row],[PC]]</f>
        <v>8.7580320000000036</v>
      </c>
      <c r="K1622" s="15"/>
      <c r="L1622" s="15" t="str">
        <f t="shared" si="25"/>
        <v>NORMAL</v>
      </c>
    </row>
    <row r="1623" spans="1:12" x14ac:dyDescent="0.25">
      <c r="A1623" s="3" t="s">
        <v>480</v>
      </c>
      <c r="B1623" s="3" t="s">
        <v>481</v>
      </c>
      <c r="C1623" s="1">
        <v>20</v>
      </c>
      <c r="D1623" s="1">
        <v>7.6</v>
      </c>
      <c r="E1623" s="1" t="s">
        <v>154</v>
      </c>
      <c r="F1623" s="1" t="s">
        <v>3767</v>
      </c>
      <c r="G1623" s="3" t="s">
        <v>482</v>
      </c>
      <c r="H1623" s="11">
        <f>ROUND(
IF(L1623="GANCHO",
   IF(I1623&lt;=50,I1623*1.1+4,IF(I1623&lt;=120,I1623*1.1+7,IF(I1623&lt;=250,I1623*1.1+11,I1623*1.1+19))),
IF(L1623="NORMAL",
   IF(I1623&lt;=30,I1623*1.15+2,IF(I1623&lt;=80,I1623*1.15+4,IF(I1623&lt;=150,I1623*1.15+6,I1623*1.15+8))),
IF(L1623="COMPLEMENTO",
   IF(I1623&lt;=25,I1623*1.25+1.5,IF(I1623&lt;=60,I1623*1.25+3,IF(I1623&lt;=120,I1623*1.25+4,I1623*1.25+5))),
""))),2)</f>
        <v>40.299999999999997</v>
      </c>
      <c r="I1623" s="9">
        <f>($K$2+0.02)*Tabla1[[#This Row],[PRECIO $]]*1.18</f>
        <v>31.567359999999997</v>
      </c>
      <c r="J1623" s="7">
        <f>+Tabla1[[#This Row],[PRECIO EN SOLES]]-Tabla1[[#This Row],[PC]]</f>
        <v>8.73264</v>
      </c>
      <c r="K1623" s="15"/>
      <c r="L1623" s="15" t="str">
        <f t="shared" si="25"/>
        <v>NORMAL</v>
      </c>
    </row>
    <row r="1624" spans="1:12" x14ac:dyDescent="0.25">
      <c r="A1624" s="3" t="s">
        <v>483</v>
      </c>
      <c r="B1624" s="3" t="s">
        <v>484</v>
      </c>
      <c r="C1624" s="1">
        <v>20</v>
      </c>
      <c r="D1624" s="1">
        <v>7.61</v>
      </c>
      <c r="E1624" s="1" t="s">
        <v>154</v>
      </c>
      <c r="F1624" s="1" t="s">
        <v>3768</v>
      </c>
      <c r="G1624" s="3" t="s">
        <v>485</v>
      </c>
      <c r="H1624" s="11">
        <f>ROUND(
IF(L1624="GANCHO",
   IF(I1624&lt;=50,I1624*1.1+4,IF(I1624&lt;=120,I1624*1.1+7,IF(I1624&lt;=250,I1624*1.1+11,I1624*1.1+19))),
IF(L1624="NORMAL",
   IF(I1624&lt;=30,I1624*1.15+2,IF(I1624&lt;=80,I1624*1.15+4,IF(I1624&lt;=150,I1624*1.15+6,I1624*1.15+8))),
IF(L1624="COMPLEMENTO",
   IF(I1624&lt;=25,I1624*1.25+1.5,IF(I1624&lt;=60,I1624*1.25+3,IF(I1624&lt;=120,I1624*1.25+4,I1624*1.25+5))),
""))),2)</f>
        <v>40.35</v>
      </c>
      <c r="I1624" s="9">
        <f>($K$2+0.02)*Tabla1[[#This Row],[PRECIO $]]*1.18</f>
        <v>31.608896000000001</v>
      </c>
      <c r="J1624" s="7">
        <f>+Tabla1[[#This Row],[PRECIO EN SOLES]]-Tabla1[[#This Row],[PC]]</f>
        <v>8.741104</v>
      </c>
      <c r="K1624" s="15"/>
      <c r="L1624" s="15" t="str">
        <f t="shared" si="25"/>
        <v>NORMAL</v>
      </c>
    </row>
    <row r="1625" spans="1:12" x14ac:dyDescent="0.25">
      <c r="A1625" s="3" t="s">
        <v>486</v>
      </c>
      <c r="B1625" s="3" t="s">
        <v>487</v>
      </c>
      <c r="C1625" s="1">
        <v>20</v>
      </c>
      <c r="D1625" s="1">
        <v>7.6</v>
      </c>
      <c r="E1625" s="1" t="s">
        <v>154</v>
      </c>
      <c r="F1625" s="1" t="s">
        <v>3769</v>
      </c>
      <c r="G1625" s="3" t="s">
        <v>488</v>
      </c>
      <c r="H1625" s="11">
        <f>ROUND(
IF(L1625="GANCHO",
   IF(I1625&lt;=50,I1625*1.1+4,IF(I1625&lt;=120,I1625*1.1+7,IF(I1625&lt;=250,I1625*1.1+11,I1625*1.1+19))),
IF(L1625="NORMAL",
   IF(I1625&lt;=30,I1625*1.15+2,IF(I1625&lt;=80,I1625*1.15+4,IF(I1625&lt;=150,I1625*1.15+6,I1625*1.15+8))),
IF(L1625="COMPLEMENTO",
   IF(I1625&lt;=25,I1625*1.25+1.5,IF(I1625&lt;=60,I1625*1.25+3,IF(I1625&lt;=120,I1625*1.25+4,I1625*1.25+5))),
""))),2)</f>
        <v>40.299999999999997</v>
      </c>
      <c r="I1625" s="9">
        <f>($K$2+0.02)*Tabla1[[#This Row],[PRECIO $]]*1.18</f>
        <v>31.567359999999997</v>
      </c>
      <c r="J1625" s="7">
        <f>+Tabla1[[#This Row],[PRECIO EN SOLES]]-Tabla1[[#This Row],[PC]]</f>
        <v>8.73264</v>
      </c>
      <c r="K1625" s="15"/>
      <c r="L1625" s="15" t="str">
        <f t="shared" si="25"/>
        <v>NORMAL</v>
      </c>
    </row>
    <row r="1626" spans="1:12" x14ac:dyDescent="0.25">
      <c r="A1626" s="3" t="s">
        <v>489</v>
      </c>
      <c r="B1626" s="3" t="s">
        <v>490</v>
      </c>
      <c r="C1626" s="1">
        <v>20</v>
      </c>
      <c r="D1626" s="1">
        <v>16.149999999999999</v>
      </c>
      <c r="E1626" s="1" t="s">
        <v>154</v>
      </c>
      <c r="F1626" s="1" t="s">
        <v>3770</v>
      </c>
      <c r="G1626" s="3"/>
      <c r="H1626" s="11">
        <f>ROUND(
IF(L1626="GANCHO",
   IF(I1626&lt;=50,I1626*1.1+4,IF(I1626&lt;=120,I1626*1.1+7,IF(I1626&lt;=250,I1626*1.1+11,I1626*1.1+19))),
IF(L1626="NORMAL",
   IF(I1626&lt;=30,I1626*1.15+2,IF(I1626&lt;=80,I1626*1.15+4,IF(I1626&lt;=150,I1626*1.15+6,I1626*1.15+8))),
IF(L1626="COMPLEMENTO",
   IF(I1626&lt;=25,I1626*1.25+1.5,IF(I1626&lt;=60,I1626*1.25+3,IF(I1626&lt;=120,I1626*1.25+4,I1626*1.25+5))),
""))),2)</f>
        <v>81.14</v>
      </c>
      <c r="I1626" s="9">
        <f>($K$2+0.02)*Tabla1[[#This Row],[PRECIO $]]*1.18</f>
        <v>67.080639999999988</v>
      </c>
      <c r="J1626" s="7">
        <f>+Tabla1[[#This Row],[PRECIO EN SOLES]]-Tabla1[[#This Row],[PC]]</f>
        <v>14.059360000000012</v>
      </c>
      <c r="K1626" s="15"/>
      <c r="L1626" s="15" t="str">
        <f t="shared" si="25"/>
        <v>NORMAL</v>
      </c>
    </row>
    <row r="1627" spans="1:12" x14ac:dyDescent="0.25">
      <c r="A1627" s="3" t="s">
        <v>3905</v>
      </c>
      <c r="B1627" s="3" t="s">
        <v>3906</v>
      </c>
      <c r="C1627" s="1">
        <v>14</v>
      </c>
      <c r="D1627" s="1">
        <v>16.149999999999999</v>
      </c>
      <c r="E1627" s="1" t="s">
        <v>154</v>
      </c>
      <c r="F1627" s="1" t="s">
        <v>3941</v>
      </c>
      <c r="G1627" s="3"/>
      <c r="H1627" s="11">
        <f>ROUND(
IF(L1627="GANCHO",
   IF(I1627&lt;=50,I1627*1.1+4,IF(I1627&lt;=120,I1627*1.1+7,IF(I1627&lt;=250,I1627*1.1+11,I1627*1.1+19))),
IF(L1627="NORMAL",
   IF(I1627&lt;=30,I1627*1.15+2,IF(I1627&lt;=80,I1627*1.15+4,IF(I1627&lt;=150,I1627*1.15+6,I1627*1.15+8))),
IF(L1627="COMPLEMENTO",
   IF(I1627&lt;=25,I1627*1.25+1.5,IF(I1627&lt;=60,I1627*1.25+3,IF(I1627&lt;=120,I1627*1.25+4,I1627*1.25+5))),
""))),2)</f>
        <v>81.14</v>
      </c>
      <c r="I1627" s="9">
        <f>($K$2+0.02)*Tabla1[[#This Row],[PRECIO $]]*1.18</f>
        <v>67.080639999999988</v>
      </c>
      <c r="J1627" s="7">
        <f>+Tabla1[[#This Row],[PRECIO EN SOLES]]-Tabla1[[#This Row],[PC]]</f>
        <v>14.059360000000012</v>
      </c>
      <c r="K1627" s="15"/>
      <c r="L1627" s="15" t="str">
        <f t="shared" si="25"/>
        <v>NORMAL</v>
      </c>
    </row>
    <row r="1628" spans="1:12" x14ac:dyDescent="0.25">
      <c r="A1628" s="3" t="s">
        <v>2356</v>
      </c>
      <c r="B1628" s="3" t="s">
        <v>2357</v>
      </c>
      <c r="C1628" s="1">
        <v>19</v>
      </c>
      <c r="D1628" s="1">
        <v>16.149999999999999</v>
      </c>
      <c r="E1628" s="1" t="s">
        <v>154</v>
      </c>
      <c r="F1628" s="1" t="s">
        <v>3771</v>
      </c>
      <c r="G1628" s="3"/>
      <c r="H1628" s="11">
        <f>ROUND(
IF(L1628="GANCHO",
   IF(I1628&lt;=50,I1628*1.1+4,IF(I1628&lt;=120,I1628*1.1+7,IF(I1628&lt;=250,I1628*1.1+11,I1628*1.1+19))),
IF(L1628="NORMAL",
   IF(I1628&lt;=30,I1628*1.15+2,IF(I1628&lt;=80,I1628*1.15+4,IF(I1628&lt;=150,I1628*1.15+6,I1628*1.15+8))),
IF(L1628="COMPLEMENTO",
   IF(I1628&lt;=25,I1628*1.25+1.5,IF(I1628&lt;=60,I1628*1.25+3,IF(I1628&lt;=120,I1628*1.25+4,I1628*1.25+5))),
""))),2)</f>
        <v>81.14</v>
      </c>
      <c r="I1628" s="9">
        <f>($K$2+0.02)*Tabla1[[#This Row],[PRECIO $]]*1.18</f>
        <v>67.080639999999988</v>
      </c>
      <c r="J1628" s="7">
        <f>+Tabla1[[#This Row],[PRECIO EN SOLES]]-Tabla1[[#This Row],[PC]]</f>
        <v>14.059360000000012</v>
      </c>
      <c r="K1628" s="15"/>
      <c r="L1628" s="15" t="str">
        <f t="shared" si="25"/>
        <v>NORMAL</v>
      </c>
    </row>
    <row r="1629" spans="1:12" x14ac:dyDescent="0.25">
      <c r="A1629" s="3" t="s">
        <v>3907</v>
      </c>
      <c r="B1629" s="3" t="s">
        <v>3908</v>
      </c>
      <c r="C1629" s="1">
        <v>14</v>
      </c>
      <c r="D1629" s="1">
        <v>16.149999999999999</v>
      </c>
      <c r="E1629" s="1" t="s">
        <v>154</v>
      </c>
      <c r="F1629" s="1" t="s">
        <v>3942</v>
      </c>
      <c r="G1629" s="3"/>
      <c r="H1629" s="11">
        <f>ROUND(
IF(L1629="GANCHO",
   IF(I1629&lt;=50,I1629*1.1+4,IF(I1629&lt;=120,I1629*1.1+7,IF(I1629&lt;=250,I1629*1.1+11,I1629*1.1+19))),
IF(L1629="NORMAL",
   IF(I1629&lt;=30,I1629*1.15+2,IF(I1629&lt;=80,I1629*1.15+4,IF(I1629&lt;=150,I1629*1.15+6,I1629*1.15+8))),
IF(L1629="COMPLEMENTO",
   IF(I1629&lt;=25,I1629*1.25+1.5,IF(I1629&lt;=60,I1629*1.25+3,IF(I1629&lt;=120,I1629*1.25+4,I1629*1.25+5))),
""))),2)</f>
        <v>81.14</v>
      </c>
      <c r="I1629" s="9">
        <f>($K$2+0.02)*Tabla1[[#This Row],[PRECIO $]]*1.18</f>
        <v>67.080639999999988</v>
      </c>
      <c r="J1629" s="7">
        <f>+Tabla1[[#This Row],[PRECIO EN SOLES]]-Tabla1[[#This Row],[PC]]</f>
        <v>14.059360000000012</v>
      </c>
      <c r="K1629" s="15"/>
      <c r="L1629" s="15" t="str">
        <f t="shared" si="25"/>
        <v>NORMAL</v>
      </c>
    </row>
    <row r="1630" spans="1:12" x14ac:dyDescent="0.25">
      <c r="A1630" s="3" t="s">
        <v>3909</v>
      </c>
      <c r="B1630" s="3" t="s">
        <v>3910</v>
      </c>
      <c r="C1630" s="1">
        <v>20</v>
      </c>
      <c r="D1630" s="1">
        <v>16.149999999999999</v>
      </c>
      <c r="E1630" s="1" t="s">
        <v>154</v>
      </c>
      <c r="F1630" s="1" t="s">
        <v>3943</v>
      </c>
      <c r="G1630" s="3"/>
      <c r="H1630" s="11">
        <f>ROUND(
IF(L1630="GANCHO",
   IF(I1630&lt;=50,I1630*1.1+4,IF(I1630&lt;=120,I1630*1.1+7,IF(I1630&lt;=250,I1630*1.1+11,I1630*1.1+19))),
IF(L1630="NORMAL",
   IF(I1630&lt;=30,I1630*1.15+2,IF(I1630&lt;=80,I1630*1.15+4,IF(I1630&lt;=150,I1630*1.15+6,I1630*1.15+8))),
IF(L1630="COMPLEMENTO",
   IF(I1630&lt;=25,I1630*1.25+1.5,IF(I1630&lt;=60,I1630*1.25+3,IF(I1630&lt;=120,I1630*1.25+4,I1630*1.25+5))),
""))),2)</f>
        <v>81.14</v>
      </c>
      <c r="I1630" s="9">
        <f>($K$2+0.02)*Tabla1[[#This Row],[PRECIO $]]*1.18</f>
        <v>67.080639999999988</v>
      </c>
      <c r="J1630" s="7">
        <f>+Tabla1[[#This Row],[PRECIO EN SOLES]]-Tabla1[[#This Row],[PC]]</f>
        <v>14.059360000000012</v>
      </c>
      <c r="K1630" s="15"/>
      <c r="L1630" s="15" t="str">
        <f t="shared" si="25"/>
        <v>NORMAL</v>
      </c>
    </row>
    <row r="1631" spans="1:12" x14ac:dyDescent="0.25">
      <c r="A1631" s="3" t="s">
        <v>6264</v>
      </c>
      <c r="B1631" s="3" t="s">
        <v>6265</v>
      </c>
      <c r="C1631" s="1">
        <v>2</v>
      </c>
      <c r="D1631" s="1">
        <v>7.52</v>
      </c>
      <c r="E1631" s="1" t="s">
        <v>154</v>
      </c>
      <c r="F1631" s="1" t="s">
        <v>6266</v>
      </c>
      <c r="G1631" s="3"/>
      <c r="H1631" s="11">
        <f>ROUND(
IF(L1631="GANCHO",
   IF(I1631&lt;=50,I1631*1.1+4,IF(I1631&lt;=120,I1631*1.1+7,IF(I1631&lt;=250,I1631*1.1+11,I1631*1.1+19))),
IF(L1631="NORMAL",
   IF(I1631&lt;=30,I1631*1.15+2,IF(I1631&lt;=80,I1631*1.15+4,IF(I1631&lt;=150,I1631*1.15+6,I1631*1.15+8))),
IF(L1631="COMPLEMENTO",
   IF(I1631&lt;=25,I1631*1.25+1.5,IF(I1631&lt;=60,I1631*1.25+3,IF(I1631&lt;=120,I1631*1.25+4,I1631*1.25+5))),
""))),2)</f>
        <v>39.92</v>
      </c>
      <c r="I1631" s="9">
        <f>($K$2+0.02)*Tabla1[[#This Row],[PRECIO $]]*1.18</f>
        <v>31.235071999999995</v>
      </c>
      <c r="J1631" s="7">
        <f>+Tabla1[[#This Row],[PRECIO EN SOLES]]-Tabla1[[#This Row],[PC]]</f>
        <v>8.6849280000000064</v>
      </c>
      <c r="K1631" s="15"/>
      <c r="L1631" s="15" t="str">
        <f t="shared" si="25"/>
        <v>NORMAL</v>
      </c>
    </row>
    <row r="1632" spans="1:12" x14ac:dyDescent="0.25">
      <c r="A1632" s="3" t="s">
        <v>506</v>
      </c>
      <c r="B1632" s="3" t="s">
        <v>507</v>
      </c>
      <c r="C1632" s="1">
        <v>20</v>
      </c>
      <c r="D1632" s="1">
        <v>7.52</v>
      </c>
      <c r="E1632" s="1" t="s">
        <v>154</v>
      </c>
      <c r="F1632" s="1" t="s">
        <v>3772</v>
      </c>
      <c r="G1632" s="3"/>
      <c r="H1632" s="11">
        <f>ROUND(
IF(L1632="GANCHO",
   IF(I1632&lt;=50,I1632*1.1+4,IF(I1632&lt;=120,I1632*1.1+7,IF(I1632&lt;=250,I1632*1.1+11,I1632*1.1+19))),
IF(L1632="NORMAL",
   IF(I1632&lt;=30,I1632*1.15+2,IF(I1632&lt;=80,I1632*1.15+4,IF(I1632&lt;=150,I1632*1.15+6,I1632*1.15+8))),
IF(L1632="COMPLEMENTO",
   IF(I1632&lt;=25,I1632*1.25+1.5,IF(I1632&lt;=60,I1632*1.25+3,IF(I1632&lt;=120,I1632*1.25+4,I1632*1.25+5))),
""))),2)</f>
        <v>39.92</v>
      </c>
      <c r="I1632" s="9">
        <f>($K$2+0.02)*Tabla1[[#This Row],[PRECIO $]]*1.18</f>
        <v>31.235071999999995</v>
      </c>
      <c r="J1632" s="7">
        <f>+Tabla1[[#This Row],[PRECIO EN SOLES]]-Tabla1[[#This Row],[PC]]</f>
        <v>8.6849280000000064</v>
      </c>
      <c r="K1632" s="15"/>
      <c r="L1632" s="15" t="str">
        <f t="shared" si="25"/>
        <v>NORMAL</v>
      </c>
    </row>
    <row r="1633" spans="1:12" x14ac:dyDescent="0.25">
      <c r="A1633" s="3" t="s">
        <v>6700</v>
      </c>
      <c r="B1633" s="3" t="s">
        <v>6701</v>
      </c>
      <c r="C1633" s="1">
        <v>20</v>
      </c>
      <c r="D1633" s="1">
        <v>7.52</v>
      </c>
      <c r="E1633" s="1" t="s">
        <v>154</v>
      </c>
      <c r="F1633" s="1" t="s">
        <v>6702</v>
      </c>
      <c r="G1633" s="3"/>
      <c r="H1633" s="11">
        <f>ROUND(
IF(L1633="GANCHO",
   IF(I1633&lt;=50,I1633*1.1+4,IF(I1633&lt;=120,I1633*1.1+7,IF(I1633&lt;=250,I1633*1.1+11,I1633*1.1+19))),
IF(L1633="NORMAL",
   IF(I1633&lt;=30,I1633*1.15+2,IF(I1633&lt;=80,I1633*1.15+4,IF(I1633&lt;=150,I1633*1.15+6,I1633*1.15+8))),
IF(L1633="COMPLEMENTO",
   IF(I1633&lt;=25,I1633*1.25+1.5,IF(I1633&lt;=60,I1633*1.25+3,IF(I1633&lt;=120,I1633*1.25+4,I1633*1.25+5))),
""))),2)</f>
        <v>39.92</v>
      </c>
      <c r="I1633" s="9">
        <f>($K$2+0.02)*Tabla1[[#This Row],[PRECIO $]]*1.18</f>
        <v>31.235071999999995</v>
      </c>
      <c r="J1633" s="7">
        <f>+Tabla1[[#This Row],[PRECIO EN SOLES]]-Tabla1[[#This Row],[PC]]</f>
        <v>8.6849280000000064</v>
      </c>
      <c r="K1633" s="15"/>
      <c r="L1633" s="15" t="str">
        <f t="shared" si="25"/>
        <v>NORMAL</v>
      </c>
    </row>
    <row r="1634" spans="1:12" x14ac:dyDescent="0.25">
      <c r="A1634" s="3" t="s">
        <v>3911</v>
      </c>
      <c r="B1634" s="3" t="s">
        <v>3912</v>
      </c>
      <c r="C1634" s="1">
        <v>3</v>
      </c>
      <c r="D1634" s="1">
        <v>7.52</v>
      </c>
      <c r="E1634" s="1" t="s">
        <v>154</v>
      </c>
      <c r="F1634" s="1" t="s">
        <v>3944</v>
      </c>
      <c r="G1634" s="3"/>
      <c r="H1634" s="11">
        <f>ROUND(
IF(L1634="GANCHO",
   IF(I1634&lt;=50,I1634*1.1+4,IF(I1634&lt;=120,I1634*1.1+7,IF(I1634&lt;=250,I1634*1.1+11,I1634*1.1+19))),
IF(L1634="NORMAL",
   IF(I1634&lt;=30,I1634*1.15+2,IF(I1634&lt;=80,I1634*1.15+4,IF(I1634&lt;=150,I1634*1.15+6,I1634*1.15+8))),
IF(L1634="COMPLEMENTO",
   IF(I1634&lt;=25,I1634*1.25+1.5,IF(I1634&lt;=60,I1634*1.25+3,IF(I1634&lt;=120,I1634*1.25+4,I1634*1.25+5))),
""))),2)</f>
        <v>39.92</v>
      </c>
      <c r="I1634" s="9">
        <f>($K$2+0.02)*Tabla1[[#This Row],[PRECIO $]]*1.18</f>
        <v>31.235071999999995</v>
      </c>
      <c r="J1634" s="7">
        <f>+Tabla1[[#This Row],[PRECIO EN SOLES]]-Tabla1[[#This Row],[PC]]</f>
        <v>8.6849280000000064</v>
      </c>
      <c r="K1634" s="15"/>
      <c r="L1634" s="15" t="str">
        <f t="shared" si="25"/>
        <v>NORMAL</v>
      </c>
    </row>
    <row r="1635" spans="1:12" x14ac:dyDescent="0.25">
      <c r="A1635" s="3" t="s">
        <v>6703</v>
      </c>
      <c r="B1635" s="3" t="s">
        <v>6704</v>
      </c>
      <c r="C1635" s="1">
        <v>20</v>
      </c>
      <c r="D1635" s="1">
        <v>7.52</v>
      </c>
      <c r="E1635" s="1" t="s">
        <v>154</v>
      </c>
      <c r="F1635" s="1" t="s">
        <v>6705</v>
      </c>
      <c r="G1635" s="3"/>
      <c r="H1635" s="11">
        <f>ROUND(
IF(L1635="GANCHO",
   IF(I1635&lt;=50,I1635*1.1+4,IF(I1635&lt;=120,I1635*1.1+7,IF(I1635&lt;=250,I1635*1.1+11,I1635*1.1+19))),
IF(L1635="NORMAL",
   IF(I1635&lt;=30,I1635*1.15+2,IF(I1635&lt;=80,I1635*1.15+4,IF(I1635&lt;=150,I1635*1.15+6,I1635*1.15+8))),
IF(L1635="COMPLEMENTO",
   IF(I1635&lt;=25,I1635*1.25+1.5,IF(I1635&lt;=60,I1635*1.25+3,IF(I1635&lt;=120,I1635*1.25+4,I1635*1.25+5))),
""))),2)</f>
        <v>39.92</v>
      </c>
      <c r="I1635" s="9">
        <f>($K$2+0.02)*Tabla1[[#This Row],[PRECIO $]]*1.18</f>
        <v>31.235071999999995</v>
      </c>
      <c r="J1635" s="7">
        <f>+Tabla1[[#This Row],[PRECIO EN SOLES]]-Tabla1[[#This Row],[PC]]</f>
        <v>8.6849280000000064</v>
      </c>
      <c r="K1635" s="15"/>
      <c r="L1635" s="15" t="str">
        <f t="shared" si="25"/>
        <v>NORMAL</v>
      </c>
    </row>
    <row r="1636" spans="1:12" x14ac:dyDescent="0.25">
      <c r="A1636" s="3" t="s">
        <v>491</v>
      </c>
      <c r="B1636" s="3" t="s">
        <v>492</v>
      </c>
      <c r="C1636" s="1">
        <v>20</v>
      </c>
      <c r="D1636" s="1">
        <v>7.57</v>
      </c>
      <c r="E1636" s="1" t="s">
        <v>154</v>
      </c>
      <c r="F1636" s="1" t="s">
        <v>3773</v>
      </c>
      <c r="G1636" s="3" t="s">
        <v>493</v>
      </c>
      <c r="H1636" s="11">
        <f>ROUND(
IF(L1636="GANCHO",
   IF(I1636&lt;=50,I1636*1.1+4,IF(I1636&lt;=120,I1636*1.1+7,IF(I1636&lt;=250,I1636*1.1+11,I1636*1.1+19))),
IF(L1636="NORMAL",
   IF(I1636&lt;=30,I1636*1.15+2,IF(I1636&lt;=80,I1636*1.15+4,IF(I1636&lt;=150,I1636*1.15+6,I1636*1.15+8))),
IF(L1636="COMPLEMENTO",
   IF(I1636&lt;=25,I1636*1.25+1.5,IF(I1636&lt;=60,I1636*1.25+3,IF(I1636&lt;=120,I1636*1.25+4,I1636*1.25+5))),
""))),2)</f>
        <v>40.159999999999997</v>
      </c>
      <c r="I1636" s="9">
        <f>($K$2+0.02)*Tabla1[[#This Row],[PRECIO $]]*1.18</f>
        <v>31.442751999999999</v>
      </c>
      <c r="J1636" s="7">
        <f>+Tabla1[[#This Row],[PRECIO EN SOLES]]-Tabla1[[#This Row],[PC]]</f>
        <v>8.7172479999999979</v>
      </c>
      <c r="K1636" s="15"/>
      <c r="L1636" s="15" t="str">
        <f t="shared" si="25"/>
        <v>NORMAL</v>
      </c>
    </row>
    <row r="1637" spans="1:12" x14ac:dyDescent="0.25">
      <c r="A1637" s="3" t="s">
        <v>494</v>
      </c>
      <c r="B1637" s="3" t="s">
        <v>495</v>
      </c>
      <c r="C1637" s="1">
        <v>20</v>
      </c>
      <c r="D1637" s="1">
        <v>7.57</v>
      </c>
      <c r="E1637" s="1" t="s">
        <v>154</v>
      </c>
      <c r="F1637" s="1" t="s">
        <v>3774</v>
      </c>
      <c r="G1637" s="3" t="s">
        <v>496</v>
      </c>
      <c r="H1637" s="11">
        <f>ROUND(
IF(L1637="GANCHO",
   IF(I1637&lt;=50,I1637*1.1+4,IF(I1637&lt;=120,I1637*1.1+7,IF(I1637&lt;=250,I1637*1.1+11,I1637*1.1+19))),
IF(L1637="NORMAL",
   IF(I1637&lt;=30,I1637*1.15+2,IF(I1637&lt;=80,I1637*1.15+4,IF(I1637&lt;=150,I1637*1.15+6,I1637*1.15+8))),
IF(L1637="COMPLEMENTO",
   IF(I1637&lt;=25,I1637*1.25+1.5,IF(I1637&lt;=60,I1637*1.25+3,IF(I1637&lt;=120,I1637*1.25+4,I1637*1.25+5))),
""))),2)</f>
        <v>40.159999999999997</v>
      </c>
      <c r="I1637" s="9">
        <f>($K$2+0.02)*Tabla1[[#This Row],[PRECIO $]]*1.18</f>
        <v>31.442751999999999</v>
      </c>
      <c r="J1637" s="7">
        <f>+Tabla1[[#This Row],[PRECIO EN SOLES]]-Tabla1[[#This Row],[PC]]</f>
        <v>8.7172479999999979</v>
      </c>
      <c r="K1637" s="15"/>
      <c r="L1637" s="15" t="str">
        <f t="shared" si="25"/>
        <v>NORMAL</v>
      </c>
    </row>
    <row r="1638" spans="1:12" x14ac:dyDescent="0.25">
      <c r="A1638" s="3" t="s">
        <v>6267</v>
      </c>
      <c r="B1638" s="3" t="s">
        <v>6268</v>
      </c>
      <c r="C1638" s="1">
        <v>20</v>
      </c>
      <c r="D1638" s="1">
        <v>7.57</v>
      </c>
      <c r="E1638" s="1" t="s">
        <v>154</v>
      </c>
      <c r="F1638" s="1" t="s">
        <v>6269</v>
      </c>
      <c r="G1638" s="3" t="s">
        <v>6270</v>
      </c>
      <c r="H1638" s="11">
        <f>ROUND(
IF(L1638="GANCHO",
   IF(I1638&lt;=50,I1638*1.1+4,IF(I1638&lt;=120,I1638*1.1+7,IF(I1638&lt;=250,I1638*1.1+11,I1638*1.1+19))),
IF(L1638="NORMAL",
   IF(I1638&lt;=30,I1638*1.15+2,IF(I1638&lt;=80,I1638*1.15+4,IF(I1638&lt;=150,I1638*1.15+6,I1638*1.15+8))),
IF(L1638="COMPLEMENTO",
   IF(I1638&lt;=25,I1638*1.25+1.5,IF(I1638&lt;=60,I1638*1.25+3,IF(I1638&lt;=120,I1638*1.25+4,I1638*1.25+5))),
""))),2)</f>
        <v>40.159999999999997</v>
      </c>
      <c r="I1638" s="9">
        <f>($K$2+0.02)*Tabla1[[#This Row],[PRECIO $]]*1.18</f>
        <v>31.442751999999999</v>
      </c>
      <c r="J1638" s="7">
        <f>+Tabla1[[#This Row],[PRECIO EN SOLES]]-Tabla1[[#This Row],[PC]]</f>
        <v>8.7172479999999979</v>
      </c>
      <c r="K1638" s="15"/>
      <c r="L1638" s="15" t="str">
        <f t="shared" si="25"/>
        <v>NORMAL</v>
      </c>
    </row>
    <row r="1639" spans="1:12" x14ac:dyDescent="0.25">
      <c r="A1639" s="3" t="s">
        <v>497</v>
      </c>
      <c r="B1639" s="3" t="s">
        <v>498</v>
      </c>
      <c r="C1639" s="1">
        <v>19</v>
      </c>
      <c r="D1639" s="1">
        <v>10</v>
      </c>
      <c r="E1639" s="1" t="s">
        <v>154</v>
      </c>
      <c r="F1639" s="1" t="s">
        <v>3775</v>
      </c>
      <c r="G1639" s="3" t="s">
        <v>499</v>
      </c>
      <c r="H1639" s="11">
        <f>ROUND(
IF(L1639="GANCHO",
   IF(I1639&lt;=50,I1639*1.1+4,IF(I1639&lt;=120,I1639*1.1+7,IF(I1639&lt;=250,I1639*1.1+11,I1639*1.1+19))),
IF(L1639="NORMAL",
   IF(I1639&lt;=30,I1639*1.15+2,IF(I1639&lt;=80,I1639*1.15+4,IF(I1639&lt;=150,I1639*1.15+6,I1639*1.15+8))),
IF(L1639="COMPLEMENTO",
   IF(I1639&lt;=25,I1639*1.25+1.5,IF(I1639&lt;=60,I1639*1.25+3,IF(I1639&lt;=120,I1639*1.25+4,I1639*1.25+5))),
""))),2)</f>
        <v>51.77</v>
      </c>
      <c r="I1639" s="9">
        <f>($K$2+0.02)*Tabla1[[#This Row],[PRECIO $]]*1.18</f>
        <v>41.536000000000001</v>
      </c>
      <c r="J1639" s="7">
        <f>+Tabla1[[#This Row],[PRECIO EN SOLES]]-Tabla1[[#This Row],[PC]]</f>
        <v>10.234000000000002</v>
      </c>
      <c r="K1639" s="15"/>
      <c r="L1639" s="15" t="str">
        <f t="shared" si="25"/>
        <v>NORMAL</v>
      </c>
    </row>
    <row r="1640" spans="1:12" x14ac:dyDescent="0.25">
      <c r="A1640" s="3" t="s">
        <v>2358</v>
      </c>
      <c r="B1640" s="3" t="s">
        <v>2359</v>
      </c>
      <c r="C1640" s="1">
        <v>20</v>
      </c>
      <c r="D1640" s="1">
        <v>10</v>
      </c>
      <c r="E1640" s="1" t="s">
        <v>154</v>
      </c>
      <c r="F1640" s="1" t="s">
        <v>3776</v>
      </c>
      <c r="G1640" s="3" t="s">
        <v>2360</v>
      </c>
      <c r="H1640" s="11">
        <f>ROUND(
IF(L1640="GANCHO",
   IF(I1640&lt;=50,I1640*1.1+4,IF(I1640&lt;=120,I1640*1.1+7,IF(I1640&lt;=250,I1640*1.1+11,I1640*1.1+19))),
IF(L1640="NORMAL",
   IF(I1640&lt;=30,I1640*1.15+2,IF(I1640&lt;=80,I1640*1.15+4,IF(I1640&lt;=150,I1640*1.15+6,I1640*1.15+8))),
IF(L1640="COMPLEMENTO",
   IF(I1640&lt;=25,I1640*1.25+1.5,IF(I1640&lt;=60,I1640*1.25+3,IF(I1640&lt;=120,I1640*1.25+4,I1640*1.25+5))),
""))),2)</f>
        <v>51.77</v>
      </c>
      <c r="I1640" s="9">
        <f>($K$2+0.02)*Tabla1[[#This Row],[PRECIO $]]*1.18</f>
        <v>41.536000000000001</v>
      </c>
      <c r="J1640" s="7">
        <f>+Tabla1[[#This Row],[PRECIO EN SOLES]]-Tabla1[[#This Row],[PC]]</f>
        <v>10.234000000000002</v>
      </c>
      <c r="K1640" s="15"/>
      <c r="L1640" s="15" t="str">
        <f t="shared" si="25"/>
        <v>NORMAL</v>
      </c>
    </row>
    <row r="1641" spans="1:12" x14ac:dyDescent="0.25">
      <c r="A1641" s="3" t="s">
        <v>3913</v>
      </c>
      <c r="B1641" s="3" t="s">
        <v>3914</v>
      </c>
      <c r="C1641" s="1">
        <v>19</v>
      </c>
      <c r="D1641" s="1">
        <v>10</v>
      </c>
      <c r="E1641" s="1" t="s">
        <v>154</v>
      </c>
      <c r="F1641" s="1" t="s">
        <v>3945</v>
      </c>
      <c r="G1641" s="3" t="s">
        <v>3915</v>
      </c>
      <c r="H1641" s="11">
        <f>ROUND(
IF(L1641="GANCHO",
   IF(I1641&lt;=50,I1641*1.1+4,IF(I1641&lt;=120,I1641*1.1+7,IF(I1641&lt;=250,I1641*1.1+11,I1641*1.1+19))),
IF(L1641="NORMAL",
   IF(I1641&lt;=30,I1641*1.15+2,IF(I1641&lt;=80,I1641*1.15+4,IF(I1641&lt;=150,I1641*1.15+6,I1641*1.15+8))),
IF(L1641="COMPLEMENTO",
   IF(I1641&lt;=25,I1641*1.25+1.5,IF(I1641&lt;=60,I1641*1.25+3,IF(I1641&lt;=120,I1641*1.25+4,I1641*1.25+5))),
""))),2)</f>
        <v>51.77</v>
      </c>
      <c r="I1641" s="9">
        <f>($K$2+0.02)*Tabla1[[#This Row],[PRECIO $]]*1.18</f>
        <v>41.536000000000001</v>
      </c>
      <c r="J1641" s="7">
        <f>+Tabla1[[#This Row],[PRECIO EN SOLES]]-Tabla1[[#This Row],[PC]]</f>
        <v>10.234000000000002</v>
      </c>
      <c r="K1641" s="15"/>
      <c r="L1641" s="15" t="str">
        <f t="shared" si="25"/>
        <v>NORMAL</v>
      </c>
    </row>
    <row r="1642" spans="1:12" x14ac:dyDescent="0.25">
      <c r="A1642" s="3" t="s">
        <v>643</v>
      </c>
      <c r="B1642" s="3" t="s">
        <v>644</v>
      </c>
      <c r="C1642" s="1">
        <v>10</v>
      </c>
      <c r="D1642" s="1">
        <v>10</v>
      </c>
      <c r="E1642" s="1" t="s">
        <v>154</v>
      </c>
      <c r="F1642" s="1" t="s">
        <v>3777</v>
      </c>
      <c r="G1642" s="3" t="s">
        <v>645</v>
      </c>
      <c r="H1642" s="11">
        <f>ROUND(
IF(L1642="GANCHO",
   IF(I1642&lt;=50,I1642*1.1+4,IF(I1642&lt;=120,I1642*1.1+7,IF(I1642&lt;=250,I1642*1.1+11,I1642*1.1+19))),
IF(L1642="NORMAL",
   IF(I1642&lt;=30,I1642*1.15+2,IF(I1642&lt;=80,I1642*1.15+4,IF(I1642&lt;=150,I1642*1.15+6,I1642*1.15+8))),
IF(L1642="COMPLEMENTO",
   IF(I1642&lt;=25,I1642*1.25+1.5,IF(I1642&lt;=60,I1642*1.25+3,IF(I1642&lt;=120,I1642*1.25+4,I1642*1.25+5))),
""))),2)</f>
        <v>51.77</v>
      </c>
      <c r="I1642" s="9">
        <f>($K$2+0.02)*Tabla1[[#This Row],[PRECIO $]]*1.18</f>
        <v>41.536000000000001</v>
      </c>
      <c r="J1642" s="7">
        <f>+Tabla1[[#This Row],[PRECIO EN SOLES]]-Tabla1[[#This Row],[PC]]</f>
        <v>10.234000000000002</v>
      </c>
      <c r="K1642" s="15"/>
      <c r="L1642" s="15" t="str">
        <f t="shared" si="25"/>
        <v>NORMAL</v>
      </c>
    </row>
    <row r="1643" spans="1:12" x14ac:dyDescent="0.25">
      <c r="A1643" s="3" t="s">
        <v>646</v>
      </c>
      <c r="B1643" s="3" t="s">
        <v>647</v>
      </c>
      <c r="C1643" s="1">
        <v>6</v>
      </c>
      <c r="D1643" s="1">
        <v>10</v>
      </c>
      <c r="E1643" s="1" t="s">
        <v>154</v>
      </c>
      <c r="F1643" s="1" t="s">
        <v>3778</v>
      </c>
      <c r="G1643" s="3" t="s">
        <v>648</v>
      </c>
      <c r="H1643" s="11">
        <f>ROUND(
IF(L1643="GANCHO",
   IF(I1643&lt;=50,I1643*1.1+4,IF(I1643&lt;=120,I1643*1.1+7,IF(I1643&lt;=250,I1643*1.1+11,I1643*1.1+19))),
IF(L1643="NORMAL",
   IF(I1643&lt;=30,I1643*1.15+2,IF(I1643&lt;=80,I1643*1.15+4,IF(I1643&lt;=150,I1643*1.15+6,I1643*1.15+8))),
IF(L1643="COMPLEMENTO",
   IF(I1643&lt;=25,I1643*1.25+1.5,IF(I1643&lt;=60,I1643*1.25+3,IF(I1643&lt;=120,I1643*1.25+4,I1643*1.25+5))),
""))),2)</f>
        <v>51.77</v>
      </c>
      <c r="I1643" s="9">
        <f>($K$2+0.02)*Tabla1[[#This Row],[PRECIO $]]*1.18</f>
        <v>41.536000000000001</v>
      </c>
      <c r="J1643" s="7">
        <f>+Tabla1[[#This Row],[PRECIO EN SOLES]]-Tabla1[[#This Row],[PC]]</f>
        <v>10.234000000000002</v>
      </c>
      <c r="K1643" s="15"/>
      <c r="L1643" s="15" t="str">
        <f t="shared" si="25"/>
        <v>NORMAL</v>
      </c>
    </row>
    <row r="1644" spans="1:12" x14ac:dyDescent="0.25">
      <c r="A1644" s="3" t="s">
        <v>3916</v>
      </c>
      <c r="B1644" s="3" t="s">
        <v>3917</v>
      </c>
      <c r="C1644" s="1">
        <v>18</v>
      </c>
      <c r="D1644" s="1">
        <v>10</v>
      </c>
      <c r="E1644" s="1" t="s">
        <v>154</v>
      </c>
      <c r="F1644" s="1" t="s">
        <v>3946</v>
      </c>
      <c r="G1644" s="3" t="s">
        <v>3918</v>
      </c>
      <c r="H1644" s="11">
        <f>ROUND(
IF(L1644="GANCHO",
   IF(I1644&lt;=50,I1644*1.1+4,IF(I1644&lt;=120,I1644*1.1+7,IF(I1644&lt;=250,I1644*1.1+11,I1644*1.1+19))),
IF(L1644="NORMAL",
   IF(I1644&lt;=30,I1644*1.15+2,IF(I1644&lt;=80,I1644*1.15+4,IF(I1644&lt;=150,I1644*1.15+6,I1644*1.15+8))),
IF(L1644="COMPLEMENTO",
   IF(I1644&lt;=25,I1644*1.25+1.5,IF(I1644&lt;=60,I1644*1.25+3,IF(I1644&lt;=120,I1644*1.25+4,I1644*1.25+5))),
""))),2)</f>
        <v>51.77</v>
      </c>
      <c r="I1644" s="9">
        <f>($K$2+0.02)*Tabla1[[#This Row],[PRECIO $]]*1.18</f>
        <v>41.536000000000001</v>
      </c>
      <c r="J1644" s="7">
        <f>+Tabla1[[#This Row],[PRECIO EN SOLES]]-Tabla1[[#This Row],[PC]]</f>
        <v>10.234000000000002</v>
      </c>
      <c r="K1644" s="15"/>
      <c r="L1644" s="15" t="str">
        <f t="shared" si="25"/>
        <v>NORMAL</v>
      </c>
    </row>
    <row r="1645" spans="1:12" x14ac:dyDescent="0.25">
      <c r="A1645" s="3" t="s">
        <v>2361</v>
      </c>
      <c r="B1645" s="3" t="s">
        <v>2362</v>
      </c>
      <c r="C1645" s="1">
        <v>20</v>
      </c>
      <c r="D1645" s="1">
        <v>17.25</v>
      </c>
      <c r="E1645" s="1" t="s">
        <v>154</v>
      </c>
      <c r="F1645" s="1" t="s">
        <v>3779</v>
      </c>
      <c r="G1645" s="3" t="s">
        <v>2363</v>
      </c>
      <c r="H1645" s="11">
        <f>ROUND(
IF(L1645="GANCHO",
   IF(I1645&lt;=50,I1645*1.1+4,IF(I1645&lt;=120,I1645*1.1+7,IF(I1645&lt;=250,I1645*1.1+11,I1645*1.1+19))),
IF(L1645="NORMAL",
   IF(I1645&lt;=30,I1645*1.15+2,IF(I1645&lt;=80,I1645*1.15+4,IF(I1645&lt;=150,I1645*1.15+6,I1645*1.15+8))),
IF(L1645="COMPLEMENTO",
   IF(I1645&lt;=25,I1645*1.25+1.5,IF(I1645&lt;=60,I1645*1.25+3,IF(I1645&lt;=120,I1645*1.25+4,I1645*1.25+5))),
""))),2)</f>
        <v>86.4</v>
      </c>
      <c r="I1645" s="9">
        <f>($K$2+0.02)*Tabla1[[#This Row],[PRECIO $]]*1.18</f>
        <v>71.649599999999992</v>
      </c>
      <c r="J1645" s="7">
        <f>+Tabla1[[#This Row],[PRECIO EN SOLES]]-Tabla1[[#This Row],[PC]]</f>
        <v>14.750400000000013</v>
      </c>
      <c r="K1645" s="15"/>
      <c r="L1645" s="15" t="str">
        <f t="shared" si="25"/>
        <v>NORMAL</v>
      </c>
    </row>
    <row r="1646" spans="1:12" x14ac:dyDescent="0.25">
      <c r="A1646" s="3" t="s">
        <v>500</v>
      </c>
      <c r="B1646" s="3" t="s">
        <v>501</v>
      </c>
      <c r="C1646" s="1">
        <v>20</v>
      </c>
      <c r="D1646" s="1">
        <v>17.2</v>
      </c>
      <c r="E1646" s="1" t="s">
        <v>154</v>
      </c>
      <c r="F1646" s="1" t="s">
        <v>3780</v>
      </c>
      <c r="G1646" s="3" t="s">
        <v>502</v>
      </c>
      <c r="H1646" s="11">
        <f>ROUND(
IF(L1646="GANCHO",
   IF(I1646&lt;=50,I1646*1.1+4,IF(I1646&lt;=120,I1646*1.1+7,IF(I1646&lt;=250,I1646*1.1+11,I1646*1.1+19))),
IF(L1646="NORMAL",
   IF(I1646&lt;=30,I1646*1.15+2,IF(I1646&lt;=80,I1646*1.15+4,IF(I1646&lt;=150,I1646*1.15+6,I1646*1.15+8))),
IF(L1646="COMPLEMENTO",
   IF(I1646&lt;=25,I1646*1.25+1.5,IF(I1646&lt;=60,I1646*1.25+3,IF(I1646&lt;=120,I1646*1.25+4,I1646*1.25+5))),
""))),2)</f>
        <v>86.16</v>
      </c>
      <c r="I1646" s="9">
        <f>($K$2+0.02)*Tabla1[[#This Row],[PRECIO $]]*1.18</f>
        <v>71.441919999999996</v>
      </c>
      <c r="J1646" s="7">
        <f>+Tabla1[[#This Row],[PRECIO EN SOLES]]-Tabla1[[#This Row],[PC]]</f>
        <v>14.71808</v>
      </c>
      <c r="K1646" s="15"/>
      <c r="L1646" s="15" t="str">
        <f t="shared" si="25"/>
        <v>NORMAL</v>
      </c>
    </row>
    <row r="1647" spans="1:12" x14ac:dyDescent="0.25">
      <c r="A1647" s="3" t="s">
        <v>3919</v>
      </c>
      <c r="B1647" s="3" t="s">
        <v>3920</v>
      </c>
      <c r="C1647" s="1">
        <v>2</v>
      </c>
      <c r="D1647" s="1">
        <v>33.700000000000003</v>
      </c>
      <c r="E1647" s="1" t="s">
        <v>141</v>
      </c>
      <c r="F1647" s="1" t="s">
        <v>3947</v>
      </c>
      <c r="G1647" s="3"/>
      <c r="H1647" s="11">
        <f>ROUND(
IF(L1647="GANCHO",
   IF(I1647&lt;=50,I1647*1.1+4,IF(I1647&lt;=120,I1647*1.1+7,IF(I1647&lt;=250,I1647*1.1+11,I1647*1.1+19))),
IF(L1647="NORMAL",
   IF(I1647&lt;=30,I1647*1.15+2,IF(I1647&lt;=80,I1647*1.15+4,IF(I1647&lt;=150,I1647*1.15+6,I1647*1.15+8))),
IF(L1647="COMPLEMENTO",
   IF(I1647&lt;=25,I1647*1.25+1.5,IF(I1647&lt;=60,I1647*1.25+3,IF(I1647&lt;=120,I1647*1.25+4,I1647*1.25+5))),
""))),2)</f>
        <v>166.97</v>
      </c>
      <c r="I1647" s="9">
        <f>($K$2+0.02)*Tabla1[[#This Row],[PRECIO $]]*1.18</f>
        <v>139.97632000000002</v>
      </c>
      <c r="J1647" s="7">
        <f>+Tabla1[[#This Row],[PRECIO EN SOLES]]-Tabla1[[#This Row],[PC]]</f>
        <v>26.993679999999983</v>
      </c>
      <c r="K1647" s="15"/>
      <c r="L1647" s="15" t="str">
        <f t="shared" si="25"/>
        <v>NORMAL</v>
      </c>
    </row>
    <row r="1648" spans="1:12" x14ac:dyDescent="0.25">
      <c r="A1648" s="3" t="s">
        <v>4047</v>
      </c>
      <c r="B1648" s="3" t="s">
        <v>4048</v>
      </c>
      <c r="C1648" s="1">
        <v>19</v>
      </c>
      <c r="D1648" s="1">
        <v>62</v>
      </c>
      <c r="E1648" s="1" t="s">
        <v>141</v>
      </c>
      <c r="F1648" s="1" t="s">
        <v>4049</v>
      </c>
      <c r="G1648" s="3"/>
      <c r="H1648" s="11">
        <f>ROUND(
IF(L1648="GANCHO",
   IF(I1648&lt;=50,I1648*1.1+4,IF(I1648&lt;=120,I1648*1.1+7,IF(I1648&lt;=250,I1648*1.1+11,I1648*1.1+19))),
IF(L1648="NORMAL",
   IF(I1648&lt;=30,I1648*1.15+2,IF(I1648&lt;=80,I1648*1.15+4,IF(I1648&lt;=150,I1648*1.15+6,I1648*1.15+8))),
IF(L1648="COMPLEMENTO",
   IF(I1648&lt;=25,I1648*1.25+1.5,IF(I1648&lt;=60,I1648*1.25+3,IF(I1648&lt;=120,I1648*1.25+4,I1648*1.25+5))),
""))),2)</f>
        <v>304.14999999999998</v>
      </c>
      <c r="I1648" s="9">
        <f>($K$2+0.02)*Tabla1[[#This Row],[PRECIO $]]*1.18</f>
        <v>257.52319999999997</v>
      </c>
      <c r="J1648" s="7">
        <f>+Tabla1[[#This Row],[PRECIO EN SOLES]]-Tabla1[[#This Row],[PC]]</f>
        <v>46.626800000000003</v>
      </c>
      <c r="K1648" s="15"/>
      <c r="L1648" s="15" t="str">
        <f t="shared" si="25"/>
        <v>NORMAL</v>
      </c>
    </row>
    <row r="1649" spans="1:12" x14ac:dyDescent="0.25">
      <c r="A1649" s="3" t="s">
        <v>3921</v>
      </c>
      <c r="B1649" s="3" t="s">
        <v>3922</v>
      </c>
      <c r="C1649" s="1">
        <v>20</v>
      </c>
      <c r="D1649" s="1">
        <v>105</v>
      </c>
      <c r="E1649" s="1" t="s">
        <v>141</v>
      </c>
      <c r="F1649" s="1" t="s">
        <v>3948</v>
      </c>
      <c r="G1649" s="3"/>
      <c r="H1649" s="11">
        <f>ROUND(
IF(L1649="GANCHO",
   IF(I1649&lt;=50,I1649*1.1+4,IF(I1649&lt;=120,I1649*1.1+7,IF(I1649&lt;=250,I1649*1.1+11,I1649*1.1+19))),
IF(L1649="NORMAL",
   IF(I1649&lt;=30,I1649*1.15+2,IF(I1649&lt;=80,I1649*1.15+4,IF(I1649&lt;=150,I1649*1.15+6,I1649*1.15+8))),
IF(L1649="COMPLEMENTO",
   IF(I1649&lt;=25,I1649*1.25+1.5,IF(I1649&lt;=60,I1649*1.25+3,IF(I1649&lt;=120,I1649*1.25+4,I1649*1.25+5))),
""))),2)</f>
        <v>509.55</v>
      </c>
      <c r="I1649" s="9">
        <f>($K$2+0.02)*Tabla1[[#This Row],[PRECIO $]]*1.18</f>
        <v>436.12799999999999</v>
      </c>
      <c r="J1649" s="7">
        <f>+Tabla1[[#This Row],[PRECIO EN SOLES]]-Tabla1[[#This Row],[PC]]</f>
        <v>73.422000000000025</v>
      </c>
      <c r="K1649" s="15"/>
      <c r="L1649" s="15" t="str">
        <f t="shared" si="25"/>
        <v>NORMAL</v>
      </c>
    </row>
    <row r="1650" spans="1:12" x14ac:dyDescent="0.25">
      <c r="A1650" s="3" t="s">
        <v>3923</v>
      </c>
      <c r="B1650" s="3" t="s">
        <v>3924</v>
      </c>
      <c r="C1650" s="1">
        <v>20</v>
      </c>
      <c r="D1650" s="1">
        <v>107</v>
      </c>
      <c r="E1650" s="1" t="s">
        <v>141</v>
      </c>
      <c r="F1650" s="1" t="s">
        <v>3949</v>
      </c>
      <c r="G1650" s="3"/>
      <c r="H1650" s="11">
        <f>ROUND(
IF(L1650="GANCHO",
   IF(I1650&lt;=50,I1650*1.1+4,IF(I1650&lt;=120,I1650*1.1+7,IF(I1650&lt;=250,I1650*1.1+11,I1650*1.1+19))),
IF(L1650="NORMAL",
   IF(I1650&lt;=30,I1650*1.15+2,IF(I1650&lt;=80,I1650*1.15+4,IF(I1650&lt;=150,I1650*1.15+6,I1650*1.15+8))),
IF(L1650="COMPLEMENTO",
   IF(I1650&lt;=25,I1650*1.25+1.5,IF(I1650&lt;=60,I1650*1.25+3,IF(I1650&lt;=120,I1650*1.25+4,I1650*1.25+5))),
""))),2)</f>
        <v>519.1</v>
      </c>
      <c r="I1650" s="9">
        <f>($K$2+0.02)*Tabla1[[#This Row],[PRECIO $]]*1.18</f>
        <v>444.43519999999995</v>
      </c>
      <c r="J1650" s="7">
        <f>+Tabla1[[#This Row],[PRECIO EN SOLES]]-Tabla1[[#This Row],[PC]]</f>
        <v>74.664800000000071</v>
      </c>
      <c r="K1650" s="15"/>
      <c r="L1650" s="15" t="str">
        <f t="shared" si="25"/>
        <v>NORMAL</v>
      </c>
    </row>
    <row r="1651" spans="1:12" x14ac:dyDescent="0.25">
      <c r="A1651" s="3" t="s">
        <v>3925</v>
      </c>
      <c r="B1651" s="3" t="s">
        <v>3926</v>
      </c>
      <c r="C1651" s="1">
        <v>20</v>
      </c>
      <c r="D1651" s="1">
        <v>38.299999999999997</v>
      </c>
      <c r="E1651" s="1" t="s">
        <v>141</v>
      </c>
      <c r="F1651" s="1" t="s">
        <v>3950</v>
      </c>
      <c r="G1651" s="3" t="s">
        <v>3927</v>
      </c>
      <c r="H1651" s="11">
        <f>ROUND(
IF(L1651="GANCHO",
   IF(I1651&lt;=50,I1651*1.1+4,IF(I1651&lt;=120,I1651*1.1+7,IF(I1651&lt;=250,I1651*1.1+11,I1651*1.1+19))),
IF(L1651="NORMAL",
   IF(I1651&lt;=30,I1651*1.15+2,IF(I1651&lt;=80,I1651*1.15+4,IF(I1651&lt;=150,I1651*1.15+6,I1651*1.15+8))),
IF(L1651="COMPLEMENTO",
   IF(I1651&lt;=25,I1651*1.25+1.5,IF(I1651&lt;=60,I1651*1.25+3,IF(I1651&lt;=120,I1651*1.25+4,I1651*1.25+5))),
""))),2)</f>
        <v>190.95</v>
      </c>
      <c r="I1651" s="9">
        <f>($K$2+0.02)*Tabla1[[#This Row],[PRECIO $]]*1.18</f>
        <v>159.08287999999999</v>
      </c>
      <c r="J1651" s="7">
        <f>+Tabla1[[#This Row],[PRECIO EN SOLES]]-Tabla1[[#This Row],[PC]]</f>
        <v>31.86712</v>
      </c>
      <c r="K1651" s="15"/>
      <c r="L1651" s="15" t="str">
        <f t="shared" si="25"/>
        <v>NORMAL</v>
      </c>
    </row>
    <row r="1652" spans="1:12" x14ac:dyDescent="0.25">
      <c r="A1652" s="3" t="s">
        <v>503</v>
      </c>
      <c r="B1652" s="3" t="s">
        <v>504</v>
      </c>
      <c r="C1652" s="1">
        <v>0</v>
      </c>
      <c r="D1652" s="1">
        <v>40.5</v>
      </c>
      <c r="E1652" s="1" t="s">
        <v>141</v>
      </c>
      <c r="F1652" s="1" t="s">
        <v>3781</v>
      </c>
      <c r="G1652" s="3" t="s">
        <v>505</v>
      </c>
      <c r="H1652" s="11">
        <f>ROUND(
IF(L1652="GANCHO",
   IF(I1652&lt;=50,I1652*1.1+4,IF(I1652&lt;=120,I1652*1.1+7,IF(I1652&lt;=250,I1652*1.1+11,I1652*1.1+19))),
IF(L1652="NORMAL",
   IF(I1652&lt;=30,I1652*1.15+2,IF(I1652&lt;=80,I1652*1.15+4,IF(I1652&lt;=150,I1652*1.15+6,I1652*1.15+8))),
IF(L1652="COMPLEMENTO",
   IF(I1652&lt;=25,I1652*1.25+1.5,IF(I1652&lt;=60,I1652*1.25+3,IF(I1652&lt;=120,I1652*1.25+4,I1652*1.25+5))),
""))),2)</f>
        <v>201.45</v>
      </c>
      <c r="I1652" s="9">
        <f>($K$2+0.02)*Tabla1[[#This Row],[PRECIO $]]*1.18</f>
        <v>168.2208</v>
      </c>
      <c r="J1652" s="7">
        <f>+Tabla1[[#This Row],[PRECIO EN SOLES]]-Tabla1[[#This Row],[PC]]</f>
        <v>33.229199999999992</v>
      </c>
      <c r="K1652" s="15"/>
      <c r="L1652" s="15" t="str">
        <f t="shared" si="25"/>
        <v>NORMAL</v>
      </c>
    </row>
    <row r="1653" spans="1:12" x14ac:dyDescent="0.25">
      <c r="A1653" s="3" t="s">
        <v>2364</v>
      </c>
      <c r="B1653" s="3" t="s">
        <v>2365</v>
      </c>
      <c r="C1653" s="1">
        <v>9</v>
      </c>
      <c r="D1653" s="1">
        <v>114</v>
      </c>
      <c r="E1653" s="1" t="s">
        <v>141</v>
      </c>
      <c r="F1653" s="1" t="s">
        <v>3782</v>
      </c>
      <c r="G1653" s="3" t="s">
        <v>2366</v>
      </c>
      <c r="H1653" s="11">
        <f>ROUND(
IF(L1653="GANCHO",
   IF(I1653&lt;=50,I1653*1.1+4,IF(I1653&lt;=120,I1653*1.1+7,IF(I1653&lt;=250,I1653*1.1+11,I1653*1.1+19))),
IF(L1653="NORMAL",
   IF(I1653&lt;=30,I1653*1.15+2,IF(I1653&lt;=80,I1653*1.15+4,IF(I1653&lt;=150,I1653*1.15+6,I1653*1.15+8))),
IF(L1653="COMPLEMENTO",
   IF(I1653&lt;=25,I1653*1.25+1.5,IF(I1653&lt;=60,I1653*1.25+3,IF(I1653&lt;=120,I1653*1.25+4,I1653*1.25+5))),
""))),2)</f>
        <v>596.89</v>
      </c>
      <c r="I1653" s="9">
        <f>($K$2+0.02)*Tabla1[[#This Row],[PRECIO $]]*1.18</f>
        <v>473.5104</v>
      </c>
      <c r="J1653" s="7">
        <f>+Tabla1[[#This Row],[PRECIO EN SOLES]]-Tabla1[[#This Row],[PC]]</f>
        <v>123.37959999999998</v>
      </c>
      <c r="K1653" s="15"/>
      <c r="L1653" s="15" t="str">
        <f t="shared" si="25"/>
        <v>COMPLEMENTO</v>
      </c>
    </row>
    <row r="1654" spans="1:12" x14ac:dyDescent="0.25">
      <c r="A1654" s="3" t="s">
        <v>2367</v>
      </c>
      <c r="B1654" s="3" t="s">
        <v>2368</v>
      </c>
      <c r="C1654" s="1">
        <v>4</v>
      </c>
      <c r="D1654" s="1">
        <v>3.7</v>
      </c>
      <c r="E1654" s="1" t="s">
        <v>141</v>
      </c>
      <c r="F1654" s="1" t="s">
        <v>3783</v>
      </c>
      <c r="G1654" s="3" t="s">
        <v>2369</v>
      </c>
      <c r="H1654" s="11">
        <f>ROUND(
IF(L1654="GANCHO",
   IF(I1654&lt;=50,I1654*1.1+4,IF(I1654&lt;=120,I1654*1.1+7,IF(I1654&lt;=250,I1654*1.1+11,I1654*1.1+19))),
IF(L1654="NORMAL",
   IF(I1654&lt;=30,I1654*1.15+2,IF(I1654&lt;=80,I1654*1.15+4,IF(I1654&lt;=150,I1654*1.15+6,I1654*1.15+8))),
IF(L1654="COMPLEMENTO",
   IF(I1654&lt;=25,I1654*1.25+1.5,IF(I1654&lt;=60,I1654*1.25+3,IF(I1654&lt;=120,I1654*1.25+4,I1654*1.25+5))),
""))),2)</f>
        <v>19.670000000000002</v>
      </c>
      <c r="I1654" s="9">
        <f>($K$2+0.02)*Tabla1[[#This Row],[PRECIO $]]*1.18</f>
        <v>15.368320000000001</v>
      </c>
      <c r="J1654" s="7">
        <f>+Tabla1[[#This Row],[PRECIO EN SOLES]]-Tabla1[[#This Row],[PC]]</f>
        <v>4.3016800000000011</v>
      </c>
      <c r="K1654" s="15"/>
      <c r="L1654" s="15" t="str">
        <f t="shared" si="25"/>
        <v>NORMAL</v>
      </c>
    </row>
    <row r="1655" spans="1:12" x14ac:dyDescent="0.25">
      <c r="A1655" s="3" t="s">
        <v>6706</v>
      </c>
      <c r="B1655" s="3" t="s">
        <v>6707</v>
      </c>
      <c r="C1655" s="1">
        <v>0</v>
      </c>
      <c r="D1655" s="1">
        <v>6.8</v>
      </c>
      <c r="E1655" s="1" t="s">
        <v>154</v>
      </c>
      <c r="F1655" s="1" t="s">
        <v>6708</v>
      </c>
      <c r="G1655" s="3"/>
      <c r="H1655" s="11">
        <f>ROUND(
IF(L1655="GANCHO",
   IF(I1655&lt;=50,I1655*1.1+4,IF(I1655&lt;=120,I1655*1.1+7,IF(I1655&lt;=250,I1655*1.1+11,I1655*1.1+19))),
IF(L1655="NORMAL",
   IF(I1655&lt;=30,I1655*1.15+2,IF(I1655&lt;=80,I1655*1.15+4,IF(I1655&lt;=150,I1655*1.15+6,I1655*1.15+8))),
IF(L1655="COMPLEMENTO",
   IF(I1655&lt;=25,I1655*1.25+1.5,IF(I1655&lt;=60,I1655*1.25+3,IF(I1655&lt;=120,I1655*1.25+4,I1655*1.25+5))),
""))),2)</f>
        <v>34.479999999999997</v>
      </c>
      <c r="I1655" s="9">
        <f>($K$2+0.02)*Tabla1[[#This Row],[PRECIO $]]*1.18</f>
        <v>28.244479999999999</v>
      </c>
      <c r="J1655" s="7">
        <f>+Tabla1[[#This Row],[PRECIO EN SOLES]]-Tabla1[[#This Row],[PC]]</f>
        <v>6.2355199999999975</v>
      </c>
      <c r="K1655" s="15"/>
      <c r="L1655" s="15" t="str">
        <f t="shared" si="25"/>
        <v>NORMAL</v>
      </c>
    </row>
    <row r="1656" spans="1:12" x14ac:dyDescent="0.25">
      <c r="A1656" s="3" t="s">
        <v>2370</v>
      </c>
      <c r="B1656" s="3" t="s">
        <v>2371</v>
      </c>
      <c r="C1656" s="1">
        <v>8</v>
      </c>
      <c r="D1656" s="1">
        <v>28.5</v>
      </c>
      <c r="E1656" s="1" t="s">
        <v>141</v>
      </c>
      <c r="F1656" s="1" t="s">
        <v>3784</v>
      </c>
      <c r="G1656" s="3"/>
      <c r="H1656" s="11">
        <f>ROUND(
IF(L1656="GANCHO",
   IF(I1656&lt;=50,I1656*1.1+4,IF(I1656&lt;=120,I1656*1.1+7,IF(I1656&lt;=250,I1656*1.1+11,I1656*1.1+19))),
IF(L1656="NORMAL",
   IF(I1656&lt;=30,I1656*1.15+2,IF(I1656&lt;=80,I1656*1.15+4,IF(I1656&lt;=150,I1656*1.15+6,I1656*1.15+8))),
IF(L1656="COMPLEMENTO",
   IF(I1656&lt;=25,I1656*1.25+1.5,IF(I1656&lt;=60,I1656*1.25+3,IF(I1656&lt;=120,I1656*1.25+4,I1656*1.25+5))),
""))),2)</f>
        <v>142.13</v>
      </c>
      <c r="I1656" s="9">
        <f>($K$2+0.02)*Tabla1[[#This Row],[PRECIO $]]*1.18</f>
        <v>118.3776</v>
      </c>
      <c r="J1656" s="7">
        <f>+Tabla1[[#This Row],[PRECIO EN SOLES]]-Tabla1[[#This Row],[PC]]</f>
        <v>23.752399999999994</v>
      </c>
      <c r="K1656" s="15"/>
      <c r="L1656" s="15" t="str">
        <f t="shared" si="25"/>
        <v>NORMAL</v>
      </c>
    </row>
    <row r="1657" spans="1:12" x14ac:dyDescent="0.25">
      <c r="A1657" s="3" t="s">
        <v>2372</v>
      </c>
      <c r="B1657" s="3" t="s">
        <v>2373</v>
      </c>
      <c r="C1657" s="1">
        <v>9</v>
      </c>
      <c r="D1657" s="1">
        <v>28.5</v>
      </c>
      <c r="E1657" s="1" t="s">
        <v>141</v>
      </c>
      <c r="F1657" s="1" t="s">
        <v>3785</v>
      </c>
      <c r="G1657" s="3"/>
      <c r="H1657" s="11">
        <f>ROUND(
IF(L1657="GANCHO",
   IF(I1657&lt;=50,I1657*1.1+4,IF(I1657&lt;=120,I1657*1.1+7,IF(I1657&lt;=250,I1657*1.1+11,I1657*1.1+19))),
IF(L1657="NORMAL",
   IF(I1657&lt;=30,I1657*1.15+2,IF(I1657&lt;=80,I1657*1.15+4,IF(I1657&lt;=150,I1657*1.15+6,I1657*1.15+8))),
IF(L1657="COMPLEMENTO",
   IF(I1657&lt;=25,I1657*1.25+1.5,IF(I1657&lt;=60,I1657*1.25+3,IF(I1657&lt;=120,I1657*1.25+4,I1657*1.25+5))),
""))),2)</f>
        <v>142.13</v>
      </c>
      <c r="I1657" s="9">
        <f>($K$2+0.02)*Tabla1[[#This Row],[PRECIO $]]*1.18</f>
        <v>118.3776</v>
      </c>
      <c r="J1657" s="7">
        <f>+Tabla1[[#This Row],[PRECIO EN SOLES]]-Tabla1[[#This Row],[PC]]</f>
        <v>23.752399999999994</v>
      </c>
      <c r="K1657" s="15"/>
      <c r="L1657" s="15" t="str">
        <f t="shared" si="25"/>
        <v>NORMAL</v>
      </c>
    </row>
    <row r="1658" spans="1:12" x14ac:dyDescent="0.25">
      <c r="A1658" s="3" t="s">
        <v>2374</v>
      </c>
      <c r="B1658" s="3" t="s">
        <v>2375</v>
      </c>
      <c r="C1658" s="1">
        <v>9</v>
      </c>
      <c r="D1658" s="1">
        <v>28.5</v>
      </c>
      <c r="E1658" s="1" t="s">
        <v>141</v>
      </c>
      <c r="F1658" s="1" t="s">
        <v>3786</v>
      </c>
      <c r="G1658" s="3"/>
      <c r="H1658" s="11">
        <f>ROUND(
IF(L1658="GANCHO",
   IF(I1658&lt;=50,I1658*1.1+4,IF(I1658&lt;=120,I1658*1.1+7,IF(I1658&lt;=250,I1658*1.1+11,I1658*1.1+19))),
IF(L1658="NORMAL",
   IF(I1658&lt;=30,I1658*1.15+2,IF(I1658&lt;=80,I1658*1.15+4,IF(I1658&lt;=150,I1658*1.15+6,I1658*1.15+8))),
IF(L1658="COMPLEMENTO",
   IF(I1658&lt;=25,I1658*1.25+1.5,IF(I1658&lt;=60,I1658*1.25+3,IF(I1658&lt;=120,I1658*1.25+4,I1658*1.25+5))),
""))),2)</f>
        <v>142.13</v>
      </c>
      <c r="I1658" s="9">
        <f>($K$2+0.02)*Tabla1[[#This Row],[PRECIO $]]*1.18</f>
        <v>118.3776</v>
      </c>
      <c r="J1658" s="7">
        <f>+Tabla1[[#This Row],[PRECIO EN SOLES]]-Tabla1[[#This Row],[PC]]</f>
        <v>23.752399999999994</v>
      </c>
      <c r="K1658" s="15"/>
      <c r="L1658" s="15" t="str">
        <f t="shared" si="25"/>
        <v>NORMAL</v>
      </c>
    </row>
    <row r="1659" spans="1:12" x14ac:dyDescent="0.25">
      <c r="A1659" s="3" t="s">
        <v>2376</v>
      </c>
      <c r="B1659" s="3" t="s">
        <v>2377</v>
      </c>
      <c r="C1659" s="1">
        <v>9</v>
      </c>
      <c r="D1659" s="1">
        <v>28.5</v>
      </c>
      <c r="E1659" s="1" t="s">
        <v>141</v>
      </c>
      <c r="F1659" s="1" t="s">
        <v>3787</v>
      </c>
      <c r="G1659" s="3"/>
      <c r="H1659" s="11">
        <f>ROUND(
IF(L1659="GANCHO",
   IF(I1659&lt;=50,I1659*1.1+4,IF(I1659&lt;=120,I1659*1.1+7,IF(I1659&lt;=250,I1659*1.1+11,I1659*1.1+19))),
IF(L1659="NORMAL",
   IF(I1659&lt;=30,I1659*1.15+2,IF(I1659&lt;=80,I1659*1.15+4,IF(I1659&lt;=150,I1659*1.15+6,I1659*1.15+8))),
IF(L1659="COMPLEMENTO",
   IF(I1659&lt;=25,I1659*1.25+1.5,IF(I1659&lt;=60,I1659*1.25+3,IF(I1659&lt;=120,I1659*1.25+4,I1659*1.25+5))),
""))),2)</f>
        <v>142.13</v>
      </c>
      <c r="I1659" s="9">
        <f>($K$2+0.02)*Tabla1[[#This Row],[PRECIO $]]*1.18</f>
        <v>118.3776</v>
      </c>
      <c r="J1659" s="7">
        <f>+Tabla1[[#This Row],[PRECIO EN SOLES]]-Tabla1[[#This Row],[PC]]</f>
        <v>23.752399999999994</v>
      </c>
      <c r="K1659" s="15"/>
      <c r="L1659" s="15" t="str">
        <f t="shared" si="25"/>
        <v>NORMAL</v>
      </c>
    </row>
    <row r="1660" spans="1:12" x14ac:dyDescent="0.25">
      <c r="A1660" s="3" t="s">
        <v>2378</v>
      </c>
      <c r="B1660" s="3" t="s">
        <v>2379</v>
      </c>
      <c r="C1660" s="1">
        <v>10</v>
      </c>
      <c r="D1660" s="1">
        <v>28.4</v>
      </c>
      <c r="E1660" s="1" t="s">
        <v>141</v>
      </c>
      <c r="F1660" s="1" t="s">
        <v>3788</v>
      </c>
      <c r="G1660" s="10"/>
      <c r="H1660" s="11">
        <f>ROUND(
IF(L1660="GANCHO",
   IF(I1660&lt;=50,I1660*1.1+4,IF(I1660&lt;=120,I1660*1.1+7,IF(I1660&lt;=250,I1660*1.1+11,I1660*1.1+19))),
IF(L1660="NORMAL",
   IF(I1660&lt;=30,I1660*1.15+2,IF(I1660&lt;=80,I1660*1.15+4,IF(I1660&lt;=150,I1660*1.15+6,I1660*1.15+8))),
IF(L1660="COMPLEMENTO",
   IF(I1660&lt;=25,I1660*1.25+1.5,IF(I1660&lt;=60,I1660*1.25+3,IF(I1660&lt;=120,I1660*1.25+4,I1660*1.25+5))),
""))),2)</f>
        <v>141.66</v>
      </c>
      <c r="I1660" s="9">
        <f>($K$2+0.02)*Tabla1[[#This Row],[PRECIO $]]*1.18</f>
        <v>117.96223999999998</v>
      </c>
      <c r="J1660" s="7">
        <f>+Tabla1[[#This Row],[PRECIO EN SOLES]]-Tabla1[[#This Row],[PC]]</f>
        <v>23.697760000000017</v>
      </c>
      <c r="K1660" s="15"/>
      <c r="L1660" s="15" t="str">
        <f t="shared" si="25"/>
        <v>NORMAL</v>
      </c>
    </row>
    <row r="1661" spans="1:12" x14ac:dyDescent="0.25">
      <c r="A1661" s="3" t="s">
        <v>2380</v>
      </c>
      <c r="B1661" s="3" t="s">
        <v>2381</v>
      </c>
      <c r="C1661" s="1">
        <v>10</v>
      </c>
      <c r="D1661" s="1">
        <v>36</v>
      </c>
      <c r="E1661" s="1" t="s">
        <v>141</v>
      </c>
      <c r="F1661" s="1" t="s">
        <v>3789</v>
      </c>
      <c r="G1661" s="3"/>
      <c r="H1661" s="11">
        <f>ROUND(
IF(L1661="GANCHO",
   IF(I1661&lt;=50,I1661*1.1+4,IF(I1661&lt;=120,I1661*1.1+7,IF(I1661&lt;=250,I1661*1.1+11,I1661*1.1+19))),
IF(L1661="NORMAL",
   IF(I1661&lt;=30,I1661*1.15+2,IF(I1661&lt;=80,I1661*1.15+4,IF(I1661&lt;=150,I1661*1.15+6,I1661*1.15+8))),
IF(L1661="COMPLEMENTO",
   IF(I1661&lt;=25,I1661*1.25+1.5,IF(I1661&lt;=60,I1661*1.25+3,IF(I1661&lt;=120,I1661*1.25+4,I1661*1.25+5))),
""))),2)</f>
        <v>177.96</v>
      </c>
      <c r="I1661" s="9">
        <f>($K$2+0.02)*Tabla1[[#This Row],[PRECIO $]]*1.18</f>
        <v>149.52959999999999</v>
      </c>
      <c r="J1661" s="7">
        <f>+Tabla1[[#This Row],[PRECIO EN SOLES]]-Tabla1[[#This Row],[PC]]</f>
        <v>28.43040000000002</v>
      </c>
      <c r="K1661" s="15"/>
      <c r="L1661" s="15" t="str">
        <f t="shared" si="25"/>
        <v>NORMAL</v>
      </c>
    </row>
    <row r="1662" spans="1:12" x14ac:dyDescent="0.25">
      <c r="A1662" s="3" t="s">
        <v>3928</v>
      </c>
      <c r="B1662" s="3" t="s">
        <v>3929</v>
      </c>
      <c r="C1662" s="1">
        <v>2</v>
      </c>
      <c r="D1662" s="1">
        <v>151.4</v>
      </c>
      <c r="E1662" s="1" t="s">
        <v>141</v>
      </c>
      <c r="F1662" s="1" t="s">
        <v>3951</v>
      </c>
      <c r="G1662" s="3"/>
      <c r="H1662" s="11">
        <f>ROUND(
IF(L1662="GANCHO",
   IF(I1662&lt;=50,I1662*1.1+4,IF(I1662&lt;=120,I1662*1.1+7,IF(I1662&lt;=250,I1662*1.1+11,I1662*1.1+19))),
IF(L1662="NORMAL",
   IF(I1662&lt;=30,I1662*1.15+2,IF(I1662&lt;=80,I1662*1.15+4,IF(I1662&lt;=150,I1662*1.15+6,I1662*1.15+8))),
IF(L1662="COMPLEMENTO",
   IF(I1662&lt;=25,I1662*1.25+1.5,IF(I1662&lt;=60,I1662*1.25+3,IF(I1662&lt;=120,I1662*1.25+4,I1662*1.25+5))),
""))),2)</f>
        <v>731.18</v>
      </c>
      <c r="I1662" s="9">
        <f>($K$2+0.02)*Tabla1[[#This Row],[PRECIO $]]*1.18</f>
        <v>628.85503999999992</v>
      </c>
      <c r="J1662" s="7">
        <f>+Tabla1[[#This Row],[PRECIO EN SOLES]]-Tabla1[[#This Row],[PC]]</f>
        <v>102.32496000000003</v>
      </c>
      <c r="K1662" s="15"/>
      <c r="L1662" s="15" t="str">
        <f t="shared" si="25"/>
        <v>NORMAL</v>
      </c>
    </row>
    <row r="1663" spans="1:12" x14ac:dyDescent="0.25">
      <c r="A1663" s="3" t="s">
        <v>2382</v>
      </c>
      <c r="B1663" s="3" t="s">
        <v>2383</v>
      </c>
      <c r="C1663" s="1">
        <v>3</v>
      </c>
      <c r="D1663" s="1">
        <v>117</v>
      </c>
      <c r="E1663" s="1" t="s">
        <v>141</v>
      </c>
      <c r="F1663" s="1" t="s">
        <v>3790</v>
      </c>
      <c r="G1663" s="3"/>
      <c r="H1663" s="11">
        <f>ROUND(
IF(L1663="GANCHO",
   IF(I1663&lt;=50,I1663*1.1+4,IF(I1663&lt;=120,I1663*1.1+7,IF(I1663&lt;=250,I1663*1.1+11,I1663*1.1+19))),
IF(L1663="NORMAL",
   IF(I1663&lt;=30,I1663*1.15+2,IF(I1663&lt;=80,I1663*1.15+4,IF(I1663&lt;=150,I1663*1.15+6,I1663*1.15+8))),
IF(L1663="COMPLEMENTO",
   IF(I1663&lt;=25,I1663*1.25+1.5,IF(I1663&lt;=60,I1663*1.25+3,IF(I1663&lt;=120,I1663*1.25+4,I1663*1.25+5))),
""))),2)</f>
        <v>566.87</v>
      </c>
      <c r="I1663" s="9">
        <f>($K$2+0.02)*Tabla1[[#This Row],[PRECIO $]]*1.18</f>
        <v>485.97119999999995</v>
      </c>
      <c r="J1663" s="7">
        <f>+Tabla1[[#This Row],[PRECIO EN SOLES]]-Tabla1[[#This Row],[PC]]</f>
        <v>80.898800000000051</v>
      </c>
      <c r="K1663" s="15"/>
      <c r="L1663" s="15" t="str">
        <f t="shared" si="25"/>
        <v>NORMAL</v>
      </c>
    </row>
    <row r="1664" spans="1:12" x14ac:dyDescent="0.25">
      <c r="A1664" s="3" t="s">
        <v>2384</v>
      </c>
      <c r="B1664" s="3" t="s">
        <v>2385</v>
      </c>
      <c r="C1664" s="1">
        <v>4</v>
      </c>
      <c r="D1664" s="1">
        <v>117</v>
      </c>
      <c r="E1664" s="1" t="s">
        <v>141</v>
      </c>
      <c r="F1664" s="1" t="s">
        <v>3791</v>
      </c>
      <c r="G1664" s="3"/>
      <c r="H1664" s="11">
        <f>ROUND(
IF(L1664="GANCHO",
   IF(I1664&lt;=50,I1664*1.1+4,IF(I1664&lt;=120,I1664*1.1+7,IF(I1664&lt;=250,I1664*1.1+11,I1664*1.1+19))),
IF(L1664="NORMAL",
   IF(I1664&lt;=30,I1664*1.15+2,IF(I1664&lt;=80,I1664*1.15+4,IF(I1664&lt;=150,I1664*1.15+6,I1664*1.15+8))),
IF(L1664="COMPLEMENTO",
   IF(I1664&lt;=25,I1664*1.25+1.5,IF(I1664&lt;=60,I1664*1.25+3,IF(I1664&lt;=120,I1664*1.25+4,I1664*1.25+5))),
""))),2)</f>
        <v>566.87</v>
      </c>
      <c r="I1664" s="9">
        <f>($K$2+0.02)*Tabla1[[#This Row],[PRECIO $]]*1.18</f>
        <v>485.97119999999995</v>
      </c>
      <c r="J1664" s="7">
        <f>+Tabla1[[#This Row],[PRECIO EN SOLES]]-Tabla1[[#This Row],[PC]]</f>
        <v>80.898800000000051</v>
      </c>
      <c r="K1664" s="15"/>
      <c r="L1664" s="15" t="str">
        <f t="shared" si="25"/>
        <v>NORMAL</v>
      </c>
    </row>
    <row r="1665" spans="1:12" x14ac:dyDescent="0.25">
      <c r="A1665" s="3" t="s">
        <v>3930</v>
      </c>
      <c r="B1665" s="3" t="s">
        <v>3931</v>
      </c>
      <c r="C1665" s="1">
        <v>20</v>
      </c>
      <c r="D1665" s="1">
        <v>49.5</v>
      </c>
      <c r="E1665" s="1" t="s">
        <v>141</v>
      </c>
      <c r="F1665" s="1" t="s">
        <v>3952</v>
      </c>
      <c r="G1665" s="3" t="s">
        <v>3932</v>
      </c>
      <c r="H1665" s="11">
        <f>ROUND(
IF(L1665="GANCHO",
   IF(I1665&lt;=50,I1665*1.1+4,IF(I1665&lt;=120,I1665*1.1+7,IF(I1665&lt;=250,I1665*1.1+11,I1665*1.1+19))),
IF(L1665="NORMAL",
   IF(I1665&lt;=30,I1665*1.15+2,IF(I1665&lt;=80,I1665*1.15+4,IF(I1665&lt;=150,I1665*1.15+6,I1665*1.15+8))),
IF(L1665="COMPLEMENTO",
   IF(I1665&lt;=25,I1665*1.25+1.5,IF(I1665&lt;=60,I1665*1.25+3,IF(I1665&lt;=120,I1665*1.25+4,I1665*1.25+5))),
""))),2)</f>
        <v>244.44</v>
      </c>
      <c r="I1665" s="9">
        <f>($K$2+0.02)*Tabla1[[#This Row],[PRECIO $]]*1.18</f>
        <v>205.60319999999999</v>
      </c>
      <c r="J1665" s="7">
        <f>+Tabla1[[#This Row],[PRECIO EN SOLES]]-Tabla1[[#This Row],[PC]]</f>
        <v>38.836800000000011</v>
      </c>
      <c r="K1665" s="15"/>
      <c r="L1665" s="15" t="str">
        <f t="shared" si="25"/>
        <v>NORMAL</v>
      </c>
    </row>
    <row r="1666" spans="1:12" x14ac:dyDescent="0.25">
      <c r="A1666" s="3" t="s">
        <v>3933</v>
      </c>
      <c r="B1666" s="3" t="s">
        <v>3934</v>
      </c>
      <c r="C1666" s="1">
        <v>1</v>
      </c>
      <c r="D1666" s="1">
        <v>49.7</v>
      </c>
      <c r="E1666" s="1" t="s">
        <v>141</v>
      </c>
      <c r="F1666" s="1" t="s">
        <v>3953</v>
      </c>
      <c r="G1666" s="3" t="s">
        <v>3935</v>
      </c>
      <c r="H1666" s="11">
        <f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245.4</v>
      </c>
      <c r="I1666" s="9">
        <f>($K$2+0.02)*Tabla1[[#This Row],[PRECIO $]]*1.18</f>
        <v>206.43392</v>
      </c>
      <c r="J1666" s="7">
        <f>+Tabla1[[#This Row],[PRECIO EN SOLES]]-Tabla1[[#This Row],[PC]]</f>
        <v>38.966080000000005</v>
      </c>
      <c r="K1666" s="15"/>
      <c r="L1666" s="15" t="str">
        <f t="shared" si="25"/>
        <v>NORMAL</v>
      </c>
    </row>
    <row r="1667" spans="1:12" x14ac:dyDescent="0.25">
      <c r="A1667" s="3" t="s">
        <v>649</v>
      </c>
      <c r="B1667" s="3" t="s">
        <v>650</v>
      </c>
      <c r="C1667" s="1">
        <v>3</v>
      </c>
      <c r="D1667" s="1">
        <v>49.7</v>
      </c>
      <c r="E1667" s="1" t="s">
        <v>141</v>
      </c>
      <c r="F1667" s="1" t="s">
        <v>3792</v>
      </c>
      <c r="G1667" s="3" t="s">
        <v>651</v>
      </c>
      <c r="H1667" s="11">
        <f>ROUND(
IF(L1667="GANCHO",
   IF(I1667&lt;=50,I1667*1.1+4,IF(I1667&lt;=120,I1667*1.1+7,IF(I1667&lt;=250,I1667*1.1+11,I1667*1.1+19))),
IF(L1667="NORMAL",
   IF(I1667&lt;=30,I1667*1.15+2,IF(I1667&lt;=80,I1667*1.15+4,IF(I1667&lt;=150,I1667*1.15+6,I1667*1.15+8))),
IF(L1667="COMPLEMENTO",
   IF(I1667&lt;=25,I1667*1.25+1.5,IF(I1667&lt;=60,I1667*1.25+3,IF(I1667&lt;=120,I1667*1.25+4,I1667*1.25+5))),
""))),2)</f>
        <v>245.4</v>
      </c>
      <c r="I1667" s="9">
        <f>($K$2+0.02)*Tabla1[[#This Row],[PRECIO $]]*1.18</f>
        <v>206.43392</v>
      </c>
      <c r="J1667" s="7">
        <f>+Tabla1[[#This Row],[PRECIO EN SOLES]]-Tabla1[[#This Row],[PC]]</f>
        <v>38.966080000000005</v>
      </c>
      <c r="K1667" s="15"/>
      <c r="L1667" s="15" t="str">
        <f t="shared" ref="L1667:L1730" si="26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2386</v>
      </c>
      <c r="B1668" s="3" t="s">
        <v>2387</v>
      </c>
      <c r="C1668" s="1">
        <v>0</v>
      </c>
      <c r="D1668" s="1">
        <v>93.42</v>
      </c>
      <c r="E1668" s="1" t="s">
        <v>141</v>
      </c>
      <c r="F1668" s="1" t="s">
        <v>3793</v>
      </c>
      <c r="G1668" s="3" t="s">
        <v>2388</v>
      </c>
      <c r="H1668" s="11">
        <f>ROUND(
IF(L1668="GANCHO",
   IF(I1668&lt;=50,I1668*1.1+4,IF(I1668&lt;=120,I1668*1.1+7,IF(I1668&lt;=250,I1668*1.1+11,I1668*1.1+19))),
IF(L1668="NORMAL",
   IF(I1668&lt;=30,I1668*1.15+2,IF(I1668&lt;=80,I1668*1.15+4,IF(I1668&lt;=150,I1668*1.15+6,I1668*1.15+8))),
IF(L1668="COMPLEMENTO",
   IF(I1668&lt;=25,I1668*1.25+1.5,IF(I1668&lt;=60,I1668*1.25+3,IF(I1668&lt;=120,I1668*1.25+4,I1668*1.25+5))),
""))),2)</f>
        <v>454.23</v>
      </c>
      <c r="I1668" s="9">
        <f>($K$2+0.02)*Tabla1[[#This Row],[PRECIO $]]*1.18</f>
        <v>388.029312</v>
      </c>
      <c r="J1668" s="7">
        <f>+Tabla1[[#This Row],[PRECIO EN SOLES]]-Tabla1[[#This Row],[PC]]</f>
        <v>66.200688000000014</v>
      </c>
      <c r="K1668" s="15"/>
      <c r="L1668" s="15" t="str">
        <f t="shared" si="26"/>
        <v>NORMAL</v>
      </c>
    </row>
    <row r="1669" spans="1:12" x14ac:dyDescent="0.25">
      <c r="A1669" s="3" t="s">
        <v>2792</v>
      </c>
      <c r="B1669" s="3" t="s">
        <v>2793</v>
      </c>
      <c r="C1669" s="1">
        <v>20</v>
      </c>
      <c r="D1669" s="1">
        <v>7.33</v>
      </c>
      <c r="E1669" s="1" t="s">
        <v>148</v>
      </c>
      <c r="F1669" s="1" t="s">
        <v>3794</v>
      </c>
      <c r="G1669" s="3" t="s">
        <v>2794</v>
      </c>
      <c r="H1669" s="11">
        <f>ROUND(
IF(L1669="GANCHO",
   IF(I1669&lt;=50,I1669*1.1+4,IF(I1669&lt;=120,I1669*1.1+7,IF(I1669&lt;=250,I1669*1.1+11,I1669*1.1+19))),
IF(L1669="NORMAL",
   IF(I1669&lt;=30,I1669*1.15+2,IF(I1669&lt;=80,I1669*1.15+4,IF(I1669&lt;=150,I1669*1.15+6,I1669*1.15+8))),
IF(L1669="COMPLEMENTO",
   IF(I1669&lt;=25,I1669*1.25+1.5,IF(I1669&lt;=60,I1669*1.25+3,IF(I1669&lt;=120,I1669*1.25+4,I1669*1.25+5))),
""))),2)</f>
        <v>39.01</v>
      </c>
      <c r="I1669" s="9">
        <f>($K$2+0.02)*Tabla1[[#This Row],[PRECIO $]]*1.18</f>
        <v>30.445888</v>
      </c>
      <c r="J1669" s="7">
        <f>+Tabla1[[#This Row],[PRECIO EN SOLES]]-Tabla1[[#This Row],[PC]]</f>
        <v>8.5641119999999979</v>
      </c>
      <c r="K1669" s="15"/>
      <c r="L1669" s="15" t="str">
        <f t="shared" si="26"/>
        <v>NORMAL</v>
      </c>
    </row>
    <row r="1670" spans="1:12" x14ac:dyDescent="0.25">
      <c r="A1670" s="3" t="s">
        <v>7028</v>
      </c>
      <c r="B1670" s="3" t="s">
        <v>7029</v>
      </c>
      <c r="C1670" s="1">
        <v>3</v>
      </c>
      <c r="D1670" s="1">
        <v>7.33</v>
      </c>
      <c r="E1670" s="1" t="s">
        <v>148</v>
      </c>
      <c r="F1670" s="1" t="s">
        <v>7030</v>
      </c>
      <c r="G1670" s="3" t="s">
        <v>7031</v>
      </c>
      <c r="H1670" s="11">
        <f>ROUND(
IF(L1670="GANCHO",
   IF(I1670&lt;=50,I1670*1.1+4,IF(I1670&lt;=120,I1670*1.1+7,IF(I1670&lt;=250,I1670*1.1+11,I1670*1.1+19))),
IF(L1670="NORMAL",
   IF(I1670&lt;=30,I1670*1.15+2,IF(I1670&lt;=80,I1670*1.15+4,IF(I1670&lt;=150,I1670*1.15+6,I1670*1.15+8))),
IF(L1670="COMPLEMENTO",
   IF(I1670&lt;=25,I1670*1.25+1.5,IF(I1670&lt;=60,I1670*1.25+3,IF(I1670&lt;=120,I1670*1.25+4,I1670*1.25+5))),
""))),2)</f>
        <v>39.01</v>
      </c>
      <c r="I1670" s="9">
        <f>($K$2+0.02)*Tabla1[[#This Row],[PRECIO $]]*1.18</f>
        <v>30.445888</v>
      </c>
      <c r="J1670" s="7">
        <f>+Tabla1[[#This Row],[PRECIO EN SOLES]]-Tabla1[[#This Row],[PC]]</f>
        <v>8.5641119999999979</v>
      </c>
      <c r="K1670" s="15"/>
      <c r="L1670" s="15" t="str">
        <f t="shared" si="26"/>
        <v>NORMAL</v>
      </c>
    </row>
    <row r="1671" spans="1:12" x14ac:dyDescent="0.25">
      <c r="A1671" s="3" t="s">
        <v>7032</v>
      </c>
      <c r="B1671" s="3" t="s">
        <v>7033</v>
      </c>
      <c r="C1671" s="1">
        <v>0</v>
      </c>
      <c r="D1671" s="1">
        <v>7.33</v>
      </c>
      <c r="E1671" s="1" t="s">
        <v>148</v>
      </c>
      <c r="F1671" s="1" t="s">
        <v>7034</v>
      </c>
      <c r="G1671" s="3" t="s">
        <v>7035</v>
      </c>
      <c r="H1671" s="11">
        <f>ROUND(
IF(L1671="GANCHO",
   IF(I1671&lt;=50,I1671*1.1+4,IF(I1671&lt;=120,I1671*1.1+7,IF(I1671&lt;=250,I1671*1.1+11,I1671*1.1+19))),
IF(L1671="NORMAL",
   IF(I1671&lt;=30,I1671*1.15+2,IF(I1671&lt;=80,I1671*1.15+4,IF(I1671&lt;=150,I1671*1.15+6,I1671*1.15+8))),
IF(L1671="COMPLEMENTO",
   IF(I1671&lt;=25,I1671*1.25+1.5,IF(I1671&lt;=60,I1671*1.25+3,IF(I1671&lt;=120,I1671*1.25+4,I1671*1.25+5))),
""))),2)</f>
        <v>39.01</v>
      </c>
      <c r="I1671" s="9">
        <f>($K$2+0.02)*Tabla1[[#This Row],[PRECIO $]]*1.18</f>
        <v>30.445888</v>
      </c>
      <c r="J1671" s="7">
        <f>+Tabla1[[#This Row],[PRECIO EN SOLES]]-Tabla1[[#This Row],[PC]]</f>
        <v>8.5641119999999979</v>
      </c>
      <c r="K1671" s="15"/>
      <c r="L1671" s="15" t="str">
        <f t="shared" si="26"/>
        <v>NORMAL</v>
      </c>
    </row>
    <row r="1672" spans="1:12" x14ac:dyDescent="0.25">
      <c r="A1672" s="3" t="s">
        <v>508</v>
      </c>
      <c r="B1672" s="3" t="s">
        <v>509</v>
      </c>
      <c r="C1672" s="1">
        <v>20</v>
      </c>
      <c r="D1672" s="1">
        <v>15</v>
      </c>
      <c r="E1672" s="1" t="s">
        <v>510</v>
      </c>
      <c r="F1672" s="1" t="s">
        <v>3795</v>
      </c>
      <c r="G1672" s="3" t="s">
        <v>511</v>
      </c>
      <c r="H1672" s="11">
        <f>ROUND(
IF(L1672="GANCHO",
   IF(I1672&lt;=50,I1672*1.1+4,IF(I1672&lt;=120,I1672*1.1+7,IF(I1672&lt;=250,I1672*1.1+11,I1672*1.1+19))),
IF(L1672="NORMAL",
   IF(I1672&lt;=30,I1672*1.15+2,IF(I1672&lt;=80,I1672*1.15+4,IF(I1672&lt;=150,I1672*1.15+6,I1672*1.15+8))),
IF(L1672="COMPLEMENTO",
   IF(I1672&lt;=25,I1672*1.25+1.5,IF(I1672&lt;=60,I1672*1.25+3,IF(I1672&lt;=120,I1672*1.25+4,I1672*1.25+5))),
""))),2)</f>
        <v>75.650000000000006</v>
      </c>
      <c r="I1672" s="9">
        <f>($K$2+0.02)*Tabla1[[#This Row],[PRECIO $]]*1.18</f>
        <v>62.303999999999995</v>
      </c>
      <c r="J1672" s="7">
        <f>+Tabla1[[#This Row],[PRECIO EN SOLES]]-Tabla1[[#This Row],[PC]]</f>
        <v>13.346000000000011</v>
      </c>
      <c r="K1672" s="15"/>
      <c r="L1672" s="15" t="str">
        <f t="shared" si="26"/>
        <v>NORMAL</v>
      </c>
    </row>
    <row r="1673" spans="1:12" x14ac:dyDescent="0.25">
      <c r="A1673" s="3" t="s">
        <v>2389</v>
      </c>
      <c r="B1673" s="3" t="s">
        <v>2390</v>
      </c>
      <c r="C1673" s="1">
        <v>12</v>
      </c>
      <c r="D1673" s="1">
        <v>16.8</v>
      </c>
      <c r="E1673" s="1" t="s">
        <v>141</v>
      </c>
      <c r="F1673" s="1" t="s">
        <v>3796</v>
      </c>
      <c r="G1673" s="3" t="s">
        <v>2391</v>
      </c>
      <c r="H1673" s="11">
        <f>ROUND(
IF(L1673="GANCHO",
   IF(I1673&lt;=50,I1673*1.1+4,IF(I1673&lt;=120,I1673*1.1+7,IF(I1673&lt;=250,I1673*1.1+11,I1673*1.1+19))),
IF(L1673="NORMAL",
   IF(I1673&lt;=30,I1673*1.15+2,IF(I1673&lt;=80,I1673*1.15+4,IF(I1673&lt;=150,I1673*1.15+6,I1673*1.15+8))),
IF(L1673="COMPLEMENTO",
   IF(I1673&lt;=25,I1673*1.25+1.5,IF(I1673&lt;=60,I1673*1.25+3,IF(I1673&lt;=120,I1673*1.25+4,I1673*1.25+5))),
""))),2)</f>
        <v>84.25</v>
      </c>
      <c r="I1673" s="9">
        <f>($K$2+0.02)*Tabla1[[#This Row],[PRECIO $]]*1.18</f>
        <v>69.780479999999997</v>
      </c>
      <c r="J1673" s="7">
        <f>+Tabla1[[#This Row],[PRECIO EN SOLES]]-Tabla1[[#This Row],[PC]]</f>
        <v>14.469520000000003</v>
      </c>
      <c r="K1673" s="15"/>
      <c r="L1673" s="15" t="str">
        <f t="shared" si="26"/>
        <v>NORMAL</v>
      </c>
    </row>
    <row r="1674" spans="1:12" x14ac:dyDescent="0.25">
      <c r="A1674" s="3" t="s">
        <v>2392</v>
      </c>
      <c r="B1674" s="3" t="s">
        <v>2393</v>
      </c>
      <c r="C1674" s="1">
        <v>1</v>
      </c>
      <c r="D1674" s="1">
        <v>16.75</v>
      </c>
      <c r="E1674" s="1" t="s">
        <v>141</v>
      </c>
      <c r="F1674" s="1" t="s">
        <v>3797</v>
      </c>
      <c r="G1674" s="3" t="s">
        <v>2394</v>
      </c>
      <c r="H1674" s="11">
        <f>ROUND(
IF(L1674="GANCHO",
   IF(I1674&lt;=50,I1674*1.1+4,IF(I1674&lt;=120,I1674*1.1+7,IF(I1674&lt;=250,I1674*1.1+11,I1674*1.1+19))),
IF(L1674="NORMAL",
   IF(I1674&lt;=30,I1674*1.15+2,IF(I1674&lt;=80,I1674*1.15+4,IF(I1674&lt;=150,I1674*1.15+6,I1674*1.15+8))),
IF(L1674="COMPLEMENTO",
   IF(I1674&lt;=25,I1674*1.25+1.5,IF(I1674&lt;=60,I1674*1.25+3,IF(I1674&lt;=120,I1674*1.25+4,I1674*1.25+5))),
""))),2)</f>
        <v>84.01</v>
      </c>
      <c r="I1674" s="9">
        <f>($K$2+0.02)*Tabla1[[#This Row],[PRECIO $]]*1.18</f>
        <v>69.572800000000001</v>
      </c>
      <c r="J1674" s="7">
        <f>+Tabla1[[#This Row],[PRECIO EN SOLES]]-Tabla1[[#This Row],[PC]]</f>
        <v>14.437200000000004</v>
      </c>
      <c r="K1674" s="15"/>
      <c r="L1674" s="15" t="str">
        <f t="shared" si="26"/>
        <v>NORMAL</v>
      </c>
    </row>
    <row r="1675" spans="1:12" x14ac:dyDescent="0.25">
      <c r="A1675" s="3" t="s">
        <v>2395</v>
      </c>
      <c r="B1675" s="3" t="s">
        <v>2396</v>
      </c>
      <c r="C1675" s="1">
        <v>2</v>
      </c>
      <c r="D1675" s="1">
        <v>16.75</v>
      </c>
      <c r="E1675" s="1" t="s">
        <v>141</v>
      </c>
      <c r="F1675" s="1" t="s">
        <v>3798</v>
      </c>
      <c r="G1675" s="3" t="s">
        <v>2397</v>
      </c>
      <c r="H1675" s="11">
        <f>ROUND(
IF(L1675="GANCHO",
   IF(I1675&lt;=50,I1675*1.1+4,IF(I1675&lt;=120,I1675*1.1+7,IF(I1675&lt;=250,I1675*1.1+11,I1675*1.1+19))),
IF(L1675="NORMAL",
   IF(I1675&lt;=30,I1675*1.15+2,IF(I1675&lt;=80,I1675*1.15+4,IF(I1675&lt;=150,I1675*1.15+6,I1675*1.15+8))),
IF(L1675="COMPLEMENTO",
   IF(I1675&lt;=25,I1675*1.25+1.5,IF(I1675&lt;=60,I1675*1.25+3,IF(I1675&lt;=120,I1675*1.25+4,I1675*1.25+5))),
""))),2)</f>
        <v>84.01</v>
      </c>
      <c r="I1675" s="9">
        <f>($K$2+0.02)*Tabla1[[#This Row],[PRECIO $]]*1.18</f>
        <v>69.572800000000001</v>
      </c>
      <c r="J1675" s="7">
        <f>+Tabla1[[#This Row],[PRECIO EN SOLES]]-Tabla1[[#This Row],[PC]]</f>
        <v>14.437200000000004</v>
      </c>
      <c r="K1675" s="15"/>
      <c r="L1675" s="15" t="str">
        <f t="shared" si="26"/>
        <v>NORMAL</v>
      </c>
    </row>
    <row r="1676" spans="1:12" x14ac:dyDescent="0.25">
      <c r="A1676" s="3" t="s">
        <v>2398</v>
      </c>
      <c r="B1676" s="3" t="s">
        <v>2399</v>
      </c>
      <c r="C1676" s="1">
        <v>2</v>
      </c>
      <c r="D1676" s="1">
        <v>16.75</v>
      </c>
      <c r="E1676" s="1" t="s">
        <v>141</v>
      </c>
      <c r="F1676" s="1" t="s">
        <v>3799</v>
      </c>
      <c r="G1676" s="3" t="s">
        <v>2400</v>
      </c>
      <c r="H1676" s="11">
        <f>ROUND(
IF(L1676="GANCHO",
   IF(I1676&lt;=50,I1676*1.1+4,IF(I1676&lt;=120,I1676*1.1+7,IF(I1676&lt;=250,I1676*1.1+11,I1676*1.1+19))),
IF(L1676="NORMAL",
   IF(I1676&lt;=30,I1676*1.15+2,IF(I1676&lt;=80,I1676*1.15+4,IF(I1676&lt;=150,I1676*1.15+6,I1676*1.15+8))),
IF(L1676="COMPLEMENTO",
   IF(I1676&lt;=25,I1676*1.25+1.5,IF(I1676&lt;=60,I1676*1.25+3,IF(I1676&lt;=120,I1676*1.25+4,I1676*1.25+5))),
""))),2)</f>
        <v>84.01</v>
      </c>
      <c r="I1676" s="9">
        <f>($K$2+0.02)*Tabla1[[#This Row],[PRECIO $]]*1.18</f>
        <v>69.572800000000001</v>
      </c>
      <c r="J1676" s="7">
        <f>+Tabla1[[#This Row],[PRECIO EN SOLES]]-Tabla1[[#This Row],[PC]]</f>
        <v>14.437200000000004</v>
      </c>
      <c r="K1676" s="15"/>
      <c r="L1676" s="15" t="str">
        <f t="shared" si="26"/>
        <v>NORMAL</v>
      </c>
    </row>
    <row r="1677" spans="1:12" x14ac:dyDescent="0.25">
      <c r="A1677" s="3" t="s">
        <v>4133</v>
      </c>
      <c r="B1677" s="3" t="s">
        <v>4134</v>
      </c>
      <c r="C1677" s="1">
        <v>20</v>
      </c>
      <c r="D1677" s="1">
        <v>14.48</v>
      </c>
      <c r="E1677" s="1" t="s">
        <v>798</v>
      </c>
      <c r="F1677" s="1" t="s">
        <v>4135</v>
      </c>
      <c r="G1677" s="3" t="s">
        <v>4136</v>
      </c>
      <c r="H1677" s="11">
        <f>ROUND(
IF(L1677="GANCHO",
   IF(I1677&lt;=50,I1677*1.1+4,IF(I1677&lt;=120,I1677*1.1+7,IF(I1677&lt;=250,I1677*1.1+11,I1677*1.1+19))),
IF(L1677="NORMAL",
   IF(I1677&lt;=30,I1677*1.15+2,IF(I1677&lt;=80,I1677*1.15+4,IF(I1677&lt;=150,I1677*1.15+6,I1677*1.15+8))),
IF(L1677="COMPLEMENTO",
   IF(I1677&lt;=25,I1677*1.25+1.5,IF(I1677&lt;=60,I1677*1.25+3,IF(I1677&lt;=120,I1677*1.25+4,I1677*1.25+5))),
""))),2)</f>
        <v>73.17</v>
      </c>
      <c r="I1677" s="9">
        <f>($K$2+0.02)*Tabla1[[#This Row],[PRECIO $]]*1.18</f>
        <v>60.144127999999995</v>
      </c>
      <c r="J1677" s="7">
        <f>+Tabla1[[#This Row],[PRECIO EN SOLES]]-Tabla1[[#This Row],[PC]]</f>
        <v>13.025872000000007</v>
      </c>
      <c r="K1677" s="15"/>
      <c r="L1677" s="15" t="str">
        <f t="shared" si="26"/>
        <v>NORMAL</v>
      </c>
    </row>
    <row r="1678" spans="1:12" x14ac:dyDescent="0.25">
      <c r="A1678" s="3" t="s">
        <v>4685</v>
      </c>
      <c r="B1678" s="3" t="s">
        <v>4686</v>
      </c>
      <c r="C1678" s="1">
        <v>20</v>
      </c>
      <c r="D1678" s="1">
        <v>20</v>
      </c>
      <c r="E1678" s="1" t="s">
        <v>784</v>
      </c>
      <c r="F1678" s="1" t="s">
        <v>4687</v>
      </c>
      <c r="G1678" s="3" t="s">
        <v>4688</v>
      </c>
      <c r="H1678" s="11">
        <f>ROUND(
IF(L1678="GANCHO",
   IF(I1678&lt;=50,I1678*1.1+4,IF(I1678&lt;=120,I1678*1.1+7,IF(I1678&lt;=250,I1678*1.1+11,I1678*1.1+19))),
IF(L1678="NORMAL",
   IF(I1678&lt;=30,I1678*1.15+2,IF(I1678&lt;=80,I1678*1.15+4,IF(I1678&lt;=150,I1678*1.15+6,I1678*1.15+8))),
IF(L1678="COMPLEMENTO",
   IF(I1678&lt;=25,I1678*1.25+1.5,IF(I1678&lt;=60,I1678*1.25+3,IF(I1678&lt;=120,I1678*1.25+4,I1678*1.25+5))),
""))),2)</f>
        <v>101.53</v>
      </c>
      <c r="I1678" s="9">
        <f>($K$2+0.02)*Tabla1[[#This Row],[PRECIO $]]*1.18</f>
        <v>83.072000000000003</v>
      </c>
      <c r="J1678" s="7">
        <f>+Tabla1[[#This Row],[PRECIO EN SOLES]]-Tabla1[[#This Row],[PC]]</f>
        <v>18.457999999999998</v>
      </c>
      <c r="K1678" s="15"/>
      <c r="L1678" s="15" t="str">
        <f t="shared" si="26"/>
        <v>NORMAL</v>
      </c>
    </row>
    <row r="1679" spans="1:12" x14ac:dyDescent="0.25">
      <c r="A1679" s="3" t="s">
        <v>512</v>
      </c>
      <c r="B1679" s="3" t="s">
        <v>513</v>
      </c>
      <c r="C1679" s="1">
        <v>20</v>
      </c>
      <c r="D1679" s="1">
        <v>18.7</v>
      </c>
      <c r="E1679" s="1" t="s">
        <v>52</v>
      </c>
      <c r="F1679" s="1" t="s">
        <v>3800</v>
      </c>
      <c r="G1679" s="3" t="s">
        <v>514</v>
      </c>
      <c r="H1679" s="11">
        <f>ROUND(
IF(L1679="GANCHO",
   IF(I1679&lt;=50,I1679*1.1+4,IF(I1679&lt;=120,I1679*1.1+7,IF(I1679&lt;=250,I1679*1.1+11,I1679*1.1+19))),
IF(L1679="NORMAL",
   IF(I1679&lt;=30,I1679*1.15+2,IF(I1679&lt;=80,I1679*1.15+4,IF(I1679&lt;=150,I1679*1.15+6,I1679*1.15+8))),
IF(L1679="COMPLEMENTO",
   IF(I1679&lt;=25,I1679*1.25+1.5,IF(I1679&lt;=60,I1679*1.25+3,IF(I1679&lt;=120,I1679*1.25+4,I1679*1.25+5))),
""))),2)</f>
        <v>101.09</v>
      </c>
      <c r="I1679" s="9">
        <f>($K$2+0.02)*Tabla1[[#This Row],[PRECIO $]]*1.18</f>
        <v>77.672319999999999</v>
      </c>
      <c r="J1679" s="7">
        <f>+Tabla1[[#This Row],[PRECIO EN SOLES]]-Tabla1[[#This Row],[PC]]</f>
        <v>23.417680000000004</v>
      </c>
      <c r="K1679" s="15"/>
      <c r="L1679" s="15" t="str">
        <f t="shared" si="26"/>
        <v>COMPLEMENTO</v>
      </c>
    </row>
    <row r="1680" spans="1:12" x14ac:dyDescent="0.25">
      <c r="A1680" s="3" t="s">
        <v>515</v>
      </c>
      <c r="B1680" s="3" t="s">
        <v>516</v>
      </c>
      <c r="C1680" s="1">
        <v>20</v>
      </c>
      <c r="D1680" s="1">
        <v>20.399999999999999</v>
      </c>
      <c r="E1680" s="1" t="s">
        <v>52</v>
      </c>
      <c r="F1680" s="1" t="s">
        <v>3801</v>
      </c>
      <c r="G1680" s="3" t="s">
        <v>517</v>
      </c>
      <c r="H1680" s="11">
        <f>ROUND(
IF(L1680="GANCHO",
   IF(I1680&lt;=50,I1680*1.1+4,IF(I1680&lt;=120,I1680*1.1+7,IF(I1680&lt;=250,I1680*1.1+11,I1680*1.1+19))),
IF(L1680="NORMAL",
   IF(I1680&lt;=30,I1680*1.15+2,IF(I1680&lt;=80,I1680*1.15+4,IF(I1680&lt;=150,I1680*1.15+6,I1680*1.15+8))),
IF(L1680="COMPLEMENTO",
   IF(I1680&lt;=25,I1680*1.25+1.5,IF(I1680&lt;=60,I1680*1.25+3,IF(I1680&lt;=120,I1680*1.25+4,I1680*1.25+5))),
""))),2)</f>
        <v>109.92</v>
      </c>
      <c r="I1680" s="9">
        <f>($K$2+0.02)*Tabla1[[#This Row],[PRECIO $]]*1.18</f>
        <v>84.733439999999987</v>
      </c>
      <c r="J1680" s="7">
        <f>+Tabla1[[#This Row],[PRECIO EN SOLES]]-Tabla1[[#This Row],[PC]]</f>
        <v>25.186560000000014</v>
      </c>
      <c r="K1680" s="15"/>
      <c r="L1680" s="15" t="str">
        <f t="shared" si="26"/>
        <v>COMPLEMENTO</v>
      </c>
    </row>
    <row r="1681" spans="1:12" x14ac:dyDescent="0.25">
      <c r="A1681" s="3" t="s">
        <v>518</v>
      </c>
      <c r="B1681" s="3" t="s">
        <v>519</v>
      </c>
      <c r="C1681" s="1">
        <v>20</v>
      </c>
      <c r="D1681" s="1">
        <v>15.1</v>
      </c>
      <c r="E1681" s="1" t="s">
        <v>52</v>
      </c>
      <c r="F1681" s="1" t="s">
        <v>3802</v>
      </c>
      <c r="G1681" s="3" t="s">
        <v>520</v>
      </c>
      <c r="H1681" s="11">
        <f>ROUND(
IF(L1681="GANCHO",
   IF(I1681&lt;=50,I1681*1.1+4,IF(I1681&lt;=120,I1681*1.1+7,IF(I1681&lt;=250,I1681*1.1+11,I1681*1.1+19))),
IF(L1681="NORMAL",
   IF(I1681&lt;=30,I1681*1.15+2,IF(I1681&lt;=80,I1681*1.15+4,IF(I1681&lt;=150,I1681*1.15+6,I1681*1.15+8))),
IF(L1681="COMPLEMENTO",
   IF(I1681&lt;=25,I1681*1.25+1.5,IF(I1681&lt;=60,I1681*1.25+3,IF(I1681&lt;=120,I1681*1.25+4,I1681*1.25+5))),
""))),2)</f>
        <v>82.4</v>
      </c>
      <c r="I1681" s="9">
        <f>($K$2+0.02)*Tabla1[[#This Row],[PRECIO $]]*1.18</f>
        <v>62.719359999999995</v>
      </c>
      <c r="J1681" s="7">
        <f>+Tabla1[[#This Row],[PRECIO EN SOLES]]-Tabla1[[#This Row],[PC]]</f>
        <v>19.680640000000011</v>
      </c>
      <c r="K1681" s="15"/>
      <c r="L1681" s="15" t="str">
        <f t="shared" si="26"/>
        <v>COMPLEMENTO</v>
      </c>
    </row>
    <row r="1682" spans="1:12" x14ac:dyDescent="0.25">
      <c r="A1682" s="3" t="s">
        <v>2401</v>
      </c>
      <c r="B1682" s="3" t="s">
        <v>2402</v>
      </c>
      <c r="C1682" s="1">
        <v>20</v>
      </c>
      <c r="D1682" s="1">
        <v>28.4</v>
      </c>
      <c r="E1682" s="1" t="s">
        <v>52</v>
      </c>
      <c r="F1682" s="1" t="s">
        <v>3803</v>
      </c>
      <c r="G1682" s="3" t="s">
        <v>2403</v>
      </c>
      <c r="H1682" s="11">
        <f>ROUND(
IF(L1682="GANCHO",
   IF(I1682&lt;=50,I1682*1.1+4,IF(I1682&lt;=120,I1682*1.1+7,IF(I1682&lt;=250,I1682*1.1+11,I1682*1.1+19))),
IF(L1682="NORMAL",
   IF(I1682&lt;=30,I1682*1.15+2,IF(I1682&lt;=80,I1682*1.15+4,IF(I1682&lt;=150,I1682*1.15+6,I1682*1.15+8))),
IF(L1682="COMPLEMENTO",
   IF(I1682&lt;=25,I1682*1.25+1.5,IF(I1682&lt;=60,I1682*1.25+3,IF(I1682&lt;=120,I1682*1.25+4,I1682*1.25+5))),
""))),2)</f>
        <v>151.44999999999999</v>
      </c>
      <c r="I1682" s="9">
        <f>($K$2+0.02)*Tabla1[[#This Row],[PRECIO $]]*1.18</f>
        <v>117.96223999999998</v>
      </c>
      <c r="J1682" s="7">
        <f>+Tabla1[[#This Row],[PRECIO EN SOLES]]-Tabla1[[#This Row],[PC]]</f>
        <v>33.487760000000009</v>
      </c>
      <c r="K1682" s="15"/>
      <c r="L1682" s="15" t="str">
        <f t="shared" si="26"/>
        <v>COMPLEMENTO</v>
      </c>
    </row>
    <row r="1683" spans="1:12" x14ac:dyDescent="0.25">
      <c r="A1683" s="3" t="s">
        <v>521</v>
      </c>
      <c r="B1683" s="3" t="s">
        <v>522</v>
      </c>
      <c r="C1683" s="1">
        <v>20</v>
      </c>
      <c r="D1683" s="1">
        <v>52.4</v>
      </c>
      <c r="E1683" s="1" t="s">
        <v>57</v>
      </c>
      <c r="F1683" s="1" t="s">
        <v>3804</v>
      </c>
      <c r="G1683" s="3" t="s">
        <v>523</v>
      </c>
      <c r="H1683" s="11">
        <f>ROUND(
IF(L1683="GANCHO",
   IF(I1683&lt;=50,I1683*1.1+4,IF(I1683&lt;=120,I1683*1.1+7,IF(I1683&lt;=250,I1683*1.1+11,I1683*1.1+19))),
IF(L1683="NORMAL",
   IF(I1683&lt;=30,I1683*1.15+2,IF(I1683&lt;=80,I1683*1.15+4,IF(I1683&lt;=150,I1683*1.15+6,I1683*1.15+8))),
IF(L1683="COMPLEMENTO",
   IF(I1683&lt;=25,I1683*1.25+1.5,IF(I1683&lt;=60,I1683*1.25+3,IF(I1683&lt;=120,I1683*1.25+4,I1683*1.25+5))),
""))),2)</f>
        <v>258.3</v>
      </c>
      <c r="I1683" s="9">
        <f>($K$2+0.02)*Tabla1[[#This Row],[PRECIO $]]*1.18</f>
        <v>217.64864</v>
      </c>
      <c r="J1683" s="7">
        <f>+Tabla1[[#This Row],[PRECIO EN SOLES]]-Tabla1[[#This Row],[PC]]</f>
        <v>40.651360000000011</v>
      </c>
      <c r="K1683" s="15"/>
      <c r="L1683" s="15" t="str">
        <f t="shared" si="26"/>
        <v>NORMAL</v>
      </c>
    </row>
    <row r="1684" spans="1:12" x14ac:dyDescent="0.25">
      <c r="A1684" s="3" t="s">
        <v>524</v>
      </c>
      <c r="B1684" s="3" t="s">
        <v>525</v>
      </c>
      <c r="C1684" s="1">
        <v>20</v>
      </c>
      <c r="D1684" s="1">
        <v>57</v>
      </c>
      <c r="E1684" s="1" t="s">
        <v>52</v>
      </c>
      <c r="F1684" s="1" t="s">
        <v>3805</v>
      </c>
      <c r="G1684" s="3" t="s">
        <v>526</v>
      </c>
      <c r="H1684" s="11">
        <f>ROUND(
IF(L1684="GANCHO",
   IF(I1684&lt;=50,I1684*1.1+4,IF(I1684&lt;=120,I1684*1.1+7,IF(I1684&lt;=250,I1684*1.1+11,I1684*1.1+19))),
IF(L1684="NORMAL",
   IF(I1684&lt;=30,I1684*1.15+2,IF(I1684&lt;=80,I1684*1.15+4,IF(I1684&lt;=150,I1684*1.15+6,I1684*1.15+8))),
IF(L1684="COMPLEMENTO",
   IF(I1684&lt;=25,I1684*1.25+1.5,IF(I1684&lt;=60,I1684*1.25+3,IF(I1684&lt;=120,I1684*1.25+4,I1684*1.25+5))),
""))),2)</f>
        <v>280.27</v>
      </c>
      <c r="I1684" s="9">
        <f>($K$2+0.02)*Tabla1[[#This Row],[PRECIO $]]*1.18</f>
        <v>236.7552</v>
      </c>
      <c r="J1684" s="7">
        <f>+Tabla1[[#This Row],[PRECIO EN SOLES]]-Tabla1[[#This Row],[PC]]</f>
        <v>43.51479999999998</v>
      </c>
      <c r="K1684" s="15"/>
      <c r="L1684" s="15" t="str">
        <f t="shared" si="26"/>
        <v>NORMAL</v>
      </c>
    </row>
    <row r="1685" spans="1:12" x14ac:dyDescent="0.25">
      <c r="A1685" s="3" t="s">
        <v>2404</v>
      </c>
      <c r="B1685" s="3" t="s">
        <v>516</v>
      </c>
      <c r="C1685" s="1">
        <v>0</v>
      </c>
      <c r="D1685" s="1">
        <v>999</v>
      </c>
      <c r="E1685" s="1" t="s">
        <v>184</v>
      </c>
      <c r="F1685" s="1" t="s">
        <v>3806</v>
      </c>
      <c r="G1685" s="3"/>
      <c r="H1685" s="11">
        <f>ROUND(
IF(L1685="GANCHO",
   IF(I1685&lt;=50,I1685*1.1+4,IF(I1685&lt;=120,I1685*1.1+7,IF(I1685&lt;=250,I1685*1.1+11,I1685*1.1+19))),
IF(L1685="NORMAL",
   IF(I1685&lt;=30,I1685*1.15+2,IF(I1685&lt;=80,I1685*1.15+4,IF(I1685&lt;=150,I1685*1.15+6,I1685*1.15+8))),
IF(L1685="COMPLEMENTO",
   IF(I1685&lt;=25,I1685*1.25+1.5,IF(I1685&lt;=60,I1685*1.25+3,IF(I1685&lt;=120,I1685*1.25+4,I1685*1.25+5))),
""))),2)</f>
        <v>5191.8100000000004</v>
      </c>
      <c r="I1685" s="9">
        <f>($K$2+0.02)*Tabla1[[#This Row],[PRECIO $]]*1.18</f>
        <v>4149.4463999999998</v>
      </c>
      <c r="J1685" s="7">
        <f>+Tabla1[[#This Row],[PRECIO EN SOLES]]-Tabla1[[#This Row],[PC]]</f>
        <v>1042.3636000000006</v>
      </c>
      <c r="K1685" s="15"/>
      <c r="L1685" s="15" t="str">
        <f t="shared" si="26"/>
        <v>COMPLEMENTO</v>
      </c>
    </row>
    <row r="1686" spans="1:12" x14ac:dyDescent="0.25">
      <c r="A1686" s="3" t="s">
        <v>7036</v>
      </c>
      <c r="B1686" s="3" t="s">
        <v>7037</v>
      </c>
      <c r="C1686" s="1">
        <v>0</v>
      </c>
      <c r="D1686" s="1">
        <v>13</v>
      </c>
      <c r="E1686" s="1" t="s">
        <v>57</v>
      </c>
      <c r="F1686" s="1" t="s">
        <v>7038</v>
      </c>
      <c r="G1686" s="3"/>
      <c r="H1686" s="11">
        <f>ROUND(
IF(L1686="GANCHO",
   IF(I1686&lt;=50,I1686*1.1+4,IF(I1686&lt;=120,I1686*1.1+7,IF(I1686&lt;=250,I1686*1.1+11,I1686*1.1+19))),
IF(L1686="NORMAL",
   IF(I1686&lt;=30,I1686*1.15+2,IF(I1686&lt;=80,I1686*1.15+4,IF(I1686&lt;=150,I1686*1.15+6,I1686*1.15+8))),
IF(L1686="COMPLEMENTO",
   IF(I1686&lt;=25,I1686*1.25+1.5,IF(I1686&lt;=60,I1686*1.25+3,IF(I1686&lt;=120,I1686*1.25+4,I1686*1.25+5))),
""))),2)</f>
        <v>66.099999999999994</v>
      </c>
      <c r="I1686" s="9">
        <f>($K$2+0.02)*Tabla1[[#This Row],[PRECIO $]]*1.18</f>
        <v>53.996799999999993</v>
      </c>
      <c r="J1686" s="7">
        <f>+Tabla1[[#This Row],[PRECIO EN SOLES]]-Tabla1[[#This Row],[PC]]</f>
        <v>12.103200000000001</v>
      </c>
      <c r="K1686" s="15"/>
      <c r="L1686" s="15" t="str">
        <f t="shared" si="26"/>
        <v>NORMAL</v>
      </c>
    </row>
    <row r="1687" spans="1:12" x14ac:dyDescent="0.25">
      <c r="A1687" s="3" t="s">
        <v>5787</v>
      </c>
      <c r="B1687" s="3" t="s">
        <v>5788</v>
      </c>
      <c r="C1687" s="1">
        <v>3</v>
      </c>
      <c r="D1687" s="1">
        <v>180.25</v>
      </c>
      <c r="E1687" s="1" t="s">
        <v>527</v>
      </c>
      <c r="F1687" s="1" t="s">
        <v>5789</v>
      </c>
      <c r="G1687" s="3" t="s">
        <v>5790</v>
      </c>
      <c r="H1687" s="11">
        <f>ROUND(
IF(L1687="GANCHO",
   IF(I1687&lt;=50,I1687*1.1+4,IF(I1687&lt;=120,I1687*1.1+7,IF(I1687&lt;=250,I1687*1.1+11,I1687*1.1+19))),
IF(L1687="NORMAL",
   IF(I1687&lt;=30,I1687*1.15+2,IF(I1687&lt;=80,I1687*1.15+4,IF(I1687&lt;=150,I1687*1.15+6,I1687*1.15+8))),
IF(L1687="COMPLEMENTO",
   IF(I1687&lt;=25,I1687*1.25+1.5,IF(I1687&lt;=60,I1687*1.25+3,IF(I1687&lt;=120,I1687*1.25+4,I1687*1.25+5))),
""))),2)</f>
        <v>842.56</v>
      </c>
      <c r="I1687" s="9">
        <f>($K$2+0.02)*Tabla1[[#This Row],[PRECIO $]]*1.18</f>
        <v>748.68639999999994</v>
      </c>
      <c r="J1687" s="7">
        <f>+Tabla1[[#This Row],[PRECIO EN SOLES]]-Tabla1[[#This Row],[PC]]</f>
        <v>93.87360000000001</v>
      </c>
      <c r="K1687" s="15"/>
      <c r="L1687" s="15" t="str">
        <f t="shared" si="26"/>
        <v>GANCHO</v>
      </c>
    </row>
    <row r="1688" spans="1:12" x14ac:dyDescent="0.25">
      <c r="A1688" s="3" t="s">
        <v>529</v>
      </c>
      <c r="B1688" s="3" t="s">
        <v>530</v>
      </c>
      <c r="C1688" s="1">
        <v>20</v>
      </c>
      <c r="D1688" s="1">
        <v>90.6</v>
      </c>
      <c r="E1688" s="1" t="s">
        <v>527</v>
      </c>
      <c r="F1688" s="1" t="s">
        <v>3807</v>
      </c>
      <c r="G1688" s="3" t="s">
        <v>531</v>
      </c>
      <c r="H1688" s="11">
        <f>ROUND(
IF(L1688="GANCHO",
   IF(I1688&lt;=50,I1688*1.1+4,IF(I1688&lt;=120,I1688*1.1+7,IF(I1688&lt;=250,I1688*1.1+11,I1688*1.1+19))),
IF(L1688="NORMAL",
   IF(I1688&lt;=30,I1688*1.15+2,IF(I1688&lt;=80,I1688*1.15+4,IF(I1688&lt;=150,I1688*1.15+6,I1688*1.15+8))),
IF(L1688="COMPLEMENTO",
   IF(I1688&lt;=25,I1688*1.25+1.5,IF(I1688&lt;=60,I1688*1.25+3,IF(I1688&lt;=120,I1688*1.25+4,I1688*1.25+5))),
""))),2)</f>
        <v>432.95</v>
      </c>
      <c r="I1688" s="9">
        <f>($K$2+0.02)*Tabla1[[#This Row],[PRECIO $]]*1.18</f>
        <v>376.31615999999997</v>
      </c>
      <c r="J1688" s="7">
        <f>+Tabla1[[#This Row],[PRECIO EN SOLES]]-Tabla1[[#This Row],[PC]]</f>
        <v>56.633840000000021</v>
      </c>
      <c r="K1688" s="15"/>
      <c r="L1688" s="15" t="str">
        <f t="shared" si="26"/>
        <v>GANCHO</v>
      </c>
    </row>
    <row r="1689" spans="1:12" x14ac:dyDescent="0.25">
      <c r="A1689" s="3" t="s">
        <v>532</v>
      </c>
      <c r="B1689" s="3" t="s">
        <v>533</v>
      </c>
      <c r="C1689" s="1">
        <v>20</v>
      </c>
      <c r="D1689" s="1">
        <v>90.6</v>
      </c>
      <c r="E1689" s="1" t="s">
        <v>527</v>
      </c>
      <c r="F1689" s="1" t="s">
        <v>3808</v>
      </c>
      <c r="G1689" s="3" t="s">
        <v>528</v>
      </c>
      <c r="H1689" s="11">
        <f>ROUND(
IF(L1689="GANCHO",
   IF(I1689&lt;=50,I1689*1.1+4,IF(I1689&lt;=120,I1689*1.1+7,IF(I1689&lt;=250,I1689*1.1+11,I1689*1.1+19))),
IF(L1689="NORMAL",
   IF(I1689&lt;=30,I1689*1.15+2,IF(I1689&lt;=80,I1689*1.15+4,IF(I1689&lt;=150,I1689*1.15+6,I1689*1.15+8))),
IF(L1689="COMPLEMENTO",
   IF(I1689&lt;=25,I1689*1.25+1.5,IF(I1689&lt;=60,I1689*1.25+3,IF(I1689&lt;=120,I1689*1.25+4,I1689*1.25+5))),
""))),2)</f>
        <v>432.95</v>
      </c>
      <c r="I1689" s="9">
        <f>($K$2+0.02)*Tabla1[[#This Row],[PRECIO $]]*1.18</f>
        <v>376.31615999999997</v>
      </c>
      <c r="J1689" s="7">
        <f>+Tabla1[[#This Row],[PRECIO EN SOLES]]-Tabla1[[#This Row],[PC]]</f>
        <v>56.633840000000021</v>
      </c>
      <c r="K1689" s="15"/>
      <c r="L1689" s="15" t="str">
        <f t="shared" si="26"/>
        <v>GANCHO</v>
      </c>
    </row>
    <row r="1690" spans="1:12" x14ac:dyDescent="0.25">
      <c r="A1690" s="3" t="s">
        <v>2405</v>
      </c>
      <c r="B1690" s="3" t="s">
        <v>2406</v>
      </c>
      <c r="C1690" s="1">
        <v>20</v>
      </c>
      <c r="D1690" s="1">
        <v>80.099999999999994</v>
      </c>
      <c r="E1690" s="1" t="s">
        <v>527</v>
      </c>
      <c r="F1690" s="1" t="s">
        <v>3809</v>
      </c>
      <c r="G1690" s="3" t="s">
        <v>2407</v>
      </c>
      <c r="H1690" s="11">
        <f>ROUND(
IF(L1690="GANCHO",
   IF(I1690&lt;=50,I1690*1.1+4,IF(I1690&lt;=120,I1690*1.1+7,IF(I1690&lt;=250,I1690*1.1+11,I1690*1.1+19))),
IF(L1690="NORMAL",
   IF(I1690&lt;=30,I1690*1.15+2,IF(I1690&lt;=80,I1690*1.15+4,IF(I1690&lt;=150,I1690*1.15+6,I1690*1.15+8))),
IF(L1690="COMPLEMENTO",
   IF(I1690&lt;=25,I1690*1.25+1.5,IF(I1690&lt;=60,I1690*1.25+3,IF(I1690&lt;=120,I1690*1.25+4,I1690*1.25+5))),
""))),2)</f>
        <v>384.97</v>
      </c>
      <c r="I1690" s="9">
        <f>($K$2+0.02)*Tabla1[[#This Row],[PRECIO $]]*1.18</f>
        <v>332.70335999999998</v>
      </c>
      <c r="J1690" s="7">
        <f>+Tabla1[[#This Row],[PRECIO EN SOLES]]-Tabla1[[#This Row],[PC]]</f>
        <v>52.266640000000052</v>
      </c>
      <c r="K1690" s="15"/>
      <c r="L1690" s="15" t="str">
        <f t="shared" si="26"/>
        <v>GANCHO</v>
      </c>
    </row>
    <row r="1691" spans="1:12" x14ac:dyDescent="0.25">
      <c r="A1691" s="3" t="s">
        <v>534</v>
      </c>
      <c r="B1691" s="3" t="s">
        <v>535</v>
      </c>
      <c r="C1691" s="1">
        <v>7</v>
      </c>
      <c r="D1691" s="1">
        <v>80.099999999999994</v>
      </c>
      <c r="E1691" s="1" t="s">
        <v>527</v>
      </c>
      <c r="F1691" s="1" t="s">
        <v>3810</v>
      </c>
      <c r="G1691" s="3" t="s">
        <v>536</v>
      </c>
      <c r="H1691" s="11">
        <f>ROUND(
IF(L1691="GANCHO",
   IF(I1691&lt;=50,I1691*1.1+4,IF(I1691&lt;=120,I1691*1.1+7,IF(I1691&lt;=250,I1691*1.1+11,I1691*1.1+19))),
IF(L1691="NORMAL",
   IF(I1691&lt;=30,I1691*1.15+2,IF(I1691&lt;=80,I1691*1.15+4,IF(I1691&lt;=150,I1691*1.15+6,I1691*1.15+8))),
IF(L1691="COMPLEMENTO",
   IF(I1691&lt;=25,I1691*1.25+1.5,IF(I1691&lt;=60,I1691*1.25+3,IF(I1691&lt;=120,I1691*1.25+4,I1691*1.25+5))),
""))),2)</f>
        <v>384.97</v>
      </c>
      <c r="I1691" s="9">
        <f>($K$2+0.02)*Tabla1[[#This Row],[PRECIO $]]*1.18</f>
        <v>332.70335999999998</v>
      </c>
      <c r="J1691" s="7">
        <f>+Tabla1[[#This Row],[PRECIO EN SOLES]]-Tabla1[[#This Row],[PC]]</f>
        <v>52.266640000000052</v>
      </c>
      <c r="K1691" s="15"/>
      <c r="L1691" s="15" t="str">
        <f t="shared" si="26"/>
        <v>GANCHO</v>
      </c>
    </row>
    <row r="1692" spans="1:12" x14ac:dyDescent="0.25">
      <c r="A1692" s="3" t="s">
        <v>5585</v>
      </c>
      <c r="B1692" s="3" t="s">
        <v>5586</v>
      </c>
      <c r="C1692" s="1">
        <v>0</v>
      </c>
      <c r="D1692" s="1">
        <v>177</v>
      </c>
      <c r="E1692" s="1" t="s">
        <v>54</v>
      </c>
      <c r="F1692" s="1" t="s">
        <v>5587</v>
      </c>
      <c r="G1692" s="3" t="s">
        <v>5588</v>
      </c>
      <c r="H1692" s="11">
        <f>ROUND(
IF(L1692="GANCHO",
   IF(I1692&lt;=50,I1692*1.1+4,IF(I1692&lt;=120,I1692*1.1+7,IF(I1692&lt;=250,I1692*1.1+11,I1692*1.1+19))),
IF(L1692="NORMAL",
   IF(I1692&lt;=30,I1692*1.15+2,IF(I1692&lt;=80,I1692*1.15+4,IF(I1692&lt;=150,I1692*1.15+6,I1692*1.15+8))),
IF(L1692="COMPLEMENTO",
   IF(I1692&lt;=25,I1692*1.25+1.5,IF(I1692&lt;=60,I1692*1.25+3,IF(I1692&lt;=120,I1692*1.25+4,I1692*1.25+5))),
""))),2)</f>
        <v>827.71</v>
      </c>
      <c r="I1692" s="9">
        <f>($K$2+0.02)*Tabla1[[#This Row],[PRECIO $]]*1.18</f>
        <v>735.18719999999996</v>
      </c>
      <c r="J1692" s="7">
        <f>+Tabla1[[#This Row],[PRECIO EN SOLES]]-Tabla1[[#This Row],[PC]]</f>
        <v>92.522800000000075</v>
      </c>
      <c r="K1692" s="15"/>
      <c r="L1692" s="15" t="str">
        <f t="shared" si="26"/>
        <v>GANCHO</v>
      </c>
    </row>
    <row r="1693" spans="1:12" x14ac:dyDescent="0.25">
      <c r="A1693" s="3" t="s">
        <v>5791</v>
      </c>
      <c r="B1693" s="3" t="s">
        <v>5792</v>
      </c>
      <c r="C1693" s="1">
        <v>20</v>
      </c>
      <c r="D1693" s="1">
        <v>97</v>
      </c>
      <c r="E1693" s="1" t="s">
        <v>54</v>
      </c>
      <c r="F1693" s="1" t="s">
        <v>5793</v>
      </c>
      <c r="G1693" s="3" t="s">
        <v>5794</v>
      </c>
      <c r="H1693" s="11">
        <f>ROUND(
IF(L1693="GANCHO",
   IF(I1693&lt;=50,I1693*1.1+4,IF(I1693&lt;=120,I1693*1.1+7,IF(I1693&lt;=250,I1693*1.1+11,I1693*1.1+19))),
IF(L1693="NORMAL",
   IF(I1693&lt;=30,I1693*1.15+2,IF(I1693&lt;=80,I1693*1.15+4,IF(I1693&lt;=150,I1693*1.15+6,I1693*1.15+8))),
IF(L1693="COMPLEMENTO",
   IF(I1693&lt;=25,I1693*1.25+1.5,IF(I1693&lt;=60,I1693*1.25+3,IF(I1693&lt;=120,I1693*1.25+4,I1693*1.25+5))),
""))),2)</f>
        <v>462.19</v>
      </c>
      <c r="I1693" s="9">
        <f>($K$2+0.02)*Tabla1[[#This Row],[PRECIO $]]*1.18</f>
        <v>402.89919999999995</v>
      </c>
      <c r="J1693" s="7">
        <f>+Tabla1[[#This Row],[PRECIO EN SOLES]]-Tabla1[[#This Row],[PC]]</f>
        <v>59.290800000000047</v>
      </c>
      <c r="K1693" s="15"/>
      <c r="L1693" s="15" t="str">
        <f t="shared" si="26"/>
        <v>GANCHO</v>
      </c>
    </row>
    <row r="1694" spans="1:12" x14ac:dyDescent="0.25">
      <c r="A1694" s="3" t="s">
        <v>5589</v>
      </c>
      <c r="B1694" s="3" t="s">
        <v>2409</v>
      </c>
      <c r="C1694" s="1">
        <v>20</v>
      </c>
      <c r="D1694" s="1">
        <v>144.19999999999999</v>
      </c>
      <c r="E1694" s="1" t="s">
        <v>54</v>
      </c>
      <c r="F1694" s="1" t="s">
        <v>5590</v>
      </c>
      <c r="G1694" s="3" t="s">
        <v>5591</v>
      </c>
      <c r="H1694" s="11">
        <f>ROUND(
IF(L1694="GANCHO",
   IF(I1694&lt;=50,I1694*1.1+4,IF(I1694&lt;=120,I1694*1.1+7,IF(I1694&lt;=250,I1694*1.1+11,I1694*1.1+19))),
IF(L1694="NORMAL",
   IF(I1694&lt;=30,I1694*1.15+2,IF(I1694&lt;=80,I1694*1.15+4,IF(I1694&lt;=150,I1694*1.15+6,I1694*1.15+8))),
IF(L1694="COMPLEMENTO",
   IF(I1694&lt;=25,I1694*1.25+1.5,IF(I1694&lt;=60,I1694*1.25+3,IF(I1694&lt;=120,I1694*1.25+4,I1694*1.25+5))),
""))),2)</f>
        <v>677.84</v>
      </c>
      <c r="I1694" s="9">
        <f>($K$2+0.02)*Tabla1[[#This Row],[PRECIO $]]*1.18</f>
        <v>598.94911999999988</v>
      </c>
      <c r="J1694" s="7">
        <f>+Tabla1[[#This Row],[PRECIO EN SOLES]]-Tabla1[[#This Row],[PC]]</f>
        <v>78.890880000000152</v>
      </c>
      <c r="K1694" s="15"/>
      <c r="L1694" s="15" t="str">
        <f t="shared" si="26"/>
        <v>GANCHO</v>
      </c>
    </row>
    <row r="1695" spans="1:12" x14ac:dyDescent="0.25">
      <c r="A1695" s="3" t="s">
        <v>2408</v>
      </c>
      <c r="B1695" s="3" t="s">
        <v>2409</v>
      </c>
      <c r="C1695" s="1">
        <v>20</v>
      </c>
      <c r="D1695" s="1">
        <v>107</v>
      </c>
      <c r="E1695" s="1" t="s">
        <v>54</v>
      </c>
      <c r="F1695" s="1" t="s">
        <v>3811</v>
      </c>
      <c r="G1695" s="3" t="s">
        <v>2410</v>
      </c>
      <c r="H1695" s="11">
        <f>ROUND(
IF(L1695="GANCHO",
   IF(I1695&lt;=50,I1695*1.1+4,IF(I1695&lt;=120,I1695*1.1+7,IF(I1695&lt;=250,I1695*1.1+11,I1695*1.1+19))),
IF(L1695="NORMAL",
   IF(I1695&lt;=30,I1695*1.15+2,IF(I1695&lt;=80,I1695*1.15+4,IF(I1695&lt;=150,I1695*1.15+6,I1695*1.15+8))),
IF(L1695="COMPLEMENTO",
   IF(I1695&lt;=25,I1695*1.25+1.5,IF(I1695&lt;=60,I1695*1.25+3,IF(I1695&lt;=120,I1695*1.25+4,I1695*1.25+5))),
""))),2)</f>
        <v>507.88</v>
      </c>
      <c r="I1695" s="9">
        <f>($K$2+0.02)*Tabla1[[#This Row],[PRECIO $]]*1.18</f>
        <v>444.43519999999995</v>
      </c>
      <c r="J1695" s="7">
        <f>+Tabla1[[#This Row],[PRECIO EN SOLES]]-Tabla1[[#This Row],[PC]]</f>
        <v>63.444800000000043</v>
      </c>
      <c r="K1695" s="15"/>
      <c r="L1695" s="15" t="str">
        <f t="shared" si="26"/>
        <v>GANCHO</v>
      </c>
    </row>
    <row r="1696" spans="1:12" x14ac:dyDescent="0.25">
      <c r="A1696" s="3" t="s">
        <v>5795</v>
      </c>
      <c r="B1696" s="3" t="s">
        <v>5796</v>
      </c>
      <c r="C1696" s="1">
        <v>12</v>
      </c>
      <c r="D1696" s="1">
        <v>109</v>
      </c>
      <c r="E1696" s="1" t="s">
        <v>54</v>
      </c>
      <c r="F1696" s="1" t="s">
        <v>5797</v>
      </c>
      <c r="G1696" s="3" t="s">
        <v>5798</v>
      </c>
      <c r="H1696" s="11">
        <f>ROUND(
IF(L1696="GANCHO",
   IF(I1696&lt;=50,I1696*1.1+4,IF(I1696&lt;=120,I1696*1.1+7,IF(I1696&lt;=250,I1696*1.1+11,I1696*1.1+19))),
IF(L1696="NORMAL",
   IF(I1696&lt;=30,I1696*1.15+2,IF(I1696&lt;=80,I1696*1.15+4,IF(I1696&lt;=150,I1696*1.15+6,I1696*1.15+8))),
IF(L1696="COMPLEMENTO",
   IF(I1696&lt;=25,I1696*1.25+1.5,IF(I1696&lt;=60,I1696*1.25+3,IF(I1696&lt;=120,I1696*1.25+4,I1696*1.25+5))),
""))),2)</f>
        <v>517.02</v>
      </c>
      <c r="I1696" s="9">
        <f>($K$2+0.02)*Tabla1[[#This Row],[PRECIO $]]*1.18</f>
        <v>452.74239999999998</v>
      </c>
      <c r="J1696" s="7">
        <f>+Tabla1[[#This Row],[PRECIO EN SOLES]]-Tabla1[[#This Row],[PC]]</f>
        <v>64.277600000000007</v>
      </c>
      <c r="K1696" s="15"/>
      <c r="L1696" s="15" t="str">
        <f t="shared" si="26"/>
        <v>GANCHO</v>
      </c>
    </row>
    <row r="1697" spans="1:12" x14ac:dyDescent="0.25">
      <c r="A1697" s="3" t="s">
        <v>5107</v>
      </c>
      <c r="B1697" s="3" t="s">
        <v>5108</v>
      </c>
      <c r="C1697" s="1">
        <v>20</v>
      </c>
      <c r="D1697" s="1">
        <v>243</v>
      </c>
      <c r="E1697" s="1" t="s">
        <v>74</v>
      </c>
      <c r="F1697" s="1" t="s">
        <v>5109</v>
      </c>
      <c r="G1697" s="3" t="s">
        <v>5110</v>
      </c>
      <c r="H1697" s="11">
        <f>ROUND(
IF(L1697="GANCHO",
   IF(I1697&lt;=50,I1697*1.1+4,IF(I1697&lt;=120,I1697*1.1+7,IF(I1697&lt;=250,I1697*1.1+11,I1697*1.1+19))),
IF(L1697="NORMAL",
   IF(I1697&lt;=30,I1697*1.15+2,IF(I1697&lt;=80,I1697*1.15+4,IF(I1697&lt;=150,I1697*1.15+6,I1697*1.15+8))),
IF(L1697="COMPLEMENTO",
   IF(I1697&lt;=25,I1697*1.25+1.5,IF(I1697&lt;=60,I1697*1.25+3,IF(I1697&lt;=120,I1697*1.25+4,I1697*1.25+5))),
""))),2)</f>
        <v>1129.26</v>
      </c>
      <c r="I1697" s="9">
        <f>($K$2+0.02)*Tabla1[[#This Row],[PRECIO $]]*1.18</f>
        <v>1009.3248</v>
      </c>
      <c r="J1697" s="7">
        <f>+Tabla1[[#This Row],[PRECIO EN SOLES]]-Tabla1[[#This Row],[PC]]</f>
        <v>119.93520000000001</v>
      </c>
      <c r="K1697" s="15"/>
      <c r="L1697" s="15" t="str">
        <f t="shared" si="26"/>
        <v>GANCHO</v>
      </c>
    </row>
    <row r="1698" spans="1:12" x14ac:dyDescent="0.25">
      <c r="A1698" s="3" t="s">
        <v>5967</v>
      </c>
      <c r="B1698" s="3" t="s">
        <v>5968</v>
      </c>
      <c r="C1698" s="1">
        <v>10</v>
      </c>
      <c r="D1698" s="1">
        <v>471</v>
      </c>
      <c r="E1698" s="1" t="s">
        <v>74</v>
      </c>
      <c r="F1698" s="1" t="s">
        <v>5969</v>
      </c>
      <c r="G1698" s="3" t="s">
        <v>5970</v>
      </c>
      <c r="H1698" s="11">
        <f>ROUND(
IF(L1698="GANCHO",
   IF(I1698&lt;=50,I1698*1.1+4,IF(I1698&lt;=120,I1698*1.1+7,IF(I1698&lt;=250,I1698*1.1+11,I1698*1.1+19))),
IF(L1698="NORMAL",
   IF(I1698&lt;=30,I1698*1.15+2,IF(I1698&lt;=80,I1698*1.15+4,IF(I1698&lt;=150,I1698*1.15+6,I1698*1.15+8))),
IF(L1698="COMPLEMENTO",
   IF(I1698&lt;=25,I1698*1.25+1.5,IF(I1698&lt;=60,I1698*1.25+3,IF(I1698&lt;=120,I1698*1.25+4,I1698*1.25+5))),
""))),2)</f>
        <v>2170.98</v>
      </c>
      <c r="I1698" s="9">
        <f>($K$2+0.02)*Tabla1[[#This Row],[PRECIO $]]*1.18</f>
        <v>1956.3455999999999</v>
      </c>
      <c r="J1698" s="7">
        <f>+Tabla1[[#This Row],[PRECIO EN SOLES]]-Tabla1[[#This Row],[PC]]</f>
        <v>214.63440000000014</v>
      </c>
      <c r="K1698" s="15"/>
      <c r="L1698" s="15" t="str">
        <f t="shared" si="26"/>
        <v>GANCHO</v>
      </c>
    </row>
    <row r="1699" spans="1:12" x14ac:dyDescent="0.25">
      <c r="A1699" s="3" t="s">
        <v>5111</v>
      </c>
      <c r="B1699" s="3" t="s">
        <v>5112</v>
      </c>
      <c r="C1699" s="1">
        <v>20</v>
      </c>
      <c r="D1699" s="1">
        <v>180</v>
      </c>
      <c r="E1699" s="1" t="s">
        <v>74</v>
      </c>
      <c r="F1699" s="1" t="s">
        <v>5113</v>
      </c>
      <c r="G1699" s="3" t="s">
        <v>5114</v>
      </c>
      <c r="H1699" s="11">
        <f>ROUND(
IF(L1699="GANCHO",
   IF(I1699&lt;=50,I1699*1.1+4,IF(I1699&lt;=120,I1699*1.1+7,IF(I1699&lt;=250,I1699*1.1+11,I1699*1.1+19))),
IF(L1699="NORMAL",
   IF(I1699&lt;=30,I1699*1.15+2,IF(I1699&lt;=80,I1699*1.15+4,IF(I1699&lt;=150,I1699*1.15+6,I1699*1.15+8))),
IF(L1699="COMPLEMENTO",
   IF(I1699&lt;=25,I1699*1.25+1.5,IF(I1699&lt;=60,I1699*1.25+3,IF(I1699&lt;=120,I1699*1.25+4,I1699*1.25+5))),
""))),2)</f>
        <v>841.41</v>
      </c>
      <c r="I1699" s="9">
        <f>($K$2+0.02)*Tabla1[[#This Row],[PRECIO $]]*1.18</f>
        <v>747.64800000000002</v>
      </c>
      <c r="J1699" s="7">
        <f>+Tabla1[[#This Row],[PRECIO EN SOLES]]-Tabla1[[#This Row],[PC]]</f>
        <v>93.761999999999944</v>
      </c>
      <c r="K1699" s="15"/>
      <c r="L1699" s="15" t="str">
        <f t="shared" si="26"/>
        <v>GANCHO</v>
      </c>
    </row>
    <row r="1700" spans="1:12" x14ac:dyDescent="0.25">
      <c r="A1700" s="3" t="s">
        <v>5115</v>
      </c>
      <c r="B1700" s="3" t="s">
        <v>5116</v>
      </c>
      <c r="C1700" s="1">
        <v>20</v>
      </c>
      <c r="D1700" s="1">
        <v>162</v>
      </c>
      <c r="E1700" s="1" t="s">
        <v>74</v>
      </c>
      <c r="F1700" s="1" t="s">
        <v>5117</v>
      </c>
      <c r="G1700" s="3" t="s">
        <v>5118</v>
      </c>
      <c r="H1700" s="11">
        <f>ROUND(
IF(L1700="GANCHO",
   IF(I1700&lt;=50,I1700*1.1+4,IF(I1700&lt;=120,I1700*1.1+7,IF(I1700&lt;=250,I1700*1.1+11,I1700*1.1+19))),
IF(L1700="NORMAL",
   IF(I1700&lt;=30,I1700*1.15+2,IF(I1700&lt;=80,I1700*1.15+4,IF(I1700&lt;=150,I1700*1.15+6,I1700*1.15+8))),
IF(L1700="COMPLEMENTO",
   IF(I1700&lt;=25,I1700*1.25+1.5,IF(I1700&lt;=60,I1700*1.25+3,IF(I1700&lt;=120,I1700*1.25+4,I1700*1.25+5))),
""))),2)</f>
        <v>759.17</v>
      </c>
      <c r="I1700" s="9">
        <f>($K$2+0.02)*Tabla1[[#This Row],[PRECIO $]]*1.18</f>
        <v>672.88319999999999</v>
      </c>
      <c r="J1700" s="7">
        <f>+Tabla1[[#This Row],[PRECIO EN SOLES]]-Tabla1[[#This Row],[PC]]</f>
        <v>86.286799999999971</v>
      </c>
      <c r="K1700" s="15"/>
      <c r="L1700" s="15" t="str">
        <f t="shared" si="26"/>
        <v>GANCHO</v>
      </c>
    </row>
    <row r="1701" spans="1:12" x14ac:dyDescent="0.25">
      <c r="A1701" s="3" t="s">
        <v>4776</v>
      </c>
      <c r="B1701" s="3" t="s">
        <v>4777</v>
      </c>
      <c r="C1701" s="1">
        <v>0</v>
      </c>
      <c r="D1701" s="1">
        <v>119</v>
      </c>
      <c r="E1701" s="1" t="s">
        <v>784</v>
      </c>
      <c r="F1701" s="1" t="s">
        <v>4778</v>
      </c>
      <c r="G1701" s="3" t="s">
        <v>4779</v>
      </c>
      <c r="H1701" s="11">
        <f>ROUND(
IF(L1701="GANCHO",
   IF(I1701&lt;=50,I1701*1.1+4,IF(I1701&lt;=120,I1701*1.1+7,IF(I1701&lt;=250,I1701*1.1+11,I1701*1.1+19))),
IF(L1701="NORMAL",
   IF(I1701&lt;=30,I1701*1.15+2,IF(I1701&lt;=80,I1701*1.15+4,IF(I1701&lt;=150,I1701*1.15+6,I1701*1.15+8))),
IF(L1701="COMPLEMENTO",
   IF(I1701&lt;=25,I1701*1.25+1.5,IF(I1701&lt;=60,I1701*1.25+3,IF(I1701&lt;=120,I1701*1.25+4,I1701*1.25+5))),
""))),2)</f>
        <v>562.71</v>
      </c>
      <c r="I1701" s="9">
        <f>($K$2+0.02)*Tabla1[[#This Row],[PRECIO $]]*1.18</f>
        <v>494.27839999999998</v>
      </c>
      <c r="J1701" s="7">
        <f>+Tabla1[[#This Row],[PRECIO EN SOLES]]-Tabla1[[#This Row],[PC]]</f>
        <v>68.43160000000006</v>
      </c>
      <c r="K1701" s="15"/>
      <c r="L1701" s="15" t="str">
        <f t="shared" si="26"/>
        <v>GANCHO</v>
      </c>
    </row>
    <row r="1702" spans="1:12" x14ac:dyDescent="0.25">
      <c r="A1702" s="3" t="s">
        <v>5592</v>
      </c>
      <c r="B1702" s="3" t="s">
        <v>5593</v>
      </c>
      <c r="C1702" s="1">
        <v>13</v>
      </c>
      <c r="D1702" s="1">
        <v>204</v>
      </c>
      <c r="E1702" s="1" t="s">
        <v>784</v>
      </c>
      <c r="F1702" s="1" t="s">
        <v>5594</v>
      </c>
      <c r="G1702" s="3" t="s">
        <v>5595</v>
      </c>
      <c r="H1702" s="11">
        <f>ROUND(
IF(L1702="GANCHO",
   IF(I1702&lt;=50,I1702*1.1+4,IF(I1702&lt;=120,I1702*1.1+7,IF(I1702&lt;=250,I1702*1.1+11,I1702*1.1+19))),
IF(L1702="NORMAL",
   IF(I1702&lt;=30,I1702*1.15+2,IF(I1702&lt;=80,I1702*1.15+4,IF(I1702&lt;=150,I1702*1.15+6,I1702*1.15+8))),
IF(L1702="COMPLEMENTO",
   IF(I1702&lt;=25,I1702*1.25+1.5,IF(I1702&lt;=60,I1702*1.25+3,IF(I1702&lt;=120,I1702*1.25+4,I1702*1.25+5))),
""))),2)</f>
        <v>951.07</v>
      </c>
      <c r="I1702" s="9">
        <f>($K$2+0.02)*Tabla1[[#This Row],[PRECIO $]]*1.18</f>
        <v>847.33439999999996</v>
      </c>
      <c r="J1702" s="7">
        <f>+Tabla1[[#This Row],[PRECIO EN SOLES]]-Tabla1[[#This Row],[PC]]</f>
        <v>103.73560000000009</v>
      </c>
      <c r="K1702" s="15"/>
      <c r="L1702" s="15" t="str">
        <f t="shared" si="26"/>
        <v>GANCHO</v>
      </c>
    </row>
    <row r="1703" spans="1:12" x14ac:dyDescent="0.25">
      <c r="A1703" s="3" t="s">
        <v>4780</v>
      </c>
      <c r="B1703" s="3" t="s">
        <v>4781</v>
      </c>
      <c r="C1703" s="1">
        <v>20</v>
      </c>
      <c r="D1703" s="1">
        <v>229</v>
      </c>
      <c r="E1703" s="1" t="s">
        <v>784</v>
      </c>
      <c r="F1703" s="1" t="s">
        <v>4782</v>
      </c>
      <c r="G1703" s="3" t="s">
        <v>4783</v>
      </c>
      <c r="H1703" s="11">
        <f>ROUND(
IF(L1703="GANCHO",
   IF(I1703&lt;=50,I1703*1.1+4,IF(I1703&lt;=120,I1703*1.1+7,IF(I1703&lt;=250,I1703*1.1+11,I1703*1.1+19))),
IF(L1703="NORMAL",
   IF(I1703&lt;=30,I1703*1.15+2,IF(I1703&lt;=80,I1703*1.15+4,IF(I1703&lt;=150,I1703*1.15+6,I1703*1.15+8))),
IF(L1703="COMPLEMENTO",
   IF(I1703&lt;=25,I1703*1.25+1.5,IF(I1703&lt;=60,I1703*1.25+3,IF(I1703&lt;=120,I1703*1.25+4,I1703*1.25+5))),
""))),2)</f>
        <v>1065.29</v>
      </c>
      <c r="I1703" s="9">
        <f>($K$2+0.02)*Tabla1[[#This Row],[PRECIO $]]*1.18</f>
        <v>951.17439999999999</v>
      </c>
      <c r="J1703" s="7">
        <f>+Tabla1[[#This Row],[PRECIO EN SOLES]]-Tabla1[[#This Row],[PC]]</f>
        <v>114.11559999999997</v>
      </c>
      <c r="K1703" s="15"/>
      <c r="L1703" s="15" t="str">
        <f t="shared" si="26"/>
        <v>GANCHO</v>
      </c>
    </row>
    <row r="1704" spans="1:12" x14ac:dyDescent="0.25">
      <c r="A1704" s="3" t="s">
        <v>5596</v>
      </c>
      <c r="B1704" s="3" t="s">
        <v>5597</v>
      </c>
      <c r="C1704" s="1">
        <v>20</v>
      </c>
      <c r="D1704" s="1">
        <v>239</v>
      </c>
      <c r="E1704" s="1" t="s">
        <v>784</v>
      </c>
      <c r="F1704" s="1" t="s">
        <v>5598</v>
      </c>
      <c r="G1704" s="3" t="s">
        <v>5599</v>
      </c>
      <c r="H1704" s="11">
        <f>ROUND(
IF(L1704="GANCHO",
   IF(I1704&lt;=50,I1704*1.1+4,IF(I1704&lt;=120,I1704*1.1+7,IF(I1704&lt;=250,I1704*1.1+11,I1704*1.1+19))),
IF(L1704="NORMAL",
   IF(I1704&lt;=30,I1704*1.15+2,IF(I1704&lt;=80,I1704*1.15+4,IF(I1704&lt;=150,I1704*1.15+6,I1704*1.15+8))),
IF(L1704="COMPLEMENTO",
   IF(I1704&lt;=25,I1704*1.25+1.5,IF(I1704&lt;=60,I1704*1.25+3,IF(I1704&lt;=120,I1704*1.25+4,I1704*1.25+5))),
""))),2)</f>
        <v>1110.98</v>
      </c>
      <c r="I1704" s="9">
        <f>($K$2+0.02)*Tabla1[[#This Row],[PRECIO $]]*1.18</f>
        <v>992.71039999999994</v>
      </c>
      <c r="J1704" s="7">
        <f>+Tabla1[[#This Row],[PRECIO EN SOLES]]-Tabla1[[#This Row],[PC]]</f>
        <v>118.26960000000008</v>
      </c>
      <c r="K1704" s="15"/>
      <c r="L1704" s="15" t="str">
        <f t="shared" si="26"/>
        <v>GANCHO</v>
      </c>
    </row>
    <row r="1705" spans="1:12" x14ac:dyDescent="0.25">
      <c r="A1705" s="3" t="s">
        <v>2795</v>
      </c>
      <c r="B1705" s="3" t="s">
        <v>2796</v>
      </c>
      <c r="C1705" s="1">
        <v>20</v>
      </c>
      <c r="D1705" s="1">
        <v>525</v>
      </c>
      <c r="E1705" s="1" t="s">
        <v>784</v>
      </c>
      <c r="F1705" s="1" t="s">
        <v>3812</v>
      </c>
      <c r="G1705" s="3" t="s">
        <v>2797</v>
      </c>
      <c r="H1705" s="11">
        <f>ROUND(
IF(L1705="GANCHO",
   IF(I1705&lt;=50,I1705*1.1+4,IF(I1705&lt;=120,I1705*1.1+7,IF(I1705&lt;=250,I1705*1.1+11,I1705*1.1+19))),
IF(L1705="NORMAL",
   IF(I1705&lt;=30,I1705*1.15+2,IF(I1705&lt;=80,I1705*1.15+4,IF(I1705&lt;=150,I1705*1.15+6,I1705*1.15+8))),
IF(L1705="COMPLEMENTO",
   IF(I1705&lt;=25,I1705*1.25+1.5,IF(I1705&lt;=60,I1705*1.25+3,IF(I1705&lt;=120,I1705*1.25+4,I1705*1.25+5))),
""))),2)</f>
        <v>2417.6999999999998</v>
      </c>
      <c r="I1705" s="9">
        <f>($K$2+0.02)*Tabla1[[#This Row],[PRECIO $]]*1.18</f>
        <v>2180.64</v>
      </c>
      <c r="J1705" s="7">
        <f>+Tabla1[[#This Row],[PRECIO EN SOLES]]-Tabla1[[#This Row],[PC]]</f>
        <v>237.05999999999995</v>
      </c>
      <c r="K1705" s="15"/>
      <c r="L1705" s="15" t="str">
        <f t="shared" si="26"/>
        <v>GANCHO</v>
      </c>
    </row>
    <row r="1706" spans="1:12" x14ac:dyDescent="0.25">
      <c r="A1706" s="3" t="s">
        <v>5600</v>
      </c>
      <c r="B1706" s="3" t="s">
        <v>5601</v>
      </c>
      <c r="C1706" s="1">
        <v>1</v>
      </c>
      <c r="D1706" s="1">
        <v>358</v>
      </c>
      <c r="E1706" s="1" t="s">
        <v>784</v>
      </c>
      <c r="F1706" s="1" t="s">
        <v>5602</v>
      </c>
      <c r="G1706" s="3" t="s">
        <v>5603</v>
      </c>
      <c r="H1706" s="11">
        <f>ROUND(
IF(L1706="GANCHO",
   IF(I1706&lt;=50,I1706*1.1+4,IF(I1706&lt;=120,I1706*1.1+7,IF(I1706&lt;=250,I1706*1.1+11,I1706*1.1+19))),
IF(L1706="NORMAL",
   IF(I1706&lt;=30,I1706*1.15+2,IF(I1706&lt;=80,I1706*1.15+4,IF(I1706&lt;=150,I1706*1.15+6,I1706*1.15+8))),
IF(L1706="COMPLEMENTO",
   IF(I1706&lt;=25,I1706*1.25+1.5,IF(I1706&lt;=60,I1706*1.25+3,IF(I1706&lt;=120,I1706*1.25+4,I1706*1.25+5))),
""))),2)</f>
        <v>1654.69</v>
      </c>
      <c r="I1706" s="9">
        <f>($K$2+0.02)*Tabla1[[#This Row],[PRECIO $]]*1.18</f>
        <v>1486.9888000000001</v>
      </c>
      <c r="J1706" s="7">
        <f>+Tabla1[[#This Row],[PRECIO EN SOLES]]-Tabla1[[#This Row],[PC]]</f>
        <v>167.70119999999997</v>
      </c>
      <c r="K1706" s="15"/>
      <c r="L1706" s="15" t="str">
        <f t="shared" si="26"/>
        <v>GANCHO</v>
      </c>
    </row>
    <row r="1707" spans="1:12" x14ac:dyDescent="0.25">
      <c r="A1707" s="3" t="s">
        <v>2412</v>
      </c>
      <c r="B1707" s="3" t="s">
        <v>2413</v>
      </c>
      <c r="C1707" s="1">
        <v>20</v>
      </c>
      <c r="D1707" s="1">
        <v>369</v>
      </c>
      <c r="E1707" s="1" t="s">
        <v>784</v>
      </c>
      <c r="F1707" s="1" t="s">
        <v>3813</v>
      </c>
      <c r="G1707" s="3" t="s">
        <v>2411</v>
      </c>
      <c r="H1707" s="11">
        <f>ROUND(
IF(L1707="GANCHO",
   IF(I1707&lt;=50,I1707*1.1+4,IF(I1707&lt;=120,I1707*1.1+7,IF(I1707&lt;=250,I1707*1.1+11,I1707*1.1+19))),
IF(L1707="NORMAL",
   IF(I1707&lt;=30,I1707*1.15+2,IF(I1707&lt;=80,I1707*1.15+4,IF(I1707&lt;=150,I1707*1.15+6,I1707*1.15+8))),
IF(L1707="COMPLEMENTO",
   IF(I1707&lt;=25,I1707*1.25+1.5,IF(I1707&lt;=60,I1707*1.25+3,IF(I1707&lt;=120,I1707*1.25+4,I1707*1.25+5))),
""))),2)</f>
        <v>1704.95</v>
      </c>
      <c r="I1707" s="9">
        <f>($K$2+0.02)*Tabla1[[#This Row],[PRECIO $]]*1.18</f>
        <v>1532.6784</v>
      </c>
      <c r="J1707" s="7">
        <f>+Tabla1[[#This Row],[PRECIO EN SOLES]]-Tabla1[[#This Row],[PC]]</f>
        <v>172.27160000000003</v>
      </c>
      <c r="K1707" s="15"/>
      <c r="L1707" s="15" t="str">
        <f t="shared" si="26"/>
        <v>GANCHO</v>
      </c>
    </row>
    <row r="1708" spans="1:12" x14ac:dyDescent="0.25">
      <c r="A1708" s="3" t="s">
        <v>4784</v>
      </c>
      <c r="B1708" s="3" t="s">
        <v>4785</v>
      </c>
      <c r="C1708" s="1">
        <v>20</v>
      </c>
      <c r="D1708" s="1">
        <v>429</v>
      </c>
      <c r="E1708" s="1" t="s">
        <v>784</v>
      </c>
      <c r="F1708" s="1" t="s">
        <v>4786</v>
      </c>
      <c r="G1708" s="3" t="s">
        <v>4787</v>
      </c>
      <c r="H1708" s="11">
        <f>ROUND(
IF(L1708="GANCHO",
   IF(I1708&lt;=50,I1708*1.1+4,IF(I1708&lt;=120,I1708*1.1+7,IF(I1708&lt;=250,I1708*1.1+11,I1708*1.1+19))),
IF(L1708="NORMAL",
   IF(I1708&lt;=30,I1708*1.15+2,IF(I1708&lt;=80,I1708*1.15+4,IF(I1708&lt;=150,I1708*1.15+6,I1708*1.15+8))),
IF(L1708="COMPLEMENTO",
   IF(I1708&lt;=25,I1708*1.25+1.5,IF(I1708&lt;=60,I1708*1.25+3,IF(I1708&lt;=120,I1708*1.25+4,I1708*1.25+5))),
""))),2)</f>
        <v>1979.08</v>
      </c>
      <c r="I1708" s="9">
        <f>($K$2+0.02)*Tabla1[[#This Row],[PRECIO $]]*1.18</f>
        <v>1781.8943999999999</v>
      </c>
      <c r="J1708" s="7">
        <f>+Tabla1[[#This Row],[PRECIO EN SOLES]]-Tabla1[[#This Row],[PC]]</f>
        <v>197.18560000000002</v>
      </c>
      <c r="K1708" s="15"/>
      <c r="L1708" s="15" t="str">
        <f t="shared" si="26"/>
        <v>GANCHO</v>
      </c>
    </row>
    <row r="1709" spans="1:12" x14ac:dyDescent="0.25">
      <c r="A1709" s="3" t="s">
        <v>5604</v>
      </c>
      <c r="B1709" s="3" t="s">
        <v>5605</v>
      </c>
      <c r="C1709" s="1">
        <v>6</v>
      </c>
      <c r="D1709" s="1">
        <v>478</v>
      </c>
      <c r="E1709" s="1" t="s">
        <v>784</v>
      </c>
      <c r="F1709" s="1" t="s">
        <v>5606</v>
      </c>
      <c r="G1709" s="3" t="s">
        <v>5607</v>
      </c>
      <c r="H1709" s="11">
        <f>ROUND(
IF(L1709="GANCHO",
   IF(I1709&lt;=50,I1709*1.1+4,IF(I1709&lt;=120,I1709*1.1+7,IF(I1709&lt;=250,I1709*1.1+11,I1709*1.1+19))),
IF(L1709="NORMAL",
   IF(I1709&lt;=30,I1709*1.15+2,IF(I1709&lt;=80,I1709*1.15+4,IF(I1709&lt;=150,I1709*1.15+6,I1709*1.15+8))),
IF(L1709="COMPLEMENTO",
   IF(I1709&lt;=25,I1709*1.25+1.5,IF(I1709&lt;=60,I1709*1.25+3,IF(I1709&lt;=120,I1709*1.25+4,I1709*1.25+5))),
""))),2)</f>
        <v>2202.96</v>
      </c>
      <c r="I1709" s="9">
        <f>($K$2+0.02)*Tabla1[[#This Row],[PRECIO $]]*1.18</f>
        <v>1985.4207999999999</v>
      </c>
      <c r="J1709" s="7">
        <f>+Tabla1[[#This Row],[PRECIO EN SOLES]]-Tabla1[[#This Row],[PC]]</f>
        <v>217.53920000000016</v>
      </c>
      <c r="K1709" s="15"/>
      <c r="L1709" s="15" t="str">
        <f t="shared" si="26"/>
        <v>GANCHO</v>
      </c>
    </row>
    <row r="1710" spans="1:12" x14ac:dyDescent="0.25">
      <c r="A1710" s="3" t="s">
        <v>2798</v>
      </c>
      <c r="B1710" s="3" t="s">
        <v>2799</v>
      </c>
      <c r="C1710" s="1">
        <v>20</v>
      </c>
      <c r="D1710" s="1">
        <v>517</v>
      </c>
      <c r="E1710" s="1" t="s">
        <v>784</v>
      </c>
      <c r="F1710" s="1" t="s">
        <v>3814</v>
      </c>
      <c r="G1710" s="3" t="s">
        <v>2800</v>
      </c>
      <c r="H1710" s="11">
        <f>ROUND(
IF(L1710="GANCHO",
   IF(I1710&lt;=50,I1710*1.1+4,IF(I1710&lt;=120,I1710*1.1+7,IF(I1710&lt;=250,I1710*1.1+11,I1710*1.1+19))),
IF(L1710="NORMAL",
   IF(I1710&lt;=30,I1710*1.15+2,IF(I1710&lt;=80,I1710*1.15+4,IF(I1710&lt;=150,I1710*1.15+6,I1710*1.15+8))),
IF(L1710="COMPLEMENTO",
   IF(I1710&lt;=25,I1710*1.25+1.5,IF(I1710&lt;=60,I1710*1.25+3,IF(I1710&lt;=120,I1710*1.25+4,I1710*1.25+5))),
""))),2)</f>
        <v>2381.15</v>
      </c>
      <c r="I1710" s="9">
        <f>($K$2+0.02)*Tabla1[[#This Row],[PRECIO $]]*1.18</f>
        <v>2147.4112</v>
      </c>
      <c r="J1710" s="7">
        <f>+Tabla1[[#This Row],[PRECIO EN SOLES]]-Tabla1[[#This Row],[PC]]</f>
        <v>233.73880000000008</v>
      </c>
      <c r="K1710" s="15"/>
      <c r="L1710" s="15" t="str">
        <f t="shared" si="26"/>
        <v>GANCHO</v>
      </c>
    </row>
    <row r="1711" spans="1:12" x14ac:dyDescent="0.25">
      <c r="A1711" s="3" t="s">
        <v>4202</v>
      </c>
      <c r="B1711" s="3" t="s">
        <v>2415</v>
      </c>
      <c r="C1711" s="1">
        <v>20</v>
      </c>
      <c r="D1711" s="1">
        <v>579</v>
      </c>
      <c r="E1711" s="1" t="s">
        <v>784</v>
      </c>
      <c r="F1711" s="1" t="s">
        <v>4203</v>
      </c>
      <c r="G1711" s="3" t="s">
        <v>4689</v>
      </c>
      <c r="H1711" s="11">
        <f>ROUND(
IF(L1711="GANCHO",
   IF(I1711&lt;=50,I1711*1.1+4,IF(I1711&lt;=120,I1711*1.1+7,IF(I1711&lt;=250,I1711*1.1+11,I1711*1.1+19))),
IF(L1711="NORMAL",
   IF(I1711&lt;=30,I1711*1.15+2,IF(I1711&lt;=80,I1711*1.15+4,IF(I1711&lt;=150,I1711*1.15+6,I1711*1.15+8))),
IF(L1711="COMPLEMENTO",
   IF(I1711&lt;=25,I1711*1.25+1.5,IF(I1711&lt;=60,I1711*1.25+3,IF(I1711&lt;=120,I1711*1.25+4,I1711*1.25+5))),
""))),2)</f>
        <v>2664.43</v>
      </c>
      <c r="I1711" s="9">
        <f>($K$2+0.02)*Tabla1[[#This Row],[PRECIO $]]*1.18</f>
        <v>2404.9343999999996</v>
      </c>
      <c r="J1711" s="7">
        <f>+Tabla1[[#This Row],[PRECIO EN SOLES]]-Tabla1[[#This Row],[PC]]</f>
        <v>259.49560000000019</v>
      </c>
      <c r="K1711" s="15"/>
      <c r="L1711" s="15" t="str">
        <f t="shared" si="26"/>
        <v>GANCHO</v>
      </c>
    </row>
    <row r="1712" spans="1:12" x14ac:dyDescent="0.25">
      <c r="A1712" s="3" t="s">
        <v>2414</v>
      </c>
      <c r="B1712" s="3" t="s">
        <v>2415</v>
      </c>
      <c r="C1712" s="1">
        <v>10</v>
      </c>
      <c r="D1712" s="1">
        <v>589</v>
      </c>
      <c r="E1712" s="1" t="s">
        <v>784</v>
      </c>
      <c r="F1712" s="1" t="s">
        <v>3815</v>
      </c>
      <c r="G1712" s="3" t="s">
        <v>2416</v>
      </c>
      <c r="H1712" s="11">
        <f>ROUND(
IF(L1712="GANCHO",
   IF(I1712&lt;=50,I1712*1.1+4,IF(I1712&lt;=120,I1712*1.1+7,IF(I1712&lt;=250,I1712*1.1+11,I1712*1.1+19))),
IF(L1712="NORMAL",
   IF(I1712&lt;=30,I1712*1.15+2,IF(I1712&lt;=80,I1712*1.15+4,IF(I1712&lt;=150,I1712*1.15+6,I1712*1.15+8))),
IF(L1712="COMPLEMENTO",
   IF(I1712&lt;=25,I1712*1.25+1.5,IF(I1712&lt;=60,I1712*1.25+3,IF(I1712&lt;=120,I1712*1.25+4,I1712*1.25+5))),
""))),2)</f>
        <v>2710.12</v>
      </c>
      <c r="I1712" s="9">
        <f>($K$2+0.02)*Tabla1[[#This Row],[PRECIO $]]*1.18</f>
        <v>2446.4704000000002</v>
      </c>
      <c r="J1712" s="7">
        <f>+Tabla1[[#This Row],[PRECIO EN SOLES]]-Tabla1[[#This Row],[PC]]</f>
        <v>263.64959999999974</v>
      </c>
      <c r="K1712" s="15"/>
      <c r="L1712" s="15" t="str">
        <f t="shared" si="26"/>
        <v>GANCHO</v>
      </c>
    </row>
    <row r="1713" spans="1:12" x14ac:dyDescent="0.25">
      <c r="A1713" s="3" t="s">
        <v>2417</v>
      </c>
      <c r="B1713" s="3" t="s">
        <v>2418</v>
      </c>
      <c r="C1713" s="1">
        <v>6</v>
      </c>
      <c r="D1713" s="1">
        <v>678</v>
      </c>
      <c r="E1713" s="1" t="s">
        <v>784</v>
      </c>
      <c r="F1713" s="1" t="s">
        <v>3816</v>
      </c>
      <c r="G1713" s="3" t="s">
        <v>2419</v>
      </c>
      <c r="H1713" s="11">
        <f>ROUND(
IF(L1713="GANCHO",
   IF(I1713&lt;=50,I1713*1.1+4,IF(I1713&lt;=120,I1713*1.1+7,IF(I1713&lt;=250,I1713*1.1+11,I1713*1.1+19))),
IF(L1713="NORMAL",
   IF(I1713&lt;=30,I1713*1.15+2,IF(I1713&lt;=80,I1713*1.15+4,IF(I1713&lt;=150,I1713*1.15+6,I1713*1.15+8))),
IF(L1713="COMPLEMENTO",
   IF(I1713&lt;=25,I1713*1.25+1.5,IF(I1713&lt;=60,I1713*1.25+3,IF(I1713&lt;=120,I1713*1.25+4,I1713*1.25+5))),
""))),2)</f>
        <v>3116.75</v>
      </c>
      <c r="I1713" s="9">
        <f>($K$2+0.02)*Tabla1[[#This Row],[PRECIO $]]*1.18</f>
        <v>2816.1407999999997</v>
      </c>
      <c r="J1713" s="7">
        <f>+Tabla1[[#This Row],[PRECIO EN SOLES]]-Tabla1[[#This Row],[PC]]</f>
        <v>300.60920000000033</v>
      </c>
      <c r="K1713" s="15"/>
      <c r="L1713" s="15" t="str">
        <f t="shared" si="26"/>
        <v>GANCHO</v>
      </c>
    </row>
    <row r="1714" spans="1:12" x14ac:dyDescent="0.25">
      <c r="A1714" s="3" t="s">
        <v>2801</v>
      </c>
      <c r="B1714" s="3" t="s">
        <v>2802</v>
      </c>
      <c r="C1714" s="1">
        <v>2</v>
      </c>
      <c r="D1714" s="1">
        <v>980</v>
      </c>
      <c r="E1714" s="1" t="s">
        <v>784</v>
      </c>
      <c r="F1714" s="1" t="s">
        <v>3817</v>
      </c>
      <c r="G1714" s="3" t="s">
        <v>2803</v>
      </c>
      <c r="H1714" s="11">
        <f>ROUND(
IF(L1714="GANCHO",
   IF(I1714&lt;=50,I1714*1.1+4,IF(I1714&lt;=120,I1714*1.1+7,IF(I1714&lt;=250,I1714*1.1+11,I1714*1.1+19))),
IF(L1714="NORMAL",
   IF(I1714&lt;=30,I1714*1.15+2,IF(I1714&lt;=80,I1714*1.15+4,IF(I1714&lt;=150,I1714*1.15+6,I1714*1.15+8))),
IF(L1714="COMPLEMENTO",
   IF(I1714&lt;=25,I1714*1.25+1.5,IF(I1714&lt;=60,I1714*1.25+3,IF(I1714&lt;=120,I1714*1.25+4,I1714*1.25+5))),
""))),2)</f>
        <v>4496.58</v>
      </c>
      <c r="I1714" s="9">
        <f>($K$2+0.02)*Tabla1[[#This Row],[PRECIO $]]*1.18</f>
        <v>4070.5279999999998</v>
      </c>
      <c r="J1714" s="7">
        <f>+Tabla1[[#This Row],[PRECIO EN SOLES]]-Tabla1[[#This Row],[PC]]</f>
        <v>426.05200000000013</v>
      </c>
      <c r="K1714" s="15"/>
      <c r="L1714" s="15" t="str">
        <f t="shared" si="26"/>
        <v>GANCHO</v>
      </c>
    </row>
    <row r="1715" spans="1:12" x14ac:dyDescent="0.25">
      <c r="A1715" s="3" t="s">
        <v>4690</v>
      </c>
      <c r="B1715" s="3" t="s">
        <v>4691</v>
      </c>
      <c r="C1715" s="1">
        <v>0</v>
      </c>
      <c r="D1715" s="1">
        <v>1310</v>
      </c>
      <c r="E1715" s="1" t="s">
        <v>784</v>
      </c>
      <c r="F1715" s="1" t="s">
        <v>4692</v>
      </c>
      <c r="G1715" s="3" t="s">
        <v>4788</v>
      </c>
      <c r="H1715" s="11">
        <f>ROUND(
IF(L1715="GANCHO",
   IF(I1715&lt;=50,I1715*1.1+4,IF(I1715&lt;=120,I1715*1.1+7,IF(I1715&lt;=250,I1715*1.1+11,I1715*1.1+19))),
IF(L1715="NORMAL",
   IF(I1715&lt;=30,I1715*1.15+2,IF(I1715&lt;=80,I1715*1.15+4,IF(I1715&lt;=150,I1715*1.15+6,I1715*1.15+8))),
IF(L1715="COMPLEMENTO",
   IF(I1715&lt;=25,I1715*1.25+1.5,IF(I1715&lt;=60,I1715*1.25+3,IF(I1715&lt;=120,I1715*1.25+4,I1715*1.25+5))),
""))),2)</f>
        <v>6004.34</v>
      </c>
      <c r="I1715" s="9">
        <f>($K$2+0.02)*Tabla1[[#This Row],[PRECIO $]]*1.18</f>
        <v>5441.2159999999994</v>
      </c>
      <c r="J1715" s="7">
        <f>+Tabla1[[#This Row],[PRECIO EN SOLES]]-Tabla1[[#This Row],[PC]]</f>
        <v>563.12400000000071</v>
      </c>
      <c r="K1715" s="15"/>
      <c r="L1715" s="15" t="str">
        <f t="shared" si="26"/>
        <v>GANCHO</v>
      </c>
    </row>
    <row r="1716" spans="1:12" x14ac:dyDescent="0.25">
      <c r="A1716" s="3" t="s">
        <v>5119</v>
      </c>
      <c r="B1716" s="3" t="s">
        <v>5120</v>
      </c>
      <c r="C1716" s="1">
        <v>20</v>
      </c>
      <c r="D1716" s="1">
        <v>205</v>
      </c>
      <c r="E1716" s="1" t="s">
        <v>74</v>
      </c>
      <c r="F1716" s="1" t="s">
        <v>5121</v>
      </c>
      <c r="G1716" s="3" t="s">
        <v>5122</v>
      </c>
      <c r="H1716" s="11">
        <f>ROUND(
IF(L1716="GANCHO",
   IF(I1716&lt;=50,I1716*1.1+4,IF(I1716&lt;=120,I1716*1.1+7,IF(I1716&lt;=250,I1716*1.1+11,I1716*1.1+19))),
IF(L1716="NORMAL",
   IF(I1716&lt;=30,I1716*1.15+2,IF(I1716&lt;=80,I1716*1.15+4,IF(I1716&lt;=150,I1716*1.15+6,I1716*1.15+8))),
IF(L1716="COMPLEMENTO",
   IF(I1716&lt;=25,I1716*1.25+1.5,IF(I1716&lt;=60,I1716*1.25+3,IF(I1716&lt;=120,I1716*1.25+4,I1716*1.25+5))),
""))),2)</f>
        <v>955.64</v>
      </c>
      <c r="I1716" s="9">
        <f>($K$2+0.02)*Tabla1[[#This Row],[PRECIO $]]*1.18</f>
        <v>851.48799999999994</v>
      </c>
      <c r="J1716" s="7">
        <f>+Tabla1[[#This Row],[PRECIO EN SOLES]]-Tabla1[[#This Row],[PC]]</f>
        <v>104.15200000000004</v>
      </c>
      <c r="K1716" s="15"/>
      <c r="L1716" s="15" t="str">
        <f t="shared" si="26"/>
        <v>GANCHO</v>
      </c>
    </row>
    <row r="1717" spans="1:12" x14ac:dyDescent="0.25">
      <c r="A1717" s="3" t="s">
        <v>5608</v>
      </c>
      <c r="B1717" s="3" t="s">
        <v>5609</v>
      </c>
      <c r="C1717" s="1">
        <v>15</v>
      </c>
      <c r="D1717" s="1">
        <v>689</v>
      </c>
      <c r="E1717" s="1" t="s">
        <v>784</v>
      </c>
      <c r="F1717" s="1" t="s">
        <v>5610</v>
      </c>
      <c r="G1717" s="3" t="s">
        <v>5611</v>
      </c>
      <c r="H1717" s="11">
        <f>ROUND(
IF(L1717="GANCHO",
   IF(I1717&lt;=50,I1717*1.1+4,IF(I1717&lt;=120,I1717*1.1+7,IF(I1717&lt;=250,I1717*1.1+11,I1717*1.1+19))),
IF(L1717="NORMAL",
   IF(I1717&lt;=30,I1717*1.15+2,IF(I1717&lt;=80,I1717*1.15+4,IF(I1717&lt;=150,I1717*1.15+6,I1717*1.15+8))),
IF(L1717="COMPLEMENTO",
   IF(I1717&lt;=25,I1717*1.25+1.5,IF(I1717&lt;=60,I1717*1.25+3,IF(I1717&lt;=120,I1717*1.25+4,I1717*1.25+5))),
""))),2)</f>
        <v>3299.1</v>
      </c>
      <c r="I1717" s="9">
        <f>($K$2+0.02)*Tabla1[[#This Row],[PRECIO $]]*1.18</f>
        <v>2861.8304000000003</v>
      </c>
      <c r="J1717" s="7">
        <f>+Tabla1[[#This Row],[PRECIO EN SOLES]]-Tabla1[[#This Row],[PC]]</f>
        <v>437.26959999999963</v>
      </c>
      <c r="K1717" s="15"/>
      <c r="L1717" s="15" t="str">
        <f t="shared" si="26"/>
        <v>NORMAL</v>
      </c>
    </row>
    <row r="1718" spans="1:12" x14ac:dyDescent="0.25">
      <c r="A1718" s="3" t="s">
        <v>2420</v>
      </c>
      <c r="B1718" s="3" t="s">
        <v>2421</v>
      </c>
      <c r="C1718" s="1">
        <v>20</v>
      </c>
      <c r="D1718" s="1">
        <v>400</v>
      </c>
      <c r="E1718" s="1" t="s">
        <v>54</v>
      </c>
      <c r="F1718" s="1" t="s">
        <v>3818</v>
      </c>
      <c r="G1718" s="3"/>
      <c r="H1718" s="11">
        <f>ROUND(
IF(L1718="GANCHO",
   IF(I1718&lt;=50,I1718*1.1+4,IF(I1718&lt;=120,I1718*1.1+7,IF(I1718&lt;=250,I1718*1.1+11,I1718*1.1+19))),
IF(L1718="NORMAL",
   IF(I1718&lt;=30,I1718*1.15+2,IF(I1718&lt;=80,I1718*1.15+4,IF(I1718&lt;=150,I1718*1.15+6,I1718*1.15+8))),
IF(L1718="COMPLEMENTO",
   IF(I1718&lt;=25,I1718*1.25+1.5,IF(I1718&lt;=60,I1718*1.25+3,IF(I1718&lt;=120,I1718*1.25+4,I1718*1.25+5))),
""))),2)</f>
        <v>1918.66</v>
      </c>
      <c r="I1718" s="9">
        <f>($K$2+0.02)*Tabla1[[#This Row],[PRECIO $]]*1.18</f>
        <v>1661.4399999999998</v>
      </c>
      <c r="J1718" s="7">
        <f>+Tabla1[[#This Row],[PRECIO EN SOLES]]-Tabla1[[#This Row],[PC]]</f>
        <v>257.22000000000025</v>
      </c>
      <c r="K1718" s="15"/>
      <c r="L1718" s="15" t="str">
        <f t="shared" si="26"/>
        <v>NORMAL</v>
      </c>
    </row>
    <row r="1719" spans="1:12" x14ac:dyDescent="0.25">
      <c r="A1719" s="3" t="s">
        <v>2422</v>
      </c>
      <c r="B1719" s="3" t="s">
        <v>2423</v>
      </c>
      <c r="C1719" s="1">
        <v>0</v>
      </c>
      <c r="D1719" s="1">
        <v>200</v>
      </c>
      <c r="E1719" s="1" t="s">
        <v>57</v>
      </c>
      <c r="F1719" s="1" t="s">
        <v>3819</v>
      </c>
      <c r="G1719" s="3"/>
      <c r="H1719" s="11">
        <f>ROUND(
IF(L1719="GANCHO",
   IF(I1719&lt;=50,I1719*1.1+4,IF(I1719&lt;=120,I1719*1.1+7,IF(I1719&lt;=250,I1719*1.1+11,I1719*1.1+19))),
IF(L1719="NORMAL",
   IF(I1719&lt;=30,I1719*1.15+2,IF(I1719&lt;=80,I1719*1.15+4,IF(I1719&lt;=150,I1719*1.15+6,I1719*1.15+8))),
IF(L1719="COMPLEMENTO",
   IF(I1719&lt;=25,I1719*1.25+1.5,IF(I1719&lt;=60,I1719*1.25+3,IF(I1719&lt;=120,I1719*1.25+4,I1719*1.25+5))),
""))),2)</f>
        <v>932.79</v>
      </c>
      <c r="I1719" s="9">
        <f>($K$2+0.02)*Tabla1[[#This Row],[PRECIO $]]*1.18</f>
        <v>830.71999999999991</v>
      </c>
      <c r="J1719" s="7">
        <f>+Tabla1[[#This Row],[PRECIO EN SOLES]]-Tabla1[[#This Row],[PC]]</f>
        <v>102.07000000000005</v>
      </c>
      <c r="K1719" s="15"/>
      <c r="L1719" s="15" t="str">
        <f t="shared" si="26"/>
        <v>GANCHO</v>
      </c>
    </row>
    <row r="1720" spans="1:12" x14ac:dyDescent="0.25">
      <c r="A1720" s="3" t="s">
        <v>2424</v>
      </c>
      <c r="B1720" s="3" t="s">
        <v>2425</v>
      </c>
      <c r="C1720" s="1">
        <v>17</v>
      </c>
      <c r="D1720" s="1">
        <v>2.5</v>
      </c>
      <c r="E1720" s="1" t="s">
        <v>54</v>
      </c>
      <c r="F1720" s="1" t="s">
        <v>3820</v>
      </c>
      <c r="G1720" s="3" t="s">
        <v>2426</v>
      </c>
      <c r="H1720" s="11">
        <f>ROUND(
IF(L1720="GANCHO",
   IF(I1720&lt;=50,I1720*1.1+4,IF(I1720&lt;=120,I1720*1.1+7,IF(I1720&lt;=250,I1720*1.1+11,I1720*1.1+19))),
IF(L1720="NORMAL",
   IF(I1720&lt;=30,I1720*1.15+2,IF(I1720&lt;=80,I1720*1.15+4,IF(I1720&lt;=150,I1720*1.15+6,I1720*1.15+8))),
IF(L1720="COMPLEMENTO",
   IF(I1720&lt;=25,I1720*1.25+1.5,IF(I1720&lt;=60,I1720*1.25+3,IF(I1720&lt;=120,I1720*1.25+4,I1720*1.25+5))),
""))),2)</f>
        <v>14.48</v>
      </c>
      <c r="I1720" s="9">
        <f>($K$2+0.02)*Tabla1[[#This Row],[PRECIO $]]*1.18</f>
        <v>10.384</v>
      </c>
      <c r="J1720" s="7">
        <f>+Tabla1[[#This Row],[PRECIO EN SOLES]]-Tabla1[[#This Row],[PC]]</f>
        <v>4.0960000000000001</v>
      </c>
      <c r="K1720" s="15"/>
      <c r="L1720" s="15" t="str">
        <f t="shared" si="26"/>
        <v>COMPLEMENTO</v>
      </c>
    </row>
    <row r="1721" spans="1:12" x14ac:dyDescent="0.25">
      <c r="A1721" s="3" t="s">
        <v>2427</v>
      </c>
      <c r="B1721" s="3" t="s">
        <v>2428</v>
      </c>
      <c r="C1721" s="1">
        <v>20</v>
      </c>
      <c r="D1721" s="1">
        <v>100</v>
      </c>
      <c r="E1721" s="1" t="s">
        <v>54</v>
      </c>
      <c r="F1721" s="1" t="s">
        <v>3821</v>
      </c>
      <c r="G1721" s="3" t="s">
        <v>2429</v>
      </c>
      <c r="H1721" s="11">
        <f>ROUND(
IF(L1721="GANCHO",
   IF(I1721&lt;=50,I1721*1.1+4,IF(I1721&lt;=120,I1721*1.1+7,IF(I1721&lt;=250,I1721*1.1+11,I1721*1.1+19))),
IF(L1721="NORMAL",
   IF(I1721&lt;=30,I1721*1.15+2,IF(I1721&lt;=80,I1721*1.15+4,IF(I1721&lt;=150,I1721*1.15+6,I1721*1.15+8))),
IF(L1721="COMPLEMENTO",
   IF(I1721&lt;=25,I1721*1.25+1.5,IF(I1721&lt;=60,I1721*1.25+3,IF(I1721&lt;=120,I1721*1.25+4,I1721*1.25+5))),
""))),2)</f>
        <v>485.66</v>
      </c>
      <c r="I1721" s="9">
        <f>($K$2+0.02)*Tabla1[[#This Row],[PRECIO $]]*1.18</f>
        <v>415.35999999999996</v>
      </c>
      <c r="J1721" s="7">
        <f>+Tabla1[[#This Row],[PRECIO EN SOLES]]-Tabla1[[#This Row],[PC]]</f>
        <v>70.300000000000068</v>
      </c>
      <c r="K1721" s="15"/>
      <c r="L1721" s="15" t="str">
        <f t="shared" si="26"/>
        <v>NORMAL</v>
      </c>
    </row>
    <row r="1722" spans="1:12" x14ac:dyDescent="0.25">
      <c r="A1722" s="3" t="s">
        <v>2804</v>
      </c>
      <c r="B1722" s="3" t="s">
        <v>2805</v>
      </c>
      <c r="C1722" s="1">
        <v>20</v>
      </c>
      <c r="D1722" s="1">
        <v>8</v>
      </c>
      <c r="E1722" s="1" t="s">
        <v>54</v>
      </c>
      <c r="F1722" s="1" t="s">
        <v>3822</v>
      </c>
      <c r="G1722" s="3"/>
      <c r="H1722" s="11">
        <f>ROUND(
IF(L1722="GANCHO",
   IF(I1722&lt;=50,I1722*1.1+4,IF(I1722&lt;=120,I1722*1.1+7,IF(I1722&lt;=250,I1722*1.1+11,I1722*1.1+19))),
IF(L1722="NORMAL",
   IF(I1722&lt;=30,I1722*1.15+2,IF(I1722&lt;=80,I1722*1.15+4,IF(I1722&lt;=150,I1722*1.15+6,I1722*1.15+8))),
IF(L1722="COMPLEMENTO",
   IF(I1722&lt;=25,I1722*1.25+1.5,IF(I1722&lt;=60,I1722*1.25+3,IF(I1722&lt;=120,I1722*1.25+4,I1722*1.25+5))),
""))),2)</f>
        <v>42.21</v>
      </c>
      <c r="I1722" s="9">
        <f>($K$2+0.02)*Tabla1[[#This Row],[PRECIO $]]*1.18</f>
        <v>33.2288</v>
      </c>
      <c r="J1722" s="7">
        <f>+Tabla1[[#This Row],[PRECIO EN SOLES]]-Tabla1[[#This Row],[PC]]</f>
        <v>8.9812000000000012</v>
      </c>
      <c r="K1722" s="15"/>
      <c r="L1722" s="15" t="str">
        <f t="shared" si="26"/>
        <v>NORMAL</v>
      </c>
    </row>
    <row r="1723" spans="1:12" x14ac:dyDescent="0.25">
      <c r="A1723" s="3" t="s">
        <v>2430</v>
      </c>
      <c r="B1723" s="3" t="s">
        <v>2431</v>
      </c>
      <c r="C1723" s="1">
        <v>6</v>
      </c>
      <c r="D1723" s="1">
        <v>40</v>
      </c>
      <c r="E1723" s="1" t="s">
        <v>784</v>
      </c>
      <c r="F1723" s="1" t="s">
        <v>3823</v>
      </c>
      <c r="G1723" s="3" t="s">
        <v>2432</v>
      </c>
      <c r="H1723" s="11">
        <f>ROUND(
IF(L1723="GANCHO",
   IF(I1723&lt;=50,I1723*1.1+4,IF(I1723&lt;=120,I1723*1.1+7,IF(I1723&lt;=250,I1723*1.1+11,I1723*1.1+19))),
IF(L1723="NORMAL",
   IF(I1723&lt;=30,I1723*1.15+2,IF(I1723&lt;=80,I1723*1.15+4,IF(I1723&lt;=150,I1723*1.15+6,I1723*1.15+8))),
IF(L1723="COMPLEMENTO",
   IF(I1723&lt;=25,I1723*1.25+1.5,IF(I1723&lt;=60,I1723*1.25+3,IF(I1723&lt;=120,I1723*1.25+4,I1723*1.25+5))),
""))),2)</f>
        <v>199.07</v>
      </c>
      <c r="I1723" s="9">
        <f>($K$2+0.02)*Tabla1[[#This Row],[PRECIO $]]*1.18</f>
        <v>166.14400000000001</v>
      </c>
      <c r="J1723" s="7">
        <f>+Tabla1[[#This Row],[PRECIO EN SOLES]]-Tabla1[[#This Row],[PC]]</f>
        <v>32.925999999999988</v>
      </c>
      <c r="K1723" s="15"/>
      <c r="L1723" s="15" t="str">
        <f t="shared" si="26"/>
        <v>NORMAL</v>
      </c>
    </row>
    <row r="1724" spans="1:12" x14ac:dyDescent="0.25">
      <c r="A1724" s="3" t="s">
        <v>2433</v>
      </c>
      <c r="B1724" s="3" t="s">
        <v>2434</v>
      </c>
      <c r="C1724" s="1">
        <v>12</v>
      </c>
      <c r="D1724" s="1">
        <v>7</v>
      </c>
      <c r="E1724" s="1" t="s">
        <v>54</v>
      </c>
      <c r="F1724" s="1" t="s">
        <v>3824</v>
      </c>
      <c r="G1724" s="3" t="s">
        <v>2435</v>
      </c>
      <c r="H1724" s="11">
        <f>ROUND(
IF(L1724="GANCHO",
   IF(I1724&lt;=50,I1724*1.1+4,IF(I1724&lt;=120,I1724*1.1+7,IF(I1724&lt;=250,I1724*1.1+11,I1724*1.1+19))),
IF(L1724="NORMAL",
   IF(I1724&lt;=30,I1724*1.15+2,IF(I1724&lt;=80,I1724*1.15+4,IF(I1724&lt;=150,I1724*1.15+6,I1724*1.15+8))),
IF(L1724="COMPLEMENTO",
   IF(I1724&lt;=25,I1724*1.25+1.5,IF(I1724&lt;=60,I1724*1.25+3,IF(I1724&lt;=120,I1724*1.25+4,I1724*1.25+5))),
""))),2)</f>
        <v>39.340000000000003</v>
      </c>
      <c r="I1724" s="9">
        <f>($K$2+0.02)*Tabla1[[#This Row],[PRECIO $]]*1.18</f>
        <v>29.075199999999999</v>
      </c>
      <c r="J1724" s="7">
        <f>+Tabla1[[#This Row],[PRECIO EN SOLES]]-Tabla1[[#This Row],[PC]]</f>
        <v>10.264800000000005</v>
      </c>
      <c r="K1724" s="15"/>
      <c r="L1724" s="15" t="str">
        <f t="shared" si="26"/>
        <v>COMPLEMENTO</v>
      </c>
    </row>
    <row r="1725" spans="1:12" x14ac:dyDescent="0.25">
      <c r="A1725" s="3" t="s">
        <v>7116</v>
      </c>
      <c r="B1725" s="3" t="s">
        <v>7117</v>
      </c>
      <c r="C1725" s="1">
        <v>1</v>
      </c>
      <c r="D1725" s="1">
        <v>110</v>
      </c>
      <c r="E1725" s="1" t="s">
        <v>784</v>
      </c>
      <c r="F1725" s="1" t="s">
        <v>7118</v>
      </c>
      <c r="G1725" s="3" t="s">
        <v>7119</v>
      </c>
      <c r="H1725" s="11">
        <f>ROUND(
IF(L1725="GANCHO",
   IF(I1725&lt;=50,I1725*1.1+4,IF(I1725&lt;=120,I1725*1.1+7,IF(I1725&lt;=250,I1725*1.1+11,I1725*1.1+19))),
IF(L1725="NORMAL",
   IF(I1725&lt;=30,I1725*1.15+2,IF(I1725&lt;=80,I1725*1.15+4,IF(I1725&lt;=150,I1725*1.15+6,I1725*1.15+8))),
IF(L1725="COMPLEMENTO",
   IF(I1725&lt;=25,I1725*1.25+1.5,IF(I1725&lt;=60,I1725*1.25+3,IF(I1725&lt;=120,I1725*1.25+4,I1725*1.25+5))),
""))),2)</f>
        <v>576.12</v>
      </c>
      <c r="I1725" s="9">
        <f>($K$2+0.02)*Tabla1[[#This Row],[PRECIO $]]*1.18</f>
        <v>456.89599999999996</v>
      </c>
      <c r="J1725" s="7">
        <f>+Tabla1[[#This Row],[PRECIO EN SOLES]]-Tabla1[[#This Row],[PC]]</f>
        <v>119.22400000000005</v>
      </c>
      <c r="K1725" s="15"/>
      <c r="L1725" s="15" t="str">
        <f t="shared" si="26"/>
        <v>COMPLEMENTO</v>
      </c>
    </row>
    <row r="1726" spans="1:12" x14ac:dyDescent="0.25">
      <c r="A1726" s="3" t="s">
        <v>4693</v>
      </c>
      <c r="B1726" s="3" t="s">
        <v>4694</v>
      </c>
      <c r="C1726" s="1">
        <v>1</v>
      </c>
      <c r="D1726" s="1">
        <v>96</v>
      </c>
      <c r="E1726" s="1" t="s">
        <v>784</v>
      </c>
      <c r="F1726" s="1" t="s">
        <v>4695</v>
      </c>
      <c r="G1726" s="3" t="s">
        <v>4696</v>
      </c>
      <c r="H1726" s="11">
        <f>ROUND(
IF(L1726="GANCHO",
   IF(I1726&lt;=50,I1726*1.1+4,IF(I1726&lt;=120,I1726*1.1+7,IF(I1726&lt;=250,I1726*1.1+11,I1726*1.1+19))),
IF(L1726="NORMAL",
   IF(I1726&lt;=30,I1726*1.15+2,IF(I1726&lt;=80,I1726*1.15+4,IF(I1726&lt;=150,I1726*1.15+6,I1726*1.15+8))),
IF(L1726="COMPLEMENTO",
   IF(I1726&lt;=25,I1726*1.25+1.5,IF(I1726&lt;=60,I1726*1.25+3,IF(I1726&lt;=120,I1726*1.25+4,I1726*1.25+5))),
""))),2)</f>
        <v>466.56</v>
      </c>
      <c r="I1726" s="9">
        <f>($K$2+0.02)*Tabla1[[#This Row],[PRECIO $]]*1.18</f>
        <v>398.74560000000002</v>
      </c>
      <c r="J1726" s="7">
        <f>+Tabla1[[#This Row],[PRECIO EN SOLES]]-Tabla1[[#This Row],[PC]]</f>
        <v>67.814399999999978</v>
      </c>
      <c r="K1726" s="15"/>
      <c r="L1726" s="15" t="str">
        <f t="shared" si="26"/>
        <v>NORMAL</v>
      </c>
    </row>
    <row r="1727" spans="1:12" x14ac:dyDescent="0.25">
      <c r="A1727" s="3" t="s">
        <v>2436</v>
      </c>
      <c r="B1727" s="3" t="s">
        <v>2437</v>
      </c>
      <c r="C1727" s="1">
        <v>3</v>
      </c>
      <c r="D1727" s="1">
        <v>18.399999999999999</v>
      </c>
      <c r="E1727" s="1" t="s">
        <v>54</v>
      </c>
      <c r="F1727" s="1" t="s">
        <v>3825</v>
      </c>
      <c r="G1727" s="3" t="s">
        <v>2438</v>
      </c>
      <c r="H1727" s="11">
        <f>ROUND(
IF(L1727="GANCHO",
   IF(I1727&lt;=50,I1727*1.1+4,IF(I1727&lt;=120,I1727*1.1+7,IF(I1727&lt;=250,I1727*1.1+11,I1727*1.1+19))),
IF(L1727="NORMAL",
   IF(I1727&lt;=30,I1727*1.15+2,IF(I1727&lt;=80,I1727*1.15+4,IF(I1727&lt;=150,I1727*1.15+6,I1727*1.15+8))),
IF(L1727="COMPLEMENTO",
   IF(I1727&lt;=25,I1727*1.25+1.5,IF(I1727&lt;=60,I1727*1.25+3,IF(I1727&lt;=120,I1727*1.25+4,I1727*1.25+5))),
""))),2)</f>
        <v>99.53</v>
      </c>
      <c r="I1727" s="9">
        <f>($K$2+0.02)*Tabla1[[#This Row],[PRECIO $]]*1.18</f>
        <v>76.426239999999993</v>
      </c>
      <c r="J1727" s="7">
        <f>+Tabla1[[#This Row],[PRECIO EN SOLES]]-Tabla1[[#This Row],[PC]]</f>
        <v>23.103760000000008</v>
      </c>
      <c r="K1727" s="15"/>
      <c r="L1727" s="15" t="str">
        <f t="shared" si="26"/>
        <v>COMPLEMENTO</v>
      </c>
    </row>
    <row r="1728" spans="1:12" x14ac:dyDescent="0.25">
      <c r="A1728" s="3" t="s">
        <v>2439</v>
      </c>
      <c r="B1728" s="3" t="s">
        <v>2440</v>
      </c>
      <c r="C1728" s="1">
        <v>10</v>
      </c>
      <c r="D1728" s="1">
        <v>6.4</v>
      </c>
      <c r="E1728" s="1" t="s">
        <v>54</v>
      </c>
      <c r="F1728" s="1" t="s">
        <v>3826</v>
      </c>
      <c r="G1728" s="3" t="s">
        <v>2441</v>
      </c>
      <c r="H1728" s="11">
        <f>ROUND(
IF(L1728="GANCHO",
   IF(I1728&lt;=50,I1728*1.1+4,IF(I1728&lt;=120,I1728*1.1+7,IF(I1728&lt;=250,I1728*1.1+11,I1728*1.1+19))),
IF(L1728="NORMAL",
   IF(I1728&lt;=30,I1728*1.15+2,IF(I1728&lt;=80,I1728*1.15+4,IF(I1728&lt;=150,I1728*1.15+6,I1728*1.15+8))),
IF(L1728="COMPLEMENTO",
   IF(I1728&lt;=25,I1728*1.25+1.5,IF(I1728&lt;=60,I1728*1.25+3,IF(I1728&lt;=120,I1728*1.25+4,I1728*1.25+5))),
""))),2)</f>
        <v>32.57</v>
      </c>
      <c r="I1728" s="9">
        <f>($K$2+0.02)*Tabla1[[#This Row],[PRECIO $]]*1.18</f>
        <v>26.58304</v>
      </c>
      <c r="J1728" s="7">
        <f>+Tabla1[[#This Row],[PRECIO EN SOLES]]-Tabla1[[#This Row],[PC]]</f>
        <v>5.9869599999999998</v>
      </c>
      <c r="K1728" s="15"/>
      <c r="L1728" s="15" t="str">
        <f t="shared" si="26"/>
        <v>NORMAL</v>
      </c>
    </row>
    <row r="1729" spans="1:12" x14ac:dyDescent="0.25">
      <c r="A1729" s="3" t="s">
        <v>2442</v>
      </c>
      <c r="B1729" s="3" t="s">
        <v>2443</v>
      </c>
      <c r="C1729" s="1">
        <v>1</v>
      </c>
      <c r="D1729" s="1">
        <v>2.54</v>
      </c>
      <c r="E1729" s="1" t="s">
        <v>54</v>
      </c>
      <c r="F1729" s="1" t="s">
        <v>3827</v>
      </c>
      <c r="G1729" s="3" t="s">
        <v>2444</v>
      </c>
      <c r="H1729" s="11">
        <f>ROUND(
IF(L1729="GANCHO",
   IF(I1729&lt;=50,I1729*1.1+4,IF(I1729&lt;=120,I1729*1.1+7,IF(I1729&lt;=250,I1729*1.1+11,I1729*1.1+19))),
IF(L1729="NORMAL",
   IF(I1729&lt;=30,I1729*1.15+2,IF(I1729&lt;=80,I1729*1.15+4,IF(I1729&lt;=150,I1729*1.15+6,I1729*1.15+8))),
IF(L1729="COMPLEMENTO",
   IF(I1729&lt;=25,I1729*1.25+1.5,IF(I1729&lt;=60,I1729*1.25+3,IF(I1729&lt;=120,I1729*1.25+4,I1729*1.25+5))),
""))),2)</f>
        <v>14.13</v>
      </c>
      <c r="I1729" s="9">
        <f>($K$2+0.02)*Tabla1[[#This Row],[PRECIO $]]*1.18</f>
        <v>10.550144</v>
      </c>
      <c r="J1729" s="7">
        <f>+Tabla1[[#This Row],[PRECIO EN SOLES]]-Tabla1[[#This Row],[PC]]</f>
        <v>3.5798560000000013</v>
      </c>
      <c r="K1729" s="15"/>
      <c r="L1729" s="15" t="str">
        <f t="shared" si="26"/>
        <v>NORMAL</v>
      </c>
    </row>
    <row r="1730" spans="1:12" x14ac:dyDescent="0.25">
      <c r="A1730" s="3" t="s">
        <v>4204</v>
      </c>
      <c r="B1730" s="3" t="s">
        <v>4205</v>
      </c>
      <c r="C1730" s="1">
        <v>20</v>
      </c>
      <c r="D1730" s="1">
        <v>10</v>
      </c>
      <c r="E1730" s="1" t="s">
        <v>784</v>
      </c>
      <c r="F1730" s="1" t="s">
        <v>4206</v>
      </c>
      <c r="G1730" s="3" t="s">
        <v>4207</v>
      </c>
      <c r="H1730" s="11">
        <f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54.92</v>
      </c>
      <c r="I1730" s="9">
        <f>($K$2+0.02)*Tabla1[[#This Row],[PRECIO $]]*1.18</f>
        <v>41.536000000000001</v>
      </c>
      <c r="J1730" s="7">
        <f>+Tabla1[[#This Row],[PRECIO EN SOLES]]-Tabla1[[#This Row],[PC]]</f>
        <v>13.384</v>
      </c>
      <c r="K1730" s="15"/>
      <c r="L1730" s="15" t="str">
        <f t="shared" si="26"/>
        <v>COMPLEMENTO</v>
      </c>
    </row>
    <row r="1731" spans="1:12" x14ac:dyDescent="0.25">
      <c r="A1731" s="3" t="s">
        <v>2445</v>
      </c>
      <c r="B1731" s="3" t="s">
        <v>2446</v>
      </c>
      <c r="C1731" s="1">
        <v>5</v>
      </c>
      <c r="D1731" s="1">
        <v>23</v>
      </c>
      <c r="E1731" s="1" t="s">
        <v>784</v>
      </c>
      <c r="F1731" s="1" t="s">
        <v>3828</v>
      </c>
      <c r="G1731" s="3" t="s">
        <v>2447</v>
      </c>
      <c r="H1731" s="11">
        <f>ROUND(
IF(L1731="GANCHO",
   IF(I1731&lt;=50,I1731*1.1+4,IF(I1731&lt;=120,I1731*1.1+7,IF(I1731&lt;=250,I1731*1.1+11,I1731*1.1+19))),
IF(L1731="NORMAL",
   IF(I1731&lt;=30,I1731*1.15+2,IF(I1731&lt;=80,I1731*1.15+4,IF(I1731&lt;=150,I1731*1.15+6,I1731*1.15+8))),
IF(L1731="COMPLEMENTO",
   IF(I1731&lt;=25,I1731*1.25+1.5,IF(I1731&lt;=60,I1731*1.25+3,IF(I1731&lt;=120,I1731*1.25+4,I1731*1.25+5))),
""))),2)</f>
        <v>123.42</v>
      </c>
      <c r="I1731" s="9">
        <f>($K$2+0.02)*Tabla1[[#This Row],[PRECIO $]]*1.18</f>
        <v>95.532799999999995</v>
      </c>
      <c r="J1731" s="7">
        <f>+Tabla1[[#This Row],[PRECIO EN SOLES]]-Tabla1[[#This Row],[PC]]</f>
        <v>27.887200000000007</v>
      </c>
      <c r="K1731" s="15"/>
      <c r="L1731" s="15" t="str">
        <f t="shared" ref="L1731:L1794" si="27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2448</v>
      </c>
      <c r="B1732" s="3" t="s">
        <v>2449</v>
      </c>
      <c r="C1732" s="1">
        <v>6</v>
      </c>
      <c r="D1732" s="1">
        <v>29</v>
      </c>
      <c r="E1732" s="1" t="s">
        <v>784</v>
      </c>
      <c r="F1732" s="1" t="s">
        <v>3829</v>
      </c>
      <c r="G1732" s="3" t="s">
        <v>2450</v>
      </c>
      <c r="H1732" s="11">
        <f>ROUND(
IF(L1732="GANCHO",
   IF(I1732&lt;=50,I1732*1.1+4,IF(I1732&lt;=120,I1732*1.1+7,IF(I1732&lt;=250,I1732*1.1+11,I1732*1.1+19))),
IF(L1732="NORMAL",
   IF(I1732&lt;=30,I1732*1.15+2,IF(I1732&lt;=80,I1732*1.15+4,IF(I1732&lt;=150,I1732*1.15+6,I1732*1.15+8))),
IF(L1732="COMPLEMENTO",
   IF(I1732&lt;=25,I1732*1.25+1.5,IF(I1732&lt;=60,I1732*1.25+3,IF(I1732&lt;=120,I1732*1.25+4,I1732*1.25+5))),
""))),2)</f>
        <v>155.57</v>
      </c>
      <c r="I1732" s="9">
        <f>($K$2+0.02)*Tabla1[[#This Row],[PRECIO $]]*1.18</f>
        <v>120.45439999999999</v>
      </c>
      <c r="J1732" s="7">
        <f>+Tabla1[[#This Row],[PRECIO EN SOLES]]-Tabla1[[#This Row],[PC]]</f>
        <v>35.115600000000001</v>
      </c>
      <c r="K1732" s="15"/>
      <c r="L1732" s="15" t="str">
        <f t="shared" si="27"/>
        <v>COMPLEMENTO</v>
      </c>
    </row>
    <row r="1733" spans="1:12" x14ac:dyDescent="0.25">
      <c r="A1733" s="3" t="s">
        <v>2451</v>
      </c>
      <c r="B1733" s="3" t="s">
        <v>2452</v>
      </c>
      <c r="C1733" s="1">
        <v>1</v>
      </c>
      <c r="D1733" s="1">
        <v>1</v>
      </c>
      <c r="E1733" s="1" t="s">
        <v>54</v>
      </c>
      <c r="F1733" s="1" t="s">
        <v>3830</v>
      </c>
      <c r="G1733" s="3" t="s">
        <v>2453</v>
      </c>
      <c r="H1733" s="11">
        <f>ROUND(
IF(L1733="GANCHO",
   IF(I1733&lt;=50,I1733*1.1+4,IF(I1733&lt;=120,I1733*1.1+7,IF(I1733&lt;=250,I1733*1.1+11,I1733*1.1+19))),
IF(L1733="NORMAL",
   IF(I1733&lt;=30,I1733*1.15+2,IF(I1733&lt;=80,I1733*1.15+4,IF(I1733&lt;=150,I1733*1.15+6,I1733*1.15+8))),
IF(L1733="COMPLEMENTO",
   IF(I1733&lt;=25,I1733*1.25+1.5,IF(I1733&lt;=60,I1733*1.25+3,IF(I1733&lt;=120,I1733*1.25+4,I1733*1.25+5))),
""))),2)</f>
        <v>6.69</v>
      </c>
      <c r="I1733" s="9">
        <f>($K$2+0.02)*Tabla1[[#This Row],[PRECIO $]]*1.18</f>
        <v>4.1536</v>
      </c>
      <c r="J1733" s="7">
        <f>+Tabla1[[#This Row],[PRECIO EN SOLES]]-Tabla1[[#This Row],[PC]]</f>
        <v>2.5364000000000004</v>
      </c>
      <c r="K1733" s="15"/>
      <c r="L1733" s="15" t="str">
        <f t="shared" si="27"/>
        <v>COMPLEMENTO</v>
      </c>
    </row>
    <row r="1734" spans="1:12" x14ac:dyDescent="0.25">
      <c r="A1734" s="3" t="s">
        <v>537</v>
      </c>
      <c r="B1734" s="3" t="s">
        <v>538</v>
      </c>
      <c r="C1734" s="1">
        <v>20</v>
      </c>
      <c r="D1734" s="1">
        <v>9.6999999999999993</v>
      </c>
      <c r="E1734" s="1" t="s">
        <v>52</v>
      </c>
      <c r="F1734" s="1" t="s">
        <v>3831</v>
      </c>
      <c r="G1734" s="3" t="s">
        <v>539</v>
      </c>
      <c r="H1734" s="11">
        <f>ROUND(
IF(L1734="GANCHO",
   IF(I1734&lt;=50,I1734*1.1+4,IF(I1734&lt;=120,I1734*1.1+7,IF(I1734&lt;=250,I1734*1.1+11,I1734*1.1+19))),
IF(L1734="NORMAL",
   IF(I1734&lt;=30,I1734*1.15+2,IF(I1734&lt;=80,I1734*1.15+4,IF(I1734&lt;=150,I1734*1.15+6,I1734*1.15+8))),
IF(L1734="COMPLEMENTO",
   IF(I1734&lt;=25,I1734*1.25+1.5,IF(I1734&lt;=60,I1734*1.25+3,IF(I1734&lt;=120,I1734*1.25+4,I1734*1.25+5))),
""))),2)</f>
        <v>53.36</v>
      </c>
      <c r="I1734" s="9">
        <f>($K$2+0.02)*Tabla1[[#This Row],[PRECIO $]]*1.18</f>
        <v>40.289919999999995</v>
      </c>
      <c r="J1734" s="7">
        <f>+Tabla1[[#This Row],[PRECIO EN SOLES]]-Tabla1[[#This Row],[PC]]</f>
        <v>13.070080000000004</v>
      </c>
      <c r="K1734" s="15"/>
      <c r="L1734" s="15" t="str">
        <f t="shared" si="27"/>
        <v>COMPLEMENTO</v>
      </c>
    </row>
    <row r="1735" spans="1:12" x14ac:dyDescent="0.25">
      <c r="A1735" s="3" t="s">
        <v>2454</v>
      </c>
      <c r="B1735" s="3" t="s">
        <v>2455</v>
      </c>
      <c r="C1735" s="1">
        <v>20</v>
      </c>
      <c r="D1735" s="1">
        <v>8.6999999999999993</v>
      </c>
      <c r="E1735" s="1" t="s">
        <v>52</v>
      </c>
      <c r="F1735" s="1" t="s">
        <v>3832</v>
      </c>
      <c r="G1735" s="3" t="s">
        <v>2456</v>
      </c>
      <c r="H1735" s="11">
        <f>ROUND(
IF(L1735="GANCHO",
   IF(I1735&lt;=50,I1735*1.1+4,IF(I1735&lt;=120,I1735*1.1+7,IF(I1735&lt;=250,I1735*1.1+11,I1735*1.1+19))),
IF(L1735="NORMAL",
   IF(I1735&lt;=30,I1735*1.15+2,IF(I1735&lt;=80,I1735*1.15+4,IF(I1735&lt;=150,I1735*1.15+6,I1735*1.15+8))),
IF(L1735="COMPLEMENTO",
   IF(I1735&lt;=25,I1735*1.25+1.5,IF(I1735&lt;=60,I1735*1.25+3,IF(I1735&lt;=120,I1735*1.25+4,I1735*1.25+5))),
""))),2)</f>
        <v>48.17</v>
      </c>
      <c r="I1735" s="9">
        <f>($K$2+0.02)*Tabla1[[#This Row],[PRECIO $]]*1.18</f>
        <v>36.136319999999998</v>
      </c>
      <c r="J1735" s="7">
        <f>+Tabla1[[#This Row],[PRECIO EN SOLES]]-Tabla1[[#This Row],[PC]]</f>
        <v>12.033680000000004</v>
      </c>
      <c r="K1735" s="15"/>
      <c r="L1735" s="15" t="str">
        <f t="shared" si="27"/>
        <v>COMPLEMENTO</v>
      </c>
    </row>
    <row r="1736" spans="1:12" x14ac:dyDescent="0.25">
      <c r="A1736" s="3" t="s">
        <v>2457</v>
      </c>
      <c r="B1736" s="3" t="s">
        <v>2455</v>
      </c>
      <c r="C1736" s="1">
        <v>20</v>
      </c>
      <c r="D1736" s="1">
        <v>14.3</v>
      </c>
      <c r="E1736" s="1" t="s">
        <v>52</v>
      </c>
      <c r="F1736" s="1" t="s">
        <v>3833</v>
      </c>
      <c r="G1736" s="3" t="s">
        <v>2458</v>
      </c>
      <c r="H1736" s="11">
        <f>ROUND(
IF(L1736="GANCHO",
   IF(I1736&lt;=50,I1736*1.1+4,IF(I1736&lt;=120,I1736*1.1+7,IF(I1736&lt;=250,I1736*1.1+11,I1736*1.1+19))),
IF(L1736="NORMAL",
   IF(I1736&lt;=30,I1736*1.15+2,IF(I1736&lt;=80,I1736*1.15+4,IF(I1736&lt;=150,I1736*1.15+6,I1736*1.15+8))),
IF(L1736="COMPLEMENTO",
   IF(I1736&lt;=25,I1736*1.25+1.5,IF(I1736&lt;=60,I1736*1.25+3,IF(I1736&lt;=120,I1736*1.25+4,I1736*1.25+5))),
""))),2)</f>
        <v>77.25</v>
      </c>
      <c r="I1736" s="9">
        <f>($K$2+0.02)*Tabla1[[#This Row],[PRECIO $]]*1.18</f>
        <v>59.396480000000004</v>
      </c>
      <c r="J1736" s="7">
        <f>+Tabla1[[#This Row],[PRECIO EN SOLES]]-Tabla1[[#This Row],[PC]]</f>
        <v>17.853519999999996</v>
      </c>
      <c r="K1736" s="15"/>
      <c r="L1736" s="15" t="str">
        <f t="shared" si="27"/>
        <v>COMPLEMENTO</v>
      </c>
    </row>
    <row r="1737" spans="1:12" x14ac:dyDescent="0.25">
      <c r="A1737" s="3" t="s">
        <v>6709</v>
      </c>
      <c r="B1737" s="3" t="s">
        <v>6710</v>
      </c>
      <c r="C1737" s="1">
        <v>0</v>
      </c>
      <c r="D1737" s="1">
        <v>87.49</v>
      </c>
      <c r="E1737" s="1" t="s">
        <v>115</v>
      </c>
      <c r="F1737" s="1" t="s">
        <v>6711</v>
      </c>
      <c r="G1737" s="3"/>
      <c r="H1737" s="11">
        <f>ROUND(
IF(L1737="GANCHO",
   IF(I1737&lt;=50,I1737*1.1+4,IF(I1737&lt;=120,I1737*1.1+7,IF(I1737&lt;=250,I1737*1.1+11,I1737*1.1+19))),
IF(L1737="NORMAL",
   IF(I1737&lt;=30,I1737*1.15+2,IF(I1737&lt;=80,I1737*1.15+4,IF(I1737&lt;=150,I1737*1.15+6,I1737*1.15+8))),
IF(L1737="COMPLEMENTO",
   IF(I1737&lt;=25,I1737*1.25+1.5,IF(I1737&lt;=60,I1737*1.25+3,IF(I1737&lt;=120,I1737*1.25+4,I1737*1.25+5))),
""))),2)</f>
        <v>425.91</v>
      </c>
      <c r="I1737" s="9">
        <f>($K$2+0.02)*Tabla1[[#This Row],[PRECIO $]]*1.18</f>
        <v>363.39846399999993</v>
      </c>
      <c r="J1737" s="7">
        <f>+Tabla1[[#This Row],[PRECIO EN SOLES]]-Tabla1[[#This Row],[PC]]</f>
        <v>62.511536000000092</v>
      </c>
      <c r="K1737" s="15"/>
      <c r="L1737" s="15" t="str">
        <f t="shared" si="27"/>
        <v>NORMAL</v>
      </c>
    </row>
    <row r="1738" spans="1:12" x14ac:dyDescent="0.25">
      <c r="A1738" s="3" t="s">
        <v>540</v>
      </c>
      <c r="B1738" s="3" t="s">
        <v>541</v>
      </c>
      <c r="C1738" s="1">
        <v>0</v>
      </c>
      <c r="D1738" s="1">
        <v>15.5</v>
      </c>
      <c r="E1738" s="1" t="s">
        <v>52</v>
      </c>
      <c r="F1738" s="1" t="s">
        <v>3834</v>
      </c>
      <c r="G1738" s="3" t="s">
        <v>542</v>
      </c>
      <c r="H1738" s="11">
        <f>ROUND(
IF(L1738="GANCHO",
   IF(I1738&lt;=50,I1738*1.1+4,IF(I1738&lt;=120,I1738*1.1+7,IF(I1738&lt;=250,I1738*1.1+11,I1738*1.1+19))),
IF(L1738="NORMAL",
   IF(I1738&lt;=30,I1738*1.15+2,IF(I1738&lt;=80,I1738*1.15+4,IF(I1738&lt;=150,I1738*1.15+6,I1738*1.15+8))),
IF(L1738="COMPLEMENTO",
   IF(I1738&lt;=25,I1738*1.25+1.5,IF(I1738&lt;=60,I1738*1.25+3,IF(I1738&lt;=120,I1738*1.25+4,I1738*1.25+5))),
""))),2)</f>
        <v>84.48</v>
      </c>
      <c r="I1738" s="9">
        <f>($K$2+0.02)*Tabla1[[#This Row],[PRECIO $]]*1.18</f>
        <v>64.380799999999994</v>
      </c>
      <c r="J1738" s="7">
        <f>+Tabla1[[#This Row],[PRECIO EN SOLES]]-Tabla1[[#This Row],[PC]]</f>
        <v>20.09920000000001</v>
      </c>
      <c r="K1738" s="15"/>
      <c r="L1738" s="15" t="str">
        <f t="shared" si="27"/>
        <v>COMPLEMENTO</v>
      </c>
    </row>
    <row r="1739" spans="1:12" x14ac:dyDescent="0.25">
      <c r="A1739" s="3" t="s">
        <v>543</v>
      </c>
      <c r="B1739" s="3" t="s">
        <v>544</v>
      </c>
      <c r="C1739" s="1">
        <v>20</v>
      </c>
      <c r="D1739" s="1">
        <v>5.3</v>
      </c>
      <c r="E1739" s="1" t="s">
        <v>52</v>
      </c>
      <c r="F1739" s="1" t="s">
        <v>3835</v>
      </c>
      <c r="G1739" s="3" t="s">
        <v>545</v>
      </c>
      <c r="H1739" s="11">
        <f>ROUND(
IF(L1739="GANCHO",
   IF(I1739&lt;=50,I1739*1.1+4,IF(I1739&lt;=120,I1739*1.1+7,IF(I1739&lt;=250,I1739*1.1+11,I1739*1.1+19))),
IF(L1739="NORMAL",
   IF(I1739&lt;=30,I1739*1.15+2,IF(I1739&lt;=80,I1739*1.15+4,IF(I1739&lt;=150,I1739*1.15+6,I1739*1.15+8))),
IF(L1739="COMPLEMENTO",
   IF(I1739&lt;=25,I1739*1.25+1.5,IF(I1739&lt;=60,I1739*1.25+3,IF(I1739&lt;=120,I1739*1.25+4,I1739*1.25+5))),
""))),2)</f>
        <v>29.02</v>
      </c>
      <c r="I1739" s="9">
        <f>($K$2+0.02)*Tabla1[[#This Row],[PRECIO $]]*1.18</f>
        <v>22.014079999999996</v>
      </c>
      <c r="J1739" s="7">
        <f>+Tabla1[[#This Row],[PRECIO EN SOLES]]-Tabla1[[#This Row],[PC]]</f>
        <v>7.0059200000000033</v>
      </c>
      <c r="K1739" s="15"/>
      <c r="L1739" s="15" t="str">
        <f t="shared" si="27"/>
        <v>COMPLEMENTO</v>
      </c>
    </row>
    <row r="1740" spans="1:12" x14ac:dyDescent="0.25">
      <c r="A1740" s="3" t="s">
        <v>546</v>
      </c>
      <c r="B1740" s="3" t="s">
        <v>547</v>
      </c>
      <c r="C1740" s="1">
        <v>20</v>
      </c>
      <c r="D1740" s="1">
        <v>15.5</v>
      </c>
      <c r="E1740" s="1" t="s">
        <v>52</v>
      </c>
      <c r="F1740" s="1" t="s">
        <v>3836</v>
      </c>
      <c r="G1740" s="3" t="s">
        <v>548</v>
      </c>
      <c r="H1740" s="11">
        <f>ROUND(
IF(L1740="GANCHO",
   IF(I1740&lt;=50,I1740*1.1+4,IF(I1740&lt;=120,I1740*1.1+7,IF(I1740&lt;=250,I1740*1.1+11,I1740*1.1+19))),
IF(L1740="NORMAL",
   IF(I1740&lt;=30,I1740*1.15+2,IF(I1740&lt;=80,I1740*1.15+4,IF(I1740&lt;=150,I1740*1.15+6,I1740*1.15+8))),
IF(L1740="COMPLEMENTO",
   IF(I1740&lt;=25,I1740*1.25+1.5,IF(I1740&lt;=60,I1740*1.25+3,IF(I1740&lt;=120,I1740*1.25+4,I1740*1.25+5))),
""))),2)</f>
        <v>84.48</v>
      </c>
      <c r="I1740" s="9">
        <f>($K$2+0.02)*Tabla1[[#This Row],[PRECIO $]]*1.18</f>
        <v>64.380799999999994</v>
      </c>
      <c r="J1740" s="7">
        <f>+Tabla1[[#This Row],[PRECIO EN SOLES]]-Tabla1[[#This Row],[PC]]</f>
        <v>20.09920000000001</v>
      </c>
      <c r="K1740" s="15"/>
      <c r="L1740" s="15" t="str">
        <f t="shared" si="27"/>
        <v>COMPLEMENTO</v>
      </c>
    </row>
    <row r="1741" spans="1:12" x14ac:dyDescent="0.25">
      <c r="A1741" s="3" t="s">
        <v>4697</v>
      </c>
      <c r="B1741" s="3" t="s">
        <v>4698</v>
      </c>
      <c r="C1741" s="1">
        <v>20</v>
      </c>
      <c r="D1741" s="1">
        <v>10</v>
      </c>
      <c r="E1741" s="1" t="s">
        <v>52</v>
      </c>
      <c r="F1741" s="1" t="s">
        <v>4699</v>
      </c>
      <c r="G1741" s="3" t="s">
        <v>4700</v>
      </c>
      <c r="H1741" s="11">
        <f>ROUND(
IF(L1741="GANCHO",
   IF(I1741&lt;=50,I1741*1.1+4,IF(I1741&lt;=120,I1741*1.1+7,IF(I1741&lt;=250,I1741*1.1+11,I1741*1.1+19))),
IF(L1741="NORMAL",
   IF(I1741&lt;=30,I1741*1.15+2,IF(I1741&lt;=80,I1741*1.15+4,IF(I1741&lt;=150,I1741*1.15+6,I1741*1.15+8))),
IF(L1741="COMPLEMENTO",
   IF(I1741&lt;=25,I1741*1.25+1.5,IF(I1741&lt;=60,I1741*1.25+3,IF(I1741&lt;=120,I1741*1.25+4,I1741*1.25+5))),
""))),2)</f>
        <v>54.92</v>
      </c>
      <c r="I1741" s="9">
        <f>($K$2+0.02)*Tabla1[[#This Row],[PRECIO $]]*1.18</f>
        <v>41.536000000000001</v>
      </c>
      <c r="J1741" s="7">
        <f>+Tabla1[[#This Row],[PRECIO EN SOLES]]-Tabla1[[#This Row],[PC]]</f>
        <v>13.384</v>
      </c>
      <c r="K1741" s="15"/>
      <c r="L1741" s="15" t="str">
        <f t="shared" si="27"/>
        <v>COMPLEMENTO</v>
      </c>
    </row>
    <row r="1742" spans="1:12" x14ac:dyDescent="0.25">
      <c r="A1742" s="3" t="s">
        <v>7039</v>
      </c>
      <c r="B1742" s="3" t="s">
        <v>7040</v>
      </c>
      <c r="C1742" s="1">
        <v>0</v>
      </c>
      <c r="D1742" s="1">
        <v>1100</v>
      </c>
      <c r="E1742" s="1" t="s">
        <v>54</v>
      </c>
      <c r="F1742" s="1" t="s">
        <v>7041</v>
      </c>
      <c r="G1742" s="3" t="s">
        <v>7042</v>
      </c>
      <c r="H1742" s="11">
        <f>ROUND(
IF(L1742="GANCHO",
   IF(I1742&lt;=50,I1742*1.1+4,IF(I1742&lt;=120,I1742*1.1+7,IF(I1742&lt;=250,I1742*1.1+11,I1742*1.1+19))),
IF(L1742="NORMAL",
   IF(I1742&lt;=30,I1742*1.15+2,IF(I1742&lt;=80,I1742*1.15+4,IF(I1742&lt;=150,I1742*1.15+6,I1742*1.15+8))),
IF(L1742="COMPLEMENTO",
   IF(I1742&lt;=25,I1742*1.25+1.5,IF(I1742&lt;=60,I1742*1.25+3,IF(I1742&lt;=120,I1742*1.25+4,I1742*1.25+5))),
""))),2)</f>
        <v>5716.2</v>
      </c>
      <c r="I1742" s="9">
        <f>($K$2+0.02)*Tabla1[[#This Row],[PRECIO $]]*1.18</f>
        <v>4568.96</v>
      </c>
      <c r="J1742" s="7">
        <f>+Tabla1[[#This Row],[PRECIO EN SOLES]]-Tabla1[[#This Row],[PC]]</f>
        <v>1147.2399999999998</v>
      </c>
      <c r="K1742" s="15"/>
      <c r="L1742" s="15" t="str">
        <f t="shared" si="27"/>
        <v>COMPLEMENTO</v>
      </c>
    </row>
    <row r="1743" spans="1:12" x14ac:dyDescent="0.25">
      <c r="A1743" s="3" t="s">
        <v>549</v>
      </c>
      <c r="B1743" s="3" t="s">
        <v>550</v>
      </c>
      <c r="C1743" s="1">
        <v>2</v>
      </c>
      <c r="D1743" s="1">
        <v>6.6</v>
      </c>
      <c r="E1743" s="1" t="s">
        <v>52</v>
      </c>
      <c r="F1743" s="1" t="s">
        <v>3837</v>
      </c>
      <c r="G1743" s="3" t="s">
        <v>551</v>
      </c>
      <c r="H1743" s="11">
        <f>ROUND(
IF(L1743="GANCHO",
   IF(I1743&lt;=50,I1743*1.1+4,IF(I1743&lt;=120,I1743*1.1+7,IF(I1743&lt;=250,I1743*1.1+11,I1743*1.1+19))),
IF(L1743="NORMAL",
   IF(I1743&lt;=30,I1743*1.15+2,IF(I1743&lt;=80,I1743*1.15+4,IF(I1743&lt;=150,I1743*1.15+6,I1743*1.15+8))),
IF(L1743="COMPLEMENTO",
   IF(I1743&lt;=25,I1743*1.25+1.5,IF(I1743&lt;=60,I1743*1.25+3,IF(I1743&lt;=120,I1743*1.25+4,I1743*1.25+5))),
""))),2)</f>
        <v>37.270000000000003</v>
      </c>
      <c r="I1743" s="9">
        <f>($K$2+0.02)*Tabla1[[#This Row],[PRECIO $]]*1.18</f>
        <v>27.413759999999996</v>
      </c>
      <c r="J1743" s="7">
        <f>+Tabla1[[#This Row],[PRECIO EN SOLES]]-Tabla1[[#This Row],[PC]]</f>
        <v>9.8562400000000068</v>
      </c>
      <c r="K1743" s="15"/>
      <c r="L1743" s="15" t="str">
        <f t="shared" si="27"/>
        <v>COMPLEMENTO</v>
      </c>
    </row>
    <row r="1744" spans="1:12" x14ac:dyDescent="0.25">
      <c r="A1744" s="3" t="s">
        <v>552</v>
      </c>
      <c r="B1744" s="3" t="s">
        <v>553</v>
      </c>
      <c r="C1744" s="1">
        <v>0</v>
      </c>
      <c r="D1744" s="1">
        <v>4.59</v>
      </c>
      <c r="E1744" s="1" t="s">
        <v>52</v>
      </c>
      <c r="F1744" s="1" t="s">
        <v>3838</v>
      </c>
      <c r="G1744" s="3" t="s">
        <v>554</v>
      </c>
      <c r="H1744" s="11">
        <f>ROUND(
IF(L1744="GANCHO",
   IF(I1744&lt;=50,I1744*1.1+4,IF(I1744&lt;=120,I1744*1.1+7,IF(I1744&lt;=250,I1744*1.1+11,I1744*1.1+19))),
IF(L1744="NORMAL",
   IF(I1744&lt;=30,I1744*1.15+2,IF(I1744&lt;=80,I1744*1.15+4,IF(I1744&lt;=150,I1744*1.15+6,I1744*1.15+8))),
IF(L1744="COMPLEMENTO",
   IF(I1744&lt;=25,I1744*1.25+1.5,IF(I1744&lt;=60,I1744*1.25+3,IF(I1744&lt;=120,I1744*1.25+4,I1744*1.25+5))),
""))),2)</f>
        <v>25.33</v>
      </c>
      <c r="I1744" s="9">
        <f>($K$2+0.02)*Tabla1[[#This Row],[PRECIO $]]*1.18</f>
        <v>19.065024000000001</v>
      </c>
      <c r="J1744" s="7">
        <f>+Tabla1[[#This Row],[PRECIO EN SOLES]]-Tabla1[[#This Row],[PC]]</f>
        <v>6.2649759999999972</v>
      </c>
      <c r="K1744" s="15"/>
      <c r="L1744" s="15" t="str">
        <f t="shared" si="27"/>
        <v>COMPLEMENTO</v>
      </c>
    </row>
    <row r="1745" spans="1:12" x14ac:dyDescent="0.25">
      <c r="A1745" s="3" t="s">
        <v>555</v>
      </c>
      <c r="B1745" s="3" t="s">
        <v>556</v>
      </c>
      <c r="C1745" s="1">
        <v>0</v>
      </c>
      <c r="D1745" s="1">
        <v>6.3</v>
      </c>
      <c r="E1745" s="1" t="s">
        <v>52</v>
      </c>
      <c r="F1745" s="1" t="s">
        <v>3839</v>
      </c>
      <c r="G1745" s="3" t="s">
        <v>557</v>
      </c>
      <c r="H1745" s="11">
        <f>ROUND(
IF(L1745="GANCHO",
   IF(I1745&lt;=50,I1745*1.1+4,IF(I1745&lt;=120,I1745*1.1+7,IF(I1745&lt;=250,I1745*1.1+11,I1745*1.1+19))),
IF(L1745="NORMAL",
   IF(I1745&lt;=30,I1745*1.15+2,IF(I1745&lt;=80,I1745*1.15+4,IF(I1745&lt;=150,I1745*1.15+6,I1745*1.15+8))),
IF(L1745="COMPLEMENTO",
   IF(I1745&lt;=25,I1745*1.25+1.5,IF(I1745&lt;=60,I1745*1.25+3,IF(I1745&lt;=120,I1745*1.25+4,I1745*1.25+5))),
""))),2)</f>
        <v>35.71</v>
      </c>
      <c r="I1745" s="9">
        <f>($K$2+0.02)*Tabla1[[#This Row],[PRECIO $]]*1.18</f>
        <v>26.167679999999997</v>
      </c>
      <c r="J1745" s="7">
        <f>+Tabla1[[#This Row],[PRECIO EN SOLES]]-Tabla1[[#This Row],[PC]]</f>
        <v>9.5423200000000037</v>
      </c>
      <c r="K1745" s="15"/>
      <c r="L1745" s="15" t="str">
        <f t="shared" si="27"/>
        <v>COMPLEMENTO</v>
      </c>
    </row>
    <row r="1746" spans="1:12" x14ac:dyDescent="0.25">
      <c r="A1746" s="3" t="s">
        <v>2459</v>
      </c>
      <c r="B1746" s="3" t="s">
        <v>2460</v>
      </c>
      <c r="C1746" s="1">
        <v>0</v>
      </c>
      <c r="D1746" s="1">
        <v>999</v>
      </c>
      <c r="E1746" s="1" t="s">
        <v>184</v>
      </c>
      <c r="F1746" s="1" t="s">
        <v>3840</v>
      </c>
      <c r="G1746" s="3"/>
      <c r="H1746" s="11">
        <f>ROUND(
IF(L1746="GANCHO",
   IF(I1746&lt;=50,I1746*1.1+4,IF(I1746&lt;=120,I1746*1.1+7,IF(I1746&lt;=250,I1746*1.1+11,I1746*1.1+19))),
IF(L1746="NORMAL",
   IF(I1746&lt;=30,I1746*1.15+2,IF(I1746&lt;=80,I1746*1.15+4,IF(I1746&lt;=150,I1746*1.15+6,I1746*1.15+8))),
IF(L1746="COMPLEMENTO",
   IF(I1746&lt;=25,I1746*1.25+1.5,IF(I1746&lt;=60,I1746*1.25+3,IF(I1746&lt;=120,I1746*1.25+4,I1746*1.25+5))),
""))),2)</f>
        <v>5191.8100000000004</v>
      </c>
      <c r="I1746" s="9">
        <f>($K$2+0.02)*Tabla1[[#This Row],[PRECIO $]]*1.18</f>
        <v>4149.4463999999998</v>
      </c>
      <c r="J1746" s="7">
        <f>+Tabla1[[#This Row],[PRECIO EN SOLES]]-Tabla1[[#This Row],[PC]]</f>
        <v>1042.3636000000006</v>
      </c>
      <c r="K1746" s="15"/>
      <c r="L1746" s="15" t="str">
        <f t="shared" si="27"/>
        <v>COMPLEMENTO</v>
      </c>
    </row>
    <row r="1747" spans="1:12" x14ac:dyDescent="0.25">
      <c r="A1747" s="3" t="s">
        <v>558</v>
      </c>
      <c r="B1747" s="3" t="s">
        <v>559</v>
      </c>
      <c r="C1747" s="1">
        <v>20</v>
      </c>
      <c r="D1747" s="1">
        <v>8</v>
      </c>
      <c r="E1747" s="1" t="s">
        <v>52</v>
      </c>
      <c r="F1747" s="1" t="s">
        <v>3841</v>
      </c>
      <c r="G1747" s="3" t="s">
        <v>560</v>
      </c>
      <c r="H1747" s="11">
        <f>ROUND(
IF(L1747="GANCHO",
   IF(I1747&lt;=50,I1747*1.1+4,IF(I1747&lt;=120,I1747*1.1+7,IF(I1747&lt;=250,I1747*1.1+11,I1747*1.1+19))),
IF(L1747="NORMAL",
   IF(I1747&lt;=30,I1747*1.15+2,IF(I1747&lt;=80,I1747*1.15+4,IF(I1747&lt;=150,I1747*1.15+6,I1747*1.15+8))),
IF(L1747="COMPLEMENTO",
   IF(I1747&lt;=25,I1747*1.25+1.5,IF(I1747&lt;=60,I1747*1.25+3,IF(I1747&lt;=120,I1747*1.25+4,I1747*1.25+5))),
""))),2)</f>
        <v>42.21</v>
      </c>
      <c r="I1747" s="9">
        <f>($K$2+0.02)*Tabla1[[#This Row],[PRECIO $]]*1.18</f>
        <v>33.2288</v>
      </c>
      <c r="J1747" s="7">
        <f>+Tabla1[[#This Row],[PRECIO EN SOLES]]-Tabla1[[#This Row],[PC]]</f>
        <v>8.9812000000000012</v>
      </c>
      <c r="K1747" s="15"/>
      <c r="L1747" s="15" t="str">
        <f t="shared" si="27"/>
        <v>NORMAL</v>
      </c>
    </row>
    <row r="1748" spans="1:12" x14ac:dyDescent="0.25">
      <c r="A1748" s="3" t="s">
        <v>2461</v>
      </c>
      <c r="B1748" s="3" t="s">
        <v>2462</v>
      </c>
      <c r="C1748" s="1">
        <v>20</v>
      </c>
      <c r="D1748" s="1">
        <v>19.3</v>
      </c>
      <c r="E1748" s="1" t="s">
        <v>52</v>
      </c>
      <c r="F1748" s="1" t="s">
        <v>3842</v>
      </c>
      <c r="G1748" s="3" t="s">
        <v>2463</v>
      </c>
      <c r="H1748" s="11">
        <f>ROUND(
IF(L1748="GANCHO",
   IF(I1748&lt;=50,I1748*1.1+4,IF(I1748&lt;=120,I1748*1.1+7,IF(I1748&lt;=250,I1748*1.1+11,I1748*1.1+19))),
IF(L1748="NORMAL",
   IF(I1748&lt;=30,I1748*1.15+2,IF(I1748&lt;=80,I1748*1.15+4,IF(I1748&lt;=150,I1748*1.15+6,I1748*1.15+8))),
IF(L1748="COMPLEMENTO",
   IF(I1748&lt;=25,I1748*1.25+1.5,IF(I1748&lt;=60,I1748*1.25+3,IF(I1748&lt;=120,I1748*1.25+4,I1748*1.25+5))),
""))),2)</f>
        <v>98.19</v>
      </c>
      <c r="I1748" s="9">
        <f>($K$2+0.02)*Tabla1[[#This Row],[PRECIO $]]*1.18</f>
        <v>80.164479999999998</v>
      </c>
      <c r="J1748" s="7">
        <f>+Tabla1[[#This Row],[PRECIO EN SOLES]]-Tabla1[[#This Row],[PC]]</f>
        <v>18.02552</v>
      </c>
      <c r="K1748" s="15"/>
      <c r="L1748" s="15" t="str">
        <f t="shared" si="27"/>
        <v>NORMAL</v>
      </c>
    </row>
    <row r="1749" spans="1:12" x14ac:dyDescent="0.25">
      <c r="A1749" s="3" t="s">
        <v>2464</v>
      </c>
      <c r="B1749" s="3" t="s">
        <v>2465</v>
      </c>
      <c r="C1749" s="1">
        <v>0</v>
      </c>
      <c r="D1749" s="1">
        <v>145</v>
      </c>
      <c r="E1749" s="1" t="s">
        <v>57</v>
      </c>
      <c r="F1749" s="1" t="s">
        <v>3843</v>
      </c>
      <c r="G1749" s="3"/>
      <c r="H1749" s="11">
        <f>ROUND(
IF(L1749="GANCHO",
   IF(I1749&lt;=50,I1749*1.1+4,IF(I1749&lt;=120,I1749*1.1+7,IF(I1749&lt;=250,I1749*1.1+11,I1749*1.1+19))),
IF(L1749="NORMAL",
   IF(I1749&lt;=30,I1749*1.15+2,IF(I1749&lt;=80,I1749*1.15+4,IF(I1749&lt;=150,I1749*1.15+6,I1749*1.15+8))),
IF(L1749="COMPLEMENTO",
   IF(I1749&lt;=25,I1749*1.25+1.5,IF(I1749&lt;=60,I1749*1.25+3,IF(I1749&lt;=120,I1749*1.25+4,I1749*1.25+5))),
""))),2)</f>
        <v>700.61</v>
      </c>
      <c r="I1749" s="9">
        <f>($K$2+0.02)*Tabla1[[#This Row],[PRECIO $]]*1.18</f>
        <v>602.27199999999993</v>
      </c>
      <c r="J1749" s="7">
        <f>+Tabla1[[#This Row],[PRECIO EN SOLES]]-Tabla1[[#This Row],[PC]]</f>
        <v>98.338000000000079</v>
      </c>
      <c r="K1749" s="15"/>
      <c r="L1749" s="15" t="str">
        <f t="shared" si="27"/>
        <v>NORMAL</v>
      </c>
    </row>
    <row r="1750" spans="1:12" x14ac:dyDescent="0.25">
      <c r="A1750" s="3" t="s">
        <v>6271</v>
      </c>
      <c r="B1750" s="3" t="s">
        <v>6272</v>
      </c>
      <c r="C1750" s="1">
        <v>18</v>
      </c>
      <c r="D1750" s="1">
        <v>66.400000000000006</v>
      </c>
      <c r="E1750" s="1" t="s">
        <v>221</v>
      </c>
      <c r="F1750" s="1" t="s">
        <v>6273</v>
      </c>
      <c r="G1750" s="3" t="s">
        <v>6274</v>
      </c>
      <c r="H1750" s="11">
        <f>ROUND(
IF(L1750="GANCHO",
   IF(I1750&lt;=50,I1750*1.1+4,IF(I1750&lt;=120,I1750*1.1+7,IF(I1750&lt;=250,I1750*1.1+11,I1750*1.1+19))),
IF(L1750="NORMAL",
   IF(I1750&lt;=30,I1750*1.15+2,IF(I1750&lt;=80,I1750*1.15+4,IF(I1750&lt;=150,I1750*1.15+6,I1750*1.15+8))),
IF(L1750="COMPLEMENTO",
   IF(I1750&lt;=25,I1750*1.25+1.5,IF(I1750&lt;=60,I1750*1.25+3,IF(I1750&lt;=120,I1750*1.25+4,I1750*1.25+5))),
""))),2)</f>
        <v>325.17</v>
      </c>
      <c r="I1750" s="9">
        <f>($K$2+0.02)*Tabla1[[#This Row],[PRECIO $]]*1.18</f>
        <v>275.79903999999999</v>
      </c>
      <c r="J1750" s="7">
        <f>+Tabla1[[#This Row],[PRECIO EN SOLES]]-Tabla1[[#This Row],[PC]]</f>
        <v>49.370960000000025</v>
      </c>
      <c r="K1750" s="15"/>
      <c r="L1750" s="15" t="str">
        <f t="shared" si="27"/>
        <v>NORMAL</v>
      </c>
    </row>
    <row r="1751" spans="1:12" x14ac:dyDescent="0.25">
      <c r="A1751" s="3" t="s">
        <v>2806</v>
      </c>
      <c r="B1751" s="3" t="s">
        <v>2807</v>
      </c>
      <c r="C1751" s="1">
        <v>0</v>
      </c>
      <c r="D1751" s="1">
        <v>115</v>
      </c>
      <c r="E1751" s="1" t="s">
        <v>217</v>
      </c>
      <c r="F1751" s="1" t="s">
        <v>3844</v>
      </c>
      <c r="G1751" s="3" t="s">
        <v>2808</v>
      </c>
      <c r="H1751" s="11">
        <f>ROUND(
IF(L1751="GANCHO",
   IF(I1751&lt;=50,I1751*1.1+4,IF(I1751&lt;=120,I1751*1.1+7,IF(I1751&lt;=250,I1751*1.1+11,I1751*1.1+19))),
IF(L1751="NORMAL",
   IF(I1751&lt;=30,I1751*1.15+2,IF(I1751&lt;=80,I1751*1.15+4,IF(I1751&lt;=150,I1751*1.15+6,I1751*1.15+8))),
IF(L1751="COMPLEMENTO",
   IF(I1751&lt;=25,I1751*1.25+1.5,IF(I1751&lt;=60,I1751*1.25+3,IF(I1751&lt;=120,I1751*1.25+4,I1751*1.25+5))),
""))),2)</f>
        <v>557.30999999999995</v>
      </c>
      <c r="I1751" s="9">
        <f>($K$2+0.02)*Tabla1[[#This Row],[PRECIO $]]*1.18</f>
        <v>477.66399999999999</v>
      </c>
      <c r="J1751" s="7">
        <f>+Tabla1[[#This Row],[PRECIO EN SOLES]]-Tabla1[[#This Row],[PC]]</f>
        <v>79.645999999999958</v>
      </c>
      <c r="K1751" s="15"/>
      <c r="L1751" s="15" t="str">
        <f t="shared" si="27"/>
        <v>NORMAL</v>
      </c>
    </row>
    <row r="1752" spans="1:12" x14ac:dyDescent="0.25">
      <c r="A1752" s="3" t="s">
        <v>6275</v>
      </c>
      <c r="B1752" s="3" t="s">
        <v>6276</v>
      </c>
      <c r="C1752" s="1">
        <v>20</v>
      </c>
      <c r="D1752" s="1">
        <v>125</v>
      </c>
      <c r="E1752" s="1" t="s">
        <v>217</v>
      </c>
      <c r="F1752" s="1" t="s">
        <v>6277</v>
      </c>
      <c r="G1752" s="3" t="s">
        <v>6278</v>
      </c>
      <c r="H1752" s="11">
        <f>ROUND(
IF(L1752="GANCHO",
   IF(I1752&lt;=50,I1752*1.1+4,IF(I1752&lt;=120,I1752*1.1+7,IF(I1752&lt;=250,I1752*1.1+11,I1752*1.1+19))),
IF(L1752="NORMAL",
   IF(I1752&lt;=30,I1752*1.15+2,IF(I1752&lt;=80,I1752*1.15+4,IF(I1752&lt;=150,I1752*1.15+6,I1752*1.15+8))),
IF(L1752="COMPLEMENTO",
   IF(I1752&lt;=25,I1752*1.25+1.5,IF(I1752&lt;=60,I1752*1.25+3,IF(I1752&lt;=120,I1752*1.25+4,I1752*1.25+5))),
""))),2)</f>
        <v>605.08000000000004</v>
      </c>
      <c r="I1752" s="9">
        <f>($K$2+0.02)*Tabla1[[#This Row],[PRECIO $]]*1.18</f>
        <v>519.19999999999993</v>
      </c>
      <c r="J1752" s="7">
        <f>+Tabla1[[#This Row],[PRECIO EN SOLES]]-Tabla1[[#This Row],[PC]]</f>
        <v>85.880000000000109</v>
      </c>
      <c r="K1752" s="15"/>
      <c r="L1752" s="15" t="str">
        <f t="shared" si="27"/>
        <v>NORMAL</v>
      </c>
    </row>
    <row r="1753" spans="1:12" x14ac:dyDescent="0.25">
      <c r="A1753" s="3" t="s">
        <v>6279</v>
      </c>
      <c r="B1753" s="3" t="s">
        <v>6280</v>
      </c>
      <c r="C1753" s="1">
        <v>20</v>
      </c>
      <c r="D1753" s="1">
        <v>151.6</v>
      </c>
      <c r="E1753" s="1" t="s">
        <v>217</v>
      </c>
      <c r="F1753" s="1" t="s">
        <v>6281</v>
      </c>
      <c r="G1753" s="3" t="s">
        <v>6282</v>
      </c>
      <c r="H1753" s="11">
        <f>ROUND(
IF(L1753="GANCHO",
   IF(I1753&lt;=50,I1753*1.1+4,IF(I1753&lt;=120,I1753*1.1+7,IF(I1753&lt;=250,I1753*1.1+11,I1753*1.1+19))),
IF(L1753="NORMAL",
   IF(I1753&lt;=30,I1753*1.15+2,IF(I1753&lt;=80,I1753*1.15+4,IF(I1753&lt;=150,I1753*1.15+6,I1753*1.15+8))),
IF(L1753="COMPLEMENTO",
   IF(I1753&lt;=25,I1753*1.25+1.5,IF(I1753&lt;=60,I1753*1.25+3,IF(I1753&lt;=120,I1753*1.25+4,I1753*1.25+5))),
""))),2)</f>
        <v>732.14</v>
      </c>
      <c r="I1753" s="9">
        <f>($K$2+0.02)*Tabla1[[#This Row],[PRECIO $]]*1.18</f>
        <v>629.68575999999996</v>
      </c>
      <c r="J1753" s="7">
        <f>+Tabla1[[#This Row],[PRECIO EN SOLES]]-Tabla1[[#This Row],[PC]]</f>
        <v>102.45424000000003</v>
      </c>
      <c r="K1753" s="15"/>
      <c r="L1753" s="15" t="str">
        <f t="shared" si="27"/>
        <v>NORMAL</v>
      </c>
    </row>
    <row r="1754" spans="1:12" x14ac:dyDescent="0.25">
      <c r="A1754" s="3" t="s">
        <v>2611</v>
      </c>
      <c r="B1754" s="3" t="s">
        <v>2478</v>
      </c>
      <c r="C1754" s="1">
        <v>11</v>
      </c>
      <c r="D1754" s="1">
        <v>78.099999999999994</v>
      </c>
      <c r="E1754" s="1" t="s">
        <v>217</v>
      </c>
      <c r="F1754" s="1" t="s">
        <v>3845</v>
      </c>
      <c r="G1754" s="3" t="s">
        <v>2612</v>
      </c>
      <c r="H1754" s="11">
        <f>ROUND(
IF(L1754="GANCHO",
   IF(I1754&lt;=50,I1754*1.1+4,IF(I1754&lt;=120,I1754*1.1+7,IF(I1754&lt;=250,I1754*1.1+11,I1754*1.1+19))),
IF(L1754="NORMAL",
   IF(I1754&lt;=30,I1754*1.15+2,IF(I1754&lt;=80,I1754*1.15+4,IF(I1754&lt;=150,I1754*1.15+6,I1754*1.15+8))),
IF(L1754="COMPLEMENTO",
   IF(I1754&lt;=25,I1754*1.25+1.5,IF(I1754&lt;=60,I1754*1.25+3,IF(I1754&lt;=120,I1754*1.25+4,I1754*1.25+5))),
""))),2)</f>
        <v>381.06</v>
      </c>
      <c r="I1754" s="9">
        <f>($K$2+0.02)*Tabla1[[#This Row],[PRECIO $]]*1.18</f>
        <v>324.39615999999995</v>
      </c>
      <c r="J1754" s="7">
        <f>+Tabla1[[#This Row],[PRECIO EN SOLES]]-Tabla1[[#This Row],[PC]]</f>
        <v>56.66384000000005</v>
      </c>
      <c r="K1754" s="15"/>
      <c r="L1754" s="15" t="str">
        <f t="shared" si="27"/>
        <v>NORMAL</v>
      </c>
    </row>
    <row r="1755" spans="1:12" x14ac:dyDescent="0.25">
      <c r="A1755" s="3" t="s">
        <v>2466</v>
      </c>
      <c r="B1755" s="3" t="s">
        <v>2467</v>
      </c>
      <c r="C1755" s="1">
        <v>20</v>
      </c>
      <c r="D1755" s="1">
        <v>56.6</v>
      </c>
      <c r="E1755" s="1" t="s">
        <v>217</v>
      </c>
      <c r="F1755" s="1" t="s">
        <v>3846</v>
      </c>
      <c r="G1755" s="3" t="s">
        <v>2468</v>
      </c>
      <c r="H1755" s="11">
        <f>ROUND(
IF(L1755="GANCHO",
   IF(I1755&lt;=50,I1755*1.1+4,IF(I1755&lt;=120,I1755*1.1+7,IF(I1755&lt;=250,I1755*1.1+11,I1755*1.1+19))),
IF(L1755="NORMAL",
   IF(I1755&lt;=30,I1755*1.15+2,IF(I1755&lt;=80,I1755*1.15+4,IF(I1755&lt;=150,I1755*1.15+6,I1755*1.15+8))),
IF(L1755="COMPLEMENTO",
   IF(I1755&lt;=25,I1755*1.25+1.5,IF(I1755&lt;=60,I1755*1.25+3,IF(I1755&lt;=120,I1755*1.25+4,I1755*1.25+5))),
""))),2)</f>
        <v>278.36</v>
      </c>
      <c r="I1755" s="9">
        <f>($K$2+0.02)*Tabla1[[#This Row],[PRECIO $]]*1.18</f>
        <v>235.09375999999997</v>
      </c>
      <c r="J1755" s="7">
        <f>+Tabla1[[#This Row],[PRECIO EN SOLES]]-Tabla1[[#This Row],[PC]]</f>
        <v>43.266240000000039</v>
      </c>
      <c r="K1755" s="15"/>
      <c r="L1755" s="15" t="str">
        <f t="shared" si="27"/>
        <v>NORMAL</v>
      </c>
    </row>
    <row r="1756" spans="1:12" x14ac:dyDescent="0.25">
      <c r="A1756" s="3" t="s">
        <v>5123</v>
      </c>
      <c r="B1756" s="3" t="s">
        <v>5124</v>
      </c>
      <c r="C1756" s="1">
        <v>15</v>
      </c>
      <c r="D1756" s="1">
        <v>132</v>
      </c>
      <c r="E1756" s="1" t="s">
        <v>58</v>
      </c>
      <c r="F1756" s="1" t="s">
        <v>5125</v>
      </c>
      <c r="G1756" s="3" t="s">
        <v>5126</v>
      </c>
      <c r="H1756" s="11">
        <f>ROUND(
IF(L1756="GANCHO",
   IF(I1756&lt;=50,I1756*1.1+4,IF(I1756&lt;=120,I1756*1.1+7,IF(I1756&lt;=250,I1756*1.1+11,I1756*1.1+19))),
IF(L1756="NORMAL",
   IF(I1756&lt;=30,I1756*1.15+2,IF(I1756&lt;=80,I1756*1.15+4,IF(I1756&lt;=150,I1756*1.15+6,I1756*1.15+8))),
IF(L1756="COMPLEMENTO",
   IF(I1756&lt;=25,I1756*1.25+1.5,IF(I1756&lt;=60,I1756*1.25+3,IF(I1756&lt;=120,I1756*1.25+4,I1756*1.25+5))),
""))),2)</f>
        <v>638.52</v>
      </c>
      <c r="I1756" s="9">
        <f>($K$2+0.02)*Tabla1[[#This Row],[PRECIO $]]*1.18</f>
        <v>548.27519999999993</v>
      </c>
      <c r="J1756" s="7">
        <f>+Tabla1[[#This Row],[PRECIO EN SOLES]]-Tabla1[[#This Row],[PC]]</f>
        <v>90.244800000000055</v>
      </c>
      <c r="K1756" s="15"/>
      <c r="L1756" s="15" t="str">
        <f t="shared" si="27"/>
        <v>NORMAL</v>
      </c>
    </row>
    <row r="1757" spans="1:12" x14ac:dyDescent="0.25">
      <c r="A1757" s="3" t="s">
        <v>2809</v>
      </c>
      <c r="B1757" s="3" t="s">
        <v>2810</v>
      </c>
      <c r="C1757" s="1">
        <v>18</v>
      </c>
      <c r="D1757" s="1">
        <v>56.5</v>
      </c>
      <c r="E1757" s="1" t="s">
        <v>221</v>
      </c>
      <c r="F1757" s="1" t="s">
        <v>3847</v>
      </c>
      <c r="G1757" s="3" t="s">
        <v>2811</v>
      </c>
      <c r="H1757" s="11">
        <f>ROUND(
IF(L1757="GANCHO",
   IF(I1757&lt;=50,I1757*1.1+4,IF(I1757&lt;=120,I1757*1.1+7,IF(I1757&lt;=250,I1757*1.1+11,I1757*1.1+19))),
IF(L1757="NORMAL",
   IF(I1757&lt;=30,I1757*1.15+2,IF(I1757&lt;=80,I1757*1.15+4,IF(I1757&lt;=150,I1757*1.15+6,I1757*1.15+8))),
IF(L1757="COMPLEMENTO",
   IF(I1757&lt;=25,I1757*1.25+1.5,IF(I1757&lt;=60,I1757*1.25+3,IF(I1757&lt;=120,I1757*1.25+4,I1757*1.25+5))),
""))),2)</f>
        <v>277.88</v>
      </c>
      <c r="I1757" s="9">
        <f>($K$2+0.02)*Tabla1[[#This Row],[PRECIO $]]*1.18</f>
        <v>234.67839999999998</v>
      </c>
      <c r="J1757" s="7">
        <f>+Tabla1[[#This Row],[PRECIO EN SOLES]]-Tabla1[[#This Row],[PC]]</f>
        <v>43.201600000000013</v>
      </c>
      <c r="K1757" s="15"/>
      <c r="L1757" s="15" t="str">
        <f t="shared" si="27"/>
        <v>NORMAL</v>
      </c>
    </row>
    <row r="1758" spans="1:12" x14ac:dyDescent="0.25">
      <c r="A1758" s="3" t="s">
        <v>5127</v>
      </c>
      <c r="B1758" s="3" t="s">
        <v>5128</v>
      </c>
      <c r="C1758" s="1">
        <v>20</v>
      </c>
      <c r="D1758" s="1">
        <v>182</v>
      </c>
      <c r="E1758" s="1" t="s">
        <v>58</v>
      </c>
      <c r="F1758" s="1" t="s">
        <v>5129</v>
      </c>
      <c r="G1758" s="3" t="s">
        <v>5130</v>
      </c>
      <c r="H1758" s="11">
        <f>ROUND(
IF(L1758="GANCHO",
   IF(I1758&lt;=50,I1758*1.1+4,IF(I1758&lt;=120,I1758*1.1+7,IF(I1758&lt;=250,I1758*1.1+11,I1758*1.1+19))),
IF(L1758="NORMAL",
   IF(I1758&lt;=30,I1758*1.15+2,IF(I1758&lt;=80,I1758*1.15+4,IF(I1758&lt;=150,I1758*1.15+6,I1758*1.15+8))),
IF(L1758="COMPLEMENTO",
   IF(I1758&lt;=25,I1758*1.25+1.5,IF(I1758&lt;=60,I1758*1.25+3,IF(I1758&lt;=120,I1758*1.25+4,I1758*1.25+5))),
""))),2)</f>
        <v>877.35</v>
      </c>
      <c r="I1758" s="9">
        <f>($K$2+0.02)*Tabla1[[#This Row],[PRECIO $]]*1.18</f>
        <v>755.95519999999999</v>
      </c>
      <c r="J1758" s="7">
        <f>+Tabla1[[#This Row],[PRECIO EN SOLES]]-Tabla1[[#This Row],[PC]]</f>
        <v>121.39480000000003</v>
      </c>
      <c r="K1758" s="15"/>
      <c r="L1758" s="15" t="str">
        <f t="shared" si="27"/>
        <v>NORMAL</v>
      </c>
    </row>
    <row r="1759" spans="1:12" x14ac:dyDescent="0.25">
      <c r="A1759" s="3" t="s">
        <v>5612</v>
      </c>
      <c r="B1759" s="3" t="s">
        <v>5613</v>
      </c>
      <c r="C1759" s="1">
        <v>9</v>
      </c>
      <c r="D1759" s="1">
        <v>164</v>
      </c>
      <c r="E1759" s="1" t="s">
        <v>221</v>
      </c>
      <c r="F1759" s="1" t="s">
        <v>5614</v>
      </c>
      <c r="G1759" s="3" t="s">
        <v>5615</v>
      </c>
      <c r="H1759" s="11">
        <f>ROUND(
IF(L1759="GANCHO",
   IF(I1759&lt;=50,I1759*1.1+4,IF(I1759&lt;=120,I1759*1.1+7,IF(I1759&lt;=250,I1759*1.1+11,I1759*1.1+19))),
IF(L1759="NORMAL",
   IF(I1759&lt;=30,I1759*1.15+2,IF(I1759&lt;=80,I1759*1.15+4,IF(I1759&lt;=150,I1759*1.15+6,I1759*1.15+8))),
IF(L1759="COMPLEMENTO",
   IF(I1759&lt;=25,I1759*1.25+1.5,IF(I1759&lt;=60,I1759*1.25+3,IF(I1759&lt;=120,I1759*1.25+4,I1759*1.25+5))),
""))),2)</f>
        <v>791.37</v>
      </c>
      <c r="I1759" s="9">
        <f>($K$2+0.02)*Tabla1[[#This Row],[PRECIO $]]*1.18</f>
        <v>681.19039999999995</v>
      </c>
      <c r="J1759" s="7">
        <f>+Tabla1[[#This Row],[PRECIO EN SOLES]]-Tabla1[[#This Row],[PC]]</f>
        <v>110.17960000000005</v>
      </c>
      <c r="K1759" s="15"/>
      <c r="L1759" s="15" t="str">
        <f t="shared" si="27"/>
        <v>NORMAL</v>
      </c>
    </row>
    <row r="1760" spans="1:12" x14ac:dyDescent="0.25">
      <c r="A1760" s="3" t="s">
        <v>2812</v>
      </c>
      <c r="B1760" s="3" t="s">
        <v>2813</v>
      </c>
      <c r="C1760" s="1">
        <v>17</v>
      </c>
      <c r="D1760" s="1">
        <v>136</v>
      </c>
      <c r="E1760" s="1" t="s">
        <v>221</v>
      </c>
      <c r="F1760" s="1" t="s">
        <v>3848</v>
      </c>
      <c r="G1760" s="3" t="s">
        <v>2814</v>
      </c>
      <c r="H1760" s="11">
        <f>ROUND(
IF(L1760="GANCHO",
   IF(I1760&lt;=50,I1760*1.1+4,IF(I1760&lt;=120,I1760*1.1+7,IF(I1760&lt;=250,I1760*1.1+11,I1760*1.1+19))),
IF(L1760="NORMAL",
   IF(I1760&lt;=30,I1760*1.15+2,IF(I1760&lt;=80,I1760*1.15+4,IF(I1760&lt;=150,I1760*1.15+6,I1760*1.15+8))),
IF(L1760="COMPLEMENTO",
   IF(I1760&lt;=25,I1760*1.25+1.5,IF(I1760&lt;=60,I1760*1.25+3,IF(I1760&lt;=120,I1760*1.25+4,I1760*1.25+5))),
""))),2)</f>
        <v>657.62</v>
      </c>
      <c r="I1760" s="9">
        <f>($K$2+0.02)*Tabla1[[#This Row],[PRECIO $]]*1.18</f>
        <v>564.88959999999997</v>
      </c>
      <c r="J1760" s="7">
        <f>+Tabla1[[#This Row],[PRECIO EN SOLES]]-Tabla1[[#This Row],[PC]]</f>
        <v>92.730400000000031</v>
      </c>
      <c r="K1760" s="15"/>
      <c r="L1760" s="15" t="str">
        <f t="shared" si="27"/>
        <v>NORMAL</v>
      </c>
    </row>
    <row r="1761" spans="1:12" x14ac:dyDescent="0.25">
      <c r="A1761" s="3" t="s">
        <v>2815</v>
      </c>
      <c r="B1761" s="3" t="s">
        <v>2816</v>
      </c>
      <c r="C1761" s="1">
        <v>20</v>
      </c>
      <c r="D1761" s="1">
        <v>50</v>
      </c>
      <c r="E1761" s="1" t="s">
        <v>221</v>
      </c>
      <c r="F1761" s="1" t="s">
        <v>3849</v>
      </c>
      <c r="G1761" s="3" t="s">
        <v>2817</v>
      </c>
      <c r="H1761" s="11">
        <f>ROUND(
IF(L1761="GANCHO",
   IF(I1761&lt;=50,I1761*1.1+4,IF(I1761&lt;=120,I1761*1.1+7,IF(I1761&lt;=250,I1761*1.1+11,I1761*1.1+19))),
IF(L1761="NORMAL",
   IF(I1761&lt;=30,I1761*1.15+2,IF(I1761&lt;=80,I1761*1.15+4,IF(I1761&lt;=150,I1761*1.15+6,I1761*1.15+8))),
IF(L1761="COMPLEMENTO",
   IF(I1761&lt;=25,I1761*1.25+1.5,IF(I1761&lt;=60,I1761*1.25+3,IF(I1761&lt;=120,I1761*1.25+4,I1761*1.25+5))),
""))),2)</f>
        <v>246.83</v>
      </c>
      <c r="I1761" s="9">
        <f>($K$2+0.02)*Tabla1[[#This Row],[PRECIO $]]*1.18</f>
        <v>207.67999999999998</v>
      </c>
      <c r="J1761" s="7">
        <f>+Tabla1[[#This Row],[PRECIO EN SOLES]]-Tabla1[[#This Row],[PC]]</f>
        <v>39.150000000000034</v>
      </c>
      <c r="K1761" s="15"/>
      <c r="L1761" s="15" t="str">
        <f t="shared" si="27"/>
        <v>NORMAL</v>
      </c>
    </row>
    <row r="1762" spans="1:12" x14ac:dyDescent="0.25">
      <c r="A1762" s="3" t="s">
        <v>561</v>
      </c>
      <c r="B1762" s="3" t="s">
        <v>562</v>
      </c>
      <c r="C1762" s="1">
        <v>12</v>
      </c>
      <c r="D1762" s="1">
        <v>33</v>
      </c>
      <c r="E1762" s="1" t="s">
        <v>221</v>
      </c>
      <c r="F1762" s="1" t="s">
        <v>3850</v>
      </c>
      <c r="G1762" s="3" t="s">
        <v>563</v>
      </c>
      <c r="H1762" s="11">
        <f>ROUND(
IF(L1762="GANCHO",
   IF(I1762&lt;=50,I1762*1.1+4,IF(I1762&lt;=120,I1762*1.1+7,IF(I1762&lt;=250,I1762*1.1+11,I1762*1.1+19))),
IF(L1762="NORMAL",
   IF(I1762&lt;=30,I1762*1.15+2,IF(I1762&lt;=80,I1762*1.15+4,IF(I1762&lt;=150,I1762*1.15+6,I1762*1.15+8))),
IF(L1762="COMPLEMENTO",
   IF(I1762&lt;=25,I1762*1.25+1.5,IF(I1762&lt;=60,I1762*1.25+3,IF(I1762&lt;=120,I1762*1.25+4,I1762*1.25+5))),
""))),2)</f>
        <v>163.63</v>
      </c>
      <c r="I1762" s="9">
        <f>($K$2+0.02)*Tabla1[[#This Row],[PRECIO $]]*1.18</f>
        <v>137.06879999999998</v>
      </c>
      <c r="J1762" s="7">
        <f>+Tabla1[[#This Row],[PRECIO EN SOLES]]-Tabla1[[#This Row],[PC]]</f>
        <v>26.561200000000014</v>
      </c>
      <c r="K1762" s="15"/>
      <c r="L1762" s="15" t="str">
        <f t="shared" si="27"/>
        <v>NORMAL</v>
      </c>
    </row>
    <row r="1763" spans="1:12" x14ac:dyDescent="0.25">
      <c r="A1763" s="3" t="s">
        <v>6283</v>
      </c>
      <c r="B1763" s="3" t="s">
        <v>6284</v>
      </c>
      <c r="C1763" s="1">
        <v>4</v>
      </c>
      <c r="D1763" s="1">
        <v>44</v>
      </c>
      <c r="E1763" s="1" t="s">
        <v>221</v>
      </c>
      <c r="F1763" s="1" t="s">
        <v>6285</v>
      </c>
      <c r="G1763" s="3" t="s">
        <v>6286</v>
      </c>
      <c r="H1763" s="11">
        <f>ROUND(
IF(L1763="GANCHO",
   IF(I1763&lt;=50,I1763*1.1+4,IF(I1763&lt;=120,I1763*1.1+7,IF(I1763&lt;=250,I1763*1.1+11,I1763*1.1+19))),
IF(L1763="NORMAL",
   IF(I1763&lt;=30,I1763*1.15+2,IF(I1763&lt;=80,I1763*1.15+4,IF(I1763&lt;=150,I1763*1.15+6,I1763*1.15+8))),
IF(L1763="COMPLEMENTO",
   IF(I1763&lt;=25,I1763*1.25+1.5,IF(I1763&lt;=60,I1763*1.25+3,IF(I1763&lt;=120,I1763*1.25+4,I1763*1.25+5))),
""))),2)</f>
        <v>218.17</v>
      </c>
      <c r="I1763" s="9">
        <f>($K$2+0.02)*Tabla1[[#This Row],[PRECIO $]]*1.18</f>
        <v>182.75839999999999</v>
      </c>
      <c r="J1763" s="7">
        <f>+Tabla1[[#This Row],[PRECIO EN SOLES]]-Tabla1[[#This Row],[PC]]</f>
        <v>35.411599999999993</v>
      </c>
      <c r="K1763" s="15"/>
      <c r="L1763" s="15" t="str">
        <f t="shared" si="27"/>
        <v>NORMAL</v>
      </c>
    </row>
    <row r="1764" spans="1:12" x14ac:dyDescent="0.25">
      <c r="A1764" s="3" t="s">
        <v>2818</v>
      </c>
      <c r="B1764" s="3" t="s">
        <v>2819</v>
      </c>
      <c r="C1764" s="1">
        <v>2</v>
      </c>
      <c r="D1764" s="1">
        <v>107</v>
      </c>
      <c r="E1764" s="1" t="s">
        <v>221</v>
      </c>
      <c r="F1764" s="1" t="s">
        <v>3851</v>
      </c>
      <c r="G1764" s="3" t="s">
        <v>2820</v>
      </c>
      <c r="H1764" s="11">
        <f>ROUND(
IF(L1764="GANCHO",
   IF(I1764&lt;=50,I1764*1.1+4,IF(I1764&lt;=120,I1764*1.1+7,IF(I1764&lt;=250,I1764*1.1+11,I1764*1.1+19))),
IF(L1764="NORMAL",
   IF(I1764&lt;=30,I1764*1.15+2,IF(I1764&lt;=80,I1764*1.15+4,IF(I1764&lt;=150,I1764*1.15+6,I1764*1.15+8))),
IF(L1764="COMPLEMENTO",
   IF(I1764&lt;=25,I1764*1.25+1.5,IF(I1764&lt;=60,I1764*1.25+3,IF(I1764&lt;=120,I1764*1.25+4,I1764*1.25+5))),
""))),2)</f>
        <v>519.1</v>
      </c>
      <c r="I1764" s="9">
        <f>($K$2+0.02)*Tabla1[[#This Row],[PRECIO $]]*1.18</f>
        <v>444.43519999999995</v>
      </c>
      <c r="J1764" s="7">
        <f>+Tabla1[[#This Row],[PRECIO EN SOLES]]-Tabla1[[#This Row],[PC]]</f>
        <v>74.664800000000071</v>
      </c>
      <c r="K1764" s="15"/>
      <c r="L1764" s="15" t="str">
        <f t="shared" si="27"/>
        <v>NORMAL</v>
      </c>
    </row>
    <row r="1765" spans="1:12" x14ac:dyDescent="0.25">
      <c r="A1765" s="3" t="s">
        <v>2469</v>
      </c>
      <c r="B1765" s="3" t="s">
        <v>2470</v>
      </c>
      <c r="C1765" s="1">
        <v>20</v>
      </c>
      <c r="D1765" s="1">
        <v>100.6</v>
      </c>
      <c r="E1765" s="1" t="s">
        <v>217</v>
      </c>
      <c r="F1765" s="1" t="s">
        <v>3852</v>
      </c>
      <c r="G1765" s="3" t="s">
        <v>2471</v>
      </c>
      <c r="H1765" s="11">
        <f>ROUND(
IF(L1765="GANCHO",
   IF(I1765&lt;=50,I1765*1.1+4,IF(I1765&lt;=120,I1765*1.1+7,IF(I1765&lt;=250,I1765*1.1+11,I1765*1.1+19))),
IF(L1765="NORMAL",
   IF(I1765&lt;=30,I1765*1.15+2,IF(I1765&lt;=80,I1765*1.15+4,IF(I1765&lt;=150,I1765*1.15+6,I1765*1.15+8))),
IF(L1765="COMPLEMENTO",
   IF(I1765&lt;=25,I1765*1.25+1.5,IF(I1765&lt;=60,I1765*1.25+3,IF(I1765&lt;=120,I1765*1.25+4,I1765*1.25+5))),
""))),2)</f>
        <v>488.53</v>
      </c>
      <c r="I1765" s="9">
        <f>($K$2+0.02)*Tabla1[[#This Row],[PRECIO $]]*1.18</f>
        <v>417.85215999999991</v>
      </c>
      <c r="J1765" s="7">
        <f>+Tabla1[[#This Row],[PRECIO EN SOLES]]-Tabla1[[#This Row],[PC]]</f>
        <v>70.67784000000006</v>
      </c>
      <c r="K1765" s="15"/>
      <c r="L1765" s="15" t="str">
        <f t="shared" si="27"/>
        <v>NORMAL</v>
      </c>
    </row>
    <row r="1766" spans="1:12" x14ac:dyDescent="0.25">
      <c r="A1766" s="3" t="s">
        <v>2577</v>
      </c>
      <c r="B1766" s="3" t="s">
        <v>2578</v>
      </c>
      <c r="C1766" s="1">
        <v>20</v>
      </c>
      <c r="D1766" s="1">
        <v>65.599999999999994</v>
      </c>
      <c r="E1766" s="1" t="s">
        <v>217</v>
      </c>
      <c r="F1766" s="1" t="s">
        <v>3853</v>
      </c>
      <c r="G1766" s="3" t="s">
        <v>2586</v>
      </c>
      <c r="H1766" s="11">
        <f>ROUND(
IF(L1766="GANCHO",
   IF(I1766&lt;=50,I1766*1.1+4,IF(I1766&lt;=120,I1766*1.1+7,IF(I1766&lt;=250,I1766*1.1+11,I1766*1.1+19))),
IF(L1766="NORMAL",
   IF(I1766&lt;=30,I1766*1.15+2,IF(I1766&lt;=80,I1766*1.15+4,IF(I1766&lt;=150,I1766*1.15+6,I1766*1.15+8))),
IF(L1766="COMPLEMENTO",
   IF(I1766&lt;=25,I1766*1.25+1.5,IF(I1766&lt;=60,I1766*1.25+3,IF(I1766&lt;=120,I1766*1.25+4,I1766*1.25+5))),
""))),2)</f>
        <v>321.35000000000002</v>
      </c>
      <c r="I1766" s="9">
        <f>($K$2+0.02)*Tabla1[[#This Row],[PRECIO $]]*1.18</f>
        <v>272.47615999999994</v>
      </c>
      <c r="J1766" s="7">
        <f>+Tabla1[[#This Row],[PRECIO EN SOLES]]-Tabla1[[#This Row],[PC]]</f>
        <v>48.873840000000087</v>
      </c>
      <c r="K1766" s="15"/>
      <c r="L1766" s="15" t="str">
        <f t="shared" si="27"/>
        <v>NORMAL</v>
      </c>
    </row>
    <row r="1767" spans="1:12" x14ac:dyDescent="0.25">
      <c r="A1767" s="3" t="s">
        <v>2720</v>
      </c>
      <c r="B1767" s="3" t="s">
        <v>2473</v>
      </c>
      <c r="C1767" s="1">
        <v>1</v>
      </c>
      <c r="D1767" s="1">
        <v>54.6</v>
      </c>
      <c r="E1767" s="1" t="s">
        <v>217</v>
      </c>
      <c r="F1767" s="1" t="s">
        <v>3854</v>
      </c>
      <c r="G1767" s="3" t="s">
        <v>2721</v>
      </c>
      <c r="H1767" s="11">
        <f>ROUND(
IF(L1767="GANCHO",
   IF(I1767&lt;=50,I1767*1.1+4,IF(I1767&lt;=120,I1767*1.1+7,IF(I1767&lt;=250,I1767*1.1+11,I1767*1.1+19))),
IF(L1767="NORMAL",
   IF(I1767&lt;=30,I1767*1.15+2,IF(I1767&lt;=80,I1767*1.15+4,IF(I1767&lt;=150,I1767*1.15+6,I1767*1.15+8))),
IF(L1767="COMPLEMENTO",
   IF(I1767&lt;=25,I1767*1.25+1.5,IF(I1767&lt;=60,I1767*1.25+3,IF(I1767&lt;=120,I1767*1.25+4,I1767*1.25+5))),
""))),2)</f>
        <v>268.8</v>
      </c>
      <c r="I1767" s="9">
        <f>($K$2+0.02)*Tabla1[[#This Row],[PRECIO $]]*1.18</f>
        <v>226.78656000000001</v>
      </c>
      <c r="J1767" s="7">
        <f>+Tabla1[[#This Row],[PRECIO EN SOLES]]-Tabla1[[#This Row],[PC]]</f>
        <v>42.013440000000003</v>
      </c>
      <c r="K1767" s="15"/>
      <c r="L1767" s="15" t="str">
        <f t="shared" si="27"/>
        <v>NORMAL</v>
      </c>
    </row>
    <row r="1768" spans="1:12" x14ac:dyDescent="0.25">
      <c r="A1768" s="3" t="s">
        <v>2472</v>
      </c>
      <c r="B1768" s="3" t="s">
        <v>2473</v>
      </c>
      <c r="C1768" s="1">
        <v>20</v>
      </c>
      <c r="D1768" s="1">
        <v>103.2</v>
      </c>
      <c r="E1768" s="1" t="s">
        <v>217</v>
      </c>
      <c r="F1768" s="1" t="s">
        <v>3855</v>
      </c>
      <c r="G1768" s="3" t="s">
        <v>2474</v>
      </c>
      <c r="H1768" s="11">
        <f>ROUND(
IF(L1768="GANCHO",
   IF(I1768&lt;=50,I1768*1.1+4,IF(I1768&lt;=120,I1768*1.1+7,IF(I1768&lt;=250,I1768*1.1+11,I1768*1.1+19))),
IF(L1768="NORMAL",
   IF(I1768&lt;=30,I1768*1.15+2,IF(I1768&lt;=80,I1768*1.15+4,IF(I1768&lt;=150,I1768*1.15+6,I1768*1.15+8))),
IF(L1768="COMPLEMENTO",
   IF(I1768&lt;=25,I1768*1.25+1.5,IF(I1768&lt;=60,I1768*1.25+3,IF(I1768&lt;=120,I1768*1.25+4,I1768*1.25+5))),
""))),2)</f>
        <v>500.95</v>
      </c>
      <c r="I1768" s="9">
        <f>($K$2+0.02)*Tabla1[[#This Row],[PRECIO $]]*1.18</f>
        <v>428.65152</v>
      </c>
      <c r="J1768" s="7">
        <f>+Tabla1[[#This Row],[PRECIO EN SOLES]]-Tabla1[[#This Row],[PC]]</f>
        <v>72.298479999999984</v>
      </c>
      <c r="K1768" s="15"/>
      <c r="L1768" s="15" t="str">
        <f t="shared" si="27"/>
        <v>NORMAL</v>
      </c>
    </row>
    <row r="1769" spans="1:12" x14ac:dyDescent="0.25">
      <c r="A1769" s="3" t="s">
        <v>2722</v>
      </c>
      <c r="B1769" s="3" t="s">
        <v>2473</v>
      </c>
      <c r="C1769" s="1">
        <v>20</v>
      </c>
      <c r="D1769" s="1">
        <v>142.1</v>
      </c>
      <c r="E1769" s="1" t="s">
        <v>217</v>
      </c>
      <c r="F1769" s="1" t="s">
        <v>3856</v>
      </c>
      <c r="G1769" s="3" t="s">
        <v>2723</v>
      </c>
      <c r="H1769" s="11">
        <f>ROUND(
IF(L1769="GANCHO",
   IF(I1769&lt;=50,I1769*1.1+4,IF(I1769&lt;=120,I1769*1.1+7,IF(I1769&lt;=250,I1769*1.1+11,I1769*1.1+19))),
IF(L1769="NORMAL",
   IF(I1769&lt;=30,I1769*1.15+2,IF(I1769&lt;=80,I1769*1.15+4,IF(I1769&lt;=150,I1769*1.15+6,I1769*1.15+8))),
IF(L1769="COMPLEMENTO",
   IF(I1769&lt;=25,I1769*1.25+1.5,IF(I1769&lt;=60,I1769*1.25+3,IF(I1769&lt;=120,I1769*1.25+4,I1769*1.25+5))),
""))),2)</f>
        <v>686.76</v>
      </c>
      <c r="I1769" s="9">
        <f>($K$2+0.02)*Tabla1[[#This Row],[PRECIO $]]*1.18</f>
        <v>590.22655999999995</v>
      </c>
      <c r="J1769" s="7">
        <f>+Tabla1[[#This Row],[PRECIO EN SOLES]]-Tabla1[[#This Row],[PC]]</f>
        <v>96.533440000000041</v>
      </c>
      <c r="K1769" s="15"/>
      <c r="L1769" s="15" t="str">
        <f t="shared" si="27"/>
        <v>NORMAL</v>
      </c>
    </row>
    <row r="1770" spans="1:12" x14ac:dyDescent="0.25">
      <c r="A1770" s="3" t="s">
        <v>2475</v>
      </c>
      <c r="B1770" s="3" t="s">
        <v>2473</v>
      </c>
      <c r="C1770" s="1">
        <v>3</v>
      </c>
      <c r="D1770" s="1">
        <v>70.400000000000006</v>
      </c>
      <c r="E1770" s="1" t="s">
        <v>217</v>
      </c>
      <c r="F1770" s="1" t="s">
        <v>3857</v>
      </c>
      <c r="G1770" s="3" t="s">
        <v>2476</v>
      </c>
      <c r="H1770" s="11">
        <f>ROUND(
IF(L1770="GANCHO",
   IF(I1770&lt;=50,I1770*1.1+4,IF(I1770&lt;=120,I1770*1.1+7,IF(I1770&lt;=250,I1770*1.1+11,I1770*1.1+19))),
IF(L1770="NORMAL",
   IF(I1770&lt;=30,I1770*1.15+2,IF(I1770&lt;=80,I1770*1.15+4,IF(I1770&lt;=150,I1770*1.15+6,I1770*1.15+8))),
IF(L1770="COMPLEMENTO",
   IF(I1770&lt;=25,I1770*1.25+1.5,IF(I1770&lt;=60,I1770*1.25+3,IF(I1770&lt;=120,I1770*1.25+4,I1770*1.25+5))),
""))),2)</f>
        <v>344.28</v>
      </c>
      <c r="I1770" s="9">
        <f>($K$2+0.02)*Tabla1[[#This Row],[PRECIO $]]*1.18</f>
        <v>292.41344000000004</v>
      </c>
      <c r="J1770" s="7">
        <f>+Tabla1[[#This Row],[PRECIO EN SOLES]]-Tabla1[[#This Row],[PC]]</f>
        <v>51.866559999999936</v>
      </c>
      <c r="K1770" s="15"/>
      <c r="L1770" s="15" t="str">
        <f t="shared" si="27"/>
        <v>NORMAL</v>
      </c>
    </row>
    <row r="1771" spans="1:12" x14ac:dyDescent="0.25">
      <c r="A1771" s="3" t="s">
        <v>2477</v>
      </c>
      <c r="B1771" s="3" t="s">
        <v>2478</v>
      </c>
      <c r="C1771" s="1">
        <v>3</v>
      </c>
      <c r="D1771" s="1">
        <v>163.6</v>
      </c>
      <c r="E1771" s="1" t="s">
        <v>217</v>
      </c>
      <c r="F1771" s="1" t="s">
        <v>3858</v>
      </c>
      <c r="G1771" s="3" t="s">
        <v>2479</v>
      </c>
      <c r="H1771" s="11">
        <f>ROUND(
IF(L1771="GANCHO",
   IF(I1771&lt;=50,I1771*1.1+4,IF(I1771&lt;=120,I1771*1.1+7,IF(I1771&lt;=250,I1771*1.1+11,I1771*1.1+19))),
IF(L1771="NORMAL",
   IF(I1771&lt;=30,I1771*1.15+2,IF(I1771&lt;=80,I1771*1.15+4,IF(I1771&lt;=150,I1771*1.15+6,I1771*1.15+8))),
IF(L1771="COMPLEMENTO",
   IF(I1771&lt;=25,I1771*1.25+1.5,IF(I1771&lt;=60,I1771*1.25+3,IF(I1771&lt;=120,I1771*1.25+4,I1771*1.25+5))),
""))),2)</f>
        <v>789.46</v>
      </c>
      <c r="I1771" s="9">
        <f>($K$2+0.02)*Tabla1[[#This Row],[PRECIO $]]*1.18</f>
        <v>679.52895999999987</v>
      </c>
      <c r="J1771" s="7">
        <f>+Tabla1[[#This Row],[PRECIO EN SOLES]]-Tabla1[[#This Row],[PC]]</f>
        <v>109.93104000000017</v>
      </c>
      <c r="K1771" s="15"/>
      <c r="L1771" s="15" t="str">
        <f t="shared" si="27"/>
        <v>NORMAL</v>
      </c>
    </row>
    <row r="1772" spans="1:12" x14ac:dyDescent="0.25">
      <c r="A1772" s="3" t="s">
        <v>5616</v>
      </c>
      <c r="B1772" s="3" t="s">
        <v>2813</v>
      </c>
      <c r="C1772" s="1">
        <v>20</v>
      </c>
      <c r="D1772" s="1">
        <v>155</v>
      </c>
      <c r="E1772" s="1" t="s">
        <v>221</v>
      </c>
      <c r="F1772" s="1" t="s">
        <v>5617</v>
      </c>
      <c r="G1772" s="3" t="s">
        <v>5971</v>
      </c>
      <c r="H1772" s="11">
        <f>ROUND(
IF(L1772="GANCHO",
   IF(I1772&lt;=50,I1772*1.1+4,IF(I1772&lt;=120,I1772*1.1+7,IF(I1772&lt;=250,I1772*1.1+11,I1772*1.1+19))),
IF(L1772="NORMAL",
   IF(I1772&lt;=30,I1772*1.15+2,IF(I1772&lt;=80,I1772*1.15+4,IF(I1772&lt;=150,I1772*1.15+6,I1772*1.15+8))),
IF(L1772="COMPLEMENTO",
   IF(I1772&lt;=25,I1772*1.25+1.5,IF(I1772&lt;=60,I1772*1.25+3,IF(I1772&lt;=120,I1772*1.25+4,I1772*1.25+5))),
""))),2)</f>
        <v>748.38</v>
      </c>
      <c r="I1772" s="9">
        <f>($K$2+0.02)*Tabla1[[#This Row],[PRECIO $]]*1.18</f>
        <v>643.80799999999999</v>
      </c>
      <c r="J1772" s="7">
        <f>+Tabla1[[#This Row],[PRECIO EN SOLES]]-Tabla1[[#This Row],[PC]]</f>
        <v>104.572</v>
      </c>
      <c r="K1772" s="15"/>
      <c r="L1772" s="15" t="str">
        <f t="shared" si="27"/>
        <v>NORMAL</v>
      </c>
    </row>
    <row r="1773" spans="1:12" x14ac:dyDescent="0.25">
      <c r="A1773" s="3" t="s">
        <v>6287</v>
      </c>
      <c r="B1773" s="3" t="s">
        <v>6288</v>
      </c>
      <c r="C1773" s="1">
        <v>3</v>
      </c>
      <c r="D1773" s="1">
        <v>185</v>
      </c>
      <c r="E1773" s="1" t="s">
        <v>221</v>
      </c>
      <c r="F1773" s="1" t="s">
        <v>6289</v>
      </c>
      <c r="G1773" s="3" t="s">
        <v>6290</v>
      </c>
      <c r="H1773" s="11">
        <f>ROUND(
IF(L1773="GANCHO",
   IF(I1773&lt;=50,I1773*1.1+4,IF(I1773&lt;=120,I1773*1.1+7,IF(I1773&lt;=250,I1773*1.1+11,I1773*1.1+19))),
IF(L1773="NORMAL",
   IF(I1773&lt;=30,I1773*1.15+2,IF(I1773&lt;=80,I1773*1.15+4,IF(I1773&lt;=150,I1773*1.15+6,I1773*1.15+8))),
IF(L1773="COMPLEMENTO",
   IF(I1773&lt;=25,I1773*1.25+1.5,IF(I1773&lt;=60,I1773*1.25+3,IF(I1773&lt;=120,I1773*1.25+4,I1773*1.25+5))),
""))),2)</f>
        <v>891.68</v>
      </c>
      <c r="I1773" s="9">
        <f>($K$2+0.02)*Tabla1[[#This Row],[PRECIO $]]*1.18</f>
        <v>768.41600000000005</v>
      </c>
      <c r="J1773" s="7">
        <f>+Tabla1[[#This Row],[PRECIO EN SOLES]]-Tabla1[[#This Row],[PC]]</f>
        <v>123.2639999999999</v>
      </c>
      <c r="K1773" s="15"/>
      <c r="L1773" s="15" t="str">
        <f t="shared" si="27"/>
        <v>NORMAL</v>
      </c>
    </row>
    <row r="1774" spans="1:12" x14ac:dyDescent="0.25">
      <c r="A1774" s="3" t="s">
        <v>2480</v>
      </c>
      <c r="B1774" s="3" t="s">
        <v>2481</v>
      </c>
      <c r="C1774" s="1">
        <v>3</v>
      </c>
      <c r="D1774" s="1">
        <v>1950</v>
      </c>
      <c r="E1774" s="1" t="s">
        <v>217</v>
      </c>
      <c r="F1774" s="1" t="s">
        <v>3859</v>
      </c>
      <c r="G1774" s="3" t="s">
        <v>2482</v>
      </c>
      <c r="H1774" s="11">
        <f>ROUND(
IF(L1774="GANCHO",
   IF(I1774&lt;=50,I1774*1.1+4,IF(I1774&lt;=120,I1774*1.1+7,IF(I1774&lt;=250,I1774*1.1+11,I1774*1.1+19))),
IF(L1774="NORMAL",
   IF(I1774&lt;=30,I1774*1.15+2,IF(I1774&lt;=80,I1774*1.15+4,IF(I1774&lt;=150,I1774*1.15+6,I1774*1.15+8))),
IF(L1774="COMPLEMENTO",
   IF(I1774&lt;=25,I1774*1.25+1.5,IF(I1774&lt;=60,I1774*1.25+3,IF(I1774&lt;=120,I1774*1.25+4,I1774*1.25+5))),
""))),2)</f>
        <v>9322.4500000000007</v>
      </c>
      <c r="I1774" s="9">
        <f>($K$2+0.02)*Tabla1[[#This Row],[PRECIO $]]*1.18</f>
        <v>8099.5199999999995</v>
      </c>
      <c r="J1774" s="7">
        <f>+Tabla1[[#This Row],[PRECIO EN SOLES]]-Tabla1[[#This Row],[PC]]</f>
        <v>1222.9300000000012</v>
      </c>
      <c r="K1774" s="15"/>
      <c r="L1774" s="15" t="str">
        <f t="shared" si="27"/>
        <v>NORMAL</v>
      </c>
    </row>
    <row r="1775" spans="1:12" x14ac:dyDescent="0.25">
      <c r="A1775" s="3" t="s">
        <v>6291</v>
      </c>
      <c r="B1775" s="3" t="s">
        <v>6292</v>
      </c>
      <c r="C1775" s="1">
        <v>8</v>
      </c>
      <c r="D1775" s="1">
        <v>306</v>
      </c>
      <c r="E1775" s="1" t="s">
        <v>217</v>
      </c>
      <c r="F1775" s="1" t="s">
        <v>6293</v>
      </c>
      <c r="G1775" s="3" t="s">
        <v>6294</v>
      </c>
      <c r="H1775" s="11">
        <f>ROUND(
IF(L1775="GANCHO",
   IF(I1775&lt;=50,I1775*1.1+4,IF(I1775&lt;=120,I1775*1.1+7,IF(I1775&lt;=250,I1775*1.1+11,I1775*1.1+19))),
IF(L1775="NORMAL",
   IF(I1775&lt;=30,I1775*1.15+2,IF(I1775&lt;=80,I1775*1.15+4,IF(I1775&lt;=150,I1775*1.15+6,I1775*1.15+8))),
IF(L1775="COMPLEMENTO",
   IF(I1775&lt;=25,I1775*1.25+1.5,IF(I1775&lt;=60,I1775*1.25+3,IF(I1775&lt;=120,I1775*1.25+4,I1775*1.25+5))),
""))),2)</f>
        <v>1469.65</v>
      </c>
      <c r="I1775" s="9">
        <f>($K$2+0.02)*Tabla1[[#This Row],[PRECIO $]]*1.18</f>
        <v>1271.0016000000001</v>
      </c>
      <c r="J1775" s="7">
        <f>+Tabla1[[#This Row],[PRECIO EN SOLES]]-Tabla1[[#This Row],[PC]]</f>
        <v>198.64840000000004</v>
      </c>
      <c r="K1775" s="15"/>
      <c r="L1775" s="15" t="str">
        <f t="shared" si="27"/>
        <v>NORMAL</v>
      </c>
    </row>
    <row r="1776" spans="1:12" x14ac:dyDescent="0.25">
      <c r="A1776" s="3" t="s">
        <v>2483</v>
      </c>
      <c r="B1776" s="3" t="s">
        <v>2484</v>
      </c>
      <c r="C1776" s="1">
        <v>13</v>
      </c>
      <c r="D1776" s="1">
        <v>585.4</v>
      </c>
      <c r="E1776" s="1" t="s">
        <v>217</v>
      </c>
      <c r="F1776" s="1" t="s">
        <v>3860</v>
      </c>
      <c r="G1776" s="3" t="s">
        <v>2485</v>
      </c>
      <c r="H1776" s="11">
        <f>ROUND(
IF(L1776="GANCHO",
   IF(I1776&lt;=50,I1776*1.1+4,IF(I1776&lt;=120,I1776*1.1+7,IF(I1776&lt;=250,I1776*1.1+11,I1776*1.1+19))),
IF(L1776="NORMAL",
   IF(I1776&lt;=30,I1776*1.15+2,IF(I1776&lt;=80,I1776*1.15+4,IF(I1776&lt;=150,I1776*1.15+6,I1776*1.15+8))),
IF(L1776="COMPLEMENTO",
   IF(I1776&lt;=25,I1776*1.25+1.5,IF(I1776&lt;=60,I1776*1.25+3,IF(I1776&lt;=120,I1776*1.25+4,I1776*1.25+5))),
""))),2)</f>
        <v>2804.25</v>
      </c>
      <c r="I1776" s="9">
        <f>($K$2+0.02)*Tabla1[[#This Row],[PRECIO $]]*1.18</f>
        <v>2431.5174399999996</v>
      </c>
      <c r="J1776" s="7">
        <f>+Tabla1[[#This Row],[PRECIO EN SOLES]]-Tabla1[[#This Row],[PC]]</f>
        <v>372.73256000000038</v>
      </c>
      <c r="K1776" s="15"/>
      <c r="L1776" s="15" t="str">
        <f t="shared" si="27"/>
        <v>NORMAL</v>
      </c>
    </row>
    <row r="1777" spans="1:12" x14ac:dyDescent="0.25">
      <c r="A1777" s="3" t="s">
        <v>2613</v>
      </c>
      <c r="B1777" s="3" t="s">
        <v>2614</v>
      </c>
      <c r="C1777" s="1">
        <v>13</v>
      </c>
      <c r="D1777" s="1">
        <v>729</v>
      </c>
      <c r="E1777" s="1" t="s">
        <v>217</v>
      </c>
      <c r="F1777" s="1" t="s">
        <v>3861</v>
      </c>
      <c r="G1777" s="3" t="s">
        <v>2615</v>
      </c>
      <c r="H1777" s="11">
        <f>ROUND(
IF(L1777="GANCHO",
   IF(I1777&lt;=50,I1777*1.1+4,IF(I1777&lt;=120,I1777*1.1+7,IF(I1777&lt;=250,I1777*1.1+11,I1777*1.1+19))),
IF(L1777="NORMAL",
   IF(I1777&lt;=30,I1777*1.15+2,IF(I1777&lt;=80,I1777*1.15+4,IF(I1777&lt;=150,I1777*1.15+6,I1777*1.15+8))),
IF(L1777="COMPLEMENTO",
   IF(I1777&lt;=25,I1777*1.25+1.5,IF(I1777&lt;=60,I1777*1.25+3,IF(I1777&lt;=120,I1777*1.25+4,I1777*1.25+5))),
""))),2)</f>
        <v>3490.17</v>
      </c>
      <c r="I1777" s="9">
        <f>($K$2+0.02)*Tabla1[[#This Row],[PRECIO $]]*1.18</f>
        <v>3027.9743999999996</v>
      </c>
      <c r="J1777" s="7">
        <f>+Tabla1[[#This Row],[PRECIO EN SOLES]]-Tabla1[[#This Row],[PC]]</f>
        <v>462.19560000000047</v>
      </c>
      <c r="K1777" s="15"/>
      <c r="L1777" s="15" t="str">
        <f t="shared" si="27"/>
        <v>NORMAL</v>
      </c>
    </row>
    <row r="1778" spans="1:12" x14ac:dyDescent="0.25">
      <c r="A1778" s="3" t="s">
        <v>4050</v>
      </c>
      <c r="B1778" s="3" t="s">
        <v>4051</v>
      </c>
      <c r="C1778" s="1">
        <v>1</v>
      </c>
      <c r="D1778" s="1">
        <v>1528</v>
      </c>
      <c r="E1778" s="1" t="s">
        <v>217</v>
      </c>
      <c r="F1778" s="1" t="s">
        <v>4052</v>
      </c>
      <c r="G1778" s="3" t="s">
        <v>4053</v>
      </c>
      <c r="H1778" s="11">
        <f>ROUND(
IF(L1778="GANCHO",
   IF(I1778&lt;=50,I1778*1.1+4,IF(I1778&lt;=120,I1778*1.1+7,IF(I1778&lt;=250,I1778*1.1+11,I1778*1.1+19))),
IF(L1778="NORMAL",
   IF(I1778&lt;=30,I1778*1.15+2,IF(I1778&lt;=80,I1778*1.15+4,IF(I1778&lt;=150,I1778*1.15+6,I1778*1.15+8))),
IF(L1778="COMPLEMENTO",
   IF(I1778&lt;=25,I1778*1.25+1.5,IF(I1778&lt;=60,I1778*1.25+3,IF(I1778&lt;=120,I1778*1.25+4,I1778*1.25+5))),
""))),2)</f>
        <v>7306.71</v>
      </c>
      <c r="I1778" s="9">
        <f>($K$2+0.02)*Tabla1[[#This Row],[PRECIO $]]*1.18</f>
        <v>6346.7008000000005</v>
      </c>
      <c r="J1778" s="7">
        <f>+Tabla1[[#This Row],[PRECIO EN SOLES]]-Tabla1[[#This Row],[PC]]</f>
        <v>960.00919999999951</v>
      </c>
      <c r="K1778" s="15"/>
      <c r="L1778" s="15" t="str">
        <f t="shared" si="27"/>
        <v>NORMAL</v>
      </c>
    </row>
    <row r="1779" spans="1:12" x14ac:dyDescent="0.25">
      <c r="A1779" s="3" t="s">
        <v>2486</v>
      </c>
      <c r="B1779" s="3" t="s">
        <v>2487</v>
      </c>
      <c r="C1779" s="1">
        <v>20</v>
      </c>
      <c r="D1779" s="1">
        <v>419</v>
      </c>
      <c r="E1779" s="1" t="s">
        <v>217</v>
      </c>
      <c r="F1779" s="1" t="s">
        <v>3862</v>
      </c>
      <c r="G1779" s="3" t="s">
        <v>2488</v>
      </c>
      <c r="H1779" s="11">
        <f>ROUND(
IF(L1779="GANCHO",
   IF(I1779&lt;=50,I1779*1.1+4,IF(I1779&lt;=120,I1779*1.1+7,IF(I1779&lt;=250,I1779*1.1+11,I1779*1.1+19))),
IF(L1779="NORMAL",
   IF(I1779&lt;=30,I1779*1.15+2,IF(I1779&lt;=80,I1779*1.15+4,IF(I1779&lt;=150,I1779*1.15+6,I1779*1.15+8))),
IF(L1779="COMPLEMENTO",
   IF(I1779&lt;=25,I1779*1.25+1.5,IF(I1779&lt;=60,I1779*1.25+3,IF(I1779&lt;=120,I1779*1.25+4,I1779*1.25+5))),
""))),2)</f>
        <v>2009.41</v>
      </c>
      <c r="I1779" s="9">
        <f>($K$2+0.02)*Tabla1[[#This Row],[PRECIO $]]*1.18</f>
        <v>1740.3584000000001</v>
      </c>
      <c r="J1779" s="7">
        <f>+Tabla1[[#This Row],[PRECIO EN SOLES]]-Tabla1[[#This Row],[PC]]</f>
        <v>269.05160000000001</v>
      </c>
      <c r="K1779" s="15"/>
      <c r="L1779" s="15" t="str">
        <f t="shared" si="27"/>
        <v>NORMAL</v>
      </c>
    </row>
    <row r="1780" spans="1:12" x14ac:dyDescent="0.25">
      <c r="A1780" s="3" t="s">
        <v>2489</v>
      </c>
      <c r="B1780" s="3" t="s">
        <v>2490</v>
      </c>
      <c r="C1780" s="1">
        <v>13</v>
      </c>
      <c r="D1780" s="1">
        <v>739.7</v>
      </c>
      <c r="E1780" s="1" t="s">
        <v>217</v>
      </c>
      <c r="F1780" s="1" t="s">
        <v>3863</v>
      </c>
      <c r="G1780" s="3" t="s">
        <v>2491</v>
      </c>
      <c r="H1780" s="11">
        <f>ROUND(
IF(L1780="GANCHO",
   IF(I1780&lt;=50,I1780*1.1+4,IF(I1780&lt;=120,I1780*1.1+7,IF(I1780&lt;=250,I1780*1.1+11,I1780*1.1+19))),
IF(L1780="NORMAL",
   IF(I1780&lt;=30,I1780*1.15+2,IF(I1780&lt;=80,I1780*1.15+4,IF(I1780&lt;=150,I1780*1.15+6,I1780*1.15+8))),
IF(L1780="COMPLEMENTO",
   IF(I1780&lt;=25,I1780*1.25+1.5,IF(I1780&lt;=60,I1780*1.25+3,IF(I1780&lt;=120,I1780*1.25+4,I1780*1.25+5))),
""))),2)</f>
        <v>3541.28</v>
      </c>
      <c r="I1780" s="9">
        <f>($K$2+0.02)*Tabla1[[#This Row],[PRECIO $]]*1.18</f>
        <v>3072.4179199999999</v>
      </c>
      <c r="J1780" s="7">
        <f>+Tabla1[[#This Row],[PRECIO EN SOLES]]-Tabla1[[#This Row],[PC]]</f>
        <v>468.86208000000033</v>
      </c>
      <c r="K1780" s="15"/>
      <c r="L1780" s="15" t="str">
        <f t="shared" si="27"/>
        <v>NORMAL</v>
      </c>
    </row>
    <row r="1781" spans="1:12" x14ac:dyDescent="0.25">
      <c r="A1781" s="3" t="s">
        <v>2492</v>
      </c>
      <c r="B1781" s="3" t="s">
        <v>2493</v>
      </c>
      <c r="C1781" s="1">
        <v>3</v>
      </c>
      <c r="D1781" s="1">
        <v>1542</v>
      </c>
      <c r="E1781" s="1" t="s">
        <v>217</v>
      </c>
      <c r="F1781" s="1" t="s">
        <v>3864</v>
      </c>
      <c r="G1781" s="3" t="s">
        <v>2494</v>
      </c>
      <c r="H1781" s="11">
        <f>ROUND(
IF(L1781="GANCHO",
   IF(I1781&lt;=50,I1781*1.1+4,IF(I1781&lt;=120,I1781*1.1+7,IF(I1781&lt;=250,I1781*1.1+11,I1781*1.1+19))),
IF(L1781="NORMAL",
   IF(I1781&lt;=30,I1781*1.15+2,IF(I1781&lt;=80,I1781*1.15+4,IF(I1781&lt;=150,I1781*1.15+6,I1781*1.15+8))),
IF(L1781="COMPLEMENTO",
   IF(I1781&lt;=25,I1781*1.25+1.5,IF(I1781&lt;=60,I1781*1.25+3,IF(I1781&lt;=120,I1781*1.25+4,I1781*1.25+5))),
""))),2)</f>
        <v>7373.58</v>
      </c>
      <c r="I1781" s="9">
        <f>($K$2+0.02)*Tabla1[[#This Row],[PRECIO $]]*1.18</f>
        <v>6404.8512000000001</v>
      </c>
      <c r="J1781" s="7">
        <f>+Tabla1[[#This Row],[PRECIO EN SOLES]]-Tabla1[[#This Row],[PC]]</f>
        <v>968.72879999999986</v>
      </c>
      <c r="K1781" s="15"/>
      <c r="L1781" s="15" t="str">
        <f t="shared" si="27"/>
        <v>NORMAL</v>
      </c>
    </row>
    <row r="1782" spans="1:12" x14ac:dyDescent="0.25">
      <c r="A1782" s="3" t="s">
        <v>6295</v>
      </c>
      <c r="B1782" s="3" t="s">
        <v>6296</v>
      </c>
      <c r="C1782" s="1">
        <v>20</v>
      </c>
      <c r="D1782" s="1">
        <v>233</v>
      </c>
      <c r="E1782" s="1" t="s">
        <v>217</v>
      </c>
      <c r="F1782" s="1" t="s">
        <v>6297</v>
      </c>
      <c r="G1782" s="3" t="s">
        <v>6298</v>
      </c>
      <c r="H1782" s="11">
        <f>ROUND(
IF(L1782="GANCHO",
   IF(I1782&lt;=50,I1782*1.1+4,IF(I1782&lt;=120,I1782*1.1+7,IF(I1782&lt;=250,I1782*1.1+11,I1782*1.1+19))),
IF(L1782="NORMAL",
   IF(I1782&lt;=30,I1782*1.15+2,IF(I1782&lt;=80,I1782*1.15+4,IF(I1782&lt;=150,I1782*1.15+6,I1782*1.15+8))),
IF(L1782="COMPLEMENTO",
   IF(I1782&lt;=25,I1782*1.25+1.5,IF(I1782&lt;=60,I1782*1.25+3,IF(I1782&lt;=120,I1782*1.25+4,I1782*1.25+5))),
""))),2)</f>
        <v>1120.96</v>
      </c>
      <c r="I1782" s="9">
        <f>($K$2+0.02)*Tabla1[[#This Row],[PRECIO $]]*1.18</f>
        <v>967.78879999999992</v>
      </c>
      <c r="J1782" s="7">
        <f>+Tabla1[[#This Row],[PRECIO EN SOLES]]-Tabla1[[#This Row],[PC]]</f>
        <v>153.17120000000011</v>
      </c>
      <c r="K1782" s="15"/>
      <c r="L1782" s="15" t="str">
        <f t="shared" si="27"/>
        <v>NORMAL</v>
      </c>
    </row>
    <row r="1783" spans="1:12" x14ac:dyDescent="0.25">
      <c r="A1783" s="3" t="s">
        <v>2495</v>
      </c>
      <c r="B1783" s="3" t="s">
        <v>2496</v>
      </c>
      <c r="C1783" s="1">
        <v>20</v>
      </c>
      <c r="D1783" s="1">
        <v>391.3</v>
      </c>
      <c r="E1783" s="1" t="s">
        <v>217</v>
      </c>
      <c r="F1783" s="1" t="s">
        <v>3865</v>
      </c>
      <c r="G1783" s="3" t="s">
        <v>2497</v>
      </c>
      <c r="H1783" s="11">
        <f>ROUND(
IF(L1783="GANCHO",
   IF(I1783&lt;=50,I1783*1.1+4,IF(I1783&lt;=120,I1783*1.1+7,IF(I1783&lt;=250,I1783*1.1+11,I1783*1.1+19))),
IF(L1783="NORMAL",
   IF(I1783&lt;=30,I1783*1.15+2,IF(I1783&lt;=80,I1783*1.15+4,IF(I1783&lt;=150,I1783*1.15+6,I1783*1.15+8))),
IF(L1783="COMPLEMENTO",
   IF(I1783&lt;=25,I1783*1.25+1.5,IF(I1783&lt;=60,I1783*1.25+3,IF(I1783&lt;=120,I1783*1.25+4,I1783*1.25+5))),
""))),2)</f>
        <v>1877.1</v>
      </c>
      <c r="I1783" s="9">
        <f>($K$2+0.02)*Tabla1[[#This Row],[PRECIO $]]*1.18</f>
        <v>1625.30368</v>
      </c>
      <c r="J1783" s="7">
        <f>+Tabla1[[#This Row],[PRECIO EN SOLES]]-Tabla1[[#This Row],[PC]]</f>
        <v>251.79631999999992</v>
      </c>
      <c r="K1783" s="15"/>
      <c r="L1783" s="15" t="str">
        <f t="shared" si="27"/>
        <v>NORMAL</v>
      </c>
    </row>
    <row r="1784" spans="1:12" x14ac:dyDescent="0.25">
      <c r="A1784" s="3" t="s">
        <v>2498</v>
      </c>
      <c r="B1784" s="3" t="s">
        <v>2499</v>
      </c>
      <c r="C1784" s="1">
        <v>20</v>
      </c>
      <c r="D1784" s="1">
        <v>591</v>
      </c>
      <c r="E1784" s="1" t="s">
        <v>217</v>
      </c>
      <c r="F1784" s="1" t="s">
        <v>3866</v>
      </c>
      <c r="G1784" s="3" t="s">
        <v>2500</v>
      </c>
      <c r="H1784" s="11">
        <f>ROUND(
IF(L1784="GANCHO",
   IF(I1784&lt;=50,I1784*1.1+4,IF(I1784&lt;=120,I1784*1.1+7,IF(I1784&lt;=250,I1784*1.1+11,I1784*1.1+19))),
IF(L1784="NORMAL",
   IF(I1784&lt;=30,I1784*1.15+2,IF(I1784&lt;=80,I1784*1.15+4,IF(I1784&lt;=150,I1784*1.15+6,I1784*1.15+8))),
IF(L1784="COMPLEMENTO",
   IF(I1784&lt;=25,I1784*1.25+1.5,IF(I1784&lt;=60,I1784*1.25+3,IF(I1784&lt;=120,I1784*1.25+4,I1784*1.25+5))),
""))),2)</f>
        <v>2830.99</v>
      </c>
      <c r="I1784" s="9">
        <f>($K$2+0.02)*Tabla1[[#This Row],[PRECIO $]]*1.18</f>
        <v>2454.7775999999999</v>
      </c>
      <c r="J1784" s="7">
        <f>+Tabla1[[#This Row],[PRECIO EN SOLES]]-Tabla1[[#This Row],[PC]]</f>
        <v>376.21239999999989</v>
      </c>
      <c r="K1784" s="15"/>
      <c r="L1784" s="15" t="str">
        <f t="shared" si="27"/>
        <v>NORMAL</v>
      </c>
    </row>
    <row r="1785" spans="1:12" x14ac:dyDescent="0.25">
      <c r="A1785" s="3" t="s">
        <v>4137</v>
      </c>
      <c r="B1785" s="3" t="s">
        <v>4138</v>
      </c>
      <c r="C1785" s="1">
        <v>1</v>
      </c>
      <c r="D1785" s="1">
        <v>2342</v>
      </c>
      <c r="E1785" s="1" t="s">
        <v>217</v>
      </c>
      <c r="F1785" s="1" t="s">
        <v>4139</v>
      </c>
      <c r="G1785" s="3" t="s">
        <v>4140</v>
      </c>
      <c r="H1785" s="11">
        <f>ROUND(
IF(L1785="GANCHO",
   IF(I1785&lt;=50,I1785*1.1+4,IF(I1785&lt;=120,I1785*1.1+7,IF(I1785&lt;=250,I1785*1.1+11,I1785*1.1+19))),
IF(L1785="NORMAL",
   IF(I1785&lt;=30,I1785*1.15+2,IF(I1785&lt;=80,I1785*1.15+4,IF(I1785&lt;=150,I1785*1.15+6,I1785*1.15+8))),
IF(L1785="COMPLEMENTO",
   IF(I1785&lt;=25,I1785*1.25+1.5,IF(I1785&lt;=60,I1785*1.25+3,IF(I1785&lt;=120,I1785*1.25+4,I1785*1.25+5))),
""))),2)</f>
        <v>11194.89</v>
      </c>
      <c r="I1785" s="9">
        <f>($K$2+0.02)*Tabla1[[#This Row],[PRECIO $]]*1.18</f>
        <v>9727.7312000000002</v>
      </c>
      <c r="J1785" s="7">
        <f>+Tabla1[[#This Row],[PRECIO EN SOLES]]-Tabla1[[#This Row],[PC]]</f>
        <v>1467.1587999999992</v>
      </c>
      <c r="K1785" s="15"/>
      <c r="L1785" s="15" t="str">
        <f t="shared" si="27"/>
        <v>NORMAL</v>
      </c>
    </row>
    <row r="1786" spans="1:12" x14ac:dyDescent="0.25">
      <c r="A1786" s="3" t="s">
        <v>5131</v>
      </c>
      <c r="B1786" s="3" t="s">
        <v>5132</v>
      </c>
      <c r="C1786" s="1">
        <v>7</v>
      </c>
      <c r="D1786" s="1">
        <v>840</v>
      </c>
      <c r="E1786" s="1" t="s">
        <v>58</v>
      </c>
      <c r="F1786" s="1" t="s">
        <v>5133</v>
      </c>
      <c r="G1786" s="3" t="s">
        <v>5134</v>
      </c>
      <c r="H1786" s="11">
        <f>ROUND(
IF(L1786="GANCHO",
   IF(I1786&lt;=50,I1786*1.1+4,IF(I1786&lt;=120,I1786*1.1+7,IF(I1786&lt;=250,I1786*1.1+11,I1786*1.1+19))),
IF(L1786="NORMAL",
   IF(I1786&lt;=30,I1786*1.15+2,IF(I1786&lt;=80,I1786*1.15+4,IF(I1786&lt;=150,I1786*1.15+6,I1786*1.15+8))),
IF(L1786="COMPLEMENTO",
   IF(I1786&lt;=25,I1786*1.25+1.5,IF(I1786&lt;=60,I1786*1.25+3,IF(I1786&lt;=120,I1786*1.25+4,I1786*1.25+5))),
""))),2)</f>
        <v>4020.38</v>
      </c>
      <c r="I1786" s="9">
        <f>($K$2+0.02)*Tabla1[[#This Row],[PRECIO $]]*1.18</f>
        <v>3489.0239999999999</v>
      </c>
      <c r="J1786" s="7">
        <f>+Tabla1[[#This Row],[PRECIO EN SOLES]]-Tabla1[[#This Row],[PC]]</f>
        <v>531.35600000000022</v>
      </c>
      <c r="K1786" s="15"/>
      <c r="L1786" s="15" t="str">
        <f t="shared" si="27"/>
        <v>NORMAL</v>
      </c>
    </row>
    <row r="1787" spans="1:12" x14ac:dyDescent="0.25">
      <c r="A1787" s="3" t="s">
        <v>5135</v>
      </c>
      <c r="B1787" s="3" t="s">
        <v>5136</v>
      </c>
      <c r="C1787" s="1">
        <v>3</v>
      </c>
      <c r="D1787" s="1">
        <v>913</v>
      </c>
      <c r="E1787" s="1" t="s">
        <v>58</v>
      </c>
      <c r="F1787" s="1" t="s">
        <v>5137</v>
      </c>
      <c r="G1787" s="3" t="s">
        <v>5138</v>
      </c>
      <c r="H1787" s="11">
        <f>ROUND(
IF(L1787="GANCHO",
   IF(I1787&lt;=50,I1787*1.1+4,IF(I1787&lt;=120,I1787*1.1+7,IF(I1787&lt;=250,I1787*1.1+11,I1787*1.1+19))),
IF(L1787="NORMAL",
   IF(I1787&lt;=30,I1787*1.15+2,IF(I1787&lt;=80,I1787*1.15+4,IF(I1787&lt;=150,I1787*1.15+6,I1787*1.15+8))),
IF(L1787="COMPLEMENTO",
   IF(I1787&lt;=25,I1787*1.25+1.5,IF(I1787&lt;=60,I1787*1.25+3,IF(I1787&lt;=120,I1787*1.25+4,I1787*1.25+5))),
""))),2)</f>
        <v>4369.07</v>
      </c>
      <c r="I1787" s="9">
        <f>($K$2+0.02)*Tabla1[[#This Row],[PRECIO $]]*1.18</f>
        <v>3792.2368000000001</v>
      </c>
      <c r="J1787" s="7">
        <f>+Tabla1[[#This Row],[PRECIO EN SOLES]]-Tabla1[[#This Row],[PC]]</f>
        <v>576.83319999999958</v>
      </c>
      <c r="K1787" s="15"/>
      <c r="L1787" s="15" t="str">
        <f t="shared" si="27"/>
        <v>NORMAL</v>
      </c>
    </row>
    <row r="1788" spans="1:12" x14ac:dyDescent="0.25">
      <c r="A1788" s="3" t="s">
        <v>2501</v>
      </c>
      <c r="B1788" s="3" t="s">
        <v>2502</v>
      </c>
      <c r="C1788" s="1">
        <v>1</v>
      </c>
      <c r="D1788" s="1">
        <v>250</v>
      </c>
      <c r="E1788" s="1" t="s">
        <v>221</v>
      </c>
      <c r="F1788" s="1" t="s">
        <v>3867</v>
      </c>
      <c r="G1788" s="3" t="s">
        <v>2503</v>
      </c>
      <c r="H1788" s="11">
        <f>ROUND(
IF(L1788="GANCHO",
   IF(I1788&lt;=50,I1788*1.1+4,IF(I1788&lt;=120,I1788*1.1+7,IF(I1788&lt;=250,I1788*1.1+11,I1788*1.1+19))),
IF(L1788="NORMAL",
   IF(I1788&lt;=30,I1788*1.15+2,IF(I1788&lt;=80,I1788*1.15+4,IF(I1788&lt;=150,I1788*1.15+6,I1788*1.15+8))),
IF(L1788="COMPLEMENTO",
   IF(I1788&lt;=25,I1788*1.25+1.5,IF(I1788&lt;=60,I1788*1.25+3,IF(I1788&lt;=120,I1788*1.25+4,I1788*1.25+5))),
""))),2)</f>
        <v>1202.1600000000001</v>
      </c>
      <c r="I1788" s="9">
        <f>($K$2+0.02)*Tabla1[[#This Row],[PRECIO $]]*1.18</f>
        <v>1038.3999999999999</v>
      </c>
      <c r="J1788" s="7">
        <f>+Tabla1[[#This Row],[PRECIO EN SOLES]]-Tabla1[[#This Row],[PC]]</f>
        <v>163.76000000000022</v>
      </c>
      <c r="K1788" s="15"/>
      <c r="L1788" s="15" t="str">
        <f t="shared" si="27"/>
        <v>NORMAL</v>
      </c>
    </row>
    <row r="1789" spans="1:12" x14ac:dyDescent="0.25">
      <c r="A1789" s="3" t="s">
        <v>5618</v>
      </c>
      <c r="B1789" s="3" t="s">
        <v>5619</v>
      </c>
      <c r="C1789" s="1">
        <v>1</v>
      </c>
      <c r="D1789" s="1">
        <v>541</v>
      </c>
      <c r="E1789" s="1" t="s">
        <v>221</v>
      </c>
      <c r="F1789" s="1" t="s">
        <v>5620</v>
      </c>
      <c r="G1789" s="3" t="s">
        <v>5621</v>
      </c>
      <c r="H1789" s="11">
        <f>ROUND(
IF(L1789="GANCHO",
   IF(I1789&lt;=50,I1789*1.1+4,IF(I1789&lt;=120,I1789*1.1+7,IF(I1789&lt;=250,I1789*1.1+11,I1789*1.1+19))),
IF(L1789="NORMAL",
   IF(I1789&lt;=30,I1789*1.15+2,IF(I1789&lt;=80,I1789*1.15+4,IF(I1789&lt;=150,I1789*1.15+6,I1789*1.15+8))),
IF(L1789="COMPLEMENTO",
   IF(I1789&lt;=25,I1789*1.25+1.5,IF(I1789&lt;=60,I1789*1.25+3,IF(I1789&lt;=120,I1789*1.25+4,I1789*1.25+5))),
""))),2)</f>
        <v>2592.16</v>
      </c>
      <c r="I1789" s="9">
        <f>($K$2+0.02)*Tabla1[[#This Row],[PRECIO $]]*1.18</f>
        <v>2247.0975999999996</v>
      </c>
      <c r="J1789" s="7">
        <f>+Tabla1[[#This Row],[PRECIO EN SOLES]]-Tabla1[[#This Row],[PC]]</f>
        <v>345.06240000000025</v>
      </c>
      <c r="K1789" s="15"/>
      <c r="L1789" s="15" t="str">
        <f t="shared" si="27"/>
        <v>NORMAL</v>
      </c>
    </row>
    <row r="1790" spans="1:12" x14ac:dyDescent="0.25">
      <c r="A1790" s="3" t="s">
        <v>5622</v>
      </c>
      <c r="B1790" s="3" t="s">
        <v>5623</v>
      </c>
      <c r="C1790" s="1">
        <v>11</v>
      </c>
      <c r="D1790" s="1">
        <v>450</v>
      </c>
      <c r="E1790" s="1" t="s">
        <v>221</v>
      </c>
      <c r="F1790" s="1" t="s">
        <v>5624</v>
      </c>
      <c r="G1790" s="3" t="s">
        <v>6712</v>
      </c>
      <c r="H1790" s="11">
        <f>ROUND(
IF(L1790="GANCHO",
   IF(I1790&lt;=50,I1790*1.1+4,IF(I1790&lt;=120,I1790*1.1+7,IF(I1790&lt;=250,I1790*1.1+11,I1790*1.1+19))),
IF(L1790="NORMAL",
   IF(I1790&lt;=30,I1790*1.15+2,IF(I1790&lt;=80,I1790*1.15+4,IF(I1790&lt;=150,I1790*1.15+6,I1790*1.15+8))),
IF(L1790="COMPLEMENTO",
   IF(I1790&lt;=25,I1790*1.25+1.5,IF(I1790&lt;=60,I1790*1.25+3,IF(I1790&lt;=120,I1790*1.25+4,I1790*1.25+5))),
""))),2)</f>
        <v>2157.4899999999998</v>
      </c>
      <c r="I1790" s="9">
        <f>($K$2+0.02)*Tabla1[[#This Row],[PRECIO $]]*1.18</f>
        <v>1869.12</v>
      </c>
      <c r="J1790" s="7">
        <f>+Tabla1[[#This Row],[PRECIO EN SOLES]]-Tabla1[[#This Row],[PC]]</f>
        <v>288.36999999999989</v>
      </c>
      <c r="K1790" s="15"/>
      <c r="L1790" s="15" t="str">
        <f t="shared" si="27"/>
        <v>NORMAL</v>
      </c>
    </row>
    <row r="1791" spans="1:12" x14ac:dyDescent="0.25">
      <c r="A1791" s="3" t="s">
        <v>6713</v>
      </c>
      <c r="B1791" s="3" t="s">
        <v>6714</v>
      </c>
      <c r="C1791" s="1">
        <v>0</v>
      </c>
      <c r="D1791" s="1">
        <v>1290</v>
      </c>
      <c r="E1791" s="1" t="s">
        <v>221</v>
      </c>
      <c r="F1791" s="1" t="s">
        <v>6715</v>
      </c>
      <c r="G1791" s="3" t="s">
        <v>6716</v>
      </c>
      <c r="H1791" s="11">
        <f>ROUND(
IF(L1791="GANCHO",
   IF(I1791&lt;=50,I1791*1.1+4,IF(I1791&lt;=120,I1791*1.1+7,IF(I1791&lt;=250,I1791*1.1+11,I1791*1.1+19))),
IF(L1791="NORMAL",
   IF(I1791&lt;=30,I1791*1.15+2,IF(I1791&lt;=80,I1791*1.15+4,IF(I1791&lt;=150,I1791*1.15+6,I1791*1.15+8))),
IF(L1791="COMPLEMENTO",
   IF(I1791&lt;=25,I1791*1.25+1.5,IF(I1791&lt;=60,I1791*1.25+3,IF(I1791&lt;=120,I1791*1.25+4,I1791*1.25+5))),
""))),2)</f>
        <v>6169.87</v>
      </c>
      <c r="I1791" s="9">
        <f>($K$2+0.02)*Tabla1[[#This Row],[PRECIO $]]*1.18</f>
        <v>5358.1440000000002</v>
      </c>
      <c r="J1791" s="7">
        <f>+Tabla1[[#This Row],[PRECIO EN SOLES]]-Tabla1[[#This Row],[PC]]</f>
        <v>811.72599999999966</v>
      </c>
      <c r="K1791" s="15"/>
      <c r="L1791" s="15" t="str">
        <f t="shared" si="27"/>
        <v>NORMAL</v>
      </c>
    </row>
    <row r="1792" spans="1:12" x14ac:dyDescent="0.25">
      <c r="A1792" s="3" t="s">
        <v>6717</v>
      </c>
      <c r="B1792" s="3" t="s">
        <v>6718</v>
      </c>
      <c r="C1792" s="1">
        <v>2</v>
      </c>
      <c r="D1792" s="1">
        <v>2700</v>
      </c>
      <c r="E1792" s="1" t="s">
        <v>221</v>
      </c>
      <c r="F1792" s="1" t="s">
        <v>6719</v>
      </c>
      <c r="G1792" s="3" t="s">
        <v>6720</v>
      </c>
      <c r="H1792" s="11">
        <f>ROUND(
IF(L1792="GANCHO",
   IF(I1792&lt;=50,I1792*1.1+4,IF(I1792&lt;=120,I1792*1.1+7,IF(I1792&lt;=250,I1792*1.1+11,I1792*1.1+19))),
IF(L1792="NORMAL",
   IF(I1792&lt;=30,I1792*1.15+2,IF(I1792&lt;=80,I1792*1.15+4,IF(I1792&lt;=150,I1792*1.15+6,I1792*1.15+8))),
IF(L1792="COMPLEMENTO",
   IF(I1792&lt;=25,I1792*1.25+1.5,IF(I1792&lt;=60,I1792*1.25+3,IF(I1792&lt;=120,I1792*1.25+4,I1792*1.25+5))),
""))),2)</f>
        <v>12904.93</v>
      </c>
      <c r="I1792" s="9">
        <f>($K$2+0.02)*Tabla1[[#This Row],[PRECIO $]]*1.18</f>
        <v>11214.72</v>
      </c>
      <c r="J1792" s="7">
        <f>+Tabla1[[#This Row],[PRECIO EN SOLES]]-Tabla1[[#This Row],[PC]]</f>
        <v>1690.2100000000009</v>
      </c>
      <c r="K1792" s="15"/>
      <c r="L1792" s="15" t="str">
        <f t="shared" si="27"/>
        <v>NORMAL</v>
      </c>
    </row>
    <row r="1793" spans="1:12" x14ac:dyDescent="0.25">
      <c r="A1793" s="3" t="s">
        <v>6299</v>
      </c>
      <c r="B1793" s="3" t="s">
        <v>6300</v>
      </c>
      <c r="C1793" s="1">
        <v>2</v>
      </c>
      <c r="D1793" s="1">
        <v>1770</v>
      </c>
      <c r="E1793" s="1" t="s">
        <v>221</v>
      </c>
      <c r="F1793" s="1" t="s">
        <v>6301</v>
      </c>
      <c r="G1793" s="3" t="s">
        <v>6302</v>
      </c>
      <c r="H1793" s="11">
        <f>ROUND(
IF(L1793="GANCHO",
   IF(I1793&lt;=50,I1793*1.1+4,IF(I1793&lt;=120,I1793*1.1+7,IF(I1793&lt;=250,I1793*1.1+11,I1793*1.1+19))),
IF(L1793="NORMAL",
   IF(I1793&lt;=30,I1793*1.15+2,IF(I1793&lt;=80,I1793*1.15+4,IF(I1793&lt;=150,I1793*1.15+6,I1793*1.15+8))),
IF(L1793="COMPLEMENTO",
   IF(I1793&lt;=25,I1793*1.25+1.5,IF(I1793&lt;=60,I1793*1.25+3,IF(I1793&lt;=120,I1793*1.25+4,I1793*1.25+5))),
""))),2)</f>
        <v>8462.65</v>
      </c>
      <c r="I1793" s="9">
        <f>($K$2+0.02)*Tabla1[[#This Row],[PRECIO $]]*1.18</f>
        <v>7351.8719999999994</v>
      </c>
      <c r="J1793" s="7">
        <f>+Tabla1[[#This Row],[PRECIO EN SOLES]]-Tabla1[[#This Row],[PC]]</f>
        <v>1110.7780000000002</v>
      </c>
      <c r="K1793" s="15"/>
      <c r="L1793" s="15" t="str">
        <f t="shared" si="27"/>
        <v>NORMAL</v>
      </c>
    </row>
    <row r="1794" spans="1:12" x14ac:dyDescent="0.25">
      <c r="A1794" s="3" t="s">
        <v>6721</v>
      </c>
      <c r="B1794" s="3" t="s">
        <v>6722</v>
      </c>
      <c r="C1794" s="1">
        <v>1</v>
      </c>
      <c r="D1794" s="1">
        <v>4985</v>
      </c>
      <c r="E1794" s="1" t="s">
        <v>2509</v>
      </c>
      <c r="F1794" s="1" t="s">
        <v>6723</v>
      </c>
      <c r="G1794" s="3" t="s">
        <v>6724</v>
      </c>
      <c r="H1794" s="11">
        <f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23819.55</v>
      </c>
      <c r="I1794" s="9">
        <f>($K$2+0.02)*Tabla1[[#This Row],[PRECIO $]]*1.18</f>
        <v>20705.696</v>
      </c>
      <c r="J1794" s="7">
        <f>+Tabla1[[#This Row],[PRECIO EN SOLES]]-Tabla1[[#This Row],[PC]]</f>
        <v>3113.8539999999994</v>
      </c>
      <c r="K1794" s="15"/>
      <c r="L1794" s="15" t="str">
        <f t="shared" si="27"/>
        <v>NORMAL</v>
      </c>
    </row>
    <row r="1795" spans="1:12" x14ac:dyDescent="0.25">
      <c r="A1795" s="3" t="s">
        <v>6725</v>
      </c>
      <c r="B1795" s="3" t="s">
        <v>6726</v>
      </c>
      <c r="C1795" s="1">
        <v>1</v>
      </c>
      <c r="D1795" s="1">
        <v>5150</v>
      </c>
      <c r="E1795" s="1" t="s">
        <v>2509</v>
      </c>
      <c r="F1795" s="1" t="s">
        <v>6727</v>
      </c>
      <c r="G1795" s="3" t="s">
        <v>6728</v>
      </c>
      <c r="H1795" s="11">
        <f>ROUND(
IF(L1795="GANCHO",
   IF(I1795&lt;=50,I1795*1.1+4,IF(I1795&lt;=120,I1795*1.1+7,IF(I1795&lt;=250,I1795*1.1+11,I1795*1.1+19))),
IF(L1795="NORMAL",
   IF(I1795&lt;=30,I1795*1.15+2,IF(I1795&lt;=80,I1795*1.15+4,IF(I1795&lt;=150,I1795*1.15+6,I1795*1.15+8))),
IF(L1795="COMPLEMENTO",
   IF(I1795&lt;=25,I1795*1.25+1.5,IF(I1795&lt;=60,I1795*1.25+3,IF(I1795&lt;=120,I1795*1.25+4,I1795*1.25+5))),
""))),2)</f>
        <v>24607.7</v>
      </c>
      <c r="I1795" s="9">
        <f>($K$2+0.02)*Tabla1[[#This Row],[PRECIO $]]*1.18</f>
        <v>21391.039999999997</v>
      </c>
      <c r="J1795" s="7">
        <f>+Tabla1[[#This Row],[PRECIO EN SOLES]]-Tabla1[[#This Row],[PC]]</f>
        <v>3216.6600000000035</v>
      </c>
      <c r="K1795" s="15"/>
      <c r="L1795" s="15" t="str">
        <f t="shared" ref="L1795:L1858" si="28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6729</v>
      </c>
      <c r="B1796" s="3" t="s">
        <v>6730</v>
      </c>
      <c r="C1796" s="1">
        <v>1</v>
      </c>
      <c r="D1796" s="1">
        <v>7700</v>
      </c>
      <c r="E1796" s="1" t="s">
        <v>2509</v>
      </c>
      <c r="F1796" s="1" t="s">
        <v>6731</v>
      </c>
      <c r="G1796" s="3" t="s">
        <v>6732</v>
      </c>
      <c r="H1796" s="11">
        <f>ROUND(
IF(L1796="GANCHO",
   IF(I1796&lt;=50,I1796*1.1+4,IF(I1796&lt;=120,I1796*1.1+7,IF(I1796&lt;=250,I1796*1.1+11,I1796*1.1+19))),
IF(L1796="NORMAL",
   IF(I1796&lt;=30,I1796*1.15+2,IF(I1796&lt;=80,I1796*1.15+4,IF(I1796&lt;=150,I1796*1.15+6,I1796*1.15+8))),
IF(L1796="COMPLEMENTO",
   IF(I1796&lt;=25,I1796*1.25+1.5,IF(I1796&lt;=60,I1796*1.25+3,IF(I1796&lt;=120,I1796*1.25+4,I1796*1.25+5))),
""))),2)</f>
        <v>36788.129999999997</v>
      </c>
      <c r="I1796" s="9">
        <f>($K$2+0.02)*Tabla1[[#This Row],[PRECIO $]]*1.18</f>
        <v>31982.719999999998</v>
      </c>
      <c r="J1796" s="7">
        <f>+Tabla1[[#This Row],[PRECIO EN SOLES]]-Tabla1[[#This Row],[PC]]</f>
        <v>4805.41</v>
      </c>
      <c r="K1796" s="15"/>
      <c r="L1796" s="15" t="str">
        <f t="shared" si="28"/>
        <v>NORMAL</v>
      </c>
    </row>
    <row r="1797" spans="1:12" x14ac:dyDescent="0.25">
      <c r="A1797" s="3" t="s">
        <v>2504</v>
      </c>
      <c r="B1797" s="3" t="s">
        <v>2505</v>
      </c>
      <c r="C1797" s="1">
        <v>0</v>
      </c>
      <c r="D1797" s="1">
        <v>4680</v>
      </c>
      <c r="E1797" s="1" t="s">
        <v>217</v>
      </c>
      <c r="F1797" s="1" t="s">
        <v>3868</v>
      </c>
      <c r="G1797" s="3"/>
      <c r="H1797" s="11">
        <f>ROUND(
IF(L1797="GANCHO",
   IF(I1797&lt;=50,I1797*1.1+4,IF(I1797&lt;=120,I1797*1.1+7,IF(I1797&lt;=250,I1797*1.1+11,I1797*1.1+19))),
IF(L1797="NORMAL",
   IF(I1797&lt;=30,I1797*1.15+2,IF(I1797&lt;=80,I1797*1.15+4,IF(I1797&lt;=150,I1797*1.15+6,I1797*1.15+8))),
IF(L1797="COMPLEMENTO",
   IF(I1797&lt;=25,I1797*1.25+1.5,IF(I1797&lt;=60,I1797*1.25+3,IF(I1797&lt;=120,I1797*1.25+4,I1797*1.25+5))),
""))),2)</f>
        <v>22362.68</v>
      </c>
      <c r="I1797" s="9">
        <f>($K$2+0.02)*Tabla1[[#This Row],[PRECIO $]]*1.18</f>
        <v>19438.847999999998</v>
      </c>
      <c r="J1797" s="7">
        <f>+Tabla1[[#This Row],[PRECIO EN SOLES]]-Tabla1[[#This Row],[PC]]</f>
        <v>2923.8320000000022</v>
      </c>
      <c r="K1797" s="15"/>
      <c r="L1797" s="15" t="str">
        <f t="shared" si="28"/>
        <v>NORMAL</v>
      </c>
    </row>
    <row r="1798" spans="1:12" x14ac:dyDescent="0.25">
      <c r="A1798" s="3" t="s">
        <v>2506</v>
      </c>
      <c r="B1798" s="3" t="s">
        <v>2507</v>
      </c>
      <c r="C1798" s="1">
        <v>0</v>
      </c>
      <c r="D1798" s="1">
        <v>4332.5</v>
      </c>
      <c r="E1798" s="1" t="s">
        <v>217</v>
      </c>
      <c r="F1798" s="1" t="s">
        <v>3869</v>
      </c>
      <c r="G1798" s="3" t="s">
        <v>2508</v>
      </c>
      <c r="H1798" s="11">
        <f>ROUND(
IF(L1798="GANCHO",
   IF(I1798&lt;=50,I1798*1.1+4,IF(I1798&lt;=120,I1798*1.1+7,IF(I1798&lt;=250,I1798*1.1+11,I1798*1.1+19))),
IF(L1798="NORMAL",
   IF(I1798&lt;=30,I1798*1.15+2,IF(I1798&lt;=80,I1798*1.15+4,IF(I1798&lt;=150,I1798*1.15+6,I1798*1.15+8))),
IF(L1798="COMPLEMENTO",
   IF(I1798&lt;=25,I1798*1.25+1.5,IF(I1798&lt;=60,I1798*1.25+3,IF(I1798&lt;=120,I1798*1.25+4,I1798*1.25+5))),
""))),2)</f>
        <v>20702.79</v>
      </c>
      <c r="I1798" s="9">
        <f>($K$2+0.02)*Tabla1[[#This Row],[PRECIO $]]*1.18</f>
        <v>17995.471999999998</v>
      </c>
      <c r="J1798" s="7">
        <f>+Tabla1[[#This Row],[PRECIO EN SOLES]]-Tabla1[[#This Row],[PC]]</f>
        <v>2707.3180000000029</v>
      </c>
      <c r="K1798" s="15"/>
      <c r="L1798" s="15" t="str">
        <f t="shared" si="28"/>
        <v>NORMAL</v>
      </c>
    </row>
    <row r="1799" spans="1:12" x14ac:dyDescent="0.25">
      <c r="A1799" s="3" t="s">
        <v>2510</v>
      </c>
      <c r="B1799" s="3" t="s">
        <v>2511</v>
      </c>
      <c r="C1799" s="1">
        <v>8</v>
      </c>
      <c r="D1799" s="1">
        <v>56.5</v>
      </c>
      <c r="E1799" s="1" t="s">
        <v>221</v>
      </c>
      <c r="F1799" s="1" t="s">
        <v>3870</v>
      </c>
      <c r="G1799" s="3"/>
      <c r="H1799" s="11">
        <f>ROUND(
IF(L1799="GANCHO",
   IF(I1799&lt;=50,I1799*1.1+4,IF(I1799&lt;=120,I1799*1.1+7,IF(I1799&lt;=250,I1799*1.1+11,I1799*1.1+19))),
IF(L1799="NORMAL",
   IF(I1799&lt;=30,I1799*1.15+2,IF(I1799&lt;=80,I1799*1.15+4,IF(I1799&lt;=150,I1799*1.15+6,I1799*1.15+8))),
IF(L1799="COMPLEMENTO",
   IF(I1799&lt;=25,I1799*1.25+1.5,IF(I1799&lt;=60,I1799*1.25+3,IF(I1799&lt;=120,I1799*1.25+4,I1799*1.25+5))),
""))),2)</f>
        <v>277.88</v>
      </c>
      <c r="I1799" s="9">
        <f>($K$2+0.02)*Tabla1[[#This Row],[PRECIO $]]*1.18</f>
        <v>234.67839999999998</v>
      </c>
      <c r="J1799" s="7">
        <f>+Tabla1[[#This Row],[PRECIO EN SOLES]]-Tabla1[[#This Row],[PC]]</f>
        <v>43.201600000000013</v>
      </c>
      <c r="K1799" s="15"/>
      <c r="L1799" s="15" t="str">
        <f t="shared" si="28"/>
        <v>NORMAL</v>
      </c>
    </row>
    <row r="1800" spans="1:12" x14ac:dyDescent="0.25">
      <c r="A1800" s="3" t="s">
        <v>5139</v>
      </c>
      <c r="B1800" s="3" t="s">
        <v>5140</v>
      </c>
      <c r="C1800" s="1">
        <v>5</v>
      </c>
      <c r="D1800" s="1">
        <v>500</v>
      </c>
      <c r="E1800" s="1" t="s">
        <v>58</v>
      </c>
      <c r="F1800" s="1" t="s">
        <v>5141</v>
      </c>
      <c r="G1800" s="3" t="s">
        <v>6733</v>
      </c>
      <c r="H1800" s="11">
        <f>ROUND(
IF(L1800="GANCHO",
   IF(I1800&lt;=50,I1800*1.1+4,IF(I1800&lt;=120,I1800*1.1+7,IF(I1800&lt;=250,I1800*1.1+11,I1800*1.1+19))),
IF(L1800="NORMAL",
   IF(I1800&lt;=30,I1800*1.15+2,IF(I1800&lt;=80,I1800*1.15+4,IF(I1800&lt;=150,I1800*1.15+6,I1800*1.15+8))),
IF(L1800="COMPLEMENTO",
   IF(I1800&lt;=25,I1800*1.25+1.5,IF(I1800&lt;=60,I1800*1.25+3,IF(I1800&lt;=120,I1800*1.25+4,I1800*1.25+5))),
""))),2)</f>
        <v>2396.3200000000002</v>
      </c>
      <c r="I1800" s="9">
        <f>($K$2+0.02)*Tabla1[[#This Row],[PRECIO $]]*1.18</f>
        <v>2076.7999999999997</v>
      </c>
      <c r="J1800" s="7">
        <f>+Tabla1[[#This Row],[PRECIO EN SOLES]]-Tabla1[[#This Row],[PC]]</f>
        <v>319.52000000000044</v>
      </c>
      <c r="K1800" s="15"/>
      <c r="L1800" s="15" t="str">
        <f t="shared" si="28"/>
        <v>NORMAL</v>
      </c>
    </row>
    <row r="1801" spans="1:12" x14ac:dyDescent="0.25">
      <c r="A1801" s="3" t="s">
        <v>2512</v>
      </c>
      <c r="B1801" s="3" t="s">
        <v>2513</v>
      </c>
      <c r="C1801" s="1">
        <v>4</v>
      </c>
      <c r="D1801" s="1">
        <v>177</v>
      </c>
      <c r="E1801" s="1" t="s">
        <v>217</v>
      </c>
      <c r="F1801" s="1" t="s">
        <v>3871</v>
      </c>
      <c r="G1801" s="3"/>
      <c r="H1801" s="11">
        <f>ROUND(
IF(L1801="GANCHO",
   IF(I1801&lt;=50,I1801*1.1+4,IF(I1801&lt;=120,I1801*1.1+7,IF(I1801&lt;=250,I1801*1.1+11,I1801*1.1+19))),
IF(L1801="NORMAL",
   IF(I1801&lt;=30,I1801*1.15+2,IF(I1801&lt;=80,I1801*1.15+4,IF(I1801&lt;=150,I1801*1.15+6,I1801*1.15+8))),
IF(L1801="COMPLEMENTO",
   IF(I1801&lt;=25,I1801*1.25+1.5,IF(I1801&lt;=60,I1801*1.25+3,IF(I1801&lt;=120,I1801*1.25+4,I1801*1.25+5))),
""))),2)</f>
        <v>853.47</v>
      </c>
      <c r="I1801" s="9">
        <f>($K$2+0.02)*Tabla1[[#This Row],[PRECIO $]]*1.18</f>
        <v>735.18719999999996</v>
      </c>
      <c r="J1801" s="7">
        <f>+Tabla1[[#This Row],[PRECIO EN SOLES]]-Tabla1[[#This Row],[PC]]</f>
        <v>118.28280000000007</v>
      </c>
      <c r="K1801" s="15"/>
      <c r="L1801" s="15" t="str">
        <f t="shared" si="28"/>
        <v>NORMAL</v>
      </c>
    </row>
    <row r="1802" spans="1:12" x14ac:dyDescent="0.25">
      <c r="A1802" s="3" t="s">
        <v>2514</v>
      </c>
      <c r="B1802" s="3" t="s">
        <v>2515</v>
      </c>
      <c r="C1802" s="1">
        <v>6</v>
      </c>
      <c r="D1802" s="1">
        <v>107.9</v>
      </c>
      <c r="E1802" s="1" t="s">
        <v>217</v>
      </c>
      <c r="F1802" s="1" t="s">
        <v>3872</v>
      </c>
      <c r="G1802" s="3" t="s">
        <v>2516</v>
      </c>
      <c r="H1802" s="11">
        <f>ROUND(
IF(L1802="GANCHO",
   IF(I1802&lt;=50,I1802*1.1+4,IF(I1802&lt;=120,I1802*1.1+7,IF(I1802&lt;=250,I1802*1.1+11,I1802*1.1+19))),
IF(L1802="NORMAL",
   IF(I1802&lt;=30,I1802*1.15+2,IF(I1802&lt;=80,I1802*1.15+4,IF(I1802&lt;=150,I1802*1.15+6,I1802*1.15+8))),
IF(L1802="COMPLEMENTO",
   IF(I1802&lt;=25,I1802*1.25+1.5,IF(I1802&lt;=60,I1802*1.25+3,IF(I1802&lt;=120,I1802*1.25+4,I1802*1.25+5))),
""))),2)</f>
        <v>523.4</v>
      </c>
      <c r="I1802" s="9">
        <f>($K$2+0.02)*Tabla1[[#This Row],[PRECIO $]]*1.18</f>
        <v>448.17344000000003</v>
      </c>
      <c r="J1802" s="7">
        <f>+Tabla1[[#This Row],[PRECIO EN SOLES]]-Tabla1[[#This Row],[PC]]</f>
        <v>75.226559999999949</v>
      </c>
      <c r="K1802" s="15"/>
      <c r="L1802" s="15" t="str">
        <f t="shared" si="28"/>
        <v>NORMAL</v>
      </c>
    </row>
    <row r="1803" spans="1:12" x14ac:dyDescent="0.25">
      <c r="A1803" s="3" t="s">
        <v>2517</v>
      </c>
      <c r="B1803" s="3" t="s">
        <v>2518</v>
      </c>
      <c r="C1803" s="1">
        <v>10</v>
      </c>
      <c r="D1803" s="1">
        <v>127.7</v>
      </c>
      <c r="E1803" s="1" t="s">
        <v>217</v>
      </c>
      <c r="F1803" s="1" t="s">
        <v>3873</v>
      </c>
      <c r="G1803" s="3" t="s">
        <v>2519</v>
      </c>
      <c r="H1803" s="11">
        <f>ROUND(
IF(L1803="GANCHO",
   IF(I1803&lt;=50,I1803*1.1+4,IF(I1803&lt;=120,I1803*1.1+7,IF(I1803&lt;=250,I1803*1.1+11,I1803*1.1+19))),
IF(L1803="NORMAL",
   IF(I1803&lt;=30,I1803*1.15+2,IF(I1803&lt;=80,I1803*1.15+4,IF(I1803&lt;=150,I1803*1.15+6,I1803*1.15+8))),
IF(L1803="COMPLEMENTO",
   IF(I1803&lt;=25,I1803*1.25+1.5,IF(I1803&lt;=60,I1803*1.25+3,IF(I1803&lt;=120,I1803*1.25+4,I1803*1.25+5))),
""))),2)</f>
        <v>617.98</v>
      </c>
      <c r="I1803" s="9">
        <f>($K$2+0.02)*Tabla1[[#This Row],[PRECIO $]]*1.18</f>
        <v>530.41471999999999</v>
      </c>
      <c r="J1803" s="7">
        <f>+Tabla1[[#This Row],[PRECIO EN SOLES]]-Tabla1[[#This Row],[PC]]</f>
        <v>87.56528000000003</v>
      </c>
      <c r="K1803" s="15"/>
      <c r="L1803" s="15" t="str">
        <f t="shared" si="28"/>
        <v>NORMAL</v>
      </c>
    </row>
    <row r="1804" spans="1:12" x14ac:dyDescent="0.25">
      <c r="A1804" s="3" t="s">
        <v>2520</v>
      </c>
      <c r="B1804" s="3" t="s">
        <v>2521</v>
      </c>
      <c r="C1804" s="1">
        <v>6</v>
      </c>
      <c r="D1804" s="1">
        <v>143.4</v>
      </c>
      <c r="E1804" s="1" t="s">
        <v>217</v>
      </c>
      <c r="F1804" s="1" t="s">
        <v>3874</v>
      </c>
      <c r="G1804" s="3" t="s">
        <v>2522</v>
      </c>
      <c r="H1804" s="11">
        <f>ROUND(
IF(L1804="GANCHO",
   IF(I1804&lt;=50,I1804*1.1+4,IF(I1804&lt;=120,I1804*1.1+7,IF(I1804&lt;=250,I1804*1.1+11,I1804*1.1+19))),
IF(L1804="NORMAL",
   IF(I1804&lt;=30,I1804*1.15+2,IF(I1804&lt;=80,I1804*1.15+4,IF(I1804&lt;=150,I1804*1.15+6,I1804*1.15+8))),
IF(L1804="COMPLEMENTO",
   IF(I1804&lt;=25,I1804*1.25+1.5,IF(I1804&lt;=60,I1804*1.25+3,IF(I1804&lt;=120,I1804*1.25+4,I1804*1.25+5))),
""))),2)</f>
        <v>692.97</v>
      </c>
      <c r="I1804" s="9">
        <f>($K$2+0.02)*Tabla1[[#This Row],[PRECIO $]]*1.18</f>
        <v>595.62624000000005</v>
      </c>
      <c r="J1804" s="7">
        <f>+Tabla1[[#This Row],[PRECIO EN SOLES]]-Tabla1[[#This Row],[PC]]</f>
        <v>97.343759999999975</v>
      </c>
      <c r="K1804" s="15"/>
      <c r="L1804" s="15" t="str">
        <f t="shared" si="28"/>
        <v>NORMAL</v>
      </c>
    </row>
    <row r="1805" spans="1:12" x14ac:dyDescent="0.25">
      <c r="A1805" s="3" t="s">
        <v>5142</v>
      </c>
      <c r="B1805" s="3" t="s">
        <v>5143</v>
      </c>
      <c r="C1805" s="1">
        <v>3</v>
      </c>
      <c r="D1805" s="1">
        <v>555</v>
      </c>
      <c r="E1805" s="1" t="s">
        <v>58</v>
      </c>
      <c r="F1805" s="1" t="s">
        <v>5144</v>
      </c>
      <c r="G1805" s="3" t="s">
        <v>5145</v>
      </c>
      <c r="H1805" s="11">
        <f>ROUND(
IF(L1805="GANCHO",
   IF(I1805&lt;=50,I1805*1.1+4,IF(I1805&lt;=120,I1805*1.1+7,IF(I1805&lt;=250,I1805*1.1+11,I1805*1.1+19))),
IF(L1805="NORMAL",
   IF(I1805&lt;=30,I1805*1.15+2,IF(I1805&lt;=80,I1805*1.15+4,IF(I1805&lt;=150,I1805*1.15+6,I1805*1.15+8))),
IF(L1805="COMPLEMENTO",
   IF(I1805&lt;=25,I1805*1.25+1.5,IF(I1805&lt;=60,I1805*1.25+3,IF(I1805&lt;=120,I1805*1.25+4,I1805*1.25+5))),
""))),2)</f>
        <v>2659.04</v>
      </c>
      <c r="I1805" s="9">
        <f>($K$2+0.02)*Tabla1[[#This Row],[PRECIO $]]*1.18</f>
        <v>2305.2479999999996</v>
      </c>
      <c r="J1805" s="7">
        <f>+Tabla1[[#This Row],[PRECIO EN SOLES]]-Tabla1[[#This Row],[PC]]</f>
        <v>353.79200000000037</v>
      </c>
      <c r="K1805" s="15"/>
      <c r="L1805" s="15" t="str">
        <f t="shared" si="28"/>
        <v>NORMAL</v>
      </c>
    </row>
    <row r="1806" spans="1:12" x14ac:dyDescent="0.25">
      <c r="A1806" s="3" t="s">
        <v>2523</v>
      </c>
      <c r="B1806" s="3" t="s">
        <v>2524</v>
      </c>
      <c r="C1806" s="1">
        <v>0</v>
      </c>
      <c r="D1806" s="1">
        <v>2.2999999999999998</v>
      </c>
      <c r="E1806" s="1" t="s">
        <v>58</v>
      </c>
      <c r="F1806" s="1" t="s">
        <v>3875</v>
      </c>
      <c r="G1806" s="3" t="s">
        <v>2525</v>
      </c>
      <c r="H1806" s="11">
        <f>ROUND(
IF(L1806="GANCHO",
   IF(I1806&lt;=50,I1806*1.1+4,IF(I1806&lt;=120,I1806*1.1+7,IF(I1806&lt;=250,I1806*1.1+11,I1806*1.1+19))),
IF(L1806="NORMAL",
   IF(I1806&lt;=30,I1806*1.15+2,IF(I1806&lt;=80,I1806*1.15+4,IF(I1806&lt;=150,I1806*1.15+6,I1806*1.15+8))),
IF(L1806="COMPLEMENTO",
   IF(I1806&lt;=25,I1806*1.25+1.5,IF(I1806&lt;=60,I1806*1.25+3,IF(I1806&lt;=120,I1806*1.25+4,I1806*1.25+5))),
""))),2)</f>
        <v>13.44</v>
      </c>
      <c r="I1806" s="9">
        <f>($K$2+0.02)*Tabla1[[#This Row],[PRECIO $]]*1.18</f>
        <v>9.5532799999999991</v>
      </c>
      <c r="J1806" s="7">
        <f>+Tabla1[[#This Row],[PRECIO EN SOLES]]-Tabla1[[#This Row],[PC]]</f>
        <v>3.8867200000000004</v>
      </c>
      <c r="K1806" s="15"/>
      <c r="L1806" s="15" t="str">
        <f t="shared" si="28"/>
        <v>COMPLEMENTO</v>
      </c>
    </row>
    <row r="1807" spans="1:12" x14ac:dyDescent="0.25">
      <c r="A1807" s="3" t="s">
        <v>6734</v>
      </c>
      <c r="B1807" s="3" t="s">
        <v>6735</v>
      </c>
      <c r="C1807" s="1">
        <v>0</v>
      </c>
      <c r="D1807" s="1">
        <v>3.09</v>
      </c>
      <c r="E1807" s="1" t="s">
        <v>58</v>
      </c>
      <c r="F1807" s="1" t="s">
        <v>6736</v>
      </c>
      <c r="G1807" s="3" t="s">
        <v>6737</v>
      </c>
      <c r="H1807" s="11">
        <f>ROUND(
IF(L1807="GANCHO",
   IF(I1807&lt;=50,I1807*1.1+4,IF(I1807&lt;=120,I1807*1.1+7,IF(I1807&lt;=250,I1807*1.1+11,I1807*1.1+19))),
IF(L1807="NORMAL",
   IF(I1807&lt;=30,I1807*1.15+2,IF(I1807&lt;=80,I1807*1.15+4,IF(I1807&lt;=150,I1807*1.15+6,I1807*1.15+8))),
IF(L1807="COMPLEMENTO",
   IF(I1807&lt;=25,I1807*1.25+1.5,IF(I1807&lt;=60,I1807*1.25+3,IF(I1807&lt;=120,I1807*1.25+4,I1807*1.25+5))),
""))),2)</f>
        <v>16.760000000000002</v>
      </c>
      <c r="I1807" s="9">
        <f>($K$2+0.02)*Tabla1[[#This Row],[PRECIO $]]*1.18</f>
        <v>12.834623999999998</v>
      </c>
      <c r="J1807" s="7">
        <f>+Tabla1[[#This Row],[PRECIO EN SOLES]]-Tabla1[[#This Row],[PC]]</f>
        <v>3.9253760000000035</v>
      </c>
      <c r="K1807" s="15"/>
      <c r="L1807" s="15" t="str">
        <f t="shared" si="28"/>
        <v>NORMAL</v>
      </c>
    </row>
    <row r="1808" spans="1:12" x14ac:dyDescent="0.25">
      <c r="A1808" s="3" t="s">
        <v>2526</v>
      </c>
      <c r="B1808" s="3" t="s">
        <v>2527</v>
      </c>
      <c r="C1808" s="1">
        <v>0</v>
      </c>
      <c r="D1808" s="1">
        <v>367</v>
      </c>
      <c r="E1808" s="1" t="s">
        <v>58</v>
      </c>
      <c r="F1808" s="1" t="s">
        <v>3876</v>
      </c>
      <c r="G1808" s="3" t="s">
        <v>2528</v>
      </c>
      <c r="H1808" s="11">
        <f>ROUND(
IF(L1808="GANCHO",
   IF(I1808&lt;=50,I1808*1.1+4,IF(I1808&lt;=120,I1808*1.1+7,IF(I1808&lt;=250,I1808*1.1+11,I1808*1.1+19))),
IF(L1808="NORMAL",
   IF(I1808&lt;=30,I1808*1.15+2,IF(I1808&lt;=80,I1808*1.15+4,IF(I1808&lt;=150,I1808*1.15+6,I1808*1.15+8))),
IF(L1808="COMPLEMENTO",
   IF(I1808&lt;=25,I1808*1.25+1.5,IF(I1808&lt;=60,I1808*1.25+3,IF(I1808&lt;=120,I1808*1.25+4,I1808*1.25+5))),
""))),2)</f>
        <v>1761.03</v>
      </c>
      <c r="I1808" s="9">
        <f>($K$2+0.02)*Tabla1[[#This Row],[PRECIO $]]*1.18</f>
        <v>1524.3711999999998</v>
      </c>
      <c r="J1808" s="7">
        <f>+Tabla1[[#This Row],[PRECIO EN SOLES]]-Tabla1[[#This Row],[PC]]</f>
        <v>236.65880000000016</v>
      </c>
      <c r="K1808" s="15"/>
      <c r="L1808" s="15" t="str">
        <f t="shared" si="28"/>
        <v>NORMAL</v>
      </c>
    </row>
    <row r="1809" spans="1:12" x14ac:dyDescent="0.25">
      <c r="A1809" s="3" t="s">
        <v>2529</v>
      </c>
      <c r="B1809" s="3" t="s">
        <v>2530</v>
      </c>
      <c r="C1809" s="1">
        <v>9</v>
      </c>
      <c r="D1809" s="1">
        <v>18.3</v>
      </c>
      <c r="E1809" s="1" t="s">
        <v>58</v>
      </c>
      <c r="F1809" s="1" t="s">
        <v>3877</v>
      </c>
      <c r="G1809" s="3" t="s">
        <v>2531</v>
      </c>
      <c r="H1809" s="11">
        <f>ROUND(
IF(L1809="GANCHO",
   IF(I1809&lt;=50,I1809*1.1+4,IF(I1809&lt;=120,I1809*1.1+7,IF(I1809&lt;=250,I1809*1.1+11,I1809*1.1+19))),
IF(L1809="NORMAL",
   IF(I1809&lt;=30,I1809*1.15+2,IF(I1809&lt;=80,I1809*1.15+4,IF(I1809&lt;=150,I1809*1.15+6,I1809*1.15+8))),
IF(L1809="COMPLEMENTO",
   IF(I1809&lt;=25,I1809*1.25+1.5,IF(I1809&lt;=60,I1809*1.25+3,IF(I1809&lt;=120,I1809*1.25+4,I1809*1.25+5))),
""))),2)</f>
        <v>91.41</v>
      </c>
      <c r="I1809" s="9">
        <f>($K$2+0.02)*Tabla1[[#This Row],[PRECIO $]]*1.18</f>
        <v>76.010879999999986</v>
      </c>
      <c r="J1809" s="7">
        <f>+Tabla1[[#This Row],[PRECIO EN SOLES]]-Tabla1[[#This Row],[PC]]</f>
        <v>15.399120000000011</v>
      </c>
      <c r="K1809" s="15"/>
      <c r="L1809" s="15" t="str">
        <f t="shared" si="28"/>
        <v>NORMAL</v>
      </c>
    </row>
    <row r="1810" spans="1:12" x14ac:dyDescent="0.25">
      <c r="A1810" s="3" t="s">
        <v>2532</v>
      </c>
      <c r="B1810" s="3" t="s">
        <v>2533</v>
      </c>
      <c r="C1810" s="1">
        <v>12</v>
      </c>
      <c r="D1810" s="1">
        <v>207</v>
      </c>
      <c r="E1810" s="1" t="s">
        <v>58</v>
      </c>
      <c r="F1810" s="1" t="s">
        <v>3878</v>
      </c>
      <c r="G1810" s="3" t="s">
        <v>2534</v>
      </c>
      <c r="H1810" s="11">
        <f>ROUND(
IF(L1810="GANCHO",
   IF(I1810&lt;=50,I1810*1.1+4,IF(I1810&lt;=120,I1810*1.1+7,IF(I1810&lt;=250,I1810*1.1+11,I1810*1.1+19))),
IF(L1810="NORMAL",
   IF(I1810&lt;=30,I1810*1.15+2,IF(I1810&lt;=80,I1810*1.15+4,IF(I1810&lt;=150,I1810*1.15+6,I1810*1.15+8))),
IF(L1810="COMPLEMENTO",
   IF(I1810&lt;=25,I1810*1.25+1.5,IF(I1810&lt;=60,I1810*1.25+3,IF(I1810&lt;=120,I1810*1.25+4,I1810*1.25+5))),
""))),2)</f>
        <v>996.76</v>
      </c>
      <c r="I1810" s="9">
        <f>($K$2+0.02)*Tabla1[[#This Row],[PRECIO $]]*1.18</f>
        <v>859.79519999999991</v>
      </c>
      <c r="J1810" s="7">
        <f>+Tabla1[[#This Row],[PRECIO EN SOLES]]-Tabla1[[#This Row],[PC]]</f>
        <v>136.96480000000008</v>
      </c>
      <c r="K1810" s="15"/>
      <c r="L1810" s="15" t="str">
        <f t="shared" si="28"/>
        <v>NORMAL</v>
      </c>
    </row>
    <row r="1811" spans="1:12" x14ac:dyDescent="0.25">
      <c r="A1811" s="3" t="s">
        <v>2535</v>
      </c>
      <c r="B1811" s="3" t="s">
        <v>2536</v>
      </c>
      <c r="C1811" s="1">
        <v>20</v>
      </c>
      <c r="D1811" s="1">
        <v>160</v>
      </c>
      <c r="E1811" s="1" t="s">
        <v>2509</v>
      </c>
      <c r="F1811" s="1" t="s">
        <v>3879</v>
      </c>
      <c r="G1811" s="3" t="s">
        <v>2537</v>
      </c>
      <c r="H1811" s="11">
        <f>ROUND(
IF(L1811="GANCHO",
   IF(I1811&lt;=50,I1811*1.1+4,IF(I1811&lt;=120,I1811*1.1+7,IF(I1811&lt;=250,I1811*1.1+11,I1811*1.1+19))),
IF(L1811="NORMAL",
   IF(I1811&lt;=30,I1811*1.15+2,IF(I1811&lt;=80,I1811*1.15+4,IF(I1811&lt;=150,I1811*1.15+6,I1811*1.15+8))),
IF(L1811="COMPLEMENTO",
   IF(I1811&lt;=25,I1811*1.25+1.5,IF(I1811&lt;=60,I1811*1.25+3,IF(I1811&lt;=120,I1811*1.25+4,I1811*1.25+5))),
""))),2)</f>
        <v>772.26</v>
      </c>
      <c r="I1811" s="9">
        <f>($K$2+0.02)*Tabla1[[#This Row],[PRECIO $]]*1.18</f>
        <v>664.57600000000002</v>
      </c>
      <c r="J1811" s="7">
        <f>+Tabla1[[#This Row],[PRECIO EN SOLES]]-Tabla1[[#This Row],[PC]]</f>
        <v>107.68399999999997</v>
      </c>
      <c r="K1811" s="15"/>
      <c r="L1811" s="15" t="str">
        <f t="shared" si="28"/>
        <v>NORMAL</v>
      </c>
    </row>
    <row r="1812" spans="1:12" x14ac:dyDescent="0.25">
      <c r="A1812" s="3" t="s">
        <v>2538</v>
      </c>
      <c r="B1812" s="3" t="s">
        <v>2539</v>
      </c>
      <c r="C1812" s="1">
        <v>20</v>
      </c>
      <c r="D1812" s="1">
        <v>110</v>
      </c>
      <c r="E1812" s="1" t="s">
        <v>221</v>
      </c>
      <c r="F1812" s="1" t="s">
        <v>3880</v>
      </c>
      <c r="G1812" s="3" t="s">
        <v>2540</v>
      </c>
      <c r="H1812" s="11">
        <f>ROUND(
IF(L1812="GANCHO",
   IF(I1812&lt;=50,I1812*1.1+4,IF(I1812&lt;=120,I1812*1.1+7,IF(I1812&lt;=250,I1812*1.1+11,I1812*1.1+19))),
IF(L1812="NORMAL",
   IF(I1812&lt;=30,I1812*1.15+2,IF(I1812&lt;=80,I1812*1.15+4,IF(I1812&lt;=150,I1812*1.15+6,I1812*1.15+8))),
IF(L1812="COMPLEMENTO",
   IF(I1812&lt;=25,I1812*1.25+1.5,IF(I1812&lt;=60,I1812*1.25+3,IF(I1812&lt;=120,I1812*1.25+4,I1812*1.25+5))),
""))),2)</f>
        <v>533.42999999999995</v>
      </c>
      <c r="I1812" s="9">
        <f>($K$2+0.02)*Tabla1[[#This Row],[PRECIO $]]*1.18</f>
        <v>456.89599999999996</v>
      </c>
      <c r="J1812" s="7">
        <f>+Tabla1[[#This Row],[PRECIO EN SOLES]]-Tabla1[[#This Row],[PC]]</f>
        <v>76.533999999999992</v>
      </c>
      <c r="K1812" s="15"/>
      <c r="L1812" s="15" t="str">
        <f t="shared" si="28"/>
        <v>NORMAL</v>
      </c>
    </row>
    <row r="1813" spans="1:12" x14ac:dyDescent="0.25">
      <c r="A1813" s="3" t="s">
        <v>2541</v>
      </c>
      <c r="B1813" s="3" t="s">
        <v>2542</v>
      </c>
      <c r="C1813" s="1">
        <v>1</v>
      </c>
      <c r="D1813" s="1">
        <v>75</v>
      </c>
      <c r="E1813" s="1" t="s">
        <v>1847</v>
      </c>
      <c r="F1813" s="1" t="s">
        <v>3881</v>
      </c>
      <c r="G1813" s="3"/>
      <c r="H1813" s="11">
        <f>ROUND(
IF(L1813="GANCHO",
   IF(I1813&lt;=50,I1813*1.1+4,IF(I1813&lt;=120,I1813*1.1+7,IF(I1813&lt;=250,I1813*1.1+11,I1813*1.1+19))),
IF(L1813="NORMAL",
   IF(I1813&lt;=30,I1813*1.15+2,IF(I1813&lt;=80,I1813*1.15+4,IF(I1813&lt;=150,I1813*1.15+6,I1813*1.15+8))),
IF(L1813="COMPLEMENTO",
   IF(I1813&lt;=25,I1813*1.25+1.5,IF(I1813&lt;=60,I1813*1.25+3,IF(I1813&lt;=120,I1813*1.25+4,I1813*1.25+5))),
""))),2)</f>
        <v>366.25</v>
      </c>
      <c r="I1813" s="9">
        <f>($K$2+0.02)*Tabla1[[#This Row],[PRECIO $]]*1.18</f>
        <v>311.52</v>
      </c>
      <c r="J1813" s="7">
        <f>+Tabla1[[#This Row],[PRECIO EN SOLES]]-Tabla1[[#This Row],[PC]]</f>
        <v>54.730000000000018</v>
      </c>
      <c r="K1813" s="15"/>
      <c r="L1813" s="15" t="str">
        <f t="shared" si="28"/>
        <v>NORMAL</v>
      </c>
    </row>
    <row r="1814" spans="1:12" x14ac:dyDescent="0.25">
      <c r="A1814" s="3" t="s">
        <v>2543</v>
      </c>
      <c r="B1814" s="3" t="s">
        <v>2544</v>
      </c>
      <c r="C1814" s="1">
        <v>20</v>
      </c>
      <c r="D1814" s="1">
        <v>16</v>
      </c>
      <c r="E1814" s="1" t="s">
        <v>58</v>
      </c>
      <c r="F1814" s="1" t="s">
        <v>3882</v>
      </c>
      <c r="G1814" s="3" t="s">
        <v>2545</v>
      </c>
      <c r="H1814" s="11">
        <f>ROUND(
IF(L1814="GANCHO",
   IF(I1814&lt;=50,I1814*1.1+4,IF(I1814&lt;=120,I1814*1.1+7,IF(I1814&lt;=250,I1814*1.1+11,I1814*1.1+19))),
IF(L1814="NORMAL",
   IF(I1814&lt;=30,I1814*1.15+2,IF(I1814&lt;=80,I1814*1.15+4,IF(I1814&lt;=150,I1814*1.15+6,I1814*1.15+8))),
IF(L1814="COMPLEMENTO",
   IF(I1814&lt;=25,I1814*1.25+1.5,IF(I1814&lt;=60,I1814*1.25+3,IF(I1814&lt;=120,I1814*1.25+4,I1814*1.25+5))),
""))),2)</f>
        <v>80.430000000000007</v>
      </c>
      <c r="I1814" s="9">
        <f>($K$2+0.02)*Tabla1[[#This Row],[PRECIO $]]*1.18</f>
        <v>66.457599999999999</v>
      </c>
      <c r="J1814" s="7">
        <f>+Tabla1[[#This Row],[PRECIO EN SOLES]]-Tabla1[[#This Row],[PC]]</f>
        <v>13.972400000000007</v>
      </c>
      <c r="K1814" s="15"/>
      <c r="L1814" s="15" t="str">
        <f t="shared" si="28"/>
        <v>NORMAL</v>
      </c>
    </row>
    <row r="1815" spans="1:12" x14ac:dyDescent="0.25">
      <c r="A1815" s="3" t="s">
        <v>2546</v>
      </c>
      <c r="B1815" s="3" t="s">
        <v>2547</v>
      </c>
      <c r="C1815" s="1">
        <v>0</v>
      </c>
      <c r="D1815" s="1">
        <v>36.200000000000003</v>
      </c>
      <c r="E1815" s="1" t="s">
        <v>58</v>
      </c>
      <c r="F1815" s="1" t="s">
        <v>3883</v>
      </c>
      <c r="G1815" s="3" t="s">
        <v>2548</v>
      </c>
      <c r="H1815" s="11">
        <f>ROUND(
IF(L1815="GANCHO",
   IF(I1815&lt;=50,I1815*1.1+4,IF(I1815&lt;=120,I1815*1.1+7,IF(I1815&lt;=250,I1815*1.1+11,I1815*1.1+19))),
IF(L1815="NORMAL",
   IF(I1815&lt;=30,I1815*1.15+2,IF(I1815&lt;=80,I1815*1.15+4,IF(I1815&lt;=150,I1815*1.15+6,I1815*1.15+8))),
IF(L1815="COMPLEMENTO",
   IF(I1815&lt;=25,I1815*1.25+1.5,IF(I1815&lt;=60,I1815*1.25+3,IF(I1815&lt;=120,I1815*1.25+4,I1815*1.25+5))),
""))),2)</f>
        <v>180.91</v>
      </c>
      <c r="I1815" s="9">
        <f>($K$2+0.02)*Tabla1[[#This Row],[PRECIO $]]*1.18</f>
        <v>150.36032</v>
      </c>
      <c r="J1815" s="7">
        <f>+Tabla1[[#This Row],[PRECIO EN SOLES]]-Tabla1[[#This Row],[PC]]</f>
        <v>30.549679999999995</v>
      </c>
      <c r="K1815" s="15"/>
      <c r="L1815" s="15" t="str">
        <f t="shared" si="28"/>
        <v>NORMAL</v>
      </c>
    </row>
    <row r="1816" spans="1:12" x14ac:dyDescent="0.25">
      <c r="A1816" s="3" t="s">
        <v>5625</v>
      </c>
      <c r="B1816" s="3" t="s">
        <v>5626</v>
      </c>
      <c r="C1816" s="1">
        <v>20</v>
      </c>
      <c r="D1816" s="1">
        <v>252.58</v>
      </c>
      <c r="E1816" s="1" t="s">
        <v>847</v>
      </c>
      <c r="F1816" s="1" t="s">
        <v>5627</v>
      </c>
      <c r="G1816" s="3" t="s">
        <v>5628</v>
      </c>
      <c r="H1816" s="11">
        <f>ROUND(
IF(L1816="GANCHO",
   IF(I1816&lt;=50,I1816*1.1+4,IF(I1816&lt;=120,I1816*1.1+7,IF(I1816&lt;=250,I1816*1.1+11,I1816*1.1+19))),
IF(L1816="NORMAL",
   IF(I1816&lt;=30,I1816*1.15+2,IF(I1816&lt;=80,I1816*1.15+4,IF(I1816&lt;=150,I1816*1.15+6,I1816*1.15+8))),
IF(L1816="COMPLEMENTO",
   IF(I1816&lt;=25,I1816*1.25+1.5,IF(I1816&lt;=60,I1816*1.25+3,IF(I1816&lt;=120,I1816*1.25+4,I1816*1.25+5))),
""))),2)</f>
        <v>1214.48</v>
      </c>
      <c r="I1816" s="9">
        <f>($K$2+0.02)*Tabla1[[#This Row],[PRECIO $]]*1.18</f>
        <v>1049.1162880000002</v>
      </c>
      <c r="J1816" s="7">
        <f>+Tabla1[[#This Row],[PRECIO EN SOLES]]-Tabla1[[#This Row],[PC]]</f>
        <v>165.36371199999985</v>
      </c>
      <c r="K1816" s="15"/>
      <c r="L1816" s="15" t="str">
        <f t="shared" si="28"/>
        <v>NORMAL</v>
      </c>
    </row>
    <row r="1817" spans="1:12" x14ac:dyDescent="0.25">
      <c r="A1817" s="3" t="s">
        <v>5629</v>
      </c>
      <c r="B1817" s="3" t="s">
        <v>5630</v>
      </c>
      <c r="C1817" s="1">
        <v>20</v>
      </c>
      <c r="D1817" s="1">
        <v>304.7</v>
      </c>
      <c r="E1817" s="1" t="s">
        <v>847</v>
      </c>
      <c r="F1817" s="1" t="s">
        <v>5631</v>
      </c>
      <c r="G1817" s="3" t="s">
        <v>5632</v>
      </c>
      <c r="H1817" s="11">
        <f>ROUND(
IF(L1817="GANCHO",
   IF(I1817&lt;=50,I1817*1.1+4,IF(I1817&lt;=120,I1817*1.1+7,IF(I1817&lt;=250,I1817*1.1+11,I1817*1.1+19))),
IF(L1817="NORMAL",
   IF(I1817&lt;=30,I1817*1.15+2,IF(I1817&lt;=80,I1817*1.15+4,IF(I1817&lt;=150,I1817*1.15+6,I1817*1.15+8))),
IF(L1817="COMPLEMENTO",
   IF(I1817&lt;=25,I1817*1.25+1.5,IF(I1817&lt;=60,I1817*1.25+3,IF(I1817&lt;=120,I1817*1.25+4,I1817*1.25+5))),
""))),2)</f>
        <v>1463.44</v>
      </c>
      <c r="I1817" s="9">
        <f>($K$2+0.02)*Tabla1[[#This Row],[PRECIO $]]*1.18</f>
        <v>1265.6019199999998</v>
      </c>
      <c r="J1817" s="7">
        <f>+Tabla1[[#This Row],[PRECIO EN SOLES]]-Tabla1[[#This Row],[PC]]</f>
        <v>197.83808000000022</v>
      </c>
      <c r="K1817" s="15"/>
      <c r="L1817" s="15" t="str">
        <f t="shared" si="28"/>
        <v>NORMAL</v>
      </c>
    </row>
    <row r="1818" spans="1:12" x14ac:dyDescent="0.25">
      <c r="A1818" s="3" t="s">
        <v>5633</v>
      </c>
      <c r="B1818" s="3" t="s">
        <v>5634</v>
      </c>
      <c r="C1818" s="1">
        <v>0</v>
      </c>
      <c r="D1818" s="1">
        <v>317.5</v>
      </c>
      <c r="E1818" s="1" t="s">
        <v>847</v>
      </c>
      <c r="F1818" s="1" t="s">
        <v>5635</v>
      </c>
      <c r="G1818" s="3" t="s">
        <v>5636</v>
      </c>
      <c r="H1818" s="11">
        <f>ROUND(
IF(L1818="GANCHO",
   IF(I1818&lt;=50,I1818*1.1+4,IF(I1818&lt;=120,I1818*1.1+7,IF(I1818&lt;=250,I1818*1.1+11,I1818*1.1+19))),
IF(L1818="NORMAL",
   IF(I1818&lt;=30,I1818*1.15+2,IF(I1818&lt;=80,I1818*1.15+4,IF(I1818&lt;=150,I1818*1.15+6,I1818*1.15+8))),
IF(L1818="COMPLEMENTO",
   IF(I1818&lt;=25,I1818*1.25+1.5,IF(I1818&lt;=60,I1818*1.25+3,IF(I1818&lt;=120,I1818*1.25+4,I1818*1.25+5))),
""))),2)</f>
        <v>1524.58</v>
      </c>
      <c r="I1818" s="9">
        <f>($K$2+0.02)*Tabla1[[#This Row],[PRECIO $]]*1.18</f>
        <v>1318.7679999999998</v>
      </c>
      <c r="J1818" s="7">
        <f>+Tabla1[[#This Row],[PRECIO EN SOLES]]-Tabla1[[#This Row],[PC]]</f>
        <v>205.81200000000013</v>
      </c>
      <c r="K1818" s="15"/>
      <c r="L1818" s="15" t="str">
        <f t="shared" si="28"/>
        <v>NORMAL</v>
      </c>
    </row>
    <row r="1819" spans="1:12" x14ac:dyDescent="0.25">
      <c r="A1819" s="3" t="s">
        <v>5637</v>
      </c>
      <c r="B1819" s="3" t="s">
        <v>5638</v>
      </c>
      <c r="C1819" s="1">
        <v>20</v>
      </c>
      <c r="D1819" s="1">
        <v>144</v>
      </c>
      <c r="E1819" s="1" t="s">
        <v>847</v>
      </c>
      <c r="F1819" s="1" t="s">
        <v>5639</v>
      </c>
      <c r="G1819" s="3" t="s">
        <v>5640</v>
      </c>
      <c r="H1819" s="11">
        <f>ROUND(
IF(L1819="GANCHO",
   IF(I1819&lt;=50,I1819*1.1+4,IF(I1819&lt;=120,I1819*1.1+7,IF(I1819&lt;=250,I1819*1.1+11,I1819*1.1+19))),
IF(L1819="NORMAL",
   IF(I1819&lt;=30,I1819*1.15+2,IF(I1819&lt;=80,I1819*1.15+4,IF(I1819&lt;=150,I1819*1.15+6,I1819*1.15+8))),
IF(L1819="COMPLEMENTO",
   IF(I1819&lt;=25,I1819*1.25+1.5,IF(I1819&lt;=60,I1819*1.25+3,IF(I1819&lt;=120,I1819*1.25+4,I1819*1.25+5))),
""))),2)</f>
        <v>695.84</v>
      </c>
      <c r="I1819" s="9">
        <f>($K$2+0.02)*Tabla1[[#This Row],[PRECIO $]]*1.18</f>
        <v>598.11839999999995</v>
      </c>
      <c r="J1819" s="7">
        <f>+Tabla1[[#This Row],[PRECIO EN SOLES]]-Tabla1[[#This Row],[PC]]</f>
        <v>97.72160000000008</v>
      </c>
      <c r="K1819" s="15"/>
      <c r="L1819" s="15" t="str">
        <f t="shared" si="28"/>
        <v>NORMAL</v>
      </c>
    </row>
    <row r="1820" spans="1:12" x14ac:dyDescent="0.25">
      <c r="A1820" s="3" t="s">
        <v>6738</v>
      </c>
      <c r="B1820" s="3" t="s">
        <v>6739</v>
      </c>
      <c r="C1820" s="1">
        <v>20</v>
      </c>
      <c r="D1820" s="1">
        <v>771</v>
      </c>
      <c r="E1820" s="1" t="s">
        <v>223</v>
      </c>
      <c r="F1820" s="1" t="s">
        <v>6740</v>
      </c>
      <c r="G1820" s="3" t="s">
        <v>6741</v>
      </c>
      <c r="H1820" s="11">
        <f>ROUND(
IF(L1820="GANCHO",
   IF(I1820&lt;=50,I1820*1.1+4,IF(I1820&lt;=120,I1820*1.1+7,IF(I1820&lt;=250,I1820*1.1+11,I1820*1.1+19))),
IF(L1820="NORMAL",
   IF(I1820&lt;=30,I1820*1.15+2,IF(I1820&lt;=80,I1820*1.15+4,IF(I1820&lt;=150,I1820*1.15+6,I1820*1.15+8))),
IF(L1820="COMPLEMENTO",
   IF(I1820&lt;=25,I1820*1.25+1.5,IF(I1820&lt;=60,I1820*1.25+3,IF(I1820&lt;=120,I1820*1.25+4,I1820*1.25+5))),
""))),2)</f>
        <v>3690.79</v>
      </c>
      <c r="I1820" s="9">
        <f>($K$2+0.02)*Tabla1[[#This Row],[PRECIO $]]*1.18</f>
        <v>3202.4256</v>
      </c>
      <c r="J1820" s="7">
        <f>+Tabla1[[#This Row],[PRECIO EN SOLES]]-Tabla1[[#This Row],[PC]]</f>
        <v>488.36439999999993</v>
      </c>
      <c r="K1820" s="15"/>
      <c r="L1820" s="15" t="str">
        <f t="shared" si="28"/>
        <v>NORMAL</v>
      </c>
    </row>
    <row r="1821" spans="1:12" x14ac:dyDescent="0.25">
      <c r="A1821" s="3" t="s">
        <v>6742</v>
      </c>
      <c r="B1821" s="3" t="s">
        <v>6743</v>
      </c>
      <c r="C1821" s="1">
        <v>20</v>
      </c>
      <c r="D1821" s="1">
        <v>752</v>
      </c>
      <c r="E1821" s="1" t="s">
        <v>223</v>
      </c>
      <c r="F1821" s="1" t="s">
        <v>6744</v>
      </c>
      <c r="G1821" s="3" t="s">
        <v>6745</v>
      </c>
      <c r="H1821" s="11">
        <f>ROUND(
IF(L1821="GANCHO",
   IF(I1821&lt;=50,I1821*1.1+4,IF(I1821&lt;=120,I1821*1.1+7,IF(I1821&lt;=250,I1821*1.1+11,I1821*1.1+19))),
IF(L1821="NORMAL",
   IF(I1821&lt;=30,I1821*1.15+2,IF(I1821&lt;=80,I1821*1.15+4,IF(I1821&lt;=150,I1821*1.15+6,I1821*1.15+8))),
IF(L1821="COMPLEMENTO",
   IF(I1821&lt;=25,I1821*1.25+1.5,IF(I1821&lt;=60,I1821*1.25+3,IF(I1821&lt;=120,I1821*1.25+4,I1821*1.25+5))),
""))),2)</f>
        <v>3600.03</v>
      </c>
      <c r="I1821" s="9">
        <f>($K$2+0.02)*Tabla1[[#This Row],[PRECIO $]]*1.18</f>
        <v>3123.5072</v>
      </c>
      <c r="J1821" s="7">
        <f>+Tabla1[[#This Row],[PRECIO EN SOLES]]-Tabla1[[#This Row],[PC]]</f>
        <v>476.52280000000019</v>
      </c>
      <c r="K1821" s="15"/>
      <c r="L1821" s="15" t="str">
        <f t="shared" si="28"/>
        <v>NORMAL</v>
      </c>
    </row>
    <row r="1822" spans="1:12" x14ac:dyDescent="0.25">
      <c r="A1822" s="3" t="s">
        <v>6746</v>
      </c>
      <c r="B1822" s="3" t="s">
        <v>6747</v>
      </c>
      <c r="C1822" s="1">
        <v>20</v>
      </c>
      <c r="D1822" s="1">
        <v>736</v>
      </c>
      <c r="E1822" s="1" t="s">
        <v>223</v>
      </c>
      <c r="F1822" s="1" t="s">
        <v>6748</v>
      </c>
      <c r="G1822" s="3" t="s">
        <v>6749</v>
      </c>
      <c r="H1822" s="11">
        <f>ROUND(
IF(L1822="GANCHO",
   IF(I1822&lt;=50,I1822*1.1+4,IF(I1822&lt;=120,I1822*1.1+7,IF(I1822&lt;=250,I1822*1.1+11,I1822*1.1+19))),
IF(L1822="NORMAL",
   IF(I1822&lt;=30,I1822*1.15+2,IF(I1822&lt;=80,I1822*1.15+4,IF(I1822&lt;=150,I1822*1.15+6,I1822*1.15+8))),
IF(L1822="COMPLEMENTO",
   IF(I1822&lt;=25,I1822*1.25+1.5,IF(I1822&lt;=60,I1822*1.25+3,IF(I1822&lt;=120,I1822*1.25+4,I1822*1.25+5))),
""))),2)</f>
        <v>3523.61</v>
      </c>
      <c r="I1822" s="9">
        <f>($K$2+0.02)*Tabla1[[#This Row],[PRECIO $]]*1.18</f>
        <v>3057.0495999999998</v>
      </c>
      <c r="J1822" s="7">
        <f>+Tabla1[[#This Row],[PRECIO EN SOLES]]-Tabla1[[#This Row],[PC]]</f>
        <v>466.5604000000003</v>
      </c>
      <c r="K1822" s="15"/>
      <c r="L1822" s="15" t="str">
        <f t="shared" si="28"/>
        <v>NORMAL</v>
      </c>
    </row>
    <row r="1823" spans="1:12" x14ac:dyDescent="0.25">
      <c r="A1823" s="3" t="s">
        <v>6750</v>
      </c>
      <c r="B1823" s="3" t="s">
        <v>6751</v>
      </c>
      <c r="C1823" s="1">
        <v>20</v>
      </c>
      <c r="D1823" s="1">
        <v>779</v>
      </c>
      <c r="E1823" s="1" t="s">
        <v>223</v>
      </c>
      <c r="F1823" s="1" t="s">
        <v>6752</v>
      </c>
      <c r="G1823" s="3" t="s">
        <v>6753</v>
      </c>
      <c r="H1823" s="11">
        <f>ROUND(
IF(L1823="GANCHO",
   IF(I1823&lt;=50,I1823*1.1+4,IF(I1823&lt;=120,I1823*1.1+7,IF(I1823&lt;=250,I1823*1.1+11,I1823*1.1+19))),
IF(L1823="NORMAL",
   IF(I1823&lt;=30,I1823*1.15+2,IF(I1823&lt;=80,I1823*1.15+4,IF(I1823&lt;=150,I1823*1.15+6,I1823*1.15+8))),
IF(L1823="COMPLEMENTO",
   IF(I1823&lt;=25,I1823*1.25+1.5,IF(I1823&lt;=60,I1823*1.25+3,IF(I1823&lt;=120,I1823*1.25+4,I1823*1.25+5))),
""))),2)</f>
        <v>3729</v>
      </c>
      <c r="I1823" s="9">
        <f>($K$2+0.02)*Tabla1[[#This Row],[PRECIO $]]*1.18</f>
        <v>3235.6543999999999</v>
      </c>
      <c r="J1823" s="7">
        <f>+Tabla1[[#This Row],[PRECIO EN SOLES]]-Tabla1[[#This Row],[PC]]</f>
        <v>493.3456000000001</v>
      </c>
      <c r="K1823" s="15"/>
      <c r="L1823" s="15" t="str">
        <f t="shared" si="28"/>
        <v>NORMAL</v>
      </c>
    </row>
    <row r="1824" spans="1:12" x14ac:dyDescent="0.25">
      <c r="A1824" s="3" t="s">
        <v>4701</v>
      </c>
      <c r="B1824" s="3" t="s">
        <v>4702</v>
      </c>
      <c r="C1824" s="1">
        <v>0</v>
      </c>
      <c r="D1824" s="1">
        <v>1038.98</v>
      </c>
      <c r="E1824" s="1" t="s">
        <v>223</v>
      </c>
      <c r="F1824" s="1" t="s">
        <v>4703</v>
      </c>
      <c r="G1824" s="3" t="s">
        <v>4704</v>
      </c>
      <c r="H1824" s="11">
        <f>ROUND(
IF(L1824="GANCHO",
   IF(I1824&lt;=50,I1824*1.1+4,IF(I1824&lt;=120,I1824*1.1+7,IF(I1824&lt;=250,I1824*1.1+11,I1824*1.1+19))),
IF(L1824="NORMAL",
   IF(I1824&lt;=30,I1824*1.15+2,IF(I1824&lt;=80,I1824*1.15+4,IF(I1824&lt;=150,I1824*1.15+6,I1824*1.15+8))),
IF(L1824="COMPLEMENTO",
   IF(I1824&lt;=25,I1824*1.25+1.5,IF(I1824&lt;=60,I1824*1.25+3,IF(I1824&lt;=120,I1824*1.25+4,I1824*1.25+5))),
""))),2)</f>
        <v>4970.83</v>
      </c>
      <c r="I1824" s="9">
        <f>($K$2+0.02)*Tabla1[[#This Row],[PRECIO $]]*1.18</f>
        <v>4315.5073279999997</v>
      </c>
      <c r="J1824" s="7">
        <f>+Tabla1[[#This Row],[PRECIO EN SOLES]]-Tabla1[[#This Row],[PC]]</f>
        <v>655.32267200000024</v>
      </c>
      <c r="K1824" s="15"/>
      <c r="L1824" s="15" t="str">
        <f t="shared" si="28"/>
        <v>NORMAL</v>
      </c>
    </row>
    <row r="1825" spans="1:12" x14ac:dyDescent="0.25">
      <c r="A1825" s="3" t="s">
        <v>4705</v>
      </c>
      <c r="B1825" s="3" t="s">
        <v>4706</v>
      </c>
      <c r="C1825" s="1">
        <v>0</v>
      </c>
      <c r="D1825" s="1">
        <v>663.89</v>
      </c>
      <c r="E1825" s="1" t="s">
        <v>121</v>
      </c>
      <c r="F1825" s="1" t="s">
        <v>4707</v>
      </c>
      <c r="G1825" s="3" t="s">
        <v>4708</v>
      </c>
      <c r="H1825" s="11">
        <f>ROUND(
IF(L1825="GANCHO",
   IF(I1825&lt;=50,I1825*1.1+4,IF(I1825&lt;=120,I1825*1.1+7,IF(I1825&lt;=250,I1825*1.1+11,I1825*1.1+19))),
IF(L1825="NORMAL",
   IF(I1825&lt;=30,I1825*1.15+2,IF(I1825&lt;=80,I1825*1.15+4,IF(I1825&lt;=150,I1825*1.15+6,I1825*1.15+8))),
IF(L1825="COMPLEMENTO",
   IF(I1825&lt;=25,I1825*1.25+1.5,IF(I1825&lt;=60,I1825*1.25+3,IF(I1825&lt;=120,I1825*1.25+4,I1825*1.25+5))),
""))),2)</f>
        <v>3179.16</v>
      </c>
      <c r="I1825" s="9">
        <f>($K$2+0.02)*Tabla1[[#This Row],[PRECIO $]]*1.18</f>
        <v>2757.533504</v>
      </c>
      <c r="J1825" s="7">
        <f>+Tabla1[[#This Row],[PRECIO EN SOLES]]-Tabla1[[#This Row],[PC]]</f>
        <v>421.62649599999986</v>
      </c>
      <c r="K1825" s="15"/>
      <c r="L1825" s="15" t="str">
        <f t="shared" si="28"/>
        <v>NORMAL</v>
      </c>
    </row>
    <row r="1826" spans="1:12" x14ac:dyDescent="0.25">
      <c r="A1826" s="3" t="s">
        <v>4709</v>
      </c>
      <c r="B1826" s="3" t="s">
        <v>4710</v>
      </c>
      <c r="C1826" s="1">
        <v>20</v>
      </c>
      <c r="D1826" s="1">
        <v>667</v>
      </c>
      <c r="E1826" s="1" t="s">
        <v>121</v>
      </c>
      <c r="F1826" s="1" t="s">
        <v>4711</v>
      </c>
      <c r="G1826" s="3" t="s">
        <v>4712</v>
      </c>
      <c r="H1826" s="11">
        <f>ROUND(
IF(L1826="GANCHO",
   IF(I1826&lt;=50,I1826*1.1+4,IF(I1826&lt;=120,I1826*1.1+7,IF(I1826&lt;=250,I1826*1.1+11,I1826*1.1+19))),
IF(L1826="NORMAL",
   IF(I1826&lt;=30,I1826*1.15+2,IF(I1826&lt;=80,I1826*1.15+4,IF(I1826&lt;=150,I1826*1.15+6,I1826*1.15+8))),
IF(L1826="COMPLEMENTO",
   IF(I1826&lt;=25,I1826*1.25+1.5,IF(I1826&lt;=60,I1826*1.25+3,IF(I1826&lt;=120,I1826*1.25+4,I1826*1.25+5))),
""))),2)</f>
        <v>3194.02</v>
      </c>
      <c r="I1826" s="9">
        <f>($K$2+0.02)*Tabla1[[#This Row],[PRECIO $]]*1.18</f>
        <v>2770.4512</v>
      </c>
      <c r="J1826" s="7">
        <f>+Tabla1[[#This Row],[PRECIO EN SOLES]]-Tabla1[[#This Row],[PC]]</f>
        <v>423.56880000000001</v>
      </c>
      <c r="K1826" s="15"/>
      <c r="L1826" s="15" t="str">
        <f t="shared" si="28"/>
        <v>NORMAL</v>
      </c>
    </row>
    <row r="1827" spans="1:12" x14ac:dyDescent="0.25">
      <c r="A1827" s="3" t="s">
        <v>6754</v>
      </c>
      <c r="B1827" s="3" t="s">
        <v>6755</v>
      </c>
      <c r="C1827" s="1">
        <v>0</v>
      </c>
      <c r="D1827" s="1">
        <v>639</v>
      </c>
      <c r="E1827" s="1" t="s">
        <v>115</v>
      </c>
      <c r="F1827" s="1" t="s">
        <v>6756</v>
      </c>
      <c r="G1827" s="3" t="s">
        <v>6850</v>
      </c>
      <c r="H1827" s="11">
        <f>ROUND(
IF(L1827="GANCHO",
   IF(I1827&lt;=50,I1827*1.1+4,IF(I1827&lt;=120,I1827*1.1+7,IF(I1827&lt;=250,I1827*1.1+11,I1827*1.1+19))),
IF(L1827="NORMAL",
   IF(I1827&lt;=30,I1827*1.15+2,IF(I1827&lt;=80,I1827*1.15+4,IF(I1827&lt;=150,I1827*1.15+6,I1827*1.15+8))),
IF(L1827="COMPLEMENTO",
   IF(I1827&lt;=25,I1827*1.25+1.5,IF(I1827&lt;=60,I1827*1.25+3,IF(I1827&lt;=120,I1827*1.25+4,I1827*1.25+5))),
""))),2)</f>
        <v>3060.27</v>
      </c>
      <c r="I1827" s="9">
        <f>($K$2+0.02)*Tabla1[[#This Row],[PRECIO $]]*1.18</f>
        <v>2654.1504</v>
      </c>
      <c r="J1827" s="7">
        <f>+Tabla1[[#This Row],[PRECIO EN SOLES]]-Tabla1[[#This Row],[PC]]</f>
        <v>406.11959999999999</v>
      </c>
      <c r="K1827" s="15"/>
      <c r="L1827" s="15" t="str">
        <f t="shared" si="28"/>
        <v>NORMAL</v>
      </c>
    </row>
    <row r="1828" spans="1:12" x14ac:dyDescent="0.25">
      <c r="A1828" s="3" t="s">
        <v>6757</v>
      </c>
      <c r="B1828" s="3" t="s">
        <v>6758</v>
      </c>
      <c r="C1828" s="1">
        <v>0</v>
      </c>
      <c r="D1828" s="1">
        <v>1775</v>
      </c>
      <c r="E1828" s="1" t="s">
        <v>115</v>
      </c>
      <c r="F1828" s="1" t="s">
        <v>6759</v>
      </c>
      <c r="G1828" s="3" t="s">
        <v>7043</v>
      </c>
      <c r="H1828" s="11">
        <f>ROUND(
IF(L1828="GANCHO",
   IF(I1828&lt;=50,I1828*1.1+4,IF(I1828&lt;=120,I1828*1.1+7,IF(I1828&lt;=250,I1828*1.1+11,I1828*1.1+19))),
IF(L1828="NORMAL",
   IF(I1828&lt;=30,I1828*1.15+2,IF(I1828&lt;=80,I1828*1.15+4,IF(I1828&lt;=150,I1828*1.15+6,I1828*1.15+8))),
IF(L1828="COMPLEMENTO",
   IF(I1828&lt;=25,I1828*1.25+1.5,IF(I1828&lt;=60,I1828*1.25+3,IF(I1828&lt;=120,I1828*1.25+4,I1828*1.25+5))),
""))),2)</f>
        <v>8486.5400000000009</v>
      </c>
      <c r="I1828" s="9">
        <f>($K$2+0.02)*Tabla1[[#This Row],[PRECIO $]]*1.18</f>
        <v>7372.6399999999994</v>
      </c>
      <c r="J1828" s="7">
        <f>+Tabla1[[#This Row],[PRECIO EN SOLES]]-Tabla1[[#This Row],[PC]]</f>
        <v>1113.9000000000015</v>
      </c>
      <c r="K1828" s="15"/>
      <c r="L1828" s="15" t="str">
        <f t="shared" si="28"/>
        <v>NORMAL</v>
      </c>
    </row>
    <row r="1829" spans="1:12" x14ac:dyDescent="0.25">
      <c r="A1829" s="3" t="s">
        <v>5641</v>
      </c>
      <c r="B1829" s="3" t="s">
        <v>5642</v>
      </c>
      <c r="C1829" s="1">
        <v>20</v>
      </c>
      <c r="D1829" s="1">
        <v>597.05999999999995</v>
      </c>
      <c r="E1829" s="1" t="s">
        <v>223</v>
      </c>
      <c r="F1829" s="1" t="s">
        <v>5643</v>
      </c>
      <c r="G1829" s="3" t="s">
        <v>5644</v>
      </c>
      <c r="H1829" s="11">
        <f>ROUND(
IF(L1829="GANCHO",
   IF(I1829&lt;=50,I1829*1.1+4,IF(I1829&lt;=120,I1829*1.1+7,IF(I1829&lt;=250,I1829*1.1+11,I1829*1.1+19))),
IF(L1829="NORMAL",
   IF(I1829&lt;=30,I1829*1.15+2,IF(I1829&lt;=80,I1829*1.15+4,IF(I1829&lt;=150,I1829*1.15+6,I1829*1.15+8))),
IF(L1829="COMPLEMENTO",
   IF(I1829&lt;=25,I1829*1.25+1.5,IF(I1829&lt;=60,I1829*1.25+3,IF(I1829&lt;=120,I1829*1.25+4,I1829*1.25+5))),
""))),2)</f>
        <v>2859.94</v>
      </c>
      <c r="I1829" s="9">
        <f>($K$2+0.02)*Tabla1[[#This Row],[PRECIO $]]*1.18</f>
        <v>2479.9484159999997</v>
      </c>
      <c r="J1829" s="7">
        <f>+Tabla1[[#This Row],[PRECIO EN SOLES]]-Tabla1[[#This Row],[PC]]</f>
        <v>379.99158400000033</v>
      </c>
      <c r="K1829" s="15"/>
      <c r="L1829" s="15" t="str">
        <f t="shared" si="28"/>
        <v>NORMAL</v>
      </c>
    </row>
    <row r="1830" spans="1:12" x14ac:dyDescent="0.25">
      <c r="A1830" s="3" t="s">
        <v>5645</v>
      </c>
      <c r="B1830" s="3" t="s">
        <v>5646</v>
      </c>
      <c r="C1830" s="1">
        <v>0</v>
      </c>
      <c r="D1830" s="1">
        <v>597.17999999999995</v>
      </c>
      <c r="E1830" s="1" t="s">
        <v>223</v>
      </c>
      <c r="F1830" s="1" t="s">
        <v>5647</v>
      </c>
      <c r="G1830" s="3" t="s">
        <v>5648</v>
      </c>
      <c r="H1830" s="11">
        <f>ROUND(
IF(L1830="GANCHO",
   IF(I1830&lt;=50,I1830*1.1+4,IF(I1830&lt;=120,I1830*1.1+7,IF(I1830&lt;=250,I1830*1.1+11,I1830*1.1+19))),
IF(L1830="NORMAL",
   IF(I1830&lt;=30,I1830*1.15+2,IF(I1830&lt;=80,I1830*1.15+4,IF(I1830&lt;=150,I1830*1.15+6,I1830*1.15+8))),
IF(L1830="COMPLEMENTO",
   IF(I1830&lt;=25,I1830*1.25+1.5,IF(I1830&lt;=60,I1830*1.25+3,IF(I1830&lt;=120,I1830*1.25+4,I1830*1.25+5))),
""))),2)</f>
        <v>2860.51</v>
      </c>
      <c r="I1830" s="9">
        <f>($K$2+0.02)*Tabla1[[#This Row],[PRECIO $]]*1.18</f>
        <v>2480.4468479999996</v>
      </c>
      <c r="J1830" s="7">
        <f>+Tabla1[[#This Row],[PRECIO EN SOLES]]-Tabla1[[#This Row],[PC]]</f>
        <v>380.06315200000063</v>
      </c>
      <c r="K1830" s="15"/>
      <c r="L1830" s="15" t="str">
        <f t="shared" si="28"/>
        <v>NORMAL</v>
      </c>
    </row>
    <row r="1831" spans="1:12" x14ac:dyDescent="0.25">
      <c r="A1831" s="3" t="s">
        <v>6303</v>
      </c>
      <c r="B1831" s="3" t="s">
        <v>6304</v>
      </c>
      <c r="C1831" s="1">
        <v>20</v>
      </c>
      <c r="D1831" s="1">
        <v>1070.19</v>
      </c>
      <c r="E1831" s="1" t="s">
        <v>223</v>
      </c>
      <c r="F1831" s="1" t="s">
        <v>6305</v>
      </c>
      <c r="G1831" s="3" t="s">
        <v>6760</v>
      </c>
      <c r="H1831" s="11">
        <f>ROUND(
IF(L1831="GANCHO",
   IF(I1831&lt;=50,I1831*1.1+4,IF(I1831&lt;=120,I1831*1.1+7,IF(I1831&lt;=250,I1831*1.1+11,I1831*1.1+19))),
IF(L1831="NORMAL",
   IF(I1831&lt;=30,I1831*1.15+2,IF(I1831&lt;=80,I1831*1.15+4,IF(I1831&lt;=150,I1831*1.15+6,I1831*1.15+8))),
IF(L1831="COMPLEMENTO",
   IF(I1831&lt;=25,I1831*1.25+1.5,IF(I1831&lt;=60,I1831*1.25+3,IF(I1831&lt;=120,I1831*1.25+4,I1831*1.25+5))),
""))),2)</f>
        <v>5119.91</v>
      </c>
      <c r="I1831" s="9">
        <f>($K$2+0.02)*Tabla1[[#This Row],[PRECIO $]]*1.18</f>
        <v>4445.1411840000001</v>
      </c>
      <c r="J1831" s="7">
        <f>+Tabla1[[#This Row],[PRECIO EN SOLES]]-Tabla1[[#This Row],[PC]]</f>
        <v>674.76881599999979</v>
      </c>
      <c r="K1831" s="15"/>
      <c r="L1831" s="15" t="str">
        <f t="shared" si="28"/>
        <v>NORMAL</v>
      </c>
    </row>
    <row r="1832" spans="1:12" x14ac:dyDescent="0.25">
      <c r="A1832" s="3" t="s">
        <v>5146</v>
      </c>
      <c r="B1832" s="3" t="s">
        <v>5147</v>
      </c>
      <c r="C1832" s="1">
        <v>8</v>
      </c>
      <c r="D1832" s="1">
        <v>3110.42</v>
      </c>
      <c r="E1832" s="1" t="s">
        <v>223</v>
      </c>
      <c r="F1832" s="1" t="s">
        <v>5148</v>
      </c>
      <c r="G1832" s="3" t="s">
        <v>5149</v>
      </c>
      <c r="H1832" s="11">
        <f>ROUND(
IF(L1832="GANCHO",
   IF(I1832&lt;=50,I1832*1.1+4,IF(I1832&lt;=120,I1832*1.1+7,IF(I1832&lt;=250,I1832*1.1+11,I1832*1.1+19))),
IF(L1832="NORMAL",
   IF(I1832&lt;=30,I1832*1.15+2,IF(I1832&lt;=80,I1832*1.15+4,IF(I1832&lt;=150,I1832*1.15+6,I1832*1.15+8))),
IF(L1832="COMPLEMENTO",
   IF(I1832&lt;=25,I1832*1.25+1.5,IF(I1832&lt;=60,I1832*1.25+3,IF(I1832&lt;=120,I1832*1.25+4,I1832*1.25+5))),
""))),2)</f>
        <v>14865.36</v>
      </c>
      <c r="I1832" s="9">
        <f>($K$2+0.02)*Tabla1[[#This Row],[PRECIO $]]*1.18</f>
        <v>12919.440512000001</v>
      </c>
      <c r="J1832" s="7">
        <f>+Tabla1[[#This Row],[PRECIO EN SOLES]]-Tabla1[[#This Row],[PC]]</f>
        <v>1945.9194879999995</v>
      </c>
      <c r="K1832" s="15"/>
      <c r="L1832" s="15" t="str">
        <f t="shared" si="28"/>
        <v>NORMAL</v>
      </c>
    </row>
    <row r="1833" spans="1:12" x14ac:dyDescent="0.25">
      <c r="A1833" s="3" t="s">
        <v>6761</v>
      </c>
      <c r="B1833" s="3" t="s">
        <v>6762</v>
      </c>
      <c r="C1833" s="1">
        <v>0</v>
      </c>
      <c r="D1833" s="1">
        <v>5130</v>
      </c>
      <c r="E1833" s="1" t="s">
        <v>121</v>
      </c>
      <c r="F1833" s="1" t="s">
        <v>6763</v>
      </c>
      <c r="G1833" s="3" t="s">
        <v>6851</v>
      </c>
      <c r="H1833" s="11">
        <f>ROUND(
IF(L1833="GANCHO",
   IF(I1833&lt;=50,I1833*1.1+4,IF(I1833&lt;=120,I1833*1.1+7,IF(I1833&lt;=250,I1833*1.1+11,I1833*1.1+19))),
IF(L1833="NORMAL",
   IF(I1833&lt;=30,I1833*1.15+2,IF(I1833&lt;=80,I1833*1.15+4,IF(I1833&lt;=150,I1833*1.15+6,I1833*1.15+8))),
IF(L1833="COMPLEMENTO",
   IF(I1833&lt;=25,I1833*1.25+1.5,IF(I1833&lt;=60,I1833*1.25+3,IF(I1833&lt;=120,I1833*1.25+4,I1833*1.25+5))),
""))),2)</f>
        <v>24512.16</v>
      </c>
      <c r="I1833" s="9">
        <f>($K$2+0.02)*Tabla1[[#This Row],[PRECIO $]]*1.18</f>
        <v>21307.967999999997</v>
      </c>
      <c r="J1833" s="7">
        <f>+Tabla1[[#This Row],[PRECIO EN SOLES]]-Tabla1[[#This Row],[PC]]</f>
        <v>3204.1920000000027</v>
      </c>
      <c r="K1833" s="15"/>
      <c r="L1833" s="15" t="str">
        <f t="shared" si="28"/>
        <v>NORMAL</v>
      </c>
    </row>
    <row r="1834" spans="1:12" x14ac:dyDescent="0.25">
      <c r="A1834" s="3" t="s">
        <v>6764</v>
      </c>
      <c r="B1834" s="3" t="s">
        <v>6765</v>
      </c>
      <c r="C1834" s="1">
        <v>0</v>
      </c>
      <c r="D1834" s="1">
        <v>279</v>
      </c>
      <c r="E1834" s="1" t="s">
        <v>115</v>
      </c>
      <c r="F1834" s="1" t="s">
        <v>6766</v>
      </c>
      <c r="G1834" s="3" t="s">
        <v>6767</v>
      </c>
      <c r="H1834" s="11">
        <f>ROUND(
IF(L1834="GANCHO",
   IF(I1834&lt;=50,I1834*1.1+4,IF(I1834&lt;=120,I1834*1.1+7,IF(I1834&lt;=250,I1834*1.1+11,I1834*1.1+19))),
IF(L1834="NORMAL",
   IF(I1834&lt;=30,I1834*1.15+2,IF(I1834&lt;=80,I1834*1.15+4,IF(I1834&lt;=150,I1834*1.15+6,I1834*1.15+8))),
IF(L1834="COMPLEMENTO",
   IF(I1834&lt;=25,I1834*1.25+1.5,IF(I1834&lt;=60,I1834*1.25+3,IF(I1834&lt;=120,I1834*1.25+4,I1834*1.25+5))),
""))),2)</f>
        <v>1340.68</v>
      </c>
      <c r="I1834" s="9">
        <f>($K$2+0.02)*Tabla1[[#This Row],[PRECIO $]]*1.18</f>
        <v>1158.8543999999999</v>
      </c>
      <c r="J1834" s="7">
        <f>+Tabla1[[#This Row],[PRECIO EN SOLES]]-Tabla1[[#This Row],[PC]]</f>
        <v>181.82560000000012</v>
      </c>
      <c r="K1834" s="15"/>
      <c r="L1834" s="15" t="str">
        <f t="shared" si="28"/>
        <v>NORMAL</v>
      </c>
    </row>
    <row r="1835" spans="1:12" x14ac:dyDescent="0.25">
      <c r="A1835" s="3" t="s">
        <v>6306</v>
      </c>
      <c r="B1835" s="3" t="s">
        <v>6307</v>
      </c>
      <c r="C1835" s="1">
        <v>20</v>
      </c>
      <c r="D1835" s="1">
        <v>222.2</v>
      </c>
      <c r="E1835" s="1" t="s">
        <v>121</v>
      </c>
      <c r="F1835" s="1" t="s">
        <v>6308</v>
      </c>
      <c r="G1835" s="3" t="s">
        <v>6309</v>
      </c>
      <c r="H1835" s="11">
        <f>ROUND(
IF(L1835="GANCHO",
   IF(I1835&lt;=50,I1835*1.1+4,IF(I1835&lt;=120,I1835*1.1+7,IF(I1835&lt;=250,I1835*1.1+11,I1835*1.1+19))),
IF(L1835="NORMAL",
   IF(I1835&lt;=30,I1835*1.15+2,IF(I1835&lt;=80,I1835*1.15+4,IF(I1835&lt;=150,I1835*1.15+6,I1835*1.15+8))),
IF(L1835="COMPLEMENTO",
   IF(I1835&lt;=25,I1835*1.25+1.5,IF(I1835&lt;=60,I1835*1.25+3,IF(I1835&lt;=120,I1835*1.25+4,I1835*1.25+5))),
""))),2)</f>
        <v>1069.3699999999999</v>
      </c>
      <c r="I1835" s="9">
        <f>($K$2+0.02)*Tabla1[[#This Row],[PRECIO $]]*1.18</f>
        <v>922.92991999999992</v>
      </c>
      <c r="J1835" s="7">
        <f>+Tabla1[[#This Row],[PRECIO EN SOLES]]-Tabla1[[#This Row],[PC]]</f>
        <v>146.44007999999997</v>
      </c>
      <c r="K1835" s="15"/>
      <c r="L1835" s="15" t="str">
        <f t="shared" si="28"/>
        <v>NORMAL</v>
      </c>
    </row>
    <row r="1836" spans="1:12" x14ac:dyDescent="0.25">
      <c r="A1836" s="3" t="s">
        <v>6310</v>
      </c>
      <c r="B1836" s="3" t="s">
        <v>6311</v>
      </c>
      <c r="C1836" s="1">
        <v>20</v>
      </c>
      <c r="D1836" s="1">
        <v>222.2</v>
      </c>
      <c r="E1836" s="1" t="s">
        <v>121</v>
      </c>
      <c r="F1836" s="1" t="s">
        <v>6312</v>
      </c>
      <c r="G1836" s="3" t="s">
        <v>6313</v>
      </c>
      <c r="H1836" s="11">
        <f>ROUND(
IF(L1836="GANCHO",
   IF(I1836&lt;=50,I1836*1.1+4,IF(I1836&lt;=120,I1836*1.1+7,IF(I1836&lt;=250,I1836*1.1+11,I1836*1.1+19))),
IF(L1836="NORMAL",
   IF(I1836&lt;=30,I1836*1.15+2,IF(I1836&lt;=80,I1836*1.15+4,IF(I1836&lt;=150,I1836*1.15+6,I1836*1.15+8))),
IF(L1836="COMPLEMENTO",
   IF(I1836&lt;=25,I1836*1.25+1.5,IF(I1836&lt;=60,I1836*1.25+3,IF(I1836&lt;=120,I1836*1.25+4,I1836*1.25+5))),
""))),2)</f>
        <v>1069.3699999999999</v>
      </c>
      <c r="I1836" s="9">
        <f>($K$2+0.02)*Tabla1[[#This Row],[PRECIO $]]*1.18</f>
        <v>922.92991999999992</v>
      </c>
      <c r="J1836" s="7">
        <f>+Tabla1[[#This Row],[PRECIO EN SOLES]]-Tabla1[[#This Row],[PC]]</f>
        <v>146.44007999999997</v>
      </c>
      <c r="K1836" s="15"/>
      <c r="L1836" s="15" t="str">
        <f t="shared" si="28"/>
        <v>NORMAL</v>
      </c>
    </row>
    <row r="1837" spans="1:12" x14ac:dyDescent="0.25">
      <c r="A1837" s="3" t="s">
        <v>6768</v>
      </c>
      <c r="B1837" s="3" t="s">
        <v>6769</v>
      </c>
      <c r="C1837" s="1">
        <v>0</v>
      </c>
      <c r="D1837" s="1">
        <v>377</v>
      </c>
      <c r="E1837" s="1" t="s">
        <v>115</v>
      </c>
      <c r="F1837" s="1" t="s">
        <v>6770</v>
      </c>
      <c r="G1837" s="3" t="s">
        <v>6771</v>
      </c>
      <c r="H1837" s="11">
        <f>ROUND(
IF(L1837="GANCHO",
   IF(I1837&lt;=50,I1837*1.1+4,IF(I1837&lt;=120,I1837*1.1+7,IF(I1837&lt;=250,I1837*1.1+11,I1837*1.1+19))),
IF(L1837="NORMAL",
   IF(I1837&lt;=30,I1837*1.15+2,IF(I1837&lt;=80,I1837*1.15+4,IF(I1837&lt;=150,I1837*1.15+6,I1837*1.15+8))),
IF(L1837="COMPLEMENTO",
   IF(I1837&lt;=25,I1837*1.25+1.5,IF(I1837&lt;=60,I1837*1.25+3,IF(I1837&lt;=120,I1837*1.25+4,I1837*1.25+5))),
""))),2)</f>
        <v>1808.79</v>
      </c>
      <c r="I1837" s="9">
        <f>($K$2+0.02)*Tabla1[[#This Row],[PRECIO $]]*1.18</f>
        <v>1565.9071999999999</v>
      </c>
      <c r="J1837" s="7">
        <f>+Tabla1[[#This Row],[PRECIO EN SOLES]]-Tabla1[[#This Row],[PC]]</f>
        <v>242.88280000000009</v>
      </c>
      <c r="K1837" s="15"/>
      <c r="L1837" s="15" t="str">
        <f t="shared" si="28"/>
        <v>NORMAL</v>
      </c>
    </row>
    <row r="1838" spans="1:12" x14ac:dyDescent="0.25">
      <c r="A1838" s="3" t="s">
        <v>6772</v>
      </c>
      <c r="B1838" s="3" t="s">
        <v>6773</v>
      </c>
      <c r="C1838" s="1">
        <v>20</v>
      </c>
      <c r="D1838" s="1">
        <v>372</v>
      </c>
      <c r="E1838" s="1" t="s">
        <v>115</v>
      </c>
      <c r="F1838" s="1" t="s">
        <v>6774</v>
      </c>
      <c r="G1838" s="3" t="s">
        <v>6852</v>
      </c>
      <c r="H1838" s="11">
        <f>ROUND(
IF(L1838="GANCHO",
   IF(I1838&lt;=50,I1838*1.1+4,IF(I1838&lt;=120,I1838*1.1+7,IF(I1838&lt;=250,I1838*1.1+11,I1838*1.1+19))),
IF(L1838="NORMAL",
   IF(I1838&lt;=30,I1838*1.15+2,IF(I1838&lt;=80,I1838*1.15+4,IF(I1838&lt;=150,I1838*1.15+6,I1838*1.15+8))),
IF(L1838="COMPLEMENTO",
   IF(I1838&lt;=25,I1838*1.25+1.5,IF(I1838&lt;=60,I1838*1.25+3,IF(I1838&lt;=120,I1838*1.25+4,I1838*1.25+5))),
""))),2)</f>
        <v>1784.91</v>
      </c>
      <c r="I1838" s="9">
        <f>($K$2+0.02)*Tabla1[[#This Row],[PRECIO $]]*1.18</f>
        <v>1545.1392000000001</v>
      </c>
      <c r="J1838" s="7">
        <f>+Tabla1[[#This Row],[PRECIO EN SOLES]]-Tabla1[[#This Row],[PC]]</f>
        <v>239.77080000000001</v>
      </c>
      <c r="K1838" s="15"/>
      <c r="L1838" s="15" t="str">
        <f t="shared" si="28"/>
        <v>NORMAL</v>
      </c>
    </row>
    <row r="1839" spans="1:12" x14ac:dyDescent="0.25">
      <c r="A1839" s="3" t="s">
        <v>6775</v>
      </c>
      <c r="B1839" s="3" t="s">
        <v>6776</v>
      </c>
      <c r="C1839" s="1">
        <v>0</v>
      </c>
      <c r="D1839" s="1">
        <v>386</v>
      </c>
      <c r="E1839" s="1" t="s">
        <v>115</v>
      </c>
      <c r="F1839" s="1" t="s">
        <v>6777</v>
      </c>
      <c r="G1839" s="3" t="s">
        <v>6778</v>
      </c>
      <c r="H1839" s="11">
        <f>ROUND(
IF(L1839="GANCHO",
   IF(I1839&lt;=50,I1839*1.1+4,IF(I1839&lt;=120,I1839*1.1+7,IF(I1839&lt;=250,I1839*1.1+11,I1839*1.1+19))),
IF(L1839="NORMAL",
   IF(I1839&lt;=30,I1839*1.15+2,IF(I1839&lt;=80,I1839*1.15+4,IF(I1839&lt;=150,I1839*1.15+6,I1839*1.15+8))),
IF(L1839="COMPLEMENTO",
   IF(I1839&lt;=25,I1839*1.25+1.5,IF(I1839&lt;=60,I1839*1.25+3,IF(I1839&lt;=120,I1839*1.25+4,I1839*1.25+5))),
""))),2)</f>
        <v>1851.78</v>
      </c>
      <c r="I1839" s="9">
        <f>($K$2+0.02)*Tabla1[[#This Row],[PRECIO $]]*1.18</f>
        <v>1603.2895999999998</v>
      </c>
      <c r="J1839" s="7">
        <f>+Tabla1[[#This Row],[PRECIO EN SOLES]]-Tabla1[[#This Row],[PC]]</f>
        <v>248.49040000000014</v>
      </c>
      <c r="K1839" s="15"/>
      <c r="L1839" s="15" t="str">
        <f t="shared" si="28"/>
        <v>NORMAL</v>
      </c>
    </row>
    <row r="1840" spans="1:12" x14ac:dyDescent="0.25">
      <c r="A1840" s="3" t="s">
        <v>4141</v>
      </c>
      <c r="B1840" s="3" t="s">
        <v>4142</v>
      </c>
      <c r="C1840" s="1">
        <v>0</v>
      </c>
      <c r="D1840" s="1">
        <v>393.59</v>
      </c>
      <c r="E1840" s="1" t="s">
        <v>115</v>
      </c>
      <c r="F1840" s="1" t="s">
        <v>4143</v>
      </c>
      <c r="G1840" s="3" t="s">
        <v>4144</v>
      </c>
      <c r="H1840" s="11">
        <f>ROUND(
IF(L1840="GANCHO",
   IF(I1840&lt;=50,I1840*1.1+4,IF(I1840&lt;=120,I1840*1.1+7,IF(I1840&lt;=250,I1840*1.1+11,I1840*1.1+19))),
IF(L1840="NORMAL",
   IF(I1840&lt;=30,I1840*1.15+2,IF(I1840&lt;=80,I1840*1.15+4,IF(I1840&lt;=150,I1840*1.15+6,I1840*1.15+8))),
IF(L1840="COMPLEMENTO",
   IF(I1840&lt;=25,I1840*1.25+1.5,IF(I1840&lt;=60,I1840*1.25+3,IF(I1840&lt;=120,I1840*1.25+4,I1840*1.25+5))),
""))),2)</f>
        <v>1888.04</v>
      </c>
      <c r="I1840" s="9">
        <f>($K$2+0.02)*Tabla1[[#This Row],[PRECIO $]]*1.18</f>
        <v>1634.8154239999999</v>
      </c>
      <c r="J1840" s="7">
        <f>+Tabla1[[#This Row],[PRECIO EN SOLES]]-Tabla1[[#This Row],[PC]]</f>
        <v>253.22457600000007</v>
      </c>
      <c r="K1840" s="15"/>
      <c r="L1840" s="15" t="str">
        <f t="shared" si="28"/>
        <v>NORMAL</v>
      </c>
    </row>
    <row r="1841" spans="1:12" x14ac:dyDescent="0.25">
      <c r="A1841" s="3" t="s">
        <v>5649</v>
      </c>
      <c r="B1841" s="3" t="s">
        <v>5650</v>
      </c>
      <c r="C1841" s="1">
        <v>20</v>
      </c>
      <c r="D1841" s="1">
        <v>336.33</v>
      </c>
      <c r="E1841" s="1" t="s">
        <v>223</v>
      </c>
      <c r="F1841" s="1" t="s">
        <v>5651</v>
      </c>
      <c r="G1841" s="3" t="s">
        <v>5652</v>
      </c>
      <c r="H1841" s="11">
        <f>ROUND(
IF(L1841="GANCHO",
   IF(I1841&lt;=50,I1841*1.1+4,IF(I1841&lt;=120,I1841*1.1+7,IF(I1841&lt;=250,I1841*1.1+11,I1841*1.1+19))),
IF(L1841="NORMAL",
   IF(I1841&lt;=30,I1841*1.15+2,IF(I1841&lt;=80,I1841*1.15+4,IF(I1841&lt;=150,I1841*1.15+6,I1841*1.15+8))),
IF(L1841="COMPLEMENTO",
   IF(I1841&lt;=25,I1841*1.25+1.5,IF(I1841&lt;=60,I1841*1.25+3,IF(I1841&lt;=120,I1841*1.25+4,I1841*1.25+5))),
""))),2)</f>
        <v>1614.53</v>
      </c>
      <c r="I1841" s="9">
        <f>($K$2+0.02)*Tabla1[[#This Row],[PRECIO $]]*1.18</f>
        <v>1396.9802879999997</v>
      </c>
      <c r="J1841" s="7">
        <f>+Tabla1[[#This Row],[PRECIO EN SOLES]]-Tabla1[[#This Row],[PC]]</f>
        <v>217.54971200000023</v>
      </c>
      <c r="K1841" s="15"/>
      <c r="L1841" s="15" t="str">
        <f t="shared" si="28"/>
        <v>NORMAL</v>
      </c>
    </row>
    <row r="1842" spans="1:12" x14ac:dyDescent="0.25">
      <c r="A1842" s="3" t="s">
        <v>5150</v>
      </c>
      <c r="B1842" s="3" t="s">
        <v>5151</v>
      </c>
      <c r="C1842" s="1">
        <v>20</v>
      </c>
      <c r="D1842" s="1">
        <v>324.43</v>
      </c>
      <c r="E1842" s="1" t="s">
        <v>223</v>
      </c>
      <c r="F1842" s="1" t="s">
        <v>5152</v>
      </c>
      <c r="G1842" s="3" t="s">
        <v>5153</v>
      </c>
      <c r="H1842" s="11">
        <f>ROUND(
IF(L1842="GANCHO",
   IF(I1842&lt;=50,I1842*1.1+4,IF(I1842&lt;=120,I1842*1.1+7,IF(I1842&lt;=250,I1842*1.1+11,I1842*1.1+19))),
IF(L1842="NORMAL",
   IF(I1842&lt;=30,I1842*1.15+2,IF(I1842&lt;=80,I1842*1.15+4,IF(I1842&lt;=150,I1842*1.15+6,I1842*1.15+8))),
IF(L1842="COMPLEMENTO",
   IF(I1842&lt;=25,I1842*1.25+1.5,IF(I1842&lt;=60,I1842*1.25+3,IF(I1842&lt;=120,I1842*1.25+4,I1842*1.25+5))),
""))),2)</f>
        <v>1557.69</v>
      </c>
      <c r="I1842" s="9">
        <f>($K$2+0.02)*Tabla1[[#This Row],[PRECIO $]]*1.18</f>
        <v>1347.5524479999999</v>
      </c>
      <c r="J1842" s="7">
        <f>+Tabla1[[#This Row],[PRECIO EN SOLES]]-Tabla1[[#This Row],[PC]]</f>
        <v>210.13755200000014</v>
      </c>
      <c r="K1842" s="15"/>
      <c r="L1842" s="15" t="str">
        <f t="shared" si="28"/>
        <v>NORMAL</v>
      </c>
    </row>
    <row r="1843" spans="1:12" x14ac:dyDescent="0.25">
      <c r="A1843" s="3" t="s">
        <v>6779</v>
      </c>
      <c r="B1843" s="3" t="s">
        <v>5151</v>
      </c>
      <c r="C1843" s="1">
        <v>20</v>
      </c>
      <c r="D1843" s="1">
        <v>321.7</v>
      </c>
      <c r="E1843" s="1" t="s">
        <v>223</v>
      </c>
      <c r="F1843" s="1" t="s">
        <v>6780</v>
      </c>
      <c r="G1843" s="3" t="s">
        <v>6781</v>
      </c>
      <c r="H1843" s="11">
        <f>ROUND(
IF(L1843="GANCHO",
   IF(I1843&lt;=50,I1843*1.1+4,IF(I1843&lt;=120,I1843*1.1+7,IF(I1843&lt;=250,I1843*1.1+11,I1843*1.1+19))),
IF(L1843="NORMAL",
   IF(I1843&lt;=30,I1843*1.15+2,IF(I1843&lt;=80,I1843*1.15+4,IF(I1843&lt;=150,I1843*1.15+6,I1843*1.15+8))),
IF(L1843="COMPLEMENTO",
   IF(I1843&lt;=25,I1843*1.25+1.5,IF(I1843&lt;=60,I1843*1.25+3,IF(I1843&lt;=120,I1843*1.25+4,I1843*1.25+5))),
""))),2)</f>
        <v>1544.65</v>
      </c>
      <c r="I1843" s="9">
        <f>($K$2+0.02)*Tabla1[[#This Row],[PRECIO $]]*1.18</f>
        <v>1336.2131199999999</v>
      </c>
      <c r="J1843" s="7">
        <f>+Tabla1[[#This Row],[PRECIO EN SOLES]]-Tabla1[[#This Row],[PC]]</f>
        <v>208.4368800000002</v>
      </c>
      <c r="K1843" s="15"/>
      <c r="L1843" s="15" t="str">
        <f t="shared" si="28"/>
        <v>NORMAL</v>
      </c>
    </row>
    <row r="1844" spans="1:12" x14ac:dyDescent="0.25">
      <c r="A1844" s="3" t="s">
        <v>5653</v>
      </c>
      <c r="B1844" s="3" t="s">
        <v>5654</v>
      </c>
      <c r="C1844" s="1">
        <v>0</v>
      </c>
      <c r="D1844" s="1">
        <v>371.51</v>
      </c>
      <c r="E1844" s="1" t="s">
        <v>223</v>
      </c>
      <c r="F1844" s="1" t="s">
        <v>5655</v>
      </c>
      <c r="G1844" s="3" t="s">
        <v>5656</v>
      </c>
      <c r="H1844" s="11">
        <f>ROUND(
IF(L1844="GANCHO",
   IF(I1844&lt;=50,I1844*1.1+4,IF(I1844&lt;=120,I1844*1.1+7,IF(I1844&lt;=250,I1844*1.1+11,I1844*1.1+19))),
IF(L1844="NORMAL",
   IF(I1844&lt;=30,I1844*1.15+2,IF(I1844&lt;=80,I1844*1.15+4,IF(I1844&lt;=150,I1844*1.15+6,I1844*1.15+8))),
IF(L1844="COMPLEMENTO",
   IF(I1844&lt;=25,I1844*1.25+1.5,IF(I1844&lt;=60,I1844*1.25+3,IF(I1844&lt;=120,I1844*1.25+4,I1844*1.25+5))),
""))),2)</f>
        <v>1782.57</v>
      </c>
      <c r="I1844" s="9">
        <f>($K$2+0.02)*Tabla1[[#This Row],[PRECIO $]]*1.18</f>
        <v>1543.1039359999997</v>
      </c>
      <c r="J1844" s="7">
        <f>+Tabla1[[#This Row],[PRECIO EN SOLES]]-Tabla1[[#This Row],[PC]]</f>
        <v>239.46606400000019</v>
      </c>
      <c r="K1844" s="15"/>
      <c r="L1844" s="15" t="str">
        <f t="shared" si="28"/>
        <v>NORMAL</v>
      </c>
    </row>
    <row r="1845" spans="1:12" x14ac:dyDescent="0.25">
      <c r="A1845" s="3" t="s">
        <v>6314</v>
      </c>
      <c r="B1845" s="3" t="s">
        <v>6315</v>
      </c>
      <c r="C1845" s="1">
        <v>20</v>
      </c>
      <c r="D1845" s="1">
        <v>388.86</v>
      </c>
      <c r="E1845" s="1" t="s">
        <v>223</v>
      </c>
      <c r="F1845" s="1" t="s">
        <v>6316</v>
      </c>
      <c r="G1845" s="3" t="s">
        <v>6317</v>
      </c>
      <c r="H1845" s="11">
        <f>ROUND(
IF(L1845="GANCHO",
   IF(I1845&lt;=50,I1845*1.1+4,IF(I1845&lt;=120,I1845*1.1+7,IF(I1845&lt;=250,I1845*1.1+11,I1845*1.1+19))),
IF(L1845="NORMAL",
   IF(I1845&lt;=30,I1845*1.15+2,IF(I1845&lt;=80,I1845*1.15+4,IF(I1845&lt;=150,I1845*1.15+6,I1845*1.15+8))),
IF(L1845="COMPLEMENTO",
   IF(I1845&lt;=25,I1845*1.25+1.5,IF(I1845&lt;=60,I1845*1.25+3,IF(I1845&lt;=120,I1845*1.25+4,I1845*1.25+5))),
""))),2)</f>
        <v>1865.44</v>
      </c>
      <c r="I1845" s="9">
        <f>($K$2+0.02)*Tabla1[[#This Row],[PRECIO $]]*1.18</f>
        <v>1615.1688959999999</v>
      </c>
      <c r="J1845" s="7">
        <f>+Tabla1[[#This Row],[PRECIO EN SOLES]]-Tabla1[[#This Row],[PC]]</f>
        <v>250.27110400000015</v>
      </c>
      <c r="K1845" s="15"/>
      <c r="L1845" s="15" t="str">
        <f t="shared" si="28"/>
        <v>NORMAL</v>
      </c>
    </row>
    <row r="1846" spans="1:12" x14ac:dyDescent="0.25">
      <c r="A1846" s="3" t="s">
        <v>5154</v>
      </c>
      <c r="B1846" s="3" t="s">
        <v>5155</v>
      </c>
      <c r="C1846" s="1">
        <v>20</v>
      </c>
      <c r="D1846" s="1">
        <v>357.3</v>
      </c>
      <c r="E1846" s="1" t="s">
        <v>223</v>
      </c>
      <c r="F1846" s="1" t="s">
        <v>5156</v>
      </c>
      <c r="G1846" s="3" t="s">
        <v>5157</v>
      </c>
      <c r="H1846" s="11">
        <f>ROUND(
IF(L1846="GANCHO",
   IF(I1846&lt;=50,I1846*1.1+4,IF(I1846&lt;=120,I1846*1.1+7,IF(I1846&lt;=250,I1846*1.1+11,I1846*1.1+19))),
IF(L1846="NORMAL",
   IF(I1846&lt;=30,I1846*1.15+2,IF(I1846&lt;=80,I1846*1.15+4,IF(I1846&lt;=150,I1846*1.15+6,I1846*1.15+8))),
IF(L1846="COMPLEMENTO",
   IF(I1846&lt;=25,I1846*1.25+1.5,IF(I1846&lt;=60,I1846*1.25+3,IF(I1846&lt;=120,I1846*1.25+4,I1846*1.25+5))),
""))),2)</f>
        <v>1714.69</v>
      </c>
      <c r="I1846" s="9">
        <f>($K$2+0.02)*Tabla1[[#This Row],[PRECIO $]]*1.18</f>
        <v>1484.0812800000001</v>
      </c>
      <c r="J1846" s="7">
        <f>+Tabla1[[#This Row],[PRECIO EN SOLES]]-Tabla1[[#This Row],[PC]]</f>
        <v>230.60871999999995</v>
      </c>
      <c r="K1846" s="15"/>
      <c r="L1846" s="15" t="str">
        <f t="shared" si="28"/>
        <v>NORMAL</v>
      </c>
    </row>
    <row r="1847" spans="1:12" x14ac:dyDescent="0.25">
      <c r="A1847" s="3" t="s">
        <v>6782</v>
      </c>
      <c r="B1847" s="3" t="s">
        <v>6783</v>
      </c>
      <c r="C1847" s="1">
        <v>20</v>
      </c>
      <c r="D1847" s="1">
        <v>371.35</v>
      </c>
      <c r="E1847" s="1" t="s">
        <v>223</v>
      </c>
      <c r="F1847" s="1" t="s">
        <v>6784</v>
      </c>
      <c r="G1847" s="3" t="s">
        <v>6785</v>
      </c>
      <c r="H1847" s="11">
        <f>ROUND(
IF(L1847="GANCHO",
   IF(I1847&lt;=50,I1847*1.1+4,IF(I1847&lt;=120,I1847*1.1+7,IF(I1847&lt;=250,I1847*1.1+11,I1847*1.1+19))),
IF(L1847="NORMAL",
   IF(I1847&lt;=30,I1847*1.15+2,IF(I1847&lt;=80,I1847*1.15+4,IF(I1847&lt;=150,I1847*1.15+6,I1847*1.15+8))),
IF(L1847="COMPLEMENTO",
   IF(I1847&lt;=25,I1847*1.25+1.5,IF(I1847&lt;=60,I1847*1.25+3,IF(I1847&lt;=120,I1847*1.25+4,I1847*1.25+5))),
""))),2)</f>
        <v>1781.81</v>
      </c>
      <c r="I1847" s="9">
        <f>($K$2+0.02)*Tabla1[[#This Row],[PRECIO $]]*1.18</f>
        <v>1542.4393600000001</v>
      </c>
      <c r="J1847" s="7">
        <f>+Tabla1[[#This Row],[PRECIO EN SOLES]]-Tabla1[[#This Row],[PC]]</f>
        <v>239.37063999999987</v>
      </c>
      <c r="K1847" s="15"/>
      <c r="L1847" s="15" t="str">
        <f t="shared" si="28"/>
        <v>NORMAL</v>
      </c>
    </row>
    <row r="1848" spans="1:12" x14ac:dyDescent="0.25">
      <c r="A1848" s="3" t="s">
        <v>4713</v>
      </c>
      <c r="B1848" s="3" t="s">
        <v>4714</v>
      </c>
      <c r="C1848" s="1">
        <v>20</v>
      </c>
      <c r="D1848" s="1">
        <v>483</v>
      </c>
      <c r="E1848" s="1" t="s">
        <v>223</v>
      </c>
      <c r="F1848" s="1" t="s">
        <v>4715</v>
      </c>
      <c r="G1848" s="3" t="s">
        <v>4716</v>
      </c>
      <c r="H1848" s="11">
        <f>ROUND(
IF(L1848="GANCHO",
   IF(I1848&lt;=50,I1848*1.1+4,IF(I1848&lt;=120,I1848*1.1+7,IF(I1848&lt;=250,I1848*1.1+11,I1848*1.1+19))),
IF(L1848="NORMAL",
   IF(I1848&lt;=30,I1848*1.15+2,IF(I1848&lt;=80,I1848*1.15+4,IF(I1848&lt;=150,I1848*1.15+6,I1848*1.15+8))),
IF(L1848="COMPLEMENTO",
   IF(I1848&lt;=25,I1848*1.25+1.5,IF(I1848&lt;=60,I1848*1.25+3,IF(I1848&lt;=120,I1848*1.25+4,I1848*1.25+5))),
""))),2)</f>
        <v>2315.12</v>
      </c>
      <c r="I1848" s="9">
        <f>($K$2+0.02)*Tabla1[[#This Row],[PRECIO $]]*1.18</f>
        <v>2006.1887999999999</v>
      </c>
      <c r="J1848" s="7">
        <f>+Tabla1[[#This Row],[PRECIO EN SOLES]]-Tabla1[[#This Row],[PC]]</f>
        <v>308.93119999999999</v>
      </c>
      <c r="K1848" s="15"/>
      <c r="L1848" s="15" t="str">
        <f t="shared" si="28"/>
        <v>NORMAL</v>
      </c>
    </row>
    <row r="1849" spans="1:12" x14ac:dyDescent="0.25">
      <c r="A1849" s="3" t="s">
        <v>6786</v>
      </c>
      <c r="B1849" s="3" t="s">
        <v>6787</v>
      </c>
      <c r="C1849" s="1">
        <v>10</v>
      </c>
      <c r="D1849" s="1">
        <v>480.5</v>
      </c>
      <c r="E1849" s="1" t="s">
        <v>223</v>
      </c>
      <c r="F1849" s="1" t="s">
        <v>6788</v>
      </c>
      <c r="G1849" s="3" t="s">
        <v>6853</v>
      </c>
      <c r="H1849" s="11">
        <f>ROUND(
IF(L1849="GANCHO",
   IF(I1849&lt;=50,I1849*1.1+4,IF(I1849&lt;=120,I1849*1.1+7,IF(I1849&lt;=250,I1849*1.1+11,I1849*1.1+19))),
IF(L1849="NORMAL",
   IF(I1849&lt;=30,I1849*1.15+2,IF(I1849&lt;=80,I1849*1.15+4,IF(I1849&lt;=150,I1849*1.15+6,I1849*1.15+8))),
IF(L1849="COMPLEMENTO",
   IF(I1849&lt;=25,I1849*1.25+1.5,IF(I1849&lt;=60,I1849*1.25+3,IF(I1849&lt;=120,I1849*1.25+4,I1849*1.25+5))),
""))),2)</f>
        <v>2303.1799999999998</v>
      </c>
      <c r="I1849" s="9">
        <f>($K$2+0.02)*Tabla1[[#This Row],[PRECIO $]]*1.18</f>
        <v>1995.8047999999999</v>
      </c>
      <c r="J1849" s="7">
        <f>+Tabla1[[#This Row],[PRECIO EN SOLES]]-Tabla1[[#This Row],[PC]]</f>
        <v>307.37519999999995</v>
      </c>
      <c r="K1849" s="15"/>
      <c r="L1849" s="15" t="str">
        <f t="shared" si="28"/>
        <v>NORMAL</v>
      </c>
    </row>
    <row r="1850" spans="1:12" x14ac:dyDescent="0.25">
      <c r="A1850" s="3" t="s">
        <v>4717</v>
      </c>
      <c r="B1850" s="3" t="s">
        <v>4718</v>
      </c>
      <c r="C1850" s="1">
        <v>20</v>
      </c>
      <c r="D1850" s="1">
        <v>455</v>
      </c>
      <c r="E1850" s="1" t="s">
        <v>223</v>
      </c>
      <c r="F1850" s="1" t="s">
        <v>4719</v>
      </c>
      <c r="G1850" s="3" t="s">
        <v>4720</v>
      </c>
      <c r="H1850" s="11">
        <f>ROUND(
IF(L1850="GANCHO",
   IF(I1850&lt;=50,I1850*1.1+4,IF(I1850&lt;=120,I1850*1.1+7,IF(I1850&lt;=250,I1850*1.1+11,I1850*1.1+19))),
IF(L1850="NORMAL",
   IF(I1850&lt;=30,I1850*1.15+2,IF(I1850&lt;=80,I1850*1.15+4,IF(I1850&lt;=150,I1850*1.15+6,I1850*1.15+8))),
IF(L1850="COMPLEMENTO",
   IF(I1850&lt;=25,I1850*1.25+1.5,IF(I1850&lt;=60,I1850*1.25+3,IF(I1850&lt;=120,I1850*1.25+4,I1850*1.25+5))),
""))),2)</f>
        <v>2181.37</v>
      </c>
      <c r="I1850" s="9">
        <f>($K$2+0.02)*Tabla1[[#This Row],[PRECIO $]]*1.18</f>
        <v>1889.8879999999997</v>
      </c>
      <c r="J1850" s="7">
        <f>+Tabla1[[#This Row],[PRECIO EN SOLES]]-Tabla1[[#This Row],[PC]]</f>
        <v>291.4820000000002</v>
      </c>
      <c r="K1850" s="15"/>
      <c r="L1850" s="15" t="str">
        <f t="shared" si="28"/>
        <v>NORMAL</v>
      </c>
    </row>
    <row r="1851" spans="1:12" x14ac:dyDescent="0.25">
      <c r="A1851" s="3" t="s">
        <v>6789</v>
      </c>
      <c r="B1851" s="3" t="s">
        <v>6790</v>
      </c>
      <c r="C1851" s="1">
        <v>20</v>
      </c>
      <c r="D1851" s="1">
        <v>477</v>
      </c>
      <c r="E1851" s="1" t="s">
        <v>223</v>
      </c>
      <c r="F1851" s="1" t="s">
        <v>6791</v>
      </c>
      <c r="G1851" s="3" t="s">
        <v>6792</v>
      </c>
      <c r="H1851" s="11">
        <f>ROUND(
IF(L1851="GANCHO",
   IF(I1851&lt;=50,I1851*1.1+4,IF(I1851&lt;=120,I1851*1.1+7,IF(I1851&lt;=250,I1851*1.1+11,I1851*1.1+19))),
IF(L1851="NORMAL",
   IF(I1851&lt;=30,I1851*1.15+2,IF(I1851&lt;=80,I1851*1.15+4,IF(I1851&lt;=150,I1851*1.15+6,I1851*1.15+8))),
IF(L1851="COMPLEMENTO",
   IF(I1851&lt;=25,I1851*1.25+1.5,IF(I1851&lt;=60,I1851*1.25+3,IF(I1851&lt;=120,I1851*1.25+4,I1851*1.25+5))),
""))),2)</f>
        <v>2286.46</v>
      </c>
      <c r="I1851" s="9">
        <f>($K$2+0.02)*Tabla1[[#This Row],[PRECIO $]]*1.18</f>
        <v>1981.2671999999998</v>
      </c>
      <c r="J1851" s="7">
        <f>+Tabla1[[#This Row],[PRECIO EN SOLES]]-Tabla1[[#This Row],[PC]]</f>
        <v>305.19280000000026</v>
      </c>
      <c r="K1851" s="15"/>
      <c r="L1851" s="15" t="str">
        <f t="shared" si="28"/>
        <v>NORMAL</v>
      </c>
    </row>
    <row r="1852" spans="1:12" x14ac:dyDescent="0.25">
      <c r="A1852" s="3" t="s">
        <v>4721</v>
      </c>
      <c r="B1852" s="3" t="s">
        <v>4722</v>
      </c>
      <c r="C1852" s="1">
        <v>20</v>
      </c>
      <c r="D1852" s="1">
        <v>450.5</v>
      </c>
      <c r="E1852" s="1" t="s">
        <v>223</v>
      </c>
      <c r="F1852" s="1" t="s">
        <v>4723</v>
      </c>
      <c r="G1852" s="3" t="s">
        <v>4724</v>
      </c>
      <c r="H1852" s="11">
        <f>ROUND(
IF(L1852="GANCHO",
   IF(I1852&lt;=50,I1852*1.1+4,IF(I1852&lt;=120,I1852*1.1+7,IF(I1852&lt;=250,I1852*1.1+11,I1852*1.1+19))),
IF(L1852="NORMAL",
   IF(I1852&lt;=30,I1852*1.15+2,IF(I1852&lt;=80,I1852*1.15+4,IF(I1852&lt;=150,I1852*1.15+6,I1852*1.15+8))),
IF(L1852="COMPLEMENTO",
   IF(I1852&lt;=25,I1852*1.25+1.5,IF(I1852&lt;=60,I1852*1.25+3,IF(I1852&lt;=120,I1852*1.25+4,I1852*1.25+5))),
""))),2)</f>
        <v>2159.88</v>
      </c>
      <c r="I1852" s="9">
        <f>($K$2+0.02)*Tabla1[[#This Row],[PRECIO $]]*1.18</f>
        <v>1871.1967999999999</v>
      </c>
      <c r="J1852" s="7">
        <f>+Tabla1[[#This Row],[PRECIO EN SOLES]]-Tabla1[[#This Row],[PC]]</f>
        <v>288.68320000000017</v>
      </c>
      <c r="K1852" s="15"/>
      <c r="L1852" s="15" t="str">
        <f t="shared" si="28"/>
        <v>NORMAL</v>
      </c>
    </row>
    <row r="1853" spans="1:12" x14ac:dyDescent="0.25">
      <c r="A1853" s="3" t="s">
        <v>4725</v>
      </c>
      <c r="B1853" s="3" t="s">
        <v>4726</v>
      </c>
      <c r="C1853" s="1">
        <v>20</v>
      </c>
      <c r="D1853" s="1">
        <v>408.4</v>
      </c>
      <c r="E1853" s="1" t="s">
        <v>223</v>
      </c>
      <c r="F1853" s="1" t="s">
        <v>4727</v>
      </c>
      <c r="G1853" s="3" t="s">
        <v>4728</v>
      </c>
      <c r="H1853" s="11">
        <f>ROUND(
IF(L1853="GANCHO",
   IF(I1853&lt;=50,I1853*1.1+4,IF(I1853&lt;=120,I1853*1.1+7,IF(I1853&lt;=250,I1853*1.1+11,I1853*1.1+19))),
IF(L1853="NORMAL",
   IF(I1853&lt;=30,I1853*1.15+2,IF(I1853&lt;=80,I1853*1.15+4,IF(I1853&lt;=150,I1853*1.15+6,I1853*1.15+8))),
IF(L1853="COMPLEMENTO",
   IF(I1853&lt;=25,I1853*1.25+1.5,IF(I1853&lt;=60,I1853*1.25+3,IF(I1853&lt;=120,I1853*1.25+4,I1853*1.25+5))),
""))),2)</f>
        <v>1958.78</v>
      </c>
      <c r="I1853" s="9">
        <f>($K$2+0.02)*Tabla1[[#This Row],[PRECIO $]]*1.18</f>
        <v>1696.33024</v>
      </c>
      <c r="J1853" s="7">
        <f>+Tabla1[[#This Row],[PRECIO EN SOLES]]-Tabla1[[#This Row],[PC]]</f>
        <v>262.44975999999997</v>
      </c>
      <c r="K1853" s="15"/>
      <c r="L1853" s="15" t="str">
        <f t="shared" si="28"/>
        <v>NORMAL</v>
      </c>
    </row>
    <row r="1854" spans="1:12" x14ac:dyDescent="0.25">
      <c r="A1854" s="3" t="s">
        <v>4729</v>
      </c>
      <c r="B1854" s="3" t="s">
        <v>4730</v>
      </c>
      <c r="C1854" s="1">
        <v>20</v>
      </c>
      <c r="D1854" s="1">
        <v>326</v>
      </c>
      <c r="E1854" s="1" t="s">
        <v>121</v>
      </c>
      <c r="F1854" s="1" t="s">
        <v>4731</v>
      </c>
      <c r="G1854" s="3" t="s">
        <v>4732</v>
      </c>
      <c r="H1854" s="11">
        <f>ROUND(
IF(L1854="GANCHO",
   IF(I1854&lt;=50,I1854*1.1+4,IF(I1854&lt;=120,I1854*1.1+7,IF(I1854&lt;=250,I1854*1.1+11,I1854*1.1+19))),
IF(L1854="NORMAL",
   IF(I1854&lt;=30,I1854*1.15+2,IF(I1854&lt;=80,I1854*1.15+4,IF(I1854&lt;=150,I1854*1.15+6,I1854*1.15+8))),
IF(L1854="COMPLEMENTO",
   IF(I1854&lt;=25,I1854*1.25+1.5,IF(I1854&lt;=60,I1854*1.25+3,IF(I1854&lt;=120,I1854*1.25+4,I1854*1.25+5))),
""))),2)</f>
        <v>1565.18</v>
      </c>
      <c r="I1854" s="9">
        <f>($K$2+0.02)*Tabla1[[#This Row],[PRECIO $]]*1.18</f>
        <v>1354.0735999999999</v>
      </c>
      <c r="J1854" s="7">
        <f>+Tabla1[[#This Row],[PRECIO EN SOLES]]-Tabla1[[#This Row],[PC]]</f>
        <v>211.10640000000012</v>
      </c>
      <c r="K1854" s="15"/>
      <c r="L1854" s="15" t="str">
        <f t="shared" si="28"/>
        <v>NORMAL</v>
      </c>
    </row>
    <row r="1855" spans="1:12" x14ac:dyDescent="0.25">
      <c r="A1855" s="3" t="s">
        <v>5159</v>
      </c>
      <c r="B1855" s="3" t="s">
        <v>5657</v>
      </c>
      <c r="C1855" s="1">
        <v>20</v>
      </c>
      <c r="D1855" s="1">
        <v>352</v>
      </c>
      <c r="E1855" s="1" t="s">
        <v>121</v>
      </c>
      <c r="F1855" s="1" t="s">
        <v>5160</v>
      </c>
      <c r="G1855" s="3" t="s">
        <v>5161</v>
      </c>
      <c r="H1855" s="11">
        <f>ROUND(
IF(L1855="GANCHO",
   IF(I1855&lt;=50,I1855*1.1+4,IF(I1855&lt;=120,I1855*1.1+7,IF(I1855&lt;=250,I1855*1.1+11,I1855*1.1+19))),
IF(L1855="NORMAL",
   IF(I1855&lt;=30,I1855*1.15+2,IF(I1855&lt;=80,I1855*1.15+4,IF(I1855&lt;=150,I1855*1.15+6,I1855*1.15+8))),
IF(L1855="COMPLEMENTO",
   IF(I1855&lt;=25,I1855*1.25+1.5,IF(I1855&lt;=60,I1855*1.25+3,IF(I1855&lt;=120,I1855*1.25+4,I1855*1.25+5))),
""))),2)</f>
        <v>1689.38</v>
      </c>
      <c r="I1855" s="9">
        <f>($K$2+0.02)*Tabla1[[#This Row],[PRECIO $]]*1.18</f>
        <v>1462.0672</v>
      </c>
      <c r="J1855" s="7">
        <f>+Tabla1[[#This Row],[PRECIO EN SOLES]]-Tabla1[[#This Row],[PC]]</f>
        <v>227.31280000000015</v>
      </c>
      <c r="K1855" s="15"/>
      <c r="L1855" s="15" t="str">
        <f t="shared" si="28"/>
        <v>NORMAL</v>
      </c>
    </row>
    <row r="1856" spans="1:12" x14ac:dyDescent="0.25">
      <c r="A1856" s="3" t="s">
        <v>5162</v>
      </c>
      <c r="B1856" s="3" t="s">
        <v>5158</v>
      </c>
      <c r="C1856" s="1">
        <v>20</v>
      </c>
      <c r="D1856" s="1">
        <v>407.18</v>
      </c>
      <c r="E1856" s="1" t="s">
        <v>121</v>
      </c>
      <c r="F1856" s="1" t="s">
        <v>5163</v>
      </c>
      <c r="G1856" s="3" t="s">
        <v>5164</v>
      </c>
      <c r="H1856" s="11">
        <f>ROUND(
IF(L1856="GANCHO",
   IF(I1856&lt;=50,I1856*1.1+4,IF(I1856&lt;=120,I1856*1.1+7,IF(I1856&lt;=250,I1856*1.1+11,I1856*1.1+19))),
IF(L1856="NORMAL",
   IF(I1856&lt;=30,I1856*1.15+2,IF(I1856&lt;=80,I1856*1.15+4,IF(I1856&lt;=150,I1856*1.15+6,I1856*1.15+8))),
IF(L1856="COMPLEMENTO",
   IF(I1856&lt;=25,I1856*1.25+1.5,IF(I1856&lt;=60,I1856*1.25+3,IF(I1856&lt;=120,I1856*1.25+4,I1856*1.25+5))),
""))),2)</f>
        <v>1952.95</v>
      </c>
      <c r="I1856" s="9">
        <f>($K$2+0.02)*Tabla1[[#This Row],[PRECIO $]]*1.18</f>
        <v>1691.2628479999998</v>
      </c>
      <c r="J1856" s="7">
        <f>+Tabla1[[#This Row],[PRECIO EN SOLES]]-Tabla1[[#This Row],[PC]]</f>
        <v>261.6871520000002</v>
      </c>
      <c r="K1856" s="15"/>
      <c r="L1856" s="15" t="str">
        <f t="shared" si="28"/>
        <v>NORMAL</v>
      </c>
    </row>
    <row r="1857" spans="1:12" x14ac:dyDescent="0.25">
      <c r="A1857" s="3" t="s">
        <v>5165</v>
      </c>
      <c r="B1857" s="3" t="s">
        <v>5166</v>
      </c>
      <c r="C1857" s="1">
        <v>15</v>
      </c>
      <c r="D1857" s="1">
        <v>418.09</v>
      </c>
      <c r="E1857" s="1" t="s">
        <v>121</v>
      </c>
      <c r="F1857" s="1" t="s">
        <v>5167</v>
      </c>
      <c r="G1857" s="3" t="s">
        <v>5168</v>
      </c>
      <c r="H1857" s="11">
        <f>ROUND(
IF(L1857="GANCHO",
   IF(I1857&lt;=50,I1857*1.1+4,IF(I1857&lt;=120,I1857*1.1+7,IF(I1857&lt;=250,I1857*1.1+11,I1857*1.1+19))),
IF(L1857="NORMAL",
   IF(I1857&lt;=30,I1857*1.15+2,IF(I1857&lt;=80,I1857*1.15+4,IF(I1857&lt;=150,I1857*1.15+6,I1857*1.15+8))),
IF(L1857="COMPLEMENTO",
   IF(I1857&lt;=25,I1857*1.25+1.5,IF(I1857&lt;=60,I1857*1.25+3,IF(I1857&lt;=120,I1857*1.25+4,I1857*1.25+5))),
""))),2)</f>
        <v>2005.07</v>
      </c>
      <c r="I1857" s="9">
        <f>($K$2+0.02)*Tabla1[[#This Row],[PRECIO $]]*1.18</f>
        <v>1736.5786239999998</v>
      </c>
      <c r="J1857" s="7">
        <f>+Tabla1[[#This Row],[PRECIO EN SOLES]]-Tabla1[[#This Row],[PC]]</f>
        <v>268.49137600000017</v>
      </c>
      <c r="K1857" s="15"/>
      <c r="L1857" s="15" t="str">
        <f t="shared" si="28"/>
        <v>NORMAL</v>
      </c>
    </row>
    <row r="1858" spans="1:12" x14ac:dyDescent="0.25">
      <c r="A1858" s="3" t="s">
        <v>4733</v>
      </c>
      <c r="B1858" s="3" t="s">
        <v>4734</v>
      </c>
      <c r="C1858" s="1">
        <v>0</v>
      </c>
      <c r="D1858" s="1">
        <v>411.35</v>
      </c>
      <c r="E1858" s="1" t="s">
        <v>121</v>
      </c>
      <c r="F1858" s="1" t="s">
        <v>4735</v>
      </c>
      <c r="G1858" s="3" t="s">
        <v>4736</v>
      </c>
      <c r="H1858" s="11">
        <f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1972.87</v>
      </c>
      <c r="I1858" s="9">
        <f>($K$2+0.02)*Tabla1[[#This Row],[PRECIO $]]*1.18</f>
        <v>1708.5833599999999</v>
      </c>
      <c r="J1858" s="7">
        <f>+Tabla1[[#This Row],[PRECIO EN SOLES]]-Tabla1[[#This Row],[PC]]</f>
        <v>264.28664000000003</v>
      </c>
      <c r="K1858" s="15"/>
      <c r="L1858" s="15" t="str">
        <f t="shared" si="28"/>
        <v>NORMAL</v>
      </c>
    </row>
    <row r="1859" spans="1:12" x14ac:dyDescent="0.25">
      <c r="A1859" s="3" t="s">
        <v>4737</v>
      </c>
      <c r="B1859" s="3" t="s">
        <v>4738</v>
      </c>
      <c r="C1859" s="1">
        <v>20</v>
      </c>
      <c r="D1859" s="1">
        <v>417</v>
      </c>
      <c r="E1859" s="1" t="s">
        <v>121</v>
      </c>
      <c r="F1859" s="1" t="s">
        <v>4739</v>
      </c>
      <c r="G1859" s="3" t="s">
        <v>4740</v>
      </c>
      <c r="H1859" s="11">
        <f>ROUND(
IF(L1859="GANCHO",
   IF(I1859&lt;=50,I1859*1.1+4,IF(I1859&lt;=120,I1859*1.1+7,IF(I1859&lt;=250,I1859*1.1+11,I1859*1.1+19))),
IF(L1859="NORMAL",
   IF(I1859&lt;=30,I1859*1.15+2,IF(I1859&lt;=80,I1859*1.15+4,IF(I1859&lt;=150,I1859*1.15+6,I1859*1.15+8))),
IF(L1859="COMPLEMENTO",
   IF(I1859&lt;=25,I1859*1.25+1.5,IF(I1859&lt;=60,I1859*1.25+3,IF(I1859&lt;=120,I1859*1.25+4,I1859*1.25+5))),
""))),2)</f>
        <v>1999.86</v>
      </c>
      <c r="I1859" s="9">
        <f>($K$2+0.02)*Tabla1[[#This Row],[PRECIO $]]*1.18</f>
        <v>1732.0511999999999</v>
      </c>
      <c r="J1859" s="7">
        <f>+Tabla1[[#This Row],[PRECIO EN SOLES]]-Tabla1[[#This Row],[PC]]</f>
        <v>267.80880000000002</v>
      </c>
      <c r="K1859" s="15"/>
      <c r="L1859" s="15" t="str">
        <f t="shared" ref="L1859:L1922" si="2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6793</v>
      </c>
      <c r="B1860" s="3" t="s">
        <v>6794</v>
      </c>
      <c r="C1860" s="1">
        <v>20</v>
      </c>
      <c r="D1860" s="1">
        <v>429.22</v>
      </c>
      <c r="E1860" s="1" t="s">
        <v>121</v>
      </c>
      <c r="F1860" s="1" t="s">
        <v>6795</v>
      </c>
      <c r="G1860" s="3" t="s">
        <v>6796</v>
      </c>
      <c r="H1860" s="11">
        <f>ROUND(
IF(L1860="GANCHO",
   IF(I1860&lt;=50,I1860*1.1+4,IF(I1860&lt;=120,I1860*1.1+7,IF(I1860&lt;=250,I1860*1.1+11,I1860*1.1+19))),
IF(L1860="NORMAL",
   IF(I1860&lt;=30,I1860*1.15+2,IF(I1860&lt;=80,I1860*1.15+4,IF(I1860&lt;=150,I1860*1.15+6,I1860*1.15+8))),
IF(L1860="COMPLEMENTO",
   IF(I1860&lt;=25,I1860*1.25+1.5,IF(I1860&lt;=60,I1860*1.25+3,IF(I1860&lt;=120,I1860*1.25+4,I1860*1.25+5))),
""))),2)</f>
        <v>2058.23</v>
      </c>
      <c r="I1860" s="9">
        <f>($K$2+0.02)*Tabla1[[#This Row],[PRECIO $]]*1.18</f>
        <v>1782.8081920000002</v>
      </c>
      <c r="J1860" s="7">
        <f>+Tabla1[[#This Row],[PRECIO EN SOLES]]-Tabla1[[#This Row],[PC]]</f>
        <v>275.42180799999983</v>
      </c>
      <c r="K1860" s="15"/>
      <c r="L1860" s="15" t="str">
        <f t="shared" si="29"/>
        <v>NORMAL</v>
      </c>
    </row>
    <row r="1861" spans="1:12" x14ac:dyDescent="0.25">
      <c r="A1861" s="3" t="s">
        <v>5169</v>
      </c>
      <c r="B1861" s="3" t="s">
        <v>5170</v>
      </c>
      <c r="C1861" s="1">
        <v>20</v>
      </c>
      <c r="D1861" s="1">
        <v>370.42</v>
      </c>
      <c r="E1861" s="1" t="s">
        <v>121</v>
      </c>
      <c r="F1861" s="1" t="s">
        <v>5171</v>
      </c>
      <c r="G1861" s="3" t="s">
        <v>5172</v>
      </c>
      <c r="H1861" s="11">
        <f>ROUND(
IF(L1861="GANCHO",
   IF(I1861&lt;=50,I1861*1.1+4,IF(I1861&lt;=120,I1861*1.1+7,IF(I1861&lt;=250,I1861*1.1+11,I1861*1.1+19))),
IF(L1861="NORMAL",
   IF(I1861&lt;=30,I1861*1.15+2,IF(I1861&lt;=80,I1861*1.15+4,IF(I1861&lt;=150,I1861*1.15+6,I1861*1.15+8))),
IF(L1861="COMPLEMENTO",
   IF(I1861&lt;=25,I1861*1.25+1.5,IF(I1861&lt;=60,I1861*1.25+3,IF(I1861&lt;=120,I1861*1.25+4,I1861*1.25+5))),
""))),2)</f>
        <v>1777.36</v>
      </c>
      <c r="I1861" s="9">
        <f>($K$2+0.02)*Tabla1[[#This Row],[PRECIO $]]*1.18</f>
        <v>1538.5765120000001</v>
      </c>
      <c r="J1861" s="7">
        <f>+Tabla1[[#This Row],[PRECIO EN SOLES]]-Tabla1[[#This Row],[PC]]</f>
        <v>238.78348799999981</v>
      </c>
      <c r="K1861" s="15"/>
      <c r="L1861" s="15" t="str">
        <f t="shared" si="29"/>
        <v>NORMAL</v>
      </c>
    </row>
    <row r="1862" spans="1:12" x14ac:dyDescent="0.25">
      <c r="A1862" s="3" t="s">
        <v>5658</v>
      </c>
      <c r="B1862" s="3" t="s">
        <v>5659</v>
      </c>
      <c r="C1862" s="1">
        <v>20</v>
      </c>
      <c r="D1862" s="1">
        <v>351.5</v>
      </c>
      <c r="E1862" s="1" t="s">
        <v>5660</v>
      </c>
      <c r="F1862" s="1" t="s">
        <v>5661</v>
      </c>
      <c r="G1862" s="3" t="s">
        <v>5662</v>
      </c>
      <c r="H1862" s="11">
        <f>ROUND(
IF(L1862="GANCHO",
   IF(I1862&lt;=50,I1862*1.1+4,IF(I1862&lt;=120,I1862*1.1+7,IF(I1862&lt;=250,I1862*1.1+11,I1862*1.1+19))),
IF(L1862="NORMAL",
   IF(I1862&lt;=30,I1862*1.15+2,IF(I1862&lt;=80,I1862*1.15+4,IF(I1862&lt;=150,I1862*1.15+6,I1862*1.15+8))),
IF(L1862="COMPLEMENTO",
   IF(I1862&lt;=25,I1862*1.25+1.5,IF(I1862&lt;=60,I1862*1.25+3,IF(I1862&lt;=120,I1862*1.25+4,I1862*1.25+5))),
""))),2)</f>
        <v>1686.99</v>
      </c>
      <c r="I1862" s="9">
        <f>($K$2+0.02)*Tabla1[[#This Row],[PRECIO $]]*1.18</f>
        <v>1459.9903999999999</v>
      </c>
      <c r="J1862" s="7">
        <f>+Tabla1[[#This Row],[PRECIO EN SOLES]]-Tabla1[[#This Row],[PC]]</f>
        <v>226.9996000000001</v>
      </c>
      <c r="K1862" s="15"/>
      <c r="L1862" s="15" t="str">
        <f t="shared" si="29"/>
        <v>NORMAL</v>
      </c>
    </row>
    <row r="1863" spans="1:12" x14ac:dyDescent="0.25">
      <c r="A1863" s="3" t="s">
        <v>5663</v>
      </c>
      <c r="B1863" s="3" t="s">
        <v>5664</v>
      </c>
      <c r="C1863" s="1">
        <v>20</v>
      </c>
      <c r="D1863" s="1">
        <v>412</v>
      </c>
      <c r="E1863" s="1" t="s">
        <v>5660</v>
      </c>
      <c r="F1863" s="1" t="s">
        <v>5665</v>
      </c>
      <c r="G1863" s="3" t="s">
        <v>5799</v>
      </c>
      <c r="H1863" s="11">
        <f>ROUND(
IF(L1863="GANCHO",
   IF(I1863&lt;=50,I1863*1.1+4,IF(I1863&lt;=120,I1863*1.1+7,IF(I1863&lt;=250,I1863*1.1+11,I1863*1.1+19))),
IF(L1863="NORMAL",
   IF(I1863&lt;=30,I1863*1.15+2,IF(I1863&lt;=80,I1863*1.15+4,IF(I1863&lt;=150,I1863*1.15+6,I1863*1.15+8))),
IF(L1863="COMPLEMENTO",
   IF(I1863&lt;=25,I1863*1.25+1.5,IF(I1863&lt;=60,I1863*1.25+3,IF(I1863&lt;=120,I1863*1.25+4,I1863*1.25+5))),
""))),2)</f>
        <v>1975.98</v>
      </c>
      <c r="I1863" s="9">
        <f>($K$2+0.02)*Tabla1[[#This Row],[PRECIO $]]*1.18</f>
        <v>1711.2831999999999</v>
      </c>
      <c r="J1863" s="7">
        <f>+Tabla1[[#This Row],[PRECIO EN SOLES]]-Tabla1[[#This Row],[PC]]</f>
        <v>264.69680000000017</v>
      </c>
      <c r="K1863" s="15"/>
      <c r="L1863" s="15" t="str">
        <f t="shared" si="29"/>
        <v>NORMAL</v>
      </c>
    </row>
    <row r="1864" spans="1:12" x14ac:dyDescent="0.25">
      <c r="A1864" s="3" t="s">
        <v>5173</v>
      </c>
      <c r="B1864" s="3" t="s">
        <v>5174</v>
      </c>
      <c r="C1864" s="1">
        <v>20</v>
      </c>
      <c r="D1864" s="1">
        <v>439</v>
      </c>
      <c r="E1864" s="1" t="s">
        <v>223</v>
      </c>
      <c r="F1864" s="1" t="s">
        <v>5175</v>
      </c>
      <c r="G1864" s="3" t="s">
        <v>5176</v>
      </c>
      <c r="H1864" s="11">
        <f>ROUND(
IF(L1864="GANCHO",
   IF(I1864&lt;=50,I1864*1.1+4,IF(I1864&lt;=120,I1864*1.1+7,IF(I1864&lt;=250,I1864*1.1+11,I1864*1.1+19))),
IF(L1864="NORMAL",
   IF(I1864&lt;=30,I1864*1.15+2,IF(I1864&lt;=80,I1864*1.15+4,IF(I1864&lt;=150,I1864*1.15+6,I1864*1.15+8))),
IF(L1864="COMPLEMENTO",
   IF(I1864&lt;=25,I1864*1.25+1.5,IF(I1864&lt;=60,I1864*1.25+3,IF(I1864&lt;=120,I1864*1.25+4,I1864*1.25+5))),
""))),2)</f>
        <v>2104.94</v>
      </c>
      <c r="I1864" s="9">
        <f>($K$2+0.02)*Tabla1[[#This Row],[PRECIO $]]*1.18</f>
        <v>1823.4304</v>
      </c>
      <c r="J1864" s="7">
        <f>+Tabla1[[#This Row],[PRECIO EN SOLES]]-Tabla1[[#This Row],[PC]]</f>
        <v>281.50960000000009</v>
      </c>
      <c r="K1864" s="15"/>
      <c r="L1864" s="15" t="str">
        <f t="shared" si="29"/>
        <v>NORMAL</v>
      </c>
    </row>
    <row r="1865" spans="1:12" x14ac:dyDescent="0.25">
      <c r="A1865" s="3" t="s">
        <v>2549</v>
      </c>
      <c r="B1865" s="3" t="s">
        <v>2550</v>
      </c>
      <c r="C1865" s="1">
        <v>20</v>
      </c>
      <c r="D1865" s="1">
        <v>475</v>
      </c>
      <c r="E1865" s="1" t="s">
        <v>847</v>
      </c>
      <c r="F1865" s="1" t="s">
        <v>3884</v>
      </c>
      <c r="G1865" s="3" t="s">
        <v>2551</v>
      </c>
      <c r="H1865" s="11">
        <f>ROUND(
IF(L1865="GANCHO",
   IF(I1865&lt;=50,I1865*1.1+4,IF(I1865&lt;=120,I1865*1.1+7,IF(I1865&lt;=250,I1865*1.1+11,I1865*1.1+19))),
IF(L1865="NORMAL",
   IF(I1865&lt;=30,I1865*1.15+2,IF(I1865&lt;=80,I1865*1.15+4,IF(I1865&lt;=150,I1865*1.15+6,I1865*1.15+8))),
IF(L1865="COMPLEMENTO",
   IF(I1865&lt;=25,I1865*1.25+1.5,IF(I1865&lt;=60,I1865*1.25+3,IF(I1865&lt;=120,I1865*1.25+4,I1865*1.25+5))),
""))),2)</f>
        <v>2276.9</v>
      </c>
      <c r="I1865" s="9">
        <f>($K$2+0.02)*Tabla1[[#This Row],[PRECIO $]]*1.18</f>
        <v>1972.9599999999998</v>
      </c>
      <c r="J1865" s="7">
        <f>+Tabla1[[#This Row],[PRECIO EN SOLES]]-Tabla1[[#This Row],[PC]]</f>
        <v>303.94000000000028</v>
      </c>
      <c r="K1865" s="15"/>
      <c r="L1865" s="15" t="str">
        <f t="shared" si="29"/>
        <v>NORMAL</v>
      </c>
    </row>
    <row r="1866" spans="1:12" x14ac:dyDescent="0.25">
      <c r="A1866" s="3" t="s">
        <v>2552</v>
      </c>
      <c r="B1866" s="3" t="s">
        <v>2553</v>
      </c>
      <c r="C1866" s="1">
        <v>20</v>
      </c>
      <c r="D1866" s="1">
        <v>499</v>
      </c>
      <c r="E1866" s="1" t="s">
        <v>847</v>
      </c>
      <c r="F1866" s="1" t="s">
        <v>3885</v>
      </c>
      <c r="G1866" s="3" t="s">
        <v>2554</v>
      </c>
      <c r="H1866" s="11">
        <f>ROUND(
IF(L1866="GANCHO",
   IF(I1866&lt;=50,I1866*1.1+4,IF(I1866&lt;=120,I1866*1.1+7,IF(I1866&lt;=250,I1866*1.1+11,I1866*1.1+19))),
IF(L1866="NORMAL",
   IF(I1866&lt;=30,I1866*1.15+2,IF(I1866&lt;=80,I1866*1.15+4,IF(I1866&lt;=150,I1866*1.15+6,I1866*1.15+8))),
IF(L1866="COMPLEMENTO",
   IF(I1866&lt;=25,I1866*1.25+1.5,IF(I1866&lt;=60,I1866*1.25+3,IF(I1866&lt;=120,I1866*1.25+4,I1866*1.25+5))),
""))),2)</f>
        <v>2391.54</v>
      </c>
      <c r="I1866" s="9">
        <f>($K$2+0.02)*Tabla1[[#This Row],[PRECIO $]]*1.18</f>
        <v>2072.6464000000001</v>
      </c>
      <c r="J1866" s="7">
        <f>+Tabla1[[#This Row],[PRECIO EN SOLES]]-Tabla1[[#This Row],[PC]]</f>
        <v>318.89359999999988</v>
      </c>
      <c r="K1866" s="15"/>
      <c r="L1866" s="15" t="str">
        <f t="shared" si="29"/>
        <v>NORMAL</v>
      </c>
    </row>
    <row r="1867" spans="1:12" x14ac:dyDescent="0.25">
      <c r="A1867" s="3" t="s">
        <v>5666</v>
      </c>
      <c r="B1867" s="3" t="s">
        <v>5667</v>
      </c>
      <c r="C1867" s="1">
        <v>9</v>
      </c>
      <c r="D1867" s="1">
        <v>689</v>
      </c>
      <c r="E1867" s="1" t="s">
        <v>847</v>
      </c>
      <c r="F1867" s="1" t="s">
        <v>5668</v>
      </c>
      <c r="G1867" s="3" t="s">
        <v>5669</v>
      </c>
      <c r="H1867" s="11">
        <f>ROUND(
IF(L1867="GANCHO",
   IF(I1867&lt;=50,I1867*1.1+4,IF(I1867&lt;=120,I1867*1.1+7,IF(I1867&lt;=250,I1867*1.1+11,I1867*1.1+19))),
IF(L1867="NORMAL",
   IF(I1867&lt;=30,I1867*1.15+2,IF(I1867&lt;=80,I1867*1.15+4,IF(I1867&lt;=150,I1867*1.15+6,I1867*1.15+8))),
IF(L1867="COMPLEMENTO",
   IF(I1867&lt;=25,I1867*1.25+1.5,IF(I1867&lt;=60,I1867*1.25+3,IF(I1867&lt;=120,I1867*1.25+4,I1867*1.25+5))),
""))),2)</f>
        <v>3299.1</v>
      </c>
      <c r="I1867" s="9">
        <f>($K$2+0.02)*Tabla1[[#This Row],[PRECIO $]]*1.18</f>
        <v>2861.8304000000003</v>
      </c>
      <c r="J1867" s="7">
        <f>+Tabla1[[#This Row],[PRECIO EN SOLES]]-Tabla1[[#This Row],[PC]]</f>
        <v>437.26959999999963</v>
      </c>
      <c r="K1867" s="15"/>
      <c r="L1867" s="15" t="str">
        <f t="shared" si="29"/>
        <v>NORMAL</v>
      </c>
    </row>
    <row r="1868" spans="1:12" x14ac:dyDescent="0.25">
      <c r="A1868" s="3" t="s">
        <v>5670</v>
      </c>
      <c r="B1868" s="3" t="s">
        <v>5671</v>
      </c>
      <c r="C1868" s="1">
        <v>2</v>
      </c>
      <c r="D1868" s="1">
        <v>775</v>
      </c>
      <c r="E1868" s="1" t="s">
        <v>847</v>
      </c>
      <c r="F1868" s="1" t="s">
        <v>5672</v>
      </c>
      <c r="G1868" s="3" t="s">
        <v>5673</v>
      </c>
      <c r="H1868" s="11">
        <f>ROUND(
IF(L1868="GANCHO",
   IF(I1868&lt;=50,I1868*1.1+4,IF(I1868&lt;=120,I1868*1.1+7,IF(I1868&lt;=250,I1868*1.1+11,I1868*1.1+19))),
IF(L1868="NORMAL",
   IF(I1868&lt;=30,I1868*1.15+2,IF(I1868&lt;=80,I1868*1.15+4,IF(I1868&lt;=150,I1868*1.15+6,I1868*1.15+8))),
IF(L1868="COMPLEMENTO",
   IF(I1868&lt;=25,I1868*1.25+1.5,IF(I1868&lt;=60,I1868*1.25+3,IF(I1868&lt;=120,I1868*1.25+4,I1868*1.25+5))),
""))),2)</f>
        <v>3709.9</v>
      </c>
      <c r="I1868" s="9">
        <f>($K$2+0.02)*Tabla1[[#This Row],[PRECIO $]]*1.18</f>
        <v>3219.04</v>
      </c>
      <c r="J1868" s="7">
        <f>+Tabla1[[#This Row],[PRECIO EN SOLES]]-Tabla1[[#This Row],[PC]]</f>
        <v>490.86000000000013</v>
      </c>
      <c r="K1868" s="15"/>
      <c r="L1868" s="15" t="str">
        <f t="shared" si="29"/>
        <v>NORMAL</v>
      </c>
    </row>
    <row r="1869" spans="1:12" x14ac:dyDescent="0.25">
      <c r="A1869" s="3" t="s">
        <v>5674</v>
      </c>
      <c r="B1869" s="3" t="s">
        <v>5675</v>
      </c>
      <c r="C1869" s="1">
        <v>10</v>
      </c>
      <c r="D1869" s="1">
        <v>771</v>
      </c>
      <c r="E1869" s="1" t="s">
        <v>847</v>
      </c>
      <c r="F1869" s="1" t="s">
        <v>5676</v>
      </c>
      <c r="G1869" s="3" t="s">
        <v>5677</v>
      </c>
      <c r="H1869" s="11">
        <f>ROUND(
IF(L1869="GANCHO",
   IF(I1869&lt;=50,I1869*1.1+4,IF(I1869&lt;=120,I1869*1.1+7,IF(I1869&lt;=250,I1869*1.1+11,I1869*1.1+19))),
IF(L1869="NORMAL",
   IF(I1869&lt;=30,I1869*1.15+2,IF(I1869&lt;=80,I1869*1.15+4,IF(I1869&lt;=150,I1869*1.15+6,I1869*1.15+8))),
IF(L1869="COMPLEMENTO",
   IF(I1869&lt;=25,I1869*1.25+1.5,IF(I1869&lt;=60,I1869*1.25+3,IF(I1869&lt;=120,I1869*1.25+4,I1869*1.25+5))),
""))),2)</f>
        <v>3690.79</v>
      </c>
      <c r="I1869" s="9">
        <f>($K$2+0.02)*Tabla1[[#This Row],[PRECIO $]]*1.18</f>
        <v>3202.4256</v>
      </c>
      <c r="J1869" s="7">
        <f>+Tabla1[[#This Row],[PRECIO EN SOLES]]-Tabla1[[#This Row],[PC]]</f>
        <v>488.36439999999993</v>
      </c>
      <c r="K1869" s="15"/>
      <c r="L1869" s="15" t="str">
        <f t="shared" si="29"/>
        <v>NORMAL</v>
      </c>
    </row>
    <row r="1870" spans="1:12" x14ac:dyDescent="0.25">
      <c r="A1870" s="3" t="s">
        <v>5678</v>
      </c>
      <c r="B1870" s="3" t="s">
        <v>5679</v>
      </c>
      <c r="C1870" s="1">
        <v>18</v>
      </c>
      <c r="D1870" s="1">
        <v>771</v>
      </c>
      <c r="E1870" s="1" t="s">
        <v>847</v>
      </c>
      <c r="F1870" s="1" t="s">
        <v>5680</v>
      </c>
      <c r="G1870" s="3" t="s">
        <v>5681</v>
      </c>
      <c r="H1870" s="11">
        <f>ROUND(
IF(L1870="GANCHO",
   IF(I1870&lt;=50,I1870*1.1+4,IF(I1870&lt;=120,I1870*1.1+7,IF(I1870&lt;=250,I1870*1.1+11,I1870*1.1+19))),
IF(L1870="NORMAL",
   IF(I1870&lt;=30,I1870*1.15+2,IF(I1870&lt;=80,I1870*1.15+4,IF(I1870&lt;=150,I1870*1.15+6,I1870*1.15+8))),
IF(L1870="COMPLEMENTO",
   IF(I1870&lt;=25,I1870*1.25+1.5,IF(I1870&lt;=60,I1870*1.25+3,IF(I1870&lt;=120,I1870*1.25+4,I1870*1.25+5))),
""))),2)</f>
        <v>3690.79</v>
      </c>
      <c r="I1870" s="9">
        <f>($K$2+0.02)*Tabla1[[#This Row],[PRECIO $]]*1.18</f>
        <v>3202.4256</v>
      </c>
      <c r="J1870" s="7">
        <f>+Tabla1[[#This Row],[PRECIO EN SOLES]]-Tabla1[[#This Row],[PC]]</f>
        <v>488.36439999999993</v>
      </c>
      <c r="K1870" s="15"/>
      <c r="L1870" s="15" t="str">
        <f t="shared" si="29"/>
        <v>NORMAL</v>
      </c>
    </row>
    <row r="1871" spans="1:12" x14ac:dyDescent="0.25">
      <c r="A1871" s="3" t="s">
        <v>6797</v>
      </c>
      <c r="B1871" s="3" t="s">
        <v>6798</v>
      </c>
      <c r="C1871" s="1">
        <v>20</v>
      </c>
      <c r="D1871" s="1">
        <v>500</v>
      </c>
      <c r="E1871" s="1" t="s">
        <v>115</v>
      </c>
      <c r="F1871" s="1" t="s">
        <v>6799</v>
      </c>
      <c r="G1871" s="3" t="s">
        <v>6800</v>
      </c>
      <c r="H1871" s="11">
        <f>ROUND(
IF(L1871="GANCHO",
   IF(I1871&lt;=50,I1871*1.1+4,IF(I1871&lt;=120,I1871*1.1+7,IF(I1871&lt;=250,I1871*1.1+11,I1871*1.1+19))),
IF(L1871="NORMAL",
   IF(I1871&lt;=30,I1871*1.15+2,IF(I1871&lt;=80,I1871*1.15+4,IF(I1871&lt;=150,I1871*1.15+6,I1871*1.15+8))),
IF(L1871="COMPLEMENTO",
   IF(I1871&lt;=25,I1871*1.25+1.5,IF(I1871&lt;=60,I1871*1.25+3,IF(I1871&lt;=120,I1871*1.25+4,I1871*1.25+5))),
""))),2)</f>
        <v>2396.3200000000002</v>
      </c>
      <c r="I1871" s="9">
        <f>($K$2+0.02)*Tabla1[[#This Row],[PRECIO $]]*1.18</f>
        <v>2076.7999999999997</v>
      </c>
      <c r="J1871" s="7">
        <f>+Tabla1[[#This Row],[PRECIO EN SOLES]]-Tabla1[[#This Row],[PC]]</f>
        <v>319.52000000000044</v>
      </c>
      <c r="K1871" s="15"/>
      <c r="L1871" s="15" t="str">
        <f t="shared" si="29"/>
        <v>NORMAL</v>
      </c>
    </row>
    <row r="1872" spans="1:12" x14ac:dyDescent="0.25">
      <c r="A1872" s="3" t="s">
        <v>6801</v>
      </c>
      <c r="B1872" s="3" t="s">
        <v>6802</v>
      </c>
      <c r="C1872" s="1">
        <v>0</v>
      </c>
      <c r="D1872" s="1">
        <v>760</v>
      </c>
      <c r="E1872" s="1" t="s">
        <v>115</v>
      </c>
      <c r="F1872" s="1" t="s">
        <v>6803</v>
      </c>
      <c r="G1872" s="3" t="s">
        <v>6804</v>
      </c>
      <c r="H1872" s="11">
        <f>ROUND(
IF(L1872="GANCHO",
   IF(I1872&lt;=50,I1872*1.1+4,IF(I1872&lt;=120,I1872*1.1+7,IF(I1872&lt;=250,I1872*1.1+11,I1872*1.1+19))),
IF(L1872="NORMAL",
   IF(I1872&lt;=30,I1872*1.15+2,IF(I1872&lt;=80,I1872*1.15+4,IF(I1872&lt;=150,I1872*1.15+6,I1872*1.15+8))),
IF(L1872="COMPLEMENTO",
   IF(I1872&lt;=25,I1872*1.25+1.5,IF(I1872&lt;=60,I1872*1.25+3,IF(I1872&lt;=120,I1872*1.25+4,I1872*1.25+5))),
""))),2)</f>
        <v>3638.25</v>
      </c>
      <c r="I1872" s="9">
        <f>($K$2+0.02)*Tabla1[[#This Row],[PRECIO $]]*1.18</f>
        <v>3156.7359999999994</v>
      </c>
      <c r="J1872" s="7">
        <f>+Tabla1[[#This Row],[PRECIO EN SOLES]]-Tabla1[[#This Row],[PC]]</f>
        <v>481.51400000000058</v>
      </c>
      <c r="K1872" s="15"/>
      <c r="L1872" s="15" t="str">
        <f t="shared" si="29"/>
        <v>NORMAL</v>
      </c>
    </row>
    <row r="1873" spans="1:12" x14ac:dyDescent="0.25">
      <c r="A1873" s="3" t="s">
        <v>4741</v>
      </c>
      <c r="B1873" s="3" t="s">
        <v>4742</v>
      </c>
      <c r="C1873" s="1">
        <v>20</v>
      </c>
      <c r="D1873" s="1">
        <v>455.13</v>
      </c>
      <c r="E1873" s="1" t="s">
        <v>223</v>
      </c>
      <c r="F1873" s="1" t="s">
        <v>4743</v>
      </c>
      <c r="G1873" s="3" t="s">
        <v>4744</v>
      </c>
      <c r="H1873" s="11">
        <f>ROUND(
IF(L1873="GANCHO",
   IF(I1873&lt;=50,I1873*1.1+4,IF(I1873&lt;=120,I1873*1.1+7,IF(I1873&lt;=250,I1873*1.1+11,I1873*1.1+19))),
IF(L1873="NORMAL",
   IF(I1873&lt;=30,I1873*1.15+2,IF(I1873&lt;=80,I1873*1.15+4,IF(I1873&lt;=150,I1873*1.15+6,I1873*1.15+8))),
IF(L1873="COMPLEMENTO",
   IF(I1873&lt;=25,I1873*1.25+1.5,IF(I1873&lt;=60,I1873*1.25+3,IF(I1873&lt;=120,I1873*1.25+4,I1873*1.25+5))),
""))),2)</f>
        <v>2181.9899999999998</v>
      </c>
      <c r="I1873" s="9">
        <f>($K$2+0.02)*Tabla1[[#This Row],[PRECIO $]]*1.18</f>
        <v>1890.427968</v>
      </c>
      <c r="J1873" s="7">
        <f>+Tabla1[[#This Row],[PRECIO EN SOLES]]-Tabla1[[#This Row],[PC]]</f>
        <v>291.56203199999982</v>
      </c>
      <c r="K1873" s="15"/>
      <c r="L1873" s="15" t="str">
        <f t="shared" si="29"/>
        <v>NORMAL</v>
      </c>
    </row>
    <row r="1874" spans="1:12" x14ac:dyDescent="0.25">
      <c r="A1874" s="3" t="s">
        <v>4419</v>
      </c>
      <c r="B1874" s="3" t="s">
        <v>4420</v>
      </c>
      <c r="C1874" s="1">
        <v>20</v>
      </c>
      <c r="D1874" s="1">
        <v>710.62</v>
      </c>
      <c r="E1874" s="1" t="s">
        <v>223</v>
      </c>
      <c r="F1874" s="1" t="s">
        <v>4421</v>
      </c>
      <c r="G1874" s="3" t="s">
        <v>4422</v>
      </c>
      <c r="H1874" s="11">
        <f>ROUND(
IF(L1874="GANCHO",
   IF(I1874&lt;=50,I1874*1.1+4,IF(I1874&lt;=120,I1874*1.1+7,IF(I1874&lt;=250,I1874*1.1+11,I1874*1.1+19))),
IF(L1874="NORMAL",
   IF(I1874&lt;=30,I1874*1.15+2,IF(I1874&lt;=80,I1874*1.15+4,IF(I1874&lt;=150,I1874*1.15+6,I1874*1.15+8))),
IF(L1874="COMPLEMENTO",
   IF(I1874&lt;=25,I1874*1.25+1.5,IF(I1874&lt;=60,I1874*1.25+3,IF(I1874&lt;=120,I1874*1.25+4,I1874*1.25+5))),
""))),2)</f>
        <v>3402.38</v>
      </c>
      <c r="I1874" s="9">
        <f>($K$2+0.02)*Tabla1[[#This Row],[PRECIO $]]*1.18</f>
        <v>2951.6312319999997</v>
      </c>
      <c r="J1874" s="7">
        <f>+Tabla1[[#This Row],[PRECIO EN SOLES]]-Tabla1[[#This Row],[PC]]</f>
        <v>450.74876800000038</v>
      </c>
      <c r="K1874" s="15"/>
      <c r="L1874" s="15" t="str">
        <f t="shared" si="29"/>
        <v>NORMAL</v>
      </c>
    </row>
    <row r="1875" spans="1:12" x14ac:dyDescent="0.25">
      <c r="A1875" s="3" t="s">
        <v>4423</v>
      </c>
      <c r="B1875" s="3" t="s">
        <v>4424</v>
      </c>
      <c r="C1875" s="1">
        <v>20</v>
      </c>
      <c r="D1875" s="1">
        <v>868.04</v>
      </c>
      <c r="E1875" s="1" t="s">
        <v>223</v>
      </c>
      <c r="F1875" s="1" t="s">
        <v>4425</v>
      </c>
      <c r="G1875" s="3" t="s">
        <v>4426</v>
      </c>
      <c r="H1875" s="11">
        <f>ROUND(
IF(L1875="GANCHO",
   IF(I1875&lt;=50,I1875*1.1+4,IF(I1875&lt;=120,I1875*1.1+7,IF(I1875&lt;=250,I1875*1.1+11,I1875*1.1+19))),
IF(L1875="NORMAL",
   IF(I1875&lt;=30,I1875*1.15+2,IF(I1875&lt;=80,I1875*1.15+4,IF(I1875&lt;=150,I1875*1.15+6,I1875*1.15+8))),
IF(L1875="COMPLEMENTO",
   IF(I1875&lt;=25,I1875*1.25+1.5,IF(I1875&lt;=60,I1875*1.25+3,IF(I1875&lt;=120,I1875*1.25+4,I1875*1.25+5))),
""))),2)</f>
        <v>4154.3100000000004</v>
      </c>
      <c r="I1875" s="9">
        <f>($K$2+0.02)*Tabla1[[#This Row],[PRECIO $]]*1.18</f>
        <v>3605.4909439999997</v>
      </c>
      <c r="J1875" s="7">
        <f>+Tabla1[[#This Row],[PRECIO EN SOLES]]-Tabla1[[#This Row],[PC]]</f>
        <v>548.81905600000073</v>
      </c>
      <c r="K1875" s="15"/>
      <c r="L1875" s="15" t="str">
        <f t="shared" si="29"/>
        <v>NORMAL</v>
      </c>
    </row>
    <row r="1876" spans="1:12" x14ac:dyDescent="0.25">
      <c r="A1876" s="3" t="s">
        <v>4789</v>
      </c>
      <c r="B1876" s="3" t="s">
        <v>4790</v>
      </c>
      <c r="C1876" s="1">
        <v>20</v>
      </c>
      <c r="D1876" s="1">
        <v>506.48</v>
      </c>
      <c r="E1876" s="1" t="s">
        <v>2557</v>
      </c>
      <c r="F1876" s="1" t="s">
        <v>4791</v>
      </c>
      <c r="G1876" s="3" t="s">
        <v>4792</v>
      </c>
      <c r="H1876" s="11">
        <f>ROUND(
IF(L1876="GANCHO",
   IF(I1876&lt;=50,I1876*1.1+4,IF(I1876&lt;=120,I1876*1.1+7,IF(I1876&lt;=250,I1876*1.1+11,I1876*1.1+19))),
IF(L1876="NORMAL",
   IF(I1876&lt;=30,I1876*1.15+2,IF(I1876&lt;=80,I1876*1.15+4,IF(I1876&lt;=150,I1876*1.15+6,I1876*1.15+8))),
IF(L1876="COMPLEMENTO",
   IF(I1876&lt;=25,I1876*1.25+1.5,IF(I1876&lt;=60,I1876*1.25+3,IF(I1876&lt;=120,I1876*1.25+4,I1876*1.25+5))),
""))),2)</f>
        <v>2427.27</v>
      </c>
      <c r="I1876" s="9">
        <f>($K$2+0.02)*Tabla1[[#This Row],[PRECIO $]]*1.18</f>
        <v>2103.7153279999998</v>
      </c>
      <c r="J1876" s="7">
        <f>+Tabla1[[#This Row],[PRECIO EN SOLES]]-Tabla1[[#This Row],[PC]]</f>
        <v>323.55467200000021</v>
      </c>
      <c r="K1876" s="15"/>
      <c r="L1876" s="15" t="str">
        <f t="shared" si="29"/>
        <v>NORMAL</v>
      </c>
    </row>
    <row r="1877" spans="1:12" x14ac:dyDescent="0.25">
      <c r="A1877" s="3" t="s">
        <v>4793</v>
      </c>
      <c r="B1877" s="3" t="s">
        <v>4794</v>
      </c>
      <c r="C1877" s="1">
        <v>20</v>
      </c>
      <c r="D1877" s="1">
        <v>494.01</v>
      </c>
      <c r="E1877" s="1" t="s">
        <v>2557</v>
      </c>
      <c r="F1877" s="1" t="s">
        <v>4795</v>
      </c>
      <c r="G1877" s="3" t="s">
        <v>4796</v>
      </c>
      <c r="H1877" s="11">
        <f>ROUND(
IF(L1877="GANCHO",
   IF(I1877&lt;=50,I1877*1.1+4,IF(I1877&lt;=120,I1877*1.1+7,IF(I1877&lt;=250,I1877*1.1+11,I1877*1.1+19))),
IF(L1877="NORMAL",
   IF(I1877&lt;=30,I1877*1.15+2,IF(I1877&lt;=80,I1877*1.15+4,IF(I1877&lt;=150,I1877*1.15+6,I1877*1.15+8))),
IF(L1877="COMPLEMENTO",
   IF(I1877&lt;=25,I1877*1.25+1.5,IF(I1877&lt;=60,I1877*1.25+3,IF(I1877&lt;=120,I1877*1.25+4,I1877*1.25+5))),
""))),2)</f>
        <v>2367.71</v>
      </c>
      <c r="I1877" s="9">
        <f>($K$2+0.02)*Tabla1[[#This Row],[PRECIO $]]*1.18</f>
        <v>2051.9199359999998</v>
      </c>
      <c r="J1877" s="7">
        <f>+Tabla1[[#This Row],[PRECIO EN SOLES]]-Tabla1[[#This Row],[PC]]</f>
        <v>315.79006400000026</v>
      </c>
      <c r="K1877" s="15"/>
      <c r="L1877" s="15" t="str">
        <f t="shared" si="29"/>
        <v>NORMAL</v>
      </c>
    </row>
    <row r="1878" spans="1:12" x14ac:dyDescent="0.25">
      <c r="A1878" s="3" t="s">
        <v>5177</v>
      </c>
      <c r="B1878" s="3" t="s">
        <v>5178</v>
      </c>
      <c r="C1878" s="1">
        <v>20</v>
      </c>
      <c r="D1878" s="1">
        <v>500.81</v>
      </c>
      <c r="E1878" s="1" t="s">
        <v>2557</v>
      </c>
      <c r="F1878" s="1" t="s">
        <v>5179</v>
      </c>
      <c r="G1878" s="3" t="s">
        <v>5180</v>
      </c>
      <c r="H1878" s="11">
        <f>ROUND(
IF(L1878="GANCHO",
   IF(I1878&lt;=50,I1878*1.1+4,IF(I1878&lt;=120,I1878*1.1+7,IF(I1878&lt;=250,I1878*1.1+11,I1878*1.1+19))),
IF(L1878="NORMAL",
   IF(I1878&lt;=30,I1878*1.15+2,IF(I1878&lt;=80,I1878*1.15+4,IF(I1878&lt;=150,I1878*1.15+6,I1878*1.15+8))),
IF(L1878="COMPLEMENTO",
   IF(I1878&lt;=25,I1878*1.25+1.5,IF(I1878&lt;=60,I1878*1.25+3,IF(I1878&lt;=120,I1878*1.25+4,I1878*1.25+5))),
""))),2)</f>
        <v>2400.19</v>
      </c>
      <c r="I1878" s="9">
        <f>($K$2+0.02)*Tabla1[[#This Row],[PRECIO $]]*1.18</f>
        <v>2080.1644160000001</v>
      </c>
      <c r="J1878" s="7">
        <f>+Tabla1[[#This Row],[PRECIO EN SOLES]]-Tabla1[[#This Row],[PC]]</f>
        <v>320.02558399999998</v>
      </c>
      <c r="K1878" s="15"/>
      <c r="L1878" s="15" t="str">
        <f t="shared" si="29"/>
        <v>NORMAL</v>
      </c>
    </row>
    <row r="1879" spans="1:12" x14ac:dyDescent="0.25">
      <c r="A1879" s="3" t="s">
        <v>2555</v>
      </c>
      <c r="B1879" s="3" t="s">
        <v>2556</v>
      </c>
      <c r="C1879" s="1">
        <v>16</v>
      </c>
      <c r="D1879" s="1">
        <v>651.97</v>
      </c>
      <c r="E1879" s="1" t="s">
        <v>2557</v>
      </c>
      <c r="F1879" s="1" t="s">
        <v>3886</v>
      </c>
      <c r="G1879" s="3" t="s">
        <v>2558</v>
      </c>
      <c r="H1879" s="11">
        <f>ROUND(
IF(L1879="GANCHO",
   IF(I1879&lt;=50,I1879*1.1+4,IF(I1879&lt;=120,I1879*1.1+7,IF(I1879&lt;=250,I1879*1.1+11,I1879*1.1+19))),
IF(L1879="NORMAL",
   IF(I1879&lt;=30,I1879*1.15+2,IF(I1879&lt;=80,I1879*1.15+4,IF(I1879&lt;=150,I1879*1.15+6,I1879*1.15+8))),
IF(L1879="COMPLEMENTO",
   IF(I1879&lt;=25,I1879*1.25+1.5,IF(I1879&lt;=60,I1879*1.25+3,IF(I1879&lt;=120,I1879*1.25+4,I1879*1.25+5))),
""))),2)</f>
        <v>3122.23</v>
      </c>
      <c r="I1879" s="9">
        <f>($K$2+0.02)*Tabla1[[#This Row],[PRECIO $]]*1.18</f>
        <v>2708.0225919999998</v>
      </c>
      <c r="J1879" s="7">
        <f>+Tabla1[[#This Row],[PRECIO EN SOLES]]-Tabla1[[#This Row],[PC]]</f>
        <v>414.20740800000021</v>
      </c>
      <c r="K1879" s="15"/>
      <c r="L1879" s="15" t="str">
        <f t="shared" si="29"/>
        <v>NORMAL</v>
      </c>
    </row>
    <row r="1880" spans="1:12" x14ac:dyDescent="0.25">
      <c r="A1880" s="3" t="s">
        <v>5181</v>
      </c>
      <c r="B1880" s="3" t="s">
        <v>5182</v>
      </c>
      <c r="C1880" s="1">
        <v>12</v>
      </c>
      <c r="D1880" s="1">
        <v>788.02</v>
      </c>
      <c r="E1880" s="1" t="s">
        <v>2557</v>
      </c>
      <c r="F1880" s="1" t="s">
        <v>5183</v>
      </c>
      <c r="G1880" s="3" t="s">
        <v>5184</v>
      </c>
      <c r="H1880" s="11">
        <f>ROUND(
IF(L1880="GANCHO",
   IF(I1880&lt;=50,I1880*1.1+4,IF(I1880&lt;=120,I1880*1.1+7,IF(I1880&lt;=250,I1880*1.1+11,I1880*1.1+19))),
IF(L1880="NORMAL",
   IF(I1880&lt;=30,I1880*1.15+2,IF(I1880&lt;=80,I1880*1.15+4,IF(I1880&lt;=150,I1880*1.15+6,I1880*1.15+8))),
IF(L1880="COMPLEMENTO",
   IF(I1880&lt;=25,I1880*1.25+1.5,IF(I1880&lt;=60,I1880*1.25+3,IF(I1880&lt;=120,I1880*1.25+4,I1880*1.25+5))),
""))),2)</f>
        <v>3772.09</v>
      </c>
      <c r="I1880" s="9">
        <f>($K$2+0.02)*Tabla1[[#This Row],[PRECIO $]]*1.18</f>
        <v>3273.1198719999998</v>
      </c>
      <c r="J1880" s="7">
        <f>+Tabla1[[#This Row],[PRECIO EN SOLES]]-Tabla1[[#This Row],[PC]]</f>
        <v>498.97012800000039</v>
      </c>
      <c r="K1880" s="15"/>
      <c r="L1880" s="15" t="str">
        <f t="shared" si="29"/>
        <v>NORMAL</v>
      </c>
    </row>
    <row r="1881" spans="1:12" x14ac:dyDescent="0.25">
      <c r="A1881" s="3" t="s">
        <v>4797</v>
      </c>
      <c r="B1881" s="3" t="s">
        <v>4798</v>
      </c>
      <c r="C1881" s="1">
        <v>5</v>
      </c>
      <c r="D1881" s="1">
        <v>870.97</v>
      </c>
      <c r="E1881" s="1" t="s">
        <v>2557</v>
      </c>
      <c r="F1881" s="1" t="s">
        <v>4799</v>
      </c>
      <c r="G1881" s="3" t="s">
        <v>4800</v>
      </c>
      <c r="H1881" s="11">
        <f>ROUND(
IF(L1881="GANCHO",
   IF(I1881&lt;=50,I1881*1.1+4,IF(I1881&lt;=120,I1881*1.1+7,IF(I1881&lt;=250,I1881*1.1+11,I1881*1.1+19))),
IF(L1881="NORMAL",
   IF(I1881&lt;=30,I1881*1.15+2,IF(I1881&lt;=80,I1881*1.15+4,IF(I1881&lt;=150,I1881*1.15+6,I1881*1.15+8))),
IF(L1881="COMPLEMENTO",
   IF(I1881&lt;=25,I1881*1.25+1.5,IF(I1881&lt;=60,I1881*1.25+3,IF(I1881&lt;=120,I1881*1.25+4,I1881*1.25+5))),
""))),2)</f>
        <v>4168.3100000000004</v>
      </c>
      <c r="I1881" s="9">
        <f>($K$2+0.02)*Tabla1[[#This Row],[PRECIO $]]*1.18</f>
        <v>3617.6609920000001</v>
      </c>
      <c r="J1881" s="7">
        <f>+Tabla1[[#This Row],[PRECIO EN SOLES]]-Tabla1[[#This Row],[PC]]</f>
        <v>550.64900800000032</v>
      </c>
      <c r="K1881" s="15"/>
      <c r="L1881" s="15" t="str">
        <f t="shared" si="29"/>
        <v>NORMAL</v>
      </c>
    </row>
    <row r="1882" spans="1:12" x14ac:dyDescent="0.25">
      <c r="A1882" s="3" t="s">
        <v>4801</v>
      </c>
      <c r="B1882" s="3" t="s">
        <v>4802</v>
      </c>
      <c r="C1882" s="1">
        <v>6</v>
      </c>
      <c r="D1882" s="1">
        <v>835.1</v>
      </c>
      <c r="E1882" s="1" t="s">
        <v>2557</v>
      </c>
      <c r="F1882" s="1" t="s">
        <v>4803</v>
      </c>
      <c r="G1882" s="3" t="s">
        <v>4804</v>
      </c>
      <c r="H1882" s="11">
        <f>ROUND(
IF(L1882="GANCHO",
   IF(I1882&lt;=50,I1882*1.1+4,IF(I1882&lt;=120,I1882*1.1+7,IF(I1882&lt;=250,I1882*1.1+11,I1882*1.1+19))),
IF(L1882="NORMAL",
   IF(I1882&lt;=30,I1882*1.15+2,IF(I1882&lt;=80,I1882*1.15+4,IF(I1882&lt;=150,I1882*1.15+6,I1882*1.15+8))),
IF(L1882="COMPLEMENTO",
   IF(I1882&lt;=25,I1882*1.25+1.5,IF(I1882&lt;=60,I1882*1.25+3,IF(I1882&lt;=120,I1882*1.25+4,I1882*1.25+5))),
""))),2)</f>
        <v>3996.97</v>
      </c>
      <c r="I1882" s="9">
        <f>($K$2+0.02)*Tabla1[[#This Row],[PRECIO $]]*1.18</f>
        <v>3468.6713599999998</v>
      </c>
      <c r="J1882" s="7">
        <f>+Tabla1[[#This Row],[PRECIO EN SOLES]]-Tabla1[[#This Row],[PC]]</f>
        <v>528.29863999999998</v>
      </c>
      <c r="K1882" s="15"/>
      <c r="L1882" s="15" t="str">
        <f t="shared" si="29"/>
        <v>NORMAL</v>
      </c>
    </row>
    <row r="1883" spans="1:12" x14ac:dyDescent="0.25">
      <c r="A1883" s="3" t="s">
        <v>4805</v>
      </c>
      <c r="B1883" s="3" t="s">
        <v>4806</v>
      </c>
      <c r="C1883" s="1">
        <v>6</v>
      </c>
      <c r="D1883" s="1">
        <v>793.63</v>
      </c>
      <c r="E1883" s="1" t="s">
        <v>2557</v>
      </c>
      <c r="F1883" s="1" t="s">
        <v>4807</v>
      </c>
      <c r="G1883" s="3" t="s">
        <v>4808</v>
      </c>
      <c r="H1883" s="11">
        <f>ROUND(
IF(L1883="GANCHO",
   IF(I1883&lt;=50,I1883*1.1+4,IF(I1883&lt;=120,I1883*1.1+7,IF(I1883&lt;=250,I1883*1.1+11,I1883*1.1+19))),
IF(L1883="NORMAL",
   IF(I1883&lt;=30,I1883*1.15+2,IF(I1883&lt;=80,I1883*1.15+4,IF(I1883&lt;=150,I1883*1.15+6,I1883*1.15+8))),
IF(L1883="COMPLEMENTO",
   IF(I1883&lt;=25,I1883*1.25+1.5,IF(I1883&lt;=60,I1883*1.25+3,IF(I1883&lt;=120,I1883*1.25+4,I1883*1.25+5))),
""))),2)</f>
        <v>3798.88</v>
      </c>
      <c r="I1883" s="9">
        <f>($K$2+0.02)*Tabla1[[#This Row],[PRECIO $]]*1.18</f>
        <v>3296.4215679999998</v>
      </c>
      <c r="J1883" s="7">
        <f>+Tabla1[[#This Row],[PRECIO EN SOLES]]-Tabla1[[#This Row],[PC]]</f>
        <v>502.45843200000036</v>
      </c>
      <c r="K1883" s="15"/>
      <c r="L1883" s="15" t="str">
        <f t="shared" si="29"/>
        <v>NORMAL</v>
      </c>
    </row>
    <row r="1884" spans="1:12" x14ac:dyDescent="0.25">
      <c r="A1884" s="3" t="s">
        <v>4809</v>
      </c>
      <c r="B1884" s="3" t="s">
        <v>4810</v>
      </c>
      <c r="C1884" s="1">
        <v>6</v>
      </c>
      <c r="D1884" s="1">
        <v>840.71</v>
      </c>
      <c r="E1884" s="1" t="s">
        <v>2557</v>
      </c>
      <c r="F1884" s="1" t="s">
        <v>4811</v>
      </c>
      <c r="G1884" s="3" t="s">
        <v>4812</v>
      </c>
      <c r="H1884" s="11">
        <f>ROUND(
IF(L1884="GANCHO",
   IF(I1884&lt;=50,I1884*1.1+4,IF(I1884&lt;=120,I1884*1.1+7,IF(I1884&lt;=250,I1884*1.1+11,I1884*1.1+19))),
IF(L1884="NORMAL",
   IF(I1884&lt;=30,I1884*1.15+2,IF(I1884&lt;=80,I1884*1.15+4,IF(I1884&lt;=150,I1884*1.15+6,I1884*1.15+8))),
IF(L1884="COMPLEMENTO",
   IF(I1884&lt;=25,I1884*1.25+1.5,IF(I1884&lt;=60,I1884*1.25+3,IF(I1884&lt;=120,I1884*1.25+4,I1884*1.25+5))),
""))),2)</f>
        <v>4023.77</v>
      </c>
      <c r="I1884" s="9">
        <f>($K$2+0.02)*Tabla1[[#This Row],[PRECIO $]]*1.18</f>
        <v>3491.9730559999998</v>
      </c>
      <c r="J1884" s="7">
        <f>+Tabla1[[#This Row],[PRECIO EN SOLES]]-Tabla1[[#This Row],[PC]]</f>
        <v>531.79694400000017</v>
      </c>
      <c r="K1884" s="15"/>
      <c r="L1884" s="15" t="str">
        <f t="shared" si="29"/>
        <v>NORMAL</v>
      </c>
    </row>
    <row r="1885" spans="1:12" x14ac:dyDescent="0.25">
      <c r="A1885" s="3" t="s">
        <v>5682</v>
      </c>
      <c r="B1885" s="3" t="s">
        <v>5683</v>
      </c>
      <c r="C1885" s="1">
        <v>20</v>
      </c>
      <c r="D1885" s="1">
        <v>344</v>
      </c>
      <c r="E1885" s="1" t="s">
        <v>847</v>
      </c>
      <c r="F1885" s="1" t="s">
        <v>5684</v>
      </c>
      <c r="G1885" s="3" t="s">
        <v>5685</v>
      </c>
      <c r="H1885" s="11">
        <f>ROUND(
IF(L1885="GANCHO",
   IF(I1885&lt;=50,I1885*1.1+4,IF(I1885&lt;=120,I1885*1.1+7,IF(I1885&lt;=250,I1885*1.1+11,I1885*1.1+19))),
IF(L1885="NORMAL",
   IF(I1885&lt;=30,I1885*1.15+2,IF(I1885&lt;=80,I1885*1.15+4,IF(I1885&lt;=150,I1885*1.15+6,I1885*1.15+8))),
IF(L1885="COMPLEMENTO",
   IF(I1885&lt;=25,I1885*1.25+1.5,IF(I1885&lt;=60,I1885*1.25+3,IF(I1885&lt;=120,I1885*1.25+4,I1885*1.25+5))),
""))),2)</f>
        <v>1651.16</v>
      </c>
      <c r="I1885" s="9">
        <f>($K$2+0.02)*Tabla1[[#This Row],[PRECIO $]]*1.18</f>
        <v>1428.8384000000001</v>
      </c>
      <c r="J1885" s="7">
        <f>+Tabla1[[#This Row],[PRECIO EN SOLES]]-Tabla1[[#This Row],[PC]]</f>
        <v>222.32159999999999</v>
      </c>
      <c r="K1885" s="15"/>
      <c r="L1885" s="15" t="str">
        <f t="shared" si="29"/>
        <v>NORMAL</v>
      </c>
    </row>
    <row r="1886" spans="1:12" x14ac:dyDescent="0.25">
      <c r="A1886" s="3" t="s">
        <v>5185</v>
      </c>
      <c r="B1886" s="3" t="s">
        <v>5186</v>
      </c>
      <c r="C1886" s="1">
        <v>20</v>
      </c>
      <c r="D1886" s="1">
        <v>333</v>
      </c>
      <c r="E1886" s="1" t="s">
        <v>223</v>
      </c>
      <c r="F1886" s="1" t="s">
        <v>5187</v>
      </c>
      <c r="G1886" s="3" t="s">
        <v>5188</v>
      </c>
      <c r="H1886" s="11">
        <f>ROUND(
IF(L1886="GANCHO",
   IF(I1886&lt;=50,I1886*1.1+4,IF(I1886&lt;=120,I1886*1.1+7,IF(I1886&lt;=250,I1886*1.1+11,I1886*1.1+19))),
IF(L1886="NORMAL",
   IF(I1886&lt;=30,I1886*1.15+2,IF(I1886&lt;=80,I1886*1.15+4,IF(I1886&lt;=150,I1886*1.15+6,I1886*1.15+8))),
IF(L1886="COMPLEMENTO",
   IF(I1886&lt;=25,I1886*1.25+1.5,IF(I1886&lt;=60,I1886*1.25+3,IF(I1886&lt;=120,I1886*1.25+4,I1886*1.25+5))),
""))),2)</f>
        <v>1598.62</v>
      </c>
      <c r="I1886" s="9">
        <f>($K$2+0.02)*Tabla1[[#This Row],[PRECIO $]]*1.18</f>
        <v>1383.1487999999999</v>
      </c>
      <c r="J1886" s="7">
        <f>+Tabla1[[#This Row],[PRECIO EN SOLES]]-Tabla1[[#This Row],[PC]]</f>
        <v>215.47119999999995</v>
      </c>
      <c r="K1886" s="15"/>
      <c r="L1886" s="15" t="str">
        <f t="shared" si="29"/>
        <v>NORMAL</v>
      </c>
    </row>
    <row r="1887" spans="1:12" x14ac:dyDescent="0.25">
      <c r="A1887" s="3" t="s">
        <v>4745</v>
      </c>
      <c r="B1887" s="3" t="s">
        <v>4746</v>
      </c>
      <c r="C1887" s="1">
        <v>20</v>
      </c>
      <c r="D1887" s="1">
        <v>386.98</v>
      </c>
      <c r="E1887" s="1" t="s">
        <v>223</v>
      </c>
      <c r="F1887" s="1" t="s">
        <v>4747</v>
      </c>
      <c r="G1887" s="3" t="s">
        <v>4748</v>
      </c>
      <c r="H1887" s="11">
        <f>ROUND(
IF(L1887="GANCHO",
   IF(I1887&lt;=50,I1887*1.1+4,IF(I1887&lt;=120,I1887*1.1+7,IF(I1887&lt;=250,I1887*1.1+11,I1887*1.1+19))),
IF(L1887="NORMAL",
   IF(I1887&lt;=30,I1887*1.15+2,IF(I1887&lt;=80,I1887*1.15+4,IF(I1887&lt;=150,I1887*1.15+6,I1887*1.15+8))),
IF(L1887="COMPLEMENTO",
   IF(I1887&lt;=25,I1887*1.25+1.5,IF(I1887&lt;=60,I1887*1.25+3,IF(I1887&lt;=120,I1887*1.25+4,I1887*1.25+5))),
""))),2)</f>
        <v>1856.46</v>
      </c>
      <c r="I1887" s="9">
        <f>($K$2+0.02)*Tabla1[[#This Row],[PRECIO $]]*1.18</f>
        <v>1607.360128</v>
      </c>
      <c r="J1887" s="7">
        <f>+Tabla1[[#This Row],[PRECIO EN SOLES]]-Tabla1[[#This Row],[PC]]</f>
        <v>249.099872</v>
      </c>
      <c r="K1887" s="15"/>
      <c r="L1887" s="15" t="str">
        <f t="shared" si="29"/>
        <v>NORMAL</v>
      </c>
    </row>
    <row r="1888" spans="1:12" x14ac:dyDescent="0.25">
      <c r="A1888" s="3" t="s">
        <v>4813</v>
      </c>
      <c r="B1888" s="3" t="s">
        <v>4814</v>
      </c>
      <c r="C1888" s="1">
        <v>20</v>
      </c>
      <c r="D1888" s="1">
        <v>296</v>
      </c>
      <c r="E1888" s="1" t="s">
        <v>2557</v>
      </c>
      <c r="F1888" s="1" t="s">
        <v>4815</v>
      </c>
      <c r="G1888" s="3" t="s">
        <v>4816</v>
      </c>
      <c r="H1888" s="11">
        <f>ROUND(
IF(L1888="GANCHO",
   IF(I1888&lt;=50,I1888*1.1+4,IF(I1888&lt;=120,I1888*1.1+7,IF(I1888&lt;=250,I1888*1.1+11,I1888*1.1+19))),
IF(L1888="NORMAL",
   IF(I1888&lt;=30,I1888*1.15+2,IF(I1888&lt;=80,I1888*1.15+4,IF(I1888&lt;=150,I1888*1.15+6,I1888*1.15+8))),
IF(L1888="COMPLEMENTO",
   IF(I1888&lt;=25,I1888*1.25+1.5,IF(I1888&lt;=60,I1888*1.25+3,IF(I1888&lt;=120,I1888*1.25+4,I1888*1.25+5))),
""))),2)</f>
        <v>1421.89</v>
      </c>
      <c r="I1888" s="9">
        <f>($K$2+0.02)*Tabla1[[#This Row],[PRECIO $]]*1.18</f>
        <v>1229.4656</v>
      </c>
      <c r="J1888" s="7">
        <f>+Tabla1[[#This Row],[PRECIO EN SOLES]]-Tabla1[[#This Row],[PC]]</f>
        <v>192.42440000000011</v>
      </c>
      <c r="K1888" s="15"/>
      <c r="L1888" s="15" t="str">
        <f t="shared" si="29"/>
        <v>NORMAL</v>
      </c>
    </row>
    <row r="1889" spans="1:12" x14ac:dyDescent="0.25">
      <c r="A1889" s="3" t="s">
        <v>5189</v>
      </c>
      <c r="B1889" s="3" t="s">
        <v>5190</v>
      </c>
      <c r="C1889" s="1">
        <v>6</v>
      </c>
      <c r="D1889" s="1">
        <v>1200</v>
      </c>
      <c r="E1889" s="1" t="s">
        <v>58</v>
      </c>
      <c r="F1889" s="1" t="s">
        <v>5191</v>
      </c>
      <c r="G1889" s="3" t="s">
        <v>5192</v>
      </c>
      <c r="H1889" s="11">
        <f>ROUND(
IF(L1889="GANCHO",
   IF(I1889&lt;=50,I1889*1.1+4,IF(I1889&lt;=120,I1889*1.1+7,IF(I1889&lt;=250,I1889*1.1+11,I1889*1.1+19))),
IF(L1889="NORMAL",
   IF(I1889&lt;=30,I1889*1.15+2,IF(I1889&lt;=80,I1889*1.15+4,IF(I1889&lt;=150,I1889*1.15+6,I1889*1.15+8))),
IF(L1889="COMPLEMENTO",
   IF(I1889&lt;=25,I1889*1.25+1.5,IF(I1889&lt;=60,I1889*1.25+3,IF(I1889&lt;=120,I1889*1.25+4,I1889*1.25+5))),
""))),2)</f>
        <v>5739.97</v>
      </c>
      <c r="I1889" s="9">
        <f>($K$2+0.02)*Tabla1[[#This Row],[PRECIO $]]*1.18</f>
        <v>4984.32</v>
      </c>
      <c r="J1889" s="7">
        <f>+Tabla1[[#This Row],[PRECIO EN SOLES]]-Tabla1[[#This Row],[PC]]</f>
        <v>755.65000000000055</v>
      </c>
      <c r="K1889" s="15"/>
      <c r="L1889" s="15" t="str">
        <f t="shared" si="29"/>
        <v>NORMAL</v>
      </c>
    </row>
    <row r="1890" spans="1:12" x14ac:dyDescent="0.25">
      <c r="A1890" s="3" t="s">
        <v>2559</v>
      </c>
      <c r="B1890" s="3" t="s">
        <v>2560</v>
      </c>
      <c r="C1890" s="1">
        <v>20</v>
      </c>
      <c r="D1890" s="1">
        <v>6.1</v>
      </c>
      <c r="E1890" s="1" t="s">
        <v>58</v>
      </c>
      <c r="F1890" s="1" t="s">
        <v>3887</v>
      </c>
      <c r="G1890" s="3" t="s">
        <v>2561</v>
      </c>
      <c r="H1890" s="11">
        <f>ROUND(
IF(L1890="GANCHO",
   IF(I1890&lt;=50,I1890*1.1+4,IF(I1890&lt;=120,I1890*1.1+7,IF(I1890&lt;=250,I1890*1.1+11,I1890*1.1+19))),
IF(L1890="NORMAL",
   IF(I1890&lt;=30,I1890*1.15+2,IF(I1890&lt;=80,I1890*1.15+4,IF(I1890&lt;=150,I1890*1.15+6,I1890*1.15+8))),
IF(L1890="COMPLEMENTO",
   IF(I1890&lt;=25,I1890*1.25+1.5,IF(I1890&lt;=60,I1890*1.25+3,IF(I1890&lt;=120,I1890*1.25+4,I1890*1.25+5))),
""))),2)</f>
        <v>34.67</v>
      </c>
      <c r="I1890" s="9">
        <f>($K$2+0.02)*Tabla1[[#This Row],[PRECIO $]]*1.18</f>
        <v>25.336959999999998</v>
      </c>
      <c r="J1890" s="7">
        <f>+Tabla1[[#This Row],[PRECIO EN SOLES]]-Tabla1[[#This Row],[PC]]</f>
        <v>9.333040000000004</v>
      </c>
      <c r="K1890" s="15"/>
      <c r="L1890" s="15" t="str">
        <f t="shared" si="29"/>
        <v>COMPLEMENTO</v>
      </c>
    </row>
    <row r="1891" spans="1:12" x14ac:dyDescent="0.25">
      <c r="A1891" s="3" t="s">
        <v>2562</v>
      </c>
      <c r="B1891" s="3" t="s">
        <v>2563</v>
      </c>
      <c r="C1891" s="1">
        <v>8</v>
      </c>
      <c r="D1891" s="1">
        <v>4.8</v>
      </c>
      <c r="E1891" s="1" t="s">
        <v>58</v>
      </c>
      <c r="F1891" s="1" t="s">
        <v>3888</v>
      </c>
      <c r="G1891" s="3" t="s">
        <v>2564</v>
      </c>
      <c r="H1891" s="11">
        <f>ROUND(
IF(L1891="GANCHO",
   IF(I1891&lt;=50,I1891*1.1+4,IF(I1891&lt;=120,I1891*1.1+7,IF(I1891&lt;=250,I1891*1.1+11,I1891*1.1+19))),
IF(L1891="NORMAL",
   IF(I1891&lt;=30,I1891*1.15+2,IF(I1891&lt;=80,I1891*1.15+4,IF(I1891&lt;=150,I1891*1.15+6,I1891*1.15+8))),
IF(L1891="COMPLEMENTO",
   IF(I1891&lt;=25,I1891*1.25+1.5,IF(I1891&lt;=60,I1891*1.25+3,IF(I1891&lt;=120,I1891*1.25+4,I1891*1.25+5))),
""))),2)</f>
        <v>24.93</v>
      </c>
      <c r="I1891" s="9">
        <f>($K$2+0.02)*Tabla1[[#This Row],[PRECIO $]]*1.18</f>
        <v>19.937280000000001</v>
      </c>
      <c r="J1891" s="7">
        <f>+Tabla1[[#This Row],[PRECIO EN SOLES]]-Tabla1[[#This Row],[PC]]</f>
        <v>4.9927199999999985</v>
      </c>
      <c r="K1891" s="15"/>
      <c r="L1891" s="15" t="str">
        <f t="shared" si="29"/>
        <v>NORMAL</v>
      </c>
    </row>
    <row r="1892" spans="1:12" x14ac:dyDescent="0.25">
      <c r="A1892" s="3" t="s">
        <v>2565</v>
      </c>
      <c r="B1892" s="3" t="s">
        <v>2566</v>
      </c>
      <c r="C1892" s="1">
        <v>2</v>
      </c>
      <c r="D1892" s="1">
        <v>296</v>
      </c>
      <c r="E1892" s="1" t="s">
        <v>58</v>
      </c>
      <c r="F1892" s="1" t="s">
        <v>3889</v>
      </c>
      <c r="G1892" s="3" t="s">
        <v>2567</v>
      </c>
      <c r="H1892" s="11">
        <f>ROUND(
IF(L1892="GANCHO",
   IF(I1892&lt;=50,I1892*1.1+4,IF(I1892&lt;=120,I1892*1.1+7,IF(I1892&lt;=250,I1892*1.1+11,I1892*1.1+19))),
IF(L1892="NORMAL",
   IF(I1892&lt;=30,I1892*1.15+2,IF(I1892&lt;=80,I1892*1.15+4,IF(I1892&lt;=150,I1892*1.15+6,I1892*1.15+8))),
IF(L1892="COMPLEMENTO",
   IF(I1892&lt;=25,I1892*1.25+1.5,IF(I1892&lt;=60,I1892*1.25+3,IF(I1892&lt;=120,I1892*1.25+4,I1892*1.25+5))),
""))),2)</f>
        <v>1421.89</v>
      </c>
      <c r="I1892" s="9">
        <f>($K$2+0.02)*Tabla1[[#This Row],[PRECIO $]]*1.18</f>
        <v>1229.4656</v>
      </c>
      <c r="J1892" s="7">
        <f>+Tabla1[[#This Row],[PRECIO EN SOLES]]-Tabla1[[#This Row],[PC]]</f>
        <v>192.42440000000011</v>
      </c>
      <c r="K1892" s="15"/>
      <c r="L1892" s="15" t="str">
        <f t="shared" si="29"/>
        <v>NORMAL</v>
      </c>
    </row>
    <row r="1893" spans="1:12" x14ac:dyDescent="0.25">
      <c r="A1893" s="3" t="s">
        <v>5193</v>
      </c>
      <c r="B1893" s="3" t="s">
        <v>5194</v>
      </c>
      <c r="C1893" s="1">
        <v>0</v>
      </c>
      <c r="D1893" s="1">
        <v>374</v>
      </c>
      <c r="E1893" s="1" t="s">
        <v>58</v>
      </c>
      <c r="F1893" s="1" t="s">
        <v>5195</v>
      </c>
      <c r="G1893" s="3" t="s">
        <v>5196</v>
      </c>
      <c r="H1893" s="11">
        <f>ROUND(
IF(L1893="GANCHO",
   IF(I1893&lt;=50,I1893*1.1+4,IF(I1893&lt;=120,I1893*1.1+7,IF(I1893&lt;=250,I1893*1.1+11,I1893*1.1+19))),
IF(L1893="NORMAL",
   IF(I1893&lt;=30,I1893*1.15+2,IF(I1893&lt;=80,I1893*1.15+4,IF(I1893&lt;=150,I1893*1.15+6,I1893*1.15+8))),
IF(L1893="COMPLEMENTO",
   IF(I1893&lt;=25,I1893*1.25+1.5,IF(I1893&lt;=60,I1893*1.25+3,IF(I1893&lt;=120,I1893*1.25+4,I1893*1.25+5))),
""))),2)</f>
        <v>1946.81</v>
      </c>
      <c r="I1893" s="9">
        <f>($K$2+0.02)*Tabla1[[#This Row],[PRECIO $]]*1.18</f>
        <v>1553.4464</v>
      </c>
      <c r="J1893" s="7">
        <f>+Tabla1[[#This Row],[PRECIO EN SOLES]]-Tabla1[[#This Row],[PC]]</f>
        <v>393.36359999999991</v>
      </c>
      <c r="K1893" s="15"/>
      <c r="L1893" s="15" t="str">
        <f t="shared" si="29"/>
        <v>COMPLEMENTO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>ROUND(
IF(L1894="GANCHO",
   IF(I1894&lt;=50,I1894*1.1+4,IF(I1894&lt;=120,I1894*1.1+7,IF(I1894&lt;=250,I1894*1.1+11,I1894*1.1+19))),
IF(L1894="NORMAL",
   IF(I1894&lt;=30,I1894*1.15+2,IF(I1894&lt;=80,I1894*1.15+4,IF(I1894&lt;=150,I1894*1.15+6,I1894*1.15+8))),
IF(L1894="COMPLEMENTO",
   IF(I1894&lt;=25,I1894*1.25+1.5,IF(I1894&lt;=60,I1894*1.25+3,IF(I1894&lt;=120,I1894*1.25+4,I1894*1.25+5))),
""))),2)</f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2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>ROUND(
IF(L1895="GANCHO",
   IF(I1895&lt;=50,I1895*1.1+4,IF(I1895&lt;=120,I1895*1.1+7,IF(I1895&lt;=250,I1895*1.1+11,I1895*1.1+19))),
IF(L1895="NORMAL",
   IF(I1895&lt;=30,I1895*1.15+2,IF(I1895&lt;=80,I1895*1.15+4,IF(I1895&lt;=150,I1895*1.15+6,I1895*1.15+8))),
IF(L1895="COMPLEMENTO",
   IF(I1895&lt;=25,I1895*1.25+1.5,IF(I1895&lt;=60,I1895*1.25+3,IF(I1895&lt;=120,I1895*1.25+4,I1895*1.25+5))),
""))),2)</f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2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>ROUND(
IF(L1896="GANCHO",
   IF(I1896&lt;=50,I1896*1.1+4,IF(I1896&lt;=120,I1896*1.1+7,IF(I1896&lt;=250,I1896*1.1+11,I1896*1.1+19))),
IF(L1896="NORMAL",
   IF(I1896&lt;=30,I1896*1.15+2,IF(I1896&lt;=80,I1896*1.15+4,IF(I1896&lt;=150,I1896*1.15+6,I1896*1.15+8))),
IF(L1896="COMPLEMENTO",
   IF(I1896&lt;=25,I1896*1.25+1.5,IF(I1896&lt;=60,I1896*1.25+3,IF(I1896&lt;=120,I1896*1.25+4,I1896*1.25+5))),
""))),2)</f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2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>ROUND(
IF(L1897="GANCHO",
   IF(I1897&lt;=50,I1897*1.1+4,IF(I1897&lt;=120,I1897*1.1+7,IF(I1897&lt;=250,I1897*1.1+11,I1897*1.1+19))),
IF(L1897="NORMAL",
   IF(I1897&lt;=30,I1897*1.15+2,IF(I1897&lt;=80,I1897*1.15+4,IF(I1897&lt;=150,I1897*1.15+6,I1897*1.15+8))),
IF(L1897="COMPLEMENTO",
   IF(I1897&lt;=25,I1897*1.25+1.5,IF(I1897&lt;=60,I1897*1.25+3,IF(I1897&lt;=120,I1897*1.25+4,I1897*1.25+5))),
""))),2)</f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2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>ROUND(
IF(L1898="GANCHO",
   IF(I1898&lt;=50,I1898*1.1+4,IF(I1898&lt;=120,I1898*1.1+7,IF(I1898&lt;=250,I1898*1.1+11,I1898*1.1+19))),
IF(L1898="NORMAL",
   IF(I1898&lt;=30,I1898*1.15+2,IF(I1898&lt;=80,I1898*1.15+4,IF(I1898&lt;=150,I1898*1.15+6,I1898*1.15+8))),
IF(L1898="COMPLEMENTO",
   IF(I1898&lt;=25,I1898*1.25+1.5,IF(I1898&lt;=60,I1898*1.25+3,IF(I1898&lt;=120,I1898*1.25+4,I1898*1.25+5))),
""))),2)</f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2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>ROUND(
IF(L1899="GANCHO",
   IF(I1899&lt;=50,I1899*1.1+4,IF(I1899&lt;=120,I1899*1.1+7,IF(I1899&lt;=250,I1899*1.1+11,I1899*1.1+19))),
IF(L1899="NORMAL",
   IF(I1899&lt;=30,I1899*1.15+2,IF(I1899&lt;=80,I1899*1.15+4,IF(I1899&lt;=150,I1899*1.15+6,I1899*1.15+8))),
IF(L1899="COMPLEMENTO",
   IF(I1899&lt;=25,I1899*1.25+1.5,IF(I1899&lt;=60,I1899*1.25+3,IF(I1899&lt;=120,I1899*1.25+4,I1899*1.25+5))),
""))),2)</f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2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>ROUND(
IF(L1900="GANCHO",
   IF(I1900&lt;=50,I1900*1.1+4,IF(I1900&lt;=120,I1900*1.1+7,IF(I1900&lt;=250,I1900*1.1+11,I1900*1.1+19))),
IF(L1900="NORMAL",
   IF(I1900&lt;=30,I1900*1.15+2,IF(I1900&lt;=80,I1900*1.15+4,IF(I1900&lt;=150,I1900*1.15+6,I1900*1.15+8))),
IF(L1900="COMPLEMENTO",
   IF(I1900&lt;=25,I1900*1.25+1.5,IF(I1900&lt;=60,I1900*1.25+3,IF(I1900&lt;=120,I1900*1.25+4,I1900*1.25+5))),
""))),2)</f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2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>ROUND(
IF(L1901="GANCHO",
   IF(I1901&lt;=50,I1901*1.1+4,IF(I1901&lt;=120,I1901*1.1+7,IF(I1901&lt;=250,I1901*1.1+11,I1901*1.1+19))),
IF(L1901="NORMAL",
   IF(I1901&lt;=30,I1901*1.15+2,IF(I1901&lt;=80,I1901*1.15+4,IF(I1901&lt;=150,I1901*1.15+6,I1901*1.15+8))),
IF(L1901="COMPLEMENTO",
   IF(I1901&lt;=25,I1901*1.25+1.5,IF(I1901&lt;=60,I1901*1.25+3,IF(I1901&lt;=120,I1901*1.25+4,I1901*1.25+5))),
""))),2)</f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2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>ROUND(
IF(L1902="GANCHO",
   IF(I1902&lt;=50,I1902*1.1+4,IF(I1902&lt;=120,I1902*1.1+7,IF(I1902&lt;=250,I1902*1.1+11,I1902*1.1+19))),
IF(L1902="NORMAL",
   IF(I1902&lt;=30,I1902*1.15+2,IF(I1902&lt;=80,I1902*1.15+4,IF(I1902&lt;=150,I1902*1.15+6,I1902*1.15+8))),
IF(L1902="COMPLEMENTO",
   IF(I1902&lt;=25,I1902*1.25+1.5,IF(I1902&lt;=60,I1902*1.25+3,IF(I1902&lt;=120,I1902*1.25+4,I1902*1.25+5))),
""))),2)</f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2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>ROUND(
IF(L1903="GANCHO",
   IF(I1903&lt;=50,I1903*1.1+4,IF(I1903&lt;=120,I1903*1.1+7,IF(I1903&lt;=250,I1903*1.1+11,I1903*1.1+19))),
IF(L1903="NORMAL",
   IF(I1903&lt;=30,I1903*1.15+2,IF(I1903&lt;=80,I1903*1.15+4,IF(I1903&lt;=150,I1903*1.15+6,I1903*1.15+8))),
IF(L1903="COMPLEMENTO",
   IF(I1903&lt;=25,I1903*1.25+1.5,IF(I1903&lt;=60,I1903*1.25+3,IF(I1903&lt;=120,I1903*1.25+4,I1903*1.25+5))),
""))),2)</f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2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>ROUND(
IF(L1904="GANCHO",
   IF(I1904&lt;=50,I1904*1.1+4,IF(I1904&lt;=120,I1904*1.1+7,IF(I1904&lt;=250,I1904*1.1+11,I1904*1.1+19))),
IF(L1904="NORMAL",
   IF(I1904&lt;=30,I1904*1.15+2,IF(I1904&lt;=80,I1904*1.15+4,IF(I1904&lt;=150,I1904*1.15+6,I1904*1.15+8))),
IF(L1904="COMPLEMENTO",
   IF(I1904&lt;=25,I1904*1.25+1.5,IF(I1904&lt;=60,I1904*1.25+3,IF(I1904&lt;=120,I1904*1.25+4,I1904*1.25+5))),
""))),2)</f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2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>ROUND(
IF(L1905="GANCHO",
   IF(I1905&lt;=50,I1905*1.1+4,IF(I1905&lt;=120,I1905*1.1+7,IF(I1905&lt;=250,I1905*1.1+11,I1905*1.1+19))),
IF(L1905="NORMAL",
   IF(I1905&lt;=30,I1905*1.15+2,IF(I1905&lt;=80,I1905*1.15+4,IF(I1905&lt;=150,I1905*1.15+6,I1905*1.15+8))),
IF(L1905="COMPLEMENTO",
   IF(I1905&lt;=25,I1905*1.25+1.5,IF(I1905&lt;=60,I1905*1.25+3,IF(I1905&lt;=120,I1905*1.25+4,I1905*1.25+5))),
""))),2)</f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2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>ROUND(
IF(L1906="GANCHO",
   IF(I1906&lt;=50,I1906*1.1+4,IF(I1906&lt;=120,I1906*1.1+7,IF(I1906&lt;=250,I1906*1.1+11,I1906*1.1+19))),
IF(L1906="NORMAL",
   IF(I1906&lt;=30,I1906*1.15+2,IF(I1906&lt;=80,I1906*1.15+4,IF(I1906&lt;=150,I1906*1.15+6,I1906*1.15+8))),
IF(L1906="COMPLEMENTO",
   IF(I1906&lt;=25,I1906*1.25+1.5,IF(I1906&lt;=60,I1906*1.25+3,IF(I1906&lt;=120,I1906*1.25+4,I1906*1.25+5))),
""))),2)</f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2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>ROUND(
IF(L1907="GANCHO",
   IF(I1907&lt;=50,I1907*1.1+4,IF(I1907&lt;=120,I1907*1.1+7,IF(I1907&lt;=250,I1907*1.1+11,I1907*1.1+19))),
IF(L1907="NORMAL",
   IF(I1907&lt;=30,I1907*1.15+2,IF(I1907&lt;=80,I1907*1.15+4,IF(I1907&lt;=150,I1907*1.15+6,I1907*1.15+8))),
IF(L1907="COMPLEMENTO",
   IF(I1907&lt;=25,I1907*1.25+1.5,IF(I1907&lt;=60,I1907*1.25+3,IF(I1907&lt;=120,I1907*1.25+4,I1907*1.25+5))),
""))),2)</f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2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>ROUND(
IF(L1908="GANCHO",
   IF(I1908&lt;=50,I1908*1.1+4,IF(I1908&lt;=120,I1908*1.1+7,IF(I1908&lt;=250,I1908*1.1+11,I1908*1.1+19))),
IF(L1908="NORMAL",
   IF(I1908&lt;=30,I1908*1.15+2,IF(I1908&lt;=80,I1908*1.15+4,IF(I1908&lt;=150,I1908*1.15+6,I1908*1.15+8))),
IF(L1908="COMPLEMENTO",
   IF(I1908&lt;=25,I1908*1.25+1.5,IF(I1908&lt;=60,I1908*1.25+3,IF(I1908&lt;=120,I1908*1.25+4,I1908*1.25+5))),
""))),2)</f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2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>ROUND(
IF(L1909="GANCHO",
   IF(I1909&lt;=50,I1909*1.1+4,IF(I1909&lt;=120,I1909*1.1+7,IF(I1909&lt;=250,I1909*1.1+11,I1909*1.1+19))),
IF(L1909="NORMAL",
   IF(I1909&lt;=30,I1909*1.15+2,IF(I1909&lt;=80,I1909*1.15+4,IF(I1909&lt;=150,I1909*1.15+6,I1909*1.15+8))),
IF(L1909="COMPLEMENTO",
   IF(I1909&lt;=25,I1909*1.25+1.5,IF(I1909&lt;=60,I1909*1.25+3,IF(I1909&lt;=120,I1909*1.25+4,I1909*1.25+5))),
""))),2)</f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2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>ROUND(
IF(L1910="GANCHO",
   IF(I1910&lt;=50,I1910*1.1+4,IF(I1910&lt;=120,I1910*1.1+7,IF(I1910&lt;=250,I1910*1.1+11,I1910*1.1+19))),
IF(L1910="NORMAL",
   IF(I1910&lt;=30,I1910*1.15+2,IF(I1910&lt;=80,I1910*1.15+4,IF(I1910&lt;=150,I1910*1.15+6,I1910*1.15+8))),
IF(L1910="COMPLEMENTO",
   IF(I1910&lt;=25,I1910*1.25+1.5,IF(I1910&lt;=60,I1910*1.25+3,IF(I1910&lt;=120,I1910*1.25+4,I1910*1.25+5))),
""))),2)</f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2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>ROUND(
IF(L1911="GANCHO",
   IF(I1911&lt;=50,I1911*1.1+4,IF(I1911&lt;=120,I1911*1.1+7,IF(I1911&lt;=250,I1911*1.1+11,I1911*1.1+19))),
IF(L1911="NORMAL",
   IF(I1911&lt;=30,I1911*1.15+2,IF(I1911&lt;=80,I1911*1.15+4,IF(I1911&lt;=150,I1911*1.15+6,I1911*1.15+8))),
IF(L1911="COMPLEMENTO",
   IF(I1911&lt;=25,I1911*1.25+1.5,IF(I1911&lt;=60,I1911*1.25+3,IF(I1911&lt;=120,I1911*1.25+4,I1911*1.25+5))),
""))),2)</f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2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>ROUND(
IF(L1912="GANCHO",
   IF(I1912&lt;=50,I1912*1.1+4,IF(I1912&lt;=120,I1912*1.1+7,IF(I1912&lt;=250,I1912*1.1+11,I1912*1.1+19))),
IF(L1912="NORMAL",
   IF(I1912&lt;=30,I1912*1.15+2,IF(I1912&lt;=80,I1912*1.15+4,IF(I1912&lt;=150,I1912*1.15+6,I1912*1.15+8))),
IF(L1912="COMPLEMENTO",
   IF(I1912&lt;=25,I1912*1.25+1.5,IF(I1912&lt;=60,I1912*1.25+3,IF(I1912&lt;=120,I1912*1.25+4,I1912*1.25+5))),
""))),2)</f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2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>ROUND(
IF(L1913="GANCHO",
   IF(I1913&lt;=50,I1913*1.1+4,IF(I1913&lt;=120,I1913*1.1+7,IF(I1913&lt;=250,I1913*1.1+11,I1913*1.1+19))),
IF(L1913="NORMAL",
   IF(I1913&lt;=30,I1913*1.15+2,IF(I1913&lt;=80,I1913*1.15+4,IF(I1913&lt;=150,I1913*1.15+6,I1913*1.15+8))),
IF(L1913="COMPLEMENTO",
   IF(I1913&lt;=25,I1913*1.25+1.5,IF(I1913&lt;=60,I1913*1.25+3,IF(I1913&lt;=120,I1913*1.25+4,I1913*1.25+5))),
""))),2)</f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2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>ROUND(
IF(L1914="GANCHO",
   IF(I1914&lt;=50,I1914*1.1+4,IF(I1914&lt;=120,I1914*1.1+7,IF(I1914&lt;=250,I1914*1.1+11,I1914*1.1+19))),
IF(L1914="NORMAL",
   IF(I1914&lt;=30,I1914*1.15+2,IF(I1914&lt;=80,I1914*1.15+4,IF(I1914&lt;=150,I1914*1.15+6,I1914*1.15+8))),
IF(L1914="COMPLEMENTO",
   IF(I1914&lt;=25,I1914*1.25+1.5,IF(I1914&lt;=60,I1914*1.25+3,IF(I1914&lt;=120,I1914*1.25+4,I1914*1.25+5))),
""))),2)</f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2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>ROUND(
IF(L1915="GANCHO",
   IF(I1915&lt;=50,I1915*1.1+4,IF(I1915&lt;=120,I1915*1.1+7,IF(I1915&lt;=250,I1915*1.1+11,I1915*1.1+19))),
IF(L1915="NORMAL",
   IF(I1915&lt;=30,I1915*1.15+2,IF(I1915&lt;=80,I1915*1.15+4,IF(I1915&lt;=150,I1915*1.15+6,I1915*1.15+8))),
IF(L1915="COMPLEMENTO",
   IF(I1915&lt;=25,I1915*1.25+1.5,IF(I1915&lt;=60,I1915*1.25+3,IF(I1915&lt;=120,I1915*1.25+4,I1915*1.25+5))),
""))),2)</f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2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>ROUND(
IF(L1916="GANCHO",
   IF(I1916&lt;=50,I1916*1.1+4,IF(I1916&lt;=120,I1916*1.1+7,IF(I1916&lt;=250,I1916*1.1+11,I1916*1.1+19))),
IF(L1916="NORMAL",
   IF(I1916&lt;=30,I1916*1.15+2,IF(I1916&lt;=80,I1916*1.15+4,IF(I1916&lt;=150,I1916*1.15+6,I1916*1.15+8))),
IF(L1916="COMPLEMENTO",
   IF(I1916&lt;=25,I1916*1.25+1.5,IF(I1916&lt;=60,I1916*1.25+3,IF(I1916&lt;=120,I1916*1.25+4,I1916*1.25+5))),
""))),2)</f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2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>ROUND(
IF(L1917="GANCHO",
   IF(I1917&lt;=50,I1917*1.1+4,IF(I1917&lt;=120,I1917*1.1+7,IF(I1917&lt;=250,I1917*1.1+11,I1917*1.1+19))),
IF(L1917="NORMAL",
   IF(I1917&lt;=30,I1917*1.15+2,IF(I1917&lt;=80,I1917*1.15+4,IF(I1917&lt;=150,I1917*1.15+6,I1917*1.15+8))),
IF(L1917="COMPLEMENTO",
   IF(I1917&lt;=25,I1917*1.25+1.5,IF(I1917&lt;=60,I1917*1.25+3,IF(I1917&lt;=120,I1917*1.25+4,I1917*1.25+5))),
""))),2)</f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2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>ROUND(
IF(L1918="GANCHO",
   IF(I1918&lt;=50,I1918*1.1+4,IF(I1918&lt;=120,I1918*1.1+7,IF(I1918&lt;=250,I1918*1.1+11,I1918*1.1+19))),
IF(L1918="NORMAL",
   IF(I1918&lt;=30,I1918*1.15+2,IF(I1918&lt;=80,I1918*1.15+4,IF(I1918&lt;=150,I1918*1.15+6,I1918*1.15+8))),
IF(L1918="COMPLEMENTO",
   IF(I1918&lt;=25,I1918*1.25+1.5,IF(I1918&lt;=60,I1918*1.25+3,IF(I1918&lt;=120,I1918*1.25+4,I1918*1.25+5))),
""))),2)</f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2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>ROUND(
IF(L1919="GANCHO",
   IF(I1919&lt;=50,I1919*1.1+4,IF(I1919&lt;=120,I1919*1.1+7,IF(I1919&lt;=250,I1919*1.1+11,I1919*1.1+19))),
IF(L1919="NORMAL",
   IF(I1919&lt;=30,I1919*1.15+2,IF(I1919&lt;=80,I1919*1.15+4,IF(I1919&lt;=150,I1919*1.15+6,I1919*1.15+8))),
IF(L1919="COMPLEMENTO",
   IF(I1919&lt;=25,I1919*1.25+1.5,IF(I1919&lt;=60,I1919*1.25+3,IF(I1919&lt;=120,I1919*1.25+4,I1919*1.25+5))),
""))),2)</f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2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>ROUND(
IF(L1920="GANCHO",
   IF(I1920&lt;=50,I1920*1.1+4,IF(I1920&lt;=120,I1920*1.1+7,IF(I1920&lt;=250,I1920*1.1+11,I1920*1.1+19))),
IF(L1920="NORMAL",
   IF(I1920&lt;=30,I1920*1.15+2,IF(I1920&lt;=80,I1920*1.15+4,IF(I1920&lt;=150,I1920*1.15+6,I1920*1.15+8))),
IF(L1920="COMPLEMENTO",
   IF(I1920&lt;=25,I1920*1.25+1.5,IF(I1920&lt;=60,I1920*1.25+3,IF(I1920&lt;=120,I1920*1.25+4,I1920*1.25+5))),
""))),2)</f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2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>ROUND(
IF(L1921="GANCHO",
   IF(I1921&lt;=50,I1921*1.1+4,IF(I1921&lt;=120,I1921*1.1+7,IF(I1921&lt;=250,I1921*1.1+11,I1921*1.1+19))),
IF(L1921="NORMAL",
   IF(I1921&lt;=30,I1921*1.15+2,IF(I1921&lt;=80,I1921*1.15+4,IF(I1921&lt;=150,I1921*1.15+6,I1921*1.15+8))),
IF(L1921="COMPLEMENTO",
   IF(I1921&lt;=25,I1921*1.25+1.5,IF(I1921&lt;=60,I1921*1.25+3,IF(I1921&lt;=120,I1921*1.25+4,I1921*1.25+5))),
""))),2)</f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2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2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>ROUND(
IF(L1923="GANCHO",
   IF(I1923&lt;=50,I1923*1.1+4,IF(I1923&lt;=120,I1923*1.1+7,IF(I1923&lt;=250,I1923*1.1+11,I1923*1.1+19))),
IF(L1923="NORMAL",
   IF(I1923&lt;=30,I1923*1.15+2,IF(I1923&lt;=80,I1923*1.15+4,IF(I1923&lt;=150,I1923*1.15+6,I1923*1.15+8))),
IF(L1923="COMPLEMENTO",
   IF(I1923&lt;=25,I1923*1.25+1.5,IF(I1923&lt;=60,I1923*1.25+3,IF(I1923&lt;=120,I1923*1.25+4,I1923*1.25+5))),
""))),2)</f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30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>ROUND(
IF(L1924="GANCHO",
   IF(I1924&lt;=50,I1924*1.1+4,IF(I1924&lt;=120,I1924*1.1+7,IF(I1924&lt;=250,I1924*1.1+11,I1924*1.1+19))),
IF(L1924="NORMAL",
   IF(I1924&lt;=30,I1924*1.15+2,IF(I1924&lt;=80,I1924*1.15+4,IF(I1924&lt;=150,I1924*1.15+6,I1924*1.15+8))),
IF(L1924="COMPLEMENTO",
   IF(I1924&lt;=25,I1924*1.25+1.5,IF(I1924&lt;=60,I1924*1.25+3,IF(I1924&lt;=120,I1924*1.25+4,I1924*1.25+5))),
""))),2)</f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3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>ROUND(
IF(L1925="GANCHO",
   IF(I1925&lt;=50,I1925*1.1+4,IF(I1925&lt;=120,I1925*1.1+7,IF(I1925&lt;=250,I1925*1.1+11,I1925*1.1+19))),
IF(L1925="NORMAL",
   IF(I1925&lt;=30,I1925*1.15+2,IF(I1925&lt;=80,I1925*1.15+4,IF(I1925&lt;=150,I1925*1.15+6,I1925*1.15+8))),
IF(L1925="COMPLEMENTO",
   IF(I1925&lt;=25,I1925*1.25+1.5,IF(I1925&lt;=60,I1925*1.25+3,IF(I1925&lt;=120,I1925*1.25+4,I1925*1.25+5))),
""))),2)</f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3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>ROUND(
IF(L1926="GANCHO",
   IF(I1926&lt;=50,I1926*1.1+4,IF(I1926&lt;=120,I1926*1.1+7,IF(I1926&lt;=250,I1926*1.1+11,I1926*1.1+19))),
IF(L1926="NORMAL",
   IF(I1926&lt;=30,I1926*1.15+2,IF(I1926&lt;=80,I1926*1.15+4,IF(I1926&lt;=150,I1926*1.15+6,I1926*1.15+8))),
IF(L1926="COMPLEMENTO",
   IF(I1926&lt;=25,I1926*1.25+1.5,IF(I1926&lt;=60,I1926*1.25+3,IF(I1926&lt;=120,I1926*1.25+4,I1926*1.25+5))),
""))),2)</f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3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>ROUND(
IF(L1927="GANCHO",
   IF(I1927&lt;=50,I1927*1.1+4,IF(I1927&lt;=120,I1927*1.1+7,IF(I1927&lt;=250,I1927*1.1+11,I1927*1.1+19))),
IF(L1927="NORMAL",
   IF(I1927&lt;=30,I1927*1.15+2,IF(I1927&lt;=80,I1927*1.15+4,IF(I1927&lt;=150,I1927*1.15+6,I1927*1.15+8))),
IF(L1927="COMPLEMENTO",
   IF(I1927&lt;=25,I1927*1.25+1.5,IF(I1927&lt;=60,I1927*1.25+3,IF(I1927&lt;=120,I1927*1.25+4,I1927*1.25+5))),
""))),2)</f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3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>ROUND(
IF(L1928="GANCHO",
   IF(I1928&lt;=50,I1928*1.1+4,IF(I1928&lt;=120,I1928*1.1+7,IF(I1928&lt;=250,I1928*1.1+11,I1928*1.1+19))),
IF(L1928="NORMAL",
   IF(I1928&lt;=30,I1928*1.15+2,IF(I1928&lt;=80,I1928*1.15+4,IF(I1928&lt;=150,I1928*1.15+6,I1928*1.15+8))),
IF(L1928="COMPLEMENTO",
   IF(I1928&lt;=25,I1928*1.25+1.5,IF(I1928&lt;=60,I1928*1.25+3,IF(I1928&lt;=120,I1928*1.25+4,I1928*1.25+5))),
""))),2)</f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3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>ROUND(
IF(L1929="GANCHO",
   IF(I1929&lt;=50,I1929*1.1+4,IF(I1929&lt;=120,I1929*1.1+7,IF(I1929&lt;=250,I1929*1.1+11,I1929*1.1+19))),
IF(L1929="NORMAL",
   IF(I1929&lt;=30,I1929*1.15+2,IF(I1929&lt;=80,I1929*1.15+4,IF(I1929&lt;=150,I1929*1.15+6,I1929*1.15+8))),
IF(L1929="COMPLEMENTO",
   IF(I1929&lt;=25,I1929*1.25+1.5,IF(I1929&lt;=60,I1929*1.25+3,IF(I1929&lt;=120,I1929*1.25+4,I1929*1.25+5))),
""))),2)</f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3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>ROUND(
IF(L1930="GANCHO",
   IF(I1930&lt;=50,I1930*1.1+4,IF(I1930&lt;=120,I1930*1.1+7,IF(I1930&lt;=250,I1930*1.1+11,I1930*1.1+19))),
IF(L1930="NORMAL",
   IF(I1930&lt;=30,I1930*1.15+2,IF(I1930&lt;=80,I1930*1.15+4,IF(I1930&lt;=150,I1930*1.15+6,I1930*1.15+8))),
IF(L1930="COMPLEMENTO",
   IF(I1930&lt;=25,I1930*1.25+1.5,IF(I1930&lt;=60,I1930*1.25+3,IF(I1930&lt;=120,I1930*1.25+4,I1930*1.25+5))),
""))),2)</f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3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>ROUND(
IF(L1931="GANCHO",
   IF(I1931&lt;=50,I1931*1.1+4,IF(I1931&lt;=120,I1931*1.1+7,IF(I1931&lt;=250,I1931*1.1+11,I1931*1.1+19))),
IF(L1931="NORMAL",
   IF(I1931&lt;=30,I1931*1.15+2,IF(I1931&lt;=80,I1931*1.15+4,IF(I1931&lt;=150,I1931*1.15+6,I1931*1.15+8))),
IF(L1931="COMPLEMENTO",
   IF(I1931&lt;=25,I1931*1.25+1.5,IF(I1931&lt;=60,I1931*1.25+3,IF(I1931&lt;=120,I1931*1.25+4,I1931*1.25+5))),
""))),2)</f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3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>ROUND(
IF(L1932="GANCHO",
   IF(I1932&lt;=50,I1932*1.1+4,IF(I1932&lt;=120,I1932*1.1+7,IF(I1932&lt;=250,I1932*1.1+11,I1932*1.1+19))),
IF(L1932="NORMAL",
   IF(I1932&lt;=30,I1932*1.15+2,IF(I1932&lt;=80,I1932*1.15+4,IF(I1932&lt;=150,I1932*1.15+6,I1932*1.15+8))),
IF(L1932="COMPLEMENTO",
   IF(I1932&lt;=25,I1932*1.25+1.5,IF(I1932&lt;=60,I1932*1.25+3,IF(I1932&lt;=120,I1932*1.25+4,I1932*1.25+5))),
""))),2)</f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3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>ROUND(
IF(L1933="GANCHO",
   IF(I1933&lt;=50,I1933*1.1+4,IF(I1933&lt;=120,I1933*1.1+7,IF(I1933&lt;=250,I1933*1.1+11,I1933*1.1+19))),
IF(L1933="NORMAL",
   IF(I1933&lt;=30,I1933*1.15+2,IF(I1933&lt;=80,I1933*1.15+4,IF(I1933&lt;=150,I1933*1.15+6,I1933*1.15+8))),
IF(L1933="COMPLEMENTO",
   IF(I1933&lt;=25,I1933*1.25+1.5,IF(I1933&lt;=60,I1933*1.25+3,IF(I1933&lt;=120,I1933*1.25+4,I1933*1.25+5))),
""))),2)</f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3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>ROUND(
IF(L1934="GANCHO",
   IF(I1934&lt;=50,I1934*1.1+4,IF(I1934&lt;=120,I1934*1.1+7,IF(I1934&lt;=250,I1934*1.1+11,I1934*1.1+19))),
IF(L1934="NORMAL",
   IF(I1934&lt;=30,I1934*1.15+2,IF(I1934&lt;=80,I1934*1.15+4,IF(I1934&lt;=150,I1934*1.15+6,I1934*1.15+8))),
IF(L1934="COMPLEMENTO",
   IF(I1934&lt;=25,I1934*1.25+1.5,IF(I1934&lt;=60,I1934*1.25+3,IF(I1934&lt;=120,I1934*1.25+4,I1934*1.25+5))),
""))),2)</f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3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>ROUND(
IF(L1935="GANCHO",
   IF(I1935&lt;=50,I1935*1.1+4,IF(I1935&lt;=120,I1935*1.1+7,IF(I1935&lt;=250,I1935*1.1+11,I1935*1.1+19))),
IF(L1935="NORMAL",
   IF(I1935&lt;=30,I1935*1.15+2,IF(I1935&lt;=80,I1935*1.15+4,IF(I1935&lt;=150,I1935*1.15+6,I1935*1.15+8))),
IF(L1935="COMPLEMENTO",
   IF(I1935&lt;=25,I1935*1.25+1.5,IF(I1935&lt;=60,I1935*1.25+3,IF(I1935&lt;=120,I1935*1.25+4,I1935*1.25+5))),
""))),2)</f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3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>ROUND(
IF(L1936="GANCHO",
   IF(I1936&lt;=50,I1936*1.1+4,IF(I1936&lt;=120,I1936*1.1+7,IF(I1936&lt;=250,I1936*1.1+11,I1936*1.1+19))),
IF(L1936="NORMAL",
   IF(I1936&lt;=30,I1936*1.15+2,IF(I1936&lt;=80,I1936*1.15+4,IF(I1936&lt;=150,I1936*1.15+6,I1936*1.15+8))),
IF(L1936="COMPLEMENTO",
   IF(I1936&lt;=25,I1936*1.25+1.5,IF(I1936&lt;=60,I1936*1.25+3,IF(I1936&lt;=120,I1936*1.25+4,I1936*1.25+5))),
""))),2)</f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30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>ROUND(
IF(L1937="GANCHO",
   IF(I1937&lt;=50,I1937*1.1+4,IF(I1937&lt;=120,I1937*1.1+7,IF(I1937&lt;=250,I1937*1.1+11,I1937*1.1+19))),
IF(L1937="NORMAL",
   IF(I1937&lt;=30,I1937*1.15+2,IF(I1937&lt;=80,I1937*1.15+4,IF(I1937&lt;=150,I1937*1.15+6,I1937*1.15+8))),
IF(L1937="COMPLEMENTO",
   IF(I1937&lt;=25,I1937*1.25+1.5,IF(I1937&lt;=60,I1937*1.25+3,IF(I1937&lt;=120,I1937*1.25+4,I1937*1.25+5))),
""))),2)</f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30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>ROUND(
IF(L1938="GANCHO",
   IF(I1938&lt;=50,I1938*1.1+4,IF(I1938&lt;=120,I1938*1.1+7,IF(I1938&lt;=250,I1938*1.1+11,I1938*1.1+19))),
IF(L1938="NORMAL",
   IF(I1938&lt;=30,I1938*1.15+2,IF(I1938&lt;=80,I1938*1.15+4,IF(I1938&lt;=150,I1938*1.15+6,I1938*1.15+8))),
IF(L1938="COMPLEMENTO",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30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>ROUND(
IF(L1939="GANCHO",
   IF(I1939&lt;=50,I1939*1.1+4,IF(I1939&lt;=120,I1939*1.1+7,IF(I1939&lt;=250,I1939*1.1+11,I1939*1.1+19))),
IF(L1939="NORMAL",
   IF(I1939&lt;=30,I1939*1.15+2,IF(I1939&lt;=80,I1939*1.15+4,IF(I1939&lt;=150,I1939*1.15+6,I1939*1.15+8))),
IF(L1939="COMPLEMENTO",
   IF(I1939&lt;=25,I1939*1.25+1.5,IF(I1939&lt;=60,I1939*1.25+3,IF(I1939&lt;=120,I1939*1.25+4,I1939*1.25+5))),
""))),2)</f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30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>ROUND(
IF(L1940="GANCHO",
   IF(I1940&lt;=50,I1940*1.1+4,IF(I1940&lt;=120,I1940*1.1+7,IF(I1940&lt;=250,I1940*1.1+11,I1940*1.1+19))),
IF(L1940="NORMAL",
   IF(I1940&lt;=30,I1940*1.15+2,IF(I1940&lt;=80,I1940*1.15+4,IF(I1940&lt;=150,I1940*1.15+6,I1940*1.15+8))),
IF(L1940="COMPLEMENTO",
   IF(I1940&lt;=25,I1940*1.25+1.5,IF(I1940&lt;=60,I1940*1.25+3,IF(I1940&lt;=120,I1940*1.25+4,I1940*1.25+5))),
""))),2)</f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30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>ROUND(
IF(L1941="GANCHO",
   IF(I1941&lt;=50,I1941*1.1+4,IF(I1941&lt;=120,I1941*1.1+7,IF(I1941&lt;=250,I1941*1.1+11,I1941*1.1+19))),
IF(L1941="NORMAL",
   IF(I1941&lt;=30,I1941*1.15+2,IF(I1941&lt;=80,I1941*1.15+4,IF(I1941&lt;=150,I1941*1.15+6,I1941*1.15+8))),
IF(L1941="COMPLEMENTO",
   IF(I1941&lt;=25,I1941*1.25+1.5,IF(I1941&lt;=60,I1941*1.25+3,IF(I1941&lt;=120,I1941*1.25+4,I1941*1.25+5))),
""))),2)</f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30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>ROUND(
IF(L1942="GANCHO",
   IF(I1942&lt;=50,I1942*1.1+4,IF(I1942&lt;=120,I1942*1.1+7,IF(I1942&lt;=250,I1942*1.1+11,I1942*1.1+19))),
IF(L1942="NORMAL",
   IF(I1942&lt;=30,I1942*1.15+2,IF(I1942&lt;=80,I1942*1.15+4,IF(I1942&lt;=150,I1942*1.15+6,I1942*1.15+8))),
IF(L1942="COMPLEMENTO",
   IF(I1942&lt;=25,I1942*1.25+1.5,IF(I1942&lt;=60,I1942*1.25+3,IF(I1942&lt;=120,I1942*1.25+4,I1942*1.25+5))),
""))),2)</f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30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>ROUND(
IF(L1943="GANCHO",
   IF(I1943&lt;=50,I1943*1.1+4,IF(I1943&lt;=120,I1943*1.1+7,IF(I1943&lt;=250,I1943*1.1+11,I1943*1.1+19))),
IF(L1943="NORMAL",
   IF(I1943&lt;=30,I1943*1.15+2,IF(I1943&lt;=80,I1943*1.15+4,IF(I1943&lt;=150,I1943*1.15+6,I1943*1.15+8))),
IF(L1943="COMPLEMENTO",
   IF(I1943&lt;=25,I1943*1.25+1.5,IF(I1943&lt;=60,I1943*1.25+3,IF(I1943&lt;=120,I1943*1.25+4,I1943*1.25+5))),
""))),2)</f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30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>ROUND(
IF(L1944="GANCHO",
   IF(I1944&lt;=50,I1944*1.1+4,IF(I1944&lt;=120,I1944*1.1+7,IF(I1944&lt;=250,I1944*1.1+11,I1944*1.1+19))),
IF(L1944="NORMAL",
   IF(I1944&lt;=30,I1944*1.15+2,IF(I1944&lt;=80,I1944*1.15+4,IF(I1944&lt;=150,I1944*1.15+6,I1944*1.15+8))),
IF(L1944="COMPLEMENTO",
   IF(I1944&lt;=25,I1944*1.25+1.5,IF(I1944&lt;=60,I1944*1.25+3,IF(I1944&lt;=120,I1944*1.25+4,I1944*1.25+5))),
""))),2)</f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30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>ROUND(
IF(L1945="GANCHO",
   IF(I1945&lt;=50,I1945*1.1+4,IF(I1945&lt;=120,I1945*1.1+7,IF(I1945&lt;=250,I1945*1.1+11,I1945*1.1+19))),
IF(L1945="NORMAL",
   IF(I1945&lt;=30,I1945*1.15+2,IF(I1945&lt;=80,I1945*1.15+4,IF(I1945&lt;=150,I1945*1.15+6,I1945*1.15+8))),
IF(L1945="COMPLEMENTO",
   IF(I1945&lt;=25,I1945*1.25+1.5,IF(I1945&lt;=60,I1945*1.25+3,IF(I1945&lt;=120,I1945*1.25+4,I1945*1.25+5))),
""))),2)</f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30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>ROUND(
IF(L1946="GANCHO",
   IF(I1946&lt;=50,I1946*1.1+4,IF(I1946&lt;=120,I1946*1.1+7,IF(I1946&lt;=250,I1946*1.1+11,I1946*1.1+19))),
IF(L1946="NORMAL",
   IF(I1946&lt;=30,I1946*1.15+2,IF(I1946&lt;=80,I1946*1.15+4,IF(I1946&lt;=150,I1946*1.15+6,I1946*1.15+8))),
IF(L1946="COMPLEMENTO",
   IF(I1946&lt;=25,I1946*1.25+1.5,IF(I1946&lt;=60,I1946*1.25+3,IF(I1946&lt;=120,I1946*1.25+4,I1946*1.25+5))),
""))),2)</f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30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>ROUND(
IF(L1947="GANCHO",
   IF(I1947&lt;=50,I1947*1.1+4,IF(I1947&lt;=120,I1947*1.1+7,IF(I1947&lt;=250,I1947*1.1+11,I1947*1.1+19))),
IF(L1947="NORMAL",
   IF(I1947&lt;=30,I1947*1.15+2,IF(I1947&lt;=80,I1947*1.15+4,IF(I1947&lt;=150,I1947*1.15+6,I1947*1.15+8))),
IF(L1947="COMPLEMENTO",
   IF(I1947&lt;=25,I1947*1.25+1.5,IF(I1947&lt;=60,I1947*1.25+3,IF(I1947&lt;=120,I1947*1.25+4,I1947*1.25+5))),
""))),2)</f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30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>ROUND(
IF(L1948="GANCHO",
   IF(I1948&lt;=50,I1948*1.1+4,IF(I1948&lt;=120,I1948*1.1+7,IF(I1948&lt;=250,I1948*1.1+11,I1948*1.1+19))),
IF(L1948="NORMAL",
   IF(I1948&lt;=30,I1948*1.15+2,IF(I1948&lt;=80,I1948*1.15+4,IF(I1948&lt;=150,I1948*1.15+6,I1948*1.15+8))),
IF(L1948="COMPLEMENTO",
   IF(I1948&lt;=25,I1948*1.25+1.5,IF(I1948&lt;=60,I1948*1.25+3,IF(I1948&lt;=120,I1948*1.25+4,I1948*1.25+5))),
""))),2)</f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30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>ROUND(
IF(L1949="GANCHO",
   IF(I1949&lt;=50,I1949*1.1+4,IF(I1949&lt;=120,I1949*1.1+7,IF(I1949&lt;=250,I1949*1.1+11,I1949*1.1+19))),
IF(L1949="NORMAL",
   IF(I1949&lt;=30,I1949*1.15+2,IF(I1949&lt;=80,I1949*1.15+4,IF(I1949&lt;=150,I1949*1.15+6,I1949*1.15+8))),
IF(L1949="COMPLEMENTO",
   IF(I1949&lt;=25,I1949*1.25+1.5,IF(I1949&lt;=60,I1949*1.25+3,IF(I1949&lt;=120,I1949*1.25+4,I1949*1.25+5))),
""))),2)</f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30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>ROUND(
IF(L1950="GANCHO",
   IF(I1950&lt;=50,I1950*1.1+4,IF(I1950&lt;=120,I1950*1.1+7,IF(I1950&lt;=250,I1950*1.1+11,I1950*1.1+19))),
IF(L1950="NORMAL",
   IF(I1950&lt;=30,I1950*1.15+2,IF(I1950&lt;=80,I1950*1.15+4,IF(I1950&lt;=150,I1950*1.15+6,I1950*1.15+8))),
IF(L1950="COMPLEMENTO",
   IF(I1950&lt;=25,I1950*1.25+1.5,IF(I1950&lt;=60,I1950*1.25+3,IF(I1950&lt;=120,I1950*1.25+4,I1950*1.25+5))),
""))),2)</f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30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>ROUND(
IF(L1951="GANCHO",
   IF(I1951&lt;=50,I1951*1.1+4,IF(I1951&lt;=120,I1951*1.1+7,IF(I1951&lt;=250,I1951*1.1+11,I1951*1.1+19))),
IF(L1951="NORMAL",
   IF(I1951&lt;=30,I1951*1.15+2,IF(I1951&lt;=80,I1951*1.15+4,IF(I1951&lt;=150,I1951*1.15+6,I1951*1.15+8))),
IF(L1951="COMPLEMENTO",
   IF(I1951&lt;=25,I1951*1.25+1.5,IF(I1951&lt;=60,I1951*1.25+3,IF(I1951&lt;=120,I1951*1.25+4,I1951*1.25+5))),
""))),2)</f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30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>ROUND(
IF(L1952="GANCHO",
   IF(I1952&lt;=50,I1952*1.1+4,IF(I1952&lt;=120,I1952*1.1+7,IF(I1952&lt;=250,I1952*1.1+11,I1952*1.1+19))),
IF(L1952="NORMAL",
   IF(I1952&lt;=30,I1952*1.15+2,IF(I1952&lt;=80,I1952*1.15+4,IF(I1952&lt;=150,I1952*1.15+6,I1952*1.15+8))),
IF(L1952="COMPLEMENTO",
   IF(I1952&lt;=25,I1952*1.25+1.5,IF(I1952&lt;=60,I1952*1.25+3,IF(I1952&lt;=120,I1952*1.25+4,I1952*1.25+5))),
""))),2)</f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30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>ROUND(
IF(L1953="GANCHO",
   IF(I1953&lt;=50,I1953*1.1+4,IF(I1953&lt;=120,I1953*1.1+7,IF(I1953&lt;=250,I1953*1.1+11,I1953*1.1+19))),
IF(L1953="NORMAL",
   IF(I1953&lt;=30,I1953*1.15+2,IF(I1953&lt;=80,I1953*1.15+4,IF(I1953&lt;=150,I1953*1.15+6,I1953*1.15+8))),
IF(L1953="COMPLEMENTO",
   IF(I1953&lt;=25,I1953*1.25+1.5,IF(I1953&lt;=60,I1953*1.25+3,IF(I1953&lt;=120,I1953*1.25+4,I1953*1.25+5))),
""))),2)</f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30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>ROUND(
IF(L1954="GANCHO",
   IF(I1954&lt;=50,I1954*1.1+4,IF(I1954&lt;=120,I1954*1.1+7,IF(I1954&lt;=250,I1954*1.1+11,I1954*1.1+19))),
IF(L1954="NORMAL",
   IF(I1954&lt;=30,I1954*1.15+2,IF(I1954&lt;=80,I1954*1.15+4,IF(I1954&lt;=150,I1954*1.15+6,I1954*1.15+8))),
IF(L1954="COMPLEMENTO",
   IF(I1954&lt;=25,I1954*1.25+1.5,IF(I1954&lt;=60,I1954*1.25+3,IF(I1954&lt;=120,I1954*1.25+4,I1954*1.25+5))),
""))),2)</f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30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>ROUND(
IF(L1955="GANCHO",
   IF(I1955&lt;=50,I1955*1.1+4,IF(I1955&lt;=120,I1955*1.1+7,IF(I1955&lt;=250,I1955*1.1+11,I1955*1.1+19))),
IF(L1955="NORMAL",
   IF(I1955&lt;=30,I1955*1.15+2,IF(I1955&lt;=80,I1955*1.15+4,IF(I1955&lt;=150,I1955*1.15+6,I1955*1.15+8))),
IF(L1955="COMPLEMENTO",
   IF(I1955&lt;=25,I1955*1.25+1.5,IF(I1955&lt;=60,I1955*1.25+3,IF(I1955&lt;=120,I1955*1.25+4,I1955*1.25+5))),
""))),2)</f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30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>ROUND(
IF(L1956="GANCHO",
   IF(I1956&lt;=50,I1956*1.1+4,IF(I1956&lt;=120,I1956*1.1+7,IF(I1956&lt;=250,I1956*1.1+11,I1956*1.1+19))),
IF(L1956="NORMAL",
   IF(I1956&lt;=30,I1956*1.15+2,IF(I1956&lt;=80,I1956*1.15+4,IF(I1956&lt;=150,I1956*1.15+6,I1956*1.15+8))),
IF(L1956="COMPLEMENTO",
   IF(I1956&lt;=25,I1956*1.25+1.5,IF(I1956&lt;=60,I1956*1.25+3,IF(I1956&lt;=120,I1956*1.25+4,I1956*1.25+5))),
""))),2)</f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30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>ROUND(
IF(L1957="GANCHO",
   IF(I1957&lt;=50,I1957*1.1+4,IF(I1957&lt;=120,I1957*1.1+7,IF(I1957&lt;=250,I1957*1.1+11,I1957*1.1+19))),
IF(L1957="NORMAL",
   IF(I1957&lt;=30,I1957*1.15+2,IF(I1957&lt;=80,I1957*1.15+4,IF(I1957&lt;=150,I1957*1.15+6,I1957*1.15+8))),
IF(L1957="COMPLEMENTO",
   IF(I1957&lt;=25,I1957*1.25+1.5,IF(I1957&lt;=60,I1957*1.25+3,IF(I1957&lt;=120,I1957*1.25+4,I1957*1.25+5))),
""))),2)</f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30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>ROUND(
IF(L1958="GANCHO",
   IF(I1958&lt;=50,I1958*1.1+4,IF(I1958&lt;=120,I1958*1.1+7,IF(I1958&lt;=250,I1958*1.1+11,I1958*1.1+19))),
IF(L1958="NORMAL",
   IF(I1958&lt;=30,I1958*1.15+2,IF(I1958&lt;=80,I1958*1.15+4,IF(I1958&lt;=150,I1958*1.15+6,I1958*1.15+8))),
IF(L1958="COMPLEMENTO",
   IF(I1958&lt;=25,I1958*1.25+1.5,IF(I1958&lt;=60,I1958*1.25+3,IF(I1958&lt;=120,I1958*1.25+4,I1958*1.25+5))),
""))),2)</f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30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>ROUND(
IF(L1959="GANCHO",
   IF(I1959&lt;=50,I1959*1.1+4,IF(I1959&lt;=120,I1959*1.1+7,IF(I1959&lt;=250,I1959*1.1+11,I1959*1.1+19))),
IF(L1959="NORMAL",
   IF(I1959&lt;=30,I1959*1.15+2,IF(I1959&lt;=80,I1959*1.15+4,IF(I1959&lt;=150,I1959*1.15+6,I1959*1.15+8))),
IF(L1959="COMPLEMENTO",
   IF(I1959&lt;=25,I1959*1.25+1.5,IF(I1959&lt;=60,I1959*1.25+3,IF(I1959&lt;=120,I1959*1.25+4,I1959*1.25+5))),
""))),2)</f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30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>ROUND(
IF(L1960="GANCHO",
   IF(I1960&lt;=50,I1960*1.1+4,IF(I1960&lt;=120,I1960*1.1+7,IF(I1960&lt;=250,I1960*1.1+11,I1960*1.1+19))),
IF(L1960="NORMAL",
   IF(I1960&lt;=30,I1960*1.15+2,IF(I1960&lt;=80,I1960*1.15+4,IF(I1960&lt;=150,I1960*1.15+6,I1960*1.15+8))),
IF(L1960="COMPLEMENTO",
   IF(I1960&lt;=25,I1960*1.25+1.5,IF(I1960&lt;=60,I1960*1.25+3,IF(I1960&lt;=120,I1960*1.25+4,I1960*1.25+5))),
""))),2)</f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30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>ROUND(
IF(L1961="GANCHO",
   IF(I1961&lt;=50,I1961*1.1+4,IF(I1961&lt;=120,I1961*1.1+7,IF(I1961&lt;=250,I1961*1.1+11,I1961*1.1+19))),
IF(L1961="NORMAL",
   IF(I1961&lt;=30,I1961*1.15+2,IF(I1961&lt;=80,I1961*1.15+4,IF(I1961&lt;=150,I1961*1.15+6,I1961*1.15+8))),
IF(L1961="COMPLEMENTO",
   IF(I1961&lt;=25,I1961*1.25+1.5,IF(I1961&lt;=60,I1961*1.25+3,IF(I1961&lt;=120,I1961*1.25+4,I1961*1.25+5))),
""))),2)</f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30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>ROUND(
IF(L1962="GANCHO",
   IF(I1962&lt;=50,I1962*1.1+4,IF(I1962&lt;=120,I1962*1.1+7,IF(I1962&lt;=250,I1962*1.1+11,I1962*1.1+19))),
IF(L1962="NORMAL",
   IF(I1962&lt;=30,I1962*1.15+2,IF(I1962&lt;=80,I1962*1.15+4,IF(I1962&lt;=150,I1962*1.15+6,I1962*1.15+8))),
IF(L1962="COMPLEMENTO",
   IF(I1962&lt;=25,I1962*1.25+1.5,IF(I1962&lt;=60,I1962*1.25+3,IF(I1962&lt;=120,I1962*1.25+4,I1962*1.25+5))),
""))),2)</f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30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>ROUND(
IF(L1963="GANCHO",
   IF(I1963&lt;=50,I1963*1.1+4,IF(I1963&lt;=120,I1963*1.1+7,IF(I1963&lt;=250,I1963*1.1+11,I1963*1.1+19))),
IF(L1963="NORMAL",
   IF(I1963&lt;=30,I1963*1.15+2,IF(I1963&lt;=80,I1963*1.15+4,IF(I1963&lt;=150,I1963*1.15+6,I1963*1.15+8))),
IF(L1963="COMPLEMENTO",
   IF(I1963&lt;=25,I1963*1.25+1.5,IF(I1963&lt;=60,I1963*1.25+3,IF(I1963&lt;=120,I1963*1.25+4,I1963*1.25+5))),
""))),2)</f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30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>ROUND(
IF(L1964="GANCHO",
   IF(I1964&lt;=50,I1964*1.1+4,IF(I1964&lt;=120,I1964*1.1+7,IF(I1964&lt;=250,I1964*1.1+11,I1964*1.1+19))),
IF(L1964="NORMAL",
   IF(I1964&lt;=30,I1964*1.15+2,IF(I1964&lt;=80,I1964*1.15+4,IF(I1964&lt;=150,I1964*1.15+6,I1964*1.15+8))),
IF(L1964="COMPLEMENTO",
   IF(I1964&lt;=25,I1964*1.25+1.5,IF(I1964&lt;=60,I1964*1.25+3,IF(I1964&lt;=120,I1964*1.25+4,I1964*1.25+5))),
""))),2)</f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30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>ROUND(
IF(L1965="GANCHO",
   IF(I1965&lt;=50,I1965*1.1+4,IF(I1965&lt;=120,I1965*1.1+7,IF(I1965&lt;=250,I1965*1.1+11,I1965*1.1+19))),
IF(L1965="NORMAL",
   IF(I1965&lt;=30,I1965*1.15+2,IF(I1965&lt;=80,I1965*1.15+4,IF(I1965&lt;=150,I1965*1.15+6,I1965*1.15+8))),
IF(L1965="COMPLEMENTO",
   IF(I1965&lt;=25,I1965*1.25+1.5,IF(I1965&lt;=60,I1965*1.25+3,IF(I1965&lt;=120,I1965*1.25+4,I1965*1.25+5))),
""))),2)</f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30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>ROUND(
IF(L1966="GANCHO",
   IF(I1966&lt;=50,I1966*1.1+4,IF(I1966&lt;=120,I1966*1.1+7,IF(I1966&lt;=250,I1966*1.1+11,I1966*1.1+19))),
IF(L1966="NORMAL",
   IF(I1966&lt;=30,I1966*1.15+2,IF(I1966&lt;=80,I1966*1.15+4,IF(I1966&lt;=150,I1966*1.15+6,I1966*1.15+8))),
IF(L1966="COMPLEMENTO",
   IF(I1966&lt;=25,I1966*1.25+1.5,IF(I1966&lt;=60,I1966*1.25+3,IF(I1966&lt;=120,I1966*1.25+4,I1966*1.25+5))),
""))),2)</f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30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>ROUND(
IF(L1967="GANCHO",
   IF(I1967&lt;=50,I1967*1.1+4,IF(I1967&lt;=120,I1967*1.1+7,IF(I1967&lt;=250,I1967*1.1+11,I1967*1.1+19))),
IF(L1967="NORMAL",
   IF(I1967&lt;=30,I1967*1.15+2,IF(I1967&lt;=80,I1967*1.15+4,IF(I1967&lt;=150,I1967*1.15+6,I1967*1.15+8))),
IF(L1967="COMPLEMENTO",
   IF(I1967&lt;=25,I1967*1.25+1.5,IF(I1967&lt;=60,I1967*1.25+3,IF(I1967&lt;=120,I1967*1.25+4,I1967*1.25+5))),
""))),2)</f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30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>ROUND(
IF(L1968="GANCHO",
   IF(I1968&lt;=50,I1968*1.1+4,IF(I1968&lt;=120,I1968*1.1+7,IF(I1968&lt;=250,I1968*1.1+11,I1968*1.1+19))),
IF(L1968="NORMAL",
   IF(I1968&lt;=30,I1968*1.15+2,IF(I1968&lt;=80,I1968*1.15+4,IF(I1968&lt;=150,I1968*1.15+6,I1968*1.15+8))),
IF(L1968="COMPLEMENTO",
   IF(I1968&lt;=25,I1968*1.25+1.5,IF(I1968&lt;=60,I1968*1.25+3,IF(I1968&lt;=120,I1968*1.25+4,I1968*1.25+5))),
""))),2)</f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30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>ROUND(
IF(L1969="GANCHO",
   IF(I1969&lt;=50,I1969*1.1+4,IF(I1969&lt;=120,I1969*1.1+7,IF(I1969&lt;=250,I1969*1.1+11,I1969*1.1+19))),
IF(L1969="NORMAL",
   IF(I1969&lt;=30,I1969*1.15+2,IF(I1969&lt;=80,I1969*1.15+4,IF(I1969&lt;=150,I1969*1.15+6,I1969*1.15+8))),
IF(L1969="COMPLEMENTO",
   IF(I1969&lt;=25,I1969*1.25+1.5,IF(I1969&lt;=60,I1969*1.25+3,IF(I1969&lt;=120,I1969*1.25+4,I1969*1.25+5))),
""))),2)</f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30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>ROUND(
IF(L1970="GANCHO",
   IF(I1970&lt;=50,I1970*1.1+4,IF(I1970&lt;=120,I1970*1.1+7,IF(I1970&lt;=250,I1970*1.1+11,I1970*1.1+19))),
IF(L1970="NORMAL",
   IF(I1970&lt;=30,I1970*1.15+2,IF(I1970&lt;=80,I1970*1.15+4,IF(I1970&lt;=150,I1970*1.15+6,I1970*1.15+8))),
IF(L1970="COMPLEMENTO",
   IF(I1970&lt;=25,I1970*1.25+1.5,IF(I1970&lt;=60,I1970*1.25+3,IF(I1970&lt;=120,I1970*1.25+4,I1970*1.25+5))),
""))),2)</f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30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>ROUND(
IF(L1971="GANCHO",
   IF(I1971&lt;=50,I1971*1.1+4,IF(I1971&lt;=120,I1971*1.1+7,IF(I1971&lt;=250,I1971*1.1+11,I1971*1.1+19))),
IF(L1971="NORMAL",
   IF(I1971&lt;=30,I1971*1.15+2,IF(I1971&lt;=80,I1971*1.15+4,IF(I1971&lt;=150,I1971*1.15+6,I1971*1.15+8))),
IF(L1971="COMPLEMENTO",
   IF(I1971&lt;=25,I1971*1.25+1.5,IF(I1971&lt;=60,I1971*1.25+3,IF(I1971&lt;=120,I1971*1.25+4,I1971*1.25+5))),
""))),2)</f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30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>ROUND(
IF(L1972="GANCHO",
   IF(I1972&lt;=50,I1972*1.1+4,IF(I1972&lt;=120,I1972*1.1+7,IF(I1972&lt;=250,I1972*1.1+11,I1972*1.1+19))),
IF(L1972="NORMAL",
   IF(I1972&lt;=30,I1972*1.15+2,IF(I1972&lt;=80,I1972*1.15+4,IF(I1972&lt;=150,I1972*1.15+6,I1972*1.15+8))),
IF(L1972="COMPLEMENTO",
   IF(I1972&lt;=25,I1972*1.25+1.5,IF(I1972&lt;=60,I1972*1.25+3,IF(I1972&lt;=120,I1972*1.25+4,I1972*1.25+5))),
""))),2)</f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30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>ROUND(
IF(L1973="GANCHO",
   IF(I1973&lt;=50,I1973*1.1+4,IF(I1973&lt;=120,I1973*1.1+7,IF(I1973&lt;=250,I1973*1.1+11,I1973*1.1+19))),
IF(L1973="NORMAL",
   IF(I1973&lt;=30,I1973*1.15+2,IF(I1973&lt;=80,I1973*1.15+4,IF(I1973&lt;=150,I1973*1.15+6,I1973*1.15+8))),
IF(L1973="COMPLEMENTO",
   IF(I1973&lt;=25,I1973*1.25+1.5,IF(I1973&lt;=60,I1973*1.25+3,IF(I1973&lt;=120,I1973*1.25+4,I1973*1.25+5))),
""))),2)</f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30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>ROUND(
IF(L1974="GANCHO",
   IF(I1974&lt;=50,I1974*1.1+4,IF(I1974&lt;=120,I1974*1.1+7,IF(I1974&lt;=250,I1974*1.1+11,I1974*1.1+19))),
IF(L1974="NORMAL",
   IF(I1974&lt;=30,I1974*1.15+2,IF(I1974&lt;=80,I1974*1.15+4,IF(I1974&lt;=150,I1974*1.15+6,I1974*1.15+8))),
IF(L1974="COMPLEMENTO",
   IF(I1974&lt;=25,I1974*1.25+1.5,IF(I1974&lt;=60,I1974*1.25+3,IF(I1974&lt;=120,I1974*1.25+4,I1974*1.25+5))),
""))),2)</f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30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>ROUND(
IF(L1975="GANCHO",
   IF(I1975&lt;=50,I1975*1.1+4,IF(I1975&lt;=120,I1975*1.1+7,IF(I1975&lt;=250,I1975*1.1+11,I1975*1.1+19))),
IF(L1975="NORMAL",
   IF(I1975&lt;=30,I1975*1.15+2,IF(I1975&lt;=80,I1975*1.15+4,IF(I1975&lt;=150,I1975*1.15+6,I1975*1.15+8))),
IF(L1975="COMPLEMENTO",
   IF(I1975&lt;=25,I1975*1.25+1.5,IF(I1975&lt;=60,I1975*1.25+3,IF(I1975&lt;=120,I1975*1.25+4,I1975*1.25+5))),
""))),2)</f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30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>ROUND(
IF(L1976="GANCHO",
   IF(I1976&lt;=50,I1976*1.1+4,IF(I1976&lt;=120,I1976*1.1+7,IF(I1976&lt;=250,I1976*1.1+11,I1976*1.1+19))),
IF(L1976="NORMAL",
   IF(I1976&lt;=30,I1976*1.15+2,IF(I1976&lt;=80,I1976*1.15+4,IF(I1976&lt;=150,I1976*1.15+6,I1976*1.15+8))),
IF(L1976="COMPLEMENTO",
   IF(I1976&lt;=25,I1976*1.25+1.5,IF(I1976&lt;=60,I1976*1.25+3,IF(I1976&lt;=120,I1976*1.25+4,I1976*1.25+5))),
""))),2)</f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30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>ROUND(
IF(L1977="GANCHO",
   IF(I1977&lt;=50,I1977*1.1+4,IF(I1977&lt;=120,I1977*1.1+7,IF(I1977&lt;=250,I1977*1.1+11,I1977*1.1+19))),
IF(L1977="NORMAL",
   IF(I1977&lt;=30,I1977*1.15+2,IF(I1977&lt;=80,I1977*1.15+4,IF(I1977&lt;=150,I1977*1.15+6,I1977*1.15+8))),
IF(L1977="COMPLEMENTO",
   IF(I1977&lt;=25,I1977*1.25+1.5,IF(I1977&lt;=60,I1977*1.25+3,IF(I1977&lt;=120,I1977*1.25+4,I1977*1.25+5))),
""))),2)</f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30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>ROUND(
IF(L1978="GANCHO",
   IF(I1978&lt;=50,I1978*1.1+4,IF(I1978&lt;=120,I1978*1.1+7,IF(I1978&lt;=250,I1978*1.1+11,I1978*1.1+19))),
IF(L1978="NORMAL",
   IF(I1978&lt;=30,I1978*1.15+2,IF(I1978&lt;=80,I1978*1.15+4,IF(I1978&lt;=150,I1978*1.15+6,I1978*1.15+8))),
IF(L1978="COMPLEMENTO",
   IF(I1978&lt;=25,I1978*1.25+1.5,IF(I1978&lt;=60,I1978*1.25+3,IF(I1978&lt;=120,I1978*1.25+4,I1978*1.25+5))),
""))),2)</f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30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>ROUND(
IF(L1979="GANCHO",
   IF(I1979&lt;=50,I1979*1.1+4,IF(I1979&lt;=120,I1979*1.1+7,IF(I1979&lt;=250,I1979*1.1+11,I1979*1.1+19))),
IF(L1979="NORMAL",
   IF(I1979&lt;=30,I1979*1.15+2,IF(I1979&lt;=80,I1979*1.15+4,IF(I1979&lt;=150,I1979*1.15+6,I1979*1.15+8))),
IF(L1979="COMPLEMENTO",
   IF(I1979&lt;=25,I1979*1.25+1.5,IF(I1979&lt;=60,I1979*1.25+3,IF(I1979&lt;=120,I1979*1.25+4,I1979*1.25+5))),
""))),2)</f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30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>ROUND(
IF(L1980="GANCHO",
   IF(I1980&lt;=50,I1980*1.1+4,IF(I1980&lt;=120,I1980*1.1+7,IF(I1980&lt;=250,I1980*1.1+11,I1980*1.1+19))),
IF(L1980="NORMAL",
   IF(I1980&lt;=30,I1980*1.15+2,IF(I1980&lt;=80,I1980*1.15+4,IF(I1980&lt;=150,I1980*1.15+6,I1980*1.15+8))),
IF(L1980="COMPLEMENTO",
   IF(I1980&lt;=25,I1980*1.25+1.5,IF(I1980&lt;=60,I1980*1.25+3,IF(I1980&lt;=120,I1980*1.25+4,I1980*1.25+5))),
""))),2)</f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30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>ROUND(
IF(L1981="GANCHO",
   IF(I1981&lt;=50,I1981*1.1+4,IF(I1981&lt;=120,I1981*1.1+7,IF(I1981&lt;=250,I1981*1.1+11,I1981*1.1+19))),
IF(L1981="NORMAL",
   IF(I1981&lt;=30,I1981*1.15+2,IF(I1981&lt;=80,I1981*1.15+4,IF(I1981&lt;=150,I1981*1.15+6,I1981*1.15+8))),
IF(L1981="COMPLEMENTO",
   IF(I1981&lt;=25,I1981*1.25+1.5,IF(I1981&lt;=60,I1981*1.25+3,IF(I1981&lt;=120,I1981*1.25+4,I1981*1.25+5))),
""))),2)</f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30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>ROUND(
IF(L1982="GANCHO",
   IF(I1982&lt;=50,I1982*1.1+4,IF(I1982&lt;=120,I1982*1.1+7,IF(I1982&lt;=250,I1982*1.1+11,I1982*1.1+19))),
IF(L1982="NORMAL",
   IF(I1982&lt;=30,I1982*1.15+2,IF(I1982&lt;=80,I1982*1.15+4,IF(I1982&lt;=150,I1982*1.15+6,I1982*1.15+8))),
IF(L1982="COMPLEMENTO",
   IF(I1982&lt;=25,I1982*1.25+1.5,IF(I1982&lt;=60,I1982*1.25+3,IF(I1982&lt;=120,I1982*1.25+4,I1982*1.25+5))),
""))),2)</f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30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>ROUND(
IF(L1983="GANCHO",
   IF(I1983&lt;=50,I1983*1.1+4,IF(I1983&lt;=120,I1983*1.1+7,IF(I1983&lt;=250,I1983*1.1+11,I1983*1.1+19))),
IF(L1983="NORMAL",
   IF(I1983&lt;=30,I1983*1.15+2,IF(I1983&lt;=80,I1983*1.15+4,IF(I1983&lt;=150,I1983*1.15+6,I1983*1.15+8))),
IF(L1983="COMPLEMENTO",
   IF(I1983&lt;=25,I1983*1.25+1.5,IF(I1983&lt;=60,I1983*1.25+3,IF(I1983&lt;=120,I1983*1.25+4,I1983*1.25+5))),
""))),2)</f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30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>ROUND(
IF(L1984="GANCHO",
   IF(I1984&lt;=50,I1984*1.1+4,IF(I1984&lt;=120,I1984*1.1+7,IF(I1984&lt;=250,I1984*1.1+11,I1984*1.1+19))),
IF(L1984="NORMAL",
   IF(I1984&lt;=30,I1984*1.15+2,IF(I1984&lt;=80,I1984*1.15+4,IF(I1984&lt;=150,I1984*1.15+6,I1984*1.15+8))),
IF(L1984="COMPLEMENTO",
   IF(I1984&lt;=25,I1984*1.25+1.5,IF(I1984&lt;=60,I1984*1.25+3,IF(I1984&lt;=120,I1984*1.25+4,I1984*1.25+5))),
""))),2)</f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30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>ROUND(
IF(L1985="GANCHO",
   IF(I1985&lt;=50,I1985*1.1+4,IF(I1985&lt;=120,I1985*1.1+7,IF(I1985&lt;=250,I1985*1.1+11,I1985*1.1+19))),
IF(L1985="NORMAL",
   IF(I1985&lt;=30,I1985*1.15+2,IF(I1985&lt;=80,I1985*1.15+4,IF(I1985&lt;=150,I1985*1.15+6,I1985*1.15+8))),
IF(L1985="COMPLEMENTO",
   IF(I1985&lt;=25,I1985*1.25+1.5,IF(I1985&lt;=60,I1985*1.25+3,IF(I1985&lt;=120,I1985*1.25+4,I1985*1.25+5))),
""))),2)</f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30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30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>ROUND(
IF(L1987="GANCHO",
   IF(I1987&lt;=50,I1987*1.1+4,IF(I1987&lt;=120,I1987*1.1+7,IF(I1987&lt;=250,I1987*1.1+11,I1987*1.1+19))),
IF(L1987="NORMAL",
   IF(I1987&lt;=30,I1987*1.15+2,IF(I1987&lt;=80,I1987*1.15+4,IF(I1987&lt;=150,I1987*1.15+6,I1987*1.15+8))),
IF(L1987="COMPLEMENTO",
   IF(I1987&lt;=25,I1987*1.25+1.5,IF(I1987&lt;=60,I1987*1.25+3,IF(I1987&lt;=120,I1987*1.25+4,I1987*1.25+5))),
""))),2)</f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31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>ROUND(
IF(L1988="GANCHO",
   IF(I1988&lt;=50,I1988*1.1+4,IF(I1988&lt;=120,I1988*1.1+7,IF(I1988&lt;=250,I1988*1.1+11,I1988*1.1+19))),
IF(L1988="NORMAL",
   IF(I1988&lt;=30,I1988*1.15+2,IF(I1988&lt;=80,I1988*1.15+4,IF(I1988&lt;=150,I1988*1.15+6,I1988*1.15+8))),
IF(L1988="COMPLEMENTO",
   IF(I1988&lt;=25,I1988*1.25+1.5,IF(I1988&lt;=60,I1988*1.25+3,IF(I1988&lt;=120,I1988*1.25+4,I1988*1.25+5))),
""))),2)</f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31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>ROUND(
IF(L1989="GANCHO",
   IF(I1989&lt;=50,I1989*1.1+4,IF(I1989&lt;=120,I1989*1.1+7,IF(I1989&lt;=250,I1989*1.1+11,I1989*1.1+19))),
IF(L1989="NORMAL",
   IF(I1989&lt;=30,I1989*1.15+2,IF(I1989&lt;=80,I1989*1.15+4,IF(I1989&lt;=150,I1989*1.15+6,I1989*1.15+8))),
IF(L1989="COMPLEMENTO",
   IF(I1989&lt;=25,I1989*1.25+1.5,IF(I1989&lt;=60,I1989*1.25+3,IF(I1989&lt;=120,I1989*1.25+4,I1989*1.25+5))),
""))),2)</f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31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>ROUND(
IF(L1990="GANCHO",
   IF(I1990&lt;=50,I1990*1.1+4,IF(I1990&lt;=120,I1990*1.1+7,IF(I1990&lt;=250,I1990*1.1+11,I1990*1.1+19))),
IF(L1990="NORMAL",
   IF(I1990&lt;=30,I1990*1.15+2,IF(I1990&lt;=80,I1990*1.15+4,IF(I1990&lt;=150,I1990*1.15+6,I1990*1.15+8))),
IF(L1990="COMPLEMENTO",
   IF(I1990&lt;=25,I1990*1.25+1.5,IF(I1990&lt;=60,I1990*1.25+3,IF(I1990&lt;=120,I1990*1.25+4,I1990*1.25+5))),
""))),2)</f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31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>ROUND(
IF(L1991="GANCHO",
   IF(I1991&lt;=50,I1991*1.1+4,IF(I1991&lt;=120,I1991*1.1+7,IF(I1991&lt;=250,I1991*1.1+11,I1991*1.1+19))),
IF(L1991="NORMAL",
   IF(I1991&lt;=30,I1991*1.15+2,IF(I1991&lt;=80,I1991*1.15+4,IF(I1991&lt;=150,I1991*1.15+6,I1991*1.15+8))),
IF(L1991="COMPLEMENTO",
   IF(I1991&lt;=25,I1991*1.25+1.5,IF(I1991&lt;=60,I1991*1.25+3,IF(I1991&lt;=120,I1991*1.25+4,I1991*1.25+5))),
""))),2)</f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31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>ROUND(
IF(L1992="GANCHO",
   IF(I1992&lt;=50,I1992*1.1+4,IF(I1992&lt;=120,I1992*1.1+7,IF(I1992&lt;=250,I1992*1.1+11,I1992*1.1+19))),
IF(L1992="NORMAL",
   IF(I1992&lt;=30,I1992*1.15+2,IF(I1992&lt;=80,I1992*1.15+4,IF(I1992&lt;=150,I1992*1.15+6,I1992*1.15+8))),
IF(L1992="COMPLEMENTO",
   IF(I1992&lt;=25,I1992*1.25+1.5,IF(I1992&lt;=60,I1992*1.25+3,IF(I1992&lt;=120,I1992*1.25+4,I1992*1.25+5))),
""))),2)</f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31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>ROUND(
IF(L1993="GANCHO",
   IF(I1993&lt;=50,I1993*1.1+4,IF(I1993&lt;=120,I1993*1.1+7,IF(I1993&lt;=250,I1993*1.1+11,I1993*1.1+19))),
IF(L1993="NORMAL",
   IF(I1993&lt;=30,I1993*1.15+2,IF(I1993&lt;=80,I1993*1.15+4,IF(I1993&lt;=150,I1993*1.15+6,I1993*1.15+8))),
IF(L1993="COMPLEMENTO",
   IF(I1993&lt;=25,I1993*1.25+1.5,IF(I1993&lt;=60,I1993*1.25+3,IF(I1993&lt;=120,I1993*1.25+4,I1993*1.25+5))),
""))),2)</f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31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>ROUND(
IF(L1994="GANCHO",
   IF(I1994&lt;=50,I1994*1.1+4,IF(I1994&lt;=120,I1994*1.1+7,IF(I1994&lt;=250,I1994*1.1+11,I1994*1.1+19))),
IF(L1994="NORMAL",
   IF(I1994&lt;=30,I1994*1.15+2,IF(I1994&lt;=80,I1994*1.15+4,IF(I1994&lt;=150,I1994*1.15+6,I1994*1.15+8))),
IF(L1994="COMPLEMENTO",
   IF(I1994&lt;=25,I1994*1.25+1.5,IF(I1994&lt;=60,I1994*1.25+3,IF(I1994&lt;=120,I1994*1.25+4,I1994*1.25+5))),
""))),2)</f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31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>ROUND(
IF(L1995="GANCHO",
   IF(I1995&lt;=50,I1995*1.1+4,IF(I1995&lt;=120,I1995*1.1+7,IF(I1995&lt;=250,I1995*1.1+11,I1995*1.1+19))),
IF(L1995="NORMAL",
   IF(I1995&lt;=30,I1995*1.15+2,IF(I1995&lt;=80,I1995*1.15+4,IF(I1995&lt;=150,I1995*1.15+6,I1995*1.15+8))),
IF(L1995="COMPLEMENTO",
   IF(I1995&lt;=25,I1995*1.25+1.5,IF(I1995&lt;=60,I1995*1.25+3,IF(I1995&lt;=120,I1995*1.25+4,I1995*1.25+5))),
""))),2)</f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31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>ROUND(
IF(L1996="GANCHO",
   IF(I1996&lt;=50,I1996*1.1+4,IF(I1996&lt;=120,I1996*1.1+7,IF(I1996&lt;=250,I1996*1.1+11,I1996*1.1+19))),
IF(L1996="NORMAL",
   IF(I1996&lt;=30,I1996*1.15+2,IF(I1996&lt;=80,I1996*1.15+4,IF(I1996&lt;=150,I1996*1.15+6,I1996*1.15+8))),
IF(L1996="COMPLEMENTO",
   IF(I1996&lt;=25,I1996*1.25+1.5,IF(I1996&lt;=60,I1996*1.25+3,IF(I1996&lt;=120,I1996*1.25+4,I1996*1.25+5))),
""))),2)</f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31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>ROUND(
IF(L1997="GANCHO",
   IF(I1997&lt;=50,I1997*1.1+4,IF(I1997&lt;=120,I1997*1.1+7,IF(I1997&lt;=250,I1997*1.1+11,I1997*1.1+19))),
IF(L1997="NORMAL",
   IF(I1997&lt;=30,I1997*1.15+2,IF(I1997&lt;=80,I1997*1.15+4,IF(I1997&lt;=150,I1997*1.15+6,I1997*1.15+8))),
IF(L1997="COMPLEMENTO",
   IF(I1997&lt;=25,I1997*1.25+1.5,IF(I1997&lt;=60,I1997*1.25+3,IF(I1997&lt;=120,I1997*1.25+4,I1997*1.25+5))),
""))),2)</f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31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>ROUND(
IF(L1998="GANCHO",
   IF(I1998&lt;=50,I1998*1.1+4,IF(I1998&lt;=120,I1998*1.1+7,IF(I1998&lt;=250,I1998*1.1+11,I1998*1.1+19))),
IF(L1998="NORMAL",
   IF(I1998&lt;=30,I1998*1.15+2,IF(I1998&lt;=80,I1998*1.15+4,IF(I1998&lt;=150,I1998*1.15+6,I1998*1.15+8))),
IF(L1998="COMPLEMENTO",
   IF(I1998&lt;=25,I1998*1.25+1.5,IF(I1998&lt;=60,I1998*1.25+3,IF(I1998&lt;=120,I1998*1.25+4,I1998*1.25+5))),
""))),2)</f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31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>ROUND(
IF(L1999="GANCHO",
   IF(I1999&lt;=50,I1999*1.1+4,IF(I1999&lt;=120,I1999*1.1+7,IF(I1999&lt;=250,I1999*1.1+11,I1999*1.1+19))),
IF(L1999="NORMAL",
   IF(I1999&lt;=30,I1999*1.15+2,IF(I1999&lt;=80,I1999*1.15+4,IF(I1999&lt;=150,I1999*1.15+6,I1999*1.15+8))),
IF(L1999="COMPLEMENTO",
   IF(I1999&lt;=25,I1999*1.25+1.5,IF(I1999&lt;=60,I1999*1.25+3,IF(I1999&lt;=120,I1999*1.25+4,I1999*1.25+5))),
""))),2)</f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31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>ROUND(
IF(L2000="GANCHO",
   IF(I2000&lt;=50,I2000*1.1+4,IF(I2000&lt;=120,I2000*1.1+7,IF(I2000&lt;=250,I2000*1.1+11,I2000*1.1+19))),
IF(L2000="NORMAL",
   IF(I2000&lt;=30,I2000*1.15+2,IF(I2000&lt;=80,I2000*1.15+4,IF(I2000&lt;=150,I2000*1.15+6,I2000*1.15+8))),
IF(L2000="COMPLEMENTO",
   IF(I2000&lt;=25,I2000*1.25+1.5,IF(I2000&lt;=60,I2000*1.25+3,IF(I2000&lt;=120,I2000*1.25+4,I2000*1.25+5))),
""))),2)</f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31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>ROUND(
IF(L2001="GANCHO",
   IF(I2001&lt;=50,I2001*1.1+4,IF(I2001&lt;=120,I2001*1.1+7,IF(I2001&lt;=250,I2001*1.1+11,I2001*1.1+19))),
IF(L2001="NORMAL",
   IF(I2001&lt;=30,I2001*1.15+2,IF(I2001&lt;=80,I2001*1.15+4,IF(I2001&lt;=150,I2001*1.15+6,I2001*1.15+8))),
IF(L2001="COMPLEMENTO",
   IF(I2001&lt;=25,I2001*1.25+1.5,IF(I2001&lt;=60,I2001*1.25+3,IF(I2001&lt;=120,I2001*1.25+4,I2001*1.25+5))),
""))),2)</f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31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>ROUND(
IF(L2002="GANCHO",
   IF(I2002&lt;=50,I2002*1.1+4,IF(I2002&lt;=120,I2002*1.1+7,IF(I2002&lt;=250,I2002*1.1+11,I2002*1.1+19))),
IF(L2002="NORMAL",
   IF(I2002&lt;=30,I2002*1.15+2,IF(I2002&lt;=80,I2002*1.15+4,IF(I2002&lt;=150,I2002*1.15+6,I2002*1.15+8))),
IF(L2002="COMPLEMENTO",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31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>ROUND(
IF(L2003="GANCHO",
   IF(I2003&lt;=50,I2003*1.1+4,IF(I2003&lt;=120,I2003*1.1+7,IF(I2003&lt;=250,I2003*1.1+11,I2003*1.1+19))),
IF(L2003="NORMAL",
   IF(I2003&lt;=30,I2003*1.15+2,IF(I2003&lt;=80,I2003*1.15+4,IF(I2003&lt;=150,I2003*1.15+6,I2003*1.15+8))),
IF(L2003="COMPLEMENTO",
   IF(I2003&lt;=25,I2003*1.25+1.5,IF(I2003&lt;=60,I2003*1.25+3,IF(I2003&lt;=120,I2003*1.25+4,I2003*1.25+5))),
""))),2)</f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31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>ROUND(
IF(L2004="GANCHO",
   IF(I2004&lt;=50,I2004*1.1+4,IF(I2004&lt;=120,I2004*1.1+7,IF(I2004&lt;=250,I2004*1.1+11,I2004*1.1+19))),
IF(L2004="NORMAL",
   IF(I2004&lt;=30,I2004*1.15+2,IF(I2004&lt;=80,I2004*1.15+4,IF(I2004&lt;=150,I2004*1.15+6,I2004*1.15+8))),
IF(L2004="COMPLEMENTO",
   IF(I2004&lt;=25,I2004*1.25+1.5,IF(I2004&lt;=60,I2004*1.25+3,IF(I2004&lt;=120,I2004*1.25+4,I2004*1.25+5))),
""))),2)</f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31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>ROUND(
IF(L2005="GANCHO",
   IF(I2005&lt;=50,I2005*1.1+4,IF(I2005&lt;=120,I2005*1.1+7,IF(I2005&lt;=250,I2005*1.1+11,I2005*1.1+19))),
IF(L2005="NORMAL",
   IF(I2005&lt;=30,I2005*1.15+2,IF(I2005&lt;=80,I2005*1.15+4,IF(I2005&lt;=150,I2005*1.15+6,I2005*1.15+8))),
IF(L2005="COMPLEMENTO",
   IF(I2005&lt;=25,I2005*1.25+1.5,IF(I2005&lt;=60,I2005*1.25+3,IF(I2005&lt;=120,I2005*1.25+4,I2005*1.25+5))),
""))),2)</f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31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>ROUND(
IF(L2006="GANCHO",
   IF(I2006&lt;=50,I2006*1.1+4,IF(I2006&lt;=120,I2006*1.1+7,IF(I2006&lt;=250,I2006*1.1+11,I2006*1.1+19))),
IF(L2006="NORMAL",
   IF(I2006&lt;=30,I2006*1.15+2,IF(I2006&lt;=80,I2006*1.15+4,IF(I2006&lt;=150,I2006*1.15+6,I2006*1.15+8))),
IF(L2006="COMPLEMENTO",
   IF(I2006&lt;=25,I2006*1.25+1.5,IF(I2006&lt;=60,I2006*1.25+3,IF(I2006&lt;=120,I2006*1.25+4,I2006*1.25+5))),
""))),2)</f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31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>ROUND(
IF(L2007="GANCHO",
   IF(I2007&lt;=50,I2007*1.1+4,IF(I2007&lt;=120,I2007*1.1+7,IF(I2007&lt;=250,I2007*1.1+11,I2007*1.1+19))),
IF(L2007="NORMAL",
   IF(I2007&lt;=30,I2007*1.15+2,IF(I2007&lt;=80,I2007*1.15+4,IF(I2007&lt;=150,I2007*1.15+6,I2007*1.15+8))),
IF(L2007="COMPLEMENTO",
   IF(I2007&lt;=25,I2007*1.25+1.5,IF(I2007&lt;=60,I2007*1.25+3,IF(I2007&lt;=120,I2007*1.25+4,I2007*1.25+5))),
""))),2)</f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31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>ROUND(
IF(L2008="GANCHO",
   IF(I2008&lt;=50,I2008*1.1+4,IF(I2008&lt;=120,I2008*1.1+7,IF(I2008&lt;=250,I2008*1.1+11,I2008*1.1+19))),
IF(L2008="NORMAL",
   IF(I2008&lt;=30,I2008*1.15+2,IF(I2008&lt;=80,I2008*1.15+4,IF(I2008&lt;=150,I2008*1.15+6,I2008*1.15+8))),
IF(L2008="COMPLEMENTO",
   IF(I2008&lt;=25,I2008*1.25+1.5,IF(I2008&lt;=60,I2008*1.25+3,IF(I2008&lt;=120,I2008*1.25+4,I2008*1.25+5))),
""))),2)</f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31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>ROUND(
IF(L2009="GANCHO",
   IF(I2009&lt;=50,I2009*1.1+4,IF(I2009&lt;=120,I2009*1.1+7,IF(I2009&lt;=250,I2009*1.1+11,I2009*1.1+19))),
IF(L2009="NORMAL",
   IF(I2009&lt;=30,I2009*1.15+2,IF(I2009&lt;=80,I2009*1.15+4,IF(I2009&lt;=150,I2009*1.15+6,I2009*1.15+8))),
IF(L2009="COMPLEMENTO",
   IF(I2009&lt;=25,I2009*1.25+1.5,IF(I2009&lt;=60,I2009*1.25+3,IF(I2009&lt;=120,I2009*1.25+4,I2009*1.25+5))),
""))),2)</f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31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>ROUND(
IF(L2010="GANCHO",
   IF(I2010&lt;=50,I2010*1.1+4,IF(I2010&lt;=120,I2010*1.1+7,IF(I2010&lt;=250,I2010*1.1+11,I2010*1.1+19))),
IF(L2010="NORMAL",
   IF(I2010&lt;=30,I2010*1.15+2,IF(I2010&lt;=80,I2010*1.15+4,IF(I2010&lt;=150,I2010*1.15+6,I2010*1.15+8))),
IF(L2010="COMPLEMENTO",
   IF(I2010&lt;=25,I2010*1.25+1.5,IF(I2010&lt;=60,I2010*1.25+3,IF(I2010&lt;=120,I2010*1.25+4,I2010*1.25+5))),
""))),2)</f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31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>ROUND(
IF(L2011="GANCHO",
   IF(I2011&lt;=50,I2011*1.1+4,IF(I2011&lt;=120,I2011*1.1+7,IF(I2011&lt;=250,I2011*1.1+11,I2011*1.1+19))),
IF(L2011="NORMAL",
   IF(I2011&lt;=30,I2011*1.15+2,IF(I2011&lt;=80,I2011*1.15+4,IF(I2011&lt;=150,I2011*1.15+6,I2011*1.15+8))),
IF(L2011="COMPLEMENTO",
   IF(I2011&lt;=25,I2011*1.25+1.5,IF(I2011&lt;=60,I2011*1.25+3,IF(I2011&lt;=120,I2011*1.25+4,I2011*1.25+5))),
""))),2)</f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31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>ROUND(
IF(L2012="GANCHO",
   IF(I2012&lt;=50,I2012*1.1+4,IF(I2012&lt;=120,I2012*1.1+7,IF(I2012&lt;=250,I2012*1.1+11,I2012*1.1+19))),
IF(L2012="NORMAL",
   IF(I2012&lt;=30,I2012*1.15+2,IF(I2012&lt;=80,I2012*1.15+4,IF(I2012&lt;=150,I2012*1.15+6,I2012*1.15+8))),
IF(L2012="COMPLEMENTO",
   IF(I2012&lt;=25,I2012*1.25+1.5,IF(I2012&lt;=60,I2012*1.25+3,IF(I2012&lt;=120,I2012*1.25+4,I2012*1.25+5))),
""))),2)</f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31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>ROUND(
IF(L2013="GANCHO",
   IF(I2013&lt;=50,I2013*1.1+4,IF(I2013&lt;=120,I2013*1.1+7,IF(I2013&lt;=250,I2013*1.1+11,I2013*1.1+19))),
IF(L2013="NORMAL",
   IF(I2013&lt;=30,I2013*1.15+2,IF(I2013&lt;=80,I2013*1.15+4,IF(I2013&lt;=150,I2013*1.15+6,I2013*1.15+8))),
IF(L2013="COMPLEMENTO",
   IF(I2013&lt;=25,I2013*1.25+1.5,IF(I2013&lt;=60,I2013*1.25+3,IF(I2013&lt;=120,I2013*1.25+4,I2013*1.25+5))),
""))),2)</f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31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>ROUND(
IF(L2014="GANCHO",
   IF(I2014&lt;=50,I2014*1.1+4,IF(I2014&lt;=120,I2014*1.1+7,IF(I2014&lt;=250,I2014*1.1+11,I2014*1.1+19))),
IF(L2014="NORMAL",
   IF(I2014&lt;=30,I2014*1.15+2,IF(I2014&lt;=80,I2014*1.15+4,IF(I2014&lt;=150,I2014*1.15+6,I2014*1.15+8))),
IF(L2014="COMPLEMENTO",
   IF(I2014&lt;=25,I2014*1.25+1.5,IF(I2014&lt;=60,I2014*1.25+3,IF(I2014&lt;=120,I2014*1.25+4,I2014*1.25+5))),
""))),2)</f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31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>ROUND(
IF(L2015="GANCHO",
   IF(I2015&lt;=50,I2015*1.1+4,IF(I2015&lt;=120,I2015*1.1+7,IF(I2015&lt;=250,I2015*1.1+11,I2015*1.1+19))),
IF(L2015="NORMAL",
   IF(I2015&lt;=30,I2015*1.15+2,IF(I2015&lt;=80,I2015*1.15+4,IF(I2015&lt;=150,I2015*1.15+6,I2015*1.15+8))),
IF(L2015="COMPLEMENTO",
   IF(I2015&lt;=25,I2015*1.25+1.5,IF(I2015&lt;=60,I2015*1.25+3,IF(I2015&lt;=120,I2015*1.25+4,I2015*1.25+5))),
""))),2)</f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31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>ROUND(
IF(L2016="GANCHO",
   IF(I2016&lt;=50,I2016*1.1+4,IF(I2016&lt;=120,I2016*1.1+7,IF(I2016&lt;=250,I2016*1.1+11,I2016*1.1+19))),
IF(L2016="NORMAL",
   IF(I2016&lt;=30,I2016*1.15+2,IF(I2016&lt;=80,I2016*1.15+4,IF(I2016&lt;=150,I2016*1.15+6,I2016*1.15+8))),
IF(L2016="COMPLEMENTO",
   IF(I2016&lt;=25,I2016*1.25+1.5,IF(I2016&lt;=60,I2016*1.25+3,IF(I2016&lt;=120,I2016*1.25+4,I2016*1.25+5))),
""))),2)</f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31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>ROUND(
IF(L2017="GANCHO",
   IF(I2017&lt;=50,I2017*1.1+4,IF(I2017&lt;=120,I2017*1.1+7,IF(I2017&lt;=250,I2017*1.1+11,I2017*1.1+19))),
IF(L2017="NORMAL",
   IF(I2017&lt;=30,I2017*1.15+2,IF(I2017&lt;=80,I2017*1.15+4,IF(I2017&lt;=150,I2017*1.15+6,I2017*1.15+8))),
IF(L2017="COMPLEMENTO",
   IF(I2017&lt;=25,I2017*1.25+1.5,IF(I2017&lt;=60,I2017*1.25+3,IF(I2017&lt;=120,I2017*1.25+4,I2017*1.25+5))),
""))),2)</f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31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>ROUND(
IF(L2018="GANCHO",
   IF(I2018&lt;=50,I2018*1.1+4,IF(I2018&lt;=120,I2018*1.1+7,IF(I2018&lt;=250,I2018*1.1+11,I2018*1.1+19))),
IF(L2018="NORMAL",
   IF(I2018&lt;=30,I2018*1.15+2,IF(I2018&lt;=80,I2018*1.15+4,IF(I2018&lt;=150,I2018*1.15+6,I2018*1.15+8))),
IF(L2018="COMPLEMENTO",
   IF(I2018&lt;=25,I2018*1.25+1.5,IF(I2018&lt;=60,I2018*1.25+3,IF(I2018&lt;=120,I2018*1.25+4,I2018*1.25+5))),
""))),2)</f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31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>ROUND(
IF(L2019="GANCHO",
   IF(I2019&lt;=50,I2019*1.1+4,IF(I2019&lt;=120,I2019*1.1+7,IF(I2019&lt;=250,I2019*1.1+11,I2019*1.1+19))),
IF(L2019="NORMAL",
   IF(I2019&lt;=30,I2019*1.15+2,IF(I2019&lt;=80,I2019*1.15+4,IF(I2019&lt;=150,I2019*1.15+6,I2019*1.15+8))),
IF(L2019="COMPLEMENTO",
   IF(I2019&lt;=25,I2019*1.25+1.5,IF(I2019&lt;=60,I2019*1.25+3,IF(I2019&lt;=120,I2019*1.25+4,I2019*1.25+5))),
""))),2)</f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31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>ROUND(
IF(L2020="GANCHO",
   IF(I2020&lt;=50,I2020*1.1+4,IF(I2020&lt;=120,I2020*1.1+7,IF(I2020&lt;=250,I2020*1.1+11,I2020*1.1+19))),
IF(L2020="NORMAL",
   IF(I2020&lt;=30,I2020*1.15+2,IF(I2020&lt;=80,I2020*1.15+4,IF(I2020&lt;=150,I2020*1.15+6,I2020*1.15+8))),
IF(L2020="COMPLEMENTO",
   IF(I2020&lt;=25,I2020*1.25+1.5,IF(I2020&lt;=60,I2020*1.25+3,IF(I2020&lt;=120,I2020*1.25+4,I2020*1.25+5))),
""))),2)</f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31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>ROUND(
IF(L2021="GANCHO",
   IF(I2021&lt;=50,I2021*1.1+4,IF(I2021&lt;=120,I2021*1.1+7,IF(I2021&lt;=250,I2021*1.1+11,I2021*1.1+19))),
IF(L2021="NORMAL",
   IF(I2021&lt;=30,I2021*1.15+2,IF(I2021&lt;=80,I2021*1.15+4,IF(I2021&lt;=150,I2021*1.15+6,I2021*1.15+8))),
IF(L2021="COMPLEMENTO",
   IF(I2021&lt;=25,I2021*1.25+1.5,IF(I2021&lt;=60,I2021*1.25+3,IF(I2021&lt;=120,I2021*1.25+4,I2021*1.25+5))),
""))),2)</f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31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>ROUND(
IF(L2022="GANCHO",
   IF(I2022&lt;=50,I2022*1.1+4,IF(I2022&lt;=120,I2022*1.1+7,IF(I2022&lt;=250,I2022*1.1+11,I2022*1.1+19))),
IF(L2022="NORMAL",
   IF(I2022&lt;=30,I2022*1.15+2,IF(I2022&lt;=80,I2022*1.15+4,IF(I2022&lt;=150,I2022*1.15+6,I2022*1.15+8))),
IF(L2022="COMPLEMENTO",
   IF(I2022&lt;=25,I2022*1.25+1.5,IF(I2022&lt;=60,I2022*1.25+3,IF(I2022&lt;=120,I2022*1.25+4,I2022*1.25+5))),
""))),2)</f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31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>ROUND(
IF(L2023="GANCHO",
   IF(I2023&lt;=50,I2023*1.1+4,IF(I2023&lt;=120,I2023*1.1+7,IF(I2023&lt;=250,I2023*1.1+11,I2023*1.1+19))),
IF(L2023="NORMAL",
   IF(I2023&lt;=30,I2023*1.15+2,IF(I2023&lt;=80,I2023*1.15+4,IF(I2023&lt;=150,I2023*1.15+6,I2023*1.15+8))),
IF(L2023="COMPLEMENTO",
   IF(I2023&lt;=25,I2023*1.25+1.5,IF(I2023&lt;=60,I2023*1.25+3,IF(I2023&lt;=120,I2023*1.25+4,I2023*1.25+5))),
""))),2)</f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31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>ROUND(
IF(L2024="GANCHO",
   IF(I2024&lt;=50,I2024*1.1+4,IF(I2024&lt;=120,I2024*1.1+7,IF(I2024&lt;=250,I2024*1.1+11,I2024*1.1+19))),
IF(L2024="NORMAL",
   IF(I2024&lt;=30,I2024*1.15+2,IF(I2024&lt;=80,I2024*1.15+4,IF(I2024&lt;=150,I2024*1.15+6,I2024*1.15+8))),
IF(L2024="COMPLEMENTO",
   IF(I2024&lt;=25,I2024*1.25+1.5,IF(I2024&lt;=60,I2024*1.25+3,IF(I2024&lt;=120,I2024*1.25+4,I2024*1.25+5))),
""))),2)</f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31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>ROUND(
IF(L2025="GANCHO",
   IF(I2025&lt;=50,I2025*1.1+4,IF(I2025&lt;=120,I2025*1.1+7,IF(I2025&lt;=250,I2025*1.1+11,I2025*1.1+19))),
IF(L2025="NORMAL",
   IF(I2025&lt;=30,I2025*1.15+2,IF(I2025&lt;=80,I2025*1.15+4,IF(I2025&lt;=150,I2025*1.15+6,I2025*1.15+8))),
IF(L2025="COMPLEMENTO",
   IF(I2025&lt;=25,I2025*1.25+1.5,IF(I2025&lt;=60,I2025*1.25+3,IF(I2025&lt;=120,I2025*1.25+4,I2025*1.25+5))),
""))),2)</f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31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>ROUND(
IF(L2026="GANCHO",
   IF(I2026&lt;=50,I2026*1.1+4,IF(I2026&lt;=120,I2026*1.1+7,IF(I2026&lt;=250,I2026*1.1+11,I2026*1.1+19))),
IF(L2026="NORMAL",
   IF(I2026&lt;=30,I2026*1.15+2,IF(I2026&lt;=80,I2026*1.15+4,IF(I2026&lt;=150,I2026*1.15+6,I2026*1.15+8))),
IF(L2026="COMPLEMENTO",
   IF(I2026&lt;=25,I2026*1.25+1.5,IF(I2026&lt;=60,I2026*1.25+3,IF(I2026&lt;=120,I2026*1.25+4,I2026*1.25+5))),
""))),2)</f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31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>ROUND(
IF(L2027="GANCHO",
   IF(I2027&lt;=50,I2027*1.1+4,IF(I2027&lt;=120,I2027*1.1+7,IF(I2027&lt;=250,I2027*1.1+11,I2027*1.1+19))),
IF(L2027="NORMAL",
   IF(I2027&lt;=30,I2027*1.15+2,IF(I2027&lt;=80,I2027*1.15+4,IF(I2027&lt;=150,I2027*1.15+6,I2027*1.15+8))),
IF(L2027="COMPLEMENTO",
   IF(I2027&lt;=25,I2027*1.25+1.5,IF(I2027&lt;=60,I2027*1.25+3,IF(I2027&lt;=120,I2027*1.25+4,I2027*1.25+5))),
""))),2)</f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31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>ROUND(
IF(L2028="GANCHO",
   IF(I2028&lt;=50,I2028*1.1+4,IF(I2028&lt;=120,I2028*1.1+7,IF(I2028&lt;=250,I2028*1.1+11,I2028*1.1+19))),
IF(L2028="NORMAL",
   IF(I2028&lt;=30,I2028*1.15+2,IF(I2028&lt;=80,I2028*1.15+4,IF(I2028&lt;=150,I2028*1.15+6,I2028*1.15+8))),
IF(L2028="COMPLEMENTO",
   IF(I2028&lt;=25,I2028*1.25+1.5,IF(I2028&lt;=60,I2028*1.25+3,IF(I2028&lt;=120,I2028*1.25+4,I2028*1.25+5))),
""))),2)</f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31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>ROUND(
IF(L2029="GANCHO",
   IF(I2029&lt;=50,I2029*1.1+4,IF(I2029&lt;=120,I2029*1.1+7,IF(I2029&lt;=250,I2029*1.1+11,I2029*1.1+19))),
IF(L2029="NORMAL",
   IF(I2029&lt;=30,I2029*1.15+2,IF(I2029&lt;=80,I2029*1.15+4,IF(I2029&lt;=150,I2029*1.15+6,I2029*1.15+8))),
IF(L2029="COMPLEMENTO",
   IF(I2029&lt;=25,I2029*1.25+1.5,IF(I2029&lt;=60,I2029*1.25+3,IF(I2029&lt;=120,I2029*1.25+4,I2029*1.25+5))),
""))),2)</f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31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>ROUND(
IF(L2030="GANCHO",
   IF(I2030&lt;=50,I2030*1.1+4,IF(I2030&lt;=120,I2030*1.1+7,IF(I2030&lt;=250,I2030*1.1+11,I2030*1.1+19))),
IF(L2030="NORMAL",
   IF(I2030&lt;=30,I2030*1.15+2,IF(I2030&lt;=80,I2030*1.15+4,IF(I2030&lt;=150,I2030*1.15+6,I2030*1.15+8))),
IF(L2030="COMPLEMENTO",
   IF(I2030&lt;=25,I2030*1.25+1.5,IF(I2030&lt;=60,I2030*1.25+3,IF(I2030&lt;=120,I2030*1.25+4,I2030*1.25+5))),
""))),2)</f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31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>ROUND(
IF(L2031="GANCHO",
   IF(I2031&lt;=50,I2031*1.1+4,IF(I2031&lt;=120,I2031*1.1+7,IF(I2031&lt;=250,I2031*1.1+11,I2031*1.1+19))),
IF(L2031="NORMAL",
   IF(I2031&lt;=30,I2031*1.15+2,IF(I2031&lt;=80,I2031*1.15+4,IF(I2031&lt;=150,I2031*1.15+6,I2031*1.15+8))),
IF(L2031="COMPLEMENTO",
   IF(I2031&lt;=25,I2031*1.25+1.5,IF(I2031&lt;=60,I2031*1.25+3,IF(I2031&lt;=120,I2031*1.25+4,I2031*1.25+5))),
""))),2)</f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31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>ROUND(
IF(L2032="GANCHO",
   IF(I2032&lt;=50,I2032*1.1+4,IF(I2032&lt;=120,I2032*1.1+7,IF(I2032&lt;=250,I2032*1.1+11,I2032*1.1+19))),
IF(L2032="NORMAL",
   IF(I2032&lt;=30,I2032*1.15+2,IF(I2032&lt;=80,I2032*1.15+4,IF(I2032&lt;=150,I2032*1.15+6,I2032*1.15+8))),
IF(L2032="COMPLEMENTO",
   IF(I2032&lt;=25,I2032*1.25+1.5,IF(I2032&lt;=60,I2032*1.25+3,IF(I2032&lt;=120,I2032*1.25+4,I2032*1.25+5))),
""))),2)</f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31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>ROUND(
IF(L2033="GANCHO",
   IF(I2033&lt;=50,I2033*1.1+4,IF(I2033&lt;=120,I2033*1.1+7,IF(I2033&lt;=250,I2033*1.1+11,I2033*1.1+19))),
IF(L2033="NORMAL",
   IF(I2033&lt;=30,I2033*1.15+2,IF(I2033&lt;=80,I2033*1.15+4,IF(I2033&lt;=150,I2033*1.15+6,I2033*1.15+8))),
IF(L2033="COMPLEMENTO",
   IF(I2033&lt;=25,I2033*1.25+1.5,IF(I2033&lt;=60,I2033*1.25+3,IF(I2033&lt;=120,I2033*1.25+4,I2033*1.25+5))),
""))),2)</f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31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>ROUND(
IF(L2034="GANCHO",
   IF(I2034&lt;=50,I2034*1.1+4,IF(I2034&lt;=120,I2034*1.1+7,IF(I2034&lt;=250,I2034*1.1+11,I2034*1.1+19))),
IF(L2034="NORMAL",
   IF(I2034&lt;=30,I2034*1.15+2,IF(I2034&lt;=80,I2034*1.15+4,IF(I2034&lt;=150,I2034*1.15+6,I2034*1.15+8))),
IF(L2034="COMPLEMENTO",
   IF(I2034&lt;=25,I2034*1.25+1.5,IF(I2034&lt;=60,I2034*1.25+3,IF(I2034&lt;=120,I2034*1.25+4,I2034*1.25+5))),
""))),2)</f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31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>ROUND(
IF(L2035="GANCHO",
   IF(I2035&lt;=50,I2035*1.1+4,IF(I2035&lt;=120,I2035*1.1+7,IF(I2035&lt;=250,I2035*1.1+11,I2035*1.1+19))),
IF(L2035="NORMAL",
   IF(I2035&lt;=30,I2035*1.15+2,IF(I2035&lt;=80,I2035*1.15+4,IF(I2035&lt;=150,I2035*1.15+6,I2035*1.15+8))),
IF(L2035="COMPLEMENTO",
   IF(I2035&lt;=25,I2035*1.25+1.5,IF(I2035&lt;=60,I2035*1.25+3,IF(I2035&lt;=120,I2035*1.25+4,I2035*1.25+5))),
""))),2)</f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31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>ROUND(
IF(L2036="GANCHO",
   IF(I2036&lt;=50,I2036*1.1+4,IF(I2036&lt;=120,I2036*1.1+7,IF(I2036&lt;=250,I2036*1.1+11,I2036*1.1+19))),
IF(L2036="NORMAL",
   IF(I2036&lt;=30,I2036*1.15+2,IF(I2036&lt;=80,I2036*1.15+4,IF(I2036&lt;=150,I2036*1.15+6,I2036*1.15+8))),
IF(L2036="COMPLEMENTO",
   IF(I2036&lt;=25,I2036*1.25+1.5,IF(I2036&lt;=60,I2036*1.25+3,IF(I2036&lt;=120,I2036*1.25+4,I2036*1.25+5))),
""))),2)</f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31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>ROUND(
IF(L2037="GANCHO",
   IF(I2037&lt;=50,I2037*1.1+4,IF(I2037&lt;=120,I2037*1.1+7,IF(I2037&lt;=250,I2037*1.1+11,I2037*1.1+19))),
IF(L2037="NORMAL",
   IF(I2037&lt;=30,I2037*1.15+2,IF(I2037&lt;=80,I2037*1.15+4,IF(I2037&lt;=150,I2037*1.15+6,I2037*1.15+8))),
IF(L2037="COMPLEMENTO",
   IF(I2037&lt;=25,I2037*1.25+1.5,IF(I2037&lt;=60,I2037*1.25+3,IF(I2037&lt;=120,I2037*1.25+4,I2037*1.25+5))),
""))),2)</f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31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>ROUND(
IF(L2038="GANCHO",
   IF(I2038&lt;=50,I2038*1.1+4,IF(I2038&lt;=120,I2038*1.1+7,IF(I2038&lt;=250,I2038*1.1+11,I2038*1.1+19))),
IF(L2038="NORMAL",
   IF(I2038&lt;=30,I2038*1.15+2,IF(I2038&lt;=80,I2038*1.15+4,IF(I2038&lt;=150,I2038*1.15+6,I2038*1.15+8))),
IF(L2038="COMPLEMENTO",
   IF(I2038&lt;=25,I2038*1.25+1.5,IF(I2038&lt;=60,I2038*1.25+3,IF(I2038&lt;=120,I2038*1.25+4,I2038*1.25+5))),
""))),2)</f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31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>ROUND(
IF(L2039="GANCHO",
   IF(I2039&lt;=50,I2039*1.1+4,IF(I2039&lt;=120,I2039*1.1+7,IF(I2039&lt;=250,I2039*1.1+11,I2039*1.1+19))),
IF(L2039="NORMAL",
   IF(I2039&lt;=30,I2039*1.15+2,IF(I2039&lt;=80,I2039*1.15+4,IF(I2039&lt;=150,I2039*1.15+6,I2039*1.15+8))),
IF(L2039="COMPLEMENTO",
   IF(I2039&lt;=25,I2039*1.25+1.5,IF(I2039&lt;=60,I2039*1.25+3,IF(I2039&lt;=120,I2039*1.25+4,I2039*1.25+5))),
""))),2)</f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31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>ROUND(
IF(L2040="GANCHO",
   IF(I2040&lt;=50,I2040*1.1+4,IF(I2040&lt;=120,I2040*1.1+7,IF(I2040&lt;=250,I2040*1.1+11,I2040*1.1+19))),
IF(L2040="NORMAL",
   IF(I2040&lt;=30,I2040*1.15+2,IF(I2040&lt;=80,I2040*1.15+4,IF(I2040&lt;=150,I2040*1.15+6,I2040*1.15+8))),
IF(L2040="COMPLEMENTO",
   IF(I2040&lt;=25,I2040*1.25+1.5,IF(I2040&lt;=60,I2040*1.25+3,IF(I2040&lt;=120,I2040*1.25+4,I2040*1.25+5))),
""))),2)</f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31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>ROUND(
IF(L2041="GANCHO",
   IF(I2041&lt;=50,I2041*1.1+4,IF(I2041&lt;=120,I2041*1.1+7,IF(I2041&lt;=250,I2041*1.1+11,I2041*1.1+19))),
IF(L2041="NORMAL",
   IF(I2041&lt;=30,I2041*1.15+2,IF(I2041&lt;=80,I2041*1.15+4,IF(I2041&lt;=150,I2041*1.15+6,I2041*1.15+8))),
IF(L2041="COMPLEMENTO",
   IF(I2041&lt;=25,I2041*1.25+1.5,IF(I2041&lt;=60,I2041*1.25+3,IF(I2041&lt;=120,I2041*1.25+4,I2041*1.25+5))),
""))),2)</f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31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>ROUND(
IF(L2042="GANCHO",
   IF(I2042&lt;=50,I2042*1.1+4,IF(I2042&lt;=120,I2042*1.1+7,IF(I2042&lt;=250,I2042*1.1+11,I2042*1.1+19))),
IF(L2042="NORMAL",
   IF(I2042&lt;=30,I2042*1.15+2,IF(I2042&lt;=80,I2042*1.15+4,IF(I2042&lt;=150,I2042*1.15+6,I2042*1.15+8))),
IF(L2042="COMPLEMENTO",
   IF(I2042&lt;=25,I2042*1.25+1.5,IF(I2042&lt;=60,I2042*1.25+3,IF(I2042&lt;=120,I2042*1.25+4,I2042*1.25+5))),
""))),2)</f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31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>ROUND(
IF(L2043="GANCHO",
   IF(I2043&lt;=50,I2043*1.1+4,IF(I2043&lt;=120,I2043*1.1+7,IF(I2043&lt;=250,I2043*1.1+11,I2043*1.1+19))),
IF(L2043="NORMAL",
   IF(I2043&lt;=30,I2043*1.15+2,IF(I2043&lt;=80,I2043*1.15+4,IF(I2043&lt;=150,I2043*1.15+6,I2043*1.15+8))),
IF(L2043="COMPLEMENTO",
   IF(I2043&lt;=25,I2043*1.25+1.5,IF(I2043&lt;=60,I2043*1.25+3,IF(I2043&lt;=120,I2043*1.25+4,I2043*1.25+5))),
""))),2)</f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31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>ROUND(
IF(L2044="GANCHO",
   IF(I2044&lt;=50,I2044*1.1+4,IF(I2044&lt;=120,I2044*1.1+7,IF(I2044&lt;=250,I2044*1.1+11,I2044*1.1+19))),
IF(L2044="NORMAL",
   IF(I2044&lt;=30,I2044*1.15+2,IF(I2044&lt;=80,I2044*1.15+4,IF(I2044&lt;=150,I2044*1.15+6,I2044*1.15+8))),
IF(L2044="COMPLEMENTO",
   IF(I2044&lt;=25,I2044*1.25+1.5,IF(I2044&lt;=60,I2044*1.25+3,IF(I2044&lt;=120,I2044*1.25+4,I2044*1.25+5))),
""))),2)</f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31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>ROUND(
IF(L2045="GANCHO",
   IF(I2045&lt;=50,I2045*1.1+4,IF(I2045&lt;=120,I2045*1.1+7,IF(I2045&lt;=250,I2045*1.1+11,I2045*1.1+19))),
IF(L2045="NORMAL",
   IF(I2045&lt;=30,I2045*1.15+2,IF(I2045&lt;=80,I2045*1.15+4,IF(I2045&lt;=150,I2045*1.15+6,I2045*1.15+8))),
IF(L2045="COMPLEMENTO",
   IF(I2045&lt;=25,I2045*1.25+1.5,IF(I2045&lt;=60,I2045*1.25+3,IF(I2045&lt;=120,I2045*1.25+4,I2045*1.25+5))),
""))),2)</f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31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>ROUND(
IF(L2046="GANCHO",
   IF(I2046&lt;=50,I2046*1.1+4,IF(I2046&lt;=120,I2046*1.1+7,IF(I2046&lt;=250,I2046*1.1+11,I2046*1.1+19))),
IF(L2046="NORMAL",
   IF(I2046&lt;=30,I2046*1.15+2,IF(I2046&lt;=80,I2046*1.15+4,IF(I2046&lt;=150,I2046*1.15+6,I2046*1.15+8))),
IF(L2046="COMPLEMENTO",
   IF(I2046&lt;=25,I2046*1.25+1.5,IF(I2046&lt;=60,I2046*1.25+3,IF(I2046&lt;=120,I2046*1.25+4,I2046*1.25+5))),
""))),2)</f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31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>ROUND(
IF(L2047="GANCHO",
   IF(I2047&lt;=50,I2047*1.1+4,IF(I2047&lt;=120,I2047*1.1+7,IF(I2047&lt;=250,I2047*1.1+11,I2047*1.1+19))),
IF(L2047="NORMAL",
   IF(I2047&lt;=30,I2047*1.15+2,IF(I2047&lt;=80,I2047*1.15+4,IF(I2047&lt;=150,I2047*1.15+6,I2047*1.15+8))),
IF(L2047="COMPLEMENTO",
   IF(I2047&lt;=25,I2047*1.25+1.5,IF(I2047&lt;=60,I2047*1.25+3,IF(I2047&lt;=120,I2047*1.25+4,I2047*1.25+5))),
""))),2)</f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31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>ROUND(
IF(L2048="GANCHO",
   IF(I2048&lt;=50,I2048*1.1+4,IF(I2048&lt;=120,I2048*1.1+7,IF(I2048&lt;=250,I2048*1.1+11,I2048*1.1+19))),
IF(L2048="NORMAL",
   IF(I2048&lt;=30,I2048*1.15+2,IF(I2048&lt;=80,I2048*1.15+4,IF(I2048&lt;=150,I2048*1.15+6,I2048*1.15+8))),
IF(L2048="COMPLEMENTO",
   IF(I2048&lt;=25,I2048*1.25+1.5,IF(I2048&lt;=60,I2048*1.25+3,IF(I2048&lt;=120,I2048*1.25+4,I2048*1.25+5))),
""))),2)</f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31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>ROUND(
IF(L2049="GANCHO",
   IF(I2049&lt;=50,I2049*1.1+4,IF(I2049&lt;=120,I2049*1.1+7,IF(I2049&lt;=250,I2049*1.1+11,I2049*1.1+19))),
IF(L2049="NORMAL",
   IF(I2049&lt;=30,I2049*1.15+2,IF(I2049&lt;=80,I2049*1.15+4,IF(I2049&lt;=150,I2049*1.15+6,I2049*1.15+8))),
IF(L2049="COMPLEMENTO",
   IF(I2049&lt;=25,I2049*1.25+1.5,IF(I2049&lt;=60,I2049*1.25+3,IF(I2049&lt;=120,I2049*1.25+4,I2049*1.25+5))),
""))),2)</f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31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31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>ROUND(
IF(L2051="GANCHO",
   IF(I2051&lt;=50,I2051*1.1+4,IF(I2051&lt;=120,I2051*1.1+7,IF(I2051&lt;=250,I2051*1.1+11,I2051*1.1+19))),
IF(L2051="NORMAL",
   IF(I2051&lt;=30,I2051*1.15+2,IF(I2051&lt;=80,I2051*1.15+4,IF(I2051&lt;=150,I2051*1.15+6,I2051*1.15+8))),
IF(L2051="COMPLEMENTO",
   IF(I2051&lt;=25,I2051*1.25+1.5,IF(I2051&lt;=60,I2051*1.25+3,IF(I2051&lt;=120,I2051*1.25+4,I2051*1.25+5))),
""))),2)</f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32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>ROUND(
IF(L2052="GANCHO",
   IF(I2052&lt;=50,I2052*1.1+4,IF(I2052&lt;=120,I2052*1.1+7,IF(I2052&lt;=250,I2052*1.1+11,I2052*1.1+19))),
IF(L2052="NORMAL",
   IF(I2052&lt;=30,I2052*1.15+2,IF(I2052&lt;=80,I2052*1.15+4,IF(I2052&lt;=150,I2052*1.15+6,I2052*1.15+8))),
IF(L2052="COMPLEMENTO",
   IF(I2052&lt;=25,I2052*1.25+1.5,IF(I2052&lt;=60,I2052*1.25+3,IF(I2052&lt;=120,I2052*1.25+4,I2052*1.25+5))),
""))),2)</f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32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>ROUND(
IF(L2053="GANCHO",
   IF(I2053&lt;=50,I2053*1.1+4,IF(I2053&lt;=120,I2053*1.1+7,IF(I2053&lt;=250,I2053*1.1+11,I2053*1.1+19))),
IF(L2053="NORMAL",
   IF(I2053&lt;=30,I2053*1.15+2,IF(I2053&lt;=80,I2053*1.15+4,IF(I2053&lt;=150,I2053*1.15+6,I2053*1.15+8))),
IF(L2053="COMPLEMENTO",
   IF(I2053&lt;=25,I2053*1.25+1.5,IF(I2053&lt;=60,I2053*1.25+3,IF(I2053&lt;=120,I2053*1.25+4,I2053*1.25+5))),
""))),2)</f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32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>ROUND(
IF(L2054="GANCHO",
   IF(I2054&lt;=50,I2054*1.1+4,IF(I2054&lt;=120,I2054*1.1+7,IF(I2054&lt;=250,I2054*1.1+11,I2054*1.1+19))),
IF(L2054="NORMAL",
   IF(I2054&lt;=30,I2054*1.15+2,IF(I2054&lt;=80,I2054*1.15+4,IF(I2054&lt;=150,I2054*1.15+6,I2054*1.15+8))),
IF(L2054="COMPLEMENTO",
   IF(I2054&lt;=25,I2054*1.25+1.5,IF(I2054&lt;=60,I2054*1.25+3,IF(I2054&lt;=120,I2054*1.25+4,I2054*1.25+5))),
""))),2)</f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32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>ROUND(
IF(L2055="GANCHO",
   IF(I2055&lt;=50,I2055*1.1+4,IF(I2055&lt;=120,I2055*1.1+7,IF(I2055&lt;=250,I2055*1.1+11,I2055*1.1+19))),
IF(L2055="NORMAL",
   IF(I2055&lt;=30,I2055*1.15+2,IF(I2055&lt;=80,I2055*1.15+4,IF(I2055&lt;=150,I2055*1.15+6,I2055*1.15+8))),
IF(L2055="COMPLEMENTO",
   IF(I2055&lt;=25,I2055*1.25+1.5,IF(I2055&lt;=60,I2055*1.25+3,IF(I2055&lt;=120,I2055*1.25+4,I2055*1.25+5))),
""))),2)</f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32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>ROUND(
IF(L2056="GANCHO",
   IF(I2056&lt;=50,I2056*1.1+4,IF(I2056&lt;=120,I2056*1.1+7,IF(I2056&lt;=250,I2056*1.1+11,I2056*1.1+19))),
IF(L2056="NORMAL",
   IF(I2056&lt;=30,I2056*1.15+2,IF(I2056&lt;=80,I2056*1.15+4,IF(I2056&lt;=150,I2056*1.15+6,I2056*1.15+8))),
IF(L2056="COMPLEMENTO",
   IF(I2056&lt;=25,I2056*1.25+1.5,IF(I2056&lt;=60,I2056*1.25+3,IF(I2056&lt;=120,I2056*1.25+4,I2056*1.25+5))),
""))),2)</f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32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>ROUND(
IF(L2057="GANCHO",
   IF(I2057&lt;=50,I2057*1.1+4,IF(I2057&lt;=120,I2057*1.1+7,IF(I2057&lt;=250,I2057*1.1+11,I2057*1.1+19))),
IF(L2057="NORMAL",
   IF(I2057&lt;=30,I2057*1.15+2,IF(I2057&lt;=80,I2057*1.15+4,IF(I2057&lt;=150,I2057*1.15+6,I2057*1.15+8))),
IF(L2057="COMPLEMENTO",
   IF(I2057&lt;=25,I2057*1.25+1.5,IF(I2057&lt;=60,I2057*1.25+3,IF(I2057&lt;=120,I2057*1.25+4,I2057*1.25+5))),
""))),2)</f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32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>ROUND(
IF(L2058="GANCHO",
   IF(I2058&lt;=50,I2058*1.1+4,IF(I2058&lt;=120,I2058*1.1+7,IF(I2058&lt;=250,I2058*1.1+11,I2058*1.1+19))),
IF(L2058="NORMAL",
   IF(I2058&lt;=30,I2058*1.15+2,IF(I2058&lt;=80,I2058*1.15+4,IF(I2058&lt;=150,I2058*1.15+6,I2058*1.15+8))),
IF(L2058="COMPLEMENTO",
   IF(I2058&lt;=25,I2058*1.25+1.5,IF(I2058&lt;=60,I2058*1.25+3,IF(I2058&lt;=120,I2058*1.25+4,I2058*1.25+5))),
""))),2)</f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32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>ROUND(
IF(L2059="GANCHO",
   IF(I2059&lt;=50,I2059*1.1+4,IF(I2059&lt;=120,I2059*1.1+7,IF(I2059&lt;=250,I2059*1.1+11,I2059*1.1+19))),
IF(L2059="NORMAL",
   IF(I2059&lt;=30,I2059*1.15+2,IF(I2059&lt;=80,I2059*1.15+4,IF(I2059&lt;=150,I2059*1.15+6,I2059*1.15+8))),
IF(L2059="COMPLEMENTO",
   IF(I2059&lt;=25,I2059*1.25+1.5,IF(I2059&lt;=60,I2059*1.25+3,IF(I2059&lt;=120,I2059*1.25+4,I2059*1.25+5))),
""))),2)</f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32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>ROUND(
IF(L2060="GANCHO",
   IF(I2060&lt;=50,I2060*1.1+4,IF(I2060&lt;=120,I2060*1.1+7,IF(I2060&lt;=250,I2060*1.1+11,I2060*1.1+19))),
IF(L2060="NORMAL",
   IF(I2060&lt;=30,I2060*1.15+2,IF(I2060&lt;=80,I2060*1.15+4,IF(I2060&lt;=150,I2060*1.15+6,I2060*1.15+8))),
IF(L2060="COMPLEMENTO",
   IF(I2060&lt;=25,I2060*1.25+1.5,IF(I2060&lt;=60,I2060*1.25+3,IF(I2060&lt;=120,I2060*1.25+4,I2060*1.25+5))),
""))),2)</f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32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>ROUND(
IF(L2061="GANCHO",
   IF(I2061&lt;=50,I2061*1.1+4,IF(I2061&lt;=120,I2061*1.1+7,IF(I2061&lt;=250,I2061*1.1+11,I2061*1.1+19))),
IF(L2061="NORMAL",
   IF(I2061&lt;=30,I2061*1.15+2,IF(I2061&lt;=80,I2061*1.15+4,IF(I2061&lt;=150,I2061*1.15+6,I2061*1.15+8))),
IF(L2061="COMPLEMENTO",
   IF(I2061&lt;=25,I2061*1.25+1.5,IF(I2061&lt;=60,I2061*1.25+3,IF(I2061&lt;=120,I2061*1.25+4,I2061*1.25+5))),
""))),2)</f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32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>ROUND(
IF(L2062="GANCHO",
   IF(I2062&lt;=50,I2062*1.1+4,IF(I2062&lt;=120,I2062*1.1+7,IF(I2062&lt;=250,I2062*1.1+11,I2062*1.1+19))),
IF(L2062="NORMAL",
   IF(I2062&lt;=30,I2062*1.15+2,IF(I2062&lt;=80,I2062*1.15+4,IF(I2062&lt;=150,I2062*1.15+6,I2062*1.15+8))),
IF(L2062="COMPLEMENTO",
   IF(I2062&lt;=25,I2062*1.25+1.5,IF(I2062&lt;=60,I2062*1.25+3,IF(I2062&lt;=120,I2062*1.25+4,I2062*1.25+5))),
""))),2)</f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32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>ROUND(
IF(L2063="GANCHO",
   IF(I2063&lt;=50,I2063*1.1+4,IF(I2063&lt;=120,I2063*1.1+7,IF(I2063&lt;=250,I2063*1.1+11,I2063*1.1+19))),
IF(L2063="NORMAL",
   IF(I2063&lt;=30,I2063*1.15+2,IF(I2063&lt;=80,I2063*1.15+4,IF(I2063&lt;=150,I2063*1.15+6,I2063*1.15+8))),
IF(L2063="COMPLEMENTO",
   IF(I2063&lt;=25,I2063*1.25+1.5,IF(I2063&lt;=60,I2063*1.25+3,IF(I2063&lt;=120,I2063*1.25+4,I2063*1.25+5))),
""))),2)</f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32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>ROUND(
IF(L2064="GANCHO",
   IF(I2064&lt;=50,I2064*1.1+4,IF(I2064&lt;=120,I2064*1.1+7,IF(I2064&lt;=250,I2064*1.1+11,I2064*1.1+19))),
IF(L2064="NORMAL",
   IF(I2064&lt;=30,I2064*1.15+2,IF(I2064&lt;=80,I2064*1.15+4,IF(I2064&lt;=150,I2064*1.15+6,I2064*1.15+8))),
IF(L2064="COMPLEMENTO",
   IF(I2064&lt;=25,I2064*1.25+1.5,IF(I2064&lt;=60,I2064*1.25+3,IF(I2064&lt;=120,I2064*1.25+4,I2064*1.25+5))),
""))),2)</f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32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>ROUND(
IF(L2065="GANCHO",
   IF(I2065&lt;=50,I2065*1.1+4,IF(I2065&lt;=120,I2065*1.1+7,IF(I2065&lt;=250,I2065*1.1+11,I2065*1.1+19))),
IF(L2065="NORMAL",
   IF(I2065&lt;=30,I2065*1.15+2,IF(I2065&lt;=80,I2065*1.15+4,IF(I2065&lt;=150,I2065*1.15+6,I2065*1.15+8))),
IF(L2065="COMPLEMENTO",
   IF(I2065&lt;=25,I2065*1.25+1.5,IF(I2065&lt;=60,I2065*1.25+3,IF(I2065&lt;=120,I2065*1.25+4,I2065*1.25+5))),
""))),2)</f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32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>ROUND(
IF(L2066="GANCHO",
   IF(I2066&lt;=50,I2066*1.1+4,IF(I2066&lt;=120,I2066*1.1+7,IF(I2066&lt;=250,I2066*1.1+11,I2066*1.1+19))),
IF(L2066="NORMAL",
   IF(I2066&lt;=30,I2066*1.15+2,IF(I2066&lt;=80,I2066*1.15+4,IF(I2066&lt;=150,I2066*1.15+6,I2066*1.15+8))),
IF(L2066="COMPLEMENTO",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32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>ROUND(
IF(L2067="GANCHO",
   IF(I2067&lt;=50,I2067*1.1+4,IF(I2067&lt;=120,I2067*1.1+7,IF(I2067&lt;=250,I2067*1.1+11,I2067*1.1+19))),
IF(L2067="NORMAL",
   IF(I2067&lt;=30,I2067*1.15+2,IF(I2067&lt;=80,I2067*1.15+4,IF(I2067&lt;=150,I2067*1.15+6,I2067*1.15+8))),
IF(L2067="COMPLEMENTO",
   IF(I2067&lt;=25,I2067*1.25+1.5,IF(I2067&lt;=60,I2067*1.25+3,IF(I2067&lt;=120,I2067*1.25+4,I2067*1.25+5))),
""))),2)</f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32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>ROUND(
IF(L2068="GANCHO",
   IF(I2068&lt;=50,I2068*1.1+4,IF(I2068&lt;=120,I2068*1.1+7,IF(I2068&lt;=250,I2068*1.1+11,I2068*1.1+19))),
IF(L2068="NORMAL",
   IF(I2068&lt;=30,I2068*1.15+2,IF(I2068&lt;=80,I2068*1.15+4,IF(I2068&lt;=150,I2068*1.15+6,I2068*1.15+8))),
IF(L2068="COMPLEMENTO",
   IF(I2068&lt;=25,I2068*1.25+1.5,IF(I2068&lt;=60,I2068*1.25+3,IF(I2068&lt;=120,I2068*1.25+4,I2068*1.25+5))),
""))),2)</f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32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>ROUND(
IF(L2069="GANCHO",
   IF(I2069&lt;=50,I2069*1.1+4,IF(I2069&lt;=120,I2069*1.1+7,IF(I2069&lt;=250,I2069*1.1+11,I2069*1.1+19))),
IF(L2069="NORMAL",
   IF(I2069&lt;=30,I2069*1.15+2,IF(I2069&lt;=80,I2069*1.15+4,IF(I2069&lt;=150,I2069*1.15+6,I2069*1.15+8))),
IF(L2069="COMPLEMENTO",
   IF(I2069&lt;=25,I2069*1.25+1.5,IF(I2069&lt;=60,I2069*1.25+3,IF(I2069&lt;=120,I2069*1.25+4,I2069*1.25+5))),
""))),2)</f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32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>ROUND(
IF(L2070="GANCHO",
   IF(I2070&lt;=50,I2070*1.1+4,IF(I2070&lt;=120,I2070*1.1+7,IF(I2070&lt;=250,I2070*1.1+11,I2070*1.1+19))),
IF(L2070="NORMAL",
   IF(I2070&lt;=30,I2070*1.15+2,IF(I2070&lt;=80,I2070*1.15+4,IF(I2070&lt;=150,I2070*1.15+6,I2070*1.15+8))),
IF(L2070="COMPLEMENTO",
   IF(I2070&lt;=25,I2070*1.25+1.5,IF(I2070&lt;=60,I2070*1.25+3,IF(I2070&lt;=120,I2070*1.25+4,I2070*1.25+5))),
""))),2)</f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32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>ROUND(
IF(L2071="GANCHO",
   IF(I2071&lt;=50,I2071*1.1+4,IF(I2071&lt;=120,I2071*1.1+7,IF(I2071&lt;=250,I2071*1.1+11,I2071*1.1+19))),
IF(L2071="NORMAL",
   IF(I2071&lt;=30,I2071*1.15+2,IF(I2071&lt;=80,I2071*1.15+4,IF(I2071&lt;=150,I2071*1.15+6,I2071*1.15+8))),
IF(L2071="COMPLEMENTO",
   IF(I2071&lt;=25,I2071*1.25+1.5,IF(I2071&lt;=60,I2071*1.25+3,IF(I2071&lt;=120,I2071*1.25+4,I2071*1.25+5))),
""))),2)</f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32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>ROUND(
IF(L2072="GANCHO",
   IF(I2072&lt;=50,I2072*1.1+4,IF(I2072&lt;=120,I2072*1.1+7,IF(I2072&lt;=250,I2072*1.1+11,I2072*1.1+19))),
IF(L2072="NORMAL",
   IF(I2072&lt;=30,I2072*1.15+2,IF(I2072&lt;=80,I2072*1.15+4,IF(I2072&lt;=150,I2072*1.15+6,I2072*1.15+8))),
IF(L2072="COMPLEMENTO",
   IF(I2072&lt;=25,I2072*1.25+1.5,IF(I2072&lt;=60,I2072*1.25+3,IF(I2072&lt;=120,I2072*1.25+4,I2072*1.25+5))),
""))),2)</f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32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>ROUND(
IF(L2073="GANCHO",
   IF(I2073&lt;=50,I2073*1.1+4,IF(I2073&lt;=120,I2073*1.1+7,IF(I2073&lt;=250,I2073*1.1+11,I2073*1.1+19))),
IF(L2073="NORMAL",
   IF(I2073&lt;=30,I2073*1.15+2,IF(I2073&lt;=80,I2073*1.15+4,IF(I2073&lt;=150,I2073*1.15+6,I2073*1.15+8))),
IF(L2073="COMPLEMENTO",
   IF(I2073&lt;=25,I2073*1.25+1.5,IF(I2073&lt;=60,I2073*1.25+3,IF(I2073&lt;=120,I2073*1.25+4,I2073*1.25+5))),
""))),2)</f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32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>ROUND(
IF(L2074="GANCHO",
   IF(I2074&lt;=50,I2074*1.1+4,IF(I2074&lt;=120,I2074*1.1+7,IF(I2074&lt;=250,I2074*1.1+11,I2074*1.1+19))),
IF(L2074="NORMAL",
   IF(I2074&lt;=30,I2074*1.15+2,IF(I2074&lt;=80,I2074*1.15+4,IF(I2074&lt;=150,I2074*1.15+6,I2074*1.15+8))),
IF(L2074="COMPLEMENTO",
   IF(I2074&lt;=25,I2074*1.25+1.5,IF(I2074&lt;=60,I2074*1.25+3,IF(I2074&lt;=120,I2074*1.25+4,I2074*1.25+5))),
""))),2)</f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32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>ROUND(
IF(L2075="GANCHO",
   IF(I2075&lt;=50,I2075*1.1+4,IF(I2075&lt;=120,I2075*1.1+7,IF(I2075&lt;=250,I2075*1.1+11,I2075*1.1+19))),
IF(L2075="NORMAL",
   IF(I2075&lt;=30,I2075*1.15+2,IF(I2075&lt;=80,I2075*1.15+4,IF(I2075&lt;=150,I2075*1.15+6,I2075*1.15+8))),
IF(L2075="COMPLEMENTO",
   IF(I2075&lt;=25,I2075*1.25+1.5,IF(I2075&lt;=60,I2075*1.25+3,IF(I2075&lt;=120,I2075*1.25+4,I2075*1.25+5))),
""))),2)</f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32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>ROUND(
IF(L2076="GANCHO",
   IF(I2076&lt;=50,I2076*1.1+4,IF(I2076&lt;=120,I2076*1.1+7,IF(I2076&lt;=250,I2076*1.1+11,I2076*1.1+19))),
IF(L2076="NORMAL",
   IF(I2076&lt;=30,I2076*1.15+2,IF(I2076&lt;=80,I2076*1.15+4,IF(I2076&lt;=150,I2076*1.15+6,I2076*1.15+8))),
IF(L2076="COMPLEMENTO",
   IF(I2076&lt;=25,I2076*1.25+1.5,IF(I2076&lt;=60,I2076*1.25+3,IF(I2076&lt;=120,I2076*1.25+4,I2076*1.25+5))),
""))),2)</f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32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>ROUND(
IF(L2077="GANCHO",
   IF(I2077&lt;=50,I2077*1.1+4,IF(I2077&lt;=120,I2077*1.1+7,IF(I2077&lt;=250,I2077*1.1+11,I2077*1.1+19))),
IF(L2077="NORMAL",
   IF(I2077&lt;=30,I2077*1.15+2,IF(I2077&lt;=80,I2077*1.15+4,IF(I2077&lt;=150,I2077*1.15+6,I2077*1.15+8))),
IF(L2077="COMPLEMENTO",
   IF(I2077&lt;=25,I2077*1.25+1.5,IF(I2077&lt;=60,I2077*1.25+3,IF(I2077&lt;=120,I2077*1.25+4,I2077*1.25+5))),
""))),2)</f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32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>ROUND(
IF(L2078="GANCHO",
   IF(I2078&lt;=50,I2078*1.1+4,IF(I2078&lt;=120,I2078*1.1+7,IF(I2078&lt;=250,I2078*1.1+11,I2078*1.1+19))),
IF(L2078="NORMAL",
   IF(I2078&lt;=30,I2078*1.15+2,IF(I2078&lt;=80,I2078*1.15+4,IF(I2078&lt;=150,I2078*1.15+6,I2078*1.15+8))),
IF(L2078="COMPLEMENTO",
   IF(I2078&lt;=25,I2078*1.25+1.5,IF(I2078&lt;=60,I2078*1.25+3,IF(I2078&lt;=120,I2078*1.25+4,I2078*1.25+5))),
""))),2)</f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32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>ROUND(
IF(L2079="GANCHO",
   IF(I2079&lt;=50,I2079*1.1+4,IF(I2079&lt;=120,I2079*1.1+7,IF(I2079&lt;=250,I2079*1.1+11,I2079*1.1+19))),
IF(L2079="NORMAL",
   IF(I2079&lt;=30,I2079*1.15+2,IF(I2079&lt;=80,I2079*1.15+4,IF(I2079&lt;=150,I2079*1.15+6,I2079*1.15+8))),
IF(L2079="COMPLEMENTO",
   IF(I2079&lt;=25,I2079*1.25+1.5,IF(I2079&lt;=60,I2079*1.25+3,IF(I2079&lt;=120,I2079*1.25+4,I2079*1.25+5))),
""))),2)</f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32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>ROUND(
IF(L2080="GANCHO",
   IF(I2080&lt;=50,I2080*1.1+4,IF(I2080&lt;=120,I2080*1.1+7,IF(I2080&lt;=250,I2080*1.1+11,I2080*1.1+19))),
IF(L2080="NORMAL",
   IF(I2080&lt;=30,I2080*1.15+2,IF(I2080&lt;=80,I2080*1.15+4,IF(I2080&lt;=150,I2080*1.15+6,I2080*1.15+8))),
IF(L2080="COMPLEMENTO",
   IF(I2080&lt;=25,I2080*1.25+1.5,IF(I2080&lt;=60,I2080*1.25+3,IF(I2080&lt;=120,I2080*1.25+4,I2080*1.25+5))),
""))),2)</f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32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>ROUND(
IF(L2081="GANCHO",
   IF(I2081&lt;=50,I2081*1.1+4,IF(I2081&lt;=120,I2081*1.1+7,IF(I2081&lt;=250,I2081*1.1+11,I2081*1.1+19))),
IF(L2081="NORMAL",
   IF(I2081&lt;=30,I2081*1.15+2,IF(I2081&lt;=80,I2081*1.15+4,IF(I2081&lt;=150,I2081*1.15+6,I2081*1.15+8))),
IF(L2081="COMPLEMENTO",
   IF(I2081&lt;=25,I2081*1.25+1.5,IF(I2081&lt;=60,I2081*1.25+3,IF(I2081&lt;=120,I2081*1.25+4,I2081*1.25+5))),
""))),2)</f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32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>ROUND(
IF(L2082="GANCHO",
   IF(I2082&lt;=50,I2082*1.1+4,IF(I2082&lt;=120,I2082*1.1+7,IF(I2082&lt;=250,I2082*1.1+11,I2082*1.1+19))),
IF(L2082="NORMAL",
   IF(I2082&lt;=30,I2082*1.15+2,IF(I2082&lt;=80,I2082*1.15+4,IF(I2082&lt;=150,I2082*1.15+6,I2082*1.15+8))),
IF(L2082="COMPLEMENTO",
   IF(I2082&lt;=25,I2082*1.25+1.5,IF(I2082&lt;=60,I2082*1.25+3,IF(I2082&lt;=120,I2082*1.25+4,I2082*1.25+5))),
""))),2)</f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32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>ROUND(
IF(L2083="GANCHO",
   IF(I2083&lt;=50,I2083*1.1+4,IF(I2083&lt;=120,I2083*1.1+7,IF(I2083&lt;=250,I2083*1.1+11,I2083*1.1+19))),
IF(L2083="NORMAL",
   IF(I2083&lt;=30,I2083*1.15+2,IF(I2083&lt;=80,I2083*1.15+4,IF(I2083&lt;=150,I2083*1.15+6,I2083*1.15+8))),
IF(L2083="COMPLEMENTO",
   IF(I2083&lt;=25,I2083*1.25+1.5,IF(I2083&lt;=60,I2083*1.25+3,IF(I2083&lt;=120,I2083*1.25+4,I2083*1.25+5))),
""))),2)</f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32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>ROUND(
IF(L2084="GANCHO",
   IF(I2084&lt;=50,I2084*1.1+4,IF(I2084&lt;=120,I2084*1.1+7,IF(I2084&lt;=250,I2084*1.1+11,I2084*1.1+19))),
IF(L2084="NORMAL",
   IF(I2084&lt;=30,I2084*1.15+2,IF(I2084&lt;=80,I2084*1.15+4,IF(I2084&lt;=150,I2084*1.15+6,I2084*1.15+8))),
IF(L2084="COMPLEMENTO",
   IF(I2084&lt;=25,I2084*1.25+1.5,IF(I2084&lt;=60,I2084*1.25+3,IF(I2084&lt;=120,I2084*1.25+4,I2084*1.25+5))),
""))),2)</f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32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>ROUND(
IF(L2085="GANCHO",
   IF(I2085&lt;=50,I2085*1.1+4,IF(I2085&lt;=120,I2085*1.1+7,IF(I2085&lt;=250,I2085*1.1+11,I2085*1.1+19))),
IF(L2085="NORMAL",
   IF(I2085&lt;=30,I2085*1.15+2,IF(I2085&lt;=80,I2085*1.15+4,IF(I2085&lt;=150,I2085*1.15+6,I2085*1.15+8))),
IF(L2085="COMPLEMENTO",
   IF(I2085&lt;=25,I2085*1.25+1.5,IF(I2085&lt;=60,I2085*1.25+3,IF(I2085&lt;=120,I2085*1.25+4,I2085*1.25+5))),
""))),2)</f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32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>ROUND(
IF(L2086="GANCHO",
   IF(I2086&lt;=50,I2086*1.1+4,IF(I2086&lt;=120,I2086*1.1+7,IF(I2086&lt;=250,I2086*1.1+11,I2086*1.1+19))),
IF(L2086="NORMAL",
   IF(I2086&lt;=30,I2086*1.15+2,IF(I2086&lt;=80,I2086*1.15+4,IF(I2086&lt;=150,I2086*1.15+6,I2086*1.15+8))),
IF(L2086="COMPLEMENTO",
   IF(I2086&lt;=25,I2086*1.25+1.5,IF(I2086&lt;=60,I2086*1.25+3,IF(I2086&lt;=120,I2086*1.25+4,I2086*1.25+5))),
""))),2)</f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32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>ROUND(
IF(L2087="GANCHO",
   IF(I2087&lt;=50,I2087*1.1+4,IF(I2087&lt;=120,I2087*1.1+7,IF(I2087&lt;=250,I2087*1.1+11,I2087*1.1+19))),
IF(L2087="NORMAL",
   IF(I2087&lt;=30,I2087*1.15+2,IF(I2087&lt;=80,I2087*1.15+4,IF(I2087&lt;=150,I2087*1.15+6,I2087*1.15+8))),
IF(L2087="COMPLEMENTO",
   IF(I2087&lt;=25,I2087*1.25+1.5,IF(I2087&lt;=60,I2087*1.25+3,IF(I2087&lt;=120,I2087*1.25+4,I2087*1.25+5))),
""))),2)</f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32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>ROUND(
IF(L2088="GANCHO",
   IF(I2088&lt;=50,I2088*1.1+4,IF(I2088&lt;=120,I2088*1.1+7,IF(I2088&lt;=250,I2088*1.1+11,I2088*1.1+19))),
IF(L2088="NORMAL",
   IF(I2088&lt;=30,I2088*1.15+2,IF(I2088&lt;=80,I2088*1.15+4,IF(I2088&lt;=150,I2088*1.15+6,I2088*1.15+8))),
IF(L2088="COMPLEMENTO",
   IF(I2088&lt;=25,I2088*1.25+1.5,IF(I2088&lt;=60,I2088*1.25+3,IF(I2088&lt;=120,I2088*1.25+4,I2088*1.25+5))),
""))),2)</f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32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>ROUND(
IF(L2089="GANCHO",
   IF(I2089&lt;=50,I2089*1.1+4,IF(I2089&lt;=120,I2089*1.1+7,IF(I2089&lt;=250,I2089*1.1+11,I2089*1.1+19))),
IF(L2089="NORMAL",
   IF(I2089&lt;=30,I2089*1.15+2,IF(I2089&lt;=80,I2089*1.15+4,IF(I2089&lt;=150,I2089*1.15+6,I2089*1.15+8))),
IF(L2089="COMPLEMENTO",
   IF(I2089&lt;=25,I2089*1.25+1.5,IF(I2089&lt;=60,I2089*1.25+3,IF(I2089&lt;=120,I2089*1.25+4,I2089*1.25+5))),
""))),2)</f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32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>ROUND(
IF(L2090="GANCHO",
   IF(I2090&lt;=50,I2090*1.1+4,IF(I2090&lt;=120,I2090*1.1+7,IF(I2090&lt;=250,I2090*1.1+11,I2090*1.1+19))),
IF(L2090="NORMAL",
   IF(I2090&lt;=30,I2090*1.15+2,IF(I2090&lt;=80,I2090*1.15+4,IF(I2090&lt;=150,I2090*1.15+6,I2090*1.15+8))),
IF(L2090="COMPLEMENTO",
   IF(I2090&lt;=25,I2090*1.25+1.5,IF(I2090&lt;=60,I2090*1.25+3,IF(I2090&lt;=120,I2090*1.25+4,I2090*1.25+5))),
""))),2)</f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32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>ROUND(
IF(L2091="GANCHO",
   IF(I2091&lt;=50,I2091*1.1+4,IF(I2091&lt;=120,I2091*1.1+7,IF(I2091&lt;=250,I2091*1.1+11,I2091*1.1+19))),
IF(L2091="NORMAL",
   IF(I2091&lt;=30,I2091*1.15+2,IF(I2091&lt;=80,I2091*1.15+4,IF(I2091&lt;=150,I2091*1.15+6,I2091*1.15+8))),
IF(L2091="COMPLEMENTO",
   IF(I2091&lt;=25,I2091*1.25+1.5,IF(I2091&lt;=60,I2091*1.25+3,IF(I2091&lt;=120,I2091*1.25+4,I2091*1.25+5))),
""))),2)</f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32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>ROUND(
IF(L2092="GANCHO",
   IF(I2092&lt;=50,I2092*1.1+4,IF(I2092&lt;=120,I2092*1.1+7,IF(I2092&lt;=250,I2092*1.1+11,I2092*1.1+19))),
IF(L2092="NORMAL",
   IF(I2092&lt;=30,I2092*1.15+2,IF(I2092&lt;=80,I2092*1.15+4,IF(I2092&lt;=150,I2092*1.15+6,I2092*1.15+8))),
IF(L2092="COMPLEMENTO",
   IF(I2092&lt;=25,I2092*1.25+1.5,IF(I2092&lt;=60,I2092*1.25+3,IF(I2092&lt;=120,I2092*1.25+4,I2092*1.25+5))),
""))),2)</f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32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>ROUND(
IF(L2093="GANCHO",
   IF(I2093&lt;=50,I2093*1.1+4,IF(I2093&lt;=120,I2093*1.1+7,IF(I2093&lt;=250,I2093*1.1+11,I2093*1.1+19))),
IF(L2093="NORMAL",
   IF(I2093&lt;=30,I2093*1.15+2,IF(I2093&lt;=80,I2093*1.15+4,IF(I2093&lt;=150,I2093*1.15+6,I2093*1.15+8))),
IF(L2093="COMPLEMENTO",
   IF(I2093&lt;=25,I2093*1.25+1.5,IF(I2093&lt;=60,I2093*1.25+3,IF(I2093&lt;=120,I2093*1.25+4,I2093*1.25+5))),
""))),2)</f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32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>ROUND(
IF(L2094="GANCHO",
   IF(I2094&lt;=50,I2094*1.1+4,IF(I2094&lt;=120,I2094*1.1+7,IF(I2094&lt;=250,I2094*1.1+11,I2094*1.1+19))),
IF(L2094="NORMAL",
   IF(I2094&lt;=30,I2094*1.15+2,IF(I2094&lt;=80,I2094*1.15+4,IF(I2094&lt;=150,I2094*1.15+6,I2094*1.15+8))),
IF(L2094="COMPLEMENTO",
   IF(I2094&lt;=25,I2094*1.25+1.5,IF(I2094&lt;=60,I2094*1.25+3,IF(I2094&lt;=120,I2094*1.25+4,I2094*1.25+5))),
""))),2)</f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32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>ROUND(
IF(L2095="GANCHO",
   IF(I2095&lt;=50,I2095*1.1+4,IF(I2095&lt;=120,I2095*1.1+7,IF(I2095&lt;=250,I2095*1.1+11,I2095*1.1+19))),
IF(L2095="NORMAL",
   IF(I2095&lt;=30,I2095*1.15+2,IF(I2095&lt;=80,I2095*1.15+4,IF(I2095&lt;=150,I2095*1.15+6,I2095*1.15+8))),
IF(L2095="COMPLEMENTO",
   IF(I2095&lt;=25,I2095*1.25+1.5,IF(I2095&lt;=60,I2095*1.25+3,IF(I2095&lt;=120,I2095*1.25+4,I2095*1.25+5))),
""))),2)</f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32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>ROUND(
IF(L2096="GANCHO",
   IF(I2096&lt;=50,I2096*1.1+4,IF(I2096&lt;=120,I2096*1.1+7,IF(I2096&lt;=250,I2096*1.1+11,I2096*1.1+19))),
IF(L2096="NORMAL",
   IF(I2096&lt;=30,I2096*1.15+2,IF(I2096&lt;=80,I2096*1.15+4,IF(I2096&lt;=150,I2096*1.15+6,I2096*1.15+8))),
IF(L2096="COMPLEMENTO",
   IF(I2096&lt;=25,I2096*1.25+1.5,IF(I2096&lt;=60,I2096*1.25+3,IF(I2096&lt;=120,I2096*1.25+4,I2096*1.25+5))),
""))),2)</f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32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>ROUND(
IF(L2097="GANCHO",
   IF(I2097&lt;=50,I2097*1.1+4,IF(I2097&lt;=120,I2097*1.1+7,IF(I2097&lt;=250,I2097*1.1+11,I2097*1.1+19))),
IF(L2097="NORMAL",
   IF(I2097&lt;=30,I2097*1.15+2,IF(I2097&lt;=80,I2097*1.15+4,IF(I2097&lt;=150,I2097*1.15+6,I2097*1.15+8))),
IF(L2097="COMPLEMENTO",
   IF(I2097&lt;=25,I2097*1.25+1.5,IF(I2097&lt;=60,I2097*1.25+3,IF(I2097&lt;=120,I2097*1.25+4,I2097*1.25+5))),
""))),2)</f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32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>ROUND(
IF(L2098="GANCHO",
   IF(I2098&lt;=50,I2098*1.1+4,IF(I2098&lt;=120,I2098*1.1+7,IF(I2098&lt;=250,I2098*1.1+11,I2098*1.1+19))),
IF(L2098="NORMAL",
   IF(I2098&lt;=30,I2098*1.15+2,IF(I2098&lt;=80,I2098*1.15+4,IF(I2098&lt;=150,I2098*1.15+6,I2098*1.15+8))),
IF(L2098="COMPLEMENTO",
   IF(I2098&lt;=25,I2098*1.25+1.5,IF(I2098&lt;=60,I2098*1.25+3,IF(I2098&lt;=120,I2098*1.25+4,I2098*1.25+5))),
""))),2)</f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32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>ROUND(
IF(L2099="GANCHO",
   IF(I2099&lt;=50,I2099*1.1+4,IF(I2099&lt;=120,I2099*1.1+7,IF(I2099&lt;=250,I2099*1.1+11,I2099*1.1+19))),
IF(L2099="NORMAL",
   IF(I2099&lt;=30,I2099*1.15+2,IF(I2099&lt;=80,I2099*1.15+4,IF(I2099&lt;=150,I2099*1.15+6,I2099*1.15+8))),
IF(L2099="COMPLEMENTO",
   IF(I2099&lt;=25,I2099*1.25+1.5,IF(I2099&lt;=60,I2099*1.25+3,IF(I2099&lt;=120,I2099*1.25+4,I2099*1.25+5))),
""))),2)</f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32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>ROUND(
IF(L2100="GANCHO",
   IF(I2100&lt;=50,I2100*1.1+4,IF(I2100&lt;=120,I2100*1.1+7,IF(I2100&lt;=250,I2100*1.1+11,I2100*1.1+19))),
IF(L2100="NORMAL",
   IF(I2100&lt;=30,I2100*1.15+2,IF(I2100&lt;=80,I2100*1.15+4,IF(I2100&lt;=150,I2100*1.15+6,I2100*1.15+8))),
IF(L2100="COMPLEMENTO",
   IF(I2100&lt;=25,I2100*1.25+1.5,IF(I2100&lt;=60,I2100*1.25+3,IF(I2100&lt;=120,I2100*1.25+4,I2100*1.25+5))),
""))),2)</f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32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>ROUND(
IF(L2101="GANCHO",
   IF(I2101&lt;=50,I2101*1.1+4,IF(I2101&lt;=120,I2101*1.1+7,IF(I2101&lt;=250,I2101*1.1+11,I2101*1.1+19))),
IF(L2101="NORMAL",
   IF(I2101&lt;=30,I2101*1.15+2,IF(I2101&lt;=80,I2101*1.15+4,IF(I2101&lt;=150,I2101*1.15+6,I2101*1.15+8))),
IF(L2101="COMPLEMENTO",
   IF(I2101&lt;=25,I2101*1.25+1.5,IF(I2101&lt;=60,I2101*1.25+3,IF(I2101&lt;=120,I2101*1.25+4,I2101*1.25+5))),
""))),2)</f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32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>ROUND(
IF(L2102="GANCHO",
   IF(I2102&lt;=50,I2102*1.1+4,IF(I2102&lt;=120,I2102*1.1+7,IF(I2102&lt;=250,I2102*1.1+11,I2102*1.1+19))),
IF(L2102="NORMAL",
   IF(I2102&lt;=30,I2102*1.15+2,IF(I2102&lt;=80,I2102*1.15+4,IF(I2102&lt;=150,I2102*1.15+6,I2102*1.15+8))),
IF(L2102="COMPLEMENTO",
   IF(I2102&lt;=25,I2102*1.25+1.5,IF(I2102&lt;=60,I2102*1.25+3,IF(I2102&lt;=120,I2102*1.25+4,I2102*1.25+5))),
""))),2)</f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32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>ROUND(
IF(L2103="GANCHO",
   IF(I2103&lt;=50,I2103*1.1+4,IF(I2103&lt;=120,I2103*1.1+7,IF(I2103&lt;=250,I2103*1.1+11,I2103*1.1+19))),
IF(L2103="NORMAL",
   IF(I2103&lt;=30,I2103*1.15+2,IF(I2103&lt;=80,I2103*1.15+4,IF(I2103&lt;=150,I2103*1.15+6,I2103*1.15+8))),
IF(L2103="COMPLEMENTO",
   IF(I2103&lt;=25,I2103*1.25+1.5,IF(I2103&lt;=60,I2103*1.25+3,IF(I2103&lt;=120,I2103*1.25+4,I2103*1.25+5))),
""))),2)</f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32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>ROUND(
IF(L2104="GANCHO",
   IF(I2104&lt;=50,I2104*1.1+4,IF(I2104&lt;=120,I2104*1.1+7,IF(I2104&lt;=250,I2104*1.1+11,I2104*1.1+19))),
IF(L2104="NORMAL",
   IF(I2104&lt;=30,I2104*1.15+2,IF(I2104&lt;=80,I2104*1.15+4,IF(I2104&lt;=150,I2104*1.15+6,I2104*1.15+8))),
IF(L2104="COMPLEMENTO",
   IF(I2104&lt;=25,I2104*1.25+1.5,IF(I2104&lt;=60,I2104*1.25+3,IF(I2104&lt;=120,I2104*1.25+4,I2104*1.25+5))),
""))),2)</f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32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>ROUND(
IF(L2105="GANCHO",
   IF(I2105&lt;=50,I2105*1.1+4,IF(I2105&lt;=120,I2105*1.1+7,IF(I2105&lt;=250,I2105*1.1+11,I2105*1.1+19))),
IF(L2105="NORMAL",
   IF(I2105&lt;=30,I2105*1.15+2,IF(I2105&lt;=80,I2105*1.15+4,IF(I2105&lt;=150,I2105*1.15+6,I2105*1.15+8))),
IF(L2105="COMPLEMENTO",
   IF(I2105&lt;=25,I2105*1.25+1.5,IF(I2105&lt;=60,I2105*1.25+3,IF(I2105&lt;=120,I2105*1.25+4,I2105*1.25+5))),
""))),2)</f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32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>ROUND(
IF(L2106="GANCHO",
   IF(I2106&lt;=50,I2106*1.1+4,IF(I2106&lt;=120,I2106*1.1+7,IF(I2106&lt;=250,I2106*1.1+11,I2106*1.1+19))),
IF(L2106="NORMAL",
   IF(I2106&lt;=30,I2106*1.15+2,IF(I2106&lt;=80,I2106*1.15+4,IF(I2106&lt;=150,I2106*1.15+6,I2106*1.15+8))),
IF(L2106="COMPLEMENTO",
   IF(I2106&lt;=25,I2106*1.25+1.5,IF(I2106&lt;=60,I2106*1.25+3,IF(I2106&lt;=120,I2106*1.25+4,I2106*1.25+5))),
""))),2)</f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32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>ROUND(
IF(L2107="GANCHO",
   IF(I2107&lt;=50,I2107*1.1+4,IF(I2107&lt;=120,I2107*1.1+7,IF(I2107&lt;=250,I2107*1.1+11,I2107*1.1+19))),
IF(L2107="NORMAL",
   IF(I2107&lt;=30,I2107*1.15+2,IF(I2107&lt;=80,I2107*1.15+4,IF(I2107&lt;=150,I2107*1.15+6,I2107*1.15+8))),
IF(L2107="COMPLEMENTO",
   IF(I2107&lt;=25,I2107*1.25+1.5,IF(I2107&lt;=60,I2107*1.25+3,IF(I2107&lt;=120,I2107*1.25+4,I2107*1.25+5))),
""))),2)</f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32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>ROUND(
IF(L2108="GANCHO",
   IF(I2108&lt;=50,I2108*1.1+4,IF(I2108&lt;=120,I2108*1.1+7,IF(I2108&lt;=250,I2108*1.1+11,I2108*1.1+19))),
IF(L2108="NORMAL",
   IF(I2108&lt;=30,I2108*1.15+2,IF(I2108&lt;=80,I2108*1.15+4,IF(I2108&lt;=150,I2108*1.15+6,I2108*1.15+8))),
IF(L2108="COMPLEMENTO",
   IF(I2108&lt;=25,I2108*1.25+1.5,IF(I2108&lt;=60,I2108*1.25+3,IF(I2108&lt;=120,I2108*1.25+4,I2108*1.25+5))),
""))),2)</f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32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>ROUND(
IF(L2109="GANCHO",
   IF(I2109&lt;=50,I2109*1.1+4,IF(I2109&lt;=120,I2109*1.1+7,IF(I2109&lt;=250,I2109*1.1+11,I2109*1.1+19))),
IF(L2109="NORMAL",
   IF(I2109&lt;=30,I2109*1.15+2,IF(I2109&lt;=80,I2109*1.15+4,IF(I2109&lt;=150,I2109*1.15+6,I2109*1.15+8))),
IF(L2109="COMPLEMENTO",
   IF(I2109&lt;=25,I2109*1.25+1.5,IF(I2109&lt;=60,I2109*1.25+3,IF(I2109&lt;=120,I2109*1.25+4,I2109*1.25+5))),
""))),2)</f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32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>ROUND(
IF(L2110="GANCHO",
   IF(I2110&lt;=50,I2110*1.1+4,IF(I2110&lt;=120,I2110*1.1+7,IF(I2110&lt;=250,I2110*1.1+11,I2110*1.1+19))),
IF(L2110="NORMAL",
   IF(I2110&lt;=30,I2110*1.15+2,IF(I2110&lt;=80,I2110*1.15+4,IF(I2110&lt;=150,I2110*1.15+6,I2110*1.15+8))),
IF(L2110="COMPLEMENTO",
   IF(I2110&lt;=25,I2110*1.25+1.5,IF(I2110&lt;=60,I2110*1.25+3,IF(I2110&lt;=120,I2110*1.25+4,I2110*1.25+5))),
""))),2)</f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32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>ROUND(
IF(L2111="GANCHO",
   IF(I2111&lt;=50,I2111*1.1+4,IF(I2111&lt;=120,I2111*1.1+7,IF(I2111&lt;=250,I2111*1.1+11,I2111*1.1+19))),
IF(L2111="NORMAL",
   IF(I2111&lt;=30,I2111*1.15+2,IF(I2111&lt;=80,I2111*1.15+4,IF(I2111&lt;=150,I2111*1.15+6,I2111*1.15+8))),
IF(L2111="COMPLEMENTO",
   IF(I2111&lt;=25,I2111*1.25+1.5,IF(I2111&lt;=60,I2111*1.25+3,IF(I2111&lt;=120,I2111*1.25+4,I2111*1.25+5))),
""))),2)</f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32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>ROUND(
IF(L2112="GANCHO",
   IF(I2112&lt;=50,I2112*1.1+4,IF(I2112&lt;=120,I2112*1.1+7,IF(I2112&lt;=250,I2112*1.1+11,I2112*1.1+19))),
IF(L2112="NORMAL",
   IF(I2112&lt;=30,I2112*1.15+2,IF(I2112&lt;=80,I2112*1.15+4,IF(I2112&lt;=150,I2112*1.15+6,I2112*1.15+8))),
IF(L2112="COMPLEMENTO",
   IF(I2112&lt;=25,I2112*1.25+1.5,IF(I2112&lt;=60,I2112*1.25+3,IF(I2112&lt;=120,I2112*1.25+4,I2112*1.25+5))),
""))),2)</f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32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>ROUND(
IF(L2113="GANCHO",
   IF(I2113&lt;=50,I2113*1.1+4,IF(I2113&lt;=120,I2113*1.1+7,IF(I2113&lt;=250,I2113*1.1+11,I2113*1.1+19))),
IF(L2113="NORMAL",
   IF(I2113&lt;=30,I2113*1.15+2,IF(I2113&lt;=80,I2113*1.15+4,IF(I2113&lt;=150,I2113*1.15+6,I2113*1.15+8))),
IF(L2113="COMPLEMENTO",
   IF(I2113&lt;=25,I2113*1.25+1.5,IF(I2113&lt;=60,I2113*1.25+3,IF(I2113&lt;=120,I2113*1.25+4,I2113*1.25+5))),
""))),2)</f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32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32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>ROUND(
IF(L2115="GANCHO",
   IF(I2115&lt;=50,I2115*1.1+4,IF(I2115&lt;=120,I2115*1.1+7,IF(I2115&lt;=250,I2115*1.1+11,I2115*1.1+19))),
IF(L2115="NORMAL",
   IF(I2115&lt;=30,I2115*1.15+2,IF(I2115&lt;=80,I2115*1.15+4,IF(I2115&lt;=150,I2115*1.15+6,I2115*1.15+8))),
IF(L2115="COMPLEMENTO",
   IF(I2115&lt;=25,I2115*1.25+1.5,IF(I2115&lt;=60,I2115*1.25+3,IF(I2115&lt;=120,I2115*1.25+4,I2115*1.25+5))),
""))),2)</f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33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>ROUND(
IF(L2116="GANCHO",
   IF(I2116&lt;=50,I2116*1.1+4,IF(I2116&lt;=120,I2116*1.1+7,IF(I2116&lt;=250,I2116*1.1+11,I2116*1.1+19))),
IF(L2116="NORMAL",
   IF(I2116&lt;=30,I2116*1.15+2,IF(I2116&lt;=80,I2116*1.15+4,IF(I2116&lt;=150,I2116*1.15+6,I2116*1.15+8))),
IF(L2116="COMPLEMENTO",
   IF(I2116&lt;=25,I2116*1.25+1.5,IF(I2116&lt;=60,I2116*1.25+3,IF(I2116&lt;=120,I2116*1.25+4,I2116*1.25+5))),
""))),2)</f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33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>ROUND(
IF(L2117="GANCHO",
   IF(I2117&lt;=50,I2117*1.1+4,IF(I2117&lt;=120,I2117*1.1+7,IF(I2117&lt;=250,I2117*1.1+11,I2117*1.1+19))),
IF(L2117="NORMAL",
   IF(I2117&lt;=30,I2117*1.15+2,IF(I2117&lt;=80,I2117*1.15+4,IF(I2117&lt;=150,I2117*1.15+6,I2117*1.15+8))),
IF(L2117="COMPLEMENTO",
   IF(I2117&lt;=25,I2117*1.25+1.5,IF(I2117&lt;=60,I2117*1.25+3,IF(I2117&lt;=120,I2117*1.25+4,I2117*1.25+5))),
""))),2)</f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33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>ROUND(
IF(L2118="GANCHO",
   IF(I2118&lt;=50,I2118*1.1+4,IF(I2118&lt;=120,I2118*1.1+7,IF(I2118&lt;=250,I2118*1.1+11,I2118*1.1+19))),
IF(L2118="NORMAL",
   IF(I2118&lt;=30,I2118*1.15+2,IF(I2118&lt;=80,I2118*1.15+4,IF(I2118&lt;=150,I2118*1.15+6,I2118*1.15+8))),
IF(L2118="COMPLEMENTO",
   IF(I2118&lt;=25,I2118*1.25+1.5,IF(I2118&lt;=60,I2118*1.25+3,IF(I2118&lt;=120,I2118*1.25+4,I2118*1.25+5))),
""))),2)</f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33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>ROUND(
IF(L2119="GANCHO",
   IF(I2119&lt;=50,I2119*1.1+4,IF(I2119&lt;=120,I2119*1.1+7,IF(I2119&lt;=250,I2119*1.1+11,I2119*1.1+19))),
IF(L2119="NORMAL",
   IF(I2119&lt;=30,I2119*1.15+2,IF(I2119&lt;=80,I2119*1.15+4,IF(I2119&lt;=150,I2119*1.15+6,I2119*1.15+8))),
IF(L2119="COMPLEMENTO",
   IF(I2119&lt;=25,I2119*1.25+1.5,IF(I2119&lt;=60,I2119*1.25+3,IF(I2119&lt;=120,I2119*1.25+4,I2119*1.25+5))),
""))),2)</f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33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>ROUND(
IF(L2120="GANCHO",
   IF(I2120&lt;=50,I2120*1.1+4,IF(I2120&lt;=120,I2120*1.1+7,IF(I2120&lt;=250,I2120*1.1+11,I2120*1.1+19))),
IF(L2120="NORMAL",
   IF(I2120&lt;=30,I2120*1.15+2,IF(I2120&lt;=80,I2120*1.15+4,IF(I2120&lt;=150,I2120*1.15+6,I2120*1.15+8))),
IF(L2120="COMPLEMENTO",
   IF(I2120&lt;=25,I2120*1.25+1.5,IF(I2120&lt;=60,I2120*1.25+3,IF(I2120&lt;=120,I2120*1.25+4,I2120*1.25+5))),
""))),2)</f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33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>ROUND(
IF(L2121="GANCHO",
   IF(I2121&lt;=50,I2121*1.1+4,IF(I2121&lt;=120,I2121*1.1+7,IF(I2121&lt;=250,I2121*1.1+11,I2121*1.1+19))),
IF(L2121="NORMAL",
   IF(I2121&lt;=30,I2121*1.15+2,IF(I2121&lt;=80,I2121*1.15+4,IF(I2121&lt;=150,I2121*1.15+6,I2121*1.15+8))),
IF(L2121="COMPLEMENTO",
   IF(I2121&lt;=25,I2121*1.25+1.5,IF(I2121&lt;=60,I2121*1.25+3,IF(I2121&lt;=120,I2121*1.25+4,I2121*1.25+5))),
""))),2)</f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33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>ROUND(
IF(L2122="GANCHO",
   IF(I2122&lt;=50,I2122*1.1+4,IF(I2122&lt;=120,I2122*1.1+7,IF(I2122&lt;=250,I2122*1.1+11,I2122*1.1+19))),
IF(L2122="NORMAL",
   IF(I2122&lt;=30,I2122*1.15+2,IF(I2122&lt;=80,I2122*1.15+4,IF(I2122&lt;=150,I2122*1.15+6,I2122*1.15+8))),
IF(L2122="COMPLEMENTO",
   IF(I2122&lt;=25,I2122*1.25+1.5,IF(I2122&lt;=60,I2122*1.25+3,IF(I2122&lt;=120,I2122*1.25+4,I2122*1.25+5))),
""))),2)</f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33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>ROUND(
IF(L2123="GANCHO",
   IF(I2123&lt;=50,I2123*1.1+4,IF(I2123&lt;=120,I2123*1.1+7,IF(I2123&lt;=250,I2123*1.1+11,I2123*1.1+19))),
IF(L2123="NORMAL",
   IF(I2123&lt;=30,I2123*1.15+2,IF(I2123&lt;=80,I2123*1.15+4,IF(I2123&lt;=150,I2123*1.15+6,I2123*1.15+8))),
IF(L2123="COMPLEMENTO",
   IF(I2123&lt;=25,I2123*1.25+1.5,IF(I2123&lt;=60,I2123*1.25+3,IF(I2123&lt;=120,I2123*1.25+4,I2123*1.25+5))),
""))),2)</f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33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>ROUND(
IF(L2124="GANCHO",
   IF(I2124&lt;=50,I2124*1.1+4,IF(I2124&lt;=120,I2124*1.1+7,IF(I2124&lt;=250,I2124*1.1+11,I2124*1.1+19))),
IF(L2124="NORMAL",
   IF(I2124&lt;=30,I2124*1.15+2,IF(I2124&lt;=80,I2124*1.15+4,IF(I2124&lt;=150,I2124*1.15+6,I2124*1.15+8))),
IF(L2124="COMPLEMENTO",
   IF(I2124&lt;=25,I2124*1.25+1.5,IF(I2124&lt;=60,I2124*1.25+3,IF(I2124&lt;=120,I2124*1.25+4,I2124*1.25+5))),
""))),2)</f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33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>ROUND(
IF(L2125="GANCHO",
   IF(I2125&lt;=50,I2125*1.1+4,IF(I2125&lt;=120,I2125*1.1+7,IF(I2125&lt;=250,I2125*1.1+11,I2125*1.1+19))),
IF(L2125="NORMAL",
   IF(I2125&lt;=30,I2125*1.15+2,IF(I2125&lt;=80,I2125*1.15+4,IF(I2125&lt;=150,I2125*1.15+6,I2125*1.15+8))),
IF(L2125="COMPLEMENTO",
   IF(I2125&lt;=25,I2125*1.25+1.5,IF(I2125&lt;=60,I2125*1.25+3,IF(I2125&lt;=120,I2125*1.25+4,I2125*1.25+5))),
""))),2)</f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33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>ROUND(
IF(L2126="GANCHO",
   IF(I2126&lt;=50,I2126*1.1+4,IF(I2126&lt;=120,I2126*1.1+7,IF(I2126&lt;=250,I2126*1.1+11,I2126*1.1+19))),
IF(L2126="NORMAL",
   IF(I2126&lt;=30,I2126*1.15+2,IF(I2126&lt;=80,I2126*1.15+4,IF(I2126&lt;=150,I2126*1.15+6,I2126*1.15+8))),
IF(L2126="COMPLEMENTO",
   IF(I2126&lt;=25,I2126*1.25+1.5,IF(I2126&lt;=60,I2126*1.25+3,IF(I2126&lt;=120,I2126*1.25+4,I2126*1.25+5))),
""))),2)</f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33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>ROUND(
IF(L2127="GANCHO",
   IF(I2127&lt;=50,I2127*1.1+4,IF(I2127&lt;=120,I2127*1.1+7,IF(I2127&lt;=250,I2127*1.1+11,I2127*1.1+19))),
IF(L2127="NORMAL",
   IF(I2127&lt;=30,I2127*1.15+2,IF(I2127&lt;=80,I2127*1.15+4,IF(I2127&lt;=150,I2127*1.15+6,I2127*1.15+8))),
IF(L2127="COMPLEMENTO",
   IF(I2127&lt;=25,I2127*1.25+1.5,IF(I2127&lt;=60,I2127*1.25+3,IF(I2127&lt;=120,I2127*1.25+4,I2127*1.25+5))),
""))),2)</f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33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>ROUND(
IF(L2128="GANCHO",
   IF(I2128&lt;=50,I2128*1.1+4,IF(I2128&lt;=120,I2128*1.1+7,IF(I2128&lt;=250,I2128*1.1+11,I2128*1.1+19))),
IF(L2128="NORMAL",
   IF(I2128&lt;=30,I2128*1.15+2,IF(I2128&lt;=80,I2128*1.15+4,IF(I2128&lt;=150,I2128*1.15+6,I2128*1.15+8))),
IF(L2128="COMPLEMENTO",
   IF(I2128&lt;=25,I2128*1.25+1.5,IF(I2128&lt;=60,I2128*1.25+3,IF(I2128&lt;=120,I2128*1.25+4,I2128*1.25+5))),
""))),2)</f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33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>ROUND(
IF(L2129="GANCHO",
   IF(I2129&lt;=50,I2129*1.1+4,IF(I2129&lt;=120,I2129*1.1+7,IF(I2129&lt;=250,I2129*1.1+11,I2129*1.1+19))),
IF(L2129="NORMAL",
   IF(I2129&lt;=30,I2129*1.15+2,IF(I2129&lt;=80,I2129*1.15+4,IF(I2129&lt;=150,I2129*1.15+6,I2129*1.15+8))),
IF(L2129="COMPLEMENTO",
   IF(I2129&lt;=25,I2129*1.25+1.5,IF(I2129&lt;=60,I2129*1.25+3,IF(I2129&lt;=120,I2129*1.25+4,I2129*1.25+5))),
""))),2)</f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33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>ROUND(
IF(L2130="GANCHO",
   IF(I2130&lt;=50,I2130*1.1+4,IF(I2130&lt;=120,I2130*1.1+7,IF(I2130&lt;=250,I2130*1.1+11,I2130*1.1+19))),
IF(L2130="NORMAL",
   IF(I2130&lt;=30,I2130*1.15+2,IF(I2130&lt;=80,I2130*1.15+4,IF(I2130&lt;=150,I2130*1.15+6,I2130*1.15+8))),
IF(L2130="COMPLEMENTO",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33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>ROUND(
IF(L2131="GANCHO",
   IF(I2131&lt;=50,I2131*1.1+4,IF(I2131&lt;=120,I2131*1.1+7,IF(I2131&lt;=250,I2131*1.1+11,I2131*1.1+19))),
IF(L2131="NORMAL",
   IF(I2131&lt;=30,I2131*1.15+2,IF(I2131&lt;=80,I2131*1.15+4,IF(I2131&lt;=150,I2131*1.15+6,I2131*1.15+8))),
IF(L2131="COMPLEMENTO",
   IF(I2131&lt;=25,I2131*1.25+1.5,IF(I2131&lt;=60,I2131*1.25+3,IF(I2131&lt;=120,I2131*1.25+4,I2131*1.25+5))),
""))),2)</f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33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>ROUND(
IF(L2132="GANCHO",
   IF(I2132&lt;=50,I2132*1.1+4,IF(I2132&lt;=120,I2132*1.1+7,IF(I2132&lt;=250,I2132*1.1+11,I2132*1.1+19))),
IF(L2132="NORMAL",
   IF(I2132&lt;=30,I2132*1.15+2,IF(I2132&lt;=80,I2132*1.15+4,IF(I2132&lt;=150,I2132*1.15+6,I2132*1.15+8))),
IF(L2132="COMPLEMENTO",
   IF(I2132&lt;=25,I2132*1.25+1.5,IF(I2132&lt;=60,I2132*1.25+3,IF(I2132&lt;=120,I2132*1.25+4,I2132*1.25+5))),
""))),2)</f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33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>ROUND(
IF(L2133="GANCHO",
   IF(I2133&lt;=50,I2133*1.1+4,IF(I2133&lt;=120,I2133*1.1+7,IF(I2133&lt;=250,I2133*1.1+11,I2133*1.1+19))),
IF(L2133="NORMAL",
   IF(I2133&lt;=30,I2133*1.15+2,IF(I2133&lt;=80,I2133*1.15+4,IF(I2133&lt;=150,I2133*1.15+6,I2133*1.15+8))),
IF(L2133="COMPLEMENTO",
   IF(I2133&lt;=25,I2133*1.25+1.5,IF(I2133&lt;=60,I2133*1.25+3,IF(I2133&lt;=120,I2133*1.25+4,I2133*1.25+5))),
""))),2)</f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33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>ROUND(
IF(L2134="GANCHO",
   IF(I2134&lt;=50,I2134*1.1+4,IF(I2134&lt;=120,I2134*1.1+7,IF(I2134&lt;=250,I2134*1.1+11,I2134*1.1+19))),
IF(L2134="NORMAL",
   IF(I2134&lt;=30,I2134*1.15+2,IF(I2134&lt;=80,I2134*1.15+4,IF(I2134&lt;=150,I2134*1.15+6,I2134*1.15+8))),
IF(L2134="COMPLEMENTO",
   IF(I2134&lt;=25,I2134*1.25+1.5,IF(I2134&lt;=60,I2134*1.25+3,IF(I2134&lt;=120,I2134*1.25+4,I2134*1.25+5))),
""))),2)</f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33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>ROUND(
IF(L2135="GANCHO",
   IF(I2135&lt;=50,I2135*1.1+4,IF(I2135&lt;=120,I2135*1.1+7,IF(I2135&lt;=250,I2135*1.1+11,I2135*1.1+19))),
IF(L2135="NORMAL",
   IF(I2135&lt;=30,I2135*1.15+2,IF(I2135&lt;=80,I2135*1.15+4,IF(I2135&lt;=150,I2135*1.15+6,I2135*1.15+8))),
IF(L2135="COMPLEMENTO",
   IF(I2135&lt;=25,I2135*1.25+1.5,IF(I2135&lt;=60,I2135*1.25+3,IF(I2135&lt;=120,I2135*1.25+4,I2135*1.25+5))),
""))),2)</f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33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>ROUND(
IF(L2136="GANCHO",
   IF(I2136&lt;=50,I2136*1.1+4,IF(I2136&lt;=120,I2136*1.1+7,IF(I2136&lt;=250,I2136*1.1+11,I2136*1.1+19))),
IF(L2136="NORMAL",
   IF(I2136&lt;=30,I2136*1.15+2,IF(I2136&lt;=80,I2136*1.15+4,IF(I2136&lt;=150,I2136*1.15+6,I2136*1.15+8))),
IF(L2136="COMPLEMENTO",
   IF(I2136&lt;=25,I2136*1.25+1.5,IF(I2136&lt;=60,I2136*1.25+3,IF(I2136&lt;=120,I2136*1.25+4,I2136*1.25+5))),
""))),2)</f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33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>ROUND(
IF(L2137="GANCHO",
   IF(I2137&lt;=50,I2137*1.1+4,IF(I2137&lt;=120,I2137*1.1+7,IF(I2137&lt;=250,I2137*1.1+11,I2137*1.1+19))),
IF(L2137="NORMAL",
   IF(I2137&lt;=30,I2137*1.15+2,IF(I2137&lt;=80,I2137*1.15+4,IF(I2137&lt;=150,I2137*1.15+6,I2137*1.15+8))),
IF(L2137="COMPLEMENTO",
   IF(I2137&lt;=25,I2137*1.25+1.5,IF(I2137&lt;=60,I2137*1.25+3,IF(I2137&lt;=120,I2137*1.25+4,I2137*1.25+5))),
""))),2)</f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33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>ROUND(
IF(L2138="GANCHO",
   IF(I2138&lt;=50,I2138*1.1+4,IF(I2138&lt;=120,I2138*1.1+7,IF(I2138&lt;=250,I2138*1.1+11,I2138*1.1+19))),
IF(L2138="NORMAL",
   IF(I2138&lt;=30,I2138*1.15+2,IF(I2138&lt;=80,I2138*1.15+4,IF(I2138&lt;=150,I2138*1.15+6,I2138*1.15+8))),
IF(L2138="COMPLEMENTO",
   IF(I2138&lt;=25,I2138*1.25+1.5,IF(I2138&lt;=60,I2138*1.25+3,IF(I2138&lt;=120,I2138*1.25+4,I2138*1.25+5))),
""))),2)</f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33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>ROUND(
IF(L2139="GANCHO",
   IF(I2139&lt;=50,I2139*1.1+4,IF(I2139&lt;=120,I2139*1.1+7,IF(I2139&lt;=250,I2139*1.1+11,I2139*1.1+19))),
IF(L2139="NORMAL",
   IF(I2139&lt;=30,I2139*1.15+2,IF(I2139&lt;=80,I2139*1.15+4,IF(I2139&lt;=150,I2139*1.15+6,I2139*1.15+8))),
IF(L2139="COMPLEMENTO",
   IF(I2139&lt;=25,I2139*1.25+1.5,IF(I2139&lt;=60,I2139*1.25+3,IF(I2139&lt;=120,I2139*1.25+4,I2139*1.25+5))),
""))),2)</f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33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>ROUND(
IF(L2140="GANCHO",
   IF(I2140&lt;=50,I2140*1.1+4,IF(I2140&lt;=120,I2140*1.1+7,IF(I2140&lt;=250,I2140*1.1+11,I2140*1.1+19))),
IF(L2140="NORMAL",
   IF(I2140&lt;=30,I2140*1.15+2,IF(I2140&lt;=80,I2140*1.15+4,IF(I2140&lt;=150,I2140*1.15+6,I2140*1.15+8))),
IF(L2140="COMPLEMENTO",
   IF(I2140&lt;=25,I2140*1.25+1.5,IF(I2140&lt;=60,I2140*1.25+3,IF(I2140&lt;=120,I2140*1.25+4,I2140*1.25+5))),
""))),2)</f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33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>ROUND(
IF(L2141="GANCHO",
   IF(I2141&lt;=50,I2141*1.1+4,IF(I2141&lt;=120,I2141*1.1+7,IF(I2141&lt;=250,I2141*1.1+11,I2141*1.1+19))),
IF(L2141="NORMAL",
   IF(I2141&lt;=30,I2141*1.15+2,IF(I2141&lt;=80,I2141*1.15+4,IF(I2141&lt;=150,I2141*1.15+6,I2141*1.15+8))),
IF(L2141="COMPLEMENTO",
   IF(I2141&lt;=25,I2141*1.25+1.5,IF(I2141&lt;=60,I2141*1.25+3,IF(I2141&lt;=120,I2141*1.25+4,I2141*1.25+5))),
""))),2)</f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33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>ROUND(
IF(L2142="GANCHO",
   IF(I2142&lt;=50,I2142*1.1+4,IF(I2142&lt;=120,I2142*1.1+7,IF(I2142&lt;=250,I2142*1.1+11,I2142*1.1+19))),
IF(L2142="NORMAL",
   IF(I2142&lt;=30,I2142*1.15+2,IF(I2142&lt;=80,I2142*1.15+4,IF(I2142&lt;=150,I2142*1.15+6,I2142*1.15+8))),
IF(L2142="COMPLEMENTO",
   IF(I2142&lt;=25,I2142*1.25+1.5,IF(I2142&lt;=60,I2142*1.25+3,IF(I2142&lt;=120,I2142*1.25+4,I2142*1.25+5))),
""))),2)</f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33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>ROUND(
IF(L2143="GANCHO",
   IF(I2143&lt;=50,I2143*1.1+4,IF(I2143&lt;=120,I2143*1.1+7,IF(I2143&lt;=250,I2143*1.1+11,I2143*1.1+19))),
IF(L2143="NORMAL",
   IF(I2143&lt;=30,I2143*1.15+2,IF(I2143&lt;=80,I2143*1.15+4,IF(I2143&lt;=150,I2143*1.15+6,I2143*1.15+8))),
IF(L2143="COMPLEMENTO",
   IF(I2143&lt;=25,I2143*1.25+1.5,IF(I2143&lt;=60,I2143*1.25+3,IF(I2143&lt;=120,I2143*1.25+4,I2143*1.25+5))),
""))),2)</f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33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>ROUND(
IF(L2144="GANCHO",
   IF(I2144&lt;=50,I2144*1.1+4,IF(I2144&lt;=120,I2144*1.1+7,IF(I2144&lt;=250,I2144*1.1+11,I2144*1.1+19))),
IF(L2144="NORMAL",
   IF(I2144&lt;=30,I2144*1.15+2,IF(I2144&lt;=80,I2144*1.15+4,IF(I2144&lt;=150,I2144*1.15+6,I2144*1.15+8))),
IF(L2144="COMPLEMENTO",
   IF(I2144&lt;=25,I2144*1.25+1.5,IF(I2144&lt;=60,I2144*1.25+3,IF(I2144&lt;=120,I2144*1.25+4,I2144*1.25+5))),
""))),2)</f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33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>ROUND(
IF(L2145="GANCHO",
   IF(I2145&lt;=50,I2145*1.1+4,IF(I2145&lt;=120,I2145*1.1+7,IF(I2145&lt;=250,I2145*1.1+11,I2145*1.1+19))),
IF(L2145="NORMAL",
   IF(I2145&lt;=30,I2145*1.15+2,IF(I2145&lt;=80,I2145*1.15+4,IF(I2145&lt;=150,I2145*1.15+6,I2145*1.15+8))),
IF(L2145="COMPLEMENTO",
   IF(I2145&lt;=25,I2145*1.25+1.5,IF(I2145&lt;=60,I2145*1.25+3,IF(I2145&lt;=120,I2145*1.25+4,I2145*1.25+5))),
""))),2)</f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33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>ROUND(
IF(L2146="GANCHO",
   IF(I2146&lt;=50,I2146*1.1+4,IF(I2146&lt;=120,I2146*1.1+7,IF(I2146&lt;=250,I2146*1.1+11,I2146*1.1+19))),
IF(L2146="NORMAL",
   IF(I2146&lt;=30,I2146*1.15+2,IF(I2146&lt;=80,I2146*1.15+4,IF(I2146&lt;=150,I2146*1.15+6,I2146*1.15+8))),
IF(L2146="COMPLEMENTO",
   IF(I2146&lt;=25,I2146*1.25+1.5,IF(I2146&lt;=60,I2146*1.25+3,IF(I2146&lt;=120,I2146*1.25+4,I2146*1.25+5))),
""))),2)</f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33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>ROUND(
IF(L2147="GANCHO",
   IF(I2147&lt;=50,I2147*1.1+4,IF(I2147&lt;=120,I2147*1.1+7,IF(I2147&lt;=250,I2147*1.1+11,I2147*1.1+19))),
IF(L2147="NORMAL",
   IF(I2147&lt;=30,I2147*1.15+2,IF(I2147&lt;=80,I2147*1.15+4,IF(I2147&lt;=150,I2147*1.15+6,I2147*1.15+8))),
IF(L2147="COMPLEMENTO",
   IF(I2147&lt;=25,I2147*1.25+1.5,IF(I2147&lt;=60,I2147*1.25+3,IF(I2147&lt;=120,I2147*1.25+4,I2147*1.25+5))),
""))),2)</f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33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>ROUND(
IF(L2148="GANCHO",
   IF(I2148&lt;=50,I2148*1.1+4,IF(I2148&lt;=120,I2148*1.1+7,IF(I2148&lt;=250,I2148*1.1+11,I2148*1.1+19))),
IF(L2148="NORMAL",
   IF(I2148&lt;=30,I2148*1.15+2,IF(I2148&lt;=80,I2148*1.15+4,IF(I2148&lt;=150,I2148*1.15+6,I2148*1.15+8))),
IF(L2148="COMPLEMENTO",
   IF(I2148&lt;=25,I2148*1.25+1.5,IF(I2148&lt;=60,I2148*1.25+3,IF(I2148&lt;=120,I2148*1.25+4,I2148*1.25+5))),
""))),2)</f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33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>ROUND(
IF(L2149="GANCHO",
   IF(I2149&lt;=50,I2149*1.1+4,IF(I2149&lt;=120,I2149*1.1+7,IF(I2149&lt;=250,I2149*1.1+11,I2149*1.1+19))),
IF(L2149="NORMAL",
   IF(I2149&lt;=30,I2149*1.15+2,IF(I2149&lt;=80,I2149*1.15+4,IF(I2149&lt;=150,I2149*1.15+6,I2149*1.15+8))),
IF(L2149="COMPLEMENTO",
   IF(I2149&lt;=25,I2149*1.25+1.5,IF(I2149&lt;=60,I2149*1.25+3,IF(I2149&lt;=120,I2149*1.25+4,I2149*1.25+5))),
""))),2)</f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33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>ROUND(
IF(L2150="GANCHO",
   IF(I2150&lt;=50,I2150*1.1+4,IF(I2150&lt;=120,I2150*1.1+7,IF(I2150&lt;=250,I2150*1.1+11,I2150*1.1+19))),
IF(L2150="NORMAL",
   IF(I2150&lt;=30,I2150*1.15+2,IF(I2150&lt;=80,I2150*1.15+4,IF(I2150&lt;=150,I2150*1.15+6,I2150*1.15+8))),
IF(L2150="COMPLEMENTO",
   IF(I2150&lt;=25,I2150*1.25+1.5,IF(I2150&lt;=60,I2150*1.25+3,IF(I2150&lt;=120,I2150*1.25+4,I2150*1.25+5))),
""))),2)</f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33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>ROUND(
IF(L2151="GANCHO",
   IF(I2151&lt;=50,I2151*1.1+4,IF(I2151&lt;=120,I2151*1.1+7,IF(I2151&lt;=250,I2151*1.1+11,I2151*1.1+19))),
IF(L2151="NORMAL",
   IF(I2151&lt;=30,I2151*1.15+2,IF(I2151&lt;=80,I2151*1.15+4,IF(I2151&lt;=150,I2151*1.15+6,I2151*1.15+8))),
IF(L2151="COMPLEMENTO",
   IF(I2151&lt;=25,I2151*1.25+1.5,IF(I2151&lt;=60,I2151*1.25+3,IF(I2151&lt;=120,I2151*1.25+4,I2151*1.25+5))),
""))),2)</f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33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>ROUND(
IF(L2152="GANCHO",
   IF(I2152&lt;=50,I2152*1.1+4,IF(I2152&lt;=120,I2152*1.1+7,IF(I2152&lt;=250,I2152*1.1+11,I2152*1.1+19))),
IF(L2152="NORMAL",
   IF(I2152&lt;=30,I2152*1.15+2,IF(I2152&lt;=80,I2152*1.15+4,IF(I2152&lt;=150,I2152*1.15+6,I2152*1.15+8))),
IF(L2152="COMPLEMENTO",
   IF(I2152&lt;=25,I2152*1.25+1.5,IF(I2152&lt;=60,I2152*1.25+3,IF(I2152&lt;=120,I2152*1.25+4,I2152*1.25+5))),
""))),2)</f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33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>ROUND(
IF(L2153="GANCHO",
   IF(I2153&lt;=50,I2153*1.1+4,IF(I2153&lt;=120,I2153*1.1+7,IF(I2153&lt;=250,I2153*1.1+11,I2153*1.1+19))),
IF(L2153="NORMAL",
   IF(I2153&lt;=30,I2153*1.15+2,IF(I2153&lt;=80,I2153*1.15+4,IF(I2153&lt;=150,I2153*1.15+6,I2153*1.15+8))),
IF(L2153="COMPLEMENTO",
   IF(I2153&lt;=25,I2153*1.25+1.5,IF(I2153&lt;=60,I2153*1.25+3,IF(I2153&lt;=120,I2153*1.25+4,I2153*1.25+5))),
""))),2)</f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33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>ROUND(
IF(L2154="GANCHO",
   IF(I2154&lt;=50,I2154*1.1+4,IF(I2154&lt;=120,I2154*1.1+7,IF(I2154&lt;=250,I2154*1.1+11,I2154*1.1+19))),
IF(L2154="NORMAL",
   IF(I2154&lt;=30,I2154*1.15+2,IF(I2154&lt;=80,I2154*1.15+4,IF(I2154&lt;=150,I2154*1.15+6,I2154*1.15+8))),
IF(L2154="COMPLEMENTO",
   IF(I2154&lt;=25,I2154*1.25+1.5,IF(I2154&lt;=60,I2154*1.25+3,IF(I2154&lt;=120,I2154*1.25+4,I2154*1.25+5))),
""))),2)</f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33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>ROUND(
IF(L2155="GANCHO",
   IF(I2155&lt;=50,I2155*1.1+4,IF(I2155&lt;=120,I2155*1.1+7,IF(I2155&lt;=250,I2155*1.1+11,I2155*1.1+19))),
IF(L2155="NORMAL",
   IF(I2155&lt;=30,I2155*1.15+2,IF(I2155&lt;=80,I2155*1.15+4,IF(I2155&lt;=150,I2155*1.15+6,I2155*1.15+8))),
IF(L2155="COMPLEMENTO",
   IF(I2155&lt;=25,I2155*1.25+1.5,IF(I2155&lt;=60,I2155*1.25+3,IF(I2155&lt;=120,I2155*1.25+4,I2155*1.25+5))),
""))),2)</f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33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>ROUND(
IF(L2156="GANCHO",
   IF(I2156&lt;=50,I2156*1.1+4,IF(I2156&lt;=120,I2156*1.1+7,IF(I2156&lt;=250,I2156*1.1+11,I2156*1.1+19))),
IF(L2156="NORMAL",
   IF(I2156&lt;=30,I2156*1.15+2,IF(I2156&lt;=80,I2156*1.15+4,IF(I2156&lt;=150,I2156*1.15+6,I2156*1.15+8))),
IF(L2156="COMPLEMENTO",
   IF(I2156&lt;=25,I2156*1.25+1.5,IF(I2156&lt;=60,I2156*1.25+3,IF(I2156&lt;=120,I2156*1.25+4,I2156*1.25+5))),
""))),2)</f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33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>ROUND(
IF(L2157="GANCHO",
   IF(I2157&lt;=50,I2157*1.1+4,IF(I2157&lt;=120,I2157*1.1+7,IF(I2157&lt;=250,I2157*1.1+11,I2157*1.1+19))),
IF(L2157="NORMAL",
   IF(I2157&lt;=30,I2157*1.15+2,IF(I2157&lt;=80,I2157*1.15+4,IF(I2157&lt;=150,I2157*1.15+6,I2157*1.15+8))),
IF(L2157="COMPLEMENTO",
   IF(I2157&lt;=25,I2157*1.25+1.5,IF(I2157&lt;=60,I2157*1.25+3,IF(I2157&lt;=120,I2157*1.25+4,I2157*1.25+5))),
""))),2)</f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33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>ROUND(
IF(L2158="GANCHO",
   IF(I2158&lt;=50,I2158*1.1+4,IF(I2158&lt;=120,I2158*1.1+7,IF(I2158&lt;=250,I2158*1.1+11,I2158*1.1+19))),
IF(L2158="NORMAL",
   IF(I2158&lt;=30,I2158*1.15+2,IF(I2158&lt;=80,I2158*1.15+4,IF(I2158&lt;=150,I2158*1.15+6,I2158*1.15+8))),
IF(L2158="COMPLEMENTO",
   IF(I2158&lt;=25,I2158*1.25+1.5,IF(I2158&lt;=60,I2158*1.25+3,IF(I2158&lt;=120,I2158*1.25+4,I2158*1.25+5))),
""))),2)</f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33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>ROUND(
IF(L2159="GANCHO",
   IF(I2159&lt;=50,I2159*1.1+4,IF(I2159&lt;=120,I2159*1.1+7,IF(I2159&lt;=250,I2159*1.1+11,I2159*1.1+19))),
IF(L2159="NORMAL",
   IF(I2159&lt;=30,I2159*1.15+2,IF(I2159&lt;=80,I2159*1.15+4,IF(I2159&lt;=150,I2159*1.15+6,I2159*1.15+8))),
IF(L2159="COMPLEMENTO",
   IF(I2159&lt;=25,I2159*1.25+1.5,IF(I2159&lt;=60,I2159*1.25+3,IF(I2159&lt;=120,I2159*1.25+4,I2159*1.25+5))),
""))),2)</f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33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>ROUND(
IF(L2160="GANCHO",
   IF(I2160&lt;=50,I2160*1.1+4,IF(I2160&lt;=120,I2160*1.1+7,IF(I2160&lt;=250,I2160*1.1+11,I2160*1.1+19))),
IF(L2160="NORMAL",
   IF(I2160&lt;=30,I2160*1.15+2,IF(I2160&lt;=80,I2160*1.15+4,IF(I2160&lt;=150,I2160*1.15+6,I2160*1.15+8))),
IF(L2160="COMPLEMENTO",
   IF(I2160&lt;=25,I2160*1.25+1.5,IF(I2160&lt;=60,I2160*1.25+3,IF(I2160&lt;=120,I2160*1.25+4,I2160*1.25+5))),
""))),2)</f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33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>ROUND(
IF(L2161="GANCHO",
   IF(I2161&lt;=50,I2161*1.1+4,IF(I2161&lt;=120,I2161*1.1+7,IF(I2161&lt;=250,I2161*1.1+11,I2161*1.1+19))),
IF(L2161="NORMAL",
   IF(I2161&lt;=30,I2161*1.15+2,IF(I2161&lt;=80,I2161*1.15+4,IF(I2161&lt;=150,I2161*1.15+6,I2161*1.15+8))),
IF(L2161="COMPLEMENTO",
   IF(I2161&lt;=25,I2161*1.25+1.5,IF(I2161&lt;=60,I2161*1.25+3,IF(I2161&lt;=120,I2161*1.25+4,I2161*1.25+5))),
""))),2)</f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33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>ROUND(
IF(L2162="GANCHO",
   IF(I2162&lt;=50,I2162*1.1+4,IF(I2162&lt;=120,I2162*1.1+7,IF(I2162&lt;=250,I2162*1.1+11,I2162*1.1+19))),
IF(L2162="NORMAL",
   IF(I2162&lt;=30,I2162*1.15+2,IF(I2162&lt;=80,I2162*1.15+4,IF(I2162&lt;=150,I2162*1.15+6,I2162*1.15+8))),
IF(L2162="COMPLEMENTO",
   IF(I2162&lt;=25,I2162*1.25+1.5,IF(I2162&lt;=60,I2162*1.25+3,IF(I2162&lt;=120,I2162*1.25+4,I2162*1.25+5))),
""))),2)</f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33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>ROUND(
IF(L2163="GANCHO",
   IF(I2163&lt;=50,I2163*1.1+4,IF(I2163&lt;=120,I2163*1.1+7,IF(I2163&lt;=250,I2163*1.1+11,I2163*1.1+19))),
IF(L2163="NORMAL",
   IF(I2163&lt;=30,I2163*1.15+2,IF(I2163&lt;=80,I2163*1.15+4,IF(I2163&lt;=150,I2163*1.15+6,I2163*1.15+8))),
IF(L2163="COMPLEMENTO",
   IF(I2163&lt;=25,I2163*1.25+1.5,IF(I2163&lt;=60,I2163*1.25+3,IF(I2163&lt;=120,I2163*1.25+4,I2163*1.25+5))),
""))),2)</f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33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>ROUND(
IF(L2164="GANCHO",
   IF(I2164&lt;=50,I2164*1.1+4,IF(I2164&lt;=120,I2164*1.1+7,IF(I2164&lt;=250,I2164*1.1+11,I2164*1.1+19))),
IF(L2164="NORMAL",
   IF(I2164&lt;=30,I2164*1.15+2,IF(I2164&lt;=80,I2164*1.15+4,IF(I2164&lt;=150,I2164*1.15+6,I2164*1.15+8))),
IF(L2164="COMPLEMENTO",
   IF(I2164&lt;=25,I2164*1.25+1.5,IF(I2164&lt;=60,I2164*1.25+3,IF(I2164&lt;=120,I2164*1.25+4,I2164*1.25+5))),
""))),2)</f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33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>ROUND(
IF(L2165="GANCHO",
   IF(I2165&lt;=50,I2165*1.1+4,IF(I2165&lt;=120,I2165*1.1+7,IF(I2165&lt;=250,I2165*1.1+11,I2165*1.1+19))),
IF(L2165="NORMAL",
   IF(I2165&lt;=30,I2165*1.15+2,IF(I2165&lt;=80,I2165*1.15+4,IF(I2165&lt;=150,I2165*1.15+6,I2165*1.15+8))),
IF(L2165="COMPLEMENTO",
   IF(I2165&lt;=25,I2165*1.25+1.5,IF(I2165&lt;=60,I2165*1.25+3,IF(I2165&lt;=120,I2165*1.25+4,I2165*1.25+5))),
""))),2)</f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33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>ROUND(
IF(L2166="GANCHO",
   IF(I2166&lt;=50,I2166*1.1+4,IF(I2166&lt;=120,I2166*1.1+7,IF(I2166&lt;=250,I2166*1.1+11,I2166*1.1+19))),
IF(L2166="NORMAL",
   IF(I2166&lt;=30,I2166*1.15+2,IF(I2166&lt;=80,I2166*1.15+4,IF(I2166&lt;=150,I2166*1.15+6,I2166*1.15+8))),
IF(L2166="COMPLEMENTO",
   IF(I2166&lt;=25,I2166*1.25+1.5,IF(I2166&lt;=60,I2166*1.25+3,IF(I2166&lt;=120,I2166*1.25+4,I2166*1.25+5))),
""))),2)</f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33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>ROUND(
IF(L2167="GANCHO",
   IF(I2167&lt;=50,I2167*1.1+4,IF(I2167&lt;=120,I2167*1.1+7,IF(I2167&lt;=250,I2167*1.1+11,I2167*1.1+19))),
IF(L2167="NORMAL",
   IF(I2167&lt;=30,I2167*1.15+2,IF(I2167&lt;=80,I2167*1.15+4,IF(I2167&lt;=150,I2167*1.15+6,I2167*1.15+8))),
IF(L2167="COMPLEMENTO",
   IF(I2167&lt;=25,I2167*1.25+1.5,IF(I2167&lt;=60,I2167*1.25+3,IF(I2167&lt;=120,I2167*1.25+4,I2167*1.25+5))),
""))),2)</f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33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>ROUND(
IF(L2168="GANCHO",
   IF(I2168&lt;=50,I2168*1.1+4,IF(I2168&lt;=120,I2168*1.1+7,IF(I2168&lt;=250,I2168*1.1+11,I2168*1.1+19))),
IF(L2168="NORMAL",
   IF(I2168&lt;=30,I2168*1.15+2,IF(I2168&lt;=80,I2168*1.15+4,IF(I2168&lt;=150,I2168*1.15+6,I2168*1.15+8))),
IF(L2168="COMPLEMENTO",
   IF(I2168&lt;=25,I2168*1.25+1.5,IF(I2168&lt;=60,I2168*1.25+3,IF(I2168&lt;=120,I2168*1.25+4,I2168*1.25+5))),
""))),2)</f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33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>ROUND(
IF(L2169="GANCHO",
   IF(I2169&lt;=50,I2169*1.1+4,IF(I2169&lt;=120,I2169*1.1+7,IF(I2169&lt;=250,I2169*1.1+11,I2169*1.1+19))),
IF(L2169="NORMAL",
   IF(I2169&lt;=30,I2169*1.15+2,IF(I2169&lt;=80,I2169*1.15+4,IF(I2169&lt;=150,I2169*1.15+6,I2169*1.15+8))),
IF(L2169="COMPLEMENTO",
   IF(I2169&lt;=25,I2169*1.25+1.5,IF(I2169&lt;=60,I2169*1.25+3,IF(I2169&lt;=120,I2169*1.25+4,I2169*1.25+5))),
""))),2)</f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33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>ROUND(
IF(L2170="GANCHO",
   IF(I2170&lt;=50,I2170*1.1+4,IF(I2170&lt;=120,I2170*1.1+7,IF(I2170&lt;=250,I2170*1.1+11,I2170*1.1+19))),
IF(L2170="NORMAL",
   IF(I2170&lt;=30,I2170*1.15+2,IF(I2170&lt;=80,I2170*1.15+4,IF(I2170&lt;=150,I2170*1.15+6,I2170*1.15+8))),
IF(L2170="COMPLEMENTO",
   IF(I2170&lt;=25,I2170*1.25+1.5,IF(I2170&lt;=60,I2170*1.25+3,IF(I2170&lt;=120,I2170*1.25+4,I2170*1.25+5))),
""))),2)</f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33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>ROUND(
IF(L2171="GANCHO",
   IF(I2171&lt;=50,I2171*1.1+4,IF(I2171&lt;=120,I2171*1.1+7,IF(I2171&lt;=250,I2171*1.1+11,I2171*1.1+19))),
IF(L2171="NORMAL",
   IF(I2171&lt;=30,I2171*1.15+2,IF(I2171&lt;=80,I2171*1.15+4,IF(I2171&lt;=150,I2171*1.15+6,I2171*1.15+8))),
IF(L2171="COMPLEMENTO",
   IF(I2171&lt;=25,I2171*1.25+1.5,IF(I2171&lt;=60,I2171*1.25+3,IF(I2171&lt;=120,I2171*1.25+4,I2171*1.25+5))),
""))),2)</f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33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>ROUND(
IF(L2172="GANCHO",
   IF(I2172&lt;=50,I2172*1.1+4,IF(I2172&lt;=120,I2172*1.1+7,IF(I2172&lt;=250,I2172*1.1+11,I2172*1.1+19))),
IF(L2172="NORMAL",
   IF(I2172&lt;=30,I2172*1.15+2,IF(I2172&lt;=80,I2172*1.15+4,IF(I2172&lt;=150,I2172*1.15+6,I2172*1.15+8))),
IF(L2172="COMPLEMENTO",
   IF(I2172&lt;=25,I2172*1.25+1.5,IF(I2172&lt;=60,I2172*1.25+3,IF(I2172&lt;=120,I2172*1.25+4,I2172*1.25+5))),
""))),2)</f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33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>ROUND(
IF(L2173="GANCHO",
   IF(I2173&lt;=50,I2173*1.1+4,IF(I2173&lt;=120,I2173*1.1+7,IF(I2173&lt;=250,I2173*1.1+11,I2173*1.1+19))),
IF(L2173="NORMAL",
   IF(I2173&lt;=30,I2173*1.15+2,IF(I2173&lt;=80,I2173*1.15+4,IF(I2173&lt;=150,I2173*1.15+6,I2173*1.15+8))),
IF(L2173="COMPLEMENTO",
   IF(I2173&lt;=25,I2173*1.25+1.5,IF(I2173&lt;=60,I2173*1.25+3,IF(I2173&lt;=120,I2173*1.25+4,I2173*1.25+5))),
""))),2)</f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33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>ROUND(
IF(L2174="GANCHO",
   IF(I2174&lt;=50,I2174*1.1+4,IF(I2174&lt;=120,I2174*1.1+7,IF(I2174&lt;=250,I2174*1.1+11,I2174*1.1+19))),
IF(L2174="NORMAL",
   IF(I2174&lt;=30,I2174*1.15+2,IF(I2174&lt;=80,I2174*1.15+4,IF(I2174&lt;=150,I2174*1.15+6,I2174*1.15+8))),
IF(L2174="COMPLEMENTO",
   IF(I2174&lt;=25,I2174*1.25+1.5,IF(I2174&lt;=60,I2174*1.25+3,IF(I2174&lt;=120,I2174*1.25+4,I2174*1.25+5))),
""))),2)</f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33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>ROUND(
IF(L2175="GANCHO",
   IF(I2175&lt;=50,I2175*1.1+4,IF(I2175&lt;=120,I2175*1.1+7,IF(I2175&lt;=250,I2175*1.1+11,I2175*1.1+19))),
IF(L2175="NORMAL",
   IF(I2175&lt;=30,I2175*1.15+2,IF(I2175&lt;=80,I2175*1.15+4,IF(I2175&lt;=150,I2175*1.15+6,I2175*1.15+8))),
IF(L2175="COMPLEMENTO",
   IF(I2175&lt;=25,I2175*1.25+1.5,IF(I2175&lt;=60,I2175*1.25+3,IF(I2175&lt;=120,I2175*1.25+4,I2175*1.25+5))),
""))),2)</f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33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>ROUND(
IF(L2176="GANCHO",
   IF(I2176&lt;=50,I2176*1.1+4,IF(I2176&lt;=120,I2176*1.1+7,IF(I2176&lt;=250,I2176*1.1+11,I2176*1.1+19))),
IF(L2176="NORMAL",
   IF(I2176&lt;=30,I2176*1.15+2,IF(I2176&lt;=80,I2176*1.15+4,IF(I2176&lt;=150,I2176*1.15+6,I2176*1.15+8))),
IF(L2176="COMPLEMENTO",
   IF(I2176&lt;=25,I2176*1.25+1.5,IF(I2176&lt;=60,I2176*1.25+3,IF(I2176&lt;=120,I2176*1.25+4,I2176*1.25+5))),
""))),2)</f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33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>ROUND(
IF(L2177="GANCHO",
   IF(I2177&lt;=50,I2177*1.1+4,IF(I2177&lt;=120,I2177*1.1+7,IF(I2177&lt;=250,I2177*1.1+11,I2177*1.1+19))),
IF(L2177="NORMAL",
   IF(I2177&lt;=30,I2177*1.15+2,IF(I2177&lt;=80,I2177*1.15+4,IF(I2177&lt;=150,I2177*1.15+6,I2177*1.15+8))),
IF(L2177="COMPLEMENTO",
   IF(I2177&lt;=25,I2177*1.25+1.5,IF(I2177&lt;=60,I2177*1.25+3,IF(I2177&lt;=120,I2177*1.25+4,I2177*1.25+5))),
""))),2)</f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33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33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>ROUND(
IF(L2179="GANCHO",
   IF(I2179&lt;=50,I2179*1.1+4,IF(I2179&lt;=120,I2179*1.1+7,IF(I2179&lt;=250,I2179*1.1+11,I2179*1.1+19))),
IF(L2179="NORMAL",
   IF(I2179&lt;=30,I2179*1.15+2,IF(I2179&lt;=80,I2179*1.15+4,IF(I2179&lt;=150,I2179*1.15+6,I2179*1.15+8))),
IF(L2179="COMPLEMENTO",
   IF(I2179&lt;=25,I2179*1.25+1.5,IF(I2179&lt;=60,I2179*1.25+3,IF(I2179&lt;=120,I2179*1.25+4,I2179*1.25+5))),
""))),2)</f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34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>ROUND(
IF(L2180="GANCHO",
   IF(I2180&lt;=50,I2180*1.1+4,IF(I2180&lt;=120,I2180*1.1+7,IF(I2180&lt;=250,I2180*1.1+11,I2180*1.1+19))),
IF(L2180="NORMAL",
   IF(I2180&lt;=30,I2180*1.15+2,IF(I2180&lt;=80,I2180*1.15+4,IF(I2180&lt;=150,I2180*1.15+6,I2180*1.15+8))),
IF(L2180="COMPLEMENTO",
   IF(I2180&lt;=25,I2180*1.25+1.5,IF(I2180&lt;=60,I2180*1.25+3,IF(I2180&lt;=120,I2180*1.25+4,I2180*1.25+5))),
""))),2)</f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34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>ROUND(
IF(L2181="GANCHO",
   IF(I2181&lt;=50,I2181*1.1+4,IF(I2181&lt;=120,I2181*1.1+7,IF(I2181&lt;=250,I2181*1.1+11,I2181*1.1+19))),
IF(L2181="NORMAL",
   IF(I2181&lt;=30,I2181*1.15+2,IF(I2181&lt;=80,I2181*1.15+4,IF(I2181&lt;=150,I2181*1.15+6,I2181*1.15+8))),
IF(L2181="COMPLEMENTO",
   IF(I2181&lt;=25,I2181*1.25+1.5,IF(I2181&lt;=60,I2181*1.25+3,IF(I2181&lt;=120,I2181*1.25+4,I2181*1.25+5))),
""))),2)</f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34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>ROUND(
IF(L2182="GANCHO",
   IF(I2182&lt;=50,I2182*1.1+4,IF(I2182&lt;=120,I2182*1.1+7,IF(I2182&lt;=250,I2182*1.1+11,I2182*1.1+19))),
IF(L2182="NORMAL",
   IF(I2182&lt;=30,I2182*1.15+2,IF(I2182&lt;=80,I2182*1.15+4,IF(I2182&lt;=150,I2182*1.15+6,I2182*1.15+8))),
IF(L2182="COMPLEMENTO",
   IF(I2182&lt;=25,I2182*1.25+1.5,IF(I2182&lt;=60,I2182*1.25+3,IF(I2182&lt;=120,I2182*1.25+4,I2182*1.25+5))),
""))),2)</f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34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>ROUND(
IF(L2183="GANCHO",
   IF(I2183&lt;=50,I2183*1.1+4,IF(I2183&lt;=120,I2183*1.1+7,IF(I2183&lt;=250,I2183*1.1+11,I2183*1.1+19))),
IF(L2183="NORMAL",
   IF(I2183&lt;=30,I2183*1.15+2,IF(I2183&lt;=80,I2183*1.15+4,IF(I2183&lt;=150,I2183*1.15+6,I2183*1.15+8))),
IF(L2183="COMPLEMENTO",
   IF(I2183&lt;=25,I2183*1.25+1.5,IF(I2183&lt;=60,I2183*1.25+3,IF(I2183&lt;=120,I2183*1.25+4,I2183*1.25+5))),
""))),2)</f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34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>ROUND(
IF(L2184="GANCHO",
   IF(I2184&lt;=50,I2184*1.1+4,IF(I2184&lt;=120,I2184*1.1+7,IF(I2184&lt;=250,I2184*1.1+11,I2184*1.1+19))),
IF(L2184="NORMAL",
   IF(I2184&lt;=30,I2184*1.15+2,IF(I2184&lt;=80,I2184*1.15+4,IF(I2184&lt;=150,I2184*1.15+6,I2184*1.15+8))),
IF(L2184="COMPLEMENTO",
   IF(I2184&lt;=25,I2184*1.25+1.5,IF(I2184&lt;=60,I2184*1.25+3,IF(I2184&lt;=120,I2184*1.25+4,I2184*1.25+5))),
""))),2)</f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34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>ROUND(
IF(L2185="GANCHO",
   IF(I2185&lt;=50,I2185*1.1+4,IF(I2185&lt;=120,I2185*1.1+7,IF(I2185&lt;=250,I2185*1.1+11,I2185*1.1+19))),
IF(L2185="NORMAL",
   IF(I2185&lt;=30,I2185*1.15+2,IF(I2185&lt;=80,I2185*1.15+4,IF(I2185&lt;=150,I2185*1.15+6,I2185*1.15+8))),
IF(L2185="COMPLEMENTO",
   IF(I2185&lt;=25,I2185*1.25+1.5,IF(I2185&lt;=60,I2185*1.25+3,IF(I2185&lt;=120,I2185*1.25+4,I2185*1.25+5))),
""))),2)</f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34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>ROUND(
IF(L2186="GANCHO",
   IF(I2186&lt;=50,I2186*1.1+4,IF(I2186&lt;=120,I2186*1.1+7,IF(I2186&lt;=250,I2186*1.1+11,I2186*1.1+19))),
IF(L2186="NORMAL",
   IF(I2186&lt;=30,I2186*1.15+2,IF(I2186&lt;=80,I2186*1.15+4,IF(I2186&lt;=150,I2186*1.15+6,I2186*1.15+8))),
IF(L2186="COMPLEMENTO",
   IF(I2186&lt;=25,I2186*1.25+1.5,IF(I2186&lt;=60,I2186*1.25+3,IF(I2186&lt;=120,I2186*1.25+4,I2186*1.25+5))),
""))),2)</f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34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>ROUND(
IF(L2187="GANCHO",
   IF(I2187&lt;=50,I2187*1.1+4,IF(I2187&lt;=120,I2187*1.1+7,IF(I2187&lt;=250,I2187*1.1+11,I2187*1.1+19))),
IF(L2187="NORMAL",
   IF(I2187&lt;=30,I2187*1.15+2,IF(I2187&lt;=80,I2187*1.15+4,IF(I2187&lt;=150,I2187*1.15+6,I2187*1.15+8))),
IF(L2187="COMPLEMENTO",
   IF(I2187&lt;=25,I2187*1.25+1.5,IF(I2187&lt;=60,I2187*1.25+3,IF(I2187&lt;=120,I2187*1.25+4,I2187*1.25+5))),
""))),2)</f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34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>ROUND(
IF(L2188="GANCHO",
   IF(I2188&lt;=50,I2188*1.1+4,IF(I2188&lt;=120,I2188*1.1+7,IF(I2188&lt;=250,I2188*1.1+11,I2188*1.1+19))),
IF(L2188="NORMAL",
   IF(I2188&lt;=30,I2188*1.15+2,IF(I2188&lt;=80,I2188*1.15+4,IF(I2188&lt;=150,I2188*1.15+6,I2188*1.15+8))),
IF(L2188="COMPLEMENTO",
   IF(I2188&lt;=25,I2188*1.25+1.5,IF(I2188&lt;=60,I2188*1.25+3,IF(I2188&lt;=120,I2188*1.25+4,I2188*1.25+5))),
""))),2)</f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34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>ROUND(
IF(L2189="GANCHO",
   IF(I2189&lt;=50,I2189*1.1+4,IF(I2189&lt;=120,I2189*1.1+7,IF(I2189&lt;=250,I2189*1.1+11,I2189*1.1+19))),
IF(L2189="NORMAL",
   IF(I2189&lt;=30,I2189*1.15+2,IF(I2189&lt;=80,I2189*1.15+4,IF(I2189&lt;=150,I2189*1.15+6,I2189*1.15+8))),
IF(L2189="COMPLEMENTO",
   IF(I2189&lt;=25,I2189*1.25+1.5,IF(I2189&lt;=60,I2189*1.25+3,IF(I2189&lt;=120,I2189*1.25+4,I2189*1.25+5))),
""))),2)</f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34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>ROUND(
IF(L2190="GANCHO",
   IF(I2190&lt;=50,I2190*1.1+4,IF(I2190&lt;=120,I2190*1.1+7,IF(I2190&lt;=250,I2190*1.1+11,I2190*1.1+19))),
IF(L2190="NORMAL",
   IF(I2190&lt;=30,I2190*1.15+2,IF(I2190&lt;=80,I2190*1.15+4,IF(I2190&lt;=150,I2190*1.15+6,I2190*1.15+8))),
IF(L2190="COMPLEMENTO",
   IF(I2190&lt;=25,I2190*1.25+1.5,IF(I2190&lt;=60,I2190*1.25+3,IF(I2190&lt;=120,I2190*1.25+4,I2190*1.25+5))),
""))),2)</f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34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>ROUND(
IF(L2191="GANCHO",
   IF(I2191&lt;=50,I2191*1.1+4,IF(I2191&lt;=120,I2191*1.1+7,IF(I2191&lt;=250,I2191*1.1+11,I2191*1.1+19))),
IF(L2191="NORMAL",
   IF(I2191&lt;=30,I2191*1.15+2,IF(I2191&lt;=80,I2191*1.15+4,IF(I2191&lt;=150,I2191*1.15+6,I2191*1.15+8))),
IF(L2191="COMPLEMENTO",
   IF(I2191&lt;=25,I2191*1.25+1.5,IF(I2191&lt;=60,I2191*1.25+3,IF(I2191&lt;=120,I2191*1.25+4,I2191*1.25+5))),
""))),2)</f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34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>ROUND(
IF(L2192="GANCHO",
   IF(I2192&lt;=50,I2192*1.1+4,IF(I2192&lt;=120,I2192*1.1+7,IF(I2192&lt;=250,I2192*1.1+11,I2192*1.1+19))),
IF(L2192="NORMAL",
   IF(I2192&lt;=30,I2192*1.15+2,IF(I2192&lt;=80,I2192*1.15+4,IF(I2192&lt;=150,I2192*1.15+6,I2192*1.15+8))),
IF(L2192="COMPLEMENTO",
   IF(I2192&lt;=25,I2192*1.25+1.5,IF(I2192&lt;=60,I2192*1.25+3,IF(I2192&lt;=120,I2192*1.25+4,I2192*1.25+5))),
""))),2)</f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34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>ROUND(
IF(L2193="GANCHO",
   IF(I2193&lt;=50,I2193*1.1+4,IF(I2193&lt;=120,I2193*1.1+7,IF(I2193&lt;=250,I2193*1.1+11,I2193*1.1+19))),
IF(L2193="NORMAL",
   IF(I2193&lt;=30,I2193*1.15+2,IF(I2193&lt;=80,I2193*1.15+4,IF(I2193&lt;=150,I2193*1.15+6,I2193*1.15+8))),
IF(L2193="COMPLEMENTO",
   IF(I2193&lt;=25,I2193*1.25+1.5,IF(I2193&lt;=60,I2193*1.25+3,IF(I2193&lt;=120,I2193*1.25+4,I2193*1.25+5))),
""))),2)</f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34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>ROUND(
IF(L2194="GANCHO",
   IF(I2194&lt;=50,I2194*1.1+4,IF(I2194&lt;=120,I2194*1.1+7,IF(I2194&lt;=250,I2194*1.1+11,I2194*1.1+19))),
IF(L2194="NORMAL",
   IF(I2194&lt;=30,I2194*1.15+2,IF(I2194&lt;=80,I2194*1.15+4,IF(I2194&lt;=150,I2194*1.15+6,I2194*1.15+8))),
IF(L2194="COMPLEMENTO",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34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>ROUND(
IF(L2195="GANCHO",
   IF(I2195&lt;=50,I2195*1.1+4,IF(I2195&lt;=120,I2195*1.1+7,IF(I2195&lt;=250,I2195*1.1+11,I2195*1.1+19))),
IF(L2195="NORMAL",
   IF(I2195&lt;=30,I2195*1.15+2,IF(I2195&lt;=80,I2195*1.15+4,IF(I2195&lt;=150,I2195*1.15+6,I2195*1.15+8))),
IF(L2195="COMPLEMENTO",
   IF(I2195&lt;=25,I2195*1.25+1.5,IF(I2195&lt;=60,I2195*1.25+3,IF(I2195&lt;=120,I2195*1.25+4,I2195*1.25+5))),
""))),2)</f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34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>ROUND(
IF(L2196="GANCHO",
   IF(I2196&lt;=50,I2196*1.1+4,IF(I2196&lt;=120,I2196*1.1+7,IF(I2196&lt;=250,I2196*1.1+11,I2196*1.1+19))),
IF(L2196="NORMAL",
   IF(I2196&lt;=30,I2196*1.15+2,IF(I2196&lt;=80,I2196*1.15+4,IF(I2196&lt;=150,I2196*1.15+6,I2196*1.15+8))),
IF(L2196="COMPLEMENTO",
   IF(I2196&lt;=25,I2196*1.25+1.5,IF(I2196&lt;=60,I2196*1.25+3,IF(I2196&lt;=120,I2196*1.25+4,I2196*1.25+5))),
""))),2)</f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34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>ROUND(
IF(L2197="GANCHO",
   IF(I2197&lt;=50,I2197*1.1+4,IF(I2197&lt;=120,I2197*1.1+7,IF(I2197&lt;=250,I2197*1.1+11,I2197*1.1+19))),
IF(L2197="NORMAL",
   IF(I2197&lt;=30,I2197*1.15+2,IF(I2197&lt;=80,I2197*1.15+4,IF(I2197&lt;=150,I2197*1.15+6,I2197*1.15+8))),
IF(L2197="COMPLEMENTO",
   IF(I2197&lt;=25,I2197*1.25+1.5,IF(I2197&lt;=60,I2197*1.25+3,IF(I2197&lt;=120,I2197*1.25+4,I2197*1.25+5))),
""))),2)</f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34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>ROUND(
IF(L2198="GANCHO",
   IF(I2198&lt;=50,I2198*1.1+4,IF(I2198&lt;=120,I2198*1.1+7,IF(I2198&lt;=250,I2198*1.1+11,I2198*1.1+19))),
IF(L2198="NORMAL",
   IF(I2198&lt;=30,I2198*1.15+2,IF(I2198&lt;=80,I2198*1.15+4,IF(I2198&lt;=150,I2198*1.15+6,I2198*1.15+8))),
IF(L2198="COMPLEMENTO",
   IF(I2198&lt;=25,I2198*1.25+1.5,IF(I2198&lt;=60,I2198*1.25+3,IF(I2198&lt;=120,I2198*1.25+4,I2198*1.25+5))),
""))),2)</f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34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>ROUND(
IF(L2199="GANCHO",
   IF(I2199&lt;=50,I2199*1.1+4,IF(I2199&lt;=120,I2199*1.1+7,IF(I2199&lt;=250,I2199*1.1+11,I2199*1.1+19))),
IF(L2199="NORMAL",
   IF(I2199&lt;=30,I2199*1.15+2,IF(I2199&lt;=80,I2199*1.15+4,IF(I2199&lt;=150,I2199*1.15+6,I2199*1.15+8))),
IF(L2199="COMPLEMENTO",
   IF(I2199&lt;=25,I2199*1.25+1.5,IF(I2199&lt;=60,I2199*1.25+3,IF(I2199&lt;=120,I2199*1.25+4,I2199*1.25+5))),
""))),2)</f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34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>ROUND(
IF(L2200="GANCHO",
   IF(I2200&lt;=50,I2200*1.1+4,IF(I2200&lt;=120,I2200*1.1+7,IF(I2200&lt;=250,I2200*1.1+11,I2200*1.1+19))),
IF(L2200="NORMAL",
   IF(I2200&lt;=30,I2200*1.15+2,IF(I2200&lt;=80,I2200*1.15+4,IF(I2200&lt;=150,I2200*1.15+6,I2200*1.15+8))),
IF(L2200="COMPLEMENTO",
   IF(I2200&lt;=25,I2200*1.25+1.5,IF(I2200&lt;=60,I2200*1.25+3,IF(I2200&lt;=120,I2200*1.25+4,I2200*1.25+5))),
""))),2)</f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34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>ROUND(
IF(L2201="GANCHO",
   IF(I2201&lt;=50,I2201*1.1+4,IF(I2201&lt;=120,I2201*1.1+7,IF(I2201&lt;=250,I2201*1.1+11,I2201*1.1+19))),
IF(L2201="NORMAL",
   IF(I2201&lt;=30,I2201*1.15+2,IF(I2201&lt;=80,I2201*1.15+4,IF(I2201&lt;=150,I2201*1.15+6,I2201*1.15+8))),
IF(L2201="COMPLEMENTO",
   IF(I2201&lt;=25,I2201*1.25+1.5,IF(I2201&lt;=60,I2201*1.25+3,IF(I2201&lt;=120,I2201*1.25+4,I2201*1.25+5))),
""))),2)</f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34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>ROUND(
IF(L2202="GANCHO",
   IF(I2202&lt;=50,I2202*1.1+4,IF(I2202&lt;=120,I2202*1.1+7,IF(I2202&lt;=250,I2202*1.1+11,I2202*1.1+19))),
IF(L2202="NORMAL",
   IF(I2202&lt;=30,I2202*1.15+2,IF(I2202&lt;=80,I2202*1.15+4,IF(I2202&lt;=150,I2202*1.15+6,I2202*1.15+8))),
IF(L2202="COMPLEMENTO",
   IF(I2202&lt;=25,I2202*1.25+1.5,IF(I2202&lt;=60,I2202*1.25+3,IF(I2202&lt;=120,I2202*1.25+4,I2202*1.25+5))),
""))),2)</f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34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>ROUND(
IF(L2203="GANCHO",
   IF(I2203&lt;=50,I2203*1.1+4,IF(I2203&lt;=120,I2203*1.1+7,IF(I2203&lt;=250,I2203*1.1+11,I2203*1.1+19))),
IF(L2203="NORMAL",
   IF(I2203&lt;=30,I2203*1.15+2,IF(I2203&lt;=80,I2203*1.15+4,IF(I2203&lt;=150,I2203*1.15+6,I2203*1.15+8))),
IF(L2203="COMPLEMENTO",
   IF(I2203&lt;=25,I2203*1.25+1.5,IF(I2203&lt;=60,I2203*1.25+3,IF(I2203&lt;=120,I2203*1.25+4,I2203*1.25+5))),
""))),2)</f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34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>ROUND(
IF(L2204="GANCHO",
   IF(I2204&lt;=50,I2204*1.1+4,IF(I2204&lt;=120,I2204*1.1+7,IF(I2204&lt;=250,I2204*1.1+11,I2204*1.1+19))),
IF(L2204="NORMAL",
   IF(I2204&lt;=30,I2204*1.15+2,IF(I2204&lt;=80,I2204*1.15+4,IF(I2204&lt;=150,I2204*1.15+6,I2204*1.15+8))),
IF(L2204="COMPLEMENTO",
   IF(I2204&lt;=25,I2204*1.25+1.5,IF(I2204&lt;=60,I2204*1.25+3,IF(I2204&lt;=120,I2204*1.25+4,I2204*1.25+5))),
""))),2)</f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34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>ROUND(
IF(L2205="GANCHO",
   IF(I2205&lt;=50,I2205*1.1+4,IF(I2205&lt;=120,I2205*1.1+7,IF(I2205&lt;=250,I2205*1.1+11,I2205*1.1+19))),
IF(L2205="NORMAL",
   IF(I2205&lt;=30,I2205*1.15+2,IF(I2205&lt;=80,I2205*1.15+4,IF(I2205&lt;=150,I2205*1.15+6,I2205*1.15+8))),
IF(L2205="COMPLEMENTO",
   IF(I2205&lt;=25,I2205*1.25+1.5,IF(I2205&lt;=60,I2205*1.25+3,IF(I2205&lt;=120,I2205*1.25+4,I2205*1.25+5))),
""))),2)</f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34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>ROUND(
IF(L2206="GANCHO",
   IF(I2206&lt;=50,I2206*1.1+4,IF(I2206&lt;=120,I2206*1.1+7,IF(I2206&lt;=250,I2206*1.1+11,I2206*1.1+19))),
IF(L2206="NORMAL",
   IF(I2206&lt;=30,I2206*1.15+2,IF(I2206&lt;=80,I2206*1.15+4,IF(I2206&lt;=150,I2206*1.15+6,I2206*1.15+8))),
IF(L2206="COMPLEMENTO",
   IF(I2206&lt;=25,I2206*1.25+1.5,IF(I2206&lt;=60,I2206*1.25+3,IF(I2206&lt;=120,I2206*1.25+4,I2206*1.25+5))),
""))),2)</f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34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>ROUND(
IF(L2207="GANCHO",
   IF(I2207&lt;=50,I2207*1.1+4,IF(I2207&lt;=120,I2207*1.1+7,IF(I2207&lt;=250,I2207*1.1+11,I2207*1.1+19))),
IF(L2207="NORMAL",
   IF(I2207&lt;=30,I2207*1.15+2,IF(I2207&lt;=80,I2207*1.15+4,IF(I2207&lt;=150,I2207*1.15+6,I2207*1.15+8))),
IF(L2207="COMPLEMENTO",
   IF(I2207&lt;=25,I2207*1.25+1.5,IF(I2207&lt;=60,I2207*1.25+3,IF(I2207&lt;=120,I2207*1.25+4,I2207*1.25+5))),
""))),2)</f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34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>ROUND(
IF(L2208="GANCHO",
   IF(I2208&lt;=50,I2208*1.1+4,IF(I2208&lt;=120,I2208*1.1+7,IF(I2208&lt;=250,I2208*1.1+11,I2208*1.1+19))),
IF(L2208="NORMAL",
   IF(I2208&lt;=30,I2208*1.15+2,IF(I2208&lt;=80,I2208*1.15+4,IF(I2208&lt;=150,I2208*1.15+6,I2208*1.15+8))),
IF(L2208="COMPLEMENTO",
   IF(I2208&lt;=25,I2208*1.25+1.5,IF(I2208&lt;=60,I2208*1.25+3,IF(I2208&lt;=120,I2208*1.25+4,I2208*1.25+5))),
""))),2)</f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34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>ROUND(
IF(L2209="GANCHO",
   IF(I2209&lt;=50,I2209*1.1+4,IF(I2209&lt;=120,I2209*1.1+7,IF(I2209&lt;=250,I2209*1.1+11,I2209*1.1+19))),
IF(L2209="NORMAL",
   IF(I2209&lt;=30,I2209*1.15+2,IF(I2209&lt;=80,I2209*1.15+4,IF(I2209&lt;=150,I2209*1.15+6,I2209*1.15+8))),
IF(L2209="COMPLEMENTO",
   IF(I2209&lt;=25,I2209*1.25+1.5,IF(I2209&lt;=60,I2209*1.25+3,IF(I2209&lt;=120,I2209*1.25+4,I2209*1.25+5))),
""))),2)</f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34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>ROUND(
IF(L2210="GANCHO",
   IF(I2210&lt;=50,I2210*1.1+4,IF(I2210&lt;=120,I2210*1.1+7,IF(I2210&lt;=250,I2210*1.1+11,I2210*1.1+19))),
IF(L2210="NORMAL",
   IF(I2210&lt;=30,I2210*1.15+2,IF(I2210&lt;=80,I2210*1.15+4,IF(I2210&lt;=150,I2210*1.15+6,I2210*1.15+8))),
IF(L2210="COMPLEMENTO",
   IF(I2210&lt;=25,I2210*1.25+1.5,IF(I2210&lt;=60,I2210*1.25+3,IF(I2210&lt;=120,I2210*1.25+4,I2210*1.25+5))),
""))),2)</f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34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>ROUND(
IF(L2211="GANCHO",
   IF(I2211&lt;=50,I2211*1.1+4,IF(I2211&lt;=120,I2211*1.1+7,IF(I2211&lt;=250,I2211*1.1+11,I2211*1.1+19))),
IF(L2211="NORMAL",
   IF(I2211&lt;=30,I2211*1.15+2,IF(I2211&lt;=80,I2211*1.15+4,IF(I2211&lt;=150,I2211*1.15+6,I2211*1.15+8))),
IF(L2211="COMPLEMENTO",
   IF(I2211&lt;=25,I2211*1.25+1.5,IF(I2211&lt;=60,I2211*1.25+3,IF(I2211&lt;=120,I2211*1.25+4,I2211*1.25+5))),
""))),2)</f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34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>ROUND(
IF(L2212="GANCHO",
   IF(I2212&lt;=50,I2212*1.1+4,IF(I2212&lt;=120,I2212*1.1+7,IF(I2212&lt;=250,I2212*1.1+11,I2212*1.1+19))),
IF(L2212="NORMAL",
   IF(I2212&lt;=30,I2212*1.15+2,IF(I2212&lt;=80,I2212*1.15+4,IF(I2212&lt;=150,I2212*1.15+6,I2212*1.15+8))),
IF(L2212="COMPLEMENTO",
   IF(I2212&lt;=25,I2212*1.25+1.5,IF(I2212&lt;=60,I2212*1.25+3,IF(I2212&lt;=120,I2212*1.25+4,I2212*1.25+5))),
""))),2)</f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34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>ROUND(
IF(L2213="GANCHO",
   IF(I2213&lt;=50,I2213*1.1+4,IF(I2213&lt;=120,I2213*1.1+7,IF(I2213&lt;=250,I2213*1.1+11,I2213*1.1+19))),
IF(L2213="NORMAL",
   IF(I2213&lt;=30,I2213*1.15+2,IF(I2213&lt;=80,I2213*1.15+4,IF(I2213&lt;=150,I2213*1.15+6,I2213*1.15+8))),
IF(L2213="COMPLEMENTO",
   IF(I2213&lt;=25,I2213*1.25+1.5,IF(I2213&lt;=60,I2213*1.25+3,IF(I2213&lt;=120,I2213*1.25+4,I2213*1.25+5))),
""))),2)</f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34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>ROUND(
IF(L2214="GANCHO",
   IF(I2214&lt;=50,I2214*1.1+4,IF(I2214&lt;=120,I2214*1.1+7,IF(I2214&lt;=250,I2214*1.1+11,I2214*1.1+19))),
IF(L2214="NORMAL",
   IF(I2214&lt;=30,I2214*1.15+2,IF(I2214&lt;=80,I2214*1.15+4,IF(I2214&lt;=150,I2214*1.15+6,I2214*1.15+8))),
IF(L2214="COMPLEMENTO",
   IF(I2214&lt;=25,I2214*1.25+1.5,IF(I2214&lt;=60,I2214*1.25+3,IF(I2214&lt;=120,I2214*1.25+4,I2214*1.25+5))),
""))),2)</f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34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>ROUND(
IF(L2215="GANCHO",
   IF(I2215&lt;=50,I2215*1.1+4,IF(I2215&lt;=120,I2215*1.1+7,IF(I2215&lt;=250,I2215*1.1+11,I2215*1.1+19))),
IF(L2215="NORMAL",
   IF(I2215&lt;=30,I2215*1.15+2,IF(I2215&lt;=80,I2215*1.15+4,IF(I2215&lt;=150,I2215*1.15+6,I2215*1.15+8))),
IF(L2215="COMPLEMENTO",
   IF(I2215&lt;=25,I2215*1.25+1.5,IF(I2215&lt;=60,I2215*1.25+3,IF(I2215&lt;=120,I2215*1.25+4,I2215*1.25+5))),
""))),2)</f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34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>ROUND(
IF(L2216="GANCHO",
   IF(I2216&lt;=50,I2216*1.1+4,IF(I2216&lt;=120,I2216*1.1+7,IF(I2216&lt;=250,I2216*1.1+11,I2216*1.1+19))),
IF(L2216="NORMAL",
   IF(I2216&lt;=30,I2216*1.15+2,IF(I2216&lt;=80,I2216*1.15+4,IF(I2216&lt;=150,I2216*1.15+6,I2216*1.15+8))),
IF(L2216="COMPLEMENTO",
   IF(I2216&lt;=25,I2216*1.25+1.5,IF(I2216&lt;=60,I2216*1.25+3,IF(I2216&lt;=120,I2216*1.25+4,I2216*1.25+5))),
""))),2)</f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34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>ROUND(
IF(L2217="GANCHO",
   IF(I2217&lt;=50,I2217*1.1+4,IF(I2217&lt;=120,I2217*1.1+7,IF(I2217&lt;=250,I2217*1.1+11,I2217*1.1+19))),
IF(L2217="NORMAL",
   IF(I2217&lt;=30,I2217*1.15+2,IF(I2217&lt;=80,I2217*1.15+4,IF(I2217&lt;=150,I2217*1.15+6,I2217*1.15+8))),
IF(L2217="COMPLEMENTO",
   IF(I2217&lt;=25,I2217*1.25+1.5,IF(I2217&lt;=60,I2217*1.25+3,IF(I2217&lt;=120,I2217*1.25+4,I2217*1.25+5))),
""))),2)</f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34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>ROUND(
IF(L2218="GANCHO",
   IF(I2218&lt;=50,I2218*1.1+4,IF(I2218&lt;=120,I2218*1.1+7,IF(I2218&lt;=250,I2218*1.1+11,I2218*1.1+19))),
IF(L2218="NORMAL",
   IF(I2218&lt;=30,I2218*1.15+2,IF(I2218&lt;=80,I2218*1.15+4,IF(I2218&lt;=150,I2218*1.15+6,I2218*1.15+8))),
IF(L2218="COMPLEMENTO",
   IF(I2218&lt;=25,I2218*1.25+1.5,IF(I2218&lt;=60,I2218*1.25+3,IF(I2218&lt;=120,I2218*1.25+4,I2218*1.25+5))),
""))),2)</f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34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>ROUND(
IF(L2219="GANCHO",
   IF(I2219&lt;=50,I2219*1.1+4,IF(I2219&lt;=120,I2219*1.1+7,IF(I2219&lt;=250,I2219*1.1+11,I2219*1.1+19))),
IF(L2219="NORMAL",
   IF(I2219&lt;=30,I2219*1.15+2,IF(I2219&lt;=80,I2219*1.15+4,IF(I2219&lt;=150,I2219*1.15+6,I2219*1.15+8))),
IF(L2219="COMPLEMENTO",
   IF(I2219&lt;=25,I2219*1.25+1.5,IF(I2219&lt;=60,I2219*1.25+3,IF(I2219&lt;=120,I2219*1.25+4,I2219*1.25+5))),
""))),2)</f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34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>ROUND(
IF(L2220="GANCHO",
   IF(I2220&lt;=50,I2220*1.1+4,IF(I2220&lt;=120,I2220*1.1+7,IF(I2220&lt;=250,I2220*1.1+11,I2220*1.1+19))),
IF(L2220="NORMAL",
   IF(I2220&lt;=30,I2220*1.15+2,IF(I2220&lt;=80,I2220*1.15+4,IF(I2220&lt;=150,I2220*1.15+6,I2220*1.15+8))),
IF(L2220="COMPLEMENTO",
   IF(I2220&lt;=25,I2220*1.25+1.5,IF(I2220&lt;=60,I2220*1.25+3,IF(I2220&lt;=120,I2220*1.25+4,I2220*1.25+5))),
""))),2)</f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34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>ROUND(
IF(L2221="GANCHO",
   IF(I2221&lt;=50,I2221*1.1+4,IF(I2221&lt;=120,I2221*1.1+7,IF(I2221&lt;=250,I2221*1.1+11,I2221*1.1+19))),
IF(L2221="NORMAL",
   IF(I2221&lt;=30,I2221*1.15+2,IF(I2221&lt;=80,I2221*1.15+4,IF(I2221&lt;=150,I2221*1.15+6,I2221*1.15+8))),
IF(L2221="COMPLEMENTO",
   IF(I2221&lt;=25,I2221*1.25+1.5,IF(I2221&lt;=60,I2221*1.25+3,IF(I2221&lt;=120,I2221*1.25+4,I2221*1.25+5))),
""))),2)</f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34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>ROUND(
IF(L2222="GANCHO",
   IF(I2222&lt;=50,I2222*1.1+4,IF(I2222&lt;=120,I2222*1.1+7,IF(I2222&lt;=250,I2222*1.1+11,I2222*1.1+19))),
IF(L2222="NORMAL",
   IF(I2222&lt;=30,I2222*1.15+2,IF(I2222&lt;=80,I2222*1.15+4,IF(I2222&lt;=150,I2222*1.15+6,I2222*1.15+8))),
IF(L2222="COMPLEMENTO",
   IF(I2222&lt;=25,I2222*1.25+1.5,IF(I2222&lt;=60,I2222*1.25+3,IF(I2222&lt;=120,I2222*1.25+4,I2222*1.25+5))),
""))),2)</f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34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>ROUND(
IF(L2223="GANCHO",
   IF(I2223&lt;=50,I2223*1.1+4,IF(I2223&lt;=120,I2223*1.1+7,IF(I2223&lt;=250,I2223*1.1+11,I2223*1.1+19))),
IF(L2223="NORMAL",
   IF(I2223&lt;=30,I2223*1.15+2,IF(I2223&lt;=80,I2223*1.15+4,IF(I2223&lt;=150,I2223*1.15+6,I2223*1.15+8))),
IF(L2223="COMPLEMENTO",
   IF(I2223&lt;=25,I2223*1.25+1.5,IF(I2223&lt;=60,I2223*1.25+3,IF(I2223&lt;=120,I2223*1.25+4,I2223*1.25+5))),
""))),2)</f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34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>ROUND(
IF(L2224="GANCHO",
   IF(I2224&lt;=50,I2224*1.1+4,IF(I2224&lt;=120,I2224*1.1+7,IF(I2224&lt;=250,I2224*1.1+11,I2224*1.1+19))),
IF(L2224="NORMAL",
   IF(I2224&lt;=30,I2224*1.15+2,IF(I2224&lt;=80,I2224*1.15+4,IF(I2224&lt;=150,I2224*1.15+6,I2224*1.15+8))),
IF(L2224="COMPLEMENTO",
   IF(I2224&lt;=25,I2224*1.25+1.5,IF(I2224&lt;=60,I2224*1.25+3,IF(I2224&lt;=120,I2224*1.25+4,I2224*1.25+5))),
""))),2)</f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34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>ROUND(
IF(L2225="GANCHO",
   IF(I2225&lt;=50,I2225*1.1+4,IF(I2225&lt;=120,I2225*1.1+7,IF(I2225&lt;=250,I2225*1.1+11,I2225*1.1+19))),
IF(L2225="NORMAL",
   IF(I2225&lt;=30,I2225*1.15+2,IF(I2225&lt;=80,I2225*1.15+4,IF(I2225&lt;=150,I2225*1.15+6,I2225*1.15+8))),
IF(L2225="COMPLEMENTO",
   IF(I2225&lt;=25,I2225*1.25+1.5,IF(I2225&lt;=60,I2225*1.25+3,IF(I2225&lt;=120,I2225*1.25+4,I2225*1.25+5))),
""))),2)</f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34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>ROUND(
IF(L2226="GANCHO",
   IF(I2226&lt;=50,I2226*1.1+4,IF(I2226&lt;=120,I2226*1.1+7,IF(I2226&lt;=250,I2226*1.1+11,I2226*1.1+19))),
IF(L2226="NORMAL",
   IF(I2226&lt;=30,I2226*1.15+2,IF(I2226&lt;=80,I2226*1.15+4,IF(I2226&lt;=150,I2226*1.15+6,I2226*1.15+8))),
IF(L2226="COMPLEMENTO",
   IF(I2226&lt;=25,I2226*1.25+1.5,IF(I2226&lt;=60,I2226*1.25+3,IF(I2226&lt;=120,I2226*1.25+4,I2226*1.25+5))),
""))),2)</f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34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>ROUND(
IF(L2227="GANCHO",
   IF(I2227&lt;=50,I2227*1.1+4,IF(I2227&lt;=120,I2227*1.1+7,IF(I2227&lt;=250,I2227*1.1+11,I2227*1.1+19))),
IF(L2227="NORMAL",
   IF(I2227&lt;=30,I2227*1.15+2,IF(I2227&lt;=80,I2227*1.15+4,IF(I2227&lt;=150,I2227*1.15+6,I2227*1.15+8))),
IF(L2227="COMPLEMENTO",
   IF(I2227&lt;=25,I2227*1.25+1.5,IF(I2227&lt;=60,I2227*1.25+3,IF(I2227&lt;=120,I2227*1.25+4,I2227*1.25+5))),
""))),2)</f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34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>ROUND(
IF(L2228="GANCHO",
   IF(I2228&lt;=50,I2228*1.1+4,IF(I2228&lt;=120,I2228*1.1+7,IF(I2228&lt;=250,I2228*1.1+11,I2228*1.1+19))),
IF(L2228="NORMAL",
   IF(I2228&lt;=30,I2228*1.15+2,IF(I2228&lt;=80,I2228*1.15+4,IF(I2228&lt;=150,I2228*1.15+6,I2228*1.15+8))),
IF(L2228="COMPLEMENTO",
   IF(I2228&lt;=25,I2228*1.25+1.5,IF(I2228&lt;=60,I2228*1.25+3,IF(I2228&lt;=120,I2228*1.25+4,I2228*1.25+5))),
""))),2)</f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34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>ROUND(
IF(L2229="GANCHO",
   IF(I2229&lt;=50,I2229*1.1+4,IF(I2229&lt;=120,I2229*1.1+7,IF(I2229&lt;=250,I2229*1.1+11,I2229*1.1+19))),
IF(L2229="NORMAL",
   IF(I2229&lt;=30,I2229*1.15+2,IF(I2229&lt;=80,I2229*1.15+4,IF(I2229&lt;=150,I2229*1.15+6,I2229*1.15+8))),
IF(L2229="COMPLEMENTO",
   IF(I2229&lt;=25,I2229*1.25+1.5,IF(I2229&lt;=60,I2229*1.25+3,IF(I2229&lt;=120,I2229*1.25+4,I2229*1.25+5))),
""))),2)</f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34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>ROUND(
IF(L2230="GANCHO",
   IF(I2230&lt;=50,I2230*1.1+4,IF(I2230&lt;=120,I2230*1.1+7,IF(I2230&lt;=250,I2230*1.1+11,I2230*1.1+19))),
IF(L2230="NORMAL",
   IF(I2230&lt;=30,I2230*1.15+2,IF(I2230&lt;=80,I2230*1.15+4,IF(I2230&lt;=150,I2230*1.15+6,I2230*1.15+8))),
IF(L2230="COMPLEMENTO",
   IF(I2230&lt;=25,I2230*1.25+1.5,IF(I2230&lt;=60,I2230*1.25+3,IF(I2230&lt;=120,I2230*1.25+4,I2230*1.25+5))),
""))),2)</f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34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>ROUND(
IF(L2231="GANCHO",
   IF(I2231&lt;=50,I2231*1.1+4,IF(I2231&lt;=120,I2231*1.1+7,IF(I2231&lt;=250,I2231*1.1+11,I2231*1.1+19))),
IF(L2231="NORMAL",
   IF(I2231&lt;=30,I2231*1.15+2,IF(I2231&lt;=80,I2231*1.15+4,IF(I2231&lt;=150,I2231*1.15+6,I2231*1.15+8))),
IF(L2231="COMPLEMENTO",
   IF(I2231&lt;=25,I2231*1.25+1.5,IF(I2231&lt;=60,I2231*1.25+3,IF(I2231&lt;=120,I2231*1.25+4,I2231*1.25+5))),
""))),2)</f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34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>ROUND(
IF(L2232="GANCHO",
   IF(I2232&lt;=50,I2232*1.1+4,IF(I2232&lt;=120,I2232*1.1+7,IF(I2232&lt;=250,I2232*1.1+11,I2232*1.1+19))),
IF(L2232="NORMAL",
   IF(I2232&lt;=30,I2232*1.15+2,IF(I2232&lt;=80,I2232*1.15+4,IF(I2232&lt;=150,I2232*1.15+6,I2232*1.15+8))),
IF(L2232="COMPLEMENTO",
   IF(I2232&lt;=25,I2232*1.25+1.5,IF(I2232&lt;=60,I2232*1.25+3,IF(I2232&lt;=120,I2232*1.25+4,I2232*1.25+5))),
""))),2)</f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34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>ROUND(
IF(L2233="GANCHO",
   IF(I2233&lt;=50,I2233*1.1+4,IF(I2233&lt;=120,I2233*1.1+7,IF(I2233&lt;=250,I2233*1.1+11,I2233*1.1+19))),
IF(L2233="NORMAL",
   IF(I2233&lt;=30,I2233*1.15+2,IF(I2233&lt;=80,I2233*1.15+4,IF(I2233&lt;=150,I2233*1.15+6,I2233*1.15+8))),
IF(L2233="COMPLEMENTO",
   IF(I2233&lt;=25,I2233*1.25+1.5,IF(I2233&lt;=60,I2233*1.25+3,IF(I2233&lt;=120,I2233*1.25+4,I2233*1.25+5))),
""))),2)</f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34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>ROUND(
IF(L2234="GANCHO",
   IF(I2234&lt;=50,I2234*1.1+4,IF(I2234&lt;=120,I2234*1.1+7,IF(I2234&lt;=250,I2234*1.1+11,I2234*1.1+19))),
IF(L2234="NORMAL",
   IF(I2234&lt;=30,I2234*1.15+2,IF(I2234&lt;=80,I2234*1.15+4,IF(I2234&lt;=150,I2234*1.15+6,I2234*1.15+8))),
IF(L2234="COMPLEMENTO",
   IF(I2234&lt;=25,I2234*1.25+1.5,IF(I2234&lt;=60,I2234*1.25+3,IF(I2234&lt;=120,I2234*1.25+4,I2234*1.25+5))),
""))),2)</f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34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>ROUND(
IF(L2235="GANCHO",
   IF(I2235&lt;=50,I2235*1.1+4,IF(I2235&lt;=120,I2235*1.1+7,IF(I2235&lt;=250,I2235*1.1+11,I2235*1.1+19))),
IF(L2235="NORMAL",
   IF(I2235&lt;=30,I2235*1.15+2,IF(I2235&lt;=80,I2235*1.15+4,IF(I2235&lt;=150,I2235*1.15+6,I2235*1.15+8))),
IF(L2235="COMPLEMENTO",
   IF(I2235&lt;=25,I2235*1.25+1.5,IF(I2235&lt;=60,I2235*1.25+3,IF(I2235&lt;=120,I2235*1.25+4,I2235*1.25+5))),
""))),2)</f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34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>ROUND(
IF(L2236="GANCHO",
   IF(I2236&lt;=50,I2236*1.1+4,IF(I2236&lt;=120,I2236*1.1+7,IF(I2236&lt;=250,I2236*1.1+11,I2236*1.1+19))),
IF(L2236="NORMAL",
   IF(I2236&lt;=30,I2236*1.15+2,IF(I2236&lt;=80,I2236*1.15+4,IF(I2236&lt;=150,I2236*1.15+6,I2236*1.15+8))),
IF(L2236="COMPLEMENTO",
   IF(I2236&lt;=25,I2236*1.25+1.5,IF(I2236&lt;=60,I2236*1.25+3,IF(I2236&lt;=120,I2236*1.25+4,I2236*1.25+5))),
""))),2)</f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34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>ROUND(
IF(L2237="GANCHO",
   IF(I2237&lt;=50,I2237*1.1+4,IF(I2237&lt;=120,I2237*1.1+7,IF(I2237&lt;=250,I2237*1.1+11,I2237*1.1+19))),
IF(L2237="NORMAL",
   IF(I2237&lt;=30,I2237*1.15+2,IF(I2237&lt;=80,I2237*1.15+4,IF(I2237&lt;=150,I2237*1.15+6,I2237*1.15+8))),
IF(L2237="COMPLEMENTO",
   IF(I2237&lt;=25,I2237*1.25+1.5,IF(I2237&lt;=60,I2237*1.25+3,IF(I2237&lt;=120,I2237*1.25+4,I2237*1.25+5))),
""))),2)</f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34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>ROUND(
IF(L2238="GANCHO",
   IF(I2238&lt;=50,I2238*1.1+4,IF(I2238&lt;=120,I2238*1.1+7,IF(I2238&lt;=250,I2238*1.1+11,I2238*1.1+19))),
IF(L2238="NORMAL",
   IF(I2238&lt;=30,I2238*1.15+2,IF(I2238&lt;=80,I2238*1.15+4,IF(I2238&lt;=150,I2238*1.15+6,I2238*1.15+8))),
IF(L2238="COMPLEMENTO",
   IF(I2238&lt;=25,I2238*1.25+1.5,IF(I2238&lt;=60,I2238*1.25+3,IF(I2238&lt;=120,I2238*1.25+4,I2238*1.25+5))),
""))),2)</f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34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>ROUND(
IF(L2239="GANCHO",
   IF(I2239&lt;=50,I2239*1.1+4,IF(I2239&lt;=120,I2239*1.1+7,IF(I2239&lt;=250,I2239*1.1+11,I2239*1.1+19))),
IF(L2239="NORMAL",
   IF(I2239&lt;=30,I2239*1.15+2,IF(I2239&lt;=80,I2239*1.15+4,IF(I2239&lt;=150,I2239*1.15+6,I2239*1.15+8))),
IF(L2239="COMPLEMENTO",
   IF(I2239&lt;=25,I2239*1.25+1.5,IF(I2239&lt;=60,I2239*1.25+3,IF(I2239&lt;=120,I2239*1.25+4,I2239*1.25+5))),
""))),2)</f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34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>ROUND(
IF(L2240="GANCHO",
   IF(I2240&lt;=50,I2240*1.1+4,IF(I2240&lt;=120,I2240*1.1+7,IF(I2240&lt;=250,I2240*1.1+11,I2240*1.1+19))),
IF(L2240="NORMAL",
   IF(I2240&lt;=30,I2240*1.15+2,IF(I2240&lt;=80,I2240*1.15+4,IF(I2240&lt;=150,I2240*1.15+6,I2240*1.15+8))),
IF(L2240="COMPLEMENTO",
   IF(I2240&lt;=25,I2240*1.25+1.5,IF(I2240&lt;=60,I2240*1.25+3,IF(I2240&lt;=120,I2240*1.25+4,I2240*1.25+5))),
""))),2)</f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34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>ROUND(
IF(L2241="GANCHO",
   IF(I2241&lt;=50,I2241*1.1+4,IF(I2241&lt;=120,I2241*1.1+7,IF(I2241&lt;=250,I2241*1.1+11,I2241*1.1+19))),
IF(L2241="NORMAL",
   IF(I2241&lt;=30,I2241*1.15+2,IF(I2241&lt;=80,I2241*1.15+4,IF(I2241&lt;=150,I2241*1.15+6,I2241*1.15+8))),
IF(L2241="COMPLEMENTO",
   IF(I2241&lt;=25,I2241*1.25+1.5,IF(I2241&lt;=60,I2241*1.25+3,IF(I2241&lt;=120,I2241*1.25+4,I2241*1.25+5))),
""))),2)</f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34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34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>ROUND(
IF(L2243="GANCHO",
   IF(I2243&lt;=50,I2243*1.1+4,IF(I2243&lt;=120,I2243*1.1+7,IF(I2243&lt;=250,I2243*1.1+11,I2243*1.1+19))),
IF(L2243="NORMAL",
   IF(I2243&lt;=30,I2243*1.15+2,IF(I2243&lt;=80,I2243*1.15+4,IF(I2243&lt;=150,I2243*1.15+6,I2243*1.15+8))),
IF(L2243="COMPLEMENTO",
   IF(I2243&lt;=25,I2243*1.25+1.5,IF(I2243&lt;=60,I2243*1.25+3,IF(I2243&lt;=120,I2243*1.25+4,I2243*1.25+5))),
""))),2)</f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35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>ROUND(
IF(L2244="GANCHO",
   IF(I2244&lt;=50,I2244*1.1+4,IF(I2244&lt;=120,I2244*1.1+7,IF(I2244&lt;=250,I2244*1.1+11,I2244*1.1+19))),
IF(L2244="NORMAL",
   IF(I2244&lt;=30,I2244*1.15+2,IF(I2244&lt;=80,I2244*1.15+4,IF(I2244&lt;=150,I2244*1.15+6,I2244*1.15+8))),
IF(L2244="COMPLEMENTO",
   IF(I2244&lt;=25,I2244*1.25+1.5,IF(I2244&lt;=60,I2244*1.25+3,IF(I2244&lt;=120,I2244*1.25+4,I2244*1.25+5))),
""))),2)</f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35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>ROUND(
IF(L2245="GANCHO",
   IF(I2245&lt;=50,I2245*1.1+4,IF(I2245&lt;=120,I2245*1.1+7,IF(I2245&lt;=250,I2245*1.1+11,I2245*1.1+19))),
IF(L2245="NORMAL",
   IF(I2245&lt;=30,I2245*1.15+2,IF(I2245&lt;=80,I2245*1.15+4,IF(I2245&lt;=150,I2245*1.15+6,I2245*1.15+8))),
IF(L2245="COMPLEMENTO",
   IF(I2245&lt;=25,I2245*1.25+1.5,IF(I2245&lt;=60,I2245*1.25+3,IF(I2245&lt;=120,I2245*1.25+4,I2245*1.25+5))),
""))),2)</f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35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>ROUND(
IF(L2246="GANCHO",
   IF(I2246&lt;=50,I2246*1.1+4,IF(I2246&lt;=120,I2246*1.1+7,IF(I2246&lt;=250,I2246*1.1+11,I2246*1.1+19))),
IF(L2246="NORMAL",
   IF(I2246&lt;=30,I2246*1.15+2,IF(I2246&lt;=80,I2246*1.15+4,IF(I2246&lt;=150,I2246*1.15+6,I2246*1.15+8))),
IF(L2246="COMPLEMENTO",
   IF(I2246&lt;=25,I2246*1.25+1.5,IF(I2246&lt;=60,I2246*1.25+3,IF(I2246&lt;=120,I2246*1.25+4,I2246*1.25+5))),
""))),2)</f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35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>ROUND(
IF(L2247="GANCHO",
   IF(I2247&lt;=50,I2247*1.1+4,IF(I2247&lt;=120,I2247*1.1+7,IF(I2247&lt;=250,I2247*1.1+11,I2247*1.1+19))),
IF(L2247="NORMAL",
   IF(I2247&lt;=30,I2247*1.15+2,IF(I2247&lt;=80,I2247*1.15+4,IF(I2247&lt;=150,I2247*1.15+6,I2247*1.15+8))),
IF(L2247="COMPLEMENTO",
   IF(I2247&lt;=25,I2247*1.25+1.5,IF(I2247&lt;=60,I2247*1.25+3,IF(I2247&lt;=120,I2247*1.25+4,I2247*1.25+5))),
""))),2)</f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35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>ROUND(
IF(L2248="GANCHO",
   IF(I2248&lt;=50,I2248*1.1+4,IF(I2248&lt;=120,I2248*1.1+7,IF(I2248&lt;=250,I2248*1.1+11,I2248*1.1+19))),
IF(L2248="NORMAL",
   IF(I2248&lt;=30,I2248*1.15+2,IF(I2248&lt;=80,I2248*1.15+4,IF(I2248&lt;=150,I2248*1.15+6,I2248*1.15+8))),
IF(L2248="COMPLEMENTO",
   IF(I2248&lt;=25,I2248*1.25+1.5,IF(I2248&lt;=60,I2248*1.25+3,IF(I2248&lt;=120,I2248*1.25+4,I2248*1.25+5))),
""))),2)</f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35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>ROUND(
IF(L2249="GANCHO",
   IF(I2249&lt;=50,I2249*1.1+4,IF(I2249&lt;=120,I2249*1.1+7,IF(I2249&lt;=250,I2249*1.1+11,I2249*1.1+19))),
IF(L2249="NORMAL",
   IF(I2249&lt;=30,I2249*1.15+2,IF(I2249&lt;=80,I2249*1.15+4,IF(I2249&lt;=150,I2249*1.15+6,I2249*1.15+8))),
IF(L2249="COMPLEMENTO",
   IF(I2249&lt;=25,I2249*1.25+1.5,IF(I2249&lt;=60,I2249*1.25+3,IF(I2249&lt;=120,I2249*1.25+4,I2249*1.25+5))),
""))),2)</f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35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>ROUND(
IF(L2250="GANCHO",
   IF(I2250&lt;=50,I2250*1.1+4,IF(I2250&lt;=120,I2250*1.1+7,IF(I2250&lt;=250,I2250*1.1+11,I2250*1.1+19))),
IF(L2250="NORMAL",
   IF(I2250&lt;=30,I2250*1.15+2,IF(I2250&lt;=80,I2250*1.15+4,IF(I2250&lt;=150,I2250*1.15+6,I2250*1.15+8))),
IF(L2250="COMPLEMENTO",
   IF(I2250&lt;=25,I2250*1.25+1.5,IF(I2250&lt;=60,I2250*1.25+3,IF(I2250&lt;=120,I2250*1.25+4,I2250*1.25+5))),
""))),2)</f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35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>ROUND(
IF(L2251="GANCHO",
   IF(I2251&lt;=50,I2251*1.1+4,IF(I2251&lt;=120,I2251*1.1+7,IF(I2251&lt;=250,I2251*1.1+11,I2251*1.1+19))),
IF(L2251="NORMAL",
   IF(I2251&lt;=30,I2251*1.15+2,IF(I2251&lt;=80,I2251*1.15+4,IF(I2251&lt;=150,I2251*1.15+6,I2251*1.15+8))),
IF(L2251="COMPLEMENTO",
   IF(I2251&lt;=25,I2251*1.25+1.5,IF(I2251&lt;=60,I2251*1.25+3,IF(I2251&lt;=120,I2251*1.25+4,I2251*1.25+5))),
""))),2)</f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35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>ROUND(
IF(L2252="GANCHO",
   IF(I2252&lt;=50,I2252*1.1+4,IF(I2252&lt;=120,I2252*1.1+7,IF(I2252&lt;=250,I2252*1.1+11,I2252*1.1+19))),
IF(L2252="NORMAL",
   IF(I2252&lt;=30,I2252*1.15+2,IF(I2252&lt;=80,I2252*1.15+4,IF(I2252&lt;=150,I2252*1.15+6,I2252*1.15+8))),
IF(L2252="COMPLEMENTO",
   IF(I2252&lt;=25,I2252*1.25+1.5,IF(I2252&lt;=60,I2252*1.25+3,IF(I2252&lt;=120,I2252*1.25+4,I2252*1.25+5))),
""))),2)</f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35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>ROUND(
IF(L2253="GANCHO",
   IF(I2253&lt;=50,I2253*1.1+4,IF(I2253&lt;=120,I2253*1.1+7,IF(I2253&lt;=250,I2253*1.1+11,I2253*1.1+19))),
IF(L2253="NORMAL",
   IF(I2253&lt;=30,I2253*1.15+2,IF(I2253&lt;=80,I2253*1.15+4,IF(I2253&lt;=150,I2253*1.15+6,I2253*1.15+8))),
IF(L2253="COMPLEMENTO",
   IF(I2253&lt;=25,I2253*1.25+1.5,IF(I2253&lt;=60,I2253*1.25+3,IF(I2253&lt;=120,I2253*1.25+4,I2253*1.25+5))),
""))),2)</f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35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>ROUND(
IF(L2254="GANCHO",
   IF(I2254&lt;=50,I2254*1.1+4,IF(I2254&lt;=120,I2254*1.1+7,IF(I2254&lt;=250,I2254*1.1+11,I2254*1.1+19))),
IF(L2254="NORMAL",
   IF(I2254&lt;=30,I2254*1.15+2,IF(I2254&lt;=80,I2254*1.15+4,IF(I2254&lt;=150,I2254*1.15+6,I2254*1.15+8))),
IF(L2254="COMPLEMENTO",
   IF(I2254&lt;=25,I2254*1.25+1.5,IF(I2254&lt;=60,I2254*1.25+3,IF(I2254&lt;=120,I2254*1.25+4,I2254*1.25+5))),
""))),2)</f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35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>ROUND(
IF(L2255="GANCHO",
   IF(I2255&lt;=50,I2255*1.1+4,IF(I2255&lt;=120,I2255*1.1+7,IF(I2255&lt;=250,I2255*1.1+11,I2255*1.1+19))),
IF(L2255="NORMAL",
   IF(I2255&lt;=30,I2255*1.15+2,IF(I2255&lt;=80,I2255*1.15+4,IF(I2255&lt;=150,I2255*1.15+6,I2255*1.15+8))),
IF(L2255="COMPLEMENTO",
   IF(I2255&lt;=25,I2255*1.25+1.5,IF(I2255&lt;=60,I2255*1.25+3,IF(I2255&lt;=120,I2255*1.25+4,I2255*1.25+5))),
""))),2)</f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35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>ROUND(
IF(L2256="GANCHO",
   IF(I2256&lt;=50,I2256*1.1+4,IF(I2256&lt;=120,I2256*1.1+7,IF(I2256&lt;=250,I2256*1.1+11,I2256*1.1+19))),
IF(L2256="NORMAL",
   IF(I2256&lt;=30,I2256*1.15+2,IF(I2256&lt;=80,I2256*1.15+4,IF(I2256&lt;=150,I2256*1.15+6,I2256*1.15+8))),
IF(L2256="COMPLEMENTO",
   IF(I2256&lt;=25,I2256*1.25+1.5,IF(I2256&lt;=60,I2256*1.25+3,IF(I2256&lt;=120,I2256*1.25+4,I2256*1.25+5))),
""))),2)</f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35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>ROUND(
IF(L2257="GANCHO",
   IF(I2257&lt;=50,I2257*1.1+4,IF(I2257&lt;=120,I2257*1.1+7,IF(I2257&lt;=250,I2257*1.1+11,I2257*1.1+19))),
IF(L2257="NORMAL",
   IF(I2257&lt;=30,I2257*1.15+2,IF(I2257&lt;=80,I2257*1.15+4,IF(I2257&lt;=150,I2257*1.15+6,I2257*1.15+8))),
IF(L2257="COMPLEMENTO",
   IF(I2257&lt;=25,I2257*1.25+1.5,IF(I2257&lt;=60,I2257*1.25+3,IF(I2257&lt;=120,I2257*1.25+4,I2257*1.25+5))),
""))),2)</f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35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>ROUND(
IF(L2258="GANCHO",
   IF(I2258&lt;=50,I2258*1.1+4,IF(I2258&lt;=120,I2258*1.1+7,IF(I2258&lt;=250,I2258*1.1+11,I2258*1.1+19))),
IF(L2258="NORMAL",
   IF(I2258&lt;=30,I2258*1.15+2,IF(I2258&lt;=80,I2258*1.15+4,IF(I2258&lt;=150,I2258*1.15+6,I2258*1.15+8))),
IF(L2258="COMPLEMENTO",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35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>ROUND(
IF(L2259="GANCHO",
   IF(I2259&lt;=50,I2259*1.1+4,IF(I2259&lt;=120,I2259*1.1+7,IF(I2259&lt;=250,I2259*1.1+11,I2259*1.1+19))),
IF(L2259="NORMAL",
   IF(I2259&lt;=30,I2259*1.15+2,IF(I2259&lt;=80,I2259*1.15+4,IF(I2259&lt;=150,I2259*1.15+6,I2259*1.15+8))),
IF(L2259="COMPLEMENTO",
   IF(I2259&lt;=25,I2259*1.25+1.5,IF(I2259&lt;=60,I2259*1.25+3,IF(I2259&lt;=120,I2259*1.25+4,I2259*1.25+5))),
""))),2)</f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35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>ROUND(
IF(L2260="GANCHO",
   IF(I2260&lt;=50,I2260*1.1+4,IF(I2260&lt;=120,I2260*1.1+7,IF(I2260&lt;=250,I2260*1.1+11,I2260*1.1+19))),
IF(L2260="NORMAL",
   IF(I2260&lt;=30,I2260*1.15+2,IF(I2260&lt;=80,I2260*1.15+4,IF(I2260&lt;=150,I2260*1.15+6,I2260*1.15+8))),
IF(L2260="COMPLEMENTO",
   IF(I2260&lt;=25,I2260*1.25+1.5,IF(I2260&lt;=60,I2260*1.25+3,IF(I2260&lt;=120,I2260*1.25+4,I2260*1.25+5))),
""))),2)</f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35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>ROUND(
IF(L2261="GANCHO",
   IF(I2261&lt;=50,I2261*1.1+4,IF(I2261&lt;=120,I2261*1.1+7,IF(I2261&lt;=250,I2261*1.1+11,I2261*1.1+19))),
IF(L2261="NORMAL",
   IF(I2261&lt;=30,I2261*1.15+2,IF(I2261&lt;=80,I2261*1.15+4,IF(I2261&lt;=150,I2261*1.15+6,I2261*1.15+8))),
IF(L2261="COMPLEMENTO",
   IF(I2261&lt;=25,I2261*1.25+1.5,IF(I2261&lt;=60,I2261*1.25+3,IF(I2261&lt;=120,I2261*1.25+4,I2261*1.25+5))),
""))),2)</f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35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>ROUND(
IF(L2262="GANCHO",
   IF(I2262&lt;=50,I2262*1.1+4,IF(I2262&lt;=120,I2262*1.1+7,IF(I2262&lt;=250,I2262*1.1+11,I2262*1.1+19))),
IF(L2262="NORMAL",
   IF(I2262&lt;=30,I2262*1.15+2,IF(I2262&lt;=80,I2262*1.15+4,IF(I2262&lt;=150,I2262*1.15+6,I2262*1.15+8))),
IF(L2262="COMPLEMENTO",
   IF(I2262&lt;=25,I2262*1.25+1.5,IF(I2262&lt;=60,I2262*1.25+3,IF(I2262&lt;=120,I2262*1.25+4,I2262*1.25+5))),
""))),2)</f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35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>ROUND(
IF(L2263="GANCHO",
   IF(I2263&lt;=50,I2263*1.1+4,IF(I2263&lt;=120,I2263*1.1+7,IF(I2263&lt;=250,I2263*1.1+11,I2263*1.1+19))),
IF(L2263="NORMAL",
   IF(I2263&lt;=30,I2263*1.15+2,IF(I2263&lt;=80,I2263*1.15+4,IF(I2263&lt;=150,I2263*1.15+6,I2263*1.15+8))),
IF(L2263="COMPLEMENTO",
   IF(I2263&lt;=25,I2263*1.25+1.5,IF(I2263&lt;=60,I2263*1.25+3,IF(I2263&lt;=120,I2263*1.25+4,I2263*1.25+5))),
""))),2)</f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35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>ROUND(
IF(L2264="GANCHO",
   IF(I2264&lt;=50,I2264*1.1+4,IF(I2264&lt;=120,I2264*1.1+7,IF(I2264&lt;=250,I2264*1.1+11,I2264*1.1+19))),
IF(L2264="NORMAL",
   IF(I2264&lt;=30,I2264*1.15+2,IF(I2264&lt;=80,I2264*1.15+4,IF(I2264&lt;=150,I2264*1.15+6,I2264*1.15+8))),
IF(L2264="COMPLEMENTO",
   IF(I2264&lt;=25,I2264*1.25+1.5,IF(I2264&lt;=60,I2264*1.25+3,IF(I2264&lt;=120,I2264*1.25+4,I2264*1.25+5))),
""))),2)</f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35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>ROUND(
IF(L2265="GANCHO",
   IF(I2265&lt;=50,I2265*1.1+4,IF(I2265&lt;=120,I2265*1.1+7,IF(I2265&lt;=250,I2265*1.1+11,I2265*1.1+19))),
IF(L2265="NORMAL",
   IF(I2265&lt;=30,I2265*1.15+2,IF(I2265&lt;=80,I2265*1.15+4,IF(I2265&lt;=150,I2265*1.15+6,I2265*1.15+8))),
IF(L2265="COMPLEMENTO",
   IF(I2265&lt;=25,I2265*1.25+1.5,IF(I2265&lt;=60,I2265*1.25+3,IF(I2265&lt;=120,I2265*1.25+4,I2265*1.25+5))),
""))),2)</f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35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>ROUND(
IF(L2266="GANCHO",
   IF(I2266&lt;=50,I2266*1.1+4,IF(I2266&lt;=120,I2266*1.1+7,IF(I2266&lt;=250,I2266*1.1+11,I2266*1.1+19))),
IF(L2266="NORMAL",
   IF(I2266&lt;=30,I2266*1.15+2,IF(I2266&lt;=80,I2266*1.15+4,IF(I2266&lt;=150,I2266*1.15+6,I2266*1.15+8))),
IF(L2266="COMPLEMENTO",
   IF(I2266&lt;=25,I2266*1.25+1.5,IF(I2266&lt;=60,I2266*1.25+3,IF(I2266&lt;=120,I2266*1.25+4,I2266*1.25+5))),
""))),2)</f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35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>ROUND(
IF(L2267="GANCHO",
   IF(I2267&lt;=50,I2267*1.1+4,IF(I2267&lt;=120,I2267*1.1+7,IF(I2267&lt;=250,I2267*1.1+11,I2267*1.1+19))),
IF(L2267="NORMAL",
   IF(I2267&lt;=30,I2267*1.15+2,IF(I2267&lt;=80,I2267*1.15+4,IF(I2267&lt;=150,I2267*1.15+6,I2267*1.15+8))),
IF(L2267="COMPLEMENTO",
   IF(I2267&lt;=25,I2267*1.25+1.5,IF(I2267&lt;=60,I2267*1.25+3,IF(I2267&lt;=120,I2267*1.25+4,I2267*1.25+5))),
""))),2)</f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35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>ROUND(
IF(L2268="GANCHO",
   IF(I2268&lt;=50,I2268*1.1+4,IF(I2268&lt;=120,I2268*1.1+7,IF(I2268&lt;=250,I2268*1.1+11,I2268*1.1+19))),
IF(L2268="NORMAL",
   IF(I2268&lt;=30,I2268*1.15+2,IF(I2268&lt;=80,I2268*1.15+4,IF(I2268&lt;=150,I2268*1.15+6,I2268*1.15+8))),
IF(L2268="COMPLEMENTO",
   IF(I2268&lt;=25,I2268*1.25+1.5,IF(I2268&lt;=60,I2268*1.25+3,IF(I2268&lt;=120,I2268*1.25+4,I2268*1.25+5))),
""))),2)</f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35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>ROUND(
IF(L2269="GANCHO",
   IF(I2269&lt;=50,I2269*1.1+4,IF(I2269&lt;=120,I2269*1.1+7,IF(I2269&lt;=250,I2269*1.1+11,I2269*1.1+19))),
IF(L2269="NORMAL",
   IF(I2269&lt;=30,I2269*1.15+2,IF(I2269&lt;=80,I2269*1.15+4,IF(I2269&lt;=150,I2269*1.15+6,I2269*1.15+8))),
IF(L2269="COMPLEMENTO",
   IF(I2269&lt;=25,I2269*1.25+1.5,IF(I2269&lt;=60,I2269*1.25+3,IF(I2269&lt;=120,I2269*1.25+4,I2269*1.25+5))),
""))),2)</f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35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>ROUND(
IF(L2270="GANCHO",
   IF(I2270&lt;=50,I2270*1.1+4,IF(I2270&lt;=120,I2270*1.1+7,IF(I2270&lt;=250,I2270*1.1+11,I2270*1.1+19))),
IF(L2270="NORMAL",
   IF(I2270&lt;=30,I2270*1.15+2,IF(I2270&lt;=80,I2270*1.15+4,IF(I2270&lt;=150,I2270*1.15+6,I2270*1.15+8))),
IF(L2270="COMPLEMENTO",
   IF(I2270&lt;=25,I2270*1.25+1.5,IF(I2270&lt;=60,I2270*1.25+3,IF(I2270&lt;=120,I2270*1.25+4,I2270*1.25+5))),
""))),2)</f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35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>ROUND(
IF(L2271="GANCHO",
   IF(I2271&lt;=50,I2271*1.1+4,IF(I2271&lt;=120,I2271*1.1+7,IF(I2271&lt;=250,I2271*1.1+11,I2271*1.1+19))),
IF(L2271="NORMAL",
   IF(I2271&lt;=30,I2271*1.15+2,IF(I2271&lt;=80,I2271*1.15+4,IF(I2271&lt;=150,I2271*1.15+6,I2271*1.15+8))),
IF(L2271="COMPLEMENTO",
   IF(I2271&lt;=25,I2271*1.25+1.5,IF(I2271&lt;=60,I2271*1.25+3,IF(I2271&lt;=120,I2271*1.25+4,I2271*1.25+5))),
""))),2)</f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35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>ROUND(
IF(L2272="GANCHO",
   IF(I2272&lt;=50,I2272*1.1+4,IF(I2272&lt;=120,I2272*1.1+7,IF(I2272&lt;=250,I2272*1.1+11,I2272*1.1+19))),
IF(L2272="NORMAL",
   IF(I2272&lt;=30,I2272*1.15+2,IF(I2272&lt;=80,I2272*1.15+4,IF(I2272&lt;=150,I2272*1.15+6,I2272*1.15+8))),
IF(L2272="COMPLEMENTO",
   IF(I2272&lt;=25,I2272*1.25+1.5,IF(I2272&lt;=60,I2272*1.25+3,IF(I2272&lt;=120,I2272*1.25+4,I2272*1.25+5))),
""))),2)</f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35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>ROUND(
IF(L2273="GANCHO",
   IF(I2273&lt;=50,I2273*1.1+4,IF(I2273&lt;=120,I2273*1.1+7,IF(I2273&lt;=250,I2273*1.1+11,I2273*1.1+19))),
IF(L2273="NORMAL",
   IF(I2273&lt;=30,I2273*1.15+2,IF(I2273&lt;=80,I2273*1.15+4,IF(I2273&lt;=150,I2273*1.15+6,I2273*1.15+8))),
IF(L2273="COMPLEMENTO",
   IF(I2273&lt;=25,I2273*1.25+1.5,IF(I2273&lt;=60,I2273*1.25+3,IF(I2273&lt;=120,I2273*1.25+4,I2273*1.25+5))),
""))),2)</f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35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>ROUND(
IF(L2274="GANCHO",
   IF(I2274&lt;=50,I2274*1.1+4,IF(I2274&lt;=120,I2274*1.1+7,IF(I2274&lt;=250,I2274*1.1+11,I2274*1.1+19))),
IF(L2274="NORMAL",
   IF(I2274&lt;=30,I2274*1.15+2,IF(I2274&lt;=80,I2274*1.15+4,IF(I2274&lt;=150,I2274*1.15+6,I2274*1.15+8))),
IF(L2274="COMPLEMENTO",
   IF(I2274&lt;=25,I2274*1.25+1.5,IF(I2274&lt;=60,I2274*1.25+3,IF(I2274&lt;=120,I2274*1.25+4,I2274*1.25+5))),
""))),2)</f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35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>ROUND(
IF(L2275="GANCHO",
   IF(I2275&lt;=50,I2275*1.1+4,IF(I2275&lt;=120,I2275*1.1+7,IF(I2275&lt;=250,I2275*1.1+11,I2275*1.1+19))),
IF(L2275="NORMAL",
   IF(I2275&lt;=30,I2275*1.15+2,IF(I2275&lt;=80,I2275*1.15+4,IF(I2275&lt;=150,I2275*1.15+6,I2275*1.15+8))),
IF(L2275="COMPLEMENTO",
   IF(I2275&lt;=25,I2275*1.25+1.5,IF(I2275&lt;=60,I2275*1.25+3,IF(I2275&lt;=120,I2275*1.25+4,I2275*1.25+5))),
""))),2)</f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35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>ROUND(
IF(L2276="GANCHO",
   IF(I2276&lt;=50,I2276*1.1+4,IF(I2276&lt;=120,I2276*1.1+7,IF(I2276&lt;=250,I2276*1.1+11,I2276*1.1+19))),
IF(L2276="NORMAL",
   IF(I2276&lt;=30,I2276*1.15+2,IF(I2276&lt;=80,I2276*1.15+4,IF(I2276&lt;=150,I2276*1.15+6,I2276*1.15+8))),
IF(L2276="COMPLEMENTO",
   IF(I2276&lt;=25,I2276*1.25+1.5,IF(I2276&lt;=60,I2276*1.25+3,IF(I2276&lt;=120,I2276*1.25+4,I2276*1.25+5))),
""))),2)</f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35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>ROUND(
IF(L2277="GANCHO",
   IF(I2277&lt;=50,I2277*1.1+4,IF(I2277&lt;=120,I2277*1.1+7,IF(I2277&lt;=250,I2277*1.1+11,I2277*1.1+19))),
IF(L2277="NORMAL",
   IF(I2277&lt;=30,I2277*1.15+2,IF(I2277&lt;=80,I2277*1.15+4,IF(I2277&lt;=150,I2277*1.15+6,I2277*1.15+8))),
IF(L2277="COMPLEMENTO",
   IF(I2277&lt;=25,I2277*1.25+1.5,IF(I2277&lt;=60,I2277*1.25+3,IF(I2277&lt;=120,I2277*1.25+4,I2277*1.25+5))),
""))),2)</f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35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>ROUND(
IF(L2278="GANCHO",
   IF(I2278&lt;=50,I2278*1.1+4,IF(I2278&lt;=120,I2278*1.1+7,IF(I2278&lt;=250,I2278*1.1+11,I2278*1.1+19))),
IF(L2278="NORMAL",
   IF(I2278&lt;=30,I2278*1.15+2,IF(I2278&lt;=80,I2278*1.15+4,IF(I2278&lt;=150,I2278*1.15+6,I2278*1.15+8))),
IF(L2278="COMPLEMENTO",
   IF(I2278&lt;=25,I2278*1.25+1.5,IF(I2278&lt;=60,I2278*1.25+3,IF(I2278&lt;=120,I2278*1.25+4,I2278*1.25+5))),
""))),2)</f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35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>ROUND(
IF(L2279="GANCHO",
   IF(I2279&lt;=50,I2279*1.1+4,IF(I2279&lt;=120,I2279*1.1+7,IF(I2279&lt;=250,I2279*1.1+11,I2279*1.1+19))),
IF(L2279="NORMAL",
   IF(I2279&lt;=30,I2279*1.15+2,IF(I2279&lt;=80,I2279*1.15+4,IF(I2279&lt;=150,I2279*1.15+6,I2279*1.15+8))),
IF(L2279="COMPLEMENTO",
   IF(I2279&lt;=25,I2279*1.25+1.5,IF(I2279&lt;=60,I2279*1.25+3,IF(I2279&lt;=120,I2279*1.25+4,I2279*1.25+5))),
""))),2)</f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35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>ROUND(
IF(L2280="GANCHO",
   IF(I2280&lt;=50,I2280*1.1+4,IF(I2280&lt;=120,I2280*1.1+7,IF(I2280&lt;=250,I2280*1.1+11,I2280*1.1+19))),
IF(L2280="NORMAL",
   IF(I2280&lt;=30,I2280*1.15+2,IF(I2280&lt;=80,I2280*1.15+4,IF(I2280&lt;=150,I2280*1.15+6,I2280*1.15+8))),
IF(L2280="COMPLEMENTO",
   IF(I2280&lt;=25,I2280*1.25+1.5,IF(I2280&lt;=60,I2280*1.25+3,IF(I2280&lt;=120,I2280*1.25+4,I2280*1.25+5))),
""))),2)</f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35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>ROUND(
IF(L2281="GANCHO",
   IF(I2281&lt;=50,I2281*1.1+4,IF(I2281&lt;=120,I2281*1.1+7,IF(I2281&lt;=250,I2281*1.1+11,I2281*1.1+19))),
IF(L2281="NORMAL",
   IF(I2281&lt;=30,I2281*1.15+2,IF(I2281&lt;=80,I2281*1.15+4,IF(I2281&lt;=150,I2281*1.15+6,I2281*1.15+8))),
IF(L2281="COMPLEMENTO",
   IF(I2281&lt;=25,I2281*1.25+1.5,IF(I2281&lt;=60,I2281*1.25+3,IF(I2281&lt;=120,I2281*1.25+4,I2281*1.25+5))),
""))),2)</f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35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>ROUND(
IF(L2282="GANCHO",
   IF(I2282&lt;=50,I2282*1.1+4,IF(I2282&lt;=120,I2282*1.1+7,IF(I2282&lt;=250,I2282*1.1+11,I2282*1.1+19))),
IF(L2282="NORMAL",
   IF(I2282&lt;=30,I2282*1.15+2,IF(I2282&lt;=80,I2282*1.15+4,IF(I2282&lt;=150,I2282*1.15+6,I2282*1.15+8))),
IF(L2282="COMPLEMENTO",
   IF(I2282&lt;=25,I2282*1.25+1.5,IF(I2282&lt;=60,I2282*1.25+3,IF(I2282&lt;=120,I2282*1.25+4,I2282*1.25+5))),
""))),2)</f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35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>ROUND(
IF(L2283="GANCHO",
   IF(I2283&lt;=50,I2283*1.1+4,IF(I2283&lt;=120,I2283*1.1+7,IF(I2283&lt;=250,I2283*1.1+11,I2283*1.1+19))),
IF(L2283="NORMAL",
   IF(I2283&lt;=30,I2283*1.15+2,IF(I2283&lt;=80,I2283*1.15+4,IF(I2283&lt;=150,I2283*1.15+6,I2283*1.15+8))),
IF(L2283="COMPLEMENTO",
   IF(I2283&lt;=25,I2283*1.25+1.5,IF(I2283&lt;=60,I2283*1.25+3,IF(I2283&lt;=120,I2283*1.25+4,I2283*1.25+5))),
""))),2)</f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35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>ROUND(
IF(L2284="GANCHO",
   IF(I2284&lt;=50,I2284*1.1+4,IF(I2284&lt;=120,I2284*1.1+7,IF(I2284&lt;=250,I2284*1.1+11,I2284*1.1+19))),
IF(L2284="NORMAL",
   IF(I2284&lt;=30,I2284*1.15+2,IF(I2284&lt;=80,I2284*1.15+4,IF(I2284&lt;=150,I2284*1.15+6,I2284*1.15+8))),
IF(L2284="COMPLEMENTO",
   IF(I2284&lt;=25,I2284*1.25+1.5,IF(I2284&lt;=60,I2284*1.25+3,IF(I2284&lt;=120,I2284*1.25+4,I2284*1.25+5))),
""))),2)</f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35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>ROUND(
IF(L2285="GANCHO",
   IF(I2285&lt;=50,I2285*1.1+4,IF(I2285&lt;=120,I2285*1.1+7,IF(I2285&lt;=250,I2285*1.1+11,I2285*1.1+19))),
IF(L2285="NORMAL",
   IF(I2285&lt;=30,I2285*1.15+2,IF(I2285&lt;=80,I2285*1.15+4,IF(I2285&lt;=150,I2285*1.15+6,I2285*1.15+8))),
IF(L2285="COMPLEMENTO",
   IF(I2285&lt;=25,I2285*1.25+1.5,IF(I2285&lt;=60,I2285*1.25+3,IF(I2285&lt;=120,I2285*1.25+4,I2285*1.25+5))),
""))),2)</f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35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>ROUND(
IF(L2286="GANCHO",
   IF(I2286&lt;=50,I2286*1.1+4,IF(I2286&lt;=120,I2286*1.1+7,IF(I2286&lt;=250,I2286*1.1+11,I2286*1.1+19))),
IF(L2286="NORMAL",
   IF(I2286&lt;=30,I2286*1.15+2,IF(I2286&lt;=80,I2286*1.15+4,IF(I2286&lt;=150,I2286*1.15+6,I2286*1.15+8))),
IF(L2286="COMPLEMENTO",
   IF(I2286&lt;=25,I2286*1.25+1.5,IF(I2286&lt;=60,I2286*1.25+3,IF(I2286&lt;=120,I2286*1.25+4,I2286*1.25+5))),
""))),2)</f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35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>ROUND(
IF(L2287="GANCHO",
   IF(I2287&lt;=50,I2287*1.1+4,IF(I2287&lt;=120,I2287*1.1+7,IF(I2287&lt;=250,I2287*1.1+11,I2287*1.1+19))),
IF(L2287="NORMAL",
   IF(I2287&lt;=30,I2287*1.15+2,IF(I2287&lt;=80,I2287*1.15+4,IF(I2287&lt;=150,I2287*1.15+6,I2287*1.15+8))),
IF(L2287="COMPLEMENTO",
   IF(I2287&lt;=25,I2287*1.25+1.5,IF(I2287&lt;=60,I2287*1.25+3,IF(I2287&lt;=120,I2287*1.25+4,I2287*1.25+5))),
""))),2)</f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35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>ROUND(
IF(L2288="GANCHO",
   IF(I2288&lt;=50,I2288*1.1+4,IF(I2288&lt;=120,I2288*1.1+7,IF(I2288&lt;=250,I2288*1.1+11,I2288*1.1+19))),
IF(L2288="NORMAL",
   IF(I2288&lt;=30,I2288*1.15+2,IF(I2288&lt;=80,I2288*1.15+4,IF(I2288&lt;=150,I2288*1.15+6,I2288*1.15+8))),
IF(L2288="COMPLEMENTO",
   IF(I2288&lt;=25,I2288*1.25+1.5,IF(I2288&lt;=60,I2288*1.25+3,IF(I2288&lt;=120,I2288*1.25+4,I2288*1.25+5))),
""))),2)</f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35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>ROUND(
IF(L2289="GANCHO",
   IF(I2289&lt;=50,I2289*1.1+4,IF(I2289&lt;=120,I2289*1.1+7,IF(I2289&lt;=250,I2289*1.1+11,I2289*1.1+19))),
IF(L2289="NORMAL",
   IF(I2289&lt;=30,I2289*1.15+2,IF(I2289&lt;=80,I2289*1.15+4,IF(I2289&lt;=150,I2289*1.15+6,I2289*1.15+8))),
IF(L2289="COMPLEMENTO",
   IF(I2289&lt;=25,I2289*1.25+1.5,IF(I2289&lt;=60,I2289*1.25+3,IF(I2289&lt;=120,I2289*1.25+4,I2289*1.25+5))),
""))),2)</f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35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>ROUND(
IF(L2290="GANCHO",
   IF(I2290&lt;=50,I2290*1.1+4,IF(I2290&lt;=120,I2290*1.1+7,IF(I2290&lt;=250,I2290*1.1+11,I2290*1.1+19))),
IF(L2290="NORMAL",
   IF(I2290&lt;=30,I2290*1.15+2,IF(I2290&lt;=80,I2290*1.15+4,IF(I2290&lt;=150,I2290*1.15+6,I2290*1.15+8))),
IF(L2290="COMPLEMENTO",
   IF(I2290&lt;=25,I2290*1.25+1.5,IF(I2290&lt;=60,I2290*1.25+3,IF(I2290&lt;=120,I2290*1.25+4,I2290*1.25+5))),
""))),2)</f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35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>ROUND(
IF(L2291="GANCHO",
   IF(I2291&lt;=50,I2291*1.1+4,IF(I2291&lt;=120,I2291*1.1+7,IF(I2291&lt;=250,I2291*1.1+11,I2291*1.1+19))),
IF(L2291="NORMAL",
   IF(I2291&lt;=30,I2291*1.15+2,IF(I2291&lt;=80,I2291*1.15+4,IF(I2291&lt;=150,I2291*1.15+6,I2291*1.15+8))),
IF(L2291="COMPLEMENTO",
   IF(I2291&lt;=25,I2291*1.25+1.5,IF(I2291&lt;=60,I2291*1.25+3,IF(I2291&lt;=120,I2291*1.25+4,I2291*1.25+5))),
""))),2)</f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35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>ROUND(
IF(L2292="GANCHO",
   IF(I2292&lt;=50,I2292*1.1+4,IF(I2292&lt;=120,I2292*1.1+7,IF(I2292&lt;=250,I2292*1.1+11,I2292*1.1+19))),
IF(L2292="NORMAL",
   IF(I2292&lt;=30,I2292*1.15+2,IF(I2292&lt;=80,I2292*1.15+4,IF(I2292&lt;=150,I2292*1.15+6,I2292*1.15+8))),
IF(L2292="COMPLEMENTO",
   IF(I2292&lt;=25,I2292*1.25+1.5,IF(I2292&lt;=60,I2292*1.25+3,IF(I2292&lt;=120,I2292*1.25+4,I2292*1.25+5))),
""))),2)</f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35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>ROUND(
IF(L2293="GANCHO",
   IF(I2293&lt;=50,I2293*1.1+4,IF(I2293&lt;=120,I2293*1.1+7,IF(I2293&lt;=250,I2293*1.1+11,I2293*1.1+19))),
IF(L2293="NORMAL",
   IF(I2293&lt;=30,I2293*1.15+2,IF(I2293&lt;=80,I2293*1.15+4,IF(I2293&lt;=150,I2293*1.15+6,I2293*1.15+8))),
IF(L2293="COMPLEMENTO",
   IF(I2293&lt;=25,I2293*1.25+1.5,IF(I2293&lt;=60,I2293*1.25+3,IF(I2293&lt;=120,I2293*1.25+4,I2293*1.25+5))),
""))),2)</f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35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>ROUND(
IF(L2294="GANCHO",
   IF(I2294&lt;=50,I2294*1.1+4,IF(I2294&lt;=120,I2294*1.1+7,IF(I2294&lt;=250,I2294*1.1+11,I2294*1.1+19))),
IF(L2294="NORMAL",
   IF(I2294&lt;=30,I2294*1.15+2,IF(I2294&lt;=80,I2294*1.15+4,IF(I2294&lt;=150,I2294*1.15+6,I2294*1.15+8))),
IF(L2294="COMPLEMENTO",
   IF(I2294&lt;=25,I2294*1.25+1.5,IF(I2294&lt;=60,I2294*1.25+3,IF(I2294&lt;=120,I2294*1.25+4,I2294*1.25+5))),
""))),2)</f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35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>ROUND(
IF(L2295="GANCHO",
   IF(I2295&lt;=50,I2295*1.1+4,IF(I2295&lt;=120,I2295*1.1+7,IF(I2295&lt;=250,I2295*1.1+11,I2295*1.1+19))),
IF(L2295="NORMAL",
   IF(I2295&lt;=30,I2295*1.15+2,IF(I2295&lt;=80,I2295*1.15+4,IF(I2295&lt;=150,I2295*1.15+6,I2295*1.15+8))),
IF(L2295="COMPLEMENTO",
   IF(I2295&lt;=25,I2295*1.25+1.5,IF(I2295&lt;=60,I2295*1.25+3,IF(I2295&lt;=120,I2295*1.25+4,I2295*1.25+5))),
""))),2)</f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35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>ROUND(
IF(L2296="GANCHO",
   IF(I2296&lt;=50,I2296*1.1+4,IF(I2296&lt;=120,I2296*1.1+7,IF(I2296&lt;=250,I2296*1.1+11,I2296*1.1+19))),
IF(L2296="NORMAL",
   IF(I2296&lt;=30,I2296*1.15+2,IF(I2296&lt;=80,I2296*1.15+4,IF(I2296&lt;=150,I2296*1.15+6,I2296*1.15+8))),
IF(L2296="COMPLEMENTO",
   IF(I2296&lt;=25,I2296*1.25+1.5,IF(I2296&lt;=60,I2296*1.25+3,IF(I2296&lt;=120,I2296*1.25+4,I2296*1.25+5))),
""))),2)</f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35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>ROUND(
IF(L2297="GANCHO",
   IF(I2297&lt;=50,I2297*1.1+4,IF(I2297&lt;=120,I2297*1.1+7,IF(I2297&lt;=250,I2297*1.1+11,I2297*1.1+19))),
IF(L2297="NORMAL",
   IF(I2297&lt;=30,I2297*1.15+2,IF(I2297&lt;=80,I2297*1.15+4,IF(I2297&lt;=150,I2297*1.15+6,I2297*1.15+8))),
IF(L2297="COMPLEMENTO",
   IF(I2297&lt;=25,I2297*1.25+1.5,IF(I2297&lt;=60,I2297*1.25+3,IF(I2297&lt;=120,I2297*1.25+4,I2297*1.25+5))),
""))),2)</f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35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>ROUND(
IF(L2298="GANCHO",
   IF(I2298&lt;=50,I2298*1.1+4,IF(I2298&lt;=120,I2298*1.1+7,IF(I2298&lt;=250,I2298*1.1+11,I2298*1.1+19))),
IF(L2298="NORMAL",
   IF(I2298&lt;=30,I2298*1.15+2,IF(I2298&lt;=80,I2298*1.15+4,IF(I2298&lt;=150,I2298*1.15+6,I2298*1.15+8))),
IF(L2298="COMPLEMENTO",
   IF(I2298&lt;=25,I2298*1.25+1.5,IF(I2298&lt;=60,I2298*1.25+3,IF(I2298&lt;=120,I2298*1.25+4,I2298*1.25+5))),
""))),2)</f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35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>ROUND(
IF(L2299="GANCHO",
   IF(I2299&lt;=50,I2299*1.1+4,IF(I2299&lt;=120,I2299*1.1+7,IF(I2299&lt;=250,I2299*1.1+11,I2299*1.1+19))),
IF(L2299="NORMAL",
   IF(I2299&lt;=30,I2299*1.15+2,IF(I2299&lt;=80,I2299*1.15+4,IF(I2299&lt;=150,I2299*1.15+6,I2299*1.15+8))),
IF(L2299="COMPLEMENTO",
   IF(I2299&lt;=25,I2299*1.25+1.5,IF(I2299&lt;=60,I2299*1.25+3,IF(I2299&lt;=120,I2299*1.25+4,I2299*1.25+5))),
""))),2)</f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35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>ROUND(
IF(L2300="GANCHO",
   IF(I2300&lt;=50,I2300*1.1+4,IF(I2300&lt;=120,I2300*1.1+7,IF(I2300&lt;=250,I2300*1.1+11,I2300*1.1+19))),
IF(L2300="NORMAL",
   IF(I2300&lt;=30,I2300*1.15+2,IF(I2300&lt;=80,I2300*1.15+4,IF(I2300&lt;=150,I2300*1.15+6,I2300*1.15+8))),
IF(L2300="COMPLEMENTO",
   IF(I2300&lt;=25,I2300*1.25+1.5,IF(I2300&lt;=60,I2300*1.25+3,IF(I2300&lt;=120,I2300*1.25+4,I2300*1.25+5))),
""))),2)</f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35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>ROUND(
IF(L2301="GANCHO",
   IF(I2301&lt;=50,I2301*1.1+4,IF(I2301&lt;=120,I2301*1.1+7,IF(I2301&lt;=250,I2301*1.1+11,I2301*1.1+19))),
IF(L2301="NORMAL",
   IF(I2301&lt;=30,I2301*1.15+2,IF(I2301&lt;=80,I2301*1.15+4,IF(I2301&lt;=150,I2301*1.15+6,I2301*1.15+8))),
IF(L2301="COMPLEMENTO",
   IF(I2301&lt;=25,I2301*1.25+1.5,IF(I2301&lt;=60,I2301*1.25+3,IF(I2301&lt;=120,I2301*1.25+4,I2301*1.25+5))),
""))),2)</f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35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>ROUND(
IF(L2302="GANCHO",
   IF(I2302&lt;=50,I2302*1.1+4,IF(I2302&lt;=120,I2302*1.1+7,IF(I2302&lt;=250,I2302*1.1+11,I2302*1.1+19))),
IF(L2302="NORMAL",
   IF(I2302&lt;=30,I2302*1.15+2,IF(I2302&lt;=80,I2302*1.15+4,IF(I2302&lt;=150,I2302*1.15+6,I2302*1.15+8))),
IF(L2302="COMPLEMENTO",
   IF(I2302&lt;=25,I2302*1.25+1.5,IF(I2302&lt;=60,I2302*1.25+3,IF(I2302&lt;=120,I2302*1.25+4,I2302*1.25+5))),
""))),2)</f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35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>ROUND(
IF(L2303="GANCHO",
   IF(I2303&lt;=50,I2303*1.1+4,IF(I2303&lt;=120,I2303*1.1+7,IF(I2303&lt;=250,I2303*1.1+11,I2303*1.1+19))),
IF(L2303="NORMAL",
   IF(I2303&lt;=30,I2303*1.15+2,IF(I2303&lt;=80,I2303*1.15+4,IF(I2303&lt;=150,I2303*1.15+6,I2303*1.15+8))),
IF(L2303="COMPLEMENTO",
   IF(I2303&lt;=25,I2303*1.25+1.5,IF(I2303&lt;=60,I2303*1.25+3,IF(I2303&lt;=120,I2303*1.25+4,I2303*1.25+5))),
""))),2)</f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35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>ROUND(
IF(L2304="GANCHO",
   IF(I2304&lt;=50,I2304*1.1+4,IF(I2304&lt;=120,I2304*1.1+7,IF(I2304&lt;=250,I2304*1.1+11,I2304*1.1+19))),
IF(L2304="NORMAL",
   IF(I2304&lt;=30,I2304*1.15+2,IF(I2304&lt;=80,I2304*1.15+4,IF(I2304&lt;=150,I2304*1.15+6,I2304*1.15+8))),
IF(L2304="COMPLEMENTO",
   IF(I2304&lt;=25,I2304*1.25+1.5,IF(I2304&lt;=60,I2304*1.25+3,IF(I2304&lt;=120,I2304*1.25+4,I2304*1.25+5))),
""))),2)</f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35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>ROUND(
IF(L2305="GANCHO",
   IF(I2305&lt;=50,I2305*1.1+4,IF(I2305&lt;=120,I2305*1.1+7,IF(I2305&lt;=250,I2305*1.1+11,I2305*1.1+19))),
IF(L2305="NORMAL",
   IF(I2305&lt;=30,I2305*1.15+2,IF(I2305&lt;=80,I2305*1.15+4,IF(I2305&lt;=150,I2305*1.15+6,I2305*1.15+8))),
IF(L2305="COMPLEMENTO",
   IF(I2305&lt;=25,I2305*1.25+1.5,IF(I2305&lt;=60,I2305*1.25+3,IF(I2305&lt;=120,I2305*1.25+4,I2305*1.25+5))),
""))),2)</f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35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35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>ROUND(
IF(L2307="GANCHO",
   IF(I2307&lt;=50,I2307*1.1+4,IF(I2307&lt;=120,I2307*1.1+7,IF(I2307&lt;=250,I2307*1.1+11,I2307*1.1+19))),
IF(L2307="NORMAL",
   IF(I2307&lt;=30,I2307*1.15+2,IF(I2307&lt;=80,I2307*1.15+4,IF(I2307&lt;=150,I2307*1.15+6,I2307*1.15+8))),
IF(L2307="COMPLEMENTO",
   IF(I2307&lt;=25,I2307*1.25+1.5,IF(I2307&lt;=60,I2307*1.25+3,IF(I2307&lt;=120,I2307*1.25+4,I2307*1.25+5))),
""))),2)</f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36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>ROUND(
IF(L2308="GANCHO",
   IF(I2308&lt;=50,I2308*1.1+4,IF(I2308&lt;=120,I2308*1.1+7,IF(I2308&lt;=250,I2308*1.1+11,I2308*1.1+19))),
IF(L2308="NORMAL",
   IF(I2308&lt;=30,I2308*1.15+2,IF(I2308&lt;=80,I2308*1.15+4,IF(I2308&lt;=150,I2308*1.15+6,I2308*1.15+8))),
IF(L2308="COMPLEMENTO",
   IF(I2308&lt;=25,I2308*1.25+1.5,IF(I2308&lt;=60,I2308*1.25+3,IF(I2308&lt;=120,I2308*1.25+4,I2308*1.25+5))),
""))),2)</f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36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>ROUND(
IF(L2309="GANCHO",
   IF(I2309&lt;=50,I2309*1.1+4,IF(I2309&lt;=120,I2309*1.1+7,IF(I2309&lt;=250,I2309*1.1+11,I2309*1.1+19))),
IF(L2309="NORMAL",
   IF(I2309&lt;=30,I2309*1.15+2,IF(I2309&lt;=80,I2309*1.15+4,IF(I2309&lt;=150,I2309*1.15+6,I2309*1.15+8))),
IF(L2309="COMPLEMENTO",
   IF(I2309&lt;=25,I2309*1.25+1.5,IF(I2309&lt;=60,I2309*1.25+3,IF(I2309&lt;=120,I2309*1.25+4,I2309*1.25+5))),
""))),2)</f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36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>ROUND(
IF(L2310="GANCHO",
   IF(I2310&lt;=50,I2310*1.1+4,IF(I2310&lt;=120,I2310*1.1+7,IF(I2310&lt;=250,I2310*1.1+11,I2310*1.1+19))),
IF(L2310="NORMAL",
   IF(I2310&lt;=30,I2310*1.15+2,IF(I2310&lt;=80,I2310*1.15+4,IF(I2310&lt;=150,I2310*1.15+6,I2310*1.15+8))),
IF(L2310="COMPLEMENTO",
   IF(I2310&lt;=25,I2310*1.25+1.5,IF(I2310&lt;=60,I2310*1.25+3,IF(I2310&lt;=120,I2310*1.25+4,I2310*1.25+5))),
""))),2)</f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36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>ROUND(
IF(L2311="GANCHO",
   IF(I2311&lt;=50,I2311*1.1+4,IF(I2311&lt;=120,I2311*1.1+7,IF(I2311&lt;=250,I2311*1.1+11,I2311*1.1+19))),
IF(L2311="NORMAL",
   IF(I2311&lt;=30,I2311*1.15+2,IF(I2311&lt;=80,I2311*1.15+4,IF(I2311&lt;=150,I2311*1.15+6,I2311*1.15+8))),
IF(L2311="COMPLEMENTO",
   IF(I2311&lt;=25,I2311*1.25+1.5,IF(I2311&lt;=60,I2311*1.25+3,IF(I2311&lt;=120,I2311*1.25+4,I2311*1.25+5))),
""))),2)</f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36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>ROUND(
IF(L2312="GANCHO",
   IF(I2312&lt;=50,I2312*1.1+4,IF(I2312&lt;=120,I2312*1.1+7,IF(I2312&lt;=250,I2312*1.1+11,I2312*1.1+19))),
IF(L2312="NORMAL",
   IF(I2312&lt;=30,I2312*1.15+2,IF(I2312&lt;=80,I2312*1.15+4,IF(I2312&lt;=150,I2312*1.15+6,I2312*1.15+8))),
IF(L2312="COMPLEMENTO",
   IF(I2312&lt;=25,I2312*1.25+1.5,IF(I2312&lt;=60,I2312*1.25+3,IF(I2312&lt;=120,I2312*1.25+4,I2312*1.25+5))),
""))),2)</f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36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>ROUND(
IF(L2313="GANCHO",
   IF(I2313&lt;=50,I2313*1.1+4,IF(I2313&lt;=120,I2313*1.1+7,IF(I2313&lt;=250,I2313*1.1+11,I2313*1.1+19))),
IF(L2313="NORMAL",
   IF(I2313&lt;=30,I2313*1.15+2,IF(I2313&lt;=80,I2313*1.15+4,IF(I2313&lt;=150,I2313*1.15+6,I2313*1.15+8))),
IF(L2313="COMPLEMENTO",
   IF(I2313&lt;=25,I2313*1.25+1.5,IF(I2313&lt;=60,I2313*1.25+3,IF(I2313&lt;=120,I2313*1.25+4,I2313*1.25+5))),
""))),2)</f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36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>ROUND(
IF(L2314="GANCHO",
   IF(I2314&lt;=50,I2314*1.1+4,IF(I2314&lt;=120,I2314*1.1+7,IF(I2314&lt;=250,I2314*1.1+11,I2314*1.1+19))),
IF(L2314="NORMAL",
   IF(I2314&lt;=30,I2314*1.15+2,IF(I2314&lt;=80,I2314*1.15+4,IF(I2314&lt;=150,I2314*1.15+6,I2314*1.15+8))),
IF(L2314="COMPLEMENTO",
   IF(I2314&lt;=25,I2314*1.25+1.5,IF(I2314&lt;=60,I2314*1.25+3,IF(I2314&lt;=120,I2314*1.25+4,I2314*1.25+5))),
""))),2)</f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36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>ROUND(
IF(L2315="GANCHO",
   IF(I2315&lt;=50,I2315*1.1+4,IF(I2315&lt;=120,I2315*1.1+7,IF(I2315&lt;=250,I2315*1.1+11,I2315*1.1+19))),
IF(L2315="NORMAL",
   IF(I2315&lt;=30,I2315*1.15+2,IF(I2315&lt;=80,I2315*1.15+4,IF(I2315&lt;=150,I2315*1.15+6,I2315*1.15+8))),
IF(L2315="COMPLEMENTO",
   IF(I2315&lt;=25,I2315*1.25+1.5,IF(I2315&lt;=60,I2315*1.25+3,IF(I2315&lt;=120,I2315*1.25+4,I2315*1.25+5))),
""))),2)</f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36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>ROUND(
IF(L2316="GANCHO",
   IF(I2316&lt;=50,I2316*1.1+4,IF(I2316&lt;=120,I2316*1.1+7,IF(I2316&lt;=250,I2316*1.1+11,I2316*1.1+19))),
IF(L2316="NORMAL",
   IF(I2316&lt;=30,I2316*1.15+2,IF(I2316&lt;=80,I2316*1.15+4,IF(I2316&lt;=150,I2316*1.15+6,I2316*1.15+8))),
IF(L2316="COMPLEMENTO",
   IF(I2316&lt;=25,I2316*1.25+1.5,IF(I2316&lt;=60,I2316*1.25+3,IF(I2316&lt;=120,I2316*1.25+4,I2316*1.25+5))),
""))),2)</f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36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>ROUND(
IF(L2317="GANCHO",
   IF(I2317&lt;=50,I2317*1.1+4,IF(I2317&lt;=120,I2317*1.1+7,IF(I2317&lt;=250,I2317*1.1+11,I2317*1.1+19))),
IF(L2317="NORMAL",
   IF(I2317&lt;=30,I2317*1.15+2,IF(I2317&lt;=80,I2317*1.15+4,IF(I2317&lt;=150,I2317*1.15+6,I2317*1.15+8))),
IF(L2317="COMPLEMENTO",
   IF(I2317&lt;=25,I2317*1.25+1.5,IF(I2317&lt;=60,I2317*1.25+3,IF(I2317&lt;=120,I2317*1.25+4,I2317*1.25+5))),
""))),2)</f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36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>ROUND(
IF(L2318="GANCHO",
   IF(I2318&lt;=50,I2318*1.1+4,IF(I2318&lt;=120,I2318*1.1+7,IF(I2318&lt;=250,I2318*1.1+11,I2318*1.1+19))),
IF(L2318="NORMAL",
   IF(I2318&lt;=30,I2318*1.15+2,IF(I2318&lt;=80,I2318*1.15+4,IF(I2318&lt;=150,I2318*1.15+6,I2318*1.15+8))),
IF(L2318="COMPLEMENTO",
   IF(I2318&lt;=25,I2318*1.25+1.5,IF(I2318&lt;=60,I2318*1.25+3,IF(I2318&lt;=120,I2318*1.25+4,I2318*1.25+5))),
""))),2)</f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36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>ROUND(
IF(L2319="GANCHO",
   IF(I2319&lt;=50,I2319*1.1+4,IF(I2319&lt;=120,I2319*1.1+7,IF(I2319&lt;=250,I2319*1.1+11,I2319*1.1+19))),
IF(L2319="NORMAL",
   IF(I2319&lt;=30,I2319*1.15+2,IF(I2319&lt;=80,I2319*1.15+4,IF(I2319&lt;=150,I2319*1.15+6,I2319*1.15+8))),
IF(L2319="COMPLEMENTO",
   IF(I2319&lt;=25,I2319*1.25+1.5,IF(I2319&lt;=60,I2319*1.25+3,IF(I2319&lt;=120,I2319*1.25+4,I2319*1.25+5))),
""))),2)</f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36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>ROUND(
IF(L2320="GANCHO",
   IF(I2320&lt;=50,I2320*1.1+4,IF(I2320&lt;=120,I2320*1.1+7,IF(I2320&lt;=250,I2320*1.1+11,I2320*1.1+19))),
IF(L2320="NORMAL",
   IF(I2320&lt;=30,I2320*1.15+2,IF(I2320&lt;=80,I2320*1.15+4,IF(I2320&lt;=150,I2320*1.15+6,I2320*1.15+8))),
IF(L2320="COMPLEMENTO",
   IF(I2320&lt;=25,I2320*1.25+1.5,IF(I2320&lt;=60,I2320*1.25+3,IF(I2320&lt;=120,I2320*1.25+4,I2320*1.25+5))),
""))),2)</f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36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>ROUND(
IF(L2321="GANCHO",
   IF(I2321&lt;=50,I2321*1.1+4,IF(I2321&lt;=120,I2321*1.1+7,IF(I2321&lt;=250,I2321*1.1+11,I2321*1.1+19))),
IF(L2321="NORMAL",
   IF(I2321&lt;=30,I2321*1.15+2,IF(I2321&lt;=80,I2321*1.15+4,IF(I2321&lt;=150,I2321*1.15+6,I2321*1.15+8))),
IF(L2321="COMPLEMENTO",
   IF(I2321&lt;=25,I2321*1.25+1.5,IF(I2321&lt;=60,I2321*1.25+3,IF(I2321&lt;=120,I2321*1.25+4,I2321*1.25+5))),
""))),2)</f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36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>ROUND(
IF(L2322="GANCHO",
   IF(I2322&lt;=50,I2322*1.1+4,IF(I2322&lt;=120,I2322*1.1+7,IF(I2322&lt;=250,I2322*1.1+11,I2322*1.1+19))),
IF(L2322="NORMAL",
   IF(I2322&lt;=30,I2322*1.15+2,IF(I2322&lt;=80,I2322*1.15+4,IF(I2322&lt;=150,I2322*1.15+6,I2322*1.15+8))),
IF(L2322="COMPLEMENTO",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36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>ROUND(
IF(L2323="GANCHO",
   IF(I2323&lt;=50,I2323*1.1+4,IF(I2323&lt;=120,I2323*1.1+7,IF(I2323&lt;=250,I2323*1.1+11,I2323*1.1+19))),
IF(L2323="NORMAL",
   IF(I2323&lt;=30,I2323*1.15+2,IF(I2323&lt;=80,I2323*1.15+4,IF(I2323&lt;=150,I2323*1.15+6,I2323*1.15+8))),
IF(L2323="COMPLEMENTO",
   IF(I2323&lt;=25,I2323*1.25+1.5,IF(I2323&lt;=60,I2323*1.25+3,IF(I2323&lt;=120,I2323*1.25+4,I2323*1.25+5))),
""))),2)</f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36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>ROUND(
IF(L2324="GANCHO",
   IF(I2324&lt;=50,I2324*1.1+4,IF(I2324&lt;=120,I2324*1.1+7,IF(I2324&lt;=250,I2324*1.1+11,I2324*1.1+19))),
IF(L2324="NORMAL",
   IF(I2324&lt;=30,I2324*1.15+2,IF(I2324&lt;=80,I2324*1.15+4,IF(I2324&lt;=150,I2324*1.15+6,I2324*1.15+8))),
IF(L2324="COMPLEMENTO",
   IF(I2324&lt;=25,I2324*1.25+1.5,IF(I2324&lt;=60,I2324*1.25+3,IF(I2324&lt;=120,I2324*1.25+4,I2324*1.25+5))),
""))),2)</f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36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>ROUND(
IF(L2325="GANCHO",
   IF(I2325&lt;=50,I2325*1.1+4,IF(I2325&lt;=120,I2325*1.1+7,IF(I2325&lt;=250,I2325*1.1+11,I2325*1.1+19))),
IF(L2325="NORMAL",
   IF(I2325&lt;=30,I2325*1.15+2,IF(I2325&lt;=80,I2325*1.15+4,IF(I2325&lt;=150,I2325*1.15+6,I2325*1.15+8))),
IF(L2325="COMPLEMENTO",
   IF(I2325&lt;=25,I2325*1.25+1.5,IF(I2325&lt;=60,I2325*1.25+3,IF(I2325&lt;=120,I2325*1.25+4,I2325*1.25+5))),
""))),2)</f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36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>ROUND(
IF(L2326="GANCHO",
   IF(I2326&lt;=50,I2326*1.1+4,IF(I2326&lt;=120,I2326*1.1+7,IF(I2326&lt;=250,I2326*1.1+11,I2326*1.1+19))),
IF(L2326="NORMAL",
   IF(I2326&lt;=30,I2326*1.15+2,IF(I2326&lt;=80,I2326*1.15+4,IF(I2326&lt;=150,I2326*1.15+6,I2326*1.15+8))),
IF(L2326="COMPLEMENTO",
   IF(I2326&lt;=25,I2326*1.25+1.5,IF(I2326&lt;=60,I2326*1.25+3,IF(I2326&lt;=120,I2326*1.25+4,I2326*1.25+5))),
""))),2)</f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36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>ROUND(
IF(L2327="GANCHO",
   IF(I2327&lt;=50,I2327*1.1+4,IF(I2327&lt;=120,I2327*1.1+7,IF(I2327&lt;=250,I2327*1.1+11,I2327*1.1+19))),
IF(L2327="NORMAL",
   IF(I2327&lt;=30,I2327*1.15+2,IF(I2327&lt;=80,I2327*1.15+4,IF(I2327&lt;=150,I2327*1.15+6,I2327*1.15+8))),
IF(L2327="COMPLEMENTO",
   IF(I2327&lt;=25,I2327*1.25+1.5,IF(I2327&lt;=60,I2327*1.25+3,IF(I2327&lt;=120,I2327*1.25+4,I2327*1.25+5))),
""))),2)</f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36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>ROUND(
IF(L2328="GANCHO",
   IF(I2328&lt;=50,I2328*1.1+4,IF(I2328&lt;=120,I2328*1.1+7,IF(I2328&lt;=250,I2328*1.1+11,I2328*1.1+19))),
IF(L2328="NORMAL",
   IF(I2328&lt;=30,I2328*1.15+2,IF(I2328&lt;=80,I2328*1.15+4,IF(I2328&lt;=150,I2328*1.15+6,I2328*1.15+8))),
IF(L2328="COMPLEMENTO",
   IF(I2328&lt;=25,I2328*1.25+1.5,IF(I2328&lt;=60,I2328*1.25+3,IF(I2328&lt;=120,I2328*1.25+4,I2328*1.25+5))),
""))),2)</f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36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>ROUND(
IF(L2329="GANCHO",
   IF(I2329&lt;=50,I2329*1.1+4,IF(I2329&lt;=120,I2329*1.1+7,IF(I2329&lt;=250,I2329*1.1+11,I2329*1.1+19))),
IF(L2329="NORMAL",
   IF(I2329&lt;=30,I2329*1.15+2,IF(I2329&lt;=80,I2329*1.15+4,IF(I2329&lt;=150,I2329*1.15+6,I2329*1.15+8))),
IF(L2329="COMPLEMENTO",
   IF(I2329&lt;=25,I2329*1.25+1.5,IF(I2329&lt;=60,I2329*1.25+3,IF(I2329&lt;=120,I2329*1.25+4,I2329*1.25+5))),
""))),2)</f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36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>ROUND(
IF(L2330="GANCHO",
   IF(I2330&lt;=50,I2330*1.1+4,IF(I2330&lt;=120,I2330*1.1+7,IF(I2330&lt;=250,I2330*1.1+11,I2330*1.1+19))),
IF(L2330="NORMAL",
   IF(I2330&lt;=30,I2330*1.15+2,IF(I2330&lt;=80,I2330*1.15+4,IF(I2330&lt;=150,I2330*1.15+6,I2330*1.15+8))),
IF(L2330="COMPLEMENTO",
   IF(I2330&lt;=25,I2330*1.25+1.5,IF(I2330&lt;=60,I2330*1.25+3,IF(I2330&lt;=120,I2330*1.25+4,I2330*1.25+5))),
""))),2)</f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36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>ROUND(
IF(L2331="GANCHO",
   IF(I2331&lt;=50,I2331*1.1+4,IF(I2331&lt;=120,I2331*1.1+7,IF(I2331&lt;=250,I2331*1.1+11,I2331*1.1+19))),
IF(L2331="NORMAL",
   IF(I2331&lt;=30,I2331*1.15+2,IF(I2331&lt;=80,I2331*1.15+4,IF(I2331&lt;=150,I2331*1.15+6,I2331*1.15+8))),
IF(L2331="COMPLEMENTO",
   IF(I2331&lt;=25,I2331*1.25+1.5,IF(I2331&lt;=60,I2331*1.25+3,IF(I2331&lt;=120,I2331*1.25+4,I2331*1.25+5))),
""))),2)</f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36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>ROUND(
IF(L2332="GANCHO",
   IF(I2332&lt;=50,I2332*1.1+4,IF(I2332&lt;=120,I2332*1.1+7,IF(I2332&lt;=250,I2332*1.1+11,I2332*1.1+19))),
IF(L2332="NORMAL",
   IF(I2332&lt;=30,I2332*1.15+2,IF(I2332&lt;=80,I2332*1.15+4,IF(I2332&lt;=150,I2332*1.15+6,I2332*1.15+8))),
IF(L2332="COMPLEMENTO",
   IF(I2332&lt;=25,I2332*1.25+1.5,IF(I2332&lt;=60,I2332*1.25+3,IF(I2332&lt;=120,I2332*1.25+4,I2332*1.25+5))),
""))),2)</f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36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>ROUND(
IF(L2333="GANCHO",
   IF(I2333&lt;=50,I2333*1.1+4,IF(I2333&lt;=120,I2333*1.1+7,IF(I2333&lt;=250,I2333*1.1+11,I2333*1.1+19))),
IF(L2333="NORMAL",
   IF(I2333&lt;=30,I2333*1.15+2,IF(I2333&lt;=80,I2333*1.15+4,IF(I2333&lt;=150,I2333*1.15+6,I2333*1.15+8))),
IF(L2333="COMPLEMENTO",
   IF(I2333&lt;=25,I2333*1.25+1.5,IF(I2333&lt;=60,I2333*1.25+3,IF(I2333&lt;=120,I2333*1.25+4,I2333*1.25+5))),
""))),2)</f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36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>ROUND(
IF(L2334="GANCHO",
   IF(I2334&lt;=50,I2334*1.1+4,IF(I2334&lt;=120,I2334*1.1+7,IF(I2334&lt;=250,I2334*1.1+11,I2334*1.1+19))),
IF(L2334="NORMAL",
   IF(I2334&lt;=30,I2334*1.15+2,IF(I2334&lt;=80,I2334*1.15+4,IF(I2334&lt;=150,I2334*1.15+6,I2334*1.15+8))),
IF(L2334="COMPLEMENTO",
   IF(I2334&lt;=25,I2334*1.25+1.5,IF(I2334&lt;=60,I2334*1.25+3,IF(I2334&lt;=120,I2334*1.25+4,I2334*1.25+5))),
""))),2)</f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36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>ROUND(
IF(L2335="GANCHO",
   IF(I2335&lt;=50,I2335*1.1+4,IF(I2335&lt;=120,I2335*1.1+7,IF(I2335&lt;=250,I2335*1.1+11,I2335*1.1+19))),
IF(L2335="NORMAL",
   IF(I2335&lt;=30,I2335*1.15+2,IF(I2335&lt;=80,I2335*1.15+4,IF(I2335&lt;=150,I2335*1.15+6,I2335*1.15+8))),
IF(L2335="COMPLEMENTO",
   IF(I2335&lt;=25,I2335*1.25+1.5,IF(I2335&lt;=60,I2335*1.25+3,IF(I2335&lt;=120,I2335*1.25+4,I2335*1.25+5))),
""))),2)</f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36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>ROUND(
IF(L2336="GANCHO",
   IF(I2336&lt;=50,I2336*1.1+4,IF(I2336&lt;=120,I2336*1.1+7,IF(I2336&lt;=250,I2336*1.1+11,I2336*1.1+19))),
IF(L2336="NORMAL",
   IF(I2336&lt;=30,I2336*1.15+2,IF(I2336&lt;=80,I2336*1.15+4,IF(I2336&lt;=150,I2336*1.15+6,I2336*1.15+8))),
IF(L2336="COMPLEMENTO",
   IF(I2336&lt;=25,I2336*1.25+1.5,IF(I2336&lt;=60,I2336*1.25+3,IF(I2336&lt;=120,I2336*1.25+4,I2336*1.25+5))),
""))),2)</f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36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>ROUND(
IF(L2337="GANCHO",
   IF(I2337&lt;=50,I2337*1.1+4,IF(I2337&lt;=120,I2337*1.1+7,IF(I2337&lt;=250,I2337*1.1+11,I2337*1.1+19))),
IF(L2337="NORMAL",
   IF(I2337&lt;=30,I2337*1.15+2,IF(I2337&lt;=80,I2337*1.15+4,IF(I2337&lt;=150,I2337*1.15+6,I2337*1.15+8))),
IF(L2337="COMPLEMENTO",
   IF(I2337&lt;=25,I2337*1.25+1.5,IF(I2337&lt;=60,I2337*1.25+3,IF(I2337&lt;=120,I2337*1.25+4,I2337*1.25+5))),
""))),2)</f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36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>ROUND(
IF(L2338="GANCHO",
   IF(I2338&lt;=50,I2338*1.1+4,IF(I2338&lt;=120,I2338*1.1+7,IF(I2338&lt;=250,I2338*1.1+11,I2338*1.1+19))),
IF(L2338="NORMAL",
   IF(I2338&lt;=30,I2338*1.15+2,IF(I2338&lt;=80,I2338*1.15+4,IF(I2338&lt;=150,I2338*1.15+6,I2338*1.15+8))),
IF(L2338="COMPLEMENTO",
   IF(I2338&lt;=25,I2338*1.25+1.5,IF(I2338&lt;=60,I2338*1.25+3,IF(I2338&lt;=120,I2338*1.25+4,I2338*1.25+5))),
""))),2)</f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36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>ROUND(
IF(L2339="GANCHO",
   IF(I2339&lt;=50,I2339*1.1+4,IF(I2339&lt;=120,I2339*1.1+7,IF(I2339&lt;=250,I2339*1.1+11,I2339*1.1+19))),
IF(L2339="NORMAL",
   IF(I2339&lt;=30,I2339*1.15+2,IF(I2339&lt;=80,I2339*1.15+4,IF(I2339&lt;=150,I2339*1.15+6,I2339*1.15+8))),
IF(L2339="COMPLEMENTO",
   IF(I2339&lt;=25,I2339*1.25+1.5,IF(I2339&lt;=60,I2339*1.25+3,IF(I2339&lt;=120,I2339*1.25+4,I2339*1.25+5))),
""))),2)</f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36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>ROUND(
IF(L2340="GANCHO",
   IF(I2340&lt;=50,I2340*1.1+4,IF(I2340&lt;=120,I2340*1.1+7,IF(I2340&lt;=250,I2340*1.1+11,I2340*1.1+19))),
IF(L2340="NORMAL",
   IF(I2340&lt;=30,I2340*1.15+2,IF(I2340&lt;=80,I2340*1.15+4,IF(I2340&lt;=150,I2340*1.15+6,I2340*1.15+8))),
IF(L2340="COMPLEMENTO",
   IF(I2340&lt;=25,I2340*1.25+1.5,IF(I2340&lt;=60,I2340*1.25+3,IF(I2340&lt;=120,I2340*1.25+4,I2340*1.25+5))),
""))),2)</f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36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>ROUND(
IF(L2341="GANCHO",
   IF(I2341&lt;=50,I2341*1.1+4,IF(I2341&lt;=120,I2341*1.1+7,IF(I2341&lt;=250,I2341*1.1+11,I2341*1.1+19))),
IF(L2341="NORMAL",
   IF(I2341&lt;=30,I2341*1.15+2,IF(I2341&lt;=80,I2341*1.15+4,IF(I2341&lt;=150,I2341*1.15+6,I2341*1.15+8))),
IF(L2341="COMPLEMENTO",
   IF(I2341&lt;=25,I2341*1.25+1.5,IF(I2341&lt;=60,I2341*1.25+3,IF(I2341&lt;=120,I2341*1.25+4,I2341*1.25+5))),
""))),2)</f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36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>ROUND(
IF(L2342="GANCHO",
   IF(I2342&lt;=50,I2342*1.1+4,IF(I2342&lt;=120,I2342*1.1+7,IF(I2342&lt;=250,I2342*1.1+11,I2342*1.1+19))),
IF(L2342="NORMAL",
   IF(I2342&lt;=30,I2342*1.15+2,IF(I2342&lt;=80,I2342*1.15+4,IF(I2342&lt;=150,I2342*1.15+6,I2342*1.15+8))),
IF(L2342="COMPLEMENTO",
   IF(I2342&lt;=25,I2342*1.25+1.5,IF(I2342&lt;=60,I2342*1.25+3,IF(I2342&lt;=120,I2342*1.25+4,I2342*1.25+5))),
""))),2)</f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36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>ROUND(
IF(L2343="GANCHO",
   IF(I2343&lt;=50,I2343*1.1+4,IF(I2343&lt;=120,I2343*1.1+7,IF(I2343&lt;=250,I2343*1.1+11,I2343*1.1+19))),
IF(L2343="NORMAL",
   IF(I2343&lt;=30,I2343*1.15+2,IF(I2343&lt;=80,I2343*1.15+4,IF(I2343&lt;=150,I2343*1.15+6,I2343*1.15+8))),
IF(L2343="COMPLEMENTO",
   IF(I2343&lt;=25,I2343*1.25+1.5,IF(I2343&lt;=60,I2343*1.25+3,IF(I2343&lt;=120,I2343*1.25+4,I2343*1.25+5))),
""))),2)</f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36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>ROUND(
IF(L2344="GANCHO",
   IF(I2344&lt;=50,I2344*1.1+4,IF(I2344&lt;=120,I2344*1.1+7,IF(I2344&lt;=250,I2344*1.1+11,I2344*1.1+19))),
IF(L2344="NORMAL",
   IF(I2344&lt;=30,I2344*1.15+2,IF(I2344&lt;=80,I2344*1.15+4,IF(I2344&lt;=150,I2344*1.15+6,I2344*1.15+8))),
IF(L2344="COMPLEMENTO",
   IF(I2344&lt;=25,I2344*1.25+1.5,IF(I2344&lt;=60,I2344*1.25+3,IF(I2344&lt;=120,I2344*1.25+4,I2344*1.25+5))),
""))),2)</f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36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>ROUND(
IF(L2345="GANCHO",
   IF(I2345&lt;=50,I2345*1.1+4,IF(I2345&lt;=120,I2345*1.1+7,IF(I2345&lt;=250,I2345*1.1+11,I2345*1.1+19))),
IF(L2345="NORMAL",
   IF(I2345&lt;=30,I2345*1.15+2,IF(I2345&lt;=80,I2345*1.15+4,IF(I2345&lt;=150,I2345*1.15+6,I2345*1.15+8))),
IF(L2345="COMPLEMENTO",
   IF(I2345&lt;=25,I2345*1.25+1.5,IF(I2345&lt;=60,I2345*1.25+3,IF(I2345&lt;=120,I2345*1.25+4,I2345*1.25+5))),
""))),2)</f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36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>ROUND(
IF(L2346="GANCHO",
   IF(I2346&lt;=50,I2346*1.1+4,IF(I2346&lt;=120,I2346*1.1+7,IF(I2346&lt;=250,I2346*1.1+11,I2346*1.1+19))),
IF(L2346="NORMAL",
   IF(I2346&lt;=30,I2346*1.15+2,IF(I2346&lt;=80,I2346*1.15+4,IF(I2346&lt;=150,I2346*1.15+6,I2346*1.15+8))),
IF(L2346="COMPLEMENTO",
   IF(I2346&lt;=25,I2346*1.25+1.5,IF(I2346&lt;=60,I2346*1.25+3,IF(I2346&lt;=120,I2346*1.25+4,I2346*1.25+5))),
""))),2)</f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36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>ROUND(
IF(L2347="GANCHO",
   IF(I2347&lt;=50,I2347*1.1+4,IF(I2347&lt;=120,I2347*1.1+7,IF(I2347&lt;=250,I2347*1.1+11,I2347*1.1+19))),
IF(L2347="NORMAL",
   IF(I2347&lt;=30,I2347*1.15+2,IF(I2347&lt;=80,I2347*1.15+4,IF(I2347&lt;=150,I2347*1.15+6,I2347*1.15+8))),
IF(L2347="COMPLEMENTO",
   IF(I2347&lt;=25,I2347*1.25+1.5,IF(I2347&lt;=60,I2347*1.25+3,IF(I2347&lt;=120,I2347*1.25+4,I2347*1.25+5))),
""))),2)</f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36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>ROUND(
IF(L2348="GANCHO",
   IF(I2348&lt;=50,I2348*1.1+4,IF(I2348&lt;=120,I2348*1.1+7,IF(I2348&lt;=250,I2348*1.1+11,I2348*1.1+19))),
IF(L2348="NORMAL",
   IF(I2348&lt;=30,I2348*1.15+2,IF(I2348&lt;=80,I2348*1.15+4,IF(I2348&lt;=150,I2348*1.15+6,I2348*1.15+8))),
IF(L2348="COMPLEMENTO",
   IF(I2348&lt;=25,I2348*1.25+1.5,IF(I2348&lt;=60,I2348*1.25+3,IF(I2348&lt;=120,I2348*1.25+4,I2348*1.25+5))),
""))),2)</f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36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>ROUND(
IF(L2349="GANCHO",
   IF(I2349&lt;=50,I2349*1.1+4,IF(I2349&lt;=120,I2349*1.1+7,IF(I2349&lt;=250,I2349*1.1+11,I2349*1.1+19))),
IF(L2349="NORMAL",
   IF(I2349&lt;=30,I2349*1.15+2,IF(I2349&lt;=80,I2349*1.15+4,IF(I2349&lt;=150,I2349*1.15+6,I2349*1.15+8))),
IF(L2349="COMPLEMENTO",
   IF(I2349&lt;=25,I2349*1.25+1.5,IF(I2349&lt;=60,I2349*1.25+3,IF(I2349&lt;=120,I2349*1.25+4,I2349*1.25+5))),
""))),2)</f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36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>ROUND(
IF(L2350="GANCHO",
   IF(I2350&lt;=50,I2350*1.1+4,IF(I2350&lt;=120,I2350*1.1+7,IF(I2350&lt;=250,I2350*1.1+11,I2350*1.1+19))),
IF(L2350="NORMAL",
   IF(I2350&lt;=30,I2350*1.15+2,IF(I2350&lt;=80,I2350*1.15+4,IF(I2350&lt;=150,I2350*1.15+6,I2350*1.15+8))),
IF(L2350="COMPLEMENTO",
   IF(I2350&lt;=25,I2350*1.25+1.5,IF(I2350&lt;=60,I2350*1.25+3,IF(I2350&lt;=120,I2350*1.25+4,I2350*1.25+5))),
""))),2)</f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36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>ROUND(
IF(L2351="GANCHO",
   IF(I2351&lt;=50,I2351*1.1+4,IF(I2351&lt;=120,I2351*1.1+7,IF(I2351&lt;=250,I2351*1.1+11,I2351*1.1+19))),
IF(L2351="NORMAL",
   IF(I2351&lt;=30,I2351*1.15+2,IF(I2351&lt;=80,I2351*1.15+4,IF(I2351&lt;=150,I2351*1.15+6,I2351*1.15+8))),
IF(L2351="COMPLEMENTO",
   IF(I2351&lt;=25,I2351*1.25+1.5,IF(I2351&lt;=60,I2351*1.25+3,IF(I2351&lt;=120,I2351*1.25+4,I2351*1.25+5))),
""))),2)</f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36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>ROUND(
IF(L2352="GANCHO",
   IF(I2352&lt;=50,I2352*1.1+4,IF(I2352&lt;=120,I2352*1.1+7,IF(I2352&lt;=250,I2352*1.1+11,I2352*1.1+19))),
IF(L2352="NORMAL",
   IF(I2352&lt;=30,I2352*1.15+2,IF(I2352&lt;=80,I2352*1.15+4,IF(I2352&lt;=150,I2352*1.15+6,I2352*1.15+8))),
IF(L2352="COMPLEMENTO",
   IF(I2352&lt;=25,I2352*1.25+1.5,IF(I2352&lt;=60,I2352*1.25+3,IF(I2352&lt;=120,I2352*1.25+4,I2352*1.25+5))),
""))),2)</f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36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>ROUND(
IF(L2353="GANCHO",
   IF(I2353&lt;=50,I2353*1.1+4,IF(I2353&lt;=120,I2353*1.1+7,IF(I2353&lt;=250,I2353*1.1+11,I2353*1.1+19))),
IF(L2353="NORMAL",
   IF(I2353&lt;=30,I2353*1.15+2,IF(I2353&lt;=80,I2353*1.15+4,IF(I2353&lt;=150,I2353*1.15+6,I2353*1.15+8))),
IF(L2353="COMPLEMENTO",
   IF(I2353&lt;=25,I2353*1.25+1.5,IF(I2353&lt;=60,I2353*1.25+3,IF(I2353&lt;=120,I2353*1.25+4,I2353*1.25+5))),
""))),2)</f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36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>ROUND(
IF(L2354="GANCHO",
   IF(I2354&lt;=50,I2354*1.1+4,IF(I2354&lt;=120,I2354*1.1+7,IF(I2354&lt;=250,I2354*1.1+11,I2354*1.1+19))),
IF(L2354="NORMAL",
   IF(I2354&lt;=30,I2354*1.15+2,IF(I2354&lt;=80,I2354*1.15+4,IF(I2354&lt;=150,I2354*1.15+6,I2354*1.15+8))),
IF(L2354="COMPLEMENTO",
   IF(I2354&lt;=25,I2354*1.25+1.5,IF(I2354&lt;=60,I2354*1.25+3,IF(I2354&lt;=120,I2354*1.25+4,I2354*1.25+5))),
""))),2)</f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36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>ROUND(
IF(L2355="GANCHO",
   IF(I2355&lt;=50,I2355*1.1+4,IF(I2355&lt;=120,I2355*1.1+7,IF(I2355&lt;=250,I2355*1.1+11,I2355*1.1+19))),
IF(L2355="NORMAL",
   IF(I2355&lt;=30,I2355*1.15+2,IF(I2355&lt;=80,I2355*1.15+4,IF(I2355&lt;=150,I2355*1.15+6,I2355*1.15+8))),
IF(L2355="COMPLEMENTO",
   IF(I2355&lt;=25,I2355*1.25+1.5,IF(I2355&lt;=60,I2355*1.25+3,IF(I2355&lt;=120,I2355*1.25+4,I2355*1.25+5))),
""))),2)</f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36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>ROUND(
IF(L2356="GANCHO",
   IF(I2356&lt;=50,I2356*1.1+4,IF(I2356&lt;=120,I2356*1.1+7,IF(I2356&lt;=250,I2356*1.1+11,I2356*1.1+19))),
IF(L2356="NORMAL",
   IF(I2356&lt;=30,I2356*1.15+2,IF(I2356&lt;=80,I2356*1.15+4,IF(I2356&lt;=150,I2356*1.15+6,I2356*1.15+8))),
IF(L2356="COMPLEMENTO",
   IF(I2356&lt;=25,I2356*1.25+1.5,IF(I2356&lt;=60,I2356*1.25+3,IF(I2356&lt;=120,I2356*1.25+4,I2356*1.25+5))),
""))),2)</f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36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>ROUND(
IF(L2357="GANCHO",
   IF(I2357&lt;=50,I2357*1.1+4,IF(I2357&lt;=120,I2357*1.1+7,IF(I2357&lt;=250,I2357*1.1+11,I2357*1.1+19))),
IF(L2357="NORMAL",
   IF(I2357&lt;=30,I2357*1.15+2,IF(I2357&lt;=80,I2357*1.15+4,IF(I2357&lt;=150,I2357*1.15+6,I2357*1.15+8))),
IF(L2357="COMPLEMENTO",
   IF(I2357&lt;=25,I2357*1.25+1.5,IF(I2357&lt;=60,I2357*1.25+3,IF(I2357&lt;=120,I2357*1.25+4,I2357*1.25+5))),
""))),2)</f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36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>ROUND(
IF(L2358="GANCHO",
   IF(I2358&lt;=50,I2358*1.1+4,IF(I2358&lt;=120,I2358*1.1+7,IF(I2358&lt;=250,I2358*1.1+11,I2358*1.1+19))),
IF(L2358="NORMAL",
   IF(I2358&lt;=30,I2358*1.15+2,IF(I2358&lt;=80,I2358*1.15+4,IF(I2358&lt;=150,I2358*1.15+6,I2358*1.15+8))),
IF(L2358="COMPLEMENTO",
   IF(I2358&lt;=25,I2358*1.25+1.5,IF(I2358&lt;=60,I2358*1.25+3,IF(I2358&lt;=120,I2358*1.25+4,I2358*1.25+5))),
""))),2)</f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36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>ROUND(
IF(L2359="GANCHO",
   IF(I2359&lt;=50,I2359*1.1+4,IF(I2359&lt;=120,I2359*1.1+7,IF(I2359&lt;=250,I2359*1.1+11,I2359*1.1+19))),
IF(L2359="NORMAL",
   IF(I2359&lt;=30,I2359*1.15+2,IF(I2359&lt;=80,I2359*1.15+4,IF(I2359&lt;=150,I2359*1.15+6,I2359*1.15+8))),
IF(L2359="COMPLEMENTO",
   IF(I2359&lt;=25,I2359*1.25+1.5,IF(I2359&lt;=60,I2359*1.25+3,IF(I2359&lt;=120,I2359*1.25+4,I2359*1.25+5))),
""))),2)</f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36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>ROUND(
IF(L2360="GANCHO",
   IF(I2360&lt;=50,I2360*1.1+4,IF(I2360&lt;=120,I2360*1.1+7,IF(I2360&lt;=250,I2360*1.1+11,I2360*1.1+19))),
IF(L2360="NORMAL",
   IF(I2360&lt;=30,I2360*1.15+2,IF(I2360&lt;=80,I2360*1.15+4,IF(I2360&lt;=150,I2360*1.15+6,I2360*1.15+8))),
IF(L2360="COMPLEMENTO",
   IF(I2360&lt;=25,I2360*1.25+1.5,IF(I2360&lt;=60,I2360*1.25+3,IF(I2360&lt;=120,I2360*1.25+4,I2360*1.25+5))),
""))),2)</f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36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>ROUND(
IF(L2361="GANCHO",
   IF(I2361&lt;=50,I2361*1.1+4,IF(I2361&lt;=120,I2361*1.1+7,IF(I2361&lt;=250,I2361*1.1+11,I2361*1.1+19))),
IF(L2361="NORMAL",
   IF(I2361&lt;=30,I2361*1.15+2,IF(I2361&lt;=80,I2361*1.15+4,IF(I2361&lt;=150,I2361*1.15+6,I2361*1.15+8))),
IF(L2361="COMPLEMENTO",
   IF(I2361&lt;=25,I2361*1.25+1.5,IF(I2361&lt;=60,I2361*1.25+3,IF(I2361&lt;=120,I2361*1.25+4,I2361*1.25+5))),
""))),2)</f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36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>ROUND(
IF(L2362="GANCHO",
   IF(I2362&lt;=50,I2362*1.1+4,IF(I2362&lt;=120,I2362*1.1+7,IF(I2362&lt;=250,I2362*1.1+11,I2362*1.1+19))),
IF(L2362="NORMAL",
   IF(I2362&lt;=30,I2362*1.15+2,IF(I2362&lt;=80,I2362*1.15+4,IF(I2362&lt;=150,I2362*1.15+6,I2362*1.15+8))),
IF(L2362="COMPLEMENTO",
   IF(I2362&lt;=25,I2362*1.25+1.5,IF(I2362&lt;=60,I2362*1.25+3,IF(I2362&lt;=120,I2362*1.25+4,I2362*1.25+5))),
""))),2)</f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36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>ROUND(
IF(L2363="GANCHO",
   IF(I2363&lt;=50,I2363*1.1+4,IF(I2363&lt;=120,I2363*1.1+7,IF(I2363&lt;=250,I2363*1.1+11,I2363*1.1+19))),
IF(L2363="NORMAL",
   IF(I2363&lt;=30,I2363*1.15+2,IF(I2363&lt;=80,I2363*1.15+4,IF(I2363&lt;=150,I2363*1.15+6,I2363*1.15+8))),
IF(L2363="COMPLEMENTO",
   IF(I2363&lt;=25,I2363*1.25+1.5,IF(I2363&lt;=60,I2363*1.25+3,IF(I2363&lt;=120,I2363*1.25+4,I2363*1.25+5))),
""))),2)</f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36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>ROUND(
IF(L2364="GANCHO",
   IF(I2364&lt;=50,I2364*1.1+4,IF(I2364&lt;=120,I2364*1.1+7,IF(I2364&lt;=250,I2364*1.1+11,I2364*1.1+19))),
IF(L2364="NORMAL",
   IF(I2364&lt;=30,I2364*1.15+2,IF(I2364&lt;=80,I2364*1.15+4,IF(I2364&lt;=150,I2364*1.15+6,I2364*1.15+8))),
IF(L2364="COMPLEMENTO",
   IF(I2364&lt;=25,I2364*1.25+1.5,IF(I2364&lt;=60,I2364*1.25+3,IF(I2364&lt;=120,I2364*1.25+4,I2364*1.25+5))),
""))),2)</f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36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>ROUND(
IF(L2365="GANCHO",
   IF(I2365&lt;=50,I2365*1.1+4,IF(I2365&lt;=120,I2365*1.1+7,IF(I2365&lt;=250,I2365*1.1+11,I2365*1.1+19))),
IF(L2365="NORMAL",
   IF(I2365&lt;=30,I2365*1.15+2,IF(I2365&lt;=80,I2365*1.15+4,IF(I2365&lt;=150,I2365*1.15+6,I2365*1.15+8))),
IF(L2365="COMPLEMENTO",
   IF(I2365&lt;=25,I2365*1.25+1.5,IF(I2365&lt;=60,I2365*1.25+3,IF(I2365&lt;=120,I2365*1.25+4,I2365*1.25+5))),
""))),2)</f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36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>ROUND(
IF(L2366="GANCHO",
   IF(I2366&lt;=50,I2366*1.1+4,IF(I2366&lt;=120,I2366*1.1+7,IF(I2366&lt;=250,I2366*1.1+11,I2366*1.1+19))),
IF(L2366="NORMAL",
   IF(I2366&lt;=30,I2366*1.15+2,IF(I2366&lt;=80,I2366*1.15+4,IF(I2366&lt;=150,I2366*1.15+6,I2366*1.15+8))),
IF(L2366="COMPLEMENTO",
   IF(I2366&lt;=25,I2366*1.25+1.5,IF(I2366&lt;=60,I2366*1.25+3,IF(I2366&lt;=120,I2366*1.25+4,I2366*1.25+5))),
""))),2)</f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36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>ROUND(
IF(L2367="GANCHO",
   IF(I2367&lt;=50,I2367*1.1+4,IF(I2367&lt;=120,I2367*1.1+7,IF(I2367&lt;=250,I2367*1.1+11,I2367*1.1+19))),
IF(L2367="NORMAL",
   IF(I2367&lt;=30,I2367*1.15+2,IF(I2367&lt;=80,I2367*1.15+4,IF(I2367&lt;=150,I2367*1.15+6,I2367*1.15+8))),
IF(L2367="COMPLEMENTO",
   IF(I2367&lt;=25,I2367*1.25+1.5,IF(I2367&lt;=60,I2367*1.25+3,IF(I2367&lt;=120,I2367*1.25+4,I2367*1.25+5))),
""))),2)</f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36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>ROUND(
IF(L2368="GANCHO",
   IF(I2368&lt;=50,I2368*1.1+4,IF(I2368&lt;=120,I2368*1.1+7,IF(I2368&lt;=250,I2368*1.1+11,I2368*1.1+19))),
IF(L2368="NORMAL",
   IF(I2368&lt;=30,I2368*1.15+2,IF(I2368&lt;=80,I2368*1.15+4,IF(I2368&lt;=150,I2368*1.15+6,I2368*1.15+8))),
IF(L2368="COMPLEMENTO",
   IF(I2368&lt;=25,I2368*1.25+1.5,IF(I2368&lt;=60,I2368*1.25+3,IF(I2368&lt;=120,I2368*1.25+4,I2368*1.25+5))),
""))),2)</f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36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>ROUND(
IF(L2369="GANCHO",
   IF(I2369&lt;=50,I2369*1.1+4,IF(I2369&lt;=120,I2369*1.1+7,IF(I2369&lt;=250,I2369*1.1+11,I2369*1.1+19))),
IF(L2369="NORMAL",
   IF(I2369&lt;=30,I2369*1.15+2,IF(I2369&lt;=80,I2369*1.15+4,IF(I2369&lt;=150,I2369*1.15+6,I2369*1.15+8))),
IF(L2369="COMPLEMENTO",
   IF(I2369&lt;=25,I2369*1.25+1.5,IF(I2369&lt;=60,I2369*1.25+3,IF(I2369&lt;=120,I2369*1.25+4,I2369*1.25+5))),
""))),2)</f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36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36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>ROUND(
IF(L2371="GANCHO",
   IF(I2371&lt;=50,I2371*1.1+4,IF(I2371&lt;=120,I2371*1.1+7,IF(I2371&lt;=250,I2371*1.1+11,I2371*1.1+19))),
IF(L2371="NORMAL",
   IF(I2371&lt;=30,I2371*1.15+2,IF(I2371&lt;=80,I2371*1.15+4,IF(I2371&lt;=150,I2371*1.15+6,I2371*1.15+8))),
IF(L2371="COMPLEMENTO",
   IF(I2371&lt;=25,I2371*1.25+1.5,IF(I2371&lt;=60,I2371*1.25+3,IF(I2371&lt;=120,I2371*1.25+4,I2371*1.25+5))),
""))),2)</f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37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>ROUND(
IF(L2372="GANCHO",
   IF(I2372&lt;=50,I2372*1.1+4,IF(I2372&lt;=120,I2372*1.1+7,IF(I2372&lt;=250,I2372*1.1+11,I2372*1.1+19))),
IF(L2372="NORMAL",
   IF(I2372&lt;=30,I2372*1.15+2,IF(I2372&lt;=80,I2372*1.15+4,IF(I2372&lt;=150,I2372*1.15+6,I2372*1.15+8))),
IF(L2372="COMPLEMENTO",
   IF(I2372&lt;=25,I2372*1.25+1.5,IF(I2372&lt;=60,I2372*1.25+3,IF(I2372&lt;=120,I2372*1.25+4,I2372*1.25+5))),
""))),2)</f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37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>ROUND(
IF(L2373="GANCHO",
   IF(I2373&lt;=50,I2373*1.1+4,IF(I2373&lt;=120,I2373*1.1+7,IF(I2373&lt;=250,I2373*1.1+11,I2373*1.1+19))),
IF(L2373="NORMAL",
   IF(I2373&lt;=30,I2373*1.15+2,IF(I2373&lt;=80,I2373*1.15+4,IF(I2373&lt;=150,I2373*1.15+6,I2373*1.15+8))),
IF(L2373="COMPLEMENTO",
   IF(I2373&lt;=25,I2373*1.25+1.5,IF(I2373&lt;=60,I2373*1.25+3,IF(I2373&lt;=120,I2373*1.25+4,I2373*1.25+5))),
""))),2)</f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37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>ROUND(
IF(L2374="GANCHO",
   IF(I2374&lt;=50,I2374*1.1+4,IF(I2374&lt;=120,I2374*1.1+7,IF(I2374&lt;=250,I2374*1.1+11,I2374*1.1+19))),
IF(L2374="NORMAL",
   IF(I2374&lt;=30,I2374*1.15+2,IF(I2374&lt;=80,I2374*1.15+4,IF(I2374&lt;=150,I2374*1.15+6,I2374*1.15+8))),
IF(L2374="COMPLEMENTO",
   IF(I2374&lt;=25,I2374*1.25+1.5,IF(I2374&lt;=60,I2374*1.25+3,IF(I2374&lt;=120,I2374*1.25+4,I2374*1.25+5))),
""))),2)</f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37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>ROUND(
IF(L2375="GANCHO",
   IF(I2375&lt;=50,I2375*1.1+4,IF(I2375&lt;=120,I2375*1.1+7,IF(I2375&lt;=250,I2375*1.1+11,I2375*1.1+19))),
IF(L2375="NORMAL",
   IF(I2375&lt;=30,I2375*1.15+2,IF(I2375&lt;=80,I2375*1.15+4,IF(I2375&lt;=150,I2375*1.15+6,I2375*1.15+8))),
IF(L2375="COMPLEMENTO",
   IF(I2375&lt;=25,I2375*1.25+1.5,IF(I2375&lt;=60,I2375*1.25+3,IF(I2375&lt;=120,I2375*1.25+4,I2375*1.25+5))),
""))),2)</f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37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>ROUND(
IF(L2376="GANCHO",
   IF(I2376&lt;=50,I2376*1.1+4,IF(I2376&lt;=120,I2376*1.1+7,IF(I2376&lt;=250,I2376*1.1+11,I2376*1.1+19))),
IF(L2376="NORMAL",
   IF(I2376&lt;=30,I2376*1.15+2,IF(I2376&lt;=80,I2376*1.15+4,IF(I2376&lt;=150,I2376*1.15+6,I2376*1.15+8))),
IF(L2376="COMPLEMENTO",
   IF(I2376&lt;=25,I2376*1.25+1.5,IF(I2376&lt;=60,I2376*1.25+3,IF(I2376&lt;=120,I2376*1.25+4,I2376*1.25+5))),
""))),2)</f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37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>ROUND(
IF(L2377="GANCHO",
   IF(I2377&lt;=50,I2377*1.1+4,IF(I2377&lt;=120,I2377*1.1+7,IF(I2377&lt;=250,I2377*1.1+11,I2377*1.1+19))),
IF(L2377="NORMAL",
   IF(I2377&lt;=30,I2377*1.15+2,IF(I2377&lt;=80,I2377*1.15+4,IF(I2377&lt;=150,I2377*1.15+6,I2377*1.15+8))),
IF(L2377="COMPLEMENTO",
   IF(I2377&lt;=25,I2377*1.25+1.5,IF(I2377&lt;=60,I2377*1.25+3,IF(I2377&lt;=120,I2377*1.25+4,I2377*1.25+5))),
""))),2)</f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37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>ROUND(
IF(L2378="GANCHO",
   IF(I2378&lt;=50,I2378*1.1+4,IF(I2378&lt;=120,I2378*1.1+7,IF(I2378&lt;=250,I2378*1.1+11,I2378*1.1+19))),
IF(L2378="NORMAL",
   IF(I2378&lt;=30,I2378*1.15+2,IF(I2378&lt;=80,I2378*1.15+4,IF(I2378&lt;=150,I2378*1.15+6,I2378*1.15+8))),
IF(L2378="COMPLEMENTO",
   IF(I2378&lt;=25,I2378*1.25+1.5,IF(I2378&lt;=60,I2378*1.25+3,IF(I2378&lt;=120,I2378*1.25+4,I2378*1.25+5))),
""))),2)</f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37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>ROUND(
IF(L2379="GANCHO",
   IF(I2379&lt;=50,I2379*1.1+4,IF(I2379&lt;=120,I2379*1.1+7,IF(I2379&lt;=250,I2379*1.1+11,I2379*1.1+19))),
IF(L2379="NORMAL",
   IF(I2379&lt;=30,I2379*1.15+2,IF(I2379&lt;=80,I2379*1.15+4,IF(I2379&lt;=150,I2379*1.15+6,I2379*1.15+8))),
IF(L2379="COMPLEMENTO",
   IF(I2379&lt;=25,I2379*1.25+1.5,IF(I2379&lt;=60,I2379*1.25+3,IF(I2379&lt;=120,I2379*1.25+4,I2379*1.25+5))),
""))),2)</f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37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>ROUND(
IF(L2380="GANCHO",
   IF(I2380&lt;=50,I2380*1.1+4,IF(I2380&lt;=120,I2380*1.1+7,IF(I2380&lt;=250,I2380*1.1+11,I2380*1.1+19))),
IF(L2380="NORMAL",
   IF(I2380&lt;=30,I2380*1.15+2,IF(I2380&lt;=80,I2380*1.15+4,IF(I2380&lt;=150,I2380*1.15+6,I2380*1.15+8))),
IF(L2380="COMPLEMENTO",
   IF(I2380&lt;=25,I2380*1.25+1.5,IF(I2380&lt;=60,I2380*1.25+3,IF(I2380&lt;=120,I2380*1.25+4,I2380*1.25+5))),
""))),2)</f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37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>ROUND(
IF(L2381="GANCHO",
   IF(I2381&lt;=50,I2381*1.1+4,IF(I2381&lt;=120,I2381*1.1+7,IF(I2381&lt;=250,I2381*1.1+11,I2381*1.1+19))),
IF(L2381="NORMAL",
   IF(I2381&lt;=30,I2381*1.15+2,IF(I2381&lt;=80,I2381*1.15+4,IF(I2381&lt;=150,I2381*1.15+6,I2381*1.15+8))),
IF(L2381="COMPLEMENTO",
   IF(I2381&lt;=25,I2381*1.25+1.5,IF(I2381&lt;=60,I2381*1.25+3,IF(I2381&lt;=120,I2381*1.25+4,I2381*1.25+5))),
""))),2)</f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37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>ROUND(
IF(L2382="GANCHO",
   IF(I2382&lt;=50,I2382*1.1+4,IF(I2382&lt;=120,I2382*1.1+7,IF(I2382&lt;=250,I2382*1.1+11,I2382*1.1+19))),
IF(L2382="NORMAL",
   IF(I2382&lt;=30,I2382*1.15+2,IF(I2382&lt;=80,I2382*1.15+4,IF(I2382&lt;=150,I2382*1.15+6,I2382*1.15+8))),
IF(L2382="COMPLEMENTO",
   IF(I2382&lt;=25,I2382*1.25+1.5,IF(I2382&lt;=60,I2382*1.25+3,IF(I2382&lt;=120,I2382*1.25+4,I2382*1.25+5))),
""))),2)</f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37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>ROUND(
IF(L2383="GANCHO",
   IF(I2383&lt;=50,I2383*1.1+4,IF(I2383&lt;=120,I2383*1.1+7,IF(I2383&lt;=250,I2383*1.1+11,I2383*1.1+19))),
IF(L2383="NORMAL",
   IF(I2383&lt;=30,I2383*1.15+2,IF(I2383&lt;=80,I2383*1.15+4,IF(I2383&lt;=150,I2383*1.15+6,I2383*1.15+8))),
IF(L2383="COMPLEMENTO",
   IF(I2383&lt;=25,I2383*1.25+1.5,IF(I2383&lt;=60,I2383*1.25+3,IF(I2383&lt;=120,I2383*1.25+4,I2383*1.25+5))),
""))),2)</f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37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>ROUND(
IF(L2384="GANCHO",
   IF(I2384&lt;=50,I2384*1.1+4,IF(I2384&lt;=120,I2384*1.1+7,IF(I2384&lt;=250,I2384*1.1+11,I2384*1.1+19))),
IF(L2384="NORMAL",
   IF(I2384&lt;=30,I2384*1.15+2,IF(I2384&lt;=80,I2384*1.15+4,IF(I2384&lt;=150,I2384*1.15+6,I2384*1.15+8))),
IF(L2384="COMPLEMENTO",
   IF(I2384&lt;=25,I2384*1.25+1.5,IF(I2384&lt;=60,I2384*1.25+3,IF(I2384&lt;=120,I2384*1.25+4,I2384*1.25+5))),
""))),2)</f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37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>ROUND(
IF(L2385="GANCHO",
   IF(I2385&lt;=50,I2385*1.1+4,IF(I2385&lt;=120,I2385*1.1+7,IF(I2385&lt;=250,I2385*1.1+11,I2385*1.1+19))),
IF(L2385="NORMAL",
   IF(I2385&lt;=30,I2385*1.15+2,IF(I2385&lt;=80,I2385*1.15+4,IF(I2385&lt;=150,I2385*1.15+6,I2385*1.15+8))),
IF(L2385="COMPLEMENTO",
   IF(I2385&lt;=25,I2385*1.25+1.5,IF(I2385&lt;=60,I2385*1.25+3,IF(I2385&lt;=120,I2385*1.25+4,I2385*1.25+5))),
""))),2)</f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37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>ROUND(
IF(L2386="GANCHO",
   IF(I2386&lt;=50,I2386*1.1+4,IF(I2386&lt;=120,I2386*1.1+7,IF(I2386&lt;=250,I2386*1.1+11,I2386*1.1+19))),
IF(L2386="NORMAL",
   IF(I2386&lt;=30,I2386*1.15+2,IF(I2386&lt;=80,I2386*1.15+4,IF(I2386&lt;=150,I2386*1.15+6,I2386*1.15+8))),
IF(L2386="COMPLEMENTO",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37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>ROUND(
IF(L2387="GANCHO",
   IF(I2387&lt;=50,I2387*1.1+4,IF(I2387&lt;=120,I2387*1.1+7,IF(I2387&lt;=250,I2387*1.1+11,I2387*1.1+19))),
IF(L2387="NORMAL",
   IF(I2387&lt;=30,I2387*1.15+2,IF(I2387&lt;=80,I2387*1.15+4,IF(I2387&lt;=150,I2387*1.15+6,I2387*1.15+8))),
IF(L2387="COMPLEMENTO",
   IF(I2387&lt;=25,I2387*1.25+1.5,IF(I2387&lt;=60,I2387*1.25+3,IF(I2387&lt;=120,I2387*1.25+4,I2387*1.25+5))),
""))),2)</f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37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>ROUND(
IF(L2388="GANCHO",
   IF(I2388&lt;=50,I2388*1.1+4,IF(I2388&lt;=120,I2388*1.1+7,IF(I2388&lt;=250,I2388*1.1+11,I2388*1.1+19))),
IF(L2388="NORMAL",
   IF(I2388&lt;=30,I2388*1.15+2,IF(I2388&lt;=80,I2388*1.15+4,IF(I2388&lt;=150,I2388*1.15+6,I2388*1.15+8))),
IF(L2388="COMPLEMENTO",
   IF(I2388&lt;=25,I2388*1.25+1.5,IF(I2388&lt;=60,I2388*1.25+3,IF(I2388&lt;=120,I2388*1.25+4,I2388*1.25+5))),
""))),2)</f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37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>ROUND(
IF(L2389="GANCHO",
   IF(I2389&lt;=50,I2389*1.1+4,IF(I2389&lt;=120,I2389*1.1+7,IF(I2389&lt;=250,I2389*1.1+11,I2389*1.1+19))),
IF(L2389="NORMAL",
   IF(I2389&lt;=30,I2389*1.15+2,IF(I2389&lt;=80,I2389*1.15+4,IF(I2389&lt;=150,I2389*1.15+6,I2389*1.15+8))),
IF(L2389="COMPLEMENTO",
   IF(I2389&lt;=25,I2389*1.25+1.5,IF(I2389&lt;=60,I2389*1.25+3,IF(I2389&lt;=120,I2389*1.25+4,I2389*1.25+5))),
""))),2)</f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37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>ROUND(
IF(L2390="GANCHO",
   IF(I2390&lt;=50,I2390*1.1+4,IF(I2390&lt;=120,I2390*1.1+7,IF(I2390&lt;=250,I2390*1.1+11,I2390*1.1+19))),
IF(L2390="NORMAL",
   IF(I2390&lt;=30,I2390*1.15+2,IF(I2390&lt;=80,I2390*1.15+4,IF(I2390&lt;=150,I2390*1.15+6,I2390*1.15+8))),
IF(L2390="COMPLEMENTO",
   IF(I2390&lt;=25,I2390*1.25+1.5,IF(I2390&lt;=60,I2390*1.25+3,IF(I2390&lt;=120,I2390*1.25+4,I2390*1.25+5))),
""))),2)</f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37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>ROUND(
IF(L2391="GANCHO",
   IF(I2391&lt;=50,I2391*1.1+4,IF(I2391&lt;=120,I2391*1.1+7,IF(I2391&lt;=250,I2391*1.1+11,I2391*1.1+19))),
IF(L2391="NORMAL",
   IF(I2391&lt;=30,I2391*1.15+2,IF(I2391&lt;=80,I2391*1.15+4,IF(I2391&lt;=150,I2391*1.15+6,I2391*1.15+8))),
IF(L2391="COMPLEMENTO",
   IF(I2391&lt;=25,I2391*1.25+1.5,IF(I2391&lt;=60,I2391*1.25+3,IF(I2391&lt;=120,I2391*1.25+4,I2391*1.25+5))),
""))),2)</f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37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>ROUND(
IF(L2392="GANCHO",
   IF(I2392&lt;=50,I2392*1.1+4,IF(I2392&lt;=120,I2392*1.1+7,IF(I2392&lt;=250,I2392*1.1+11,I2392*1.1+19))),
IF(L2392="NORMAL",
   IF(I2392&lt;=30,I2392*1.15+2,IF(I2392&lt;=80,I2392*1.15+4,IF(I2392&lt;=150,I2392*1.15+6,I2392*1.15+8))),
IF(L2392="COMPLEMENTO",
   IF(I2392&lt;=25,I2392*1.25+1.5,IF(I2392&lt;=60,I2392*1.25+3,IF(I2392&lt;=120,I2392*1.25+4,I2392*1.25+5))),
""))),2)</f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37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>ROUND(
IF(L2393="GANCHO",
   IF(I2393&lt;=50,I2393*1.1+4,IF(I2393&lt;=120,I2393*1.1+7,IF(I2393&lt;=250,I2393*1.1+11,I2393*1.1+19))),
IF(L2393="NORMAL",
   IF(I2393&lt;=30,I2393*1.15+2,IF(I2393&lt;=80,I2393*1.15+4,IF(I2393&lt;=150,I2393*1.15+6,I2393*1.15+8))),
IF(L2393="COMPLEMENTO",
   IF(I2393&lt;=25,I2393*1.25+1.5,IF(I2393&lt;=60,I2393*1.25+3,IF(I2393&lt;=120,I2393*1.25+4,I2393*1.25+5))),
""))),2)</f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37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>ROUND(
IF(L2394="GANCHO",
   IF(I2394&lt;=50,I2394*1.1+4,IF(I2394&lt;=120,I2394*1.1+7,IF(I2394&lt;=250,I2394*1.1+11,I2394*1.1+19))),
IF(L2394="NORMAL",
   IF(I2394&lt;=30,I2394*1.15+2,IF(I2394&lt;=80,I2394*1.15+4,IF(I2394&lt;=150,I2394*1.15+6,I2394*1.15+8))),
IF(L2394="COMPLEMENTO",
   IF(I2394&lt;=25,I2394*1.25+1.5,IF(I2394&lt;=60,I2394*1.25+3,IF(I2394&lt;=120,I2394*1.25+4,I2394*1.25+5))),
""))),2)</f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37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>ROUND(
IF(L2395="GANCHO",
   IF(I2395&lt;=50,I2395*1.1+4,IF(I2395&lt;=120,I2395*1.1+7,IF(I2395&lt;=250,I2395*1.1+11,I2395*1.1+19))),
IF(L2395="NORMAL",
   IF(I2395&lt;=30,I2395*1.15+2,IF(I2395&lt;=80,I2395*1.15+4,IF(I2395&lt;=150,I2395*1.15+6,I2395*1.15+8))),
IF(L2395="COMPLEMENTO",
   IF(I2395&lt;=25,I2395*1.25+1.5,IF(I2395&lt;=60,I2395*1.25+3,IF(I2395&lt;=120,I2395*1.25+4,I2395*1.25+5))),
""))),2)</f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37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>ROUND(
IF(L2396="GANCHO",
   IF(I2396&lt;=50,I2396*1.1+4,IF(I2396&lt;=120,I2396*1.1+7,IF(I2396&lt;=250,I2396*1.1+11,I2396*1.1+19))),
IF(L2396="NORMAL",
   IF(I2396&lt;=30,I2396*1.15+2,IF(I2396&lt;=80,I2396*1.15+4,IF(I2396&lt;=150,I2396*1.15+6,I2396*1.15+8))),
IF(L2396="COMPLEMENTO",
   IF(I2396&lt;=25,I2396*1.25+1.5,IF(I2396&lt;=60,I2396*1.25+3,IF(I2396&lt;=120,I2396*1.25+4,I2396*1.25+5))),
""))),2)</f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37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>ROUND(
IF(L2397="GANCHO",
   IF(I2397&lt;=50,I2397*1.1+4,IF(I2397&lt;=120,I2397*1.1+7,IF(I2397&lt;=250,I2397*1.1+11,I2397*1.1+19))),
IF(L2397="NORMAL",
   IF(I2397&lt;=30,I2397*1.15+2,IF(I2397&lt;=80,I2397*1.15+4,IF(I2397&lt;=150,I2397*1.15+6,I2397*1.15+8))),
IF(L2397="COMPLEMENTO",
   IF(I2397&lt;=25,I2397*1.25+1.5,IF(I2397&lt;=60,I2397*1.25+3,IF(I2397&lt;=120,I2397*1.25+4,I2397*1.25+5))),
""))),2)</f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37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>ROUND(
IF(L2398="GANCHO",
   IF(I2398&lt;=50,I2398*1.1+4,IF(I2398&lt;=120,I2398*1.1+7,IF(I2398&lt;=250,I2398*1.1+11,I2398*1.1+19))),
IF(L2398="NORMAL",
   IF(I2398&lt;=30,I2398*1.15+2,IF(I2398&lt;=80,I2398*1.15+4,IF(I2398&lt;=150,I2398*1.15+6,I2398*1.15+8))),
IF(L2398="COMPLEMENTO",
   IF(I2398&lt;=25,I2398*1.25+1.5,IF(I2398&lt;=60,I2398*1.25+3,IF(I2398&lt;=120,I2398*1.25+4,I2398*1.25+5))),
""))),2)</f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37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>ROUND(
IF(L2399="GANCHO",
   IF(I2399&lt;=50,I2399*1.1+4,IF(I2399&lt;=120,I2399*1.1+7,IF(I2399&lt;=250,I2399*1.1+11,I2399*1.1+19))),
IF(L2399="NORMAL",
   IF(I2399&lt;=30,I2399*1.15+2,IF(I2399&lt;=80,I2399*1.15+4,IF(I2399&lt;=150,I2399*1.15+6,I2399*1.15+8))),
IF(L2399="COMPLEMENTO",
   IF(I2399&lt;=25,I2399*1.25+1.5,IF(I2399&lt;=60,I2399*1.25+3,IF(I2399&lt;=120,I2399*1.25+4,I2399*1.25+5))),
""))),2)</f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37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>ROUND(
IF(L2400="GANCHO",
   IF(I2400&lt;=50,I2400*1.1+4,IF(I2400&lt;=120,I2400*1.1+7,IF(I2400&lt;=250,I2400*1.1+11,I2400*1.1+19))),
IF(L2400="NORMAL",
   IF(I2400&lt;=30,I2400*1.15+2,IF(I2400&lt;=80,I2400*1.15+4,IF(I2400&lt;=150,I2400*1.15+6,I2400*1.15+8))),
IF(L2400="COMPLEMENTO",
   IF(I2400&lt;=25,I2400*1.25+1.5,IF(I2400&lt;=60,I2400*1.25+3,IF(I2400&lt;=120,I2400*1.25+4,I2400*1.25+5))),
""))),2)</f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37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>ROUND(
IF(L2401="GANCHO",
   IF(I2401&lt;=50,I2401*1.1+4,IF(I2401&lt;=120,I2401*1.1+7,IF(I2401&lt;=250,I2401*1.1+11,I2401*1.1+19))),
IF(L2401="NORMAL",
   IF(I2401&lt;=30,I2401*1.15+2,IF(I2401&lt;=80,I2401*1.15+4,IF(I2401&lt;=150,I2401*1.15+6,I2401*1.15+8))),
IF(L2401="COMPLEMENTO",
   IF(I2401&lt;=25,I2401*1.25+1.5,IF(I2401&lt;=60,I2401*1.25+3,IF(I2401&lt;=120,I2401*1.25+4,I2401*1.25+5))),
""))),2)</f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37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>ROUND(
IF(L2402="GANCHO",
   IF(I2402&lt;=50,I2402*1.1+4,IF(I2402&lt;=120,I2402*1.1+7,IF(I2402&lt;=250,I2402*1.1+11,I2402*1.1+19))),
IF(L2402="NORMAL",
   IF(I2402&lt;=30,I2402*1.15+2,IF(I2402&lt;=80,I2402*1.15+4,IF(I2402&lt;=150,I2402*1.15+6,I2402*1.15+8))),
IF(L2402="COMPLEMENTO",
   IF(I2402&lt;=25,I2402*1.25+1.5,IF(I2402&lt;=60,I2402*1.25+3,IF(I2402&lt;=120,I2402*1.25+4,I2402*1.25+5))),
""))),2)</f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37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>ROUND(
IF(L2403="GANCHO",
   IF(I2403&lt;=50,I2403*1.1+4,IF(I2403&lt;=120,I2403*1.1+7,IF(I2403&lt;=250,I2403*1.1+11,I2403*1.1+19))),
IF(L2403="NORMAL",
   IF(I2403&lt;=30,I2403*1.15+2,IF(I2403&lt;=80,I2403*1.15+4,IF(I2403&lt;=150,I2403*1.15+6,I2403*1.15+8))),
IF(L2403="COMPLEMENTO",
   IF(I2403&lt;=25,I2403*1.25+1.5,IF(I2403&lt;=60,I2403*1.25+3,IF(I2403&lt;=120,I2403*1.25+4,I2403*1.25+5))),
""))),2)</f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37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>ROUND(
IF(L2404="GANCHO",
   IF(I2404&lt;=50,I2404*1.1+4,IF(I2404&lt;=120,I2404*1.1+7,IF(I2404&lt;=250,I2404*1.1+11,I2404*1.1+19))),
IF(L2404="NORMAL",
   IF(I2404&lt;=30,I2404*1.15+2,IF(I2404&lt;=80,I2404*1.15+4,IF(I2404&lt;=150,I2404*1.15+6,I2404*1.15+8))),
IF(L2404="COMPLEMENTO",
   IF(I2404&lt;=25,I2404*1.25+1.5,IF(I2404&lt;=60,I2404*1.25+3,IF(I2404&lt;=120,I2404*1.25+4,I2404*1.25+5))),
""))),2)</f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37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>ROUND(
IF(L2405="GANCHO",
   IF(I2405&lt;=50,I2405*1.1+4,IF(I2405&lt;=120,I2405*1.1+7,IF(I2405&lt;=250,I2405*1.1+11,I2405*1.1+19))),
IF(L2405="NORMAL",
   IF(I2405&lt;=30,I2405*1.15+2,IF(I2405&lt;=80,I2405*1.15+4,IF(I2405&lt;=150,I2405*1.15+6,I2405*1.15+8))),
IF(L2405="COMPLEMENTO",
   IF(I2405&lt;=25,I2405*1.25+1.5,IF(I2405&lt;=60,I2405*1.25+3,IF(I2405&lt;=120,I2405*1.25+4,I2405*1.25+5))),
""))),2)</f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37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N19" sqref="AN7:AN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3890</v>
      </c>
      <c r="C1" s="1" t="s">
        <v>3891</v>
      </c>
      <c r="D1" s="1" t="s">
        <v>2587</v>
      </c>
      <c r="E1" s="1" t="s">
        <v>43</v>
      </c>
      <c r="F1" s="1" t="s">
        <v>41</v>
      </c>
      <c r="G1" s="1" t="s">
        <v>29</v>
      </c>
      <c r="H1" s="1" t="s">
        <v>588</v>
      </c>
      <c r="I1" s="1" t="s">
        <v>586</v>
      </c>
      <c r="J1" s="1" t="s">
        <v>585</v>
      </c>
      <c r="K1" s="1" t="s">
        <v>46</v>
      </c>
      <c r="L1" s="1" t="s">
        <v>45</v>
      </c>
      <c r="M1" s="1" t="s">
        <v>12</v>
      </c>
      <c r="N1" s="1" t="s">
        <v>587</v>
      </c>
      <c r="O1" s="1" t="s">
        <v>589</v>
      </c>
      <c r="P1" s="1" t="s">
        <v>590</v>
      </c>
      <c r="Q1" s="1" t="s">
        <v>19</v>
      </c>
      <c r="R1" s="1" t="s">
        <v>11</v>
      </c>
      <c r="S1" s="1" t="s">
        <v>8</v>
      </c>
      <c r="T1" s="1" t="s">
        <v>2616</v>
      </c>
      <c r="U1" s="1" t="s">
        <v>564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2617</v>
      </c>
      <c r="AN1" s="1" t="s">
        <v>6331</v>
      </c>
      <c r="AO1" s="1" t="s">
        <v>4073</v>
      </c>
      <c r="AP1" s="1" t="s">
        <v>4145</v>
      </c>
      <c r="AQ1" s="1" t="s">
        <v>4470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2026-03-24T15:08:24Z</dcterms:modified>
</cp:coreProperties>
</file>