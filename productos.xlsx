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CD1DE3F6-7FFA-4C12-8433-1BCB830F813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3" i="1"/>
  <c r="H3" i="1" s="1"/>
  <c r="L4" i="1"/>
  <c r="H4" i="1" s="1"/>
  <c r="L5" i="1"/>
  <c r="H5" i="1" s="1"/>
  <c r="L6" i="1"/>
  <c r="H6" i="1" s="1"/>
  <c r="L7" i="1"/>
  <c r="H7" i="1" s="1"/>
  <c r="L8" i="1"/>
  <c r="H8" i="1" s="1"/>
  <c r="L9" i="1"/>
  <c r="H9" i="1" s="1"/>
  <c r="L10" i="1"/>
  <c r="H10" i="1" s="1"/>
  <c r="L11" i="1"/>
  <c r="H11" i="1" s="1"/>
  <c r="L12" i="1"/>
  <c r="H12" i="1" s="1"/>
  <c r="L13" i="1"/>
  <c r="L14" i="1"/>
  <c r="H14" i="1" s="1"/>
  <c r="L15" i="1"/>
  <c r="H15" i="1" s="1"/>
  <c r="L16" i="1"/>
  <c r="L17" i="1"/>
  <c r="L18" i="1"/>
  <c r="H20" i="1" s="1"/>
  <c r="L19" i="1"/>
  <c r="H21" i="1" s="1"/>
  <c r="L20" i="1"/>
  <c r="H22" i="1" s="1"/>
  <c r="L21" i="1"/>
  <c r="H23" i="1" s="1"/>
  <c r="L22" i="1"/>
  <c r="H24" i="1" s="1"/>
  <c r="L23" i="1"/>
  <c r="H25" i="1" s="1"/>
  <c r="L24" i="1"/>
  <c r="H26" i="1" s="1"/>
  <c r="L25" i="1"/>
  <c r="H27" i="1" s="1"/>
  <c r="L26" i="1"/>
  <c r="H28" i="1" s="1"/>
  <c r="L27" i="1"/>
  <c r="H29" i="1" s="1"/>
  <c r="L28" i="1"/>
  <c r="H30" i="1" s="1"/>
  <c r="L29" i="1"/>
  <c r="H31" i="1" s="1"/>
  <c r="L30" i="1"/>
  <c r="H32" i="1" s="1"/>
  <c r="L31" i="1"/>
  <c r="H33" i="1" s="1"/>
  <c r="L32" i="1"/>
  <c r="H34" i="1" s="1"/>
  <c r="L33" i="1"/>
  <c r="H35" i="1" s="1"/>
  <c r="L34" i="1"/>
  <c r="H36" i="1" s="1"/>
  <c r="L35" i="1"/>
  <c r="H37" i="1" s="1"/>
  <c r="L36" i="1"/>
  <c r="H38" i="1" s="1"/>
  <c r="L37" i="1"/>
  <c r="H39" i="1" s="1"/>
  <c r="L38" i="1"/>
  <c r="H40" i="1" s="1"/>
  <c r="L39" i="1"/>
  <c r="H41" i="1" s="1"/>
  <c r="L40" i="1"/>
  <c r="H42" i="1" s="1"/>
  <c r="L41" i="1"/>
  <c r="H43" i="1" s="1"/>
  <c r="L42" i="1"/>
  <c r="H44" i="1" s="1"/>
  <c r="L43" i="1"/>
  <c r="H45" i="1" s="1"/>
  <c r="L44" i="1"/>
  <c r="H46" i="1" s="1"/>
  <c r="L45" i="1"/>
  <c r="H47" i="1" s="1"/>
  <c r="L46" i="1"/>
  <c r="H48" i="1" s="1"/>
  <c r="L47" i="1"/>
  <c r="H49" i="1" s="1"/>
  <c r="L48" i="1"/>
  <c r="H50" i="1" s="1"/>
  <c r="L49" i="1"/>
  <c r="H51" i="1" s="1"/>
  <c r="L50" i="1"/>
  <c r="H52" i="1" s="1"/>
  <c r="L51" i="1"/>
  <c r="H53" i="1" s="1"/>
  <c r="L52" i="1"/>
  <c r="H54" i="1" s="1"/>
  <c r="L53" i="1"/>
  <c r="H55" i="1" s="1"/>
  <c r="L54" i="1"/>
  <c r="H56" i="1" s="1"/>
  <c r="L55" i="1"/>
  <c r="H57" i="1" s="1"/>
  <c r="L56" i="1"/>
  <c r="H58" i="1" s="1"/>
  <c r="L57" i="1"/>
  <c r="H59" i="1" s="1"/>
  <c r="L58" i="1"/>
  <c r="H60" i="1" s="1"/>
  <c r="L59" i="1"/>
  <c r="H61" i="1" s="1"/>
  <c r="L60" i="1"/>
  <c r="H62" i="1" s="1"/>
  <c r="L61" i="1"/>
  <c r="H63" i="1" s="1"/>
  <c r="L62" i="1"/>
  <c r="H64" i="1" s="1"/>
  <c r="L63" i="1"/>
  <c r="H65" i="1" s="1"/>
  <c r="L64" i="1"/>
  <c r="H66" i="1" s="1"/>
  <c r="L65" i="1"/>
  <c r="H67" i="1" s="1"/>
  <c r="L66" i="1"/>
  <c r="H68" i="1" s="1"/>
  <c r="L67" i="1"/>
  <c r="H69" i="1" s="1"/>
  <c r="L68" i="1"/>
  <c r="H70" i="1" s="1"/>
  <c r="L69" i="1"/>
  <c r="H71" i="1" s="1"/>
  <c r="L70" i="1"/>
  <c r="H72" i="1" s="1"/>
  <c r="L71" i="1"/>
  <c r="H73" i="1" s="1"/>
  <c r="L72" i="1"/>
  <c r="H74" i="1" s="1"/>
  <c r="L73" i="1"/>
  <c r="H75" i="1" s="1"/>
  <c r="L74" i="1"/>
  <c r="H76" i="1" s="1"/>
  <c r="L75" i="1"/>
  <c r="H77" i="1" s="1"/>
  <c r="L76" i="1"/>
  <c r="H78" i="1" s="1"/>
  <c r="L77" i="1"/>
  <c r="H79" i="1" s="1"/>
  <c r="L78" i="1"/>
  <c r="H80" i="1" s="1"/>
  <c r="L79" i="1"/>
  <c r="H81" i="1" s="1"/>
  <c r="L80" i="1"/>
  <c r="H82" i="1" s="1"/>
  <c r="L81" i="1"/>
  <c r="H83" i="1" s="1"/>
  <c r="L82" i="1"/>
  <c r="H84" i="1" s="1"/>
  <c r="L83" i="1"/>
  <c r="H85" i="1" s="1"/>
  <c r="L84" i="1"/>
  <c r="H86" i="1" s="1"/>
  <c r="L85" i="1"/>
  <c r="H87" i="1" s="1"/>
  <c r="L86" i="1"/>
  <c r="H88" i="1" s="1"/>
  <c r="L87" i="1"/>
  <c r="H89" i="1" s="1"/>
  <c r="L88" i="1"/>
  <c r="H90" i="1" s="1"/>
  <c r="L89" i="1"/>
  <c r="H91" i="1" s="1"/>
  <c r="L90" i="1"/>
  <c r="H92" i="1" s="1"/>
  <c r="L91" i="1"/>
  <c r="H93" i="1" s="1"/>
  <c r="L92" i="1"/>
  <c r="H94" i="1" s="1"/>
  <c r="L93" i="1"/>
  <c r="H95" i="1" s="1"/>
  <c r="L94" i="1"/>
  <c r="H96" i="1" s="1"/>
  <c r="L95" i="1"/>
  <c r="H97" i="1" s="1"/>
  <c r="L96" i="1"/>
  <c r="H98" i="1" s="1"/>
  <c r="L97" i="1"/>
  <c r="H99" i="1" s="1"/>
  <c r="L98" i="1"/>
  <c r="H100" i="1" s="1"/>
  <c r="L99" i="1"/>
  <c r="H101" i="1" s="1"/>
  <c r="L100" i="1"/>
  <c r="H102" i="1" s="1"/>
  <c r="L101" i="1"/>
  <c r="H103" i="1" s="1"/>
  <c r="L102" i="1"/>
  <c r="H104" i="1" s="1"/>
  <c r="L103" i="1"/>
  <c r="H105" i="1" s="1"/>
  <c r="L104" i="1"/>
  <c r="H106" i="1" s="1"/>
  <c r="L105" i="1"/>
  <c r="H107" i="1" s="1"/>
  <c r="L106" i="1"/>
  <c r="H108" i="1" s="1"/>
  <c r="L107" i="1"/>
  <c r="H109" i="1" s="1"/>
  <c r="L108" i="1"/>
  <c r="H110" i="1" s="1"/>
  <c r="L109" i="1"/>
  <c r="H111" i="1" s="1"/>
  <c r="L110" i="1"/>
  <c r="H112" i="1" s="1"/>
  <c r="L111" i="1"/>
  <c r="H113" i="1" s="1"/>
  <c r="L112" i="1"/>
  <c r="H114" i="1" s="1"/>
  <c r="L113" i="1"/>
  <c r="H115" i="1" s="1"/>
  <c r="L114" i="1"/>
  <c r="H116" i="1" s="1"/>
  <c r="L115" i="1"/>
  <c r="H117" i="1" s="1"/>
  <c r="L116" i="1"/>
  <c r="H118" i="1" s="1"/>
  <c r="L117" i="1"/>
  <c r="H119" i="1" s="1"/>
  <c r="L118" i="1"/>
  <c r="H120" i="1" s="1"/>
  <c r="L119" i="1"/>
  <c r="H121" i="1" s="1"/>
  <c r="L120" i="1"/>
  <c r="H122" i="1" s="1"/>
  <c r="L121" i="1"/>
  <c r="H123" i="1" s="1"/>
  <c r="L122" i="1"/>
  <c r="H124" i="1" s="1"/>
  <c r="L123" i="1"/>
  <c r="H125" i="1" s="1"/>
  <c r="L124" i="1"/>
  <c r="H126" i="1" s="1"/>
  <c r="L125" i="1"/>
  <c r="H127" i="1" s="1"/>
  <c r="L126" i="1"/>
  <c r="H128" i="1" s="1"/>
  <c r="L127" i="1"/>
  <c r="H129" i="1" s="1"/>
  <c r="L128" i="1"/>
  <c r="H130" i="1" s="1"/>
  <c r="L129" i="1"/>
  <c r="H131" i="1" s="1"/>
  <c r="L130" i="1"/>
  <c r="H132" i="1" s="1"/>
  <c r="L131" i="1"/>
  <c r="H133" i="1" s="1"/>
  <c r="L132" i="1"/>
  <c r="H134" i="1" s="1"/>
  <c r="L133" i="1"/>
  <c r="H135" i="1" s="1"/>
  <c r="L134" i="1"/>
  <c r="H136" i="1" s="1"/>
  <c r="L135" i="1"/>
  <c r="H137" i="1" s="1"/>
  <c r="L136" i="1"/>
  <c r="H138" i="1" s="1"/>
  <c r="L137" i="1"/>
  <c r="H139" i="1" s="1"/>
  <c r="L138" i="1"/>
  <c r="H140" i="1" s="1"/>
  <c r="L139" i="1"/>
  <c r="H141" i="1" s="1"/>
  <c r="L140" i="1"/>
  <c r="H142" i="1" s="1"/>
  <c r="L141" i="1"/>
  <c r="H143" i="1" s="1"/>
  <c r="L142" i="1"/>
  <c r="H144" i="1" s="1"/>
  <c r="L143" i="1"/>
  <c r="H145" i="1" s="1"/>
  <c r="L144" i="1"/>
  <c r="H146" i="1" s="1"/>
  <c r="L145" i="1"/>
  <c r="H147" i="1" s="1"/>
  <c r="L146" i="1"/>
  <c r="H148" i="1" s="1"/>
  <c r="L147" i="1"/>
  <c r="H149" i="1" s="1"/>
  <c r="L148" i="1"/>
  <c r="H150" i="1" s="1"/>
  <c r="L149" i="1"/>
  <c r="H151" i="1" s="1"/>
  <c r="L150" i="1"/>
  <c r="H152" i="1" s="1"/>
  <c r="L151" i="1"/>
  <c r="H153" i="1" s="1"/>
  <c r="L152" i="1"/>
  <c r="H154" i="1" s="1"/>
  <c r="L153" i="1"/>
  <c r="H155" i="1" s="1"/>
  <c r="L154" i="1"/>
  <c r="H156" i="1" s="1"/>
  <c r="L155" i="1"/>
  <c r="H157" i="1" s="1"/>
  <c r="L156" i="1"/>
  <c r="H158" i="1" s="1"/>
  <c r="L157" i="1"/>
  <c r="H159" i="1" s="1"/>
  <c r="L158" i="1"/>
  <c r="H160" i="1" s="1"/>
  <c r="L159" i="1"/>
  <c r="H161" i="1" s="1"/>
  <c r="L160" i="1"/>
  <c r="H162" i="1" s="1"/>
  <c r="L161" i="1"/>
  <c r="H163" i="1" s="1"/>
  <c r="L162" i="1"/>
  <c r="H164" i="1" s="1"/>
  <c r="L163" i="1"/>
  <c r="H165" i="1" s="1"/>
  <c r="L164" i="1"/>
  <c r="H166" i="1" s="1"/>
  <c r="L165" i="1"/>
  <c r="H167" i="1" s="1"/>
  <c r="L166" i="1"/>
  <c r="H168" i="1" s="1"/>
  <c r="L167" i="1"/>
  <c r="H169" i="1" s="1"/>
  <c r="L168" i="1"/>
  <c r="H170" i="1" s="1"/>
  <c r="L169" i="1"/>
  <c r="H171" i="1" s="1"/>
  <c r="L170" i="1"/>
  <c r="H172" i="1" s="1"/>
  <c r="L171" i="1"/>
  <c r="H173" i="1" s="1"/>
  <c r="L172" i="1"/>
  <c r="H174" i="1" s="1"/>
  <c r="L173" i="1"/>
  <c r="H175" i="1" s="1"/>
  <c r="L174" i="1"/>
  <c r="H176" i="1" s="1"/>
  <c r="L175" i="1"/>
  <c r="H177" i="1" s="1"/>
  <c r="L176" i="1"/>
  <c r="H178" i="1" s="1"/>
  <c r="L177" i="1"/>
  <c r="H179" i="1" s="1"/>
  <c r="L178" i="1"/>
  <c r="H180" i="1" s="1"/>
  <c r="L179" i="1"/>
  <c r="H181" i="1" s="1"/>
  <c r="L180" i="1"/>
  <c r="H182" i="1" s="1"/>
  <c r="L181" i="1"/>
  <c r="H183" i="1" s="1"/>
  <c r="L182" i="1"/>
  <c r="H184" i="1" s="1"/>
  <c r="L183" i="1"/>
  <c r="H185" i="1" s="1"/>
  <c r="L184" i="1"/>
  <c r="H186" i="1" s="1"/>
  <c r="L185" i="1"/>
  <c r="H187" i="1" s="1"/>
  <c r="L186" i="1"/>
  <c r="H188" i="1" s="1"/>
  <c r="L187" i="1"/>
  <c r="H189" i="1" s="1"/>
  <c r="L188" i="1"/>
  <c r="H190" i="1" s="1"/>
  <c r="L189" i="1"/>
  <c r="H191" i="1" s="1"/>
  <c r="L190" i="1"/>
  <c r="H192" i="1" s="1"/>
  <c r="L191" i="1"/>
  <c r="H193" i="1" s="1"/>
  <c r="L192" i="1"/>
  <c r="H194" i="1" s="1"/>
  <c r="L193" i="1"/>
  <c r="H195" i="1" s="1"/>
  <c r="L194" i="1"/>
  <c r="H196" i="1" s="1"/>
  <c r="L195" i="1"/>
  <c r="H197" i="1" s="1"/>
  <c r="L196" i="1"/>
  <c r="H198" i="1" s="1"/>
  <c r="L197" i="1"/>
  <c r="H199" i="1" s="1"/>
  <c r="L198" i="1"/>
  <c r="H200" i="1" s="1"/>
  <c r="L199" i="1"/>
  <c r="H201" i="1" s="1"/>
  <c r="L200" i="1"/>
  <c r="H202" i="1" s="1"/>
  <c r="L201" i="1"/>
  <c r="H203" i="1" s="1"/>
  <c r="L202" i="1"/>
  <c r="H204" i="1" s="1"/>
  <c r="L203" i="1"/>
  <c r="H205" i="1" s="1"/>
  <c r="L204" i="1"/>
  <c r="H206" i="1" s="1"/>
  <c r="L205" i="1"/>
  <c r="H207" i="1" s="1"/>
  <c r="L206" i="1"/>
  <c r="H208" i="1" s="1"/>
  <c r="L207" i="1"/>
  <c r="H209" i="1" s="1"/>
  <c r="L208" i="1"/>
  <c r="H210" i="1" s="1"/>
  <c r="L209" i="1"/>
  <c r="H211" i="1" s="1"/>
  <c r="L210" i="1"/>
  <c r="H212" i="1" s="1"/>
  <c r="L211" i="1"/>
  <c r="H213" i="1" s="1"/>
  <c r="L212" i="1"/>
  <c r="H214" i="1" s="1"/>
  <c r="L213" i="1"/>
  <c r="H215" i="1" s="1"/>
  <c r="L214" i="1"/>
  <c r="H216" i="1" s="1"/>
  <c r="L215" i="1"/>
  <c r="H217" i="1" s="1"/>
  <c r="L216" i="1"/>
  <c r="H218" i="1" s="1"/>
  <c r="L217" i="1"/>
  <c r="H219" i="1" s="1"/>
  <c r="L218" i="1"/>
  <c r="H220" i="1" s="1"/>
  <c r="L219" i="1"/>
  <c r="H221" i="1" s="1"/>
  <c r="L220" i="1"/>
  <c r="H222" i="1" s="1"/>
  <c r="L221" i="1"/>
  <c r="H223" i="1" s="1"/>
  <c r="L222" i="1"/>
  <c r="H224" i="1" s="1"/>
  <c r="L223" i="1"/>
  <c r="H225" i="1" s="1"/>
  <c r="L224" i="1"/>
  <c r="H226" i="1" s="1"/>
  <c r="L225" i="1"/>
  <c r="H227" i="1" s="1"/>
  <c r="L226" i="1"/>
  <c r="H228" i="1" s="1"/>
  <c r="L227" i="1"/>
  <c r="H229" i="1" s="1"/>
  <c r="L228" i="1"/>
  <c r="H230" i="1" s="1"/>
  <c r="L229" i="1"/>
  <c r="H231" i="1" s="1"/>
  <c r="L230" i="1"/>
  <c r="H232" i="1" s="1"/>
  <c r="L231" i="1"/>
  <c r="H233" i="1" s="1"/>
  <c r="L232" i="1"/>
  <c r="H234" i="1" s="1"/>
  <c r="L233" i="1"/>
  <c r="H235" i="1" s="1"/>
  <c r="L234" i="1"/>
  <c r="H236" i="1" s="1"/>
  <c r="L235" i="1"/>
  <c r="H237" i="1" s="1"/>
  <c r="L236" i="1"/>
  <c r="H238" i="1" s="1"/>
  <c r="L237" i="1"/>
  <c r="H239" i="1" s="1"/>
  <c r="L238" i="1"/>
  <c r="H240" i="1" s="1"/>
  <c r="L239" i="1"/>
  <c r="H241" i="1" s="1"/>
  <c r="L240" i="1"/>
  <c r="H242" i="1" s="1"/>
  <c r="L241" i="1"/>
  <c r="H243" i="1" s="1"/>
  <c r="L242" i="1"/>
  <c r="H244" i="1" s="1"/>
  <c r="L243" i="1"/>
  <c r="H245" i="1" s="1"/>
  <c r="L244" i="1"/>
  <c r="H246" i="1" s="1"/>
  <c r="L245" i="1"/>
  <c r="H247" i="1" s="1"/>
  <c r="L246" i="1"/>
  <c r="H248" i="1" s="1"/>
  <c r="L247" i="1"/>
  <c r="H249" i="1" s="1"/>
  <c r="L248" i="1"/>
  <c r="H250" i="1" s="1"/>
  <c r="L249" i="1"/>
  <c r="H251" i="1" s="1"/>
  <c r="L250" i="1"/>
  <c r="H252" i="1" s="1"/>
  <c r="L251" i="1"/>
  <c r="H253" i="1" s="1"/>
  <c r="L252" i="1"/>
  <c r="H254" i="1" s="1"/>
  <c r="L253" i="1"/>
  <c r="H255" i="1" s="1"/>
  <c r="L254" i="1"/>
  <c r="H256" i="1" s="1"/>
  <c r="L255" i="1"/>
  <c r="H257" i="1" s="1"/>
  <c r="L256" i="1"/>
  <c r="H258" i="1" s="1"/>
  <c r="L257" i="1"/>
  <c r="H259" i="1" s="1"/>
  <c r="L258" i="1"/>
  <c r="H260" i="1" s="1"/>
  <c r="L259" i="1"/>
  <c r="H261" i="1" s="1"/>
  <c r="L260" i="1"/>
  <c r="H262" i="1" s="1"/>
  <c r="L261" i="1"/>
  <c r="H263" i="1" s="1"/>
  <c r="L262" i="1"/>
  <c r="H264" i="1" s="1"/>
  <c r="L263" i="1"/>
  <c r="H265" i="1" s="1"/>
  <c r="L264" i="1"/>
  <c r="H266" i="1" s="1"/>
  <c r="L265" i="1"/>
  <c r="H267" i="1" s="1"/>
  <c r="L266" i="1"/>
  <c r="H268" i="1" s="1"/>
  <c r="L267" i="1"/>
  <c r="H269" i="1" s="1"/>
  <c r="L268" i="1"/>
  <c r="H270" i="1" s="1"/>
  <c r="L269" i="1"/>
  <c r="H271" i="1" s="1"/>
  <c r="L270" i="1"/>
  <c r="H272" i="1" s="1"/>
  <c r="L271" i="1"/>
  <c r="H273" i="1" s="1"/>
  <c r="L272" i="1"/>
  <c r="H274" i="1" s="1"/>
  <c r="L273" i="1"/>
  <c r="H275" i="1" s="1"/>
  <c r="L274" i="1"/>
  <c r="H276" i="1" s="1"/>
  <c r="L275" i="1"/>
  <c r="H277" i="1" s="1"/>
  <c r="L276" i="1"/>
  <c r="H278" i="1" s="1"/>
  <c r="L277" i="1"/>
  <c r="H279" i="1" s="1"/>
  <c r="L278" i="1"/>
  <c r="H280" i="1" s="1"/>
  <c r="L279" i="1"/>
  <c r="H281" i="1" s="1"/>
  <c r="L280" i="1"/>
  <c r="H282" i="1" s="1"/>
  <c r="L281" i="1"/>
  <c r="H283" i="1" s="1"/>
  <c r="L282" i="1"/>
  <c r="H284" i="1" s="1"/>
  <c r="L283" i="1"/>
  <c r="H285" i="1" s="1"/>
  <c r="L284" i="1"/>
  <c r="H286" i="1" s="1"/>
  <c r="L285" i="1"/>
  <c r="H287" i="1" s="1"/>
  <c r="L286" i="1"/>
  <c r="H288" i="1" s="1"/>
  <c r="L287" i="1"/>
  <c r="H289" i="1" s="1"/>
  <c r="L288" i="1"/>
  <c r="H290" i="1" s="1"/>
  <c r="L289" i="1"/>
  <c r="H291" i="1" s="1"/>
  <c r="L290" i="1"/>
  <c r="H292" i="1" s="1"/>
  <c r="L291" i="1"/>
  <c r="H293" i="1" s="1"/>
  <c r="L292" i="1"/>
  <c r="H294" i="1" s="1"/>
  <c r="L293" i="1"/>
  <c r="H295" i="1" s="1"/>
  <c r="L294" i="1"/>
  <c r="H296" i="1" s="1"/>
  <c r="L295" i="1"/>
  <c r="H297" i="1" s="1"/>
  <c r="L296" i="1"/>
  <c r="H298" i="1" s="1"/>
  <c r="L297" i="1"/>
  <c r="H299" i="1" s="1"/>
  <c r="L298" i="1"/>
  <c r="H300" i="1" s="1"/>
  <c r="L299" i="1"/>
  <c r="H301" i="1" s="1"/>
  <c r="L300" i="1"/>
  <c r="H302" i="1" s="1"/>
  <c r="L301" i="1"/>
  <c r="H303" i="1" s="1"/>
  <c r="L302" i="1"/>
  <c r="H304" i="1" s="1"/>
  <c r="L303" i="1"/>
  <c r="H305" i="1" s="1"/>
  <c r="L304" i="1"/>
  <c r="H306" i="1" s="1"/>
  <c r="L305" i="1"/>
  <c r="H307" i="1" s="1"/>
  <c r="L306" i="1"/>
  <c r="H308" i="1" s="1"/>
  <c r="L307" i="1"/>
  <c r="H309" i="1" s="1"/>
  <c r="L308" i="1"/>
  <c r="H310" i="1" s="1"/>
  <c r="L309" i="1"/>
  <c r="H311" i="1" s="1"/>
  <c r="L310" i="1"/>
  <c r="H312" i="1" s="1"/>
  <c r="L311" i="1"/>
  <c r="H313" i="1" s="1"/>
  <c r="L312" i="1"/>
  <c r="H314" i="1" s="1"/>
  <c r="L313" i="1"/>
  <c r="H315" i="1" s="1"/>
  <c r="L314" i="1"/>
  <c r="H316" i="1" s="1"/>
  <c r="L315" i="1"/>
  <c r="H317" i="1" s="1"/>
  <c r="L316" i="1"/>
  <c r="H318" i="1" s="1"/>
  <c r="L317" i="1"/>
  <c r="H319" i="1" s="1"/>
  <c r="L318" i="1"/>
  <c r="H320" i="1" s="1"/>
  <c r="L319" i="1"/>
  <c r="H321" i="1" s="1"/>
  <c r="L320" i="1"/>
  <c r="H322" i="1" s="1"/>
  <c r="L321" i="1"/>
  <c r="H323" i="1" s="1"/>
  <c r="L322" i="1"/>
  <c r="H324" i="1" s="1"/>
  <c r="L323" i="1"/>
  <c r="H325" i="1" s="1"/>
  <c r="L324" i="1"/>
  <c r="H326" i="1" s="1"/>
  <c r="L325" i="1"/>
  <c r="H327" i="1" s="1"/>
  <c r="L326" i="1"/>
  <c r="H328" i="1" s="1"/>
  <c r="L327" i="1"/>
  <c r="H329" i="1" s="1"/>
  <c r="L328" i="1"/>
  <c r="H330" i="1" s="1"/>
  <c r="L329" i="1"/>
  <c r="H331" i="1" s="1"/>
  <c r="L330" i="1"/>
  <c r="H332" i="1" s="1"/>
  <c r="L331" i="1"/>
  <c r="H333" i="1" s="1"/>
  <c r="L332" i="1"/>
  <c r="H334" i="1" s="1"/>
  <c r="L333" i="1"/>
  <c r="H335" i="1" s="1"/>
  <c r="L334" i="1"/>
  <c r="H336" i="1" s="1"/>
  <c r="L335" i="1"/>
  <c r="H337" i="1" s="1"/>
  <c r="L336" i="1"/>
  <c r="H338" i="1" s="1"/>
  <c r="L337" i="1"/>
  <c r="H339" i="1" s="1"/>
  <c r="L338" i="1"/>
  <c r="H340" i="1" s="1"/>
  <c r="L339" i="1"/>
  <c r="H341" i="1" s="1"/>
  <c r="L340" i="1"/>
  <c r="H342" i="1" s="1"/>
  <c r="L341" i="1"/>
  <c r="H343" i="1" s="1"/>
  <c r="L342" i="1"/>
  <c r="H344" i="1" s="1"/>
  <c r="L343" i="1"/>
  <c r="H345" i="1" s="1"/>
  <c r="L344" i="1"/>
  <c r="H346" i="1" s="1"/>
  <c r="L345" i="1"/>
  <c r="H347" i="1" s="1"/>
  <c r="L346" i="1"/>
  <c r="H348" i="1" s="1"/>
  <c r="L347" i="1"/>
  <c r="H349" i="1" s="1"/>
  <c r="L348" i="1"/>
  <c r="H350" i="1" s="1"/>
  <c r="L349" i="1"/>
  <c r="H351" i="1" s="1"/>
  <c r="L350" i="1"/>
  <c r="H352" i="1" s="1"/>
  <c r="L351" i="1"/>
  <c r="H353" i="1" s="1"/>
  <c r="L352" i="1"/>
  <c r="H354" i="1" s="1"/>
  <c r="L353" i="1"/>
  <c r="H355" i="1" s="1"/>
  <c r="L354" i="1"/>
  <c r="H356" i="1" s="1"/>
  <c r="L355" i="1"/>
  <c r="H357" i="1" s="1"/>
  <c r="L356" i="1"/>
  <c r="H358" i="1" s="1"/>
  <c r="L357" i="1"/>
  <c r="H359" i="1" s="1"/>
  <c r="L358" i="1"/>
  <c r="H360" i="1" s="1"/>
  <c r="L359" i="1"/>
  <c r="H361" i="1" s="1"/>
  <c r="L360" i="1"/>
  <c r="H362" i="1" s="1"/>
  <c r="L361" i="1"/>
  <c r="H363" i="1" s="1"/>
  <c r="L362" i="1"/>
  <c r="H364" i="1" s="1"/>
  <c r="L363" i="1"/>
  <c r="H365" i="1" s="1"/>
  <c r="L364" i="1"/>
  <c r="H366" i="1" s="1"/>
  <c r="L365" i="1"/>
  <c r="H367" i="1" s="1"/>
  <c r="L366" i="1"/>
  <c r="H368" i="1" s="1"/>
  <c r="L367" i="1"/>
  <c r="H369" i="1" s="1"/>
  <c r="L368" i="1"/>
  <c r="H370" i="1" s="1"/>
  <c r="L369" i="1"/>
  <c r="H371" i="1" s="1"/>
  <c r="L370" i="1"/>
  <c r="H372" i="1" s="1"/>
  <c r="L371" i="1"/>
  <c r="H373" i="1" s="1"/>
  <c r="L372" i="1"/>
  <c r="H374" i="1" s="1"/>
  <c r="L373" i="1"/>
  <c r="H375" i="1" s="1"/>
  <c r="L374" i="1"/>
  <c r="H376" i="1" s="1"/>
  <c r="L375" i="1"/>
  <c r="H377" i="1" s="1"/>
  <c r="L376" i="1"/>
  <c r="H378" i="1" s="1"/>
  <c r="L377" i="1"/>
  <c r="H379" i="1" s="1"/>
  <c r="L378" i="1"/>
  <c r="H380" i="1" s="1"/>
  <c r="L379" i="1"/>
  <c r="H381" i="1" s="1"/>
  <c r="L380" i="1"/>
  <c r="H382" i="1" s="1"/>
  <c r="L381" i="1"/>
  <c r="H383" i="1" s="1"/>
  <c r="L382" i="1"/>
  <c r="H384" i="1" s="1"/>
  <c r="L383" i="1"/>
  <c r="H385" i="1" s="1"/>
  <c r="L384" i="1"/>
  <c r="H386" i="1" s="1"/>
  <c r="L385" i="1"/>
  <c r="H387" i="1" s="1"/>
  <c r="L386" i="1"/>
  <c r="H388" i="1" s="1"/>
  <c r="L387" i="1"/>
  <c r="H389" i="1" s="1"/>
  <c r="L388" i="1"/>
  <c r="H390" i="1" s="1"/>
  <c r="L389" i="1"/>
  <c r="H391" i="1" s="1"/>
  <c r="L390" i="1"/>
  <c r="H392" i="1" s="1"/>
  <c r="L391" i="1"/>
  <c r="H393" i="1" s="1"/>
  <c r="L392" i="1"/>
  <c r="H394" i="1" s="1"/>
  <c r="L393" i="1"/>
  <c r="H395" i="1" s="1"/>
  <c r="L394" i="1"/>
  <c r="H396" i="1" s="1"/>
  <c r="L395" i="1"/>
  <c r="H397" i="1" s="1"/>
  <c r="L396" i="1"/>
  <c r="H398" i="1" s="1"/>
  <c r="L397" i="1"/>
  <c r="H399" i="1" s="1"/>
  <c r="L398" i="1"/>
  <c r="H400" i="1" s="1"/>
  <c r="L399" i="1"/>
  <c r="H401" i="1" s="1"/>
  <c r="L400" i="1"/>
  <c r="H402" i="1" s="1"/>
  <c r="L401" i="1"/>
  <c r="H403" i="1" s="1"/>
  <c r="L402" i="1"/>
  <c r="H404" i="1" s="1"/>
  <c r="L403" i="1"/>
  <c r="H405" i="1" s="1"/>
  <c r="L404" i="1"/>
  <c r="H406" i="1" s="1"/>
  <c r="L405" i="1"/>
  <c r="H407" i="1" s="1"/>
  <c r="L406" i="1"/>
  <c r="H408" i="1" s="1"/>
  <c r="L407" i="1"/>
  <c r="H409" i="1" s="1"/>
  <c r="L408" i="1"/>
  <c r="H410" i="1" s="1"/>
  <c r="L409" i="1"/>
  <c r="H411" i="1" s="1"/>
  <c r="L410" i="1"/>
  <c r="H412" i="1" s="1"/>
  <c r="L411" i="1"/>
  <c r="H413" i="1" s="1"/>
  <c r="L412" i="1"/>
  <c r="H414" i="1" s="1"/>
  <c r="L413" i="1"/>
  <c r="H415" i="1" s="1"/>
  <c r="L414" i="1"/>
  <c r="H416" i="1" s="1"/>
  <c r="L415" i="1"/>
  <c r="H417" i="1" s="1"/>
  <c r="L416" i="1"/>
  <c r="H418" i="1" s="1"/>
  <c r="L417" i="1"/>
  <c r="H419" i="1" s="1"/>
  <c r="L418" i="1"/>
  <c r="H420" i="1" s="1"/>
  <c r="L419" i="1"/>
  <c r="H421" i="1" s="1"/>
  <c r="L420" i="1"/>
  <c r="H422" i="1" s="1"/>
  <c r="L421" i="1"/>
  <c r="H423" i="1" s="1"/>
  <c r="L422" i="1"/>
  <c r="H424" i="1" s="1"/>
  <c r="L423" i="1"/>
  <c r="H425" i="1" s="1"/>
  <c r="L424" i="1"/>
  <c r="H426" i="1" s="1"/>
  <c r="L425" i="1"/>
  <c r="H427" i="1" s="1"/>
  <c r="L426" i="1"/>
  <c r="H428" i="1" s="1"/>
  <c r="L427" i="1"/>
  <c r="H429" i="1" s="1"/>
  <c r="L428" i="1"/>
  <c r="H430" i="1" s="1"/>
  <c r="L429" i="1"/>
  <c r="H431" i="1" s="1"/>
  <c r="L430" i="1"/>
  <c r="H432" i="1" s="1"/>
  <c r="L431" i="1"/>
  <c r="H433" i="1" s="1"/>
  <c r="L432" i="1"/>
  <c r="H434" i="1" s="1"/>
  <c r="L433" i="1"/>
  <c r="H435" i="1" s="1"/>
  <c r="L434" i="1"/>
  <c r="H436" i="1" s="1"/>
  <c r="L435" i="1"/>
  <c r="H437" i="1" s="1"/>
  <c r="L436" i="1"/>
  <c r="H438" i="1" s="1"/>
  <c r="L437" i="1"/>
  <c r="H439" i="1" s="1"/>
  <c r="L438" i="1"/>
  <c r="H440" i="1" s="1"/>
  <c r="L439" i="1"/>
  <c r="H441" i="1" s="1"/>
  <c r="L440" i="1"/>
  <c r="H442" i="1" s="1"/>
  <c r="L441" i="1"/>
  <c r="H443" i="1" s="1"/>
  <c r="L442" i="1"/>
  <c r="H444" i="1" s="1"/>
  <c r="L443" i="1"/>
  <c r="H445" i="1" s="1"/>
  <c r="L444" i="1"/>
  <c r="H446" i="1" s="1"/>
  <c r="L445" i="1"/>
  <c r="H447" i="1" s="1"/>
  <c r="L446" i="1"/>
  <c r="H448" i="1" s="1"/>
  <c r="L447" i="1"/>
  <c r="H449" i="1" s="1"/>
  <c r="L448" i="1"/>
  <c r="H450" i="1" s="1"/>
  <c r="L449" i="1"/>
  <c r="H451" i="1" s="1"/>
  <c r="L450" i="1"/>
  <c r="H452" i="1" s="1"/>
  <c r="L451" i="1"/>
  <c r="H453" i="1" s="1"/>
  <c r="L452" i="1"/>
  <c r="H454" i="1" s="1"/>
  <c r="L453" i="1"/>
  <c r="H455" i="1" s="1"/>
  <c r="L454" i="1"/>
  <c r="H456" i="1" s="1"/>
  <c r="L455" i="1"/>
  <c r="H457" i="1" s="1"/>
  <c r="L456" i="1"/>
  <c r="H458" i="1" s="1"/>
  <c r="L457" i="1"/>
  <c r="H459" i="1" s="1"/>
  <c r="L458" i="1"/>
  <c r="H460" i="1" s="1"/>
  <c r="L459" i="1"/>
  <c r="H461" i="1" s="1"/>
  <c r="L460" i="1"/>
  <c r="H462" i="1" s="1"/>
  <c r="L461" i="1"/>
  <c r="H463" i="1" s="1"/>
  <c r="L462" i="1"/>
  <c r="H464" i="1" s="1"/>
  <c r="L463" i="1"/>
  <c r="H465" i="1" s="1"/>
  <c r="L464" i="1"/>
  <c r="H466" i="1" s="1"/>
  <c r="L465" i="1"/>
  <c r="H467" i="1" s="1"/>
  <c r="L466" i="1"/>
  <c r="H468" i="1" s="1"/>
  <c r="L467" i="1"/>
  <c r="H469" i="1" s="1"/>
  <c r="L468" i="1"/>
  <c r="H470" i="1" s="1"/>
  <c r="L469" i="1"/>
  <c r="H471" i="1" s="1"/>
  <c r="L470" i="1"/>
  <c r="H472" i="1" s="1"/>
  <c r="L471" i="1"/>
  <c r="H473" i="1" s="1"/>
  <c r="L472" i="1"/>
  <c r="H474" i="1" s="1"/>
  <c r="L473" i="1"/>
  <c r="H475" i="1" s="1"/>
  <c r="L474" i="1"/>
  <c r="H476" i="1" s="1"/>
  <c r="L475" i="1"/>
  <c r="H477" i="1" s="1"/>
  <c r="L476" i="1"/>
  <c r="H478" i="1" s="1"/>
  <c r="L477" i="1"/>
  <c r="H479" i="1" s="1"/>
  <c r="L478" i="1"/>
  <c r="H480" i="1" s="1"/>
  <c r="L479" i="1"/>
  <c r="H481" i="1" s="1"/>
  <c r="L480" i="1"/>
  <c r="H482" i="1" s="1"/>
  <c r="L481" i="1"/>
  <c r="H483" i="1" s="1"/>
  <c r="L482" i="1"/>
  <c r="H484" i="1" s="1"/>
  <c r="L483" i="1"/>
  <c r="H485" i="1" s="1"/>
  <c r="L484" i="1"/>
  <c r="H486" i="1" s="1"/>
  <c r="L485" i="1"/>
  <c r="H487" i="1" s="1"/>
  <c r="L486" i="1"/>
  <c r="H488" i="1" s="1"/>
  <c r="L487" i="1"/>
  <c r="H489" i="1" s="1"/>
  <c r="L488" i="1"/>
  <c r="H490" i="1" s="1"/>
  <c r="L489" i="1"/>
  <c r="H491" i="1" s="1"/>
  <c r="L490" i="1"/>
  <c r="H492" i="1" s="1"/>
  <c r="L491" i="1"/>
  <c r="H493" i="1" s="1"/>
  <c r="L492" i="1"/>
  <c r="H494" i="1" s="1"/>
  <c r="L493" i="1"/>
  <c r="H495" i="1" s="1"/>
  <c r="L494" i="1"/>
  <c r="H496" i="1" s="1"/>
  <c r="L495" i="1"/>
  <c r="H497" i="1" s="1"/>
  <c r="L496" i="1"/>
  <c r="H498" i="1" s="1"/>
  <c r="L497" i="1"/>
  <c r="H499" i="1" s="1"/>
  <c r="L498" i="1"/>
  <c r="H500" i="1" s="1"/>
  <c r="L499" i="1"/>
  <c r="H501" i="1" s="1"/>
  <c r="L500" i="1"/>
  <c r="H502" i="1" s="1"/>
  <c r="L501" i="1"/>
  <c r="H503" i="1" s="1"/>
  <c r="L502" i="1"/>
  <c r="H504" i="1" s="1"/>
  <c r="L503" i="1"/>
  <c r="H505" i="1" s="1"/>
  <c r="L504" i="1"/>
  <c r="H506" i="1" s="1"/>
  <c r="L505" i="1"/>
  <c r="H507" i="1" s="1"/>
  <c r="L506" i="1"/>
  <c r="H508" i="1" s="1"/>
  <c r="L507" i="1"/>
  <c r="H509" i="1" s="1"/>
  <c r="L508" i="1"/>
  <c r="H510" i="1" s="1"/>
  <c r="L509" i="1"/>
  <c r="H511" i="1" s="1"/>
  <c r="L510" i="1"/>
  <c r="H512" i="1" s="1"/>
  <c r="L511" i="1"/>
  <c r="H513" i="1" s="1"/>
  <c r="L512" i="1"/>
  <c r="H514" i="1" s="1"/>
  <c r="L513" i="1"/>
  <c r="H515" i="1" s="1"/>
  <c r="L514" i="1"/>
  <c r="H516" i="1" s="1"/>
  <c r="L515" i="1"/>
  <c r="H517" i="1" s="1"/>
  <c r="L516" i="1"/>
  <c r="H518" i="1" s="1"/>
  <c r="L517" i="1"/>
  <c r="H519" i="1" s="1"/>
  <c r="L518" i="1"/>
  <c r="H520" i="1" s="1"/>
  <c r="L519" i="1"/>
  <c r="H521" i="1" s="1"/>
  <c r="L520" i="1"/>
  <c r="H522" i="1" s="1"/>
  <c r="L521" i="1"/>
  <c r="H523" i="1" s="1"/>
  <c r="L522" i="1"/>
  <c r="H524" i="1" s="1"/>
  <c r="L523" i="1"/>
  <c r="H525" i="1" s="1"/>
  <c r="L524" i="1"/>
  <c r="H526" i="1" s="1"/>
  <c r="L525" i="1"/>
  <c r="H527" i="1" s="1"/>
  <c r="L526" i="1"/>
  <c r="H528" i="1" s="1"/>
  <c r="L527" i="1"/>
  <c r="H529" i="1" s="1"/>
  <c r="L528" i="1"/>
  <c r="H530" i="1" s="1"/>
  <c r="L529" i="1"/>
  <c r="H531" i="1" s="1"/>
  <c r="L530" i="1"/>
  <c r="H532" i="1" s="1"/>
  <c r="L531" i="1"/>
  <c r="H533" i="1" s="1"/>
  <c r="L532" i="1"/>
  <c r="H534" i="1" s="1"/>
  <c r="L533" i="1"/>
  <c r="H535" i="1" s="1"/>
  <c r="L534" i="1"/>
  <c r="H536" i="1" s="1"/>
  <c r="L535" i="1"/>
  <c r="H537" i="1" s="1"/>
  <c r="L536" i="1"/>
  <c r="H538" i="1" s="1"/>
  <c r="L537" i="1"/>
  <c r="H539" i="1" s="1"/>
  <c r="L538" i="1"/>
  <c r="H540" i="1" s="1"/>
  <c r="L539" i="1"/>
  <c r="H541" i="1" s="1"/>
  <c r="L540" i="1"/>
  <c r="H542" i="1" s="1"/>
  <c r="L541" i="1"/>
  <c r="H543" i="1" s="1"/>
  <c r="L542" i="1"/>
  <c r="H544" i="1" s="1"/>
  <c r="L543" i="1"/>
  <c r="H545" i="1" s="1"/>
  <c r="L544" i="1"/>
  <c r="H546" i="1" s="1"/>
  <c r="L545" i="1"/>
  <c r="H547" i="1" s="1"/>
  <c r="L546" i="1"/>
  <c r="H548" i="1" s="1"/>
  <c r="L547" i="1"/>
  <c r="H549" i="1" s="1"/>
  <c r="L548" i="1"/>
  <c r="H550" i="1" s="1"/>
  <c r="L549" i="1"/>
  <c r="H551" i="1" s="1"/>
  <c r="L550" i="1"/>
  <c r="H552" i="1" s="1"/>
  <c r="L551" i="1"/>
  <c r="H553" i="1" s="1"/>
  <c r="L552" i="1"/>
  <c r="H554" i="1" s="1"/>
  <c r="L553" i="1"/>
  <c r="H555" i="1" s="1"/>
  <c r="L554" i="1"/>
  <c r="H556" i="1" s="1"/>
  <c r="L555" i="1"/>
  <c r="H557" i="1" s="1"/>
  <c r="L556" i="1"/>
  <c r="H558" i="1" s="1"/>
  <c r="L557" i="1"/>
  <c r="H559" i="1" s="1"/>
  <c r="L558" i="1"/>
  <c r="H560" i="1" s="1"/>
  <c r="L559" i="1"/>
  <c r="H561" i="1" s="1"/>
  <c r="L560" i="1"/>
  <c r="H562" i="1" s="1"/>
  <c r="L561" i="1"/>
  <c r="H563" i="1" s="1"/>
  <c r="L562" i="1"/>
  <c r="H564" i="1" s="1"/>
  <c r="L563" i="1"/>
  <c r="H565" i="1" s="1"/>
  <c r="L564" i="1"/>
  <c r="H566" i="1" s="1"/>
  <c r="L565" i="1"/>
  <c r="H567" i="1" s="1"/>
  <c r="L566" i="1"/>
  <c r="H568" i="1" s="1"/>
  <c r="L567" i="1"/>
  <c r="H569" i="1" s="1"/>
  <c r="L568" i="1"/>
  <c r="H570" i="1" s="1"/>
  <c r="L569" i="1"/>
  <c r="H571" i="1" s="1"/>
  <c r="L570" i="1"/>
  <c r="H572" i="1" s="1"/>
  <c r="L571" i="1"/>
  <c r="H573" i="1" s="1"/>
  <c r="L572" i="1"/>
  <c r="H574" i="1" s="1"/>
  <c r="L573" i="1"/>
  <c r="H575" i="1" s="1"/>
  <c r="L574" i="1"/>
  <c r="H576" i="1" s="1"/>
  <c r="L575" i="1"/>
  <c r="H577" i="1" s="1"/>
  <c r="L576" i="1"/>
  <c r="H578" i="1" s="1"/>
  <c r="L577" i="1"/>
  <c r="H579" i="1" s="1"/>
  <c r="L578" i="1"/>
  <c r="H580" i="1" s="1"/>
  <c r="L579" i="1"/>
  <c r="H581" i="1" s="1"/>
  <c r="L580" i="1"/>
  <c r="H582" i="1" s="1"/>
  <c r="L581" i="1"/>
  <c r="H583" i="1" s="1"/>
  <c r="L582" i="1"/>
  <c r="H584" i="1" s="1"/>
  <c r="L583" i="1"/>
  <c r="H585" i="1" s="1"/>
  <c r="L584" i="1"/>
  <c r="H586" i="1" s="1"/>
  <c r="L585" i="1"/>
  <c r="H587" i="1" s="1"/>
  <c r="L586" i="1"/>
  <c r="H588" i="1" s="1"/>
  <c r="L587" i="1"/>
  <c r="H589" i="1" s="1"/>
  <c r="L588" i="1"/>
  <c r="H590" i="1" s="1"/>
  <c r="L589" i="1"/>
  <c r="H591" i="1" s="1"/>
  <c r="L590" i="1"/>
  <c r="H592" i="1" s="1"/>
  <c r="L591" i="1"/>
  <c r="H593" i="1" s="1"/>
  <c r="L592" i="1"/>
  <c r="H594" i="1" s="1"/>
  <c r="L593" i="1"/>
  <c r="H595" i="1" s="1"/>
  <c r="L594" i="1"/>
  <c r="H596" i="1" s="1"/>
  <c r="L595" i="1"/>
  <c r="H597" i="1" s="1"/>
  <c r="L596" i="1"/>
  <c r="H598" i="1" s="1"/>
  <c r="L597" i="1"/>
  <c r="H599" i="1" s="1"/>
  <c r="L598" i="1"/>
  <c r="H600" i="1" s="1"/>
  <c r="L599" i="1"/>
  <c r="H601" i="1" s="1"/>
  <c r="L600" i="1"/>
  <c r="H602" i="1" s="1"/>
  <c r="L601" i="1"/>
  <c r="H603" i="1" s="1"/>
  <c r="L602" i="1"/>
  <c r="H604" i="1" s="1"/>
  <c r="L603" i="1"/>
  <c r="H605" i="1" s="1"/>
  <c r="L604" i="1"/>
  <c r="H606" i="1" s="1"/>
  <c r="L605" i="1"/>
  <c r="L606" i="1"/>
  <c r="H608" i="1" s="1"/>
  <c r="L607" i="1"/>
  <c r="H609" i="1" s="1"/>
  <c r="L608" i="1"/>
  <c r="H610" i="1" s="1"/>
  <c r="L609" i="1"/>
  <c r="H611" i="1" s="1"/>
  <c r="L610" i="1"/>
  <c r="H612" i="1" s="1"/>
  <c r="L611" i="1"/>
  <c r="H613" i="1" s="1"/>
  <c r="L612" i="1"/>
  <c r="H614" i="1" s="1"/>
  <c r="L613" i="1"/>
  <c r="H615" i="1" s="1"/>
  <c r="L614" i="1"/>
  <c r="H616" i="1" s="1"/>
  <c r="L615" i="1"/>
  <c r="H617" i="1" s="1"/>
  <c r="L616" i="1"/>
  <c r="H618" i="1" s="1"/>
  <c r="L617" i="1"/>
  <c r="H619" i="1" s="1"/>
  <c r="L618" i="1"/>
  <c r="H620" i="1" s="1"/>
  <c r="L619" i="1"/>
  <c r="H621" i="1" s="1"/>
  <c r="L620" i="1"/>
  <c r="H622" i="1" s="1"/>
  <c r="L621" i="1"/>
  <c r="H623" i="1" s="1"/>
  <c r="L622" i="1"/>
  <c r="H624" i="1" s="1"/>
  <c r="L623" i="1"/>
  <c r="H625" i="1" s="1"/>
  <c r="L624" i="1"/>
  <c r="H626" i="1" s="1"/>
  <c r="L625" i="1"/>
  <c r="H627" i="1" s="1"/>
  <c r="L626" i="1"/>
  <c r="H628" i="1" s="1"/>
  <c r="L627" i="1"/>
  <c r="H629" i="1" s="1"/>
  <c r="L628" i="1"/>
  <c r="H630" i="1" s="1"/>
  <c r="L629" i="1"/>
  <c r="H631" i="1" s="1"/>
  <c r="L630" i="1"/>
  <c r="H632" i="1" s="1"/>
  <c r="L631" i="1"/>
  <c r="H633" i="1" s="1"/>
  <c r="L632" i="1"/>
  <c r="H634" i="1" s="1"/>
  <c r="L633" i="1"/>
  <c r="H635" i="1" s="1"/>
  <c r="L634" i="1"/>
  <c r="H636" i="1" s="1"/>
  <c r="L635" i="1"/>
  <c r="H637" i="1" s="1"/>
  <c r="L636" i="1"/>
  <c r="H638" i="1" s="1"/>
  <c r="L637" i="1"/>
  <c r="H639" i="1" s="1"/>
  <c r="L638" i="1"/>
  <c r="H640" i="1" s="1"/>
  <c r="L639" i="1"/>
  <c r="H641" i="1" s="1"/>
  <c r="L640" i="1"/>
  <c r="H642" i="1" s="1"/>
  <c r="L641" i="1"/>
  <c r="H643" i="1" s="1"/>
  <c r="L642" i="1"/>
  <c r="H644" i="1" s="1"/>
  <c r="L643" i="1"/>
  <c r="H645" i="1" s="1"/>
  <c r="L644" i="1"/>
  <c r="H646" i="1" s="1"/>
  <c r="L645" i="1"/>
  <c r="H647" i="1" s="1"/>
  <c r="L646" i="1"/>
  <c r="H648" i="1" s="1"/>
  <c r="L647" i="1"/>
  <c r="H649" i="1" s="1"/>
  <c r="L648" i="1"/>
  <c r="H650" i="1" s="1"/>
  <c r="L649" i="1"/>
  <c r="H651" i="1" s="1"/>
  <c r="L650" i="1"/>
  <c r="H652" i="1" s="1"/>
  <c r="L651" i="1"/>
  <c r="H653" i="1" s="1"/>
  <c r="L652" i="1"/>
  <c r="H654" i="1" s="1"/>
  <c r="L653" i="1"/>
  <c r="H655" i="1" s="1"/>
  <c r="L654" i="1"/>
  <c r="H656" i="1" s="1"/>
  <c r="L655" i="1"/>
  <c r="H657" i="1" s="1"/>
  <c r="L656" i="1"/>
  <c r="H658" i="1" s="1"/>
  <c r="L657" i="1"/>
  <c r="H659" i="1" s="1"/>
  <c r="L658" i="1"/>
  <c r="H660" i="1" s="1"/>
  <c r="L659" i="1"/>
  <c r="H661" i="1" s="1"/>
  <c r="L660" i="1"/>
  <c r="H662" i="1" s="1"/>
  <c r="L661" i="1"/>
  <c r="H663" i="1" s="1"/>
  <c r="L662" i="1"/>
  <c r="H664" i="1" s="1"/>
  <c r="L663" i="1"/>
  <c r="H665" i="1" s="1"/>
  <c r="L664" i="1"/>
  <c r="H666" i="1" s="1"/>
  <c r="L665" i="1"/>
  <c r="H667" i="1" s="1"/>
  <c r="L666" i="1"/>
  <c r="H668" i="1" s="1"/>
  <c r="L667" i="1"/>
  <c r="H669" i="1" s="1"/>
  <c r="L668" i="1"/>
  <c r="H670" i="1" s="1"/>
  <c r="L669" i="1"/>
  <c r="H671" i="1" s="1"/>
  <c r="L670" i="1"/>
  <c r="H672" i="1" s="1"/>
  <c r="L671" i="1"/>
  <c r="H673" i="1" s="1"/>
  <c r="L672" i="1"/>
  <c r="H674" i="1" s="1"/>
  <c r="L673" i="1"/>
  <c r="H675" i="1" s="1"/>
  <c r="L674" i="1"/>
  <c r="H676" i="1" s="1"/>
  <c r="L675" i="1"/>
  <c r="H677" i="1" s="1"/>
  <c r="L676" i="1"/>
  <c r="H678" i="1" s="1"/>
  <c r="L677" i="1"/>
  <c r="H679" i="1" s="1"/>
  <c r="L678" i="1"/>
  <c r="H680" i="1" s="1"/>
  <c r="L679" i="1"/>
  <c r="H681" i="1" s="1"/>
  <c r="L680" i="1"/>
  <c r="H682" i="1" s="1"/>
  <c r="L681" i="1"/>
  <c r="H683" i="1" s="1"/>
  <c r="L682" i="1"/>
  <c r="H684" i="1" s="1"/>
  <c r="L683" i="1"/>
  <c r="H685" i="1" s="1"/>
  <c r="L684" i="1"/>
  <c r="H686" i="1" s="1"/>
  <c r="L685" i="1"/>
  <c r="H687" i="1" s="1"/>
  <c r="L686" i="1"/>
  <c r="H688" i="1" s="1"/>
  <c r="L687" i="1"/>
  <c r="H689" i="1" s="1"/>
  <c r="L688" i="1"/>
  <c r="H690" i="1" s="1"/>
  <c r="L689" i="1"/>
  <c r="H691" i="1" s="1"/>
  <c r="L690" i="1"/>
  <c r="H692" i="1" s="1"/>
  <c r="L691" i="1"/>
  <c r="H693" i="1" s="1"/>
  <c r="L692" i="1"/>
  <c r="H694" i="1" s="1"/>
  <c r="L693" i="1"/>
  <c r="H695" i="1" s="1"/>
  <c r="L694" i="1"/>
  <c r="H696" i="1" s="1"/>
  <c r="L695" i="1"/>
  <c r="H697" i="1" s="1"/>
  <c r="L696" i="1"/>
  <c r="H698" i="1" s="1"/>
  <c r="L697" i="1"/>
  <c r="H699" i="1" s="1"/>
  <c r="L698" i="1"/>
  <c r="H700" i="1" s="1"/>
  <c r="L699" i="1"/>
  <c r="H701" i="1" s="1"/>
  <c r="L700" i="1"/>
  <c r="H702" i="1" s="1"/>
  <c r="L701" i="1"/>
  <c r="H703" i="1" s="1"/>
  <c r="L702" i="1"/>
  <c r="H704" i="1" s="1"/>
  <c r="L703" i="1"/>
  <c r="H705" i="1" s="1"/>
  <c r="L704" i="1"/>
  <c r="H706" i="1" s="1"/>
  <c r="L705" i="1"/>
  <c r="H707" i="1" s="1"/>
  <c r="L706" i="1"/>
  <c r="H708" i="1" s="1"/>
  <c r="L707" i="1"/>
  <c r="H709" i="1" s="1"/>
  <c r="L708" i="1"/>
  <c r="H710" i="1" s="1"/>
  <c r="L709" i="1"/>
  <c r="H711" i="1" s="1"/>
  <c r="L710" i="1"/>
  <c r="H712" i="1" s="1"/>
  <c r="L711" i="1"/>
  <c r="H713" i="1" s="1"/>
  <c r="L712" i="1"/>
  <c r="H714" i="1" s="1"/>
  <c r="L713" i="1"/>
  <c r="H715" i="1" s="1"/>
  <c r="L714" i="1"/>
  <c r="H716" i="1" s="1"/>
  <c r="L715" i="1"/>
  <c r="H717" i="1" s="1"/>
  <c r="L716" i="1"/>
  <c r="H718" i="1" s="1"/>
  <c r="L717" i="1"/>
  <c r="H719" i="1" s="1"/>
  <c r="L718" i="1"/>
  <c r="H720" i="1" s="1"/>
  <c r="L719" i="1"/>
  <c r="H721" i="1" s="1"/>
  <c r="L720" i="1"/>
  <c r="H722" i="1" s="1"/>
  <c r="L721" i="1"/>
  <c r="H723" i="1" s="1"/>
  <c r="L722" i="1"/>
  <c r="H724" i="1" s="1"/>
  <c r="L723" i="1"/>
  <c r="H725" i="1" s="1"/>
  <c r="L724" i="1"/>
  <c r="H726" i="1" s="1"/>
  <c r="L725" i="1"/>
  <c r="H727" i="1" s="1"/>
  <c r="L726" i="1"/>
  <c r="H728" i="1" s="1"/>
  <c r="L727" i="1"/>
  <c r="H729" i="1" s="1"/>
  <c r="L728" i="1"/>
  <c r="H730" i="1" s="1"/>
  <c r="L729" i="1"/>
  <c r="H731" i="1" s="1"/>
  <c r="L730" i="1"/>
  <c r="H732" i="1" s="1"/>
  <c r="L731" i="1"/>
  <c r="H733" i="1" s="1"/>
  <c r="L732" i="1"/>
  <c r="H734" i="1" s="1"/>
  <c r="L733" i="1"/>
  <c r="H735" i="1" s="1"/>
  <c r="L734" i="1"/>
  <c r="H736" i="1" s="1"/>
  <c r="L735" i="1"/>
  <c r="H737" i="1" s="1"/>
  <c r="L736" i="1"/>
  <c r="H738" i="1" s="1"/>
  <c r="L737" i="1"/>
  <c r="H739" i="1" s="1"/>
  <c r="L738" i="1"/>
  <c r="H740" i="1" s="1"/>
  <c r="L739" i="1"/>
  <c r="H741" i="1" s="1"/>
  <c r="L740" i="1"/>
  <c r="H742" i="1" s="1"/>
  <c r="L741" i="1"/>
  <c r="H743" i="1" s="1"/>
  <c r="L742" i="1"/>
  <c r="H744" i="1" s="1"/>
  <c r="L743" i="1"/>
  <c r="H745" i="1" s="1"/>
  <c r="L744" i="1"/>
  <c r="H746" i="1" s="1"/>
  <c r="L745" i="1"/>
  <c r="H747" i="1" s="1"/>
  <c r="L746" i="1"/>
  <c r="H748" i="1" s="1"/>
  <c r="L747" i="1"/>
  <c r="H749" i="1" s="1"/>
  <c r="L748" i="1"/>
  <c r="H750" i="1" s="1"/>
  <c r="L749" i="1"/>
  <c r="H751" i="1" s="1"/>
  <c r="L750" i="1"/>
  <c r="H752" i="1" s="1"/>
  <c r="L751" i="1"/>
  <c r="H753" i="1" s="1"/>
  <c r="L752" i="1"/>
  <c r="H754" i="1" s="1"/>
  <c r="L753" i="1"/>
  <c r="H755" i="1" s="1"/>
  <c r="L754" i="1"/>
  <c r="H756" i="1" s="1"/>
  <c r="L755" i="1"/>
  <c r="H757" i="1" s="1"/>
  <c r="L756" i="1"/>
  <c r="H758" i="1" s="1"/>
  <c r="L757" i="1"/>
  <c r="H759" i="1" s="1"/>
  <c r="L758" i="1"/>
  <c r="H760" i="1" s="1"/>
  <c r="L759" i="1"/>
  <c r="H761" i="1" s="1"/>
  <c r="L760" i="1"/>
  <c r="H762" i="1" s="1"/>
  <c r="L761" i="1"/>
  <c r="H763" i="1" s="1"/>
  <c r="L762" i="1"/>
  <c r="H764" i="1" s="1"/>
  <c r="L763" i="1"/>
  <c r="H765" i="1" s="1"/>
  <c r="L764" i="1"/>
  <c r="H766" i="1" s="1"/>
  <c r="L765" i="1"/>
  <c r="H767" i="1" s="1"/>
  <c r="L766" i="1"/>
  <c r="H768" i="1" s="1"/>
  <c r="L767" i="1"/>
  <c r="H769" i="1" s="1"/>
  <c r="L768" i="1"/>
  <c r="H770" i="1" s="1"/>
  <c r="L769" i="1"/>
  <c r="H771" i="1" s="1"/>
  <c r="L770" i="1"/>
  <c r="H772" i="1" s="1"/>
  <c r="L771" i="1"/>
  <c r="H773" i="1" s="1"/>
  <c r="L772" i="1"/>
  <c r="H774" i="1" s="1"/>
  <c r="L773" i="1"/>
  <c r="H775" i="1" s="1"/>
  <c r="L774" i="1"/>
  <c r="H776" i="1" s="1"/>
  <c r="L775" i="1"/>
  <c r="H777" i="1" s="1"/>
  <c r="L776" i="1"/>
  <c r="H778" i="1" s="1"/>
  <c r="L777" i="1"/>
  <c r="H779" i="1" s="1"/>
  <c r="L778" i="1"/>
  <c r="H780" i="1" s="1"/>
  <c r="L779" i="1"/>
  <c r="H781" i="1" s="1"/>
  <c r="L780" i="1"/>
  <c r="H782" i="1" s="1"/>
  <c r="L781" i="1"/>
  <c r="H783" i="1" s="1"/>
  <c r="L782" i="1"/>
  <c r="H784" i="1" s="1"/>
  <c r="L783" i="1"/>
  <c r="H785" i="1" s="1"/>
  <c r="L784" i="1"/>
  <c r="H786" i="1" s="1"/>
  <c r="L785" i="1"/>
  <c r="H787" i="1" s="1"/>
  <c r="L786" i="1"/>
  <c r="H788" i="1" s="1"/>
  <c r="L787" i="1"/>
  <c r="H789" i="1" s="1"/>
  <c r="L788" i="1"/>
  <c r="H790" i="1" s="1"/>
  <c r="L789" i="1"/>
  <c r="H791" i="1" s="1"/>
  <c r="L790" i="1"/>
  <c r="H792" i="1" s="1"/>
  <c r="L791" i="1"/>
  <c r="H793" i="1" s="1"/>
  <c r="L792" i="1"/>
  <c r="H794" i="1" s="1"/>
  <c r="L793" i="1"/>
  <c r="H795" i="1" s="1"/>
  <c r="L794" i="1"/>
  <c r="H796" i="1" s="1"/>
  <c r="L795" i="1"/>
  <c r="H797" i="1" s="1"/>
  <c r="L796" i="1"/>
  <c r="H798" i="1" s="1"/>
  <c r="L797" i="1"/>
  <c r="H799" i="1" s="1"/>
  <c r="L798" i="1"/>
  <c r="H800" i="1" s="1"/>
  <c r="L799" i="1"/>
  <c r="H801" i="1" s="1"/>
  <c r="L800" i="1"/>
  <c r="H802" i="1" s="1"/>
  <c r="L801" i="1"/>
  <c r="H803" i="1" s="1"/>
  <c r="L802" i="1"/>
  <c r="H804" i="1" s="1"/>
  <c r="L803" i="1"/>
  <c r="H805" i="1" s="1"/>
  <c r="L804" i="1"/>
  <c r="H806" i="1" s="1"/>
  <c r="L805" i="1"/>
  <c r="H807" i="1" s="1"/>
  <c r="L806" i="1"/>
  <c r="H808" i="1" s="1"/>
  <c r="L807" i="1"/>
  <c r="H809" i="1" s="1"/>
  <c r="L808" i="1"/>
  <c r="H810" i="1" s="1"/>
  <c r="L809" i="1"/>
  <c r="H811" i="1" s="1"/>
  <c r="L810" i="1"/>
  <c r="H812" i="1" s="1"/>
  <c r="L811" i="1"/>
  <c r="H813" i="1" s="1"/>
  <c r="L812" i="1"/>
  <c r="H814" i="1" s="1"/>
  <c r="L813" i="1"/>
  <c r="H815" i="1" s="1"/>
  <c r="L814" i="1"/>
  <c r="H816" i="1" s="1"/>
  <c r="L815" i="1"/>
  <c r="H817" i="1" s="1"/>
  <c r="L816" i="1"/>
  <c r="H818" i="1" s="1"/>
  <c r="L817" i="1"/>
  <c r="H819" i="1" s="1"/>
  <c r="L818" i="1"/>
  <c r="H820" i="1" s="1"/>
  <c r="L819" i="1"/>
  <c r="H821" i="1" s="1"/>
  <c r="L820" i="1"/>
  <c r="H822" i="1" s="1"/>
  <c r="L821" i="1"/>
  <c r="H823" i="1" s="1"/>
  <c r="L822" i="1"/>
  <c r="H824" i="1" s="1"/>
  <c r="L823" i="1"/>
  <c r="H825" i="1" s="1"/>
  <c r="L824" i="1"/>
  <c r="H826" i="1" s="1"/>
  <c r="L825" i="1"/>
  <c r="H827" i="1" s="1"/>
  <c r="L826" i="1"/>
  <c r="H828" i="1" s="1"/>
  <c r="L827" i="1"/>
  <c r="H829" i="1" s="1"/>
  <c r="L828" i="1"/>
  <c r="H830" i="1" s="1"/>
  <c r="L829" i="1"/>
  <c r="H831" i="1" s="1"/>
  <c r="L830" i="1"/>
  <c r="H832" i="1" s="1"/>
  <c r="L831" i="1"/>
  <c r="H833" i="1" s="1"/>
  <c r="L832" i="1"/>
  <c r="H834" i="1" s="1"/>
  <c r="L833" i="1"/>
  <c r="H835" i="1" s="1"/>
  <c r="L834" i="1"/>
  <c r="H836" i="1" s="1"/>
  <c r="L835" i="1"/>
  <c r="H837" i="1" s="1"/>
  <c r="L836" i="1"/>
  <c r="H838" i="1" s="1"/>
  <c r="L837" i="1"/>
  <c r="H839" i="1" s="1"/>
  <c r="L838" i="1"/>
  <c r="H840" i="1" s="1"/>
  <c r="L839" i="1"/>
  <c r="H841" i="1" s="1"/>
  <c r="L840" i="1"/>
  <c r="H842" i="1" s="1"/>
  <c r="L841" i="1"/>
  <c r="H843" i="1" s="1"/>
  <c r="L842" i="1"/>
  <c r="H844" i="1" s="1"/>
  <c r="L843" i="1"/>
  <c r="H845" i="1" s="1"/>
  <c r="L844" i="1"/>
  <c r="H846" i="1" s="1"/>
  <c r="L845" i="1"/>
  <c r="H847" i="1" s="1"/>
  <c r="L846" i="1"/>
  <c r="H848" i="1" s="1"/>
  <c r="L847" i="1"/>
  <c r="H849" i="1" s="1"/>
  <c r="L848" i="1"/>
  <c r="H850" i="1" s="1"/>
  <c r="L849" i="1"/>
  <c r="H851" i="1" s="1"/>
  <c r="L850" i="1"/>
  <c r="H852" i="1" s="1"/>
  <c r="L851" i="1"/>
  <c r="H853" i="1" s="1"/>
  <c r="L852" i="1"/>
  <c r="H854" i="1" s="1"/>
  <c r="L853" i="1"/>
  <c r="H855" i="1" s="1"/>
  <c r="L854" i="1"/>
  <c r="H856" i="1" s="1"/>
  <c r="L855" i="1"/>
  <c r="H857" i="1" s="1"/>
  <c r="L856" i="1"/>
  <c r="H858" i="1" s="1"/>
  <c r="L857" i="1"/>
  <c r="H859" i="1" s="1"/>
  <c r="L858" i="1"/>
  <c r="H860" i="1" s="1"/>
  <c r="L859" i="1"/>
  <c r="H861" i="1" s="1"/>
  <c r="L860" i="1"/>
  <c r="H862" i="1" s="1"/>
  <c r="L861" i="1"/>
  <c r="H863" i="1" s="1"/>
  <c r="L862" i="1"/>
  <c r="H864" i="1" s="1"/>
  <c r="L863" i="1"/>
  <c r="H865" i="1" s="1"/>
  <c r="L864" i="1"/>
  <c r="H866" i="1" s="1"/>
  <c r="L865" i="1"/>
  <c r="H867" i="1" s="1"/>
  <c r="L866" i="1"/>
  <c r="H868" i="1" s="1"/>
  <c r="L867" i="1"/>
  <c r="H869" i="1" s="1"/>
  <c r="L868" i="1"/>
  <c r="H870" i="1" s="1"/>
  <c r="L869" i="1"/>
  <c r="H871" i="1" s="1"/>
  <c r="L870" i="1"/>
  <c r="H872" i="1" s="1"/>
  <c r="L871" i="1"/>
  <c r="H873" i="1" s="1"/>
  <c r="L872" i="1"/>
  <c r="H874" i="1" s="1"/>
  <c r="L873" i="1"/>
  <c r="H875" i="1" s="1"/>
  <c r="L874" i="1"/>
  <c r="H876" i="1" s="1"/>
  <c r="L875" i="1"/>
  <c r="H877" i="1" s="1"/>
  <c r="L876" i="1"/>
  <c r="H878" i="1" s="1"/>
  <c r="L877" i="1"/>
  <c r="H879" i="1" s="1"/>
  <c r="L878" i="1"/>
  <c r="H880" i="1" s="1"/>
  <c r="L879" i="1"/>
  <c r="H881" i="1" s="1"/>
  <c r="L880" i="1"/>
  <c r="H882" i="1" s="1"/>
  <c r="L881" i="1"/>
  <c r="H883" i="1" s="1"/>
  <c r="L882" i="1"/>
  <c r="H884" i="1" s="1"/>
  <c r="L883" i="1"/>
  <c r="H885" i="1" s="1"/>
  <c r="L884" i="1"/>
  <c r="H886" i="1" s="1"/>
  <c r="L885" i="1"/>
  <c r="H887" i="1" s="1"/>
  <c r="L886" i="1"/>
  <c r="H888" i="1" s="1"/>
  <c r="L887" i="1"/>
  <c r="H889" i="1" s="1"/>
  <c r="L888" i="1"/>
  <c r="H890" i="1" s="1"/>
  <c r="L889" i="1"/>
  <c r="H891" i="1" s="1"/>
  <c r="L890" i="1"/>
  <c r="H892" i="1" s="1"/>
  <c r="L891" i="1"/>
  <c r="H893" i="1" s="1"/>
  <c r="L892" i="1"/>
  <c r="H894" i="1" s="1"/>
  <c r="L893" i="1"/>
  <c r="H895" i="1" s="1"/>
  <c r="L894" i="1"/>
  <c r="H896" i="1" s="1"/>
  <c r="L895" i="1"/>
  <c r="H897" i="1" s="1"/>
  <c r="L896" i="1"/>
  <c r="H898" i="1" s="1"/>
  <c r="L897" i="1"/>
  <c r="H899" i="1" s="1"/>
  <c r="L898" i="1"/>
  <c r="H900" i="1" s="1"/>
  <c r="L899" i="1"/>
  <c r="H901" i="1" s="1"/>
  <c r="L900" i="1"/>
  <c r="H902" i="1" s="1"/>
  <c r="L901" i="1"/>
  <c r="H903" i="1" s="1"/>
  <c r="L902" i="1"/>
  <c r="H904" i="1" s="1"/>
  <c r="L903" i="1"/>
  <c r="H905" i="1" s="1"/>
  <c r="L904" i="1"/>
  <c r="H906" i="1" s="1"/>
  <c r="L905" i="1"/>
  <c r="H907" i="1" s="1"/>
  <c r="L906" i="1"/>
  <c r="H908" i="1" s="1"/>
  <c r="L907" i="1"/>
  <c r="H909" i="1" s="1"/>
  <c r="L908" i="1"/>
  <c r="H910" i="1" s="1"/>
  <c r="L909" i="1"/>
  <c r="H911" i="1" s="1"/>
  <c r="L910" i="1"/>
  <c r="H912" i="1" s="1"/>
  <c r="L911" i="1"/>
  <c r="H913" i="1" s="1"/>
  <c r="L912" i="1"/>
  <c r="H914" i="1" s="1"/>
  <c r="L913" i="1"/>
  <c r="H915" i="1" s="1"/>
  <c r="L914" i="1"/>
  <c r="H916" i="1" s="1"/>
  <c r="L915" i="1"/>
  <c r="H917" i="1" s="1"/>
  <c r="L916" i="1"/>
  <c r="H918" i="1" s="1"/>
  <c r="L917" i="1"/>
  <c r="H919" i="1" s="1"/>
  <c r="L918" i="1"/>
  <c r="H920" i="1" s="1"/>
  <c r="L919" i="1"/>
  <c r="H921" i="1" s="1"/>
  <c r="L920" i="1"/>
  <c r="H922" i="1" s="1"/>
  <c r="L921" i="1"/>
  <c r="H923" i="1" s="1"/>
  <c r="L922" i="1"/>
  <c r="H924" i="1" s="1"/>
  <c r="L923" i="1"/>
  <c r="H925" i="1" s="1"/>
  <c r="L924" i="1"/>
  <c r="H926" i="1" s="1"/>
  <c r="L925" i="1"/>
  <c r="H927" i="1" s="1"/>
  <c r="L926" i="1"/>
  <c r="H928" i="1" s="1"/>
  <c r="L927" i="1"/>
  <c r="H929" i="1" s="1"/>
  <c r="L928" i="1"/>
  <c r="H930" i="1" s="1"/>
  <c r="L929" i="1"/>
  <c r="H931" i="1" s="1"/>
  <c r="L930" i="1"/>
  <c r="H932" i="1" s="1"/>
  <c r="L931" i="1"/>
  <c r="H933" i="1" s="1"/>
  <c r="L932" i="1"/>
  <c r="H934" i="1" s="1"/>
  <c r="L933" i="1"/>
  <c r="H935" i="1" s="1"/>
  <c r="L934" i="1"/>
  <c r="H936" i="1" s="1"/>
  <c r="L935" i="1"/>
  <c r="H937" i="1" s="1"/>
  <c r="L936" i="1"/>
  <c r="H938" i="1" s="1"/>
  <c r="L937" i="1"/>
  <c r="H939" i="1" s="1"/>
  <c r="L938" i="1"/>
  <c r="H940" i="1" s="1"/>
  <c r="L939" i="1"/>
  <c r="H941" i="1" s="1"/>
  <c r="L940" i="1"/>
  <c r="H942" i="1" s="1"/>
  <c r="L941" i="1"/>
  <c r="H943" i="1" s="1"/>
  <c r="L942" i="1"/>
  <c r="H944" i="1" s="1"/>
  <c r="L943" i="1"/>
  <c r="H945" i="1" s="1"/>
  <c r="L944" i="1"/>
  <c r="H946" i="1" s="1"/>
  <c r="L945" i="1"/>
  <c r="H947" i="1" s="1"/>
  <c r="L946" i="1"/>
  <c r="H948" i="1" s="1"/>
  <c r="L947" i="1"/>
  <c r="H949" i="1" s="1"/>
  <c r="L948" i="1"/>
  <c r="H950" i="1" s="1"/>
  <c r="L949" i="1"/>
  <c r="H951" i="1" s="1"/>
  <c r="L950" i="1"/>
  <c r="H952" i="1" s="1"/>
  <c r="L951" i="1"/>
  <c r="H953" i="1" s="1"/>
  <c r="L952" i="1"/>
  <c r="H954" i="1" s="1"/>
  <c r="L953" i="1"/>
  <c r="H955" i="1" s="1"/>
  <c r="L954" i="1"/>
  <c r="H956" i="1" s="1"/>
  <c r="L955" i="1"/>
  <c r="H957" i="1" s="1"/>
  <c r="L956" i="1"/>
  <c r="H958" i="1" s="1"/>
  <c r="L957" i="1"/>
  <c r="H959" i="1" s="1"/>
  <c r="L958" i="1"/>
  <c r="H960" i="1" s="1"/>
  <c r="L959" i="1"/>
  <c r="H961" i="1" s="1"/>
  <c r="L960" i="1"/>
  <c r="H962" i="1" s="1"/>
  <c r="L961" i="1"/>
  <c r="H963" i="1" s="1"/>
  <c r="L962" i="1"/>
  <c r="H964" i="1" s="1"/>
  <c r="L963" i="1"/>
  <c r="H965" i="1" s="1"/>
  <c r="L964" i="1"/>
  <c r="H966" i="1" s="1"/>
  <c r="L965" i="1"/>
  <c r="H967" i="1" s="1"/>
  <c r="L966" i="1"/>
  <c r="H968" i="1" s="1"/>
  <c r="L967" i="1"/>
  <c r="H969" i="1" s="1"/>
  <c r="L968" i="1"/>
  <c r="H970" i="1" s="1"/>
  <c r="L969" i="1"/>
  <c r="H971" i="1" s="1"/>
  <c r="L970" i="1"/>
  <c r="H972" i="1" s="1"/>
  <c r="L971" i="1"/>
  <c r="H973" i="1" s="1"/>
  <c r="L972" i="1"/>
  <c r="H974" i="1" s="1"/>
  <c r="L973" i="1"/>
  <c r="H975" i="1" s="1"/>
  <c r="L974" i="1"/>
  <c r="H976" i="1" s="1"/>
  <c r="L975" i="1"/>
  <c r="H977" i="1" s="1"/>
  <c r="L976" i="1"/>
  <c r="H978" i="1" s="1"/>
  <c r="L977" i="1"/>
  <c r="H979" i="1" s="1"/>
  <c r="L978" i="1"/>
  <c r="H980" i="1" s="1"/>
  <c r="L979" i="1"/>
  <c r="H981" i="1" s="1"/>
  <c r="L980" i="1"/>
  <c r="H982" i="1" s="1"/>
  <c r="L981" i="1"/>
  <c r="H983" i="1" s="1"/>
  <c r="L982" i="1"/>
  <c r="H984" i="1" s="1"/>
  <c r="L983" i="1"/>
  <c r="H985" i="1" s="1"/>
  <c r="L984" i="1"/>
  <c r="H986" i="1" s="1"/>
  <c r="L985" i="1"/>
  <c r="H987" i="1" s="1"/>
  <c r="L986" i="1"/>
  <c r="H988" i="1" s="1"/>
  <c r="L987" i="1"/>
  <c r="H989" i="1" s="1"/>
  <c r="L988" i="1"/>
  <c r="H990" i="1" s="1"/>
  <c r="L989" i="1"/>
  <c r="H991" i="1" s="1"/>
  <c r="L990" i="1"/>
  <c r="H992" i="1" s="1"/>
  <c r="L991" i="1"/>
  <c r="H993" i="1" s="1"/>
  <c r="L992" i="1"/>
  <c r="H994" i="1" s="1"/>
  <c r="L993" i="1"/>
  <c r="H995" i="1" s="1"/>
  <c r="L994" i="1"/>
  <c r="H996" i="1" s="1"/>
  <c r="L995" i="1"/>
  <c r="H997" i="1" s="1"/>
  <c r="L996" i="1"/>
  <c r="H998" i="1" s="1"/>
  <c r="L997" i="1"/>
  <c r="H999" i="1" s="1"/>
  <c r="L998" i="1"/>
  <c r="H1000" i="1" s="1"/>
  <c r="L999" i="1"/>
  <c r="H1001" i="1" s="1"/>
  <c r="L1000" i="1"/>
  <c r="H1002" i="1" s="1"/>
  <c r="L1001" i="1"/>
  <c r="H1003" i="1" s="1"/>
  <c r="L1002" i="1"/>
  <c r="H1004" i="1" s="1"/>
  <c r="L1003" i="1"/>
  <c r="H1005" i="1" s="1"/>
  <c r="L1004" i="1"/>
  <c r="H1006" i="1" s="1"/>
  <c r="L1005" i="1"/>
  <c r="H1007" i="1" s="1"/>
  <c r="L1006" i="1"/>
  <c r="H1008" i="1" s="1"/>
  <c r="L1007" i="1"/>
  <c r="H1009" i="1" s="1"/>
  <c r="L1008" i="1"/>
  <c r="H1010" i="1" s="1"/>
  <c r="L1009" i="1"/>
  <c r="H1011" i="1" s="1"/>
  <c r="L1010" i="1"/>
  <c r="H1012" i="1" s="1"/>
  <c r="L1011" i="1"/>
  <c r="H1013" i="1" s="1"/>
  <c r="L1012" i="1"/>
  <c r="H1014" i="1" s="1"/>
  <c r="L1013" i="1"/>
  <c r="H1015" i="1" s="1"/>
  <c r="L1014" i="1"/>
  <c r="H1016" i="1" s="1"/>
  <c r="L1015" i="1"/>
  <c r="H1017" i="1" s="1"/>
  <c r="L1016" i="1"/>
  <c r="H1018" i="1" s="1"/>
  <c r="L1017" i="1"/>
  <c r="H1019" i="1" s="1"/>
  <c r="L1018" i="1"/>
  <c r="H1020" i="1" s="1"/>
  <c r="L1019" i="1"/>
  <c r="H1021" i="1" s="1"/>
  <c r="L1020" i="1"/>
  <c r="H1022" i="1" s="1"/>
  <c r="L1021" i="1"/>
  <c r="H1023" i="1" s="1"/>
  <c r="L1022" i="1"/>
  <c r="H1024" i="1" s="1"/>
  <c r="L1023" i="1"/>
  <c r="H1025" i="1" s="1"/>
  <c r="L1024" i="1"/>
  <c r="H1026" i="1" s="1"/>
  <c r="L1025" i="1"/>
  <c r="H1027" i="1" s="1"/>
  <c r="L1026" i="1"/>
  <c r="H1028" i="1" s="1"/>
  <c r="L1027" i="1"/>
  <c r="H1029" i="1" s="1"/>
  <c r="L1028" i="1"/>
  <c r="H1030" i="1" s="1"/>
  <c r="L1029" i="1"/>
  <c r="H1031" i="1" s="1"/>
  <c r="L1030" i="1"/>
  <c r="H1032" i="1" s="1"/>
  <c r="L1031" i="1"/>
  <c r="H1033" i="1" s="1"/>
  <c r="L1032" i="1"/>
  <c r="H1034" i="1" s="1"/>
  <c r="L1033" i="1"/>
  <c r="H1035" i="1" s="1"/>
  <c r="L1034" i="1"/>
  <c r="H1036" i="1" s="1"/>
  <c r="L1035" i="1"/>
  <c r="H1037" i="1" s="1"/>
  <c r="L1036" i="1"/>
  <c r="H1038" i="1" s="1"/>
  <c r="L1037" i="1"/>
  <c r="H1039" i="1" s="1"/>
  <c r="L1038" i="1"/>
  <c r="H1040" i="1" s="1"/>
  <c r="L1039" i="1"/>
  <c r="H1041" i="1" s="1"/>
  <c r="L1040" i="1"/>
  <c r="H1042" i="1" s="1"/>
  <c r="L1041" i="1"/>
  <c r="H1043" i="1" s="1"/>
  <c r="L1042" i="1"/>
  <c r="H1044" i="1" s="1"/>
  <c r="L1043" i="1"/>
  <c r="H1045" i="1" s="1"/>
  <c r="L1044" i="1"/>
  <c r="H1046" i="1" s="1"/>
  <c r="L1045" i="1"/>
  <c r="H1047" i="1" s="1"/>
  <c r="L1046" i="1"/>
  <c r="H1048" i="1" s="1"/>
  <c r="L1047" i="1"/>
  <c r="H1049" i="1" s="1"/>
  <c r="L1048" i="1"/>
  <c r="H1050" i="1" s="1"/>
  <c r="L1049" i="1"/>
  <c r="H1051" i="1" s="1"/>
  <c r="L1050" i="1"/>
  <c r="H1052" i="1" s="1"/>
  <c r="L1051" i="1"/>
  <c r="H1053" i="1" s="1"/>
  <c r="L1052" i="1"/>
  <c r="H1054" i="1" s="1"/>
  <c r="L1053" i="1"/>
  <c r="H1055" i="1" s="1"/>
  <c r="L1054" i="1"/>
  <c r="H1056" i="1" s="1"/>
  <c r="L1055" i="1"/>
  <c r="H1057" i="1" s="1"/>
  <c r="L1056" i="1"/>
  <c r="H1058" i="1" s="1"/>
  <c r="L1057" i="1"/>
  <c r="H1059" i="1" s="1"/>
  <c r="L1058" i="1"/>
  <c r="H1060" i="1" s="1"/>
  <c r="L1059" i="1"/>
  <c r="H1061" i="1" s="1"/>
  <c r="L1060" i="1"/>
  <c r="H1062" i="1" s="1"/>
  <c r="L1061" i="1"/>
  <c r="H1063" i="1" s="1"/>
  <c r="L1062" i="1"/>
  <c r="H1064" i="1" s="1"/>
  <c r="L1063" i="1"/>
  <c r="H1065" i="1" s="1"/>
  <c r="L1064" i="1"/>
  <c r="H1066" i="1" s="1"/>
  <c r="L1065" i="1"/>
  <c r="H1067" i="1" s="1"/>
  <c r="L1066" i="1"/>
  <c r="H1068" i="1" s="1"/>
  <c r="L1067" i="1"/>
  <c r="H1069" i="1" s="1"/>
  <c r="L1068" i="1"/>
  <c r="H1070" i="1" s="1"/>
  <c r="L1069" i="1"/>
  <c r="H1071" i="1" s="1"/>
  <c r="L1070" i="1"/>
  <c r="H1072" i="1" s="1"/>
  <c r="L1071" i="1"/>
  <c r="H1073" i="1" s="1"/>
  <c r="L1072" i="1"/>
  <c r="H1074" i="1" s="1"/>
  <c r="L1073" i="1"/>
  <c r="H1075" i="1" s="1"/>
  <c r="L1074" i="1"/>
  <c r="H1076" i="1" s="1"/>
  <c r="L1075" i="1"/>
  <c r="H1077" i="1" s="1"/>
  <c r="L1076" i="1"/>
  <c r="H1078" i="1" s="1"/>
  <c r="L1077" i="1"/>
  <c r="H1079" i="1" s="1"/>
  <c r="L1078" i="1"/>
  <c r="H1080" i="1" s="1"/>
  <c r="L1079" i="1"/>
  <c r="H1081" i="1" s="1"/>
  <c r="L1080" i="1"/>
  <c r="H1082" i="1" s="1"/>
  <c r="L1081" i="1"/>
  <c r="H1083" i="1" s="1"/>
  <c r="L1082" i="1"/>
  <c r="H1084" i="1" s="1"/>
  <c r="L1083" i="1"/>
  <c r="H1085" i="1" s="1"/>
  <c r="L1084" i="1"/>
  <c r="H1086" i="1" s="1"/>
  <c r="L1085" i="1"/>
  <c r="H1087" i="1" s="1"/>
  <c r="L1086" i="1"/>
  <c r="H1088" i="1" s="1"/>
  <c r="L1087" i="1"/>
  <c r="H1089" i="1" s="1"/>
  <c r="L1088" i="1"/>
  <c r="H1090" i="1" s="1"/>
  <c r="L1089" i="1"/>
  <c r="H1091" i="1" s="1"/>
  <c r="L1090" i="1"/>
  <c r="H1092" i="1" s="1"/>
  <c r="L1091" i="1"/>
  <c r="H1093" i="1" s="1"/>
  <c r="L1092" i="1"/>
  <c r="H1094" i="1" s="1"/>
  <c r="L1093" i="1"/>
  <c r="H1095" i="1" s="1"/>
  <c r="L1094" i="1"/>
  <c r="H1096" i="1" s="1"/>
  <c r="L1095" i="1"/>
  <c r="H1097" i="1" s="1"/>
  <c r="L1096" i="1"/>
  <c r="H1098" i="1" s="1"/>
  <c r="L1097" i="1"/>
  <c r="H1099" i="1" s="1"/>
  <c r="L1098" i="1"/>
  <c r="H1100" i="1" s="1"/>
  <c r="L1099" i="1"/>
  <c r="H1101" i="1" s="1"/>
  <c r="L1100" i="1"/>
  <c r="H1102" i="1" s="1"/>
  <c r="L1101" i="1"/>
  <c r="H1103" i="1" s="1"/>
  <c r="L1102" i="1"/>
  <c r="H1104" i="1" s="1"/>
  <c r="L1103" i="1"/>
  <c r="H1105" i="1" s="1"/>
  <c r="L1104" i="1"/>
  <c r="H1106" i="1" s="1"/>
  <c r="L1105" i="1"/>
  <c r="H1107" i="1" s="1"/>
  <c r="L1106" i="1"/>
  <c r="H1108" i="1" s="1"/>
  <c r="L1107" i="1"/>
  <c r="H1109" i="1" s="1"/>
  <c r="L1108" i="1"/>
  <c r="H1110" i="1" s="1"/>
  <c r="L1109" i="1"/>
  <c r="H1111" i="1" s="1"/>
  <c r="L1110" i="1"/>
  <c r="H1112" i="1" s="1"/>
  <c r="L1111" i="1"/>
  <c r="H1113" i="1" s="1"/>
  <c r="L1112" i="1"/>
  <c r="H1114" i="1" s="1"/>
  <c r="L1113" i="1"/>
  <c r="H1115" i="1" s="1"/>
  <c r="L1114" i="1"/>
  <c r="H1116" i="1" s="1"/>
  <c r="L1115" i="1"/>
  <c r="H1117" i="1" s="1"/>
  <c r="L1116" i="1"/>
  <c r="H1118" i="1" s="1"/>
  <c r="L1117" i="1"/>
  <c r="H1119" i="1" s="1"/>
  <c r="L1118" i="1"/>
  <c r="H1120" i="1" s="1"/>
  <c r="L1119" i="1"/>
  <c r="H1121" i="1" s="1"/>
  <c r="L1120" i="1"/>
  <c r="H1122" i="1" s="1"/>
  <c r="L1121" i="1"/>
  <c r="H1123" i="1" s="1"/>
  <c r="L1122" i="1"/>
  <c r="H1124" i="1" s="1"/>
  <c r="L1123" i="1"/>
  <c r="H1125" i="1" s="1"/>
  <c r="L1124" i="1"/>
  <c r="H1126" i="1" s="1"/>
  <c r="L1125" i="1"/>
  <c r="H1127" i="1" s="1"/>
  <c r="L1126" i="1"/>
  <c r="H1128" i="1" s="1"/>
  <c r="L1127" i="1"/>
  <c r="H1129" i="1" s="1"/>
  <c r="L1128" i="1"/>
  <c r="H1130" i="1" s="1"/>
  <c r="L1129" i="1"/>
  <c r="H1131" i="1" s="1"/>
  <c r="L1130" i="1"/>
  <c r="H1132" i="1" s="1"/>
  <c r="L1131" i="1"/>
  <c r="H1133" i="1" s="1"/>
  <c r="L1132" i="1"/>
  <c r="H1134" i="1" s="1"/>
  <c r="L1133" i="1"/>
  <c r="H1135" i="1" s="1"/>
  <c r="L1134" i="1"/>
  <c r="H1136" i="1" s="1"/>
  <c r="L1135" i="1"/>
  <c r="H1137" i="1" s="1"/>
  <c r="L1136" i="1"/>
  <c r="H1138" i="1" s="1"/>
  <c r="L1137" i="1"/>
  <c r="H1139" i="1" s="1"/>
  <c r="L1138" i="1"/>
  <c r="H1140" i="1" s="1"/>
  <c r="L1139" i="1"/>
  <c r="H1141" i="1" s="1"/>
  <c r="L1140" i="1"/>
  <c r="H1142" i="1" s="1"/>
  <c r="L1141" i="1"/>
  <c r="H1143" i="1" s="1"/>
  <c r="L1142" i="1"/>
  <c r="H1144" i="1" s="1"/>
  <c r="L1143" i="1"/>
  <c r="H1145" i="1" s="1"/>
  <c r="L1144" i="1"/>
  <c r="H1146" i="1" s="1"/>
  <c r="L1145" i="1"/>
  <c r="H1147" i="1" s="1"/>
  <c r="L1146" i="1"/>
  <c r="H1148" i="1" s="1"/>
  <c r="L1147" i="1"/>
  <c r="H1149" i="1" s="1"/>
  <c r="L1148" i="1"/>
  <c r="H1150" i="1" s="1"/>
  <c r="L1149" i="1"/>
  <c r="H1151" i="1" s="1"/>
  <c r="L1150" i="1"/>
  <c r="H1152" i="1" s="1"/>
  <c r="L1151" i="1"/>
  <c r="H1153" i="1" s="1"/>
  <c r="L1152" i="1"/>
  <c r="H1154" i="1" s="1"/>
  <c r="L1153" i="1"/>
  <c r="H1155" i="1" s="1"/>
  <c r="L1154" i="1"/>
  <c r="H1156" i="1" s="1"/>
  <c r="L1155" i="1"/>
  <c r="H1157" i="1" s="1"/>
  <c r="L1156" i="1"/>
  <c r="H1158" i="1" s="1"/>
  <c r="L1157" i="1"/>
  <c r="H1159" i="1" s="1"/>
  <c r="L1158" i="1"/>
  <c r="H1160" i="1" s="1"/>
  <c r="L1159" i="1"/>
  <c r="H1161" i="1" s="1"/>
  <c r="L1160" i="1"/>
  <c r="H1162" i="1" s="1"/>
  <c r="L1161" i="1"/>
  <c r="H1163" i="1" s="1"/>
  <c r="L1162" i="1"/>
  <c r="H1164" i="1" s="1"/>
  <c r="L1163" i="1"/>
  <c r="H1165" i="1" s="1"/>
  <c r="L1164" i="1"/>
  <c r="H1166" i="1" s="1"/>
  <c r="L1165" i="1"/>
  <c r="H1167" i="1" s="1"/>
  <c r="L1166" i="1"/>
  <c r="H1168" i="1" s="1"/>
  <c r="L1167" i="1"/>
  <c r="H1169" i="1" s="1"/>
  <c r="L1168" i="1"/>
  <c r="H1170" i="1" s="1"/>
  <c r="L1169" i="1"/>
  <c r="H1171" i="1" s="1"/>
  <c r="L1170" i="1"/>
  <c r="H1172" i="1" s="1"/>
  <c r="L1171" i="1"/>
  <c r="H1173" i="1" s="1"/>
  <c r="L1172" i="1"/>
  <c r="H1174" i="1" s="1"/>
  <c r="L1173" i="1"/>
  <c r="H1175" i="1" s="1"/>
  <c r="L1174" i="1"/>
  <c r="H1176" i="1" s="1"/>
  <c r="L1175" i="1"/>
  <c r="H1177" i="1" s="1"/>
  <c r="L1176" i="1"/>
  <c r="H1178" i="1" s="1"/>
  <c r="L1177" i="1"/>
  <c r="H1179" i="1" s="1"/>
  <c r="L1178" i="1"/>
  <c r="H1180" i="1" s="1"/>
  <c r="L1179" i="1"/>
  <c r="H1181" i="1" s="1"/>
  <c r="L1180" i="1"/>
  <c r="H1182" i="1" s="1"/>
  <c r="L1181" i="1"/>
  <c r="H1183" i="1" s="1"/>
  <c r="L1182" i="1"/>
  <c r="H1184" i="1" s="1"/>
  <c r="L1183" i="1"/>
  <c r="H1185" i="1" s="1"/>
  <c r="L1184" i="1"/>
  <c r="H1186" i="1" s="1"/>
  <c r="L1185" i="1"/>
  <c r="H1187" i="1" s="1"/>
  <c r="L1186" i="1"/>
  <c r="H1188" i="1" s="1"/>
  <c r="L1187" i="1"/>
  <c r="H1189" i="1" s="1"/>
  <c r="L1188" i="1"/>
  <c r="H1190" i="1" s="1"/>
  <c r="L1189" i="1"/>
  <c r="H1191" i="1" s="1"/>
  <c r="L1190" i="1"/>
  <c r="H1192" i="1" s="1"/>
  <c r="L1191" i="1"/>
  <c r="H1193" i="1" s="1"/>
  <c r="L1192" i="1"/>
  <c r="H1194" i="1" s="1"/>
  <c r="L1193" i="1"/>
  <c r="H1195" i="1" s="1"/>
  <c r="L1194" i="1"/>
  <c r="H1196" i="1" s="1"/>
  <c r="L1195" i="1"/>
  <c r="H1197" i="1" s="1"/>
  <c r="L1196" i="1"/>
  <c r="H1198" i="1" s="1"/>
  <c r="L1197" i="1"/>
  <c r="H1199" i="1" s="1"/>
  <c r="L1198" i="1"/>
  <c r="H1200" i="1" s="1"/>
  <c r="L1199" i="1"/>
  <c r="H1201" i="1" s="1"/>
  <c r="L1200" i="1"/>
  <c r="H1202" i="1" s="1"/>
  <c r="L1201" i="1"/>
  <c r="H1203" i="1" s="1"/>
  <c r="L1202" i="1"/>
  <c r="H1204" i="1" s="1"/>
  <c r="L1203" i="1"/>
  <c r="H1205" i="1" s="1"/>
  <c r="L1204" i="1"/>
  <c r="H1206" i="1" s="1"/>
  <c r="L1205" i="1"/>
  <c r="H1207" i="1" s="1"/>
  <c r="L1206" i="1"/>
  <c r="H1208" i="1" s="1"/>
  <c r="L1207" i="1"/>
  <c r="H1209" i="1" s="1"/>
  <c r="L1208" i="1"/>
  <c r="H1210" i="1" s="1"/>
  <c r="L1209" i="1"/>
  <c r="H1211" i="1" s="1"/>
  <c r="L1210" i="1"/>
  <c r="H1212" i="1" s="1"/>
  <c r="L1211" i="1"/>
  <c r="H1213" i="1" s="1"/>
  <c r="L1212" i="1"/>
  <c r="H1214" i="1" s="1"/>
  <c r="L1213" i="1"/>
  <c r="H1215" i="1" s="1"/>
  <c r="L1214" i="1"/>
  <c r="H1216" i="1" s="1"/>
  <c r="L1215" i="1"/>
  <c r="H1217" i="1" s="1"/>
  <c r="L1216" i="1"/>
  <c r="H1218" i="1" s="1"/>
  <c r="L1217" i="1"/>
  <c r="H1219" i="1" s="1"/>
  <c r="L1218" i="1"/>
  <c r="H1220" i="1" s="1"/>
  <c r="L1219" i="1"/>
  <c r="H1221" i="1" s="1"/>
  <c r="L1220" i="1"/>
  <c r="H1222" i="1" s="1"/>
  <c r="L1221" i="1"/>
  <c r="H1223" i="1" s="1"/>
  <c r="L1222" i="1"/>
  <c r="H1224" i="1" s="1"/>
  <c r="L1223" i="1"/>
  <c r="H1225" i="1" s="1"/>
  <c r="L1224" i="1"/>
  <c r="H1226" i="1" s="1"/>
  <c r="L1225" i="1"/>
  <c r="H1227" i="1" s="1"/>
  <c r="L1226" i="1"/>
  <c r="H1228" i="1" s="1"/>
  <c r="L1227" i="1"/>
  <c r="H1229" i="1" s="1"/>
  <c r="L1228" i="1"/>
  <c r="H1230" i="1" s="1"/>
  <c r="L1229" i="1"/>
  <c r="H1231" i="1" s="1"/>
  <c r="L1230" i="1"/>
  <c r="H1232" i="1" s="1"/>
  <c r="L1231" i="1"/>
  <c r="H1233" i="1" s="1"/>
  <c r="L1232" i="1"/>
  <c r="H1234" i="1" s="1"/>
  <c r="L1233" i="1"/>
  <c r="H1235" i="1" s="1"/>
  <c r="L1234" i="1"/>
  <c r="H1236" i="1" s="1"/>
  <c r="L1235" i="1"/>
  <c r="H1237" i="1" s="1"/>
  <c r="L1236" i="1"/>
  <c r="H1238" i="1" s="1"/>
  <c r="L1237" i="1"/>
  <c r="H1239" i="1" s="1"/>
  <c r="L1238" i="1"/>
  <c r="H1240" i="1" s="1"/>
  <c r="L1239" i="1"/>
  <c r="H1241" i="1" s="1"/>
  <c r="L1240" i="1"/>
  <c r="H1242" i="1" s="1"/>
  <c r="L1241" i="1"/>
  <c r="H1243" i="1" s="1"/>
  <c r="L1242" i="1"/>
  <c r="H1244" i="1" s="1"/>
  <c r="L1243" i="1"/>
  <c r="H1245" i="1" s="1"/>
  <c r="L1244" i="1"/>
  <c r="H1246" i="1" s="1"/>
  <c r="L1245" i="1"/>
  <c r="H1247" i="1" s="1"/>
  <c r="L1246" i="1"/>
  <c r="H1248" i="1" s="1"/>
  <c r="L1247" i="1"/>
  <c r="H1249" i="1" s="1"/>
  <c r="L1248" i="1"/>
  <c r="H1250" i="1" s="1"/>
  <c r="L1249" i="1"/>
  <c r="H1251" i="1" s="1"/>
  <c r="L1250" i="1"/>
  <c r="H1252" i="1" s="1"/>
  <c r="L1251" i="1"/>
  <c r="H1253" i="1" s="1"/>
  <c r="L1252" i="1"/>
  <c r="H1254" i="1" s="1"/>
  <c r="L1253" i="1"/>
  <c r="H1255" i="1" s="1"/>
  <c r="L1254" i="1"/>
  <c r="H1256" i="1" s="1"/>
  <c r="L1255" i="1"/>
  <c r="H1257" i="1" s="1"/>
  <c r="L1256" i="1"/>
  <c r="H1258" i="1" s="1"/>
  <c r="L1257" i="1"/>
  <c r="H1259" i="1" s="1"/>
  <c r="L1258" i="1"/>
  <c r="H1260" i="1" s="1"/>
  <c r="L1259" i="1"/>
  <c r="H1261" i="1" s="1"/>
  <c r="L1260" i="1"/>
  <c r="H1262" i="1" s="1"/>
  <c r="L1261" i="1"/>
  <c r="H1263" i="1" s="1"/>
  <c r="L1262" i="1"/>
  <c r="H1264" i="1" s="1"/>
  <c r="L1263" i="1"/>
  <c r="H1265" i="1" s="1"/>
  <c r="L1264" i="1"/>
  <c r="H1266" i="1" s="1"/>
  <c r="L1265" i="1"/>
  <c r="H1267" i="1" s="1"/>
  <c r="L1266" i="1"/>
  <c r="H1268" i="1" s="1"/>
  <c r="L1267" i="1"/>
  <c r="H1269" i="1" s="1"/>
  <c r="L1268" i="1"/>
  <c r="H1270" i="1" s="1"/>
  <c r="L1269" i="1"/>
  <c r="H1271" i="1" s="1"/>
  <c r="L1270" i="1"/>
  <c r="H1272" i="1" s="1"/>
  <c r="L1271" i="1"/>
  <c r="H1273" i="1" s="1"/>
  <c r="L1272" i="1"/>
  <c r="H1274" i="1" s="1"/>
  <c r="L1273" i="1"/>
  <c r="H1275" i="1" s="1"/>
  <c r="L1274" i="1"/>
  <c r="H1276" i="1" s="1"/>
  <c r="L1275" i="1"/>
  <c r="H1277" i="1" s="1"/>
  <c r="L1276" i="1"/>
  <c r="H1278" i="1" s="1"/>
  <c r="L1277" i="1"/>
  <c r="H1279" i="1" s="1"/>
  <c r="L1278" i="1"/>
  <c r="H1280" i="1" s="1"/>
  <c r="L1279" i="1"/>
  <c r="H1281" i="1" s="1"/>
  <c r="L1280" i="1"/>
  <c r="H1282" i="1" s="1"/>
  <c r="L1281" i="1"/>
  <c r="H1283" i="1" s="1"/>
  <c r="L1282" i="1"/>
  <c r="H1284" i="1" s="1"/>
  <c r="L1283" i="1"/>
  <c r="H1285" i="1" s="1"/>
  <c r="L1284" i="1"/>
  <c r="H1286" i="1" s="1"/>
  <c r="L1285" i="1"/>
  <c r="H1287" i="1" s="1"/>
  <c r="L1286" i="1"/>
  <c r="H1288" i="1" s="1"/>
  <c r="L1287" i="1"/>
  <c r="H1289" i="1" s="1"/>
  <c r="L1288" i="1"/>
  <c r="H1290" i="1" s="1"/>
  <c r="L1289" i="1"/>
  <c r="H1291" i="1" s="1"/>
  <c r="L1290" i="1"/>
  <c r="H1292" i="1" s="1"/>
  <c r="L1291" i="1"/>
  <c r="H1293" i="1" s="1"/>
  <c r="L1292" i="1"/>
  <c r="H1294" i="1" s="1"/>
  <c r="L1293" i="1"/>
  <c r="H1295" i="1" s="1"/>
  <c r="L1294" i="1"/>
  <c r="H1296" i="1" s="1"/>
  <c r="L1295" i="1"/>
  <c r="H1297" i="1" s="1"/>
  <c r="L1296" i="1"/>
  <c r="H1298" i="1" s="1"/>
  <c r="L1297" i="1"/>
  <c r="H1299" i="1" s="1"/>
  <c r="L1298" i="1"/>
  <c r="H1300" i="1" s="1"/>
  <c r="L1299" i="1"/>
  <c r="H1301" i="1" s="1"/>
  <c r="L1300" i="1"/>
  <c r="H1302" i="1" s="1"/>
  <c r="L1301" i="1"/>
  <c r="H1303" i="1" s="1"/>
  <c r="L1302" i="1"/>
  <c r="H1304" i="1" s="1"/>
  <c r="L1303" i="1"/>
  <c r="H1305" i="1" s="1"/>
  <c r="L1304" i="1"/>
  <c r="H1306" i="1" s="1"/>
  <c r="L1305" i="1"/>
  <c r="H1307" i="1" s="1"/>
  <c r="L1306" i="1"/>
  <c r="H1308" i="1" s="1"/>
  <c r="L1307" i="1"/>
  <c r="H1309" i="1" s="1"/>
  <c r="L1308" i="1"/>
  <c r="H1310" i="1" s="1"/>
  <c r="L1309" i="1"/>
  <c r="H1311" i="1" s="1"/>
  <c r="L1310" i="1"/>
  <c r="H1312" i="1" s="1"/>
  <c r="L1311" i="1"/>
  <c r="H1313" i="1" s="1"/>
  <c r="L1312" i="1"/>
  <c r="H1314" i="1" s="1"/>
  <c r="L1313" i="1"/>
  <c r="H1315" i="1" s="1"/>
  <c r="L1314" i="1"/>
  <c r="H1316" i="1" s="1"/>
  <c r="L1315" i="1"/>
  <c r="H1317" i="1" s="1"/>
  <c r="L1316" i="1"/>
  <c r="H1318" i="1" s="1"/>
  <c r="L1317" i="1"/>
  <c r="H1319" i="1" s="1"/>
  <c r="L1318" i="1"/>
  <c r="H1320" i="1" s="1"/>
  <c r="L1319" i="1"/>
  <c r="H1321" i="1" s="1"/>
  <c r="L1320" i="1"/>
  <c r="H1322" i="1" s="1"/>
  <c r="L1321" i="1"/>
  <c r="H1323" i="1" s="1"/>
  <c r="L1322" i="1"/>
  <c r="H1324" i="1" s="1"/>
  <c r="L1323" i="1"/>
  <c r="H1325" i="1" s="1"/>
  <c r="L1324" i="1"/>
  <c r="H1326" i="1" s="1"/>
  <c r="L1325" i="1"/>
  <c r="H1327" i="1" s="1"/>
  <c r="L1326" i="1"/>
  <c r="H1328" i="1" s="1"/>
  <c r="L1327" i="1"/>
  <c r="H1329" i="1" s="1"/>
  <c r="L1328" i="1"/>
  <c r="H1330" i="1" s="1"/>
  <c r="L1329" i="1"/>
  <c r="H1331" i="1" s="1"/>
  <c r="L1330" i="1"/>
  <c r="H1332" i="1" s="1"/>
  <c r="L1331" i="1"/>
  <c r="H1333" i="1" s="1"/>
  <c r="L1332" i="1"/>
  <c r="H1334" i="1" s="1"/>
  <c r="L1333" i="1"/>
  <c r="H1335" i="1" s="1"/>
  <c r="L1334" i="1"/>
  <c r="H1336" i="1" s="1"/>
  <c r="L1335" i="1"/>
  <c r="H1337" i="1" s="1"/>
  <c r="L1336" i="1"/>
  <c r="H1338" i="1" s="1"/>
  <c r="L1337" i="1"/>
  <c r="H1339" i="1" s="1"/>
  <c r="L1338" i="1"/>
  <c r="H1340" i="1" s="1"/>
  <c r="L1339" i="1"/>
  <c r="H1341" i="1" s="1"/>
  <c r="L1340" i="1"/>
  <c r="H1342" i="1" s="1"/>
  <c r="L1341" i="1"/>
  <c r="H1343" i="1" s="1"/>
  <c r="L1342" i="1"/>
  <c r="H1344" i="1" s="1"/>
  <c r="L1343" i="1"/>
  <c r="H1345" i="1" s="1"/>
  <c r="L1344" i="1"/>
  <c r="H1346" i="1" s="1"/>
  <c r="L1345" i="1"/>
  <c r="H1347" i="1" s="1"/>
  <c r="L1346" i="1"/>
  <c r="H1348" i="1" s="1"/>
  <c r="L1347" i="1"/>
  <c r="H1349" i="1" s="1"/>
  <c r="L1348" i="1"/>
  <c r="H1350" i="1" s="1"/>
  <c r="L1349" i="1"/>
  <c r="H1351" i="1" s="1"/>
  <c r="L1350" i="1"/>
  <c r="H1352" i="1" s="1"/>
  <c r="L1351" i="1"/>
  <c r="H1353" i="1" s="1"/>
  <c r="L1352" i="1"/>
  <c r="H1354" i="1" s="1"/>
  <c r="L1353" i="1"/>
  <c r="H1355" i="1" s="1"/>
  <c r="L1354" i="1"/>
  <c r="H1356" i="1" s="1"/>
  <c r="L1355" i="1"/>
  <c r="H1357" i="1" s="1"/>
  <c r="L1356" i="1"/>
  <c r="H1358" i="1" s="1"/>
  <c r="L1357" i="1"/>
  <c r="H1359" i="1" s="1"/>
  <c r="L1358" i="1"/>
  <c r="H1360" i="1" s="1"/>
  <c r="L1359" i="1"/>
  <c r="H1361" i="1" s="1"/>
  <c r="L1360" i="1"/>
  <c r="H1362" i="1" s="1"/>
  <c r="L1361" i="1"/>
  <c r="H1363" i="1" s="1"/>
  <c r="L1362" i="1"/>
  <c r="H1364" i="1" s="1"/>
  <c r="L1363" i="1"/>
  <c r="H1365" i="1" s="1"/>
  <c r="L1364" i="1"/>
  <c r="H1366" i="1" s="1"/>
  <c r="L1365" i="1"/>
  <c r="H1367" i="1" s="1"/>
  <c r="L1366" i="1"/>
  <c r="H1368" i="1" s="1"/>
  <c r="L1367" i="1"/>
  <c r="H1369" i="1" s="1"/>
  <c r="L1368" i="1"/>
  <c r="H1370" i="1" s="1"/>
  <c r="L1369" i="1"/>
  <c r="H1371" i="1" s="1"/>
  <c r="L1370" i="1"/>
  <c r="H1372" i="1" s="1"/>
  <c r="L1371" i="1"/>
  <c r="H1373" i="1" s="1"/>
  <c r="L1372" i="1"/>
  <c r="H1374" i="1" s="1"/>
  <c r="L1373" i="1"/>
  <c r="H1375" i="1" s="1"/>
  <c r="L1374" i="1"/>
  <c r="H1376" i="1" s="1"/>
  <c r="L1375" i="1"/>
  <c r="H1377" i="1" s="1"/>
  <c r="L1376" i="1"/>
  <c r="H1378" i="1" s="1"/>
  <c r="L1377" i="1"/>
  <c r="H1379" i="1" s="1"/>
  <c r="L1378" i="1"/>
  <c r="H1380" i="1" s="1"/>
  <c r="L1379" i="1"/>
  <c r="H1381" i="1" s="1"/>
  <c r="L1380" i="1"/>
  <c r="H1382" i="1" s="1"/>
  <c r="L1381" i="1"/>
  <c r="H1383" i="1" s="1"/>
  <c r="L1382" i="1"/>
  <c r="H1384" i="1" s="1"/>
  <c r="L1383" i="1"/>
  <c r="H1385" i="1" s="1"/>
  <c r="L1384" i="1"/>
  <c r="H1386" i="1" s="1"/>
  <c r="L1385" i="1"/>
  <c r="H1387" i="1" s="1"/>
  <c r="L1386" i="1"/>
  <c r="H1388" i="1" s="1"/>
  <c r="L1387" i="1"/>
  <c r="H1389" i="1" s="1"/>
  <c r="L1388" i="1"/>
  <c r="H1390" i="1" s="1"/>
  <c r="L1389" i="1"/>
  <c r="H1391" i="1" s="1"/>
  <c r="L1390" i="1"/>
  <c r="H1392" i="1" s="1"/>
  <c r="L1391" i="1"/>
  <c r="H1393" i="1" s="1"/>
  <c r="L1392" i="1"/>
  <c r="H1394" i="1" s="1"/>
  <c r="L1393" i="1"/>
  <c r="H1395" i="1" s="1"/>
  <c r="L1394" i="1"/>
  <c r="H1396" i="1" s="1"/>
  <c r="L1395" i="1"/>
  <c r="H1397" i="1" s="1"/>
  <c r="L1396" i="1"/>
  <c r="H1398" i="1" s="1"/>
  <c r="L1397" i="1"/>
  <c r="H1399" i="1" s="1"/>
  <c r="L1398" i="1"/>
  <c r="H1400" i="1" s="1"/>
  <c r="L1399" i="1"/>
  <c r="H1401" i="1" s="1"/>
  <c r="L1400" i="1"/>
  <c r="H1402" i="1" s="1"/>
  <c r="L1401" i="1"/>
  <c r="H1403" i="1" s="1"/>
  <c r="L1402" i="1"/>
  <c r="H1404" i="1" s="1"/>
  <c r="L1403" i="1"/>
  <c r="H1405" i="1" s="1"/>
  <c r="L1404" i="1"/>
  <c r="H1406" i="1" s="1"/>
  <c r="L1405" i="1"/>
  <c r="H1407" i="1" s="1"/>
  <c r="L1406" i="1"/>
  <c r="H1408" i="1" s="1"/>
  <c r="L1407" i="1"/>
  <c r="H1409" i="1" s="1"/>
  <c r="L1408" i="1"/>
  <c r="H1410" i="1" s="1"/>
  <c r="L1409" i="1"/>
  <c r="H1411" i="1" s="1"/>
  <c r="L1410" i="1"/>
  <c r="H1412" i="1" s="1"/>
  <c r="L1411" i="1"/>
  <c r="H1413" i="1" s="1"/>
  <c r="L1412" i="1"/>
  <c r="H1414" i="1" s="1"/>
  <c r="L1413" i="1"/>
  <c r="H1415" i="1" s="1"/>
  <c r="L1414" i="1"/>
  <c r="H1416" i="1" s="1"/>
  <c r="L1415" i="1"/>
  <c r="H1417" i="1" s="1"/>
  <c r="L1416" i="1"/>
  <c r="H1418" i="1" s="1"/>
  <c r="L1417" i="1"/>
  <c r="H1419" i="1" s="1"/>
  <c r="L1418" i="1"/>
  <c r="H1420" i="1" s="1"/>
  <c r="L1419" i="1"/>
  <c r="H1421" i="1" s="1"/>
  <c r="L1420" i="1"/>
  <c r="H1422" i="1" s="1"/>
  <c r="L1421" i="1"/>
  <c r="H1423" i="1" s="1"/>
  <c r="L1422" i="1"/>
  <c r="H1424" i="1" s="1"/>
  <c r="L1423" i="1"/>
  <c r="H1425" i="1" s="1"/>
  <c r="L1424" i="1"/>
  <c r="H1426" i="1" s="1"/>
  <c r="L1425" i="1"/>
  <c r="H1427" i="1" s="1"/>
  <c r="L1426" i="1"/>
  <c r="H1428" i="1" s="1"/>
  <c r="L1427" i="1"/>
  <c r="H1429" i="1" s="1"/>
  <c r="L1428" i="1"/>
  <c r="H1430" i="1" s="1"/>
  <c r="L1429" i="1"/>
  <c r="H1431" i="1" s="1"/>
  <c r="L1430" i="1"/>
  <c r="H1432" i="1" s="1"/>
  <c r="L1431" i="1"/>
  <c r="H1433" i="1" s="1"/>
  <c r="L1432" i="1"/>
  <c r="H1434" i="1" s="1"/>
  <c r="L1433" i="1"/>
  <c r="H1435" i="1" s="1"/>
  <c r="L1434" i="1"/>
  <c r="H1436" i="1" s="1"/>
  <c r="L1435" i="1"/>
  <c r="H1437" i="1" s="1"/>
  <c r="L1436" i="1"/>
  <c r="H1438" i="1" s="1"/>
  <c r="L1437" i="1"/>
  <c r="H1439" i="1" s="1"/>
  <c r="L1438" i="1"/>
  <c r="H1440" i="1" s="1"/>
  <c r="L1439" i="1"/>
  <c r="H1441" i="1" s="1"/>
  <c r="L1440" i="1"/>
  <c r="H1442" i="1" s="1"/>
  <c r="L1441" i="1"/>
  <c r="H1443" i="1" s="1"/>
  <c r="L1442" i="1"/>
  <c r="H1444" i="1" s="1"/>
  <c r="L1443" i="1"/>
  <c r="H1445" i="1" s="1"/>
  <c r="L1444" i="1"/>
  <c r="H1446" i="1" s="1"/>
  <c r="L1445" i="1"/>
  <c r="H1447" i="1" s="1"/>
  <c r="L1446" i="1"/>
  <c r="H1448" i="1" s="1"/>
  <c r="L1447" i="1"/>
  <c r="H1449" i="1" s="1"/>
  <c r="L1448" i="1"/>
  <c r="H1450" i="1" s="1"/>
  <c r="L1449" i="1"/>
  <c r="H1451" i="1" s="1"/>
  <c r="L1450" i="1"/>
  <c r="H1452" i="1" s="1"/>
  <c r="L1451" i="1"/>
  <c r="H1453" i="1" s="1"/>
  <c r="L1452" i="1"/>
  <c r="H1454" i="1" s="1"/>
  <c r="L1453" i="1"/>
  <c r="H1455" i="1" s="1"/>
  <c r="L1454" i="1"/>
  <c r="H1456" i="1" s="1"/>
  <c r="L1455" i="1"/>
  <c r="H1457" i="1" s="1"/>
  <c r="L1456" i="1"/>
  <c r="H1458" i="1" s="1"/>
  <c r="L1457" i="1"/>
  <c r="H1459" i="1" s="1"/>
  <c r="L1458" i="1"/>
  <c r="H1460" i="1" s="1"/>
  <c r="L1459" i="1"/>
  <c r="H1461" i="1" s="1"/>
  <c r="L1460" i="1"/>
  <c r="H1462" i="1" s="1"/>
  <c r="L1461" i="1"/>
  <c r="H1463" i="1" s="1"/>
  <c r="L1462" i="1"/>
  <c r="H1464" i="1" s="1"/>
  <c r="L1463" i="1"/>
  <c r="H1465" i="1" s="1"/>
  <c r="L1464" i="1"/>
  <c r="H1466" i="1" s="1"/>
  <c r="L1465" i="1"/>
  <c r="H1467" i="1" s="1"/>
  <c r="L1466" i="1"/>
  <c r="H1468" i="1" s="1"/>
  <c r="L1467" i="1"/>
  <c r="H1469" i="1" s="1"/>
  <c r="L1468" i="1"/>
  <c r="H1470" i="1" s="1"/>
  <c r="L1469" i="1"/>
  <c r="H1471" i="1" s="1"/>
  <c r="L1470" i="1"/>
  <c r="H1472" i="1" s="1"/>
  <c r="L1471" i="1"/>
  <c r="H1473" i="1" s="1"/>
  <c r="L1472" i="1"/>
  <c r="H1474" i="1" s="1"/>
  <c r="L1473" i="1"/>
  <c r="H1475" i="1" s="1"/>
  <c r="L1474" i="1"/>
  <c r="H1476" i="1" s="1"/>
  <c r="L1475" i="1"/>
  <c r="H1477" i="1" s="1"/>
  <c r="L1476" i="1"/>
  <c r="H1478" i="1" s="1"/>
  <c r="L1477" i="1"/>
  <c r="H1479" i="1" s="1"/>
  <c r="L1478" i="1"/>
  <c r="H1480" i="1" s="1"/>
  <c r="L1479" i="1"/>
  <c r="H1481" i="1" s="1"/>
  <c r="L1480" i="1"/>
  <c r="H1482" i="1" s="1"/>
  <c r="L1481" i="1"/>
  <c r="H1483" i="1" s="1"/>
  <c r="L1482" i="1"/>
  <c r="H1484" i="1" s="1"/>
  <c r="L1483" i="1"/>
  <c r="H1485" i="1" s="1"/>
  <c r="L1484" i="1"/>
  <c r="H1486" i="1" s="1"/>
  <c r="L1485" i="1"/>
  <c r="H1487" i="1" s="1"/>
  <c r="L1486" i="1"/>
  <c r="H1488" i="1" s="1"/>
  <c r="L1487" i="1"/>
  <c r="H1489" i="1" s="1"/>
  <c r="L1488" i="1"/>
  <c r="H1490" i="1" s="1"/>
  <c r="L1489" i="1"/>
  <c r="H1491" i="1" s="1"/>
  <c r="L1490" i="1"/>
  <c r="H1492" i="1" s="1"/>
  <c r="L1491" i="1"/>
  <c r="H1493" i="1" s="1"/>
  <c r="L1492" i="1"/>
  <c r="H1494" i="1" s="1"/>
  <c r="L1493" i="1"/>
  <c r="H1495" i="1" s="1"/>
  <c r="L1494" i="1"/>
  <c r="H1496" i="1" s="1"/>
  <c r="L1495" i="1"/>
  <c r="H1497" i="1" s="1"/>
  <c r="L1496" i="1"/>
  <c r="H1498" i="1" s="1"/>
  <c r="L1497" i="1"/>
  <c r="H1499" i="1" s="1"/>
  <c r="L1498" i="1"/>
  <c r="H1500" i="1" s="1"/>
  <c r="L1499" i="1"/>
  <c r="H1501" i="1" s="1"/>
  <c r="L1500" i="1"/>
  <c r="H1502" i="1" s="1"/>
  <c r="L1501" i="1"/>
  <c r="H1503" i="1" s="1"/>
  <c r="L1502" i="1"/>
  <c r="H1504" i="1" s="1"/>
  <c r="L1503" i="1"/>
  <c r="H1505" i="1" s="1"/>
  <c r="L1504" i="1"/>
  <c r="H1506" i="1" s="1"/>
  <c r="L1505" i="1"/>
  <c r="H1507" i="1" s="1"/>
  <c r="L1506" i="1"/>
  <c r="H1508" i="1" s="1"/>
  <c r="L1507" i="1"/>
  <c r="H1509" i="1" s="1"/>
  <c r="L1508" i="1"/>
  <c r="H1510" i="1" s="1"/>
  <c r="L1509" i="1"/>
  <c r="H1511" i="1" s="1"/>
  <c r="L1510" i="1"/>
  <c r="H1512" i="1" s="1"/>
  <c r="L1511" i="1"/>
  <c r="H1513" i="1" s="1"/>
  <c r="L1512" i="1"/>
  <c r="H1514" i="1" s="1"/>
  <c r="L1513" i="1"/>
  <c r="H1515" i="1" s="1"/>
  <c r="L1514" i="1"/>
  <c r="H1516" i="1" s="1"/>
  <c r="L1515" i="1"/>
  <c r="H1517" i="1" s="1"/>
  <c r="L1516" i="1"/>
  <c r="H1518" i="1" s="1"/>
  <c r="L1517" i="1"/>
  <c r="H1519" i="1" s="1"/>
  <c r="L1518" i="1"/>
  <c r="H1520" i="1" s="1"/>
  <c r="L1519" i="1"/>
  <c r="H1521" i="1" s="1"/>
  <c r="L1520" i="1"/>
  <c r="H1522" i="1" s="1"/>
  <c r="L1521" i="1"/>
  <c r="H1523" i="1" s="1"/>
  <c r="L1522" i="1"/>
  <c r="H1524" i="1" s="1"/>
  <c r="L1523" i="1"/>
  <c r="H1525" i="1" s="1"/>
  <c r="L1524" i="1"/>
  <c r="H1526" i="1" s="1"/>
  <c r="L1525" i="1"/>
  <c r="H1527" i="1" s="1"/>
  <c r="L1526" i="1"/>
  <c r="H1528" i="1" s="1"/>
  <c r="L1527" i="1"/>
  <c r="H1529" i="1" s="1"/>
  <c r="L1528" i="1"/>
  <c r="H1530" i="1" s="1"/>
  <c r="L1529" i="1"/>
  <c r="H1531" i="1" s="1"/>
  <c r="L1530" i="1"/>
  <c r="H1532" i="1" s="1"/>
  <c r="L1531" i="1"/>
  <c r="H1533" i="1" s="1"/>
  <c r="L1532" i="1"/>
  <c r="H1534" i="1" s="1"/>
  <c r="L1533" i="1"/>
  <c r="H1535" i="1" s="1"/>
  <c r="L1534" i="1"/>
  <c r="H1536" i="1" s="1"/>
  <c r="L1535" i="1"/>
  <c r="H1537" i="1" s="1"/>
  <c r="L1536" i="1"/>
  <c r="H1538" i="1" s="1"/>
  <c r="L1537" i="1"/>
  <c r="H1539" i="1" s="1"/>
  <c r="L1538" i="1"/>
  <c r="H1540" i="1" s="1"/>
  <c r="L1539" i="1"/>
  <c r="H1541" i="1" s="1"/>
  <c r="L1540" i="1"/>
  <c r="H1542" i="1" s="1"/>
  <c r="L1541" i="1"/>
  <c r="H1543" i="1" s="1"/>
  <c r="L1542" i="1"/>
  <c r="H1544" i="1" s="1"/>
  <c r="L1543" i="1"/>
  <c r="H1545" i="1" s="1"/>
  <c r="L1544" i="1"/>
  <c r="H1546" i="1" s="1"/>
  <c r="L1545" i="1"/>
  <c r="H1547" i="1" s="1"/>
  <c r="L1546" i="1"/>
  <c r="H1548" i="1" s="1"/>
  <c r="L1547" i="1"/>
  <c r="H1549" i="1" s="1"/>
  <c r="L1548" i="1"/>
  <c r="H1550" i="1" s="1"/>
  <c r="L1549" i="1"/>
  <c r="H1551" i="1" s="1"/>
  <c r="L1550" i="1"/>
  <c r="H1552" i="1" s="1"/>
  <c r="L1551" i="1"/>
  <c r="H1553" i="1" s="1"/>
  <c r="L1552" i="1"/>
  <c r="H1554" i="1" s="1"/>
  <c r="L1553" i="1"/>
  <c r="H1555" i="1" s="1"/>
  <c r="L1554" i="1"/>
  <c r="H1556" i="1" s="1"/>
  <c r="L1555" i="1"/>
  <c r="H1557" i="1" s="1"/>
  <c r="L1556" i="1"/>
  <c r="H1558" i="1" s="1"/>
  <c r="L1557" i="1"/>
  <c r="H1559" i="1" s="1"/>
  <c r="L1558" i="1"/>
  <c r="H1560" i="1" s="1"/>
  <c r="L1559" i="1"/>
  <c r="H1561" i="1" s="1"/>
  <c r="L1560" i="1"/>
  <c r="H1562" i="1" s="1"/>
  <c r="L1561" i="1"/>
  <c r="H1563" i="1" s="1"/>
  <c r="L1562" i="1"/>
  <c r="H1564" i="1" s="1"/>
  <c r="L1563" i="1"/>
  <c r="H1565" i="1" s="1"/>
  <c r="L1564" i="1"/>
  <c r="H1566" i="1" s="1"/>
  <c r="L1565" i="1"/>
  <c r="H1567" i="1" s="1"/>
  <c r="L1566" i="1"/>
  <c r="H1568" i="1" s="1"/>
  <c r="L1567" i="1"/>
  <c r="H1569" i="1" s="1"/>
  <c r="L1568" i="1"/>
  <c r="H1570" i="1" s="1"/>
  <c r="L1569" i="1"/>
  <c r="H1571" i="1" s="1"/>
  <c r="L1570" i="1"/>
  <c r="H1572" i="1" s="1"/>
  <c r="L1571" i="1"/>
  <c r="H1573" i="1" s="1"/>
  <c r="L1572" i="1"/>
  <c r="H1574" i="1" s="1"/>
  <c r="L1573" i="1"/>
  <c r="H1575" i="1" s="1"/>
  <c r="L1574" i="1"/>
  <c r="H1576" i="1" s="1"/>
  <c r="L1575" i="1"/>
  <c r="H1577" i="1" s="1"/>
  <c r="L1576" i="1"/>
  <c r="H1578" i="1" s="1"/>
  <c r="L1577" i="1"/>
  <c r="H1579" i="1" s="1"/>
  <c r="L1578" i="1"/>
  <c r="H1580" i="1" s="1"/>
  <c r="L1579" i="1"/>
  <c r="H1581" i="1" s="1"/>
  <c r="L1580" i="1"/>
  <c r="H1582" i="1" s="1"/>
  <c r="L1581" i="1"/>
  <c r="H1583" i="1" s="1"/>
  <c r="L1582" i="1"/>
  <c r="H1584" i="1" s="1"/>
  <c r="L1583" i="1"/>
  <c r="H1585" i="1" s="1"/>
  <c r="L1584" i="1"/>
  <c r="H1586" i="1" s="1"/>
  <c r="L1585" i="1"/>
  <c r="H1587" i="1" s="1"/>
  <c r="L1586" i="1"/>
  <c r="H1588" i="1" s="1"/>
  <c r="L1587" i="1"/>
  <c r="H1589" i="1" s="1"/>
  <c r="L1588" i="1"/>
  <c r="H1590" i="1" s="1"/>
  <c r="L1589" i="1"/>
  <c r="H1591" i="1" s="1"/>
  <c r="L1590" i="1"/>
  <c r="H1592" i="1" s="1"/>
  <c r="L1591" i="1"/>
  <c r="H1593" i="1" s="1"/>
  <c r="L1592" i="1"/>
  <c r="H1594" i="1" s="1"/>
  <c r="L1593" i="1"/>
  <c r="H1595" i="1" s="1"/>
  <c r="L1594" i="1"/>
  <c r="H1596" i="1" s="1"/>
  <c r="L1595" i="1"/>
  <c r="H1597" i="1" s="1"/>
  <c r="L1596" i="1"/>
  <c r="H1598" i="1" s="1"/>
  <c r="L1597" i="1"/>
  <c r="H1599" i="1" s="1"/>
  <c r="L1598" i="1"/>
  <c r="H1600" i="1" s="1"/>
  <c r="L1599" i="1"/>
  <c r="H1601" i="1" s="1"/>
  <c r="L1600" i="1"/>
  <c r="H1602" i="1" s="1"/>
  <c r="L1601" i="1"/>
  <c r="H1603" i="1" s="1"/>
  <c r="L1602" i="1"/>
  <c r="H1604" i="1" s="1"/>
  <c r="L1603" i="1"/>
  <c r="H1605" i="1" s="1"/>
  <c r="L1604" i="1"/>
  <c r="H1606" i="1" s="1"/>
  <c r="L1605" i="1"/>
  <c r="H1607" i="1" s="1"/>
  <c r="L1606" i="1"/>
  <c r="H1608" i="1" s="1"/>
  <c r="L1607" i="1"/>
  <c r="H1609" i="1" s="1"/>
  <c r="L1608" i="1"/>
  <c r="H1610" i="1" s="1"/>
  <c r="L1609" i="1"/>
  <c r="H1611" i="1" s="1"/>
  <c r="L1610" i="1"/>
  <c r="H1612" i="1" s="1"/>
  <c r="L1611" i="1"/>
  <c r="H1613" i="1" s="1"/>
  <c r="L1612" i="1"/>
  <c r="H1614" i="1" s="1"/>
  <c r="L1613" i="1"/>
  <c r="H1615" i="1" s="1"/>
  <c r="L1614" i="1"/>
  <c r="H1616" i="1" s="1"/>
  <c r="L1615" i="1"/>
  <c r="H1617" i="1" s="1"/>
  <c r="L1616" i="1"/>
  <c r="H1618" i="1" s="1"/>
  <c r="L1617" i="1"/>
  <c r="H1619" i="1" s="1"/>
  <c r="L1618" i="1"/>
  <c r="H1620" i="1" s="1"/>
  <c r="L1619" i="1"/>
  <c r="H1621" i="1" s="1"/>
  <c r="L1620" i="1"/>
  <c r="H1622" i="1" s="1"/>
  <c r="L1621" i="1"/>
  <c r="H1623" i="1" s="1"/>
  <c r="L1622" i="1"/>
  <c r="H1624" i="1" s="1"/>
  <c r="L1623" i="1"/>
  <c r="H1625" i="1" s="1"/>
  <c r="L1624" i="1"/>
  <c r="H1626" i="1" s="1"/>
  <c r="L1625" i="1"/>
  <c r="H1627" i="1" s="1"/>
  <c r="L1626" i="1"/>
  <c r="H1628" i="1" s="1"/>
  <c r="L1627" i="1"/>
  <c r="H1629" i="1" s="1"/>
  <c r="L1628" i="1"/>
  <c r="H1630" i="1" s="1"/>
  <c r="L1629" i="1"/>
  <c r="H1631" i="1" s="1"/>
  <c r="L1630" i="1"/>
  <c r="H1632" i="1" s="1"/>
  <c r="L1631" i="1"/>
  <c r="H1633" i="1" s="1"/>
  <c r="L1632" i="1"/>
  <c r="H1634" i="1" s="1"/>
  <c r="L1633" i="1"/>
  <c r="H1635" i="1" s="1"/>
  <c r="L1634" i="1"/>
  <c r="H1636" i="1" s="1"/>
  <c r="L1635" i="1"/>
  <c r="H1637" i="1" s="1"/>
  <c r="L1636" i="1"/>
  <c r="H1638" i="1" s="1"/>
  <c r="L1637" i="1"/>
  <c r="H1639" i="1" s="1"/>
  <c r="L1638" i="1"/>
  <c r="H1640" i="1" s="1"/>
  <c r="L1639" i="1"/>
  <c r="H1641" i="1" s="1"/>
  <c r="L1640" i="1"/>
  <c r="H1642" i="1" s="1"/>
  <c r="L1641" i="1"/>
  <c r="H1643" i="1" s="1"/>
  <c r="L1642" i="1"/>
  <c r="H1644" i="1" s="1"/>
  <c r="L1643" i="1"/>
  <c r="H1645" i="1" s="1"/>
  <c r="L1644" i="1"/>
  <c r="H1646" i="1" s="1"/>
  <c r="L1645" i="1"/>
  <c r="H1647" i="1" s="1"/>
  <c r="L1646" i="1"/>
  <c r="H1648" i="1" s="1"/>
  <c r="L1647" i="1"/>
  <c r="H1649" i="1" s="1"/>
  <c r="L1648" i="1"/>
  <c r="H1650" i="1" s="1"/>
  <c r="L1649" i="1"/>
  <c r="H1651" i="1" s="1"/>
  <c r="L1650" i="1"/>
  <c r="H1652" i="1" s="1"/>
  <c r="L1651" i="1"/>
  <c r="H1653" i="1" s="1"/>
  <c r="L1652" i="1"/>
  <c r="H1654" i="1" s="1"/>
  <c r="L1653" i="1"/>
  <c r="H1655" i="1" s="1"/>
  <c r="L1654" i="1"/>
  <c r="H1656" i="1" s="1"/>
  <c r="L1655" i="1"/>
  <c r="H1657" i="1" s="1"/>
  <c r="L1656" i="1"/>
  <c r="H1658" i="1" s="1"/>
  <c r="L1657" i="1"/>
  <c r="H1659" i="1" s="1"/>
  <c r="L1658" i="1"/>
  <c r="H1660" i="1" s="1"/>
  <c r="L1659" i="1"/>
  <c r="H1661" i="1" s="1"/>
  <c r="L1660" i="1"/>
  <c r="H1662" i="1" s="1"/>
  <c r="L1661" i="1"/>
  <c r="H1663" i="1" s="1"/>
  <c r="L1662" i="1"/>
  <c r="H1664" i="1" s="1"/>
  <c r="L1663" i="1"/>
  <c r="H1665" i="1" s="1"/>
  <c r="L1664" i="1"/>
  <c r="H1666" i="1" s="1"/>
  <c r="L1665" i="1"/>
  <c r="H1667" i="1" s="1"/>
  <c r="L1666" i="1"/>
  <c r="H1668" i="1" s="1"/>
  <c r="L1667" i="1"/>
  <c r="H1669" i="1" s="1"/>
  <c r="L1668" i="1"/>
  <c r="H1670" i="1" s="1"/>
  <c r="L1669" i="1"/>
  <c r="H1671" i="1" s="1"/>
  <c r="L1670" i="1"/>
  <c r="H1672" i="1" s="1"/>
  <c r="L1671" i="1"/>
  <c r="H1673" i="1" s="1"/>
  <c r="L1672" i="1"/>
  <c r="H1674" i="1" s="1"/>
  <c r="L1673" i="1"/>
  <c r="H1675" i="1" s="1"/>
  <c r="L1674" i="1"/>
  <c r="H1676" i="1" s="1"/>
  <c r="L1675" i="1"/>
  <c r="H1677" i="1" s="1"/>
  <c r="L1676" i="1"/>
  <c r="H1678" i="1" s="1"/>
  <c r="L1677" i="1"/>
  <c r="H1679" i="1" s="1"/>
  <c r="L1678" i="1"/>
  <c r="H1680" i="1" s="1"/>
  <c r="L1679" i="1"/>
  <c r="H1681" i="1" s="1"/>
  <c r="L1680" i="1"/>
  <c r="H1682" i="1" s="1"/>
  <c r="L1681" i="1"/>
  <c r="H1683" i="1" s="1"/>
  <c r="L1682" i="1"/>
  <c r="H1684" i="1" s="1"/>
  <c r="L1683" i="1"/>
  <c r="H1685" i="1" s="1"/>
  <c r="L1684" i="1"/>
  <c r="H1686" i="1" s="1"/>
  <c r="L1685" i="1"/>
  <c r="H1687" i="1" s="1"/>
  <c r="L1686" i="1"/>
  <c r="H1688" i="1" s="1"/>
  <c r="L1687" i="1"/>
  <c r="H1689" i="1" s="1"/>
  <c r="L1688" i="1"/>
  <c r="H1690" i="1" s="1"/>
  <c r="L1689" i="1"/>
  <c r="H1691" i="1" s="1"/>
  <c r="L1690" i="1"/>
  <c r="H1692" i="1" s="1"/>
  <c r="L1691" i="1"/>
  <c r="H1693" i="1" s="1"/>
  <c r="L1692" i="1"/>
  <c r="H1694" i="1" s="1"/>
  <c r="L1693" i="1"/>
  <c r="H1695" i="1" s="1"/>
  <c r="L1694" i="1"/>
  <c r="H1696" i="1" s="1"/>
  <c r="L1695" i="1"/>
  <c r="H1697" i="1" s="1"/>
  <c r="L1696" i="1"/>
  <c r="H1698" i="1" s="1"/>
  <c r="L1697" i="1"/>
  <c r="H1699" i="1" s="1"/>
  <c r="L1698" i="1"/>
  <c r="H1700" i="1" s="1"/>
  <c r="L1699" i="1"/>
  <c r="H1701" i="1" s="1"/>
  <c r="L1700" i="1"/>
  <c r="H1702" i="1" s="1"/>
  <c r="L1701" i="1"/>
  <c r="H1703" i="1" s="1"/>
  <c r="L1702" i="1"/>
  <c r="H1704" i="1" s="1"/>
  <c r="L1703" i="1"/>
  <c r="H1705" i="1" s="1"/>
  <c r="L1704" i="1"/>
  <c r="H1706" i="1" s="1"/>
  <c r="L1705" i="1"/>
  <c r="H1707" i="1" s="1"/>
  <c r="L1706" i="1"/>
  <c r="H1708" i="1" s="1"/>
  <c r="L1707" i="1"/>
  <c r="H1709" i="1" s="1"/>
  <c r="L1708" i="1"/>
  <c r="H1710" i="1" s="1"/>
  <c r="L1709" i="1"/>
  <c r="H1711" i="1" s="1"/>
  <c r="L1710" i="1"/>
  <c r="H1712" i="1" s="1"/>
  <c r="L1711" i="1"/>
  <c r="H1713" i="1" s="1"/>
  <c r="L1712" i="1"/>
  <c r="H1714" i="1" s="1"/>
  <c r="L1713" i="1"/>
  <c r="H1715" i="1" s="1"/>
  <c r="L1714" i="1"/>
  <c r="H1716" i="1" s="1"/>
  <c r="L1715" i="1"/>
  <c r="H1717" i="1" s="1"/>
  <c r="L1716" i="1"/>
  <c r="H1718" i="1" s="1"/>
  <c r="L1717" i="1"/>
  <c r="H1719" i="1" s="1"/>
  <c r="L1718" i="1"/>
  <c r="H1720" i="1" s="1"/>
  <c r="L1719" i="1"/>
  <c r="H1721" i="1" s="1"/>
  <c r="L1720" i="1"/>
  <c r="H1722" i="1" s="1"/>
  <c r="L1721" i="1"/>
  <c r="H1723" i="1" s="1"/>
  <c r="L1722" i="1"/>
  <c r="H1724" i="1" s="1"/>
  <c r="L1723" i="1"/>
  <c r="H1725" i="1" s="1"/>
  <c r="L1724" i="1"/>
  <c r="H1726" i="1" s="1"/>
  <c r="L1725" i="1"/>
  <c r="H1727" i="1" s="1"/>
  <c r="L1726" i="1"/>
  <c r="H1728" i="1" s="1"/>
  <c r="L1727" i="1"/>
  <c r="H1729" i="1" s="1"/>
  <c r="L1728" i="1"/>
  <c r="H1730" i="1" s="1"/>
  <c r="L1729" i="1"/>
  <c r="H1731" i="1" s="1"/>
  <c r="L1730" i="1"/>
  <c r="H1732" i="1" s="1"/>
  <c r="L1731" i="1"/>
  <c r="H1733" i="1" s="1"/>
  <c r="L1732" i="1"/>
  <c r="H1734" i="1" s="1"/>
  <c r="L1733" i="1"/>
  <c r="H1735" i="1" s="1"/>
  <c r="L1734" i="1"/>
  <c r="H1736" i="1" s="1"/>
  <c r="L1735" i="1"/>
  <c r="H1737" i="1" s="1"/>
  <c r="L1736" i="1"/>
  <c r="H1738" i="1" s="1"/>
  <c r="L1737" i="1"/>
  <c r="H1739" i="1" s="1"/>
  <c r="L1738" i="1"/>
  <c r="H1740" i="1" s="1"/>
  <c r="L1739" i="1"/>
  <c r="H1741" i="1" s="1"/>
  <c r="L1740" i="1"/>
  <c r="H1742" i="1" s="1"/>
  <c r="L1741" i="1"/>
  <c r="H1743" i="1" s="1"/>
  <c r="L1742" i="1"/>
  <c r="H1744" i="1" s="1"/>
  <c r="L1743" i="1"/>
  <c r="H1745" i="1" s="1"/>
  <c r="L1744" i="1"/>
  <c r="H1746" i="1" s="1"/>
  <c r="L1745" i="1"/>
  <c r="H1747" i="1" s="1"/>
  <c r="L1746" i="1"/>
  <c r="H1748" i="1" s="1"/>
  <c r="L1747" i="1"/>
  <c r="H1749" i="1" s="1"/>
  <c r="L1748" i="1"/>
  <c r="H1750" i="1" s="1"/>
  <c r="L1749" i="1"/>
  <c r="H1751" i="1" s="1"/>
  <c r="L1750" i="1"/>
  <c r="H1752" i="1" s="1"/>
  <c r="L1751" i="1"/>
  <c r="H1753" i="1" s="1"/>
  <c r="L1752" i="1"/>
  <c r="H1754" i="1" s="1"/>
  <c r="L1753" i="1"/>
  <c r="H1755" i="1" s="1"/>
  <c r="L1754" i="1"/>
  <c r="H1756" i="1" s="1"/>
  <c r="L1755" i="1"/>
  <c r="H1757" i="1" s="1"/>
  <c r="L1756" i="1"/>
  <c r="H1758" i="1" s="1"/>
  <c r="L1757" i="1"/>
  <c r="H1759" i="1" s="1"/>
  <c r="L1758" i="1"/>
  <c r="H1760" i="1" s="1"/>
  <c r="L1759" i="1"/>
  <c r="H1761" i="1" s="1"/>
  <c r="L1760" i="1"/>
  <c r="H1762" i="1" s="1"/>
  <c r="L1761" i="1"/>
  <c r="H1763" i="1" s="1"/>
  <c r="L1762" i="1"/>
  <c r="H1764" i="1" s="1"/>
  <c r="L1763" i="1"/>
  <c r="H1765" i="1" s="1"/>
  <c r="L1764" i="1"/>
  <c r="H1766" i="1" s="1"/>
  <c r="L1765" i="1"/>
  <c r="H1767" i="1" s="1"/>
  <c r="L1766" i="1"/>
  <c r="H1768" i="1" s="1"/>
  <c r="L1767" i="1"/>
  <c r="H1769" i="1" s="1"/>
  <c r="L1768" i="1"/>
  <c r="H1770" i="1" s="1"/>
  <c r="L1769" i="1"/>
  <c r="H1771" i="1" s="1"/>
  <c r="L1770" i="1"/>
  <c r="H1772" i="1" s="1"/>
  <c r="L1771" i="1"/>
  <c r="H1773" i="1" s="1"/>
  <c r="L1772" i="1"/>
  <c r="H1774" i="1" s="1"/>
  <c r="L1773" i="1"/>
  <c r="H1775" i="1" s="1"/>
  <c r="L1774" i="1"/>
  <c r="H1776" i="1" s="1"/>
  <c r="L1775" i="1"/>
  <c r="H1777" i="1" s="1"/>
  <c r="L1776" i="1"/>
  <c r="H1778" i="1" s="1"/>
  <c r="L1777" i="1"/>
  <c r="H1779" i="1" s="1"/>
  <c r="L1778" i="1"/>
  <c r="H1780" i="1" s="1"/>
  <c r="L1779" i="1"/>
  <c r="H1781" i="1" s="1"/>
  <c r="L1780" i="1"/>
  <c r="H1782" i="1" s="1"/>
  <c r="L1781" i="1"/>
  <c r="H1783" i="1" s="1"/>
  <c r="L1782" i="1"/>
  <c r="H1784" i="1" s="1"/>
  <c r="L1783" i="1"/>
  <c r="H1785" i="1" s="1"/>
  <c r="L1784" i="1"/>
  <c r="H1786" i="1" s="1"/>
  <c r="L1785" i="1"/>
  <c r="H1787" i="1" s="1"/>
  <c r="L1786" i="1"/>
  <c r="H1788" i="1" s="1"/>
  <c r="L1787" i="1"/>
  <c r="H1789" i="1" s="1"/>
  <c r="L1788" i="1"/>
  <c r="H1790" i="1" s="1"/>
  <c r="L1789" i="1"/>
  <c r="H1791" i="1" s="1"/>
  <c r="L1790" i="1"/>
  <c r="H1792" i="1" s="1"/>
  <c r="L1791" i="1"/>
  <c r="H1793" i="1" s="1"/>
  <c r="L1792" i="1"/>
  <c r="H1794" i="1" s="1"/>
  <c r="L1793" i="1"/>
  <c r="H1795" i="1" s="1"/>
  <c r="L1794" i="1"/>
  <c r="H1796" i="1" s="1"/>
  <c r="L1795" i="1"/>
  <c r="H1797" i="1" s="1"/>
  <c r="L1796" i="1"/>
  <c r="H1798" i="1" s="1"/>
  <c r="L1797" i="1"/>
  <c r="H1799" i="1" s="1"/>
  <c r="L1798" i="1"/>
  <c r="H1800" i="1" s="1"/>
  <c r="L1799" i="1"/>
  <c r="H1801" i="1" s="1"/>
  <c r="L1800" i="1"/>
  <c r="H1802" i="1" s="1"/>
  <c r="L1801" i="1"/>
  <c r="H1803" i="1" s="1"/>
  <c r="L1802" i="1"/>
  <c r="H1804" i="1" s="1"/>
  <c r="L1803" i="1"/>
  <c r="H1805" i="1" s="1"/>
  <c r="L1804" i="1"/>
  <c r="H1806" i="1" s="1"/>
  <c r="L1805" i="1"/>
  <c r="H1807" i="1" s="1"/>
  <c r="L1806" i="1"/>
  <c r="H1808" i="1" s="1"/>
  <c r="L1807" i="1"/>
  <c r="H1809" i="1" s="1"/>
  <c r="L1808" i="1"/>
  <c r="H1810" i="1" s="1"/>
  <c r="L1809" i="1"/>
  <c r="H1811" i="1" s="1"/>
  <c r="L1810" i="1"/>
  <c r="H1812" i="1" s="1"/>
  <c r="L1811" i="1"/>
  <c r="H1813" i="1" s="1"/>
  <c r="L1812" i="1"/>
  <c r="H1814" i="1" s="1"/>
  <c r="L1813" i="1"/>
  <c r="H1815" i="1" s="1"/>
  <c r="L1814" i="1"/>
  <c r="H1816" i="1" s="1"/>
  <c r="L1815" i="1"/>
  <c r="H1817" i="1" s="1"/>
  <c r="L1816" i="1"/>
  <c r="H1818" i="1" s="1"/>
  <c r="L1817" i="1"/>
  <c r="H1819" i="1" s="1"/>
  <c r="L1818" i="1"/>
  <c r="H1820" i="1" s="1"/>
  <c r="L1819" i="1"/>
  <c r="H1821" i="1" s="1"/>
  <c r="L1820" i="1"/>
  <c r="H1822" i="1" s="1"/>
  <c r="L1821" i="1"/>
  <c r="H1823" i="1" s="1"/>
  <c r="L1822" i="1"/>
  <c r="H1824" i="1" s="1"/>
  <c r="L1823" i="1"/>
  <c r="H1825" i="1" s="1"/>
  <c r="L1824" i="1"/>
  <c r="H1826" i="1" s="1"/>
  <c r="L1825" i="1"/>
  <c r="H1827" i="1" s="1"/>
  <c r="L1826" i="1"/>
  <c r="H1828" i="1" s="1"/>
  <c r="L1827" i="1"/>
  <c r="H1829" i="1" s="1"/>
  <c r="L1828" i="1"/>
  <c r="H1830" i="1" s="1"/>
  <c r="L1829" i="1"/>
  <c r="H1831" i="1" s="1"/>
  <c r="L1830" i="1"/>
  <c r="H1832" i="1" s="1"/>
  <c r="L1831" i="1"/>
  <c r="H1833" i="1" s="1"/>
  <c r="L1832" i="1"/>
  <c r="H1834" i="1" s="1"/>
  <c r="L1833" i="1"/>
  <c r="H1835" i="1" s="1"/>
  <c r="L1834" i="1"/>
  <c r="H1836" i="1" s="1"/>
  <c r="L1835" i="1"/>
  <c r="H1837" i="1" s="1"/>
  <c r="L1836" i="1"/>
  <c r="H1838" i="1" s="1"/>
  <c r="L1837" i="1"/>
  <c r="H1839" i="1" s="1"/>
  <c r="L1838" i="1"/>
  <c r="H1840" i="1" s="1"/>
  <c r="L1839" i="1"/>
  <c r="H1841" i="1" s="1"/>
  <c r="L1840" i="1"/>
  <c r="H1842" i="1" s="1"/>
  <c r="L1841" i="1"/>
  <c r="H1843" i="1" s="1"/>
  <c r="L1842" i="1"/>
  <c r="H1844" i="1" s="1"/>
  <c r="L1843" i="1"/>
  <c r="H1845" i="1" s="1"/>
  <c r="L1844" i="1"/>
  <c r="H1846" i="1" s="1"/>
  <c r="L1845" i="1"/>
  <c r="H1847" i="1" s="1"/>
  <c r="L1846" i="1"/>
  <c r="H1848" i="1" s="1"/>
  <c r="L1847" i="1"/>
  <c r="H1849" i="1" s="1"/>
  <c r="L1848" i="1"/>
  <c r="H1850" i="1" s="1"/>
  <c r="L1849" i="1"/>
  <c r="H1851" i="1" s="1"/>
  <c r="L1850" i="1"/>
  <c r="H1852" i="1" s="1"/>
  <c r="L1851" i="1"/>
  <c r="H1853" i="1" s="1"/>
  <c r="L1852" i="1"/>
  <c r="H1854" i="1" s="1"/>
  <c r="L1853" i="1"/>
  <c r="H1855" i="1" s="1"/>
  <c r="L1854" i="1"/>
  <c r="H1856" i="1" s="1"/>
  <c r="L1855" i="1"/>
  <c r="H1857" i="1" s="1"/>
  <c r="L1856" i="1"/>
  <c r="H1858" i="1" s="1"/>
  <c r="L1857" i="1"/>
  <c r="H1859" i="1" s="1"/>
  <c r="L1858" i="1"/>
  <c r="H1860" i="1" s="1"/>
  <c r="L1859" i="1"/>
  <c r="H1861" i="1" s="1"/>
  <c r="L1860" i="1"/>
  <c r="H1862" i="1" s="1"/>
  <c r="L1861" i="1"/>
  <c r="H1863" i="1" s="1"/>
  <c r="L1862" i="1"/>
  <c r="H1864" i="1" s="1"/>
  <c r="L1863" i="1"/>
  <c r="H1865" i="1" s="1"/>
  <c r="L1864" i="1"/>
  <c r="H1866" i="1" s="1"/>
  <c r="L1865" i="1"/>
  <c r="H1867" i="1" s="1"/>
  <c r="L1866" i="1"/>
  <c r="H1868" i="1" s="1"/>
  <c r="L1867" i="1"/>
  <c r="H1869" i="1" s="1"/>
  <c r="L1868" i="1"/>
  <c r="H1870" i="1" s="1"/>
  <c r="L1869" i="1"/>
  <c r="H1871" i="1" s="1"/>
  <c r="L1870" i="1"/>
  <c r="H1872" i="1" s="1"/>
  <c r="L1871" i="1"/>
  <c r="H1873" i="1" s="1"/>
  <c r="L1872" i="1"/>
  <c r="H1874" i="1" s="1"/>
  <c r="L1873" i="1"/>
  <c r="H1875" i="1" s="1"/>
  <c r="L1874" i="1"/>
  <c r="H1876" i="1" s="1"/>
  <c r="L1875" i="1"/>
  <c r="H1877" i="1" s="1"/>
  <c r="L1876" i="1"/>
  <c r="H1878" i="1" s="1"/>
  <c r="L1877" i="1"/>
  <c r="H1879" i="1" s="1"/>
  <c r="L1878" i="1"/>
  <c r="H1880" i="1" s="1"/>
  <c r="L1879" i="1"/>
  <c r="H1881" i="1" s="1"/>
  <c r="L1880" i="1"/>
  <c r="H1882" i="1" s="1"/>
  <c r="L1881" i="1"/>
  <c r="H1883" i="1" s="1"/>
  <c r="L1882" i="1"/>
  <c r="H1884" i="1" s="1"/>
  <c r="L1883" i="1"/>
  <c r="H1885" i="1" s="1"/>
  <c r="L1884" i="1"/>
  <c r="H1886" i="1" s="1"/>
  <c r="L1885" i="1"/>
  <c r="H1887" i="1" s="1"/>
  <c r="L1886" i="1"/>
  <c r="H1888" i="1" s="1"/>
  <c r="L1887" i="1"/>
  <c r="H1889" i="1" s="1"/>
  <c r="L1888" i="1"/>
  <c r="H1890" i="1" s="1"/>
  <c r="L1889" i="1"/>
  <c r="H1891" i="1" s="1"/>
  <c r="L1890" i="1"/>
  <c r="H1892" i="1" s="1"/>
  <c r="L1891" i="1"/>
  <c r="H1893" i="1" s="1"/>
  <c r="L1892" i="1"/>
  <c r="H1894" i="1" s="1"/>
  <c r="L1893" i="1"/>
  <c r="H1895" i="1" s="1"/>
  <c r="L1894" i="1"/>
  <c r="H1896" i="1" s="1"/>
  <c r="L1895" i="1"/>
  <c r="H1897" i="1" s="1"/>
  <c r="L1896" i="1"/>
  <c r="H1898" i="1" s="1"/>
  <c r="L1897" i="1"/>
  <c r="H1899" i="1" s="1"/>
  <c r="L1898" i="1"/>
  <c r="H1900" i="1" s="1"/>
  <c r="L1899" i="1"/>
  <c r="H1901" i="1" s="1"/>
  <c r="L1900" i="1"/>
  <c r="H1902" i="1" s="1"/>
  <c r="L1901" i="1"/>
  <c r="H1903" i="1" s="1"/>
  <c r="L1902" i="1"/>
  <c r="H1904" i="1" s="1"/>
  <c r="L1903" i="1"/>
  <c r="H1905" i="1" s="1"/>
  <c r="L1904" i="1"/>
  <c r="H1906" i="1" s="1"/>
  <c r="L1905" i="1"/>
  <c r="H1907" i="1" s="1"/>
  <c r="L1906" i="1"/>
  <c r="H1908" i="1" s="1"/>
  <c r="L1907" i="1"/>
  <c r="H1909" i="1" s="1"/>
  <c r="L1908" i="1"/>
  <c r="H1910" i="1" s="1"/>
  <c r="L1909" i="1"/>
  <c r="H1911" i="1" s="1"/>
  <c r="L1910" i="1"/>
  <c r="H1912" i="1" s="1"/>
  <c r="L1911" i="1"/>
  <c r="H1913" i="1" s="1"/>
  <c r="L1912" i="1"/>
  <c r="H1914" i="1" s="1"/>
  <c r="L1913" i="1"/>
  <c r="H1915" i="1" s="1"/>
  <c r="L1914" i="1"/>
  <c r="H1916" i="1" s="1"/>
  <c r="L1915" i="1"/>
  <c r="H1917" i="1" s="1"/>
  <c r="L1916" i="1"/>
  <c r="H1918" i="1" s="1"/>
  <c r="L1917" i="1"/>
  <c r="H1919" i="1" s="1"/>
  <c r="L1918" i="1"/>
  <c r="H1920" i="1" s="1"/>
  <c r="L1919" i="1"/>
  <c r="H1921" i="1" s="1"/>
  <c r="L1920" i="1"/>
  <c r="H1922" i="1" s="1"/>
  <c r="L1921" i="1"/>
  <c r="H1923" i="1" s="1"/>
  <c r="L1922" i="1"/>
  <c r="H1924" i="1" s="1"/>
  <c r="L1923" i="1"/>
  <c r="H1925" i="1" s="1"/>
  <c r="L1924" i="1"/>
  <c r="H1926" i="1" s="1"/>
  <c r="L1925" i="1"/>
  <c r="H1927" i="1" s="1"/>
  <c r="L1926" i="1"/>
  <c r="H1928" i="1" s="1"/>
  <c r="L1927" i="1"/>
  <c r="H1929" i="1" s="1"/>
  <c r="L1928" i="1"/>
  <c r="H1930" i="1" s="1"/>
  <c r="L1929" i="1"/>
  <c r="H1931" i="1" s="1"/>
  <c r="L1930" i="1"/>
  <c r="H1932" i="1" s="1"/>
  <c r="L1931" i="1"/>
  <c r="H1933" i="1" s="1"/>
  <c r="L1932" i="1"/>
  <c r="H1934" i="1" s="1"/>
  <c r="L1933" i="1"/>
  <c r="H1935" i="1" s="1"/>
  <c r="L1934" i="1"/>
  <c r="H1936" i="1" s="1"/>
  <c r="L1935" i="1"/>
  <c r="H1937" i="1" s="1"/>
  <c r="L1936" i="1"/>
  <c r="H1938" i="1" s="1"/>
  <c r="L1937" i="1"/>
  <c r="H1939" i="1" s="1"/>
  <c r="L1938" i="1"/>
  <c r="H1940" i="1" s="1"/>
  <c r="L1939" i="1"/>
  <c r="H1941" i="1" s="1"/>
  <c r="L1940" i="1"/>
  <c r="H1942" i="1" s="1"/>
  <c r="L1941" i="1"/>
  <c r="H1943" i="1" s="1"/>
  <c r="L1942" i="1"/>
  <c r="H1944" i="1" s="1"/>
  <c r="L1943" i="1"/>
  <c r="H1945" i="1" s="1"/>
  <c r="L1944" i="1"/>
  <c r="H1946" i="1" s="1"/>
  <c r="L1945" i="1"/>
  <c r="H1947" i="1" s="1"/>
  <c r="L1946" i="1"/>
  <c r="H1948" i="1" s="1"/>
  <c r="L1947" i="1"/>
  <c r="H1949" i="1" s="1"/>
  <c r="L1948" i="1"/>
  <c r="H1950" i="1" s="1"/>
  <c r="L1949" i="1"/>
  <c r="H1951" i="1" s="1"/>
  <c r="L1950" i="1"/>
  <c r="H1952" i="1" s="1"/>
  <c r="L1951" i="1"/>
  <c r="H1953" i="1" s="1"/>
  <c r="L1952" i="1"/>
  <c r="H1954" i="1" s="1"/>
  <c r="L1953" i="1"/>
  <c r="H1955" i="1" s="1"/>
  <c r="L1954" i="1"/>
  <c r="H1956" i="1" s="1"/>
  <c r="L1955" i="1"/>
  <c r="H1957" i="1" s="1"/>
  <c r="L1956" i="1"/>
  <c r="H1958" i="1" s="1"/>
  <c r="L1957" i="1"/>
  <c r="H1959" i="1" s="1"/>
  <c r="L1958" i="1"/>
  <c r="H1960" i="1" s="1"/>
  <c r="L1959" i="1"/>
  <c r="H1961" i="1" s="1"/>
  <c r="L1960" i="1"/>
  <c r="H1962" i="1" s="1"/>
  <c r="L1961" i="1"/>
  <c r="H1963" i="1" s="1"/>
  <c r="L1962" i="1"/>
  <c r="H1964" i="1" s="1"/>
  <c r="L1963" i="1"/>
  <c r="H1965" i="1" s="1"/>
  <c r="L1964" i="1"/>
  <c r="H1966" i="1" s="1"/>
  <c r="L1965" i="1"/>
  <c r="H1967" i="1" s="1"/>
  <c r="L1966" i="1"/>
  <c r="H1968" i="1" s="1"/>
  <c r="L1967" i="1"/>
  <c r="H1969" i="1" s="1"/>
  <c r="L1968" i="1"/>
  <c r="H1970" i="1" s="1"/>
  <c r="L1969" i="1"/>
  <c r="H1971" i="1" s="1"/>
  <c r="L1970" i="1"/>
  <c r="H1972" i="1" s="1"/>
  <c r="L1971" i="1"/>
  <c r="H1973" i="1" s="1"/>
  <c r="L1972" i="1"/>
  <c r="H1974" i="1" s="1"/>
  <c r="L1973" i="1"/>
  <c r="H1975" i="1" s="1"/>
  <c r="L1974" i="1"/>
  <c r="H1976" i="1" s="1"/>
  <c r="L1975" i="1"/>
  <c r="H1977" i="1" s="1"/>
  <c r="L1976" i="1"/>
  <c r="H1978" i="1" s="1"/>
  <c r="L1977" i="1"/>
  <c r="H1979" i="1" s="1"/>
  <c r="L1978" i="1"/>
  <c r="H1980" i="1" s="1"/>
  <c r="L1979" i="1"/>
  <c r="H1981" i="1" s="1"/>
  <c r="L1980" i="1"/>
  <c r="H1982" i="1" s="1"/>
  <c r="L1981" i="1"/>
  <c r="H1983" i="1" s="1"/>
  <c r="L1982" i="1"/>
  <c r="H1984" i="1" s="1"/>
  <c r="L1983" i="1"/>
  <c r="H1985" i="1" s="1"/>
  <c r="L1984" i="1"/>
  <c r="H1986" i="1" s="1"/>
  <c r="L1985" i="1"/>
  <c r="H1987" i="1" s="1"/>
  <c r="L1986" i="1"/>
  <c r="H1988" i="1" s="1"/>
  <c r="L1987" i="1"/>
  <c r="H1989" i="1" s="1"/>
  <c r="L1988" i="1"/>
  <c r="H1990" i="1" s="1"/>
  <c r="L1989" i="1"/>
  <c r="H1991" i="1" s="1"/>
  <c r="L1990" i="1"/>
  <c r="H1992" i="1" s="1"/>
  <c r="L1991" i="1"/>
  <c r="H1993" i="1" s="1"/>
  <c r="L1992" i="1"/>
  <c r="H1994" i="1" s="1"/>
  <c r="L1993" i="1"/>
  <c r="H1995" i="1" s="1"/>
  <c r="L1994" i="1"/>
  <c r="H1996" i="1" s="1"/>
  <c r="L1995" i="1"/>
  <c r="H1997" i="1" s="1"/>
  <c r="L1996" i="1"/>
  <c r="H1998" i="1" s="1"/>
  <c r="L1997" i="1"/>
  <c r="H1999" i="1" s="1"/>
  <c r="L1998" i="1"/>
  <c r="H2000" i="1" s="1"/>
  <c r="L1999" i="1"/>
  <c r="H2001" i="1" s="1"/>
  <c r="L2000" i="1"/>
  <c r="H2002" i="1" s="1"/>
  <c r="L2001" i="1"/>
  <c r="H2003" i="1" s="1"/>
  <c r="L2002" i="1"/>
  <c r="H2004" i="1" s="1"/>
  <c r="L2003" i="1"/>
  <c r="H2005" i="1" s="1"/>
  <c r="L2004" i="1"/>
  <c r="H2006" i="1" s="1"/>
  <c r="L2005" i="1"/>
  <c r="H2007" i="1" s="1"/>
  <c r="L2006" i="1"/>
  <c r="H2008" i="1" s="1"/>
  <c r="L2007" i="1"/>
  <c r="H2009" i="1" s="1"/>
  <c r="L2008" i="1"/>
  <c r="H2010" i="1" s="1"/>
  <c r="L2009" i="1"/>
  <c r="H2011" i="1" s="1"/>
  <c r="L2010" i="1"/>
  <c r="H2012" i="1" s="1"/>
  <c r="L2011" i="1"/>
  <c r="H2013" i="1" s="1"/>
  <c r="L2012" i="1"/>
  <c r="H2014" i="1" s="1"/>
  <c r="L2013" i="1"/>
  <c r="H2015" i="1" s="1"/>
  <c r="L2014" i="1"/>
  <c r="H2016" i="1" s="1"/>
  <c r="L2015" i="1"/>
  <c r="H2017" i="1" s="1"/>
  <c r="L2016" i="1"/>
  <c r="H2018" i="1" s="1"/>
  <c r="L2017" i="1"/>
  <c r="H2019" i="1" s="1"/>
  <c r="L2018" i="1"/>
  <c r="H2020" i="1" s="1"/>
  <c r="L2019" i="1"/>
  <c r="H2021" i="1" s="1"/>
  <c r="L2020" i="1"/>
  <c r="H2022" i="1" s="1"/>
  <c r="L2021" i="1"/>
  <c r="H2023" i="1" s="1"/>
  <c r="L2022" i="1"/>
  <c r="H2024" i="1" s="1"/>
  <c r="L2023" i="1"/>
  <c r="H2025" i="1" s="1"/>
  <c r="L2024" i="1"/>
  <c r="H2026" i="1" s="1"/>
  <c r="L2025" i="1"/>
  <c r="H2027" i="1" s="1"/>
  <c r="L2026" i="1"/>
  <c r="H2028" i="1" s="1"/>
  <c r="L2027" i="1"/>
  <c r="H2029" i="1" s="1"/>
  <c r="L2028" i="1"/>
  <c r="H2030" i="1" s="1"/>
  <c r="L2029" i="1"/>
  <c r="H2031" i="1" s="1"/>
  <c r="L2030" i="1"/>
  <c r="H2032" i="1" s="1"/>
  <c r="L2031" i="1"/>
  <c r="H2033" i="1" s="1"/>
  <c r="L2032" i="1"/>
  <c r="H2034" i="1" s="1"/>
  <c r="L2033" i="1"/>
  <c r="H2035" i="1" s="1"/>
  <c r="L2034" i="1"/>
  <c r="H2036" i="1" s="1"/>
  <c r="L2035" i="1"/>
  <c r="H2037" i="1" s="1"/>
  <c r="L2036" i="1"/>
  <c r="H2038" i="1" s="1"/>
  <c r="L2037" i="1"/>
  <c r="H2039" i="1" s="1"/>
  <c r="L2038" i="1"/>
  <c r="H2040" i="1" s="1"/>
  <c r="L2039" i="1"/>
  <c r="H2041" i="1" s="1"/>
  <c r="L2040" i="1"/>
  <c r="H2042" i="1" s="1"/>
  <c r="L2041" i="1"/>
  <c r="H2043" i="1" s="1"/>
  <c r="L2042" i="1"/>
  <c r="H2044" i="1" s="1"/>
  <c r="L2043" i="1"/>
  <c r="H2045" i="1" s="1"/>
  <c r="L2044" i="1"/>
  <c r="H2046" i="1" s="1"/>
  <c r="L2045" i="1"/>
  <c r="H2047" i="1" s="1"/>
  <c r="L2046" i="1"/>
  <c r="H2048" i="1" s="1"/>
  <c r="L2047" i="1"/>
  <c r="H2049" i="1" s="1"/>
  <c r="L2048" i="1"/>
  <c r="H2050" i="1" s="1"/>
  <c r="L2049" i="1"/>
  <c r="H2051" i="1" s="1"/>
  <c r="L2050" i="1"/>
  <c r="H2052" i="1" s="1"/>
  <c r="L2051" i="1"/>
  <c r="H2053" i="1" s="1"/>
  <c r="L2052" i="1"/>
  <c r="H2054" i="1" s="1"/>
  <c r="L2053" i="1"/>
  <c r="H2055" i="1" s="1"/>
  <c r="L2054" i="1"/>
  <c r="H2056" i="1" s="1"/>
  <c r="L2055" i="1"/>
  <c r="H2057" i="1" s="1"/>
  <c r="L2056" i="1"/>
  <c r="H2058" i="1" s="1"/>
  <c r="L2057" i="1"/>
  <c r="H2059" i="1" s="1"/>
  <c r="L2058" i="1"/>
  <c r="H2060" i="1" s="1"/>
  <c r="L2059" i="1"/>
  <c r="H2061" i="1" s="1"/>
  <c r="L2060" i="1"/>
  <c r="H2062" i="1" s="1"/>
  <c r="L2061" i="1"/>
  <c r="H2063" i="1" s="1"/>
  <c r="L2062" i="1"/>
  <c r="H2064" i="1" s="1"/>
  <c r="L2063" i="1"/>
  <c r="H2065" i="1" s="1"/>
  <c r="L2064" i="1"/>
  <c r="H2066" i="1" s="1"/>
  <c r="L2065" i="1"/>
  <c r="H2067" i="1" s="1"/>
  <c r="L2066" i="1"/>
  <c r="H2068" i="1" s="1"/>
  <c r="L2067" i="1"/>
  <c r="H2069" i="1" s="1"/>
  <c r="L2068" i="1"/>
  <c r="H2070" i="1" s="1"/>
  <c r="L2069" i="1"/>
  <c r="H2071" i="1" s="1"/>
  <c r="L2070" i="1"/>
  <c r="H2072" i="1" s="1"/>
  <c r="L2071" i="1"/>
  <c r="H2073" i="1" s="1"/>
  <c r="L2072" i="1"/>
  <c r="H2074" i="1" s="1"/>
  <c r="L2073" i="1"/>
  <c r="H2075" i="1" s="1"/>
  <c r="L2074" i="1"/>
  <c r="H2076" i="1" s="1"/>
  <c r="L2075" i="1"/>
  <c r="H2077" i="1" s="1"/>
  <c r="L2076" i="1"/>
  <c r="H2078" i="1" s="1"/>
  <c r="L2077" i="1"/>
  <c r="H2079" i="1" s="1"/>
  <c r="L2078" i="1"/>
  <c r="H2080" i="1" s="1"/>
  <c r="L2079" i="1"/>
  <c r="H2081" i="1" s="1"/>
  <c r="L2080" i="1"/>
  <c r="H2082" i="1" s="1"/>
  <c r="L2081" i="1"/>
  <c r="H2083" i="1" s="1"/>
  <c r="L2082" i="1"/>
  <c r="H2084" i="1" s="1"/>
  <c r="L2083" i="1"/>
  <c r="H2085" i="1" s="1"/>
  <c r="L2084" i="1"/>
  <c r="H2086" i="1" s="1"/>
  <c r="L2085" i="1"/>
  <c r="H2087" i="1" s="1"/>
  <c r="L2086" i="1"/>
  <c r="H2088" i="1" s="1"/>
  <c r="L2087" i="1"/>
  <c r="H2089" i="1" s="1"/>
  <c r="L2088" i="1"/>
  <c r="H2090" i="1" s="1"/>
  <c r="L2089" i="1"/>
  <c r="H2091" i="1" s="1"/>
  <c r="L2090" i="1"/>
  <c r="H2092" i="1" s="1"/>
  <c r="L2091" i="1"/>
  <c r="H2093" i="1" s="1"/>
  <c r="L2092" i="1"/>
  <c r="H2094" i="1" s="1"/>
  <c r="L2093" i="1"/>
  <c r="H2095" i="1" s="1"/>
  <c r="L2094" i="1"/>
  <c r="H2096" i="1" s="1"/>
  <c r="L2095" i="1"/>
  <c r="H2097" i="1" s="1"/>
  <c r="L2096" i="1"/>
  <c r="H2098" i="1" s="1"/>
  <c r="L2097" i="1"/>
  <c r="H2099" i="1" s="1"/>
  <c r="L2098" i="1"/>
  <c r="H2100" i="1" s="1"/>
  <c r="L2099" i="1"/>
  <c r="H2101" i="1" s="1"/>
  <c r="L2100" i="1"/>
  <c r="H2102" i="1" s="1"/>
  <c r="L2101" i="1"/>
  <c r="H2103" i="1" s="1"/>
  <c r="L2102" i="1"/>
  <c r="H2104" i="1" s="1"/>
  <c r="L2103" i="1"/>
  <c r="H2105" i="1" s="1"/>
  <c r="L2104" i="1"/>
  <c r="H2106" i="1" s="1"/>
  <c r="L2105" i="1"/>
  <c r="H2107" i="1" s="1"/>
  <c r="L2106" i="1"/>
  <c r="H2108" i="1" s="1"/>
  <c r="L2107" i="1"/>
  <c r="H2109" i="1" s="1"/>
  <c r="L2108" i="1"/>
  <c r="H2110" i="1" s="1"/>
  <c r="L2109" i="1"/>
  <c r="H2111" i="1" s="1"/>
  <c r="L2110" i="1"/>
  <c r="H2112" i="1" s="1"/>
  <c r="L2111" i="1"/>
  <c r="H2113" i="1" s="1"/>
  <c r="L2112" i="1"/>
  <c r="H2114" i="1" s="1"/>
  <c r="L2113" i="1"/>
  <c r="H2115" i="1" s="1"/>
  <c r="L2114" i="1"/>
  <c r="H2116" i="1" s="1"/>
  <c r="L2115" i="1"/>
  <c r="H2117" i="1" s="1"/>
  <c r="L2116" i="1"/>
  <c r="H2118" i="1" s="1"/>
  <c r="L2117" i="1"/>
  <c r="H2119" i="1" s="1"/>
  <c r="L2118" i="1"/>
  <c r="H2120" i="1" s="1"/>
  <c r="L2119" i="1"/>
  <c r="H2121" i="1" s="1"/>
  <c r="L2120" i="1"/>
  <c r="H2122" i="1" s="1"/>
  <c r="L2121" i="1"/>
  <c r="H2123" i="1" s="1"/>
  <c r="L2122" i="1"/>
  <c r="H2124" i="1" s="1"/>
  <c r="L2123" i="1"/>
  <c r="H2125" i="1" s="1"/>
  <c r="L2124" i="1"/>
  <c r="H2126" i="1" s="1"/>
  <c r="L2125" i="1"/>
  <c r="H2127" i="1" s="1"/>
  <c r="L2126" i="1"/>
  <c r="H2128" i="1" s="1"/>
  <c r="L2127" i="1"/>
  <c r="H2129" i="1" s="1"/>
  <c r="L2128" i="1"/>
  <c r="H2130" i="1" s="1"/>
  <c r="L2129" i="1"/>
  <c r="H2131" i="1" s="1"/>
  <c r="L2130" i="1"/>
  <c r="H2132" i="1" s="1"/>
  <c r="L2131" i="1"/>
  <c r="H2133" i="1" s="1"/>
  <c r="L2132" i="1"/>
  <c r="H2134" i="1" s="1"/>
  <c r="L2133" i="1"/>
  <c r="H2135" i="1" s="1"/>
  <c r="L2134" i="1"/>
  <c r="H2136" i="1" s="1"/>
  <c r="L2135" i="1"/>
  <c r="H2137" i="1" s="1"/>
  <c r="L2136" i="1"/>
  <c r="H2138" i="1" s="1"/>
  <c r="L2137" i="1"/>
  <c r="H2139" i="1" s="1"/>
  <c r="L2138" i="1"/>
  <c r="H2140" i="1" s="1"/>
  <c r="L2139" i="1"/>
  <c r="H2141" i="1" s="1"/>
  <c r="L2140" i="1"/>
  <c r="H2142" i="1" s="1"/>
  <c r="L2141" i="1"/>
  <c r="H2143" i="1" s="1"/>
  <c r="L2142" i="1"/>
  <c r="H2144" i="1" s="1"/>
  <c r="L2143" i="1"/>
  <c r="H2145" i="1" s="1"/>
  <c r="L2144" i="1"/>
  <c r="H2146" i="1" s="1"/>
  <c r="L2145" i="1"/>
  <c r="H2147" i="1" s="1"/>
  <c r="L2146" i="1"/>
  <c r="H2148" i="1" s="1"/>
  <c r="L2147" i="1"/>
  <c r="H2149" i="1" s="1"/>
  <c r="L2148" i="1"/>
  <c r="H2150" i="1" s="1"/>
  <c r="L2149" i="1"/>
  <c r="H2151" i="1" s="1"/>
  <c r="L2150" i="1"/>
  <c r="H2152" i="1" s="1"/>
  <c r="L2151" i="1"/>
  <c r="H2153" i="1" s="1"/>
  <c r="L2152" i="1"/>
  <c r="H2154" i="1" s="1"/>
  <c r="L2153" i="1"/>
  <c r="H2155" i="1" s="1"/>
  <c r="L2154" i="1"/>
  <c r="H2156" i="1" s="1"/>
  <c r="L2155" i="1"/>
  <c r="H2157" i="1" s="1"/>
  <c r="L2156" i="1"/>
  <c r="H2158" i="1" s="1"/>
  <c r="L2157" i="1"/>
  <c r="H2159" i="1" s="1"/>
  <c r="L2158" i="1"/>
  <c r="H2160" i="1" s="1"/>
  <c r="L2159" i="1"/>
  <c r="H2161" i="1" s="1"/>
  <c r="L2160" i="1"/>
  <c r="H2162" i="1" s="1"/>
  <c r="L2161" i="1"/>
  <c r="H2163" i="1" s="1"/>
  <c r="L2162" i="1"/>
  <c r="H2164" i="1" s="1"/>
  <c r="L2163" i="1"/>
  <c r="H2165" i="1" s="1"/>
  <c r="L2164" i="1"/>
  <c r="H2166" i="1" s="1"/>
  <c r="L2165" i="1"/>
  <c r="H2167" i="1" s="1"/>
  <c r="L2166" i="1"/>
  <c r="H2168" i="1" s="1"/>
  <c r="L2167" i="1"/>
  <c r="H2169" i="1" s="1"/>
  <c r="L2168" i="1"/>
  <c r="H2170" i="1" s="1"/>
  <c r="L2169" i="1"/>
  <c r="H2171" i="1" s="1"/>
  <c r="L2170" i="1"/>
  <c r="H2172" i="1" s="1"/>
  <c r="L2171" i="1"/>
  <c r="H2173" i="1" s="1"/>
  <c r="L2172" i="1"/>
  <c r="H2174" i="1" s="1"/>
  <c r="L2173" i="1"/>
  <c r="H2175" i="1" s="1"/>
  <c r="L2174" i="1"/>
  <c r="H2176" i="1" s="1"/>
  <c r="L2175" i="1"/>
  <c r="H2177" i="1" s="1"/>
  <c r="L2176" i="1"/>
  <c r="H2178" i="1" s="1"/>
  <c r="L2177" i="1"/>
  <c r="H2179" i="1" s="1"/>
  <c r="L2178" i="1"/>
  <c r="H2180" i="1" s="1"/>
  <c r="L2179" i="1"/>
  <c r="H2181" i="1" s="1"/>
  <c r="L2180" i="1"/>
  <c r="H2182" i="1" s="1"/>
  <c r="L2181" i="1"/>
  <c r="H2183" i="1" s="1"/>
  <c r="L2182" i="1"/>
  <c r="H2184" i="1" s="1"/>
  <c r="L2183" i="1"/>
  <c r="H2185" i="1" s="1"/>
  <c r="L2184" i="1"/>
  <c r="H2186" i="1" s="1"/>
  <c r="L2185" i="1"/>
  <c r="H2187" i="1" s="1"/>
  <c r="L2186" i="1"/>
  <c r="H2188" i="1" s="1"/>
  <c r="L2187" i="1"/>
  <c r="H2189" i="1" s="1"/>
  <c r="L2188" i="1"/>
  <c r="H2190" i="1" s="1"/>
  <c r="L2189" i="1"/>
  <c r="H2191" i="1" s="1"/>
  <c r="L2190" i="1"/>
  <c r="H2192" i="1" s="1"/>
  <c r="L2191" i="1"/>
  <c r="H2193" i="1" s="1"/>
  <c r="L2192" i="1"/>
  <c r="H2194" i="1" s="1"/>
  <c r="L2193" i="1"/>
  <c r="H2195" i="1" s="1"/>
  <c r="L2194" i="1"/>
  <c r="H2196" i="1" s="1"/>
  <c r="L2195" i="1"/>
  <c r="H2197" i="1" s="1"/>
  <c r="L2196" i="1"/>
  <c r="H2198" i="1" s="1"/>
  <c r="L2197" i="1"/>
  <c r="H2199" i="1" s="1"/>
  <c r="L2198" i="1"/>
  <c r="H2200" i="1" s="1"/>
  <c r="L2199" i="1"/>
  <c r="H2201" i="1" s="1"/>
  <c r="L2200" i="1"/>
  <c r="H2202" i="1" s="1"/>
  <c r="L2201" i="1"/>
  <c r="H2203" i="1" s="1"/>
  <c r="L2202" i="1"/>
  <c r="H2204" i="1" s="1"/>
  <c r="L2203" i="1"/>
  <c r="H2205" i="1" s="1"/>
  <c r="L2204" i="1"/>
  <c r="H2206" i="1" s="1"/>
  <c r="L2205" i="1"/>
  <c r="H2207" i="1" s="1"/>
  <c r="L2206" i="1"/>
  <c r="H2208" i="1" s="1"/>
  <c r="L2207" i="1"/>
  <c r="H2209" i="1" s="1"/>
  <c r="L2208" i="1"/>
  <c r="H2210" i="1" s="1"/>
  <c r="L2209" i="1"/>
  <c r="H2211" i="1" s="1"/>
  <c r="L2210" i="1"/>
  <c r="H2212" i="1" s="1"/>
  <c r="L2211" i="1"/>
  <c r="H2213" i="1" s="1"/>
  <c r="L2212" i="1"/>
  <c r="H2214" i="1" s="1"/>
  <c r="L2213" i="1"/>
  <c r="H2215" i="1" s="1"/>
  <c r="L2214" i="1"/>
  <c r="H2216" i="1" s="1"/>
  <c r="L2215" i="1"/>
  <c r="H2217" i="1" s="1"/>
  <c r="L2216" i="1"/>
  <c r="H2218" i="1" s="1"/>
  <c r="L2217" i="1"/>
  <c r="H2219" i="1" s="1"/>
  <c r="L2218" i="1"/>
  <c r="H2220" i="1" s="1"/>
  <c r="L2219" i="1"/>
  <c r="H2221" i="1" s="1"/>
  <c r="L2220" i="1"/>
  <c r="H2222" i="1" s="1"/>
  <c r="L2221" i="1"/>
  <c r="H2223" i="1" s="1"/>
  <c r="L2222" i="1"/>
  <c r="H2224" i="1" s="1"/>
  <c r="L2223" i="1"/>
  <c r="H2225" i="1" s="1"/>
  <c r="L2224" i="1"/>
  <c r="H2226" i="1" s="1"/>
  <c r="L2225" i="1"/>
  <c r="H2227" i="1" s="1"/>
  <c r="L2226" i="1"/>
  <c r="H2228" i="1" s="1"/>
  <c r="L2227" i="1"/>
  <c r="H2229" i="1" s="1"/>
  <c r="L2228" i="1"/>
  <c r="H2230" i="1" s="1"/>
  <c r="L2229" i="1"/>
  <c r="H2231" i="1" s="1"/>
  <c r="L2230" i="1"/>
  <c r="H2232" i="1" s="1"/>
  <c r="L2231" i="1"/>
  <c r="H2233" i="1" s="1"/>
  <c r="L2232" i="1"/>
  <c r="H2234" i="1" s="1"/>
  <c r="L2233" i="1"/>
  <c r="H2235" i="1" s="1"/>
  <c r="L2234" i="1"/>
  <c r="H2236" i="1" s="1"/>
  <c r="L2235" i="1"/>
  <c r="H2237" i="1" s="1"/>
  <c r="L2236" i="1"/>
  <c r="H2238" i="1" s="1"/>
  <c r="L2237" i="1"/>
  <c r="H2239" i="1" s="1"/>
  <c r="L2238" i="1"/>
  <c r="H2240" i="1" s="1"/>
  <c r="L2239" i="1"/>
  <c r="H2241" i="1" s="1"/>
  <c r="L2240" i="1"/>
  <c r="H2242" i="1" s="1"/>
  <c r="L2241" i="1"/>
  <c r="H2243" i="1" s="1"/>
  <c r="L2242" i="1"/>
  <c r="H2244" i="1" s="1"/>
  <c r="L2243" i="1"/>
  <c r="H2245" i="1" s="1"/>
  <c r="L2244" i="1"/>
  <c r="H2246" i="1" s="1"/>
  <c r="L2245" i="1"/>
  <c r="H2247" i="1" s="1"/>
  <c r="L2246" i="1"/>
  <c r="H2248" i="1" s="1"/>
  <c r="L2247" i="1"/>
  <c r="H2249" i="1" s="1"/>
  <c r="L2248" i="1"/>
  <c r="H2250" i="1" s="1"/>
  <c r="L2249" i="1"/>
  <c r="H2251" i="1" s="1"/>
  <c r="L2250" i="1"/>
  <c r="H2252" i="1" s="1"/>
  <c r="L2251" i="1"/>
  <c r="H2253" i="1" s="1"/>
  <c r="L2252" i="1"/>
  <c r="H2254" i="1" s="1"/>
  <c r="L2253" i="1"/>
  <c r="H2255" i="1" s="1"/>
  <c r="L2254" i="1"/>
  <c r="H2256" i="1" s="1"/>
  <c r="L2255" i="1"/>
  <c r="H2257" i="1" s="1"/>
  <c r="L2256" i="1"/>
  <c r="H2258" i="1" s="1"/>
  <c r="L2257" i="1"/>
  <c r="H2259" i="1" s="1"/>
  <c r="L2258" i="1"/>
  <c r="H2260" i="1" s="1"/>
  <c r="L2259" i="1"/>
  <c r="H2261" i="1" s="1"/>
  <c r="L2260" i="1"/>
  <c r="H2262" i="1" s="1"/>
  <c r="L2261" i="1"/>
  <c r="H2263" i="1" s="1"/>
  <c r="L2262" i="1"/>
  <c r="H2264" i="1" s="1"/>
  <c r="L2263" i="1"/>
  <c r="H2265" i="1" s="1"/>
  <c r="L2264" i="1"/>
  <c r="H2266" i="1" s="1"/>
  <c r="L2265" i="1"/>
  <c r="H2267" i="1" s="1"/>
  <c r="L2266" i="1"/>
  <c r="H2268" i="1" s="1"/>
  <c r="L2267" i="1"/>
  <c r="H2269" i="1" s="1"/>
  <c r="L2268" i="1"/>
  <c r="H2270" i="1" s="1"/>
  <c r="L2269" i="1"/>
  <c r="H2271" i="1" s="1"/>
  <c r="L2270" i="1"/>
  <c r="H2272" i="1" s="1"/>
  <c r="L2271" i="1"/>
  <c r="H2273" i="1" s="1"/>
  <c r="L2272" i="1"/>
  <c r="H2274" i="1" s="1"/>
  <c r="L2273" i="1"/>
  <c r="H2275" i="1" s="1"/>
  <c r="L2274" i="1"/>
  <c r="H2276" i="1" s="1"/>
  <c r="L2275" i="1"/>
  <c r="H2277" i="1" s="1"/>
  <c r="L2276" i="1"/>
  <c r="H2278" i="1" s="1"/>
  <c r="L2277" i="1"/>
  <c r="H2279" i="1" s="1"/>
  <c r="L2278" i="1"/>
  <c r="H2280" i="1" s="1"/>
  <c r="L2279" i="1"/>
  <c r="H2281" i="1" s="1"/>
  <c r="L2280" i="1"/>
  <c r="H2282" i="1" s="1"/>
  <c r="L2281" i="1"/>
  <c r="H2283" i="1" s="1"/>
  <c r="L2282" i="1"/>
  <c r="H2284" i="1" s="1"/>
  <c r="L2283" i="1"/>
  <c r="H2285" i="1" s="1"/>
  <c r="L2284" i="1"/>
  <c r="H2286" i="1" s="1"/>
  <c r="L2285" i="1"/>
  <c r="H2287" i="1" s="1"/>
  <c r="L2286" i="1"/>
  <c r="H2288" i="1" s="1"/>
  <c r="L2287" i="1"/>
  <c r="H2289" i="1" s="1"/>
  <c r="L2288" i="1"/>
  <c r="H2290" i="1" s="1"/>
  <c r="L2289" i="1"/>
  <c r="H2291" i="1" s="1"/>
  <c r="L2290" i="1"/>
  <c r="H2292" i="1" s="1"/>
  <c r="L2291" i="1"/>
  <c r="H2293" i="1" s="1"/>
  <c r="L2292" i="1"/>
  <c r="H2294" i="1" s="1"/>
  <c r="L2293" i="1"/>
  <c r="H2295" i="1" s="1"/>
  <c r="L2294" i="1"/>
  <c r="H2296" i="1" s="1"/>
  <c r="L2295" i="1"/>
  <c r="H2297" i="1" s="1"/>
  <c r="L2296" i="1"/>
  <c r="H2298" i="1" s="1"/>
  <c r="L2297" i="1"/>
  <c r="H2299" i="1" s="1"/>
  <c r="L2298" i="1"/>
  <c r="H2300" i="1" s="1"/>
  <c r="L2299" i="1"/>
  <c r="H2301" i="1" s="1"/>
  <c r="L2300" i="1"/>
  <c r="H2302" i="1" s="1"/>
  <c r="L2301" i="1"/>
  <c r="H2303" i="1" s="1"/>
  <c r="L2302" i="1"/>
  <c r="H2304" i="1" s="1"/>
  <c r="L2303" i="1"/>
  <c r="H2305" i="1" s="1"/>
  <c r="L2304" i="1"/>
  <c r="H2306" i="1" s="1"/>
  <c r="L2305" i="1"/>
  <c r="H2307" i="1" s="1"/>
  <c r="L2306" i="1"/>
  <c r="H2308" i="1" s="1"/>
  <c r="L2307" i="1"/>
  <c r="H2309" i="1" s="1"/>
  <c r="L2308" i="1"/>
  <c r="H2310" i="1" s="1"/>
  <c r="L2309" i="1"/>
  <c r="H2311" i="1" s="1"/>
  <c r="L2310" i="1"/>
  <c r="H2312" i="1" s="1"/>
  <c r="L2311" i="1"/>
  <c r="H2313" i="1" s="1"/>
  <c r="L2312" i="1"/>
  <c r="H2314" i="1" s="1"/>
  <c r="L2313" i="1"/>
  <c r="H2315" i="1" s="1"/>
  <c r="L2314" i="1"/>
  <c r="H2316" i="1" s="1"/>
  <c r="L2315" i="1"/>
  <c r="H2317" i="1" s="1"/>
  <c r="L2316" i="1"/>
  <c r="H2318" i="1" s="1"/>
  <c r="L2317" i="1"/>
  <c r="H2319" i="1" s="1"/>
  <c r="L2318" i="1"/>
  <c r="H2320" i="1" s="1"/>
  <c r="L2319" i="1"/>
  <c r="H2321" i="1" s="1"/>
  <c r="L2320" i="1"/>
  <c r="H2322" i="1" s="1"/>
  <c r="L2321" i="1"/>
  <c r="H2323" i="1" s="1"/>
  <c r="L2322" i="1"/>
  <c r="H2324" i="1" s="1"/>
  <c r="L2323" i="1"/>
  <c r="H2325" i="1" s="1"/>
  <c r="L2324" i="1"/>
  <c r="H2326" i="1" s="1"/>
  <c r="L2325" i="1"/>
  <c r="H2327" i="1" s="1"/>
  <c r="L2326" i="1"/>
  <c r="H2328" i="1" s="1"/>
  <c r="L2327" i="1"/>
  <c r="H2329" i="1" s="1"/>
  <c r="L2328" i="1"/>
  <c r="H2330" i="1" s="1"/>
  <c r="L2329" i="1"/>
  <c r="H2331" i="1" s="1"/>
  <c r="L2330" i="1"/>
  <c r="H2332" i="1" s="1"/>
  <c r="L2331" i="1"/>
  <c r="H2333" i="1" s="1"/>
  <c r="L2332" i="1"/>
  <c r="H2334" i="1" s="1"/>
  <c r="L2333" i="1"/>
  <c r="H2335" i="1" s="1"/>
  <c r="L2334" i="1"/>
  <c r="H2336" i="1" s="1"/>
  <c r="L2335" i="1"/>
  <c r="H2337" i="1" s="1"/>
  <c r="L2336" i="1"/>
  <c r="H2338" i="1" s="1"/>
  <c r="L2337" i="1"/>
  <c r="H2339" i="1" s="1"/>
  <c r="L2338" i="1"/>
  <c r="H2340" i="1" s="1"/>
  <c r="L2339" i="1"/>
  <c r="H2341" i="1" s="1"/>
  <c r="L2340" i="1"/>
  <c r="H2342" i="1" s="1"/>
  <c r="L2341" i="1"/>
  <c r="H2343" i="1" s="1"/>
  <c r="L2342" i="1"/>
  <c r="H2344" i="1" s="1"/>
  <c r="L2343" i="1"/>
  <c r="H2345" i="1" s="1"/>
  <c r="L2344" i="1"/>
  <c r="H2346" i="1" s="1"/>
  <c r="L2345" i="1"/>
  <c r="H2347" i="1" s="1"/>
  <c r="L2346" i="1"/>
  <c r="H2348" i="1" s="1"/>
  <c r="L2347" i="1"/>
  <c r="H2349" i="1" s="1"/>
  <c r="L2348" i="1"/>
  <c r="H2350" i="1" s="1"/>
  <c r="L2349" i="1"/>
  <c r="H2351" i="1" s="1"/>
  <c r="L2350" i="1"/>
  <c r="H2352" i="1" s="1"/>
  <c r="L2351" i="1"/>
  <c r="H2353" i="1" s="1"/>
  <c r="L2352" i="1"/>
  <c r="H2354" i="1" s="1"/>
  <c r="L2353" i="1"/>
  <c r="H2355" i="1" s="1"/>
  <c r="L2354" i="1"/>
  <c r="H2356" i="1" s="1"/>
  <c r="L2355" i="1"/>
  <c r="H2357" i="1" s="1"/>
  <c r="L2356" i="1"/>
  <c r="H2358" i="1" s="1"/>
  <c r="L2357" i="1"/>
  <c r="H2359" i="1" s="1"/>
  <c r="L2358" i="1"/>
  <c r="H2360" i="1" s="1"/>
  <c r="L2359" i="1"/>
  <c r="H2361" i="1" s="1"/>
  <c r="L2360" i="1"/>
  <c r="H2362" i="1" s="1"/>
  <c r="L2361" i="1"/>
  <c r="H2363" i="1" s="1"/>
  <c r="L2362" i="1"/>
  <c r="H2364" i="1" s="1"/>
  <c r="L2363" i="1"/>
  <c r="H2365" i="1" s="1"/>
  <c r="L2364" i="1"/>
  <c r="H2366" i="1" s="1"/>
  <c r="L2365" i="1"/>
  <c r="H2367" i="1" s="1"/>
  <c r="L2366" i="1"/>
  <c r="H2368" i="1" s="1"/>
  <c r="L2367" i="1"/>
  <c r="H2369" i="1" s="1"/>
  <c r="L2368" i="1"/>
  <c r="H2370" i="1" s="1"/>
  <c r="L2369" i="1"/>
  <c r="H2371" i="1" s="1"/>
  <c r="L2370" i="1"/>
  <c r="H2372" i="1" s="1"/>
  <c r="L2371" i="1"/>
  <c r="H2373" i="1" s="1"/>
  <c r="L2372" i="1"/>
  <c r="H2374" i="1" s="1"/>
  <c r="L2373" i="1"/>
  <c r="H2375" i="1" s="1"/>
  <c r="L2374" i="1"/>
  <c r="H2376" i="1" s="1"/>
  <c r="L2375" i="1"/>
  <c r="H2377" i="1" s="1"/>
  <c r="L2376" i="1"/>
  <c r="H2378" i="1" s="1"/>
  <c r="L2377" i="1"/>
  <c r="H2379" i="1" s="1"/>
  <c r="L2378" i="1"/>
  <c r="H2380" i="1" s="1"/>
  <c r="L2379" i="1"/>
  <c r="H2381" i="1" s="1"/>
  <c r="L2380" i="1"/>
  <c r="H2382" i="1" s="1"/>
  <c r="L2381" i="1"/>
  <c r="H2383" i="1" s="1"/>
  <c r="L2382" i="1"/>
  <c r="H2384" i="1" s="1"/>
  <c r="L2383" i="1"/>
  <c r="H2385" i="1" s="1"/>
  <c r="L2384" i="1"/>
  <c r="H2386" i="1" s="1"/>
  <c r="L2385" i="1"/>
  <c r="H2387" i="1" s="1"/>
  <c r="L2386" i="1"/>
  <c r="H2388" i="1" s="1"/>
  <c r="L2387" i="1"/>
  <c r="H2389" i="1" s="1"/>
  <c r="L2388" i="1"/>
  <c r="H2390" i="1" s="1"/>
  <c r="L2389" i="1"/>
  <c r="H2391" i="1" s="1"/>
  <c r="L2390" i="1"/>
  <c r="H2392" i="1" s="1"/>
  <c r="L2391" i="1"/>
  <c r="H2393" i="1" s="1"/>
  <c r="L2392" i="1"/>
  <c r="H2394" i="1" s="1"/>
  <c r="L2393" i="1"/>
  <c r="H2395" i="1" s="1"/>
  <c r="L2394" i="1"/>
  <c r="H2396" i="1" s="1"/>
  <c r="L2395" i="1"/>
  <c r="H2397" i="1" s="1"/>
  <c r="L2396" i="1"/>
  <c r="H2398" i="1" s="1"/>
  <c r="L2397" i="1"/>
  <c r="H2399" i="1" s="1"/>
  <c r="L2398" i="1"/>
  <c r="H2400" i="1" s="1"/>
  <c r="L2399" i="1"/>
  <c r="H2401" i="1" s="1"/>
  <c r="L2400" i="1"/>
  <c r="H2402" i="1" s="1"/>
  <c r="L2401" i="1"/>
  <c r="H2403" i="1" s="1"/>
  <c r="L2402" i="1"/>
  <c r="H2404" i="1" s="1"/>
  <c r="L2403" i="1"/>
  <c r="H2405" i="1" s="1"/>
  <c r="L2404" i="1"/>
  <c r="H2406" i="1" s="1"/>
  <c r="L2405" i="1"/>
  <c r="H2407" i="1" s="1"/>
  <c r="L2" i="1"/>
  <c r="I2" i="1"/>
  <c r="H607" i="1" l="1"/>
  <c r="H19" i="1"/>
  <c r="H17" i="1"/>
  <c r="J17" i="1" s="1"/>
  <c r="H2" i="1"/>
  <c r="H16" i="1"/>
  <c r="J16" i="1" s="1"/>
  <c r="H18" i="1"/>
  <c r="H13" i="1"/>
  <c r="J13" i="1" s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527" i="1"/>
  <c r="J541" i="1"/>
  <c r="J543" i="1"/>
  <c r="J545" i="1"/>
  <c r="J549" i="1"/>
  <c r="J551" i="1"/>
  <c r="J397" i="1"/>
  <c r="J401" i="1"/>
  <c r="J406" i="1"/>
  <c r="J416" i="1"/>
  <c r="J418" i="1"/>
  <c r="J450" i="1"/>
  <c r="J454" i="1"/>
  <c r="J456" i="1"/>
  <c r="J458" i="1"/>
  <c r="J462" i="1"/>
  <c r="J464" i="1"/>
  <c r="J468" i="1"/>
  <c r="J470" i="1"/>
  <c r="J472" i="1"/>
  <c r="J474" i="1"/>
  <c r="J476" i="1"/>
  <c r="J479" i="1"/>
  <c r="J491" i="1"/>
  <c r="J501" i="1"/>
  <c r="J503" i="1"/>
  <c r="J505" i="1"/>
  <c r="J507" i="1"/>
  <c r="J509" i="1"/>
  <c r="J510" i="1"/>
  <c r="J513" i="1"/>
  <c r="J515" i="1"/>
  <c r="J517" i="1"/>
  <c r="J519" i="1"/>
  <c r="J521" i="1"/>
  <c r="J523" i="1"/>
  <c r="J525" i="1"/>
  <c r="J529" i="1"/>
  <c r="J531" i="1"/>
  <c r="J533" i="1"/>
  <c r="J535" i="1"/>
  <c r="J537" i="1"/>
  <c r="J539" i="1"/>
  <c r="J546" i="1"/>
  <c r="J961" i="1"/>
  <c r="J1013" i="1"/>
  <c r="J1015" i="1"/>
  <c r="J1017" i="1"/>
  <c r="J1019" i="1"/>
  <c r="J1021" i="1"/>
  <c r="J1023" i="1"/>
  <c r="J1025" i="1"/>
  <c r="J1027" i="1"/>
  <c r="J1029" i="1"/>
  <c r="J1030" i="1"/>
  <c r="J1032" i="1"/>
  <c r="J1034" i="1"/>
  <c r="J1036" i="1"/>
  <c r="J1038" i="1"/>
  <c r="J1055" i="1"/>
  <c r="J1057" i="1"/>
  <c r="J1059" i="1"/>
  <c r="J1060" i="1"/>
  <c r="J1062" i="1"/>
  <c r="J1064" i="1"/>
  <c r="J1065" i="1"/>
  <c r="J1067" i="1"/>
  <c r="J1069" i="1"/>
  <c r="J963" i="1"/>
  <c r="J965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2" i="1"/>
  <c r="J11" i="1"/>
  <c r="J12" i="1"/>
  <c r="J14" i="1"/>
  <c r="J15" i="1"/>
  <c r="J18" i="1"/>
  <c r="J19" i="1"/>
  <c r="J3" i="1"/>
  <c r="J4" i="1"/>
  <c r="J5" i="1"/>
  <c r="J6" i="1"/>
  <c r="J7" i="1"/>
  <c r="J8" i="1"/>
  <c r="J9" i="1"/>
  <c r="J10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395" i="1"/>
  <c r="J400" i="1"/>
  <c r="J404" i="1"/>
  <c r="J408" i="1"/>
  <c r="J410" i="1"/>
  <c r="J412" i="1"/>
  <c r="J414" i="1"/>
  <c r="J419" i="1"/>
  <c r="J422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48" i="1"/>
  <c r="J452" i="1"/>
  <c r="J460" i="1"/>
  <c r="J465" i="1"/>
  <c r="J478" i="1"/>
  <c r="J482" i="1"/>
  <c r="J484" i="1"/>
  <c r="J486" i="1"/>
  <c r="J488" i="1"/>
  <c r="J490" i="1"/>
  <c r="J494" i="1"/>
  <c r="J496" i="1"/>
  <c r="J498" i="1"/>
  <c r="J500" i="1"/>
  <c r="J553" i="1"/>
  <c r="J555" i="1"/>
  <c r="J557" i="1"/>
  <c r="J558" i="1"/>
  <c r="J561" i="1"/>
  <c r="J563" i="1"/>
  <c r="J565" i="1"/>
  <c r="J568" i="1"/>
  <c r="J570" i="1"/>
  <c r="J572" i="1"/>
  <c r="J574" i="1"/>
  <c r="J576" i="1"/>
  <c r="J578" i="1"/>
  <c r="J580" i="1"/>
  <c r="J582" i="1"/>
  <c r="J584" i="1"/>
  <c r="J585" i="1"/>
  <c r="J587" i="1"/>
  <c r="J589" i="1"/>
  <c r="J591" i="1"/>
  <c r="J593" i="1"/>
  <c r="J595" i="1"/>
  <c r="J597" i="1"/>
  <c r="J599" i="1"/>
  <c r="J600" i="1"/>
  <c r="J603" i="1"/>
  <c r="J605" i="1"/>
  <c r="J607" i="1"/>
  <c r="J609" i="1"/>
  <c r="J611" i="1"/>
  <c r="J613" i="1"/>
  <c r="J614" i="1"/>
  <c r="J616" i="1"/>
  <c r="J618" i="1"/>
  <c r="J620" i="1"/>
  <c r="J622" i="1"/>
  <c r="J624" i="1"/>
  <c r="J626" i="1"/>
  <c r="J628" i="1"/>
  <c r="J629" i="1"/>
  <c r="J631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9" i="1"/>
  <c r="J660" i="1"/>
  <c r="J662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90" i="1"/>
  <c r="J691" i="1"/>
  <c r="J693" i="1"/>
  <c r="J695" i="1"/>
  <c r="J697" i="1"/>
  <c r="J699" i="1"/>
  <c r="J700" i="1"/>
  <c r="J702" i="1"/>
  <c r="J704" i="1"/>
  <c r="J706" i="1"/>
  <c r="J708" i="1"/>
  <c r="J710" i="1"/>
  <c r="J712" i="1"/>
  <c r="J714" i="1"/>
  <c r="J716" i="1"/>
  <c r="J718" i="1"/>
  <c r="J720" i="1"/>
  <c r="J722" i="1"/>
  <c r="J724" i="1"/>
  <c r="J725" i="1"/>
  <c r="J727" i="1"/>
  <c r="J729" i="1"/>
  <c r="J731" i="1"/>
  <c r="J733" i="1"/>
  <c r="J735" i="1"/>
  <c r="J736" i="1"/>
  <c r="J738" i="1"/>
  <c r="J740" i="1"/>
  <c r="J741" i="1"/>
  <c r="J743" i="1"/>
  <c r="J745" i="1"/>
  <c r="J747" i="1"/>
  <c r="J750" i="1"/>
  <c r="J752" i="1"/>
  <c r="J754" i="1"/>
  <c r="J756" i="1"/>
  <c r="J757" i="1"/>
  <c r="J759" i="1"/>
  <c r="J762" i="1"/>
  <c r="J764" i="1"/>
  <c r="J766" i="1"/>
  <c r="J768" i="1"/>
  <c r="J770" i="1"/>
  <c r="J772" i="1"/>
  <c r="J774" i="1"/>
  <c r="J775" i="1"/>
  <c r="J777" i="1"/>
  <c r="J779" i="1"/>
  <c r="J781" i="1"/>
  <c r="J783" i="1"/>
  <c r="J785" i="1"/>
  <c r="J787" i="1"/>
  <c r="J789" i="1"/>
  <c r="J790" i="1"/>
  <c r="J792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8" i="1"/>
  <c r="J839" i="1"/>
  <c r="J841" i="1"/>
  <c r="J844" i="1"/>
  <c r="J846" i="1"/>
  <c r="J848" i="1"/>
  <c r="J850" i="1"/>
  <c r="J852" i="1"/>
  <c r="J854" i="1"/>
  <c r="J856" i="1"/>
  <c r="J857" i="1"/>
  <c r="J859" i="1"/>
  <c r="J861" i="1"/>
  <c r="J863" i="1"/>
  <c r="J865" i="1"/>
  <c r="J867" i="1"/>
  <c r="J869" i="1"/>
  <c r="J871" i="1"/>
  <c r="J872" i="1"/>
  <c r="J874" i="1"/>
  <c r="J876" i="1"/>
  <c r="J878" i="1"/>
  <c r="J880" i="1"/>
  <c r="J882" i="1"/>
  <c r="J903" i="1"/>
  <c r="J905" i="1"/>
  <c r="J907" i="1"/>
  <c r="J909" i="1"/>
  <c r="J911" i="1"/>
  <c r="J913" i="1"/>
  <c r="J915" i="1"/>
  <c r="J917" i="1"/>
  <c r="J919" i="1"/>
  <c r="J921" i="1"/>
  <c r="J923" i="1"/>
  <c r="J926" i="1"/>
  <c r="J928" i="1"/>
  <c r="J930" i="1"/>
  <c r="J932" i="1"/>
  <c r="J934" i="1"/>
  <c r="J935" i="1"/>
  <c r="J938" i="1"/>
  <c r="J940" i="1"/>
  <c r="J942" i="1"/>
  <c r="J944" i="1"/>
  <c r="J945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1071" i="1"/>
  <c r="J1072" i="1"/>
  <c r="J1074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2" i="1"/>
  <c r="J1103" i="1"/>
  <c r="J1106" i="1"/>
  <c r="J1108" i="1"/>
  <c r="J1110" i="1"/>
  <c r="J1111" i="1"/>
  <c r="J1113" i="1"/>
  <c r="J1115" i="1"/>
  <c r="J1118" i="1"/>
  <c r="J1120" i="1"/>
  <c r="J1122" i="1"/>
  <c r="J1124" i="1"/>
  <c r="J1126" i="1"/>
  <c r="J1127" i="1"/>
  <c r="J1129" i="1"/>
  <c r="J1131" i="1"/>
  <c r="J1133" i="1"/>
  <c r="J1135" i="1"/>
  <c r="J1137" i="1"/>
  <c r="J1138" i="1"/>
  <c r="J1140" i="1"/>
  <c r="J1142" i="1"/>
  <c r="J1144" i="1"/>
  <c r="J1146" i="1"/>
  <c r="J1148" i="1"/>
  <c r="J1150" i="1"/>
  <c r="J1152" i="1"/>
  <c r="J1154" i="1"/>
  <c r="J1156" i="1"/>
  <c r="J1158" i="1"/>
  <c r="J1159" i="1"/>
  <c r="J1161" i="1"/>
  <c r="J1164" i="1"/>
  <c r="J1166" i="1"/>
  <c r="J1168" i="1"/>
  <c r="J1424" i="1"/>
  <c r="J1427" i="1"/>
  <c r="J1429" i="1"/>
  <c r="J1430" i="1"/>
  <c r="J1432" i="1"/>
  <c r="J1434" i="1"/>
  <c r="J1436" i="1"/>
  <c r="J1438" i="1"/>
  <c r="J1440" i="1"/>
  <c r="J1442" i="1"/>
  <c r="J1444" i="1"/>
  <c r="J1445" i="1"/>
  <c r="J1448" i="1"/>
  <c r="J1449" i="1"/>
  <c r="J1451" i="1"/>
  <c r="J1453" i="1"/>
  <c r="J1455" i="1"/>
  <c r="J1457" i="1"/>
  <c r="J1459" i="1"/>
  <c r="J1461" i="1"/>
  <c r="J1463" i="1"/>
  <c r="J1465" i="1"/>
  <c r="J1467" i="1"/>
  <c r="J1469" i="1"/>
  <c r="J1471" i="1"/>
  <c r="J1472" i="1"/>
  <c r="J1474" i="1"/>
  <c r="J1476" i="1"/>
  <c r="J1478" i="1"/>
  <c r="J1479" i="1"/>
  <c r="J1481" i="1"/>
  <c r="J1483" i="1"/>
  <c r="J1485" i="1"/>
  <c r="J1487" i="1"/>
  <c r="J1488" i="1"/>
  <c r="J1490" i="1"/>
  <c r="J1492" i="1"/>
  <c r="J1494" i="1"/>
  <c r="J1496" i="1"/>
  <c r="J1498" i="1"/>
  <c r="J1500" i="1"/>
  <c r="J1502" i="1"/>
  <c r="J1504" i="1"/>
  <c r="J1506" i="1"/>
  <c r="J1507" i="1"/>
  <c r="J1510" i="1"/>
  <c r="J1512" i="1"/>
  <c r="J1515" i="1"/>
  <c r="J1516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396" i="1"/>
  <c r="J398" i="1"/>
  <c r="J399" i="1"/>
  <c r="J402" i="1"/>
  <c r="J403" i="1"/>
  <c r="J405" i="1"/>
  <c r="J407" i="1"/>
  <c r="J409" i="1"/>
  <c r="J411" i="1"/>
  <c r="J413" i="1"/>
  <c r="J415" i="1"/>
  <c r="J417" i="1"/>
  <c r="J420" i="1"/>
  <c r="J421" i="1"/>
  <c r="J423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3" i="1"/>
  <c r="J466" i="1"/>
  <c r="J467" i="1"/>
  <c r="J469" i="1"/>
  <c r="J471" i="1"/>
  <c r="J473" i="1"/>
  <c r="J475" i="1"/>
  <c r="J477" i="1"/>
  <c r="J480" i="1"/>
  <c r="J481" i="1"/>
  <c r="J483" i="1"/>
  <c r="J485" i="1"/>
  <c r="J487" i="1"/>
  <c r="J489" i="1"/>
  <c r="J492" i="1"/>
  <c r="J493" i="1"/>
  <c r="J495" i="1"/>
  <c r="J497" i="1"/>
  <c r="J499" i="1"/>
  <c r="J502" i="1"/>
  <c r="J504" i="1"/>
  <c r="J506" i="1"/>
  <c r="J508" i="1"/>
  <c r="J511" i="1"/>
  <c r="J512" i="1"/>
  <c r="J514" i="1"/>
  <c r="J516" i="1"/>
  <c r="J518" i="1"/>
  <c r="J520" i="1"/>
  <c r="J522" i="1"/>
  <c r="J524" i="1"/>
  <c r="J526" i="1"/>
  <c r="J528" i="1"/>
  <c r="J530" i="1"/>
  <c r="J532" i="1"/>
  <c r="J534" i="1"/>
  <c r="J536" i="1"/>
  <c r="J538" i="1"/>
  <c r="J540" i="1"/>
  <c r="J542" i="1"/>
  <c r="J544" i="1"/>
  <c r="J547" i="1"/>
  <c r="J548" i="1"/>
  <c r="J550" i="1"/>
  <c r="J552" i="1"/>
  <c r="J554" i="1"/>
  <c r="J556" i="1"/>
  <c r="J559" i="1"/>
  <c r="J560" i="1"/>
  <c r="J562" i="1"/>
  <c r="J564" i="1"/>
  <c r="J566" i="1"/>
  <c r="J567" i="1"/>
  <c r="J569" i="1"/>
  <c r="J571" i="1"/>
  <c r="J573" i="1"/>
  <c r="J575" i="1"/>
  <c r="J577" i="1"/>
  <c r="J579" i="1"/>
  <c r="J581" i="1"/>
  <c r="J583" i="1"/>
  <c r="J586" i="1"/>
  <c r="J588" i="1"/>
  <c r="J590" i="1"/>
  <c r="J592" i="1"/>
  <c r="J594" i="1"/>
  <c r="J596" i="1"/>
  <c r="J598" i="1"/>
  <c r="J601" i="1"/>
  <c r="J602" i="1"/>
  <c r="J604" i="1"/>
  <c r="J606" i="1"/>
  <c r="J608" i="1"/>
  <c r="J610" i="1"/>
  <c r="J612" i="1"/>
  <c r="J615" i="1"/>
  <c r="J617" i="1"/>
  <c r="J619" i="1"/>
  <c r="J621" i="1"/>
  <c r="J623" i="1"/>
  <c r="J625" i="1"/>
  <c r="J627" i="1"/>
  <c r="J630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8" i="1"/>
  <c r="J661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89" i="1"/>
  <c r="J692" i="1"/>
  <c r="J694" i="1"/>
  <c r="J696" i="1"/>
  <c r="J698" i="1"/>
  <c r="J701" i="1"/>
  <c r="J703" i="1"/>
  <c r="J705" i="1"/>
  <c r="J707" i="1"/>
  <c r="J709" i="1"/>
  <c r="J711" i="1"/>
  <c r="J713" i="1"/>
  <c r="J715" i="1"/>
  <c r="J717" i="1"/>
  <c r="J719" i="1"/>
  <c r="J721" i="1"/>
  <c r="J723" i="1"/>
  <c r="J726" i="1"/>
  <c r="J728" i="1"/>
  <c r="J730" i="1"/>
  <c r="J732" i="1"/>
  <c r="J734" i="1"/>
  <c r="J737" i="1"/>
  <c r="J739" i="1"/>
  <c r="J742" i="1"/>
  <c r="J744" i="1"/>
  <c r="J746" i="1"/>
  <c r="J748" i="1"/>
  <c r="J749" i="1"/>
  <c r="J751" i="1"/>
  <c r="J753" i="1"/>
  <c r="J755" i="1"/>
  <c r="J758" i="1"/>
  <c r="J760" i="1"/>
  <c r="J761" i="1"/>
  <c r="J763" i="1"/>
  <c r="J765" i="1"/>
  <c r="J767" i="1"/>
  <c r="J769" i="1"/>
  <c r="J771" i="1"/>
  <c r="J773" i="1"/>
  <c r="J776" i="1"/>
  <c r="J778" i="1"/>
  <c r="J780" i="1"/>
  <c r="J782" i="1"/>
  <c r="J784" i="1"/>
  <c r="J786" i="1"/>
  <c r="J788" i="1"/>
  <c r="J791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7" i="1"/>
  <c r="J840" i="1"/>
  <c r="J842" i="1"/>
  <c r="J843" i="1"/>
  <c r="J845" i="1"/>
  <c r="J847" i="1"/>
  <c r="J849" i="1"/>
  <c r="J851" i="1"/>
  <c r="J853" i="1"/>
  <c r="J855" i="1"/>
  <c r="J858" i="1"/>
  <c r="J860" i="1"/>
  <c r="J862" i="1"/>
  <c r="J864" i="1"/>
  <c r="J866" i="1"/>
  <c r="J868" i="1"/>
  <c r="J870" i="1"/>
  <c r="J873" i="1"/>
  <c r="J875" i="1"/>
  <c r="J877" i="1"/>
  <c r="J879" i="1"/>
  <c r="J881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4" i="1"/>
  <c r="J906" i="1"/>
  <c r="J908" i="1"/>
  <c r="J910" i="1"/>
  <c r="J912" i="1"/>
  <c r="J914" i="1"/>
  <c r="J916" i="1"/>
  <c r="J918" i="1"/>
  <c r="J920" i="1"/>
  <c r="J922" i="1"/>
  <c r="J924" i="1"/>
  <c r="J925" i="1"/>
  <c r="J927" i="1"/>
  <c r="J929" i="1"/>
  <c r="J931" i="1"/>
  <c r="J933" i="1"/>
  <c r="J936" i="1"/>
  <c r="J937" i="1"/>
  <c r="J939" i="1"/>
  <c r="J941" i="1"/>
  <c r="J943" i="1"/>
  <c r="J946" i="1"/>
  <c r="J962" i="1"/>
  <c r="J964" i="1"/>
  <c r="J966" i="1"/>
  <c r="J1014" i="1"/>
  <c r="J1016" i="1"/>
  <c r="J1018" i="1"/>
  <c r="J1020" i="1"/>
  <c r="J1022" i="1"/>
  <c r="J1024" i="1"/>
  <c r="J1026" i="1"/>
  <c r="J1028" i="1"/>
  <c r="J1031" i="1"/>
  <c r="J1033" i="1"/>
  <c r="J1035" i="1"/>
  <c r="J1037" i="1"/>
  <c r="J1039" i="1"/>
  <c r="J1056" i="1"/>
  <c r="J1058" i="1"/>
  <c r="J1061" i="1"/>
  <c r="J1063" i="1"/>
  <c r="J1066" i="1"/>
  <c r="J1068" i="1"/>
  <c r="J1070" i="1"/>
  <c r="J1073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1" i="1"/>
  <c r="J1104" i="1"/>
  <c r="J1105" i="1"/>
  <c r="J1107" i="1"/>
  <c r="J1109" i="1"/>
  <c r="J1112" i="1"/>
  <c r="J1114" i="1"/>
  <c r="J1116" i="1"/>
  <c r="J1117" i="1"/>
  <c r="J1119" i="1"/>
  <c r="J1121" i="1"/>
  <c r="J1123" i="1"/>
  <c r="J1125" i="1"/>
  <c r="J1128" i="1"/>
  <c r="J1130" i="1"/>
  <c r="J1132" i="1"/>
  <c r="J1134" i="1"/>
  <c r="J1136" i="1"/>
  <c r="J1139" i="1"/>
  <c r="J1141" i="1"/>
  <c r="J1143" i="1"/>
  <c r="J1145" i="1"/>
  <c r="J1147" i="1"/>
  <c r="J1149" i="1"/>
  <c r="J1151" i="1"/>
  <c r="J1153" i="1"/>
  <c r="J1155" i="1"/>
  <c r="J1157" i="1"/>
  <c r="J1160" i="1"/>
  <c r="J1162" i="1"/>
  <c r="J1163" i="1"/>
  <c r="J1165" i="1"/>
  <c r="J1167" i="1"/>
  <c r="J1425" i="1"/>
  <c r="J1426" i="1"/>
  <c r="J1428" i="1"/>
  <c r="J1431" i="1"/>
  <c r="J1433" i="1"/>
  <c r="J1435" i="1"/>
  <c r="J1437" i="1"/>
  <c r="J1439" i="1"/>
  <c r="J1441" i="1"/>
  <c r="J1443" i="1"/>
  <c r="J1446" i="1"/>
  <c r="J1447" i="1"/>
  <c r="J1450" i="1"/>
  <c r="J1452" i="1"/>
  <c r="J1454" i="1"/>
  <c r="J1456" i="1"/>
  <c r="J1458" i="1"/>
  <c r="J1460" i="1"/>
  <c r="J1462" i="1"/>
  <c r="J1464" i="1"/>
  <c r="J1466" i="1"/>
  <c r="J1468" i="1"/>
  <c r="J1470" i="1"/>
  <c r="J1473" i="1"/>
  <c r="J1475" i="1"/>
  <c r="J1477" i="1"/>
  <c r="J1480" i="1"/>
  <c r="J1482" i="1"/>
  <c r="J1484" i="1"/>
  <c r="J1486" i="1"/>
  <c r="J1489" i="1"/>
  <c r="J1491" i="1"/>
  <c r="J1493" i="1"/>
  <c r="J1495" i="1"/>
  <c r="J1497" i="1"/>
  <c r="J1499" i="1"/>
  <c r="J1501" i="1"/>
  <c r="J1503" i="1"/>
  <c r="J1505" i="1"/>
  <c r="J1508" i="1"/>
  <c r="J1509" i="1"/>
  <c r="J1511" i="1"/>
  <c r="J1513" i="1"/>
  <c r="J1514" i="1"/>
  <c r="J1517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<sst xmlns="http://schemas.openxmlformats.org/spreadsheetml/2006/main" count="8884" uniqueCount="7014">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</sst>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opLeftCell="A13" workbookViewId="0">
      <selection activeCell="A17" sqref="A17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6997</v>
      </c>
    </row>
    <row r="2" spans="1:12" x14ac:dyDescent="0.25">
      <c r="A2" s="3" t="s">
        <v>414</v>
      </c>
      <c r="B2" s="3" t="s">
        <v>4362</v>
      </c>
      <c r="C2" s="1">
        <v>8</v>
      </c>
      <c r="D2" s="1">
        <v>12.6</v>
      </c>
      <c r="E2" s="1"/>
      <c r="F2" s="1">
        <v>368984</v>
      </c>
      <c r="G2" s="3" t="s">
        <v>4363</v>
      </c>
      <c r="H2" s="11">
        <f t="shared" ref="H2:H1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4364</v>
      </c>
      <c r="B3" s="3" t="s">
        <v>4361</v>
      </c>
      <c r="C3" s="1">
        <v>8</v>
      </c>
      <c r="D3" s="1">
        <v>6.7</v>
      </c>
      <c r="E3" s="1"/>
      <c r="F3" s="1">
        <v>426156</v>
      </c>
      <c r="G3" s="3" t="s">
        <v>4365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4366</v>
      </c>
      <c r="B4" s="3" t="s">
        <v>4367</v>
      </c>
      <c r="C4" s="1">
        <v>8</v>
      </c>
      <c r="D4" s="1">
        <v>7.7</v>
      </c>
      <c r="E4" s="1"/>
      <c r="F4" s="1">
        <v>369033</v>
      </c>
      <c r="G4" s="3" t="s">
        <v>4367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4368</v>
      </c>
      <c r="B5" s="3" t="s">
        <v>4369</v>
      </c>
      <c r="C5" s="1">
        <v>8</v>
      </c>
      <c r="D5" s="1">
        <v>3.9</v>
      </c>
      <c r="E5" s="1"/>
      <c r="F5" s="1">
        <v>370926</v>
      </c>
      <c r="G5" s="3" t="s">
        <v>4370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4373</v>
      </c>
      <c r="B6" s="3" t="s">
        <v>4371</v>
      </c>
      <c r="C6" s="1">
        <v>8</v>
      </c>
      <c r="D6" s="1">
        <v>4.0999999999999996</v>
      </c>
      <c r="E6" s="1"/>
      <c r="F6" s="1">
        <v>427319</v>
      </c>
      <c r="G6" s="3" t="s">
        <v>4372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4374</v>
      </c>
      <c r="B7" s="3" t="s">
        <v>4375</v>
      </c>
      <c r="C7" s="1">
        <v>8</v>
      </c>
      <c r="D7" s="1">
        <v>5.5</v>
      </c>
      <c r="E7" s="1"/>
      <c r="F7" s="1">
        <v>370420</v>
      </c>
      <c r="G7" s="3" t="s">
        <v>4376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4377</v>
      </c>
      <c r="B8" s="3" t="s">
        <v>4378</v>
      </c>
      <c r="C8" s="1">
        <v>8</v>
      </c>
      <c r="D8" s="1">
        <v>12.5</v>
      </c>
      <c r="E8" s="1"/>
      <c r="F8" s="1">
        <v>440801</v>
      </c>
      <c r="G8" s="3" t="s">
        <v>4379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4469</v>
      </c>
      <c r="B9" s="3" t="s">
        <v>4470</v>
      </c>
      <c r="C9" s="1">
        <v>8</v>
      </c>
      <c r="D9" s="1">
        <v>40.299999999999997</v>
      </c>
      <c r="E9" s="1"/>
      <c r="F9" s="1">
        <v>473310</v>
      </c>
      <c r="G9" s="3" t="s">
        <v>4473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4471</v>
      </c>
      <c r="B10" s="3" t="s">
        <v>4472</v>
      </c>
      <c r="C10" s="1">
        <v>8</v>
      </c>
      <c r="D10" s="1">
        <v>100.3</v>
      </c>
      <c r="E10" s="1"/>
      <c r="F10" s="1">
        <v>451520</v>
      </c>
      <c r="G10" s="3" t="s">
        <v>4481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4374</v>
      </c>
      <c r="B11" s="3" t="s">
        <v>4375</v>
      </c>
      <c r="C11" s="1">
        <v>8</v>
      </c>
      <c r="D11" s="1">
        <v>5.5</v>
      </c>
      <c r="E11" s="1"/>
      <c r="F11" s="1">
        <v>370420</v>
      </c>
      <c r="G11" s="3" t="s">
        <v>4376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5638</v>
      </c>
      <c r="B12" s="3" t="s">
        <v>5637</v>
      </c>
      <c r="C12" s="1">
        <v>8</v>
      </c>
      <c r="D12" s="1">
        <v>44</v>
      </c>
      <c r="E12" s="1"/>
      <c r="F12" s="1">
        <v>426096</v>
      </c>
      <c r="G12" s="3" t="s">
        <v>5636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6998</v>
      </c>
      <c r="B13" s="3" t="s">
        <v>6999</v>
      </c>
      <c r="C13" s="1">
        <v>8</v>
      </c>
      <c r="D13" s="1">
        <v>41.3</v>
      </c>
      <c r="E13" s="1"/>
      <c r="F13" s="1">
        <v>488963</v>
      </c>
      <c r="G13" s="3" t="s">
        <v>7000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7002</v>
      </c>
      <c r="B14" s="3" t="s">
        <v>7003</v>
      </c>
      <c r="C14" s="1">
        <v>8</v>
      </c>
      <c r="D14" s="1">
        <v>14.51</v>
      </c>
      <c r="E14" s="1"/>
      <c r="F14" s="1">
        <v>489485</v>
      </c>
      <c r="G14" s="3" t="s">
        <v>7001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7004</v>
      </c>
      <c r="B15" s="3" t="s">
        <v>7005</v>
      </c>
      <c r="C15" s="1">
        <v>8</v>
      </c>
      <c r="D15" s="1">
        <v>6.95</v>
      </c>
      <c r="E15" s="1"/>
      <c r="F15" s="1">
        <v>363378</v>
      </c>
      <c r="G15" s="3" t="s">
        <v>7006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7007</v>
      </c>
      <c r="B16" s="3" t="s">
        <v>7008</v>
      </c>
      <c r="C16" s="1">
        <v>8</v>
      </c>
      <c r="D16" s="1">
        <v>15</v>
      </c>
      <c r="E16" s="1"/>
      <c r="F16" s="1">
        <v>451130</v>
      </c>
      <c r="G16" s="3" t="s">
        <v>7009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74.84</v>
      </c>
      <c r="I16" s="9">
        <f>($K$2+0.02)*Tabla1[[#This Row],[PRECIO $]]*1.18</f>
        <v>61.596000000000004</v>
      </c>
      <c r="J16" s="7">
        <f>+Tabla1[[#This Row],[PRECIO EN SOLES]]-Tabla1[[#This Row],[PC]]</f>
        <v>13.244</v>
      </c>
      <c r="K16" s="15"/>
      <c r="L16" s="15" t="str">
        <f t="shared" ref="L16:L79" si="2">IF(
OR(
ISNUMBER(SEARCH("BACKPACK",B18)),
ISNUMBER(SEARCH("MOCHILA",B18)),
ISNUMBER(SEARCH("FUNDA",B18)),
ISNUMBER(SEARCH("ESTUCHE",B18)),
ISNUMBER(SEARCH("BOOK COVER",B18)),
ISNUMBER(SEARCH("KEYBOARD PARA TABLET",B18)),
ISNUMBER(SEARCH("FLIP TABLET",B18)),
ISNUMBER(SEARCH("CASE FOR TABLET",B18)),
ISNUMBER(SEARCH("CABLE",B18)),
ISNUMBER(SEARCH("ADAPTADOR",B18)),
ISNUMBER(SEARCH("HUB",B18)),
ISNUMBER(SEARCH("DOCK",B18)),
ISNUMBER(SEARCH("MOUSE PAD",B18)),
ISNUMBER(SEARCH("MOUSEPAD",B18)),
ISNUMBER(SEARCH("SOPORTE",B18)),
ISNUMBER(SEARCH("STAND",B18)),
ISNUMBER(SEARCH("TRAVEL ADAPTER",B18)),
ISNUMBER(SEARCH("RJ45",B18)),
ISNUMBER(SEARCH("USB-C",B18)),
ISNUMBER(SEARCH("USB WIFI",B18)),
ISNUMBER(SEARCH("POWERBANK",B18)),
ISNUMBER(SEARCH("CARGADOR",B18)),
ISNUMBER(SEARCH("COOLER PARA NB",B18)),
ISNUMBER(SEARCH("SOPORTE PARA NB",B18)),
ISNUMBER(SEARCH("WEBCAM",B18)),
ISNUMBER(SEARCH("WEB CAM",B18)),
ISNUMBER(SEARCH("MOUSE",B18)),
ISNUMBER(SEARCH("TECLADO",B18))
),
"COMPLEMENTO",
IF(
OR(
LEFT(A18,2)="NB",
LEFT(A18,2)="PC",
LEFT(A18,2)="WS",
LEFT(A18,2)="TB",
LEFT(A18,3)="CEL",
LEFT(A18,3)="MON",
LEFT(A18,3)="PRE",
LEFT(A18,3)="PRH",
ISNUMBER(SEARCH("NOTEBOOK",B18)),
ISNUMBER(SEARCH("LAPTOP",B18)),
ISNUMBER(SEARCH("MONITOR",B18)),
ISNUMBER(SEARCH("TABLET",B18)),
ISNUMBER(SEARCH("SMARTPH",B18)),
ISNUMBER(SEARCH("IMPRESORA",B18)),
ISNUMBER(SEARCH("MULTIFUNCIONAL",B18)),
ISNUMBER(SEARCH("AIO",B18))
),
"GANCHO",
"NORMAL"
)
)</f>
        <v>NORMAL</v>
      </c>
    </row>
    <row r="17" spans="1:12" x14ac:dyDescent="0.25">
      <c r="A17" s="3" t="s">
        <v>7011</v>
      </c>
      <c r="B17" s="3" t="s">
        <v>7012</v>
      </c>
      <c r="C17" s="1">
        <v>8</v>
      </c>
      <c r="D17" s="1">
        <v>7.8</v>
      </c>
      <c r="E17" s="1"/>
      <c r="F17" s="1">
        <v>424101</v>
      </c>
      <c r="G17" s="3" t="s">
        <v>7013</v>
      </c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40.83</v>
      </c>
      <c r="I17" s="9">
        <f>($K$2+0.02)*Tabla1[[#This Row],[PRECIO $]]*1.18</f>
        <v>32.029919999999997</v>
      </c>
      <c r="J17" s="7">
        <f>+Tabla1[[#This Row],[PRECIO EN SOLES]]-Tabla1[[#This Row],[PC]]</f>
        <v>8.8000800000000012</v>
      </c>
      <c r="K17" s="15"/>
      <c r="L17" s="15" t="str">
        <f t="shared" si="2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ref="H18:H81" si="3">ROUND(
IF(L16="GANCHO",
   IF(I18&lt;=50,I18*1.1+4,IF(I18&lt;=120,I18*1.1+7,IF(I18&lt;=250,I18*1.1+11,I18*1.1+19))),
IF(L16="NORMAL",
   IF(I18&lt;=30,I18*1.15+2,IF(I18&lt;=80,I18*1.15+4,IF(I18&lt;=150,I18*1.15+6,I18*1.15+8))),
IF(L16="COMPLEMENTO",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2"/>
        <v>COMPLEMENTO</v>
      </c>
    </row>
    <row r="19" spans="1:12" x14ac:dyDescent="0.25">
      <c r="A19" s="3" t="s">
        <v>50</v>
      </c>
      <c r="B19" s="3" t="s">
        <v>51</v>
      </c>
      <c r="C19" s="1">
        <v>20</v>
      </c>
      <c r="D19" s="1">
        <v>16</v>
      </c>
      <c r="E19" s="1" t="s">
        <v>52</v>
      </c>
      <c r="F19" s="1" t="s">
        <v>3063</v>
      </c>
      <c r="G19" s="3" t="s">
        <v>53</v>
      </c>
      <c r="H19" s="11">
        <f t="shared" si="3"/>
        <v>79.56</v>
      </c>
      <c r="I19" s="9">
        <f>($K$2+0.02)*Tabla1[[#This Row],[PRECIO $]]*1.18</f>
        <v>65.702399999999997</v>
      </c>
      <c r="J19" s="7">
        <f>+Tabla1[[#This Row],[PRECIO EN SOLES]]-Tabla1[[#This Row],[PC]]</f>
        <v>13.857600000000005</v>
      </c>
      <c r="K19" s="15"/>
      <c r="L19" s="15" t="str">
        <f t="shared" si="2"/>
        <v>NORMAL</v>
      </c>
    </row>
    <row r="20" spans="1:12" x14ac:dyDescent="0.25">
      <c r="A20" s="3" t="s">
        <v>766</v>
      </c>
      <c r="B20" s="3" t="s">
        <v>767</v>
      </c>
      <c r="C20" s="1">
        <v>20</v>
      </c>
      <c r="D20" s="1">
        <v>10</v>
      </c>
      <c r="E20" s="1" t="s">
        <v>54</v>
      </c>
      <c r="F20" s="1" t="s">
        <v>3064</v>
      </c>
      <c r="G20" s="3" t="s">
        <v>768</v>
      </c>
      <c r="H20" s="11">
        <f t="shared" si="3"/>
        <v>54.33</v>
      </c>
      <c r="I20" s="9">
        <f>($K$2+0.02)*Tabla1[[#This Row],[PRECIO $]]*1.18</f>
        <v>41.063999999999993</v>
      </c>
      <c r="J20" s="7">
        <f>+Tabla1[[#This Row],[PRECIO EN SOLES]]-Tabla1[[#This Row],[PC]]</f>
        <v>13.266000000000005</v>
      </c>
      <c r="K20" s="15"/>
      <c r="L20" s="15" t="str">
        <f t="shared" si="2"/>
        <v>NORMAL</v>
      </c>
    </row>
    <row r="21" spans="1:12" x14ac:dyDescent="0.25">
      <c r="A21" s="3" t="s">
        <v>5697</v>
      </c>
      <c r="B21" s="3" t="s">
        <v>5698</v>
      </c>
      <c r="C21" s="1">
        <v>20</v>
      </c>
      <c r="D21" s="1">
        <v>36.5</v>
      </c>
      <c r="E21" s="1" t="s">
        <v>55</v>
      </c>
      <c r="F21" s="1" t="s">
        <v>5699</v>
      </c>
      <c r="G21" s="3"/>
      <c r="H21" s="11">
        <f t="shared" si="3"/>
        <v>178.37</v>
      </c>
      <c r="I21" s="9">
        <f>($K$2+0.02)*Tabla1[[#This Row],[PRECIO $]]*1.18</f>
        <v>149.8836</v>
      </c>
      <c r="J21" s="7">
        <f>+Tabla1[[#This Row],[PRECIO EN SOLES]]-Tabla1[[#This Row],[PC]]</f>
        <v>28.486400000000003</v>
      </c>
      <c r="K21" s="15"/>
      <c r="L21" s="15" t="str">
        <f t="shared" si="2"/>
        <v>NORMAL</v>
      </c>
    </row>
    <row r="22" spans="1:12" x14ac:dyDescent="0.25">
      <c r="A22" s="3" t="s">
        <v>769</v>
      </c>
      <c r="B22" s="3" t="s">
        <v>770</v>
      </c>
      <c r="C22" s="1">
        <v>20</v>
      </c>
      <c r="D22" s="1">
        <v>3</v>
      </c>
      <c r="E22" s="1" t="s">
        <v>55</v>
      </c>
      <c r="F22" s="1" t="s">
        <v>3065</v>
      </c>
      <c r="G22" s="3"/>
      <c r="H22" s="11">
        <f t="shared" si="3"/>
        <v>16.170000000000002</v>
      </c>
      <c r="I22" s="9">
        <f>($K$2+0.02)*Tabla1[[#This Row],[PRECIO $]]*1.18</f>
        <v>12.319199999999999</v>
      </c>
      <c r="J22" s="7">
        <f>+Tabla1[[#This Row],[PRECIO EN SOLES]]-Tabla1[[#This Row],[PC]]</f>
        <v>3.8508000000000031</v>
      </c>
      <c r="K22" s="15"/>
      <c r="L22" s="15" t="str">
        <f t="shared" si="2"/>
        <v>NORMAL</v>
      </c>
    </row>
    <row r="23" spans="1:12" x14ac:dyDescent="0.25">
      <c r="A23" s="3" t="s">
        <v>771</v>
      </c>
      <c r="B23" s="3" t="s">
        <v>772</v>
      </c>
      <c r="C23" s="1">
        <v>20</v>
      </c>
      <c r="D23" s="1">
        <v>3</v>
      </c>
      <c r="E23" s="1" t="s">
        <v>55</v>
      </c>
      <c r="F23" s="1" t="s">
        <v>3066</v>
      </c>
      <c r="G23" s="3"/>
      <c r="H23" s="11">
        <f t="shared" si="3"/>
        <v>16.170000000000002</v>
      </c>
      <c r="I23" s="9">
        <f>($K$2+0.02)*Tabla1[[#This Row],[PRECIO $]]*1.18</f>
        <v>12.319199999999999</v>
      </c>
      <c r="J23" s="7">
        <f>+Tabla1[[#This Row],[PRECIO EN SOLES]]-Tabla1[[#This Row],[PC]]</f>
        <v>3.8508000000000031</v>
      </c>
      <c r="K23" s="15"/>
      <c r="L23" s="15" t="str">
        <f t="shared" si="2"/>
        <v>NORMAL</v>
      </c>
    </row>
    <row r="24" spans="1:12" x14ac:dyDescent="0.25">
      <c r="A24" s="3" t="s">
        <v>1473</v>
      </c>
      <c r="B24" s="3" t="s">
        <v>1474</v>
      </c>
      <c r="C24" s="1">
        <v>14</v>
      </c>
      <c r="D24" s="1">
        <v>33</v>
      </c>
      <c r="E24" s="1" t="s">
        <v>55</v>
      </c>
      <c r="F24" s="1" t="s">
        <v>3476</v>
      </c>
      <c r="G24" s="3"/>
      <c r="H24" s="11">
        <f t="shared" si="3"/>
        <v>161.84</v>
      </c>
      <c r="I24" s="9">
        <f>($K$2+0.02)*Tabla1[[#This Row],[PRECIO $]]*1.18</f>
        <v>135.5112</v>
      </c>
      <c r="J24" s="7">
        <f>+Tabla1[[#This Row],[PRECIO EN SOLES]]-Tabla1[[#This Row],[PC]]</f>
        <v>26.328800000000001</v>
      </c>
      <c r="K24" s="15"/>
      <c r="L24" s="15" t="str">
        <f t="shared" si="2"/>
        <v>COMPLEMENTO</v>
      </c>
    </row>
    <row r="25" spans="1:12" x14ac:dyDescent="0.25">
      <c r="A25" s="3" t="s">
        <v>773</v>
      </c>
      <c r="B25" s="3" t="s">
        <v>774</v>
      </c>
      <c r="C25" s="1">
        <v>0</v>
      </c>
      <c r="D25" s="1">
        <v>33</v>
      </c>
      <c r="E25" s="1" t="s">
        <v>55</v>
      </c>
      <c r="F25" s="1" t="s">
        <v>3067</v>
      </c>
      <c r="G25" s="3"/>
      <c r="H25" s="11">
        <f t="shared" si="3"/>
        <v>161.84</v>
      </c>
      <c r="I25" s="9">
        <f>($K$2+0.02)*Tabla1[[#This Row],[PRECIO $]]*1.18</f>
        <v>135.5112</v>
      </c>
      <c r="J25" s="7">
        <f>+Tabla1[[#This Row],[PRECIO EN SOLES]]-Tabla1[[#This Row],[PC]]</f>
        <v>26.328800000000001</v>
      </c>
      <c r="K25" s="15"/>
      <c r="L25" s="15" t="str">
        <f t="shared" si="2"/>
        <v>NORMAL</v>
      </c>
    </row>
    <row r="26" spans="1:12" x14ac:dyDescent="0.25">
      <c r="A26" s="3" t="s">
        <v>775</v>
      </c>
      <c r="B26" s="3" t="s">
        <v>776</v>
      </c>
      <c r="C26" s="1">
        <v>0</v>
      </c>
      <c r="D26" s="1">
        <v>63.5</v>
      </c>
      <c r="E26" s="1" t="s">
        <v>56</v>
      </c>
      <c r="F26" s="1" t="s">
        <v>3068</v>
      </c>
      <c r="G26" s="3" t="s">
        <v>777</v>
      </c>
      <c r="H26" s="11">
        <f t="shared" si="3"/>
        <v>330.95</v>
      </c>
      <c r="I26" s="9">
        <f>($K$2+0.02)*Tabla1[[#This Row],[PRECIO $]]*1.18</f>
        <v>260.75639999999999</v>
      </c>
      <c r="J26" s="7">
        <f>+Tabla1[[#This Row],[PRECIO EN SOLES]]-Tabla1[[#This Row],[PC]]</f>
        <v>70.193600000000004</v>
      </c>
      <c r="K26" s="15"/>
      <c r="L26" s="15" t="str">
        <f t="shared" si="2"/>
        <v>NORMAL</v>
      </c>
    </row>
    <row r="27" spans="1:12" x14ac:dyDescent="0.25">
      <c r="A27" s="3" t="s">
        <v>778</v>
      </c>
      <c r="B27" s="3" t="s">
        <v>779</v>
      </c>
      <c r="C27" s="1">
        <v>1</v>
      </c>
      <c r="D27" s="1">
        <v>94</v>
      </c>
      <c r="E27" s="1" t="s">
        <v>57</v>
      </c>
      <c r="F27" s="1" t="s">
        <v>3069</v>
      </c>
      <c r="G27" s="3" t="s">
        <v>780</v>
      </c>
      <c r="H27" s="11">
        <f t="shared" si="3"/>
        <v>451.9</v>
      </c>
      <c r="I27" s="9">
        <f>($K$2+0.02)*Tabla1[[#This Row],[PRECIO $]]*1.18</f>
        <v>386.0016</v>
      </c>
      <c r="J27" s="7">
        <f>+Tabla1[[#This Row],[PRECIO EN SOLES]]-Tabla1[[#This Row],[PC]]</f>
        <v>65.898399999999981</v>
      </c>
      <c r="K27" s="15"/>
      <c r="L27" s="15" t="str">
        <f t="shared" si="2"/>
        <v>NORMAL</v>
      </c>
    </row>
    <row r="28" spans="1:12" x14ac:dyDescent="0.25">
      <c r="A28" s="3" t="s">
        <v>781</v>
      </c>
      <c r="B28" s="3" t="s">
        <v>782</v>
      </c>
      <c r="C28" s="1">
        <v>20</v>
      </c>
      <c r="D28" s="1">
        <v>5</v>
      </c>
      <c r="E28" s="1" t="s">
        <v>55</v>
      </c>
      <c r="F28" s="1" t="s">
        <v>3070</v>
      </c>
      <c r="G28" s="3"/>
      <c r="H28" s="11">
        <f t="shared" si="3"/>
        <v>25.61</v>
      </c>
      <c r="I28" s="9">
        <f>($K$2+0.02)*Tabla1[[#This Row],[PRECIO $]]*1.18</f>
        <v>20.531999999999996</v>
      </c>
      <c r="J28" s="7">
        <f>+Tabla1[[#This Row],[PRECIO EN SOLES]]-Tabla1[[#This Row],[PC]]</f>
        <v>5.078000000000003</v>
      </c>
      <c r="K28" s="15"/>
      <c r="L28" s="15" t="str">
        <f t="shared" si="2"/>
        <v>NORMAL</v>
      </c>
    </row>
    <row r="29" spans="1:12" x14ac:dyDescent="0.25">
      <c r="A29" s="3" t="s">
        <v>783</v>
      </c>
      <c r="B29" s="3" t="s">
        <v>784</v>
      </c>
      <c r="C29" s="1">
        <v>0</v>
      </c>
      <c r="D29" s="1">
        <v>999</v>
      </c>
      <c r="E29" s="1" t="s">
        <v>52</v>
      </c>
      <c r="F29" s="1" t="s">
        <v>3071</v>
      </c>
      <c r="G29" s="3" t="s">
        <v>785</v>
      </c>
      <c r="H29" s="11">
        <f t="shared" si="3"/>
        <v>4725.6400000000003</v>
      </c>
      <c r="I29" s="9">
        <f>($K$2+0.02)*Tabla1[[#This Row],[PRECIO $]]*1.18</f>
        <v>4102.2936</v>
      </c>
      <c r="J29" s="7">
        <f>+Tabla1[[#This Row],[PRECIO EN SOLES]]-Tabla1[[#This Row],[PC]]</f>
        <v>623.34640000000036</v>
      </c>
      <c r="K29" s="15"/>
      <c r="L29" s="15" t="str">
        <f t="shared" si="2"/>
        <v>NORMAL</v>
      </c>
    </row>
    <row r="30" spans="1:12" x14ac:dyDescent="0.25">
      <c r="A30" s="3" t="s">
        <v>786</v>
      </c>
      <c r="B30" s="3" t="s">
        <v>787</v>
      </c>
      <c r="C30" s="1">
        <v>20</v>
      </c>
      <c r="D30" s="1">
        <v>1.4</v>
      </c>
      <c r="E30" s="1" t="s">
        <v>57</v>
      </c>
      <c r="F30" s="1" t="s">
        <v>3072</v>
      </c>
      <c r="G30" s="3" t="s">
        <v>788</v>
      </c>
      <c r="H30" s="11">
        <f t="shared" si="3"/>
        <v>8.61</v>
      </c>
      <c r="I30" s="9">
        <f>($K$2+0.02)*Tabla1[[#This Row],[PRECIO $]]*1.18</f>
        <v>5.7489599999999994</v>
      </c>
      <c r="J30" s="7">
        <f>+Tabla1[[#This Row],[PRECIO EN SOLES]]-Tabla1[[#This Row],[PC]]</f>
        <v>2.86104</v>
      </c>
      <c r="K30" s="15"/>
      <c r="L30" s="15" t="str">
        <f t="shared" si="2"/>
        <v>NORMAL</v>
      </c>
    </row>
    <row r="31" spans="1:12" x14ac:dyDescent="0.25">
      <c r="A31" s="3" t="s">
        <v>6381</v>
      </c>
      <c r="B31" s="3" t="s">
        <v>6382</v>
      </c>
      <c r="C31" s="1">
        <v>20</v>
      </c>
      <c r="D31" s="1">
        <v>4</v>
      </c>
      <c r="E31" s="1" t="s">
        <v>55</v>
      </c>
      <c r="F31" s="1" t="s">
        <v>6383</v>
      </c>
      <c r="G31" s="3"/>
      <c r="H31" s="11">
        <f t="shared" si="3"/>
        <v>20.89</v>
      </c>
      <c r="I31" s="9">
        <f>($K$2+0.02)*Tabla1[[#This Row],[PRECIO $]]*1.18</f>
        <v>16.425599999999999</v>
      </c>
      <c r="J31" s="7">
        <f>+Tabla1[[#This Row],[PRECIO EN SOLES]]-Tabla1[[#This Row],[PC]]</f>
        <v>4.4644000000000013</v>
      </c>
      <c r="K31" s="15"/>
      <c r="L31" s="15" t="str">
        <f t="shared" si="2"/>
        <v>NORMAL</v>
      </c>
    </row>
    <row r="32" spans="1:12" x14ac:dyDescent="0.25">
      <c r="A32" s="3" t="s">
        <v>6384</v>
      </c>
      <c r="B32" s="3" t="s">
        <v>6385</v>
      </c>
      <c r="C32" s="1">
        <v>20</v>
      </c>
      <c r="D32" s="1">
        <v>4</v>
      </c>
      <c r="E32" s="1" t="s">
        <v>55</v>
      </c>
      <c r="F32" s="1" t="s">
        <v>6386</v>
      </c>
      <c r="G32" s="3"/>
      <c r="H32" s="11">
        <f t="shared" si="3"/>
        <v>20.89</v>
      </c>
      <c r="I32" s="9">
        <f>($K$2+0.02)*Tabla1[[#This Row],[PRECIO $]]*1.18</f>
        <v>16.425599999999999</v>
      </c>
      <c r="J32" s="7">
        <f>+Tabla1[[#This Row],[PRECIO EN SOLES]]-Tabla1[[#This Row],[PC]]</f>
        <v>4.4644000000000013</v>
      </c>
      <c r="K32" s="15"/>
      <c r="L32" s="15" t="str">
        <f t="shared" si="2"/>
        <v>NORMAL</v>
      </c>
    </row>
    <row r="33" spans="1:12" x14ac:dyDescent="0.25">
      <c r="A33" s="3" t="s">
        <v>6387</v>
      </c>
      <c r="B33" s="3" t="s">
        <v>6388</v>
      </c>
      <c r="C33" s="1">
        <v>20</v>
      </c>
      <c r="D33" s="1">
        <v>4</v>
      </c>
      <c r="E33" s="1" t="s">
        <v>55</v>
      </c>
      <c r="F33" s="1" t="s">
        <v>6389</v>
      </c>
      <c r="G33" s="3"/>
      <c r="H33" s="11">
        <f t="shared" si="3"/>
        <v>20.89</v>
      </c>
      <c r="I33" s="9">
        <f>($K$2+0.02)*Tabla1[[#This Row],[PRECIO $]]*1.18</f>
        <v>16.425599999999999</v>
      </c>
      <c r="J33" s="7">
        <f>+Tabla1[[#This Row],[PRECIO EN SOLES]]-Tabla1[[#This Row],[PC]]</f>
        <v>4.4644000000000013</v>
      </c>
      <c r="K33" s="15"/>
      <c r="L33" s="15" t="str">
        <f t="shared" si="2"/>
        <v>NORMAL</v>
      </c>
    </row>
    <row r="34" spans="1:12" x14ac:dyDescent="0.25">
      <c r="A34" s="3" t="s">
        <v>6390</v>
      </c>
      <c r="B34" s="3" t="s">
        <v>6391</v>
      </c>
      <c r="C34" s="1">
        <v>20</v>
      </c>
      <c r="D34" s="1">
        <v>4</v>
      </c>
      <c r="E34" s="1" t="s">
        <v>55</v>
      </c>
      <c r="F34" s="1" t="s">
        <v>6392</v>
      </c>
      <c r="G34" s="3"/>
      <c r="H34" s="11">
        <f t="shared" si="3"/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 t="shared" si="2"/>
        <v>NORMAL</v>
      </c>
    </row>
    <row r="35" spans="1:12" x14ac:dyDescent="0.25">
      <c r="A35" s="3" t="s">
        <v>6393</v>
      </c>
      <c r="B35" s="3" t="s">
        <v>6394</v>
      </c>
      <c r="C35" s="1">
        <v>20</v>
      </c>
      <c r="D35" s="1">
        <v>4</v>
      </c>
      <c r="E35" s="1" t="s">
        <v>55</v>
      </c>
      <c r="F35" s="1" t="s">
        <v>6395</v>
      </c>
      <c r="G35" s="3"/>
      <c r="H35" s="11">
        <f t="shared" si="3"/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 t="shared" si="2"/>
        <v>NORMAL</v>
      </c>
    </row>
    <row r="36" spans="1:12" x14ac:dyDescent="0.25">
      <c r="A36" s="3" t="s">
        <v>6396</v>
      </c>
      <c r="B36" s="3" t="s">
        <v>6397</v>
      </c>
      <c r="C36" s="1">
        <v>20</v>
      </c>
      <c r="D36" s="1">
        <v>4</v>
      </c>
      <c r="E36" s="1" t="s">
        <v>55</v>
      </c>
      <c r="F36" s="1" t="s">
        <v>6398</v>
      </c>
      <c r="G36" s="3"/>
      <c r="H36" s="11">
        <f t="shared" si="3"/>
        <v>20.89</v>
      </c>
      <c r="I36" s="9">
        <f>($K$2+0.02)*Tabla1[[#This Row],[PRECIO $]]*1.18</f>
        <v>16.425599999999999</v>
      </c>
      <c r="J36" s="7">
        <f>+Tabla1[[#This Row],[PRECIO EN SOLES]]-Tabla1[[#This Row],[PC]]</f>
        <v>4.4644000000000013</v>
      </c>
      <c r="K36" s="15"/>
      <c r="L36" s="15" t="str">
        <f t="shared" si="2"/>
        <v>NORMAL</v>
      </c>
    </row>
    <row r="37" spans="1:12" x14ac:dyDescent="0.25">
      <c r="A37" s="3" t="s">
        <v>6399</v>
      </c>
      <c r="B37" s="3" t="s">
        <v>6397</v>
      </c>
      <c r="C37" s="1">
        <v>20</v>
      </c>
      <c r="D37" s="1">
        <v>4</v>
      </c>
      <c r="E37" s="1" t="s">
        <v>55</v>
      </c>
      <c r="F37" s="1" t="s">
        <v>6400</v>
      </c>
      <c r="G37" s="3"/>
      <c r="H37" s="11">
        <f t="shared" si="3"/>
        <v>20.89</v>
      </c>
      <c r="I37" s="9">
        <f>($K$2+0.02)*Tabla1[[#This Row],[PRECIO $]]*1.18</f>
        <v>16.425599999999999</v>
      </c>
      <c r="J37" s="7">
        <f>+Tabla1[[#This Row],[PRECIO EN SOLES]]-Tabla1[[#This Row],[PC]]</f>
        <v>4.4644000000000013</v>
      </c>
      <c r="K37" s="15"/>
      <c r="L37" s="15" t="str">
        <f t="shared" si="2"/>
        <v>NORMAL</v>
      </c>
    </row>
    <row r="38" spans="1:12" x14ac:dyDescent="0.25">
      <c r="A38" s="3" t="s">
        <v>789</v>
      </c>
      <c r="B38" s="3" t="s">
        <v>790</v>
      </c>
      <c r="C38" s="1">
        <v>1</v>
      </c>
      <c r="D38" s="1">
        <v>400</v>
      </c>
      <c r="E38" s="1" t="s">
        <v>54</v>
      </c>
      <c r="F38" s="1" t="s">
        <v>3073</v>
      </c>
      <c r="G38" s="3"/>
      <c r="H38" s="11">
        <f t="shared" si="3"/>
        <v>1896.94</v>
      </c>
      <c r="I38" s="9">
        <f>($K$2+0.02)*Tabla1[[#This Row],[PRECIO $]]*1.18</f>
        <v>1642.56</v>
      </c>
      <c r="J38" s="7">
        <f>+Tabla1[[#This Row],[PRECIO EN SOLES]]-Tabla1[[#This Row],[PC]]</f>
        <v>254.38000000000011</v>
      </c>
      <c r="K38" s="15"/>
      <c r="L38" s="15" t="str">
        <f t="shared" si="2"/>
        <v>NORMAL</v>
      </c>
    </row>
    <row r="39" spans="1:12" x14ac:dyDescent="0.25">
      <c r="A39" s="3" t="s">
        <v>791</v>
      </c>
      <c r="B39" s="3" t="s">
        <v>792</v>
      </c>
      <c r="C39" s="1">
        <v>2</v>
      </c>
      <c r="D39" s="1">
        <v>51.8</v>
      </c>
      <c r="E39" s="1" t="s">
        <v>54</v>
      </c>
      <c r="F39" s="1" t="s">
        <v>3074</v>
      </c>
      <c r="G39" s="3" t="s">
        <v>793</v>
      </c>
      <c r="H39" s="11">
        <f t="shared" si="3"/>
        <v>252.62</v>
      </c>
      <c r="I39" s="9">
        <f>($K$2+0.02)*Tabla1[[#This Row],[PRECIO $]]*1.18</f>
        <v>212.71151999999998</v>
      </c>
      <c r="J39" s="7">
        <f>+Tabla1[[#This Row],[PRECIO EN SOLES]]-Tabla1[[#This Row],[PC]]</f>
        <v>39.908480000000026</v>
      </c>
      <c r="K39" s="15"/>
      <c r="L39" s="15" t="str">
        <f t="shared" si="2"/>
        <v>NORMAL</v>
      </c>
    </row>
    <row r="40" spans="1:12" x14ac:dyDescent="0.25">
      <c r="A40" s="3" t="s">
        <v>794</v>
      </c>
      <c r="B40" s="3" t="s">
        <v>795</v>
      </c>
      <c r="C40" s="1">
        <v>3</v>
      </c>
      <c r="D40" s="1">
        <v>320</v>
      </c>
      <c r="E40" s="1" t="s">
        <v>57</v>
      </c>
      <c r="F40" s="1" t="s">
        <v>3075</v>
      </c>
      <c r="G40" s="3"/>
      <c r="H40" s="11">
        <f t="shared" si="3"/>
        <v>1519.16</v>
      </c>
      <c r="I40" s="9">
        <f>($K$2+0.02)*Tabla1[[#This Row],[PRECIO $]]*1.18</f>
        <v>1314.0479999999998</v>
      </c>
      <c r="J40" s="7">
        <f>+Tabla1[[#This Row],[PRECIO EN SOLES]]-Tabla1[[#This Row],[PC]]</f>
        <v>205.11200000000031</v>
      </c>
      <c r="K40" s="15"/>
      <c r="L40" s="15" t="str">
        <f t="shared" si="2"/>
        <v>COMPLEMENTO</v>
      </c>
    </row>
    <row r="41" spans="1:12" x14ac:dyDescent="0.25">
      <c r="A41" s="3" t="s">
        <v>3027</v>
      </c>
      <c r="B41" s="3" t="s">
        <v>3028</v>
      </c>
      <c r="C41" s="1">
        <v>20</v>
      </c>
      <c r="D41" s="1">
        <v>8</v>
      </c>
      <c r="E41" s="1" t="s">
        <v>3029</v>
      </c>
      <c r="F41" s="1" t="s">
        <v>3076</v>
      </c>
      <c r="G41" s="3" t="s">
        <v>4856</v>
      </c>
      <c r="H41" s="11">
        <f t="shared" si="3"/>
        <v>41.78</v>
      </c>
      <c r="I41" s="9">
        <f>($K$2+0.02)*Tabla1[[#This Row],[PRECIO $]]*1.18</f>
        <v>32.851199999999999</v>
      </c>
      <c r="J41" s="7">
        <f>+Tabla1[[#This Row],[PRECIO EN SOLES]]-Tabla1[[#This Row],[PC]]</f>
        <v>8.9288000000000025</v>
      </c>
      <c r="K41" s="15"/>
      <c r="L41" s="15" t="str">
        <f t="shared" si="2"/>
        <v>COMPLEMENTO</v>
      </c>
    </row>
    <row r="42" spans="1:12" x14ac:dyDescent="0.25">
      <c r="A42" s="3" t="s">
        <v>796</v>
      </c>
      <c r="B42" s="3" t="s">
        <v>797</v>
      </c>
      <c r="C42" s="1">
        <v>0</v>
      </c>
      <c r="D42" s="1">
        <v>15.7</v>
      </c>
      <c r="E42" s="1" t="s">
        <v>56</v>
      </c>
      <c r="F42" s="1" t="s">
        <v>3077</v>
      </c>
      <c r="G42" s="3" t="s">
        <v>798</v>
      </c>
      <c r="H42" s="11">
        <f t="shared" si="3"/>
        <v>84.59</v>
      </c>
      <c r="I42" s="9">
        <f>($K$2+0.02)*Tabla1[[#This Row],[PRECIO $]]*1.18</f>
        <v>64.470479999999995</v>
      </c>
      <c r="J42" s="7">
        <f>+Tabla1[[#This Row],[PRECIO EN SOLES]]-Tabla1[[#This Row],[PC]]</f>
        <v>20.119520000000009</v>
      </c>
      <c r="K42" s="15"/>
      <c r="L42" s="15" t="str">
        <f t="shared" si="2"/>
        <v>COMPLEMENTO</v>
      </c>
    </row>
    <row r="43" spans="1:12" x14ac:dyDescent="0.25">
      <c r="A43" s="3" t="s">
        <v>799</v>
      </c>
      <c r="B43" s="3" t="s">
        <v>800</v>
      </c>
      <c r="C43" s="1">
        <v>20</v>
      </c>
      <c r="D43" s="1">
        <v>1.8</v>
      </c>
      <c r="E43" s="1" t="s">
        <v>58</v>
      </c>
      <c r="F43" s="1" t="s">
        <v>3078</v>
      </c>
      <c r="G43" s="3" t="s">
        <v>801</v>
      </c>
      <c r="H43" s="11">
        <f t="shared" si="3"/>
        <v>10.74</v>
      </c>
      <c r="I43" s="9">
        <f>($K$2+0.02)*Tabla1[[#This Row],[PRECIO $]]*1.18</f>
        <v>7.3915199999999999</v>
      </c>
      <c r="J43" s="7">
        <f>+Tabla1[[#This Row],[PRECIO EN SOLES]]-Tabla1[[#This Row],[PC]]</f>
        <v>3.3484800000000003</v>
      </c>
      <c r="K43" s="15"/>
      <c r="L43" s="15" t="str">
        <f t="shared" si="2"/>
        <v>COMPLEMENTO</v>
      </c>
    </row>
    <row r="44" spans="1:12" x14ac:dyDescent="0.25">
      <c r="A44" s="3" t="s">
        <v>802</v>
      </c>
      <c r="B44" s="3" t="s">
        <v>803</v>
      </c>
      <c r="C44" s="1">
        <v>20</v>
      </c>
      <c r="D44" s="1">
        <v>3.45</v>
      </c>
      <c r="E44" s="1" t="s">
        <v>58</v>
      </c>
      <c r="F44" s="1" t="s">
        <v>3079</v>
      </c>
      <c r="G44" s="3" t="s">
        <v>804</v>
      </c>
      <c r="H44" s="11">
        <f t="shared" si="3"/>
        <v>19.21</v>
      </c>
      <c r="I44" s="9">
        <f>($K$2+0.02)*Tabla1[[#This Row],[PRECIO $]]*1.18</f>
        <v>14.16708</v>
      </c>
      <c r="J44" s="7">
        <f>+Tabla1[[#This Row],[PRECIO EN SOLES]]-Tabla1[[#This Row],[PC]]</f>
        <v>5.0429200000000005</v>
      </c>
      <c r="K44" s="15"/>
      <c r="L44" s="15" t="str">
        <f t="shared" si="2"/>
        <v>COMPLEMENTO</v>
      </c>
    </row>
    <row r="45" spans="1:12" x14ac:dyDescent="0.25">
      <c r="A45" s="3" t="s">
        <v>805</v>
      </c>
      <c r="B45" s="3" t="s">
        <v>806</v>
      </c>
      <c r="C45" s="1">
        <v>20</v>
      </c>
      <c r="D45" s="1">
        <v>2.2000000000000002</v>
      </c>
      <c r="E45" s="1" t="s">
        <v>58</v>
      </c>
      <c r="F45" s="1" t="s">
        <v>3080</v>
      </c>
      <c r="G45" s="3" t="s">
        <v>807</v>
      </c>
      <c r="H45" s="11">
        <f t="shared" si="3"/>
        <v>12.79</v>
      </c>
      <c r="I45" s="9">
        <f>($K$2+0.02)*Tabla1[[#This Row],[PRECIO $]]*1.18</f>
        <v>9.0340799999999994</v>
      </c>
      <c r="J45" s="7">
        <f>+Tabla1[[#This Row],[PRECIO EN SOLES]]-Tabla1[[#This Row],[PC]]</f>
        <v>3.7559199999999997</v>
      </c>
      <c r="K45" s="15"/>
      <c r="L45" s="15" t="str">
        <f t="shared" si="2"/>
        <v>COMPLEMENTO</v>
      </c>
    </row>
    <row r="46" spans="1:12" x14ac:dyDescent="0.25">
      <c r="A46" s="3" t="s">
        <v>808</v>
      </c>
      <c r="B46" s="3" t="s">
        <v>809</v>
      </c>
      <c r="C46" s="1">
        <v>20</v>
      </c>
      <c r="D46" s="1">
        <v>2.35</v>
      </c>
      <c r="E46" s="1" t="s">
        <v>58</v>
      </c>
      <c r="F46" s="1" t="s">
        <v>3081</v>
      </c>
      <c r="G46" s="3" t="s">
        <v>810</v>
      </c>
      <c r="H46" s="11">
        <f t="shared" si="3"/>
        <v>13.56</v>
      </c>
      <c r="I46" s="9">
        <f>($K$2+0.02)*Tabla1[[#This Row],[PRECIO $]]*1.18</f>
        <v>9.6500400000000006</v>
      </c>
      <c r="J46" s="7">
        <f>+Tabla1[[#This Row],[PRECIO EN SOLES]]-Tabla1[[#This Row],[PC]]</f>
        <v>3.9099599999999999</v>
      </c>
      <c r="K46" s="15"/>
      <c r="L46" s="15" t="str">
        <f t="shared" si="2"/>
        <v>COMPLEMENTO</v>
      </c>
    </row>
    <row r="47" spans="1:12" x14ac:dyDescent="0.25">
      <c r="A47" s="3" t="s">
        <v>811</v>
      </c>
      <c r="B47" s="3" t="s">
        <v>812</v>
      </c>
      <c r="C47" s="1">
        <v>0</v>
      </c>
      <c r="D47" s="1">
        <v>22.5</v>
      </c>
      <c r="E47" s="1" t="s">
        <v>57</v>
      </c>
      <c r="F47" s="1" t="s">
        <v>3082</v>
      </c>
      <c r="G47" s="3"/>
      <c r="H47" s="11">
        <f t="shared" si="3"/>
        <v>119.49</v>
      </c>
      <c r="I47" s="9">
        <f>($K$2+0.02)*Tabla1[[#This Row],[PRECIO $]]*1.18</f>
        <v>92.393999999999991</v>
      </c>
      <c r="J47" s="7">
        <f>+Tabla1[[#This Row],[PRECIO EN SOLES]]-Tabla1[[#This Row],[PC]]</f>
        <v>27.096000000000004</v>
      </c>
      <c r="K47" s="15"/>
      <c r="L47" s="15" t="str">
        <f t="shared" si="2"/>
        <v>COMPLEMENTO</v>
      </c>
    </row>
    <row r="48" spans="1:12" x14ac:dyDescent="0.25">
      <c r="A48" s="3" t="s">
        <v>59</v>
      </c>
      <c r="B48" s="3" t="s">
        <v>60</v>
      </c>
      <c r="C48" s="1">
        <v>20</v>
      </c>
      <c r="D48" s="1">
        <v>10.1</v>
      </c>
      <c r="E48" s="1" t="s">
        <v>52</v>
      </c>
      <c r="F48" s="1" t="s">
        <v>3083</v>
      </c>
      <c r="G48" s="3" t="s">
        <v>61</v>
      </c>
      <c r="H48" s="11">
        <f t="shared" si="3"/>
        <v>54.84</v>
      </c>
      <c r="I48" s="9">
        <f>($K$2+0.02)*Tabla1[[#This Row],[PRECIO $]]*1.18</f>
        <v>41.474639999999994</v>
      </c>
      <c r="J48" s="7">
        <f>+Tabla1[[#This Row],[PRECIO EN SOLES]]-Tabla1[[#This Row],[PC]]</f>
        <v>13.36536000000001</v>
      </c>
      <c r="K48" s="15"/>
      <c r="L48" s="15" t="str">
        <f t="shared" si="2"/>
        <v>COMPLEMENTO</v>
      </c>
    </row>
    <row r="49" spans="1:12" x14ac:dyDescent="0.25">
      <c r="A49" s="3" t="s">
        <v>62</v>
      </c>
      <c r="B49" s="3" t="s">
        <v>63</v>
      </c>
      <c r="C49" s="1">
        <v>20</v>
      </c>
      <c r="D49" s="1">
        <v>2.2000000000000002</v>
      </c>
      <c r="E49" s="1" t="s">
        <v>52</v>
      </c>
      <c r="F49" s="1" t="s">
        <v>3084</v>
      </c>
      <c r="G49" s="3" t="s">
        <v>64</v>
      </c>
      <c r="H49" s="11">
        <f t="shared" si="3"/>
        <v>12.79</v>
      </c>
      <c r="I49" s="9">
        <f>($K$2+0.02)*Tabla1[[#This Row],[PRECIO $]]*1.18</f>
        <v>9.0340799999999994</v>
      </c>
      <c r="J49" s="7">
        <f>+Tabla1[[#This Row],[PRECIO EN SOLES]]-Tabla1[[#This Row],[PC]]</f>
        <v>3.7559199999999997</v>
      </c>
      <c r="K49" s="15"/>
      <c r="L49" s="15" t="str">
        <f t="shared" si="2"/>
        <v>COMPLEMENTO</v>
      </c>
    </row>
    <row r="50" spans="1:12" x14ac:dyDescent="0.25">
      <c r="A50" s="3" t="s">
        <v>65</v>
      </c>
      <c r="B50" s="3" t="s">
        <v>66</v>
      </c>
      <c r="C50" s="1">
        <v>20</v>
      </c>
      <c r="D50" s="1">
        <v>1.55</v>
      </c>
      <c r="E50" s="1" t="s">
        <v>52</v>
      </c>
      <c r="F50" s="1" t="s">
        <v>3085</v>
      </c>
      <c r="G50" s="3" t="s">
        <v>67</v>
      </c>
      <c r="H50" s="11">
        <f t="shared" si="3"/>
        <v>9.4600000000000009</v>
      </c>
      <c r="I50" s="9">
        <f>($K$2+0.02)*Tabla1[[#This Row],[PRECIO $]]*1.18</f>
        <v>6.3649199999999997</v>
      </c>
      <c r="J50" s="7">
        <f>+Tabla1[[#This Row],[PRECIO EN SOLES]]-Tabla1[[#This Row],[PC]]</f>
        <v>3.0950800000000012</v>
      </c>
      <c r="K50" s="15"/>
      <c r="L50" s="15" t="str">
        <f t="shared" si="2"/>
        <v>COMPLEMENTO</v>
      </c>
    </row>
    <row r="51" spans="1:12" x14ac:dyDescent="0.25">
      <c r="A51" s="3" t="s">
        <v>813</v>
      </c>
      <c r="B51" s="3" t="s">
        <v>814</v>
      </c>
      <c r="C51" s="1">
        <v>7</v>
      </c>
      <c r="D51" s="1">
        <v>1.95</v>
      </c>
      <c r="E51" s="1" t="s">
        <v>52</v>
      </c>
      <c r="F51" s="1" t="s">
        <v>3086</v>
      </c>
      <c r="G51" s="3" t="s">
        <v>815</v>
      </c>
      <c r="H51" s="11">
        <f t="shared" si="3"/>
        <v>11.51</v>
      </c>
      <c r="I51" s="9">
        <f>($K$2+0.02)*Tabla1[[#This Row],[PRECIO $]]*1.18</f>
        <v>8.0074799999999993</v>
      </c>
      <c r="J51" s="7">
        <f>+Tabla1[[#This Row],[PRECIO EN SOLES]]-Tabla1[[#This Row],[PC]]</f>
        <v>3.5025200000000005</v>
      </c>
      <c r="K51" s="15"/>
      <c r="L51" s="15" t="str">
        <f t="shared" si="2"/>
        <v>COMPLEMENTO</v>
      </c>
    </row>
    <row r="52" spans="1:12" x14ac:dyDescent="0.25">
      <c r="A52" s="3" t="s">
        <v>68</v>
      </c>
      <c r="B52" s="3" t="s">
        <v>69</v>
      </c>
      <c r="C52" s="1">
        <v>20</v>
      </c>
      <c r="D52" s="1">
        <v>6.22</v>
      </c>
      <c r="E52" s="1" t="s">
        <v>52</v>
      </c>
      <c r="F52" s="1" t="s">
        <v>3087</v>
      </c>
      <c r="G52" s="3" t="s">
        <v>70</v>
      </c>
      <c r="H52" s="11">
        <f t="shared" si="3"/>
        <v>34.93</v>
      </c>
      <c r="I52" s="9">
        <f>($K$2+0.02)*Tabla1[[#This Row],[PRECIO $]]*1.18</f>
        <v>25.541807999999996</v>
      </c>
      <c r="J52" s="7">
        <f>+Tabla1[[#This Row],[PRECIO EN SOLES]]-Tabla1[[#This Row],[PC]]</f>
        <v>9.3881920000000036</v>
      </c>
      <c r="K52" s="15"/>
      <c r="L52" s="15" t="str">
        <f t="shared" si="2"/>
        <v>COMPLEMENTO</v>
      </c>
    </row>
    <row r="53" spans="1:12" x14ac:dyDescent="0.25">
      <c r="A53" s="3" t="s">
        <v>71</v>
      </c>
      <c r="B53" s="3" t="s">
        <v>72</v>
      </c>
      <c r="C53" s="1">
        <v>5</v>
      </c>
      <c r="D53" s="1">
        <v>4.3</v>
      </c>
      <c r="E53" s="1" t="s">
        <v>58</v>
      </c>
      <c r="F53" s="1" t="s">
        <v>3088</v>
      </c>
      <c r="G53" s="3"/>
      <c r="H53" s="11">
        <f t="shared" si="3"/>
        <v>23.57</v>
      </c>
      <c r="I53" s="9">
        <f>($K$2+0.02)*Tabla1[[#This Row],[PRECIO $]]*1.18</f>
        <v>17.657519999999998</v>
      </c>
      <c r="J53" s="7">
        <f>+Tabla1[[#This Row],[PRECIO EN SOLES]]-Tabla1[[#This Row],[PC]]</f>
        <v>5.9124800000000022</v>
      </c>
      <c r="K53" s="15"/>
      <c r="L53" s="15" t="str">
        <f t="shared" si="2"/>
        <v>NORMAL</v>
      </c>
    </row>
    <row r="54" spans="1:12" x14ac:dyDescent="0.25">
      <c r="A54" s="3" t="s">
        <v>816</v>
      </c>
      <c r="B54" s="3" t="s">
        <v>60</v>
      </c>
      <c r="C54" s="1">
        <v>0</v>
      </c>
      <c r="D54" s="1">
        <v>999</v>
      </c>
      <c r="E54" s="1" t="s">
        <v>187</v>
      </c>
      <c r="F54" s="1" t="s">
        <v>3089</v>
      </c>
      <c r="G54" s="3"/>
      <c r="H54" s="11">
        <f t="shared" si="3"/>
        <v>5132.87</v>
      </c>
      <c r="I54" s="9">
        <f>($K$2+0.02)*Tabla1[[#This Row],[PRECIO $]]*1.18</f>
        <v>4102.2936</v>
      </c>
      <c r="J54" s="7">
        <f>+Tabla1[[#This Row],[PRECIO EN SOLES]]-Tabla1[[#This Row],[PC]]</f>
        <v>1030.5763999999999</v>
      </c>
      <c r="K54" s="15"/>
      <c r="L54" s="15" t="str">
        <f t="shared" si="2"/>
        <v>NORMAL</v>
      </c>
    </row>
    <row r="55" spans="1:12" x14ac:dyDescent="0.25">
      <c r="A55" s="3" t="s">
        <v>817</v>
      </c>
      <c r="B55" s="3" t="s">
        <v>818</v>
      </c>
      <c r="C55" s="1">
        <v>3</v>
      </c>
      <c r="D55" s="1">
        <v>198</v>
      </c>
      <c r="E55" s="1" t="s">
        <v>58</v>
      </c>
      <c r="F55" s="1" t="s">
        <v>3090</v>
      </c>
      <c r="G55" s="3" t="s">
        <v>819</v>
      </c>
      <c r="H55" s="11">
        <f t="shared" si="3"/>
        <v>943.03</v>
      </c>
      <c r="I55" s="9">
        <f>($K$2+0.02)*Tabla1[[#This Row],[PRECIO $]]*1.18</f>
        <v>813.06719999999996</v>
      </c>
      <c r="J55" s="7">
        <f>+Tabla1[[#This Row],[PRECIO EN SOLES]]-Tabla1[[#This Row],[PC]]</f>
        <v>129.96280000000002</v>
      </c>
      <c r="K55" s="15"/>
      <c r="L55" s="15" t="str">
        <f t="shared" si="2"/>
        <v>NORMAL</v>
      </c>
    </row>
    <row r="56" spans="1:12" x14ac:dyDescent="0.25">
      <c r="A56" s="3" t="s">
        <v>820</v>
      </c>
      <c r="B56" s="3" t="s">
        <v>821</v>
      </c>
      <c r="C56" s="1">
        <v>3</v>
      </c>
      <c r="D56" s="1">
        <v>160</v>
      </c>
      <c r="E56" s="1" t="s">
        <v>58</v>
      </c>
      <c r="F56" s="1" t="s">
        <v>3091</v>
      </c>
      <c r="G56" s="3" t="s">
        <v>822</v>
      </c>
      <c r="H56" s="11">
        <f t="shared" si="3"/>
        <v>763.58</v>
      </c>
      <c r="I56" s="9">
        <f>($K$2+0.02)*Tabla1[[#This Row],[PRECIO $]]*1.18</f>
        <v>657.02399999999989</v>
      </c>
      <c r="J56" s="7">
        <f>+Tabla1[[#This Row],[PRECIO EN SOLES]]-Tabla1[[#This Row],[PC]]</f>
        <v>106.55600000000015</v>
      </c>
      <c r="K56" s="15"/>
      <c r="L56" s="15" t="str">
        <f t="shared" si="2"/>
        <v>NORMAL</v>
      </c>
    </row>
    <row r="57" spans="1:12" x14ac:dyDescent="0.25">
      <c r="A57" s="3" t="s">
        <v>823</v>
      </c>
      <c r="B57" s="3" t="s">
        <v>824</v>
      </c>
      <c r="C57" s="1">
        <v>1</v>
      </c>
      <c r="D57" s="1">
        <v>254</v>
      </c>
      <c r="E57" s="1" t="s">
        <v>57</v>
      </c>
      <c r="F57" s="1" t="s">
        <v>3092</v>
      </c>
      <c r="G57" s="3" t="s">
        <v>825</v>
      </c>
      <c r="H57" s="11">
        <f t="shared" si="3"/>
        <v>1207.48</v>
      </c>
      <c r="I57" s="9">
        <f>($K$2+0.02)*Tabla1[[#This Row],[PRECIO $]]*1.18</f>
        <v>1043.0255999999999</v>
      </c>
      <c r="J57" s="7">
        <f>+Tabla1[[#This Row],[PRECIO EN SOLES]]-Tabla1[[#This Row],[PC]]</f>
        <v>164.45440000000008</v>
      </c>
      <c r="K57" s="15"/>
      <c r="L57" s="15" t="str">
        <f t="shared" si="2"/>
        <v>NORMAL</v>
      </c>
    </row>
    <row r="58" spans="1:12" x14ac:dyDescent="0.25">
      <c r="A58" s="3" t="s">
        <v>4177</v>
      </c>
      <c r="B58" s="3" t="s">
        <v>4178</v>
      </c>
      <c r="C58" s="1">
        <v>8</v>
      </c>
      <c r="D58" s="1">
        <v>126</v>
      </c>
      <c r="E58" s="1" t="s">
        <v>73</v>
      </c>
      <c r="F58" s="1" t="s">
        <v>4228</v>
      </c>
      <c r="G58" s="3" t="s">
        <v>4179</v>
      </c>
      <c r="H58" s="11">
        <f t="shared" si="3"/>
        <v>603.02</v>
      </c>
      <c r="I58" s="9">
        <f>($K$2+0.02)*Tabla1[[#This Row],[PRECIO $]]*1.18</f>
        <v>517.40639999999996</v>
      </c>
      <c r="J58" s="7">
        <f>+Tabla1[[#This Row],[PRECIO EN SOLES]]-Tabla1[[#This Row],[PC]]</f>
        <v>85.613600000000019</v>
      </c>
      <c r="K58" s="15"/>
      <c r="L58" s="15" t="str">
        <f t="shared" si="2"/>
        <v>NORMAL</v>
      </c>
    </row>
    <row r="59" spans="1:12" x14ac:dyDescent="0.25">
      <c r="A59" s="3" t="s">
        <v>826</v>
      </c>
      <c r="B59" s="3" t="s">
        <v>827</v>
      </c>
      <c r="C59" s="1">
        <v>20</v>
      </c>
      <c r="D59" s="1">
        <v>53</v>
      </c>
      <c r="E59" s="1" t="s">
        <v>74</v>
      </c>
      <c r="F59" s="1" t="s">
        <v>3093</v>
      </c>
      <c r="G59" s="3" t="s">
        <v>828</v>
      </c>
      <c r="H59" s="11">
        <f t="shared" si="3"/>
        <v>258.29000000000002</v>
      </c>
      <c r="I59" s="9">
        <f>($K$2+0.02)*Tabla1[[#This Row],[PRECIO $]]*1.18</f>
        <v>217.63919999999999</v>
      </c>
      <c r="J59" s="7">
        <f>+Tabla1[[#This Row],[PRECIO EN SOLES]]-Tabla1[[#This Row],[PC]]</f>
        <v>40.650800000000032</v>
      </c>
      <c r="K59" s="15"/>
      <c r="L59" s="15" t="str">
        <f t="shared" si="2"/>
        <v>COMPLEMENTO</v>
      </c>
    </row>
    <row r="60" spans="1:12" x14ac:dyDescent="0.25">
      <c r="A60" s="3" t="s">
        <v>829</v>
      </c>
      <c r="B60" s="3" t="s">
        <v>830</v>
      </c>
      <c r="C60" s="1">
        <v>20</v>
      </c>
      <c r="D60" s="1">
        <v>29</v>
      </c>
      <c r="E60" s="1" t="s">
        <v>831</v>
      </c>
      <c r="F60" s="1" t="s">
        <v>3094</v>
      </c>
      <c r="G60" s="3" t="s">
        <v>832</v>
      </c>
      <c r="H60" s="11">
        <f t="shared" si="3"/>
        <v>142.94999999999999</v>
      </c>
      <c r="I60" s="9">
        <f>($K$2+0.02)*Tabla1[[#This Row],[PRECIO $]]*1.18</f>
        <v>119.0856</v>
      </c>
      <c r="J60" s="7">
        <f>+Tabla1[[#This Row],[PRECIO EN SOLES]]-Tabla1[[#This Row],[PC]]</f>
        <v>23.864399999999989</v>
      </c>
      <c r="K60" s="15"/>
      <c r="L60" s="15" t="str">
        <f t="shared" si="2"/>
        <v>NORMAL</v>
      </c>
    </row>
    <row r="61" spans="1:12" x14ac:dyDescent="0.25">
      <c r="A61" s="3" t="s">
        <v>833</v>
      </c>
      <c r="B61" s="3" t="s">
        <v>834</v>
      </c>
      <c r="C61" s="1">
        <v>20</v>
      </c>
      <c r="D61" s="1">
        <v>9.4</v>
      </c>
      <c r="E61" s="1" t="s">
        <v>837</v>
      </c>
      <c r="F61" s="1" t="s">
        <v>3095</v>
      </c>
      <c r="G61" s="3" t="s">
        <v>2771</v>
      </c>
      <c r="H61" s="11">
        <f t="shared" si="3"/>
        <v>51.25</v>
      </c>
      <c r="I61" s="9">
        <f>($K$2+0.02)*Tabla1[[#This Row],[PRECIO $]]*1.18</f>
        <v>38.600160000000002</v>
      </c>
      <c r="J61" s="7">
        <f>+Tabla1[[#This Row],[PRECIO EN SOLES]]-Tabla1[[#This Row],[PC]]</f>
        <v>12.649839999999998</v>
      </c>
      <c r="K61" s="15"/>
      <c r="L61" s="15" t="str">
        <f t="shared" si="2"/>
        <v>NORMAL</v>
      </c>
    </row>
    <row r="62" spans="1:12" x14ac:dyDescent="0.25">
      <c r="A62" s="3" t="s">
        <v>835</v>
      </c>
      <c r="B62" s="3" t="s">
        <v>836</v>
      </c>
      <c r="C62" s="1">
        <v>20</v>
      </c>
      <c r="D62" s="1">
        <v>53.6</v>
      </c>
      <c r="E62" s="1" t="s">
        <v>837</v>
      </c>
      <c r="F62" s="1" t="s">
        <v>3096</v>
      </c>
      <c r="G62" s="3" t="s">
        <v>2772</v>
      </c>
      <c r="H62" s="11">
        <f t="shared" si="3"/>
        <v>261.12</v>
      </c>
      <c r="I62" s="9">
        <f>($K$2+0.02)*Tabla1[[#This Row],[PRECIO $]]*1.18</f>
        <v>220.10303999999996</v>
      </c>
      <c r="J62" s="7">
        <f>+Tabla1[[#This Row],[PRECIO EN SOLES]]-Tabla1[[#This Row],[PC]]</f>
        <v>41.01696000000004</v>
      </c>
      <c r="K62" s="15"/>
      <c r="L62" s="15" t="str">
        <f t="shared" si="2"/>
        <v>NORMAL</v>
      </c>
    </row>
    <row r="63" spans="1:12" x14ac:dyDescent="0.25">
      <c r="A63" s="3" t="s">
        <v>75</v>
      </c>
      <c r="B63" s="3" t="s">
        <v>76</v>
      </c>
      <c r="C63" s="1">
        <v>20</v>
      </c>
      <c r="D63" s="1">
        <v>9.6</v>
      </c>
      <c r="E63" s="1" t="s">
        <v>52</v>
      </c>
      <c r="F63" s="1" t="s">
        <v>3097</v>
      </c>
      <c r="G63" s="3" t="s">
        <v>77</v>
      </c>
      <c r="H63" s="11">
        <f t="shared" si="3"/>
        <v>49.33</v>
      </c>
      <c r="I63" s="9">
        <f>($K$2+0.02)*Tabla1[[#This Row],[PRECIO $]]*1.18</f>
        <v>39.421439999999997</v>
      </c>
      <c r="J63" s="7">
        <f>+Tabla1[[#This Row],[PRECIO EN SOLES]]-Tabla1[[#This Row],[PC]]</f>
        <v>9.9085600000000014</v>
      </c>
      <c r="K63" s="15"/>
      <c r="L63" s="15" t="str">
        <f t="shared" si="2"/>
        <v>NORMAL</v>
      </c>
    </row>
    <row r="64" spans="1:12" x14ac:dyDescent="0.25">
      <c r="A64" s="3" t="s">
        <v>78</v>
      </c>
      <c r="B64" s="3" t="s">
        <v>79</v>
      </c>
      <c r="C64" s="1">
        <v>20</v>
      </c>
      <c r="D64" s="1">
        <v>9.6</v>
      </c>
      <c r="E64" s="1" t="s">
        <v>52</v>
      </c>
      <c r="F64" s="1" t="s">
        <v>3098</v>
      </c>
      <c r="G64" s="3" t="s">
        <v>80</v>
      </c>
      <c r="H64" s="11">
        <f t="shared" si="3"/>
        <v>49.33</v>
      </c>
      <c r="I64" s="9">
        <f>($K$2+0.02)*Tabla1[[#This Row],[PRECIO $]]*1.18</f>
        <v>39.421439999999997</v>
      </c>
      <c r="J64" s="7">
        <f>+Tabla1[[#This Row],[PRECIO EN SOLES]]-Tabla1[[#This Row],[PC]]</f>
        <v>9.9085600000000014</v>
      </c>
      <c r="K64" s="15"/>
      <c r="L64" s="15" t="str">
        <f t="shared" si="2"/>
        <v>NORMAL</v>
      </c>
    </row>
    <row r="65" spans="1:12" x14ac:dyDescent="0.25">
      <c r="A65" s="3" t="s">
        <v>6401</v>
      </c>
      <c r="B65" s="3" t="s">
        <v>6402</v>
      </c>
      <c r="C65" s="1">
        <v>0</v>
      </c>
      <c r="D65" s="1">
        <v>11.1</v>
      </c>
      <c r="E65" s="1" t="s">
        <v>52</v>
      </c>
      <c r="F65" s="1" t="s">
        <v>6403</v>
      </c>
      <c r="G65" s="3" t="s">
        <v>6404</v>
      </c>
      <c r="H65" s="11">
        <f t="shared" si="3"/>
        <v>56.42</v>
      </c>
      <c r="I65" s="9">
        <f>($K$2+0.02)*Tabla1[[#This Row],[PRECIO $]]*1.18</f>
        <v>45.581039999999994</v>
      </c>
      <c r="J65" s="7">
        <f>+Tabla1[[#This Row],[PRECIO EN SOLES]]-Tabla1[[#This Row],[PC]]</f>
        <v>10.838960000000007</v>
      </c>
      <c r="K65" s="15"/>
      <c r="L65" s="15" t="str">
        <f t="shared" si="2"/>
        <v>NORMAL</v>
      </c>
    </row>
    <row r="66" spans="1:12" x14ac:dyDescent="0.25">
      <c r="A66" s="3" t="s">
        <v>81</v>
      </c>
      <c r="B66" s="3" t="s">
        <v>82</v>
      </c>
      <c r="C66" s="1">
        <v>0</v>
      </c>
      <c r="D66" s="1">
        <v>18.399999999999999</v>
      </c>
      <c r="E66" s="1" t="s">
        <v>52</v>
      </c>
      <c r="F66" s="1" t="s">
        <v>3099</v>
      </c>
      <c r="G66" s="3" t="s">
        <v>83</v>
      </c>
      <c r="H66" s="11">
        <f t="shared" si="3"/>
        <v>90.89</v>
      </c>
      <c r="I66" s="9">
        <f>($K$2+0.02)*Tabla1[[#This Row],[PRECIO $]]*1.18</f>
        <v>75.557759999999988</v>
      </c>
      <c r="J66" s="7">
        <f>+Tabla1[[#This Row],[PRECIO EN SOLES]]-Tabla1[[#This Row],[PC]]</f>
        <v>15.332240000000013</v>
      </c>
      <c r="K66" s="15"/>
      <c r="L66" s="15" t="str">
        <f t="shared" si="2"/>
        <v>NORMAL</v>
      </c>
    </row>
    <row r="67" spans="1:12" x14ac:dyDescent="0.25">
      <c r="A67" s="3" t="s">
        <v>84</v>
      </c>
      <c r="B67" s="3" t="s">
        <v>85</v>
      </c>
      <c r="C67" s="1">
        <v>20</v>
      </c>
      <c r="D67" s="1">
        <v>18.399999999999999</v>
      </c>
      <c r="E67" s="1" t="s">
        <v>52</v>
      </c>
      <c r="F67" s="1" t="s">
        <v>3100</v>
      </c>
      <c r="G67" s="3" t="s">
        <v>86</v>
      </c>
      <c r="H67" s="11">
        <f t="shared" si="3"/>
        <v>90.89</v>
      </c>
      <c r="I67" s="9">
        <f>($K$2+0.02)*Tabla1[[#This Row],[PRECIO $]]*1.18</f>
        <v>75.557759999999988</v>
      </c>
      <c r="J67" s="7">
        <f>+Tabla1[[#This Row],[PRECIO EN SOLES]]-Tabla1[[#This Row],[PC]]</f>
        <v>15.332240000000013</v>
      </c>
      <c r="K67" s="15"/>
      <c r="L67" s="15" t="str">
        <f t="shared" si="2"/>
        <v>NORMAL</v>
      </c>
    </row>
    <row r="68" spans="1:12" x14ac:dyDescent="0.25">
      <c r="A68" s="3" t="s">
        <v>87</v>
      </c>
      <c r="B68" s="3" t="s">
        <v>88</v>
      </c>
      <c r="C68" s="1">
        <v>20</v>
      </c>
      <c r="D68" s="1">
        <v>18.399999999999999</v>
      </c>
      <c r="E68" s="1" t="s">
        <v>52</v>
      </c>
      <c r="F68" s="1" t="s">
        <v>3101</v>
      </c>
      <c r="G68" s="3" t="s">
        <v>89</v>
      </c>
      <c r="H68" s="11">
        <f t="shared" si="3"/>
        <v>90.89</v>
      </c>
      <c r="I68" s="9">
        <f>($K$2+0.02)*Tabla1[[#This Row],[PRECIO $]]*1.18</f>
        <v>75.557759999999988</v>
      </c>
      <c r="J68" s="7">
        <f>+Tabla1[[#This Row],[PRECIO EN SOLES]]-Tabla1[[#This Row],[PC]]</f>
        <v>15.332240000000013</v>
      </c>
      <c r="K68" s="15"/>
      <c r="L68" s="15" t="str">
        <f t="shared" si="2"/>
        <v>NORMAL</v>
      </c>
    </row>
    <row r="69" spans="1:12" x14ac:dyDescent="0.25">
      <c r="A69" s="3" t="s">
        <v>839</v>
      </c>
      <c r="B69" s="3" t="s">
        <v>840</v>
      </c>
      <c r="C69" s="1">
        <v>20</v>
      </c>
      <c r="D69" s="1">
        <v>18.399999999999999</v>
      </c>
      <c r="E69" s="1" t="s">
        <v>52</v>
      </c>
      <c r="F69" s="1" t="s">
        <v>3102</v>
      </c>
      <c r="G69" s="3" t="s">
        <v>841</v>
      </c>
      <c r="H69" s="11">
        <f t="shared" si="3"/>
        <v>90.89</v>
      </c>
      <c r="I69" s="9">
        <f>($K$2+0.02)*Tabla1[[#This Row],[PRECIO $]]*1.18</f>
        <v>75.557759999999988</v>
      </c>
      <c r="J69" s="7">
        <f>+Tabla1[[#This Row],[PRECIO EN SOLES]]-Tabla1[[#This Row],[PC]]</f>
        <v>15.332240000000013</v>
      </c>
      <c r="K69" s="15"/>
      <c r="L69" s="15" t="str">
        <f t="shared" si="2"/>
        <v>NORMAL</v>
      </c>
    </row>
    <row r="70" spans="1:12" x14ac:dyDescent="0.25">
      <c r="A70" s="3" t="s">
        <v>90</v>
      </c>
      <c r="B70" s="3" t="s">
        <v>91</v>
      </c>
      <c r="C70" s="1">
        <v>20</v>
      </c>
      <c r="D70" s="1">
        <v>14.5</v>
      </c>
      <c r="E70" s="1" t="s">
        <v>52</v>
      </c>
      <c r="F70" s="1" t="s">
        <v>3103</v>
      </c>
      <c r="G70" s="3" t="s">
        <v>92</v>
      </c>
      <c r="H70" s="11">
        <f t="shared" si="3"/>
        <v>72.47</v>
      </c>
      <c r="I70" s="9">
        <f>($K$2+0.02)*Tabla1[[#This Row],[PRECIO $]]*1.18</f>
        <v>59.5428</v>
      </c>
      <c r="J70" s="7">
        <f>+Tabla1[[#This Row],[PRECIO EN SOLES]]-Tabla1[[#This Row],[PC]]</f>
        <v>12.927199999999999</v>
      </c>
      <c r="K70" s="15"/>
      <c r="L70" s="15" t="str">
        <f t="shared" si="2"/>
        <v>NORMAL</v>
      </c>
    </row>
    <row r="71" spans="1:12" x14ac:dyDescent="0.25">
      <c r="A71" s="3" t="s">
        <v>842</v>
      </c>
      <c r="B71" s="3" t="s">
        <v>843</v>
      </c>
      <c r="C71" s="1">
        <v>20</v>
      </c>
      <c r="D71" s="1">
        <v>23.4</v>
      </c>
      <c r="E71" s="1" t="s">
        <v>837</v>
      </c>
      <c r="F71" s="1" t="s">
        <v>3104</v>
      </c>
      <c r="G71" s="3" t="s">
        <v>844</v>
      </c>
      <c r="H71" s="11">
        <f t="shared" si="3"/>
        <v>116.5</v>
      </c>
      <c r="I71" s="9">
        <f>($K$2+0.02)*Tabla1[[#This Row],[PRECIO $]]*1.18</f>
        <v>96.089759999999984</v>
      </c>
      <c r="J71" s="7">
        <f>+Tabla1[[#This Row],[PRECIO EN SOLES]]-Tabla1[[#This Row],[PC]]</f>
        <v>20.410240000000016</v>
      </c>
      <c r="K71" s="15"/>
      <c r="L71" s="15" t="str">
        <f t="shared" si="2"/>
        <v>NORMAL</v>
      </c>
    </row>
    <row r="72" spans="1:12" x14ac:dyDescent="0.25">
      <c r="A72" s="3" t="s">
        <v>845</v>
      </c>
      <c r="B72" s="3" t="s">
        <v>846</v>
      </c>
      <c r="C72" s="1">
        <v>20</v>
      </c>
      <c r="D72" s="1">
        <v>30</v>
      </c>
      <c r="E72" s="1" t="s">
        <v>74</v>
      </c>
      <c r="F72" s="1" t="s">
        <v>3105</v>
      </c>
      <c r="G72" s="3" t="s">
        <v>847</v>
      </c>
      <c r="H72" s="11">
        <f t="shared" si="3"/>
        <v>147.66999999999999</v>
      </c>
      <c r="I72" s="9">
        <f>($K$2+0.02)*Tabla1[[#This Row],[PRECIO $]]*1.18</f>
        <v>123.19200000000001</v>
      </c>
      <c r="J72" s="7">
        <f>+Tabla1[[#This Row],[PRECIO EN SOLES]]-Tabla1[[#This Row],[PC]]</f>
        <v>24.47799999999998</v>
      </c>
      <c r="K72" s="15"/>
      <c r="L72" s="15" t="str">
        <f t="shared" si="2"/>
        <v>NORMAL</v>
      </c>
    </row>
    <row r="73" spans="1:12" x14ac:dyDescent="0.25">
      <c r="A73" s="3" t="s">
        <v>93</v>
      </c>
      <c r="B73" s="3" t="s">
        <v>94</v>
      </c>
      <c r="C73" s="1">
        <v>20</v>
      </c>
      <c r="D73" s="1">
        <v>22</v>
      </c>
      <c r="E73" s="1" t="s">
        <v>95</v>
      </c>
      <c r="F73" s="1" t="s">
        <v>3106</v>
      </c>
      <c r="G73" s="3" t="s">
        <v>96</v>
      </c>
      <c r="H73" s="11">
        <f t="shared" si="3"/>
        <v>109.89</v>
      </c>
      <c r="I73" s="9">
        <f>($K$2+0.02)*Tabla1[[#This Row],[PRECIO $]]*1.18</f>
        <v>90.340800000000002</v>
      </c>
      <c r="J73" s="7">
        <f>+Tabla1[[#This Row],[PRECIO EN SOLES]]-Tabla1[[#This Row],[PC]]</f>
        <v>19.549199999999999</v>
      </c>
      <c r="K73" s="15"/>
      <c r="L73" s="15" t="str">
        <f t="shared" si="2"/>
        <v>NORMAL</v>
      </c>
    </row>
    <row r="74" spans="1:12" x14ac:dyDescent="0.25">
      <c r="A74" s="3" t="s">
        <v>6255</v>
      </c>
      <c r="B74" s="3" t="s">
        <v>6256</v>
      </c>
      <c r="C74" s="1">
        <v>20</v>
      </c>
      <c r="D74" s="1">
        <v>10.4</v>
      </c>
      <c r="E74" s="1" t="s">
        <v>52</v>
      </c>
      <c r="F74" s="1" t="s">
        <v>6257</v>
      </c>
      <c r="G74" s="3" t="s">
        <v>6258</v>
      </c>
      <c r="H74" s="11">
        <f t="shared" si="3"/>
        <v>53.11</v>
      </c>
      <c r="I74" s="9">
        <f>($K$2+0.02)*Tabla1[[#This Row],[PRECIO $]]*1.18</f>
        <v>42.706559999999996</v>
      </c>
      <c r="J74" s="7">
        <f>+Tabla1[[#This Row],[PRECIO EN SOLES]]-Tabla1[[#This Row],[PC]]</f>
        <v>10.403440000000003</v>
      </c>
      <c r="K74" s="15"/>
      <c r="L74" s="15" t="str">
        <f t="shared" si="2"/>
        <v>NORMAL</v>
      </c>
    </row>
    <row r="75" spans="1:12" x14ac:dyDescent="0.25">
      <c r="A75" s="3" t="s">
        <v>6259</v>
      </c>
      <c r="B75" s="3" t="s">
        <v>6260</v>
      </c>
      <c r="C75" s="1">
        <v>20</v>
      </c>
      <c r="D75" s="1">
        <v>10.4</v>
      </c>
      <c r="E75" s="1" t="s">
        <v>52</v>
      </c>
      <c r="F75" s="1" t="s">
        <v>6261</v>
      </c>
      <c r="G75" s="3" t="s">
        <v>6262</v>
      </c>
      <c r="H75" s="11">
        <f t="shared" si="3"/>
        <v>53.11</v>
      </c>
      <c r="I75" s="9">
        <f>($K$2+0.02)*Tabla1[[#This Row],[PRECIO $]]*1.18</f>
        <v>42.706559999999996</v>
      </c>
      <c r="J75" s="7">
        <f>+Tabla1[[#This Row],[PRECIO EN SOLES]]-Tabla1[[#This Row],[PC]]</f>
        <v>10.403440000000003</v>
      </c>
      <c r="K75" s="15"/>
      <c r="L75" s="15" t="str">
        <f t="shared" si="2"/>
        <v>NORMAL</v>
      </c>
    </row>
    <row r="76" spans="1:12" x14ac:dyDescent="0.25">
      <c r="A76" s="3" t="s">
        <v>6263</v>
      </c>
      <c r="B76" s="3" t="s">
        <v>6264</v>
      </c>
      <c r="C76" s="1">
        <v>20</v>
      </c>
      <c r="D76" s="1">
        <v>10.5</v>
      </c>
      <c r="E76" s="1" t="s">
        <v>52</v>
      </c>
      <c r="F76" s="1" t="s">
        <v>6265</v>
      </c>
      <c r="G76" s="3" t="s">
        <v>6266</v>
      </c>
      <c r="H76" s="11">
        <f t="shared" si="3"/>
        <v>53.58</v>
      </c>
      <c r="I76" s="9">
        <f>($K$2+0.02)*Tabla1[[#This Row],[PRECIO $]]*1.18</f>
        <v>43.117199999999997</v>
      </c>
      <c r="J76" s="7">
        <f>+Tabla1[[#This Row],[PRECIO EN SOLES]]-Tabla1[[#This Row],[PC]]</f>
        <v>10.462800000000001</v>
      </c>
      <c r="K76" s="15"/>
      <c r="L76" s="15" t="str">
        <f t="shared" si="2"/>
        <v>NORMAL</v>
      </c>
    </row>
    <row r="77" spans="1:12" x14ac:dyDescent="0.25">
      <c r="A77" s="3" t="s">
        <v>6267</v>
      </c>
      <c r="B77" s="3" t="s">
        <v>6268</v>
      </c>
      <c r="C77" s="1">
        <v>20</v>
      </c>
      <c r="D77" s="1">
        <v>10.4</v>
      </c>
      <c r="E77" s="1" t="s">
        <v>52</v>
      </c>
      <c r="F77" s="1" t="s">
        <v>6269</v>
      </c>
      <c r="G77" s="3" t="s">
        <v>6270</v>
      </c>
      <c r="H77" s="11">
        <f t="shared" si="3"/>
        <v>53.11</v>
      </c>
      <c r="I77" s="9">
        <f>($K$2+0.02)*Tabla1[[#This Row],[PRECIO $]]*1.18</f>
        <v>42.706559999999996</v>
      </c>
      <c r="J77" s="7">
        <f>+Tabla1[[#This Row],[PRECIO EN SOLES]]-Tabla1[[#This Row],[PC]]</f>
        <v>10.403440000000003</v>
      </c>
      <c r="K77" s="15"/>
      <c r="L77" s="15" t="str">
        <f t="shared" si="2"/>
        <v>NORMAL</v>
      </c>
    </row>
    <row r="78" spans="1:12" x14ac:dyDescent="0.25">
      <c r="A78" s="3" t="s">
        <v>848</v>
      </c>
      <c r="B78" s="3" t="s">
        <v>849</v>
      </c>
      <c r="C78" s="1">
        <v>4</v>
      </c>
      <c r="D78" s="1">
        <v>19.600000000000001</v>
      </c>
      <c r="E78" s="1" t="s">
        <v>57</v>
      </c>
      <c r="F78" s="1" t="s">
        <v>3107</v>
      </c>
      <c r="G78" s="3"/>
      <c r="H78" s="11">
        <f t="shared" si="3"/>
        <v>98.56</v>
      </c>
      <c r="I78" s="9">
        <f>($K$2+0.02)*Tabla1[[#This Row],[PRECIO $]]*1.18</f>
        <v>80.485439999999997</v>
      </c>
      <c r="J78" s="7">
        <f>+Tabla1[[#This Row],[PRECIO EN SOLES]]-Tabla1[[#This Row],[PC]]</f>
        <v>18.074560000000005</v>
      </c>
      <c r="K78" s="15"/>
      <c r="L78" s="15" t="str">
        <f t="shared" si="2"/>
        <v>NORMAL</v>
      </c>
    </row>
    <row r="79" spans="1:12" x14ac:dyDescent="0.25">
      <c r="A79" s="3" t="s">
        <v>850</v>
      </c>
      <c r="B79" s="3" t="s">
        <v>851</v>
      </c>
      <c r="C79" s="1">
        <v>1</v>
      </c>
      <c r="D79" s="1">
        <v>13.5</v>
      </c>
      <c r="E79" s="1" t="s">
        <v>852</v>
      </c>
      <c r="F79" s="1" t="s">
        <v>3108</v>
      </c>
      <c r="G79" s="3" t="s">
        <v>853</v>
      </c>
      <c r="H79" s="11">
        <f t="shared" si="3"/>
        <v>67.75</v>
      </c>
      <c r="I79" s="9">
        <f>($K$2+0.02)*Tabla1[[#This Row],[PRECIO $]]*1.18</f>
        <v>55.436399999999992</v>
      </c>
      <c r="J79" s="7">
        <f>+Tabla1[[#This Row],[PRECIO EN SOLES]]-Tabla1[[#This Row],[PC]]</f>
        <v>12.313600000000008</v>
      </c>
      <c r="K79" s="15"/>
      <c r="L79" s="15" t="str">
        <f t="shared" si="2"/>
        <v>NORMAL</v>
      </c>
    </row>
    <row r="80" spans="1:12" x14ac:dyDescent="0.25">
      <c r="A80" s="3" t="s">
        <v>854</v>
      </c>
      <c r="B80" s="3" t="s">
        <v>855</v>
      </c>
      <c r="C80" s="1">
        <v>20</v>
      </c>
      <c r="D80" s="1">
        <v>11.6</v>
      </c>
      <c r="E80" s="1" t="s">
        <v>52</v>
      </c>
      <c r="F80" s="1" t="s">
        <v>3109</v>
      </c>
      <c r="G80" s="3" t="s">
        <v>856</v>
      </c>
      <c r="H80" s="11">
        <f t="shared" si="3"/>
        <v>58.78</v>
      </c>
      <c r="I80" s="9">
        <f>($K$2+0.02)*Tabla1[[#This Row],[PRECIO $]]*1.18</f>
        <v>47.634239999999998</v>
      </c>
      <c r="J80" s="7">
        <f>+Tabla1[[#This Row],[PRECIO EN SOLES]]-Tabla1[[#This Row],[PC]]</f>
        <v>11.145760000000003</v>
      </c>
      <c r="K80" s="15"/>
      <c r="L80" s="15" t="str">
        <f t="shared" ref="L80:L143" si="4"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81" spans="1:12" x14ac:dyDescent="0.25">
      <c r="A81" s="3" t="s">
        <v>6653</v>
      </c>
      <c r="B81" s="3" t="s">
        <v>6654</v>
      </c>
      <c r="C81" s="1">
        <v>20</v>
      </c>
      <c r="D81" s="1">
        <v>6.2</v>
      </c>
      <c r="E81" s="1" t="s">
        <v>52</v>
      </c>
      <c r="F81" s="1" t="s">
        <v>6655</v>
      </c>
      <c r="G81" s="3" t="s">
        <v>6656</v>
      </c>
      <c r="H81" s="11">
        <f t="shared" si="3"/>
        <v>31.28</v>
      </c>
      <c r="I81" s="9">
        <f>($K$2+0.02)*Tabla1[[#This Row],[PRECIO $]]*1.18</f>
        <v>25.459679999999999</v>
      </c>
      <c r="J81" s="7">
        <f>+Tabla1[[#This Row],[PRECIO EN SOLES]]-Tabla1[[#This Row],[PC]]</f>
        <v>5.8203200000000024</v>
      </c>
      <c r="K81" s="15"/>
      <c r="L81" s="15" t="str">
        <f t="shared" si="4"/>
        <v>NORMAL</v>
      </c>
    </row>
    <row r="82" spans="1:12" x14ac:dyDescent="0.25">
      <c r="A82" s="3" t="s">
        <v>97</v>
      </c>
      <c r="B82" s="3" t="s">
        <v>98</v>
      </c>
      <c r="C82" s="1">
        <v>20</v>
      </c>
      <c r="D82" s="1">
        <v>41.1</v>
      </c>
      <c r="E82" s="1" t="s">
        <v>52</v>
      </c>
      <c r="F82" s="1" t="s">
        <v>3110</v>
      </c>
      <c r="G82" s="3" t="s">
        <v>4820</v>
      </c>
      <c r="H82" s="11">
        <f t="shared" ref="H82:H145" si="5">ROUND(
IF(L80="GANCHO",
   IF(I82&lt;=50,I82*1.1+4,IF(I82&lt;=120,I82*1.1+7,IF(I82&lt;=250,I82*1.1+11,I82*1.1+19))),
IF(L80="NORMAL",
   IF(I82&lt;=30,I82*1.15+2,IF(I82&lt;=80,I82*1.15+4,IF(I82&lt;=150,I82*1.15+6,I82*1.15+8))),
IF(L80="COMPLEMENTO",
   IF(I82&lt;=25,I82*1.25+1.5,IF(I82&lt;=60,I82*1.25+3,IF(I82&lt;=120,I82*1.25+4,I82*1.25+5))),
""))),2)</f>
        <v>202.09</v>
      </c>
      <c r="I82" s="9">
        <f>($K$2+0.02)*Tabla1[[#This Row],[PRECIO $]]*1.18</f>
        <v>168.77303999999998</v>
      </c>
      <c r="J82" s="7">
        <f>+Tabla1[[#This Row],[PRECIO EN SOLES]]-Tabla1[[#This Row],[PC]]</f>
        <v>33.316960000000023</v>
      </c>
      <c r="K82" s="15"/>
      <c r="L82" s="15" t="str">
        <f t="shared" si="4"/>
        <v>NORMAL</v>
      </c>
    </row>
    <row r="83" spans="1:12" x14ac:dyDescent="0.25">
      <c r="A83" s="3" t="s">
        <v>99</v>
      </c>
      <c r="B83" s="3" t="s">
        <v>2917</v>
      </c>
      <c r="C83" s="1">
        <v>20</v>
      </c>
      <c r="D83" s="1">
        <v>41.4</v>
      </c>
      <c r="E83" s="1" t="s">
        <v>52</v>
      </c>
      <c r="F83" s="1" t="s">
        <v>3111</v>
      </c>
      <c r="G83" s="3" t="s">
        <v>100</v>
      </c>
      <c r="H83" s="11">
        <f t="shared" si="5"/>
        <v>203.51</v>
      </c>
      <c r="I83" s="9">
        <f>($K$2+0.02)*Tabla1[[#This Row],[PRECIO $]]*1.18</f>
        <v>170.00495999999998</v>
      </c>
      <c r="J83" s="7">
        <f>+Tabla1[[#This Row],[PRECIO EN SOLES]]-Tabla1[[#This Row],[PC]]</f>
        <v>33.505040000000008</v>
      </c>
      <c r="K83" s="15"/>
      <c r="L83" s="15" t="str">
        <f t="shared" si="4"/>
        <v>NORMAL</v>
      </c>
    </row>
    <row r="84" spans="1:12" x14ac:dyDescent="0.25">
      <c r="A84" s="3" t="s">
        <v>101</v>
      </c>
      <c r="B84" s="3" t="s">
        <v>102</v>
      </c>
      <c r="C84" s="1">
        <v>20</v>
      </c>
      <c r="D84" s="1">
        <v>25</v>
      </c>
      <c r="E84" s="1" t="s">
        <v>52</v>
      </c>
      <c r="F84" s="1" t="s">
        <v>3112</v>
      </c>
      <c r="G84" s="3" t="s">
        <v>103</v>
      </c>
      <c r="H84" s="11">
        <f t="shared" si="5"/>
        <v>124.06</v>
      </c>
      <c r="I84" s="9">
        <f>($K$2+0.02)*Tabla1[[#This Row],[PRECIO $]]*1.18</f>
        <v>102.66</v>
      </c>
      <c r="J84" s="7">
        <f>+Tabla1[[#This Row],[PRECIO EN SOLES]]-Tabla1[[#This Row],[PC]]</f>
        <v>21.400000000000006</v>
      </c>
      <c r="K84" s="15"/>
      <c r="L84" s="15" t="str">
        <f t="shared" si="4"/>
        <v>NORMAL</v>
      </c>
    </row>
    <row r="85" spans="1:12" x14ac:dyDescent="0.25">
      <c r="A85" s="3" t="s">
        <v>104</v>
      </c>
      <c r="B85" s="3" t="s">
        <v>105</v>
      </c>
      <c r="C85" s="1">
        <v>20</v>
      </c>
      <c r="D85" s="1">
        <v>25</v>
      </c>
      <c r="E85" s="1" t="s">
        <v>52</v>
      </c>
      <c r="F85" s="1" t="s">
        <v>3113</v>
      </c>
      <c r="G85" s="3" t="s">
        <v>106</v>
      </c>
      <c r="H85" s="11">
        <f t="shared" si="5"/>
        <v>124.06</v>
      </c>
      <c r="I85" s="9">
        <f>($K$2+0.02)*Tabla1[[#This Row],[PRECIO $]]*1.18</f>
        <v>102.66</v>
      </c>
      <c r="J85" s="7">
        <f>+Tabla1[[#This Row],[PRECIO EN SOLES]]-Tabla1[[#This Row],[PC]]</f>
        <v>21.400000000000006</v>
      </c>
      <c r="K85" s="15"/>
      <c r="L85" s="15" t="str">
        <f t="shared" si="4"/>
        <v>NORMAL</v>
      </c>
    </row>
    <row r="86" spans="1:12" x14ac:dyDescent="0.25">
      <c r="A86" s="3" t="s">
        <v>107</v>
      </c>
      <c r="B86" s="3" t="s">
        <v>108</v>
      </c>
      <c r="C86" s="1">
        <v>20</v>
      </c>
      <c r="D86" s="1">
        <v>25</v>
      </c>
      <c r="E86" s="1" t="s">
        <v>52</v>
      </c>
      <c r="F86" s="1" t="s">
        <v>3114</v>
      </c>
      <c r="G86" s="3" t="s">
        <v>109</v>
      </c>
      <c r="H86" s="11">
        <f t="shared" si="5"/>
        <v>124.06</v>
      </c>
      <c r="I86" s="9">
        <f>($K$2+0.02)*Tabla1[[#This Row],[PRECIO $]]*1.18</f>
        <v>102.66</v>
      </c>
      <c r="J86" s="7">
        <f>+Tabla1[[#This Row],[PRECIO EN SOLES]]-Tabla1[[#This Row],[PC]]</f>
        <v>21.400000000000006</v>
      </c>
      <c r="K86" s="15"/>
      <c r="L86" s="15" t="str">
        <f t="shared" si="4"/>
        <v>NORMAL</v>
      </c>
    </row>
    <row r="87" spans="1:12" x14ac:dyDescent="0.25">
      <c r="A87" s="3" t="s">
        <v>110</v>
      </c>
      <c r="B87" s="3" t="s">
        <v>111</v>
      </c>
      <c r="C87" s="1">
        <v>20</v>
      </c>
      <c r="D87" s="1">
        <v>25</v>
      </c>
      <c r="E87" s="1" t="s">
        <v>52</v>
      </c>
      <c r="F87" s="1" t="s">
        <v>3115</v>
      </c>
      <c r="G87" s="3" t="s">
        <v>112</v>
      </c>
      <c r="H87" s="11">
        <f t="shared" si="5"/>
        <v>124.06</v>
      </c>
      <c r="I87" s="9">
        <f>($K$2+0.02)*Tabla1[[#This Row],[PRECIO $]]*1.18</f>
        <v>102.66</v>
      </c>
      <c r="J87" s="7">
        <f>+Tabla1[[#This Row],[PRECIO EN SOLES]]-Tabla1[[#This Row],[PC]]</f>
        <v>21.400000000000006</v>
      </c>
      <c r="K87" s="15"/>
      <c r="L87" s="15" t="str">
        <f t="shared" si="4"/>
        <v>NORMAL</v>
      </c>
    </row>
    <row r="88" spans="1:12" x14ac:dyDescent="0.25">
      <c r="A88" s="3" t="s">
        <v>113</v>
      </c>
      <c r="B88" s="3" t="s">
        <v>102</v>
      </c>
      <c r="C88" s="1">
        <v>20</v>
      </c>
      <c r="D88" s="1">
        <v>25</v>
      </c>
      <c r="E88" s="1" t="s">
        <v>52</v>
      </c>
      <c r="F88" s="1" t="s">
        <v>3116</v>
      </c>
      <c r="G88" s="3" t="s">
        <v>114</v>
      </c>
      <c r="H88" s="11">
        <f t="shared" si="5"/>
        <v>124.06</v>
      </c>
      <c r="I88" s="9">
        <f>($K$2+0.02)*Tabla1[[#This Row],[PRECIO $]]*1.18</f>
        <v>102.66</v>
      </c>
      <c r="J88" s="7">
        <f>+Tabla1[[#This Row],[PRECIO EN SOLES]]-Tabla1[[#This Row],[PC]]</f>
        <v>21.400000000000006</v>
      </c>
      <c r="K88" s="15"/>
      <c r="L88" s="15" t="str">
        <f t="shared" si="4"/>
        <v>NORMAL</v>
      </c>
    </row>
    <row r="89" spans="1:12" x14ac:dyDescent="0.25">
      <c r="A89" s="3" t="s">
        <v>4180</v>
      </c>
      <c r="B89" s="3" t="s">
        <v>4857</v>
      </c>
      <c r="C89" s="1">
        <v>20</v>
      </c>
      <c r="D89" s="1">
        <v>21.2</v>
      </c>
      <c r="E89" s="1" t="s">
        <v>52</v>
      </c>
      <c r="F89" s="1" t="s">
        <v>4229</v>
      </c>
      <c r="G89" s="3" t="s">
        <v>4249</v>
      </c>
      <c r="H89" s="11">
        <f t="shared" si="5"/>
        <v>106.11</v>
      </c>
      <c r="I89" s="9">
        <f>($K$2+0.02)*Tabla1[[#This Row],[PRECIO $]]*1.18</f>
        <v>87.055679999999995</v>
      </c>
      <c r="J89" s="7">
        <f>+Tabla1[[#This Row],[PRECIO EN SOLES]]-Tabla1[[#This Row],[PC]]</f>
        <v>19.054320000000004</v>
      </c>
      <c r="K89" s="15"/>
      <c r="L89" s="15" t="str">
        <f t="shared" si="4"/>
        <v>NORMAL</v>
      </c>
    </row>
    <row r="90" spans="1:12" x14ac:dyDescent="0.25">
      <c r="A90" s="3" t="s">
        <v>5700</v>
      </c>
      <c r="B90" s="3" t="s">
        <v>5701</v>
      </c>
      <c r="C90" s="1">
        <v>0</v>
      </c>
      <c r="D90" s="1">
        <v>999</v>
      </c>
      <c r="E90" s="1" t="s">
        <v>186</v>
      </c>
      <c r="F90" s="1" t="s">
        <v>5702</v>
      </c>
      <c r="G90" s="3"/>
      <c r="H90" s="11">
        <f t="shared" si="5"/>
        <v>4725.6400000000003</v>
      </c>
      <c r="I90" s="9">
        <f>($K$2+0.02)*Tabla1[[#This Row],[PRECIO $]]*1.18</f>
        <v>4102.2936</v>
      </c>
      <c r="J90" s="7">
        <f>+Tabla1[[#This Row],[PRECIO EN SOLES]]-Tabla1[[#This Row],[PC]]</f>
        <v>623.34640000000036</v>
      </c>
      <c r="K90" s="15"/>
      <c r="L90" s="15" t="str">
        <f t="shared" si="4"/>
        <v>NORMAL</v>
      </c>
    </row>
    <row r="91" spans="1:12" x14ac:dyDescent="0.25">
      <c r="A91" s="3" t="s">
        <v>857</v>
      </c>
      <c r="B91" s="3" t="s">
        <v>102</v>
      </c>
      <c r="C91" s="1">
        <v>0</v>
      </c>
      <c r="D91" s="1">
        <v>999</v>
      </c>
      <c r="E91" s="1" t="s">
        <v>187</v>
      </c>
      <c r="F91" s="1" t="s">
        <v>3117</v>
      </c>
      <c r="G91" s="3"/>
      <c r="H91" s="11">
        <f t="shared" si="5"/>
        <v>4725.6400000000003</v>
      </c>
      <c r="I91" s="9">
        <f>($K$2+0.02)*Tabla1[[#This Row],[PRECIO $]]*1.18</f>
        <v>4102.2936</v>
      </c>
      <c r="J91" s="7">
        <f>+Tabla1[[#This Row],[PRECIO EN SOLES]]-Tabla1[[#This Row],[PC]]</f>
        <v>623.34640000000036</v>
      </c>
      <c r="K91" s="15"/>
      <c r="L91" s="15" t="str">
        <f t="shared" si="4"/>
        <v>NORMAL</v>
      </c>
    </row>
    <row r="92" spans="1:12" x14ac:dyDescent="0.25">
      <c r="A92" s="3" t="s">
        <v>6576</v>
      </c>
      <c r="B92" s="3" t="s">
        <v>6577</v>
      </c>
      <c r="C92" s="1">
        <v>20</v>
      </c>
      <c r="D92" s="1">
        <v>347</v>
      </c>
      <c r="E92" s="1" t="s">
        <v>54</v>
      </c>
      <c r="F92" s="1" t="s">
        <v>6578</v>
      </c>
      <c r="G92" s="3" t="s">
        <v>6579</v>
      </c>
      <c r="H92" s="11">
        <f t="shared" si="5"/>
        <v>1646.66</v>
      </c>
      <c r="I92" s="9">
        <f>($K$2+0.02)*Tabla1[[#This Row],[PRECIO $]]*1.18</f>
        <v>1424.9207999999999</v>
      </c>
      <c r="J92" s="7">
        <f>+Tabla1[[#This Row],[PRECIO EN SOLES]]-Tabla1[[#This Row],[PC]]</f>
        <v>221.73920000000021</v>
      </c>
      <c r="K92" s="15"/>
      <c r="L92" s="15" t="str">
        <f t="shared" si="4"/>
        <v>NORMAL</v>
      </c>
    </row>
    <row r="93" spans="1:12" x14ac:dyDescent="0.25">
      <c r="A93" s="3" t="s">
        <v>858</v>
      </c>
      <c r="B93" s="3" t="s">
        <v>859</v>
      </c>
      <c r="C93" s="1">
        <v>6</v>
      </c>
      <c r="D93" s="1">
        <v>598</v>
      </c>
      <c r="E93" s="1" t="s">
        <v>115</v>
      </c>
      <c r="F93" s="1" t="s">
        <v>3118</v>
      </c>
      <c r="G93" s="3" t="s">
        <v>4552</v>
      </c>
      <c r="H93" s="11">
        <f t="shared" si="5"/>
        <v>2831.97</v>
      </c>
      <c r="I93" s="9">
        <f>($K$2+0.02)*Tabla1[[#This Row],[PRECIO $]]*1.18</f>
        <v>2455.6271999999999</v>
      </c>
      <c r="J93" s="7">
        <f>+Tabla1[[#This Row],[PRECIO EN SOLES]]-Tabla1[[#This Row],[PC]]</f>
        <v>376.3427999999999</v>
      </c>
      <c r="K93" s="15"/>
      <c r="L93" s="15" t="str">
        <f t="shared" si="4"/>
        <v>NORMAL</v>
      </c>
    </row>
    <row r="94" spans="1:12" x14ac:dyDescent="0.25">
      <c r="A94" s="3" t="s">
        <v>860</v>
      </c>
      <c r="B94" s="3" t="s">
        <v>861</v>
      </c>
      <c r="C94" s="1">
        <v>2</v>
      </c>
      <c r="D94" s="1">
        <v>774</v>
      </c>
      <c r="E94" s="1" t="s">
        <v>115</v>
      </c>
      <c r="F94" s="1" t="s">
        <v>3119</v>
      </c>
      <c r="G94" s="3" t="s">
        <v>862</v>
      </c>
      <c r="H94" s="11">
        <f t="shared" si="5"/>
        <v>3663.11</v>
      </c>
      <c r="I94" s="9">
        <f>($K$2+0.02)*Tabla1[[#This Row],[PRECIO $]]*1.18</f>
        <v>3178.3535999999999</v>
      </c>
      <c r="J94" s="7">
        <f>+Tabla1[[#This Row],[PRECIO EN SOLES]]-Tabla1[[#This Row],[PC]]</f>
        <v>484.75640000000021</v>
      </c>
      <c r="K94" s="15"/>
      <c r="L94" s="15" t="str">
        <f t="shared" si="4"/>
        <v>COMPLEMENTO</v>
      </c>
    </row>
    <row r="95" spans="1:12" x14ac:dyDescent="0.25">
      <c r="A95" s="3" t="s">
        <v>6271</v>
      </c>
      <c r="B95" s="3" t="s">
        <v>6272</v>
      </c>
      <c r="C95" s="1">
        <v>1</v>
      </c>
      <c r="D95" s="1">
        <v>466.5</v>
      </c>
      <c r="E95" s="1" t="s">
        <v>121</v>
      </c>
      <c r="F95" s="1" t="s">
        <v>6273</v>
      </c>
      <c r="G95" s="3" t="s">
        <v>6274</v>
      </c>
      <c r="H95" s="11">
        <f t="shared" si="5"/>
        <v>2210.98</v>
      </c>
      <c r="I95" s="9">
        <f>($K$2+0.02)*Tabla1[[#This Row],[PRECIO $]]*1.18</f>
        <v>1915.6356000000001</v>
      </c>
      <c r="J95" s="7">
        <f>+Tabla1[[#This Row],[PRECIO EN SOLES]]-Tabla1[[#This Row],[PC]]</f>
        <v>295.34439999999995</v>
      </c>
      <c r="K95" s="15"/>
      <c r="L95" s="15" t="str">
        <f t="shared" si="4"/>
        <v>COMPLEMENTO</v>
      </c>
    </row>
    <row r="96" spans="1:12" x14ac:dyDescent="0.25">
      <c r="A96" s="3" t="s">
        <v>863</v>
      </c>
      <c r="B96" s="3" t="s">
        <v>864</v>
      </c>
      <c r="C96" s="1">
        <v>2</v>
      </c>
      <c r="D96" s="1">
        <v>131</v>
      </c>
      <c r="E96" s="1" t="s">
        <v>837</v>
      </c>
      <c r="F96" s="1" t="s">
        <v>3120</v>
      </c>
      <c r="G96" s="3" t="s">
        <v>4250</v>
      </c>
      <c r="H96" s="11">
        <f t="shared" si="5"/>
        <v>677.42</v>
      </c>
      <c r="I96" s="9">
        <f>($K$2+0.02)*Tabla1[[#This Row],[PRECIO $]]*1.18</f>
        <v>537.9384</v>
      </c>
      <c r="J96" s="7">
        <f>+Tabla1[[#This Row],[PRECIO EN SOLES]]-Tabla1[[#This Row],[PC]]</f>
        <v>139.48159999999996</v>
      </c>
      <c r="K96" s="15"/>
      <c r="L96" s="15" t="str">
        <f t="shared" si="4"/>
        <v>NORMAL</v>
      </c>
    </row>
    <row r="97" spans="1:12" x14ac:dyDescent="0.25">
      <c r="A97" s="3" t="s">
        <v>865</v>
      </c>
      <c r="B97" s="3" t="s">
        <v>866</v>
      </c>
      <c r="C97" s="1">
        <v>20</v>
      </c>
      <c r="D97" s="1">
        <v>47.2</v>
      </c>
      <c r="E97" s="1" t="s">
        <v>837</v>
      </c>
      <c r="F97" s="1" t="s">
        <v>3121</v>
      </c>
      <c r="G97" s="3" t="s">
        <v>4251</v>
      </c>
      <c r="H97" s="11">
        <f t="shared" si="5"/>
        <v>247.28</v>
      </c>
      <c r="I97" s="9">
        <f>($K$2+0.02)*Tabla1[[#This Row],[PRECIO $]]*1.18</f>
        <v>193.82208</v>
      </c>
      <c r="J97" s="7">
        <f>+Tabla1[[#This Row],[PRECIO EN SOLES]]-Tabla1[[#This Row],[PC]]</f>
        <v>53.457920000000001</v>
      </c>
      <c r="K97" s="15"/>
      <c r="L97" s="15" t="str">
        <f t="shared" si="4"/>
        <v>NORMAL</v>
      </c>
    </row>
    <row r="98" spans="1:12" x14ac:dyDescent="0.25">
      <c r="A98" s="3" t="s">
        <v>867</v>
      </c>
      <c r="B98" s="3" t="s">
        <v>868</v>
      </c>
      <c r="C98" s="1">
        <v>0</v>
      </c>
      <c r="D98" s="1">
        <v>44</v>
      </c>
      <c r="E98" s="1" t="s">
        <v>74</v>
      </c>
      <c r="F98" s="1" t="s">
        <v>3122</v>
      </c>
      <c r="G98" s="3" t="s">
        <v>869</v>
      </c>
      <c r="H98" s="11">
        <f t="shared" si="5"/>
        <v>215.78</v>
      </c>
      <c r="I98" s="9">
        <f>($K$2+0.02)*Tabla1[[#This Row],[PRECIO $]]*1.18</f>
        <v>180.6816</v>
      </c>
      <c r="J98" s="7">
        <f>+Tabla1[[#This Row],[PRECIO EN SOLES]]-Tabla1[[#This Row],[PC]]</f>
        <v>35.098399999999998</v>
      </c>
      <c r="K98" s="15"/>
      <c r="L98" s="15" t="str">
        <f t="shared" si="4"/>
        <v>COMPLEMENTO</v>
      </c>
    </row>
    <row r="99" spans="1:12" x14ac:dyDescent="0.25">
      <c r="A99" s="3" t="s">
        <v>870</v>
      </c>
      <c r="B99" s="3" t="s">
        <v>871</v>
      </c>
      <c r="C99" s="1">
        <v>20</v>
      </c>
      <c r="D99" s="1">
        <v>43.8</v>
      </c>
      <c r="E99" s="1" t="s">
        <v>95</v>
      </c>
      <c r="F99" s="1" t="s">
        <v>3123</v>
      </c>
      <c r="G99" s="3" t="s">
        <v>872</v>
      </c>
      <c r="H99" s="11">
        <f t="shared" si="5"/>
        <v>214.84</v>
      </c>
      <c r="I99" s="9">
        <f>($K$2+0.02)*Tabla1[[#This Row],[PRECIO $]]*1.18</f>
        <v>179.86031999999997</v>
      </c>
      <c r="J99" s="7">
        <f>+Tabla1[[#This Row],[PRECIO EN SOLES]]-Tabla1[[#This Row],[PC]]</f>
        <v>34.97968000000003</v>
      </c>
      <c r="K99" s="15"/>
      <c r="L99" s="15" t="str">
        <f t="shared" si="4"/>
        <v>COMPLEMENTO</v>
      </c>
    </row>
    <row r="100" spans="1:12" x14ac:dyDescent="0.25">
      <c r="A100" s="3" t="s">
        <v>6405</v>
      </c>
      <c r="B100" s="3" t="s">
        <v>6406</v>
      </c>
      <c r="C100" s="1">
        <v>20</v>
      </c>
      <c r="D100" s="1">
        <v>13.2</v>
      </c>
      <c r="E100" s="1" t="s">
        <v>52</v>
      </c>
      <c r="F100" s="1" t="s">
        <v>6407</v>
      </c>
      <c r="G100" s="3" t="s">
        <v>6408</v>
      </c>
      <c r="H100" s="11">
        <f t="shared" si="5"/>
        <v>70.760000000000005</v>
      </c>
      <c r="I100" s="9">
        <f>($K$2+0.02)*Tabla1[[#This Row],[PRECIO $]]*1.18</f>
        <v>54.204479999999997</v>
      </c>
      <c r="J100" s="7">
        <f>+Tabla1[[#This Row],[PRECIO EN SOLES]]-Tabla1[[#This Row],[PC]]</f>
        <v>16.555520000000008</v>
      </c>
      <c r="K100" s="15"/>
      <c r="L100" s="15" t="str">
        <f t="shared" si="4"/>
        <v>COMPLEMENTO</v>
      </c>
    </row>
    <row r="101" spans="1:12" x14ac:dyDescent="0.25">
      <c r="A101" s="3" t="s">
        <v>873</v>
      </c>
      <c r="B101" s="3" t="s">
        <v>874</v>
      </c>
      <c r="C101" s="1">
        <v>20</v>
      </c>
      <c r="D101" s="1">
        <v>26.5</v>
      </c>
      <c r="E101" s="1" t="s">
        <v>52</v>
      </c>
      <c r="F101" s="1" t="s">
        <v>3124</v>
      </c>
      <c r="G101" s="3" t="s">
        <v>875</v>
      </c>
      <c r="H101" s="11">
        <f t="shared" si="5"/>
        <v>140.02000000000001</v>
      </c>
      <c r="I101" s="9">
        <f>($K$2+0.02)*Tabla1[[#This Row],[PRECIO $]]*1.18</f>
        <v>108.81959999999999</v>
      </c>
      <c r="J101" s="7">
        <f>+Tabla1[[#This Row],[PRECIO EN SOLES]]-Tabla1[[#This Row],[PC]]</f>
        <v>31.200400000000016</v>
      </c>
      <c r="K101" s="15"/>
      <c r="L101" s="15" t="str">
        <f t="shared" si="4"/>
        <v>COMPLEMENTO</v>
      </c>
    </row>
    <row r="102" spans="1:12" x14ac:dyDescent="0.25">
      <c r="A102" s="3" t="s">
        <v>4553</v>
      </c>
      <c r="B102" s="3" t="s">
        <v>4554</v>
      </c>
      <c r="C102" s="1">
        <v>0</v>
      </c>
      <c r="D102" s="1">
        <v>999</v>
      </c>
      <c r="E102" s="1" t="s">
        <v>170</v>
      </c>
      <c r="F102" s="1" t="s">
        <v>4555</v>
      </c>
      <c r="G102" s="3" t="s">
        <v>5703</v>
      </c>
      <c r="H102" s="11">
        <f t="shared" si="5"/>
        <v>5132.87</v>
      </c>
      <c r="I102" s="9">
        <f>($K$2+0.02)*Tabla1[[#This Row],[PRECIO $]]*1.18</f>
        <v>4102.2936</v>
      </c>
      <c r="J102" s="7">
        <f>+Tabla1[[#This Row],[PRECIO EN SOLES]]-Tabla1[[#This Row],[PC]]</f>
        <v>1030.5763999999999</v>
      </c>
      <c r="K102" s="15"/>
      <c r="L102" s="15" t="str">
        <f t="shared" si="4"/>
        <v>COMPLEMENTO</v>
      </c>
    </row>
    <row r="103" spans="1:12" x14ac:dyDescent="0.25">
      <c r="A103" s="3" t="s">
        <v>876</v>
      </c>
      <c r="B103" s="3" t="s">
        <v>877</v>
      </c>
      <c r="C103" s="1">
        <v>20</v>
      </c>
      <c r="D103" s="1">
        <v>5.3</v>
      </c>
      <c r="E103" s="1" t="s">
        <v>52</v>
      </c>
      <c r="F103" s="1" t="s">
        <v>3125</v>
      </c>
      <c r="G103" s="3" t="s">
        <v>878</v>
      </c>
      <c r="H103" s="11">
        <f t="shared" si="5"/>
        <v>28.7</v>
      </c>
      <c r="I103" s="9">
        <f>($K$2+0.02)*Tabla1[[#This Row],[PRECIO $]]*1.18</f>
        <v>21.763919999999999</v>
      </c>
      <c r="J103" s="7">
        <f>+Tabla1[[#This Row],[PRECIO EN SOLES]]-Tabla1[[#This Row],[PC]]</f>
        <v>6.9360800000000005</v>
      </c>
      <c r="K103" s="15"/>
      <c r="L103" s="15" t="str">
        <f t="shared" si="4"/>
        <v>COMPLEMENTO</v>
      </c>
    </row>
    <row r="104" spans="1:12" x14ac:dyDescent="0.25">
      <c r="A104" s="3" t="s">
        <v>879</v>
      </c>
      <c r="B104" s="3" t="s">
        <v>880</v>
      </c>
      <c r="C104" s="1">
        <v>20</v>
      </c>
      <c r="D104" s="1">
        <v>5.3</v>
      </c>
      <c r="E104" s="1" t="s">
        <v>52</v>
      </c>
      <c r="F104" s="1" t="s">
        <v>3126</v>
      </c>
      <c r="G104" s="3" t="s">
        <v>881</v>
      </c>
      <c r="H104" s="11">
        <f t="shared" si="5"/>
        <v>28.7</v>
      </c>
      <c r="I104" s="9">
        <f>($K$2+0.02)*Tabla1[[#This Row],[PRECIO $]]*1.18</f>
        <v>21.763919999999999</v>
      </c>
      <c r="J104" s="7">
        <f>+Tabla1[[#This Row],[PRECIO EN SOLES]]-Tabla1[[#This Row],[PC]]</f>
        <v>6.9360800000000005</v>
      </c>
      <c r="K104" s="15"/>
      <c r="L104" s="15" t="str">
        <f t="shared" si="4"/>
        <v>COMPLEMENTO</v>
      </c>
    </row>
    <row r="105" spans="1:12" x14ac:dyDescent="0.25">
      <c r="A105" s="3" t="s">
        <v>882</v>
      </c>
      <c r="B105" s="3" t="s">
        <v>883</v>
      </c>
      <c r="C105" s="1">
        <v>20</v>
      </c>
      <c r="D105" s="1">
        <v>5.3</v>
      </c>
      <c r="E105" s="1" t="s">
        <v>52</v>
      </c>
      <c r="F105" s="1" t="s">
        <v>3127</v>
      </c>
      <c r="G105" s="3" t="s">
        <v>884</v>
      </c>
      <c r="H105" s="11">
        <f t="shared" si="5"/>
        <v>28.7</v>
      </c>
      <c r="I105" s="9">
        <f>($K$2+0.02)*Tabla1[[#This Row],[PRECIO $]]*1.18</f>
        <v>21.763919999999999</v>
      </c>
      <c r="J105" s="7">
        <f>+Tabla1[[#This Row],[PRECIO EN SOLES]]-Tabla1[[#This Row],[PC]]</f>
        <v>6.9360800000000005</v>
      </c>
      <c r="K105" s="15"/>
      <c r="L105" s="15" t="str">
        <f t="shared" si="4"/>
        <v>NORMAL</v>
      </c>
    </row>
    <row r="106" spans="1:12" x14ac:dyDescent="0.25">
      <c r="A106" s="3" t="s">
        <v>885</v>
      </c>
      <c r="B106" s="3" t="s">
        <v>883</v>
      </c>
      <c r="C106" s="1">
        <v>0</v>
      </c>
      <c r="D106" s="1">
        <v>999</v>
      </c>
      <c r="E106" s="1" t="s">
        <v>187</v>
      </c>
      <c r="F106" s="1" t="s">
        <v>3128</v>
      </c>
      <c r="G106" s="3"/>
      <c r="H106" s="11">
        <f t="shared" si="5"/>
        <v>5132.87</v>
      </c>
      <c r="I106" s="9">
        <f>($K$2+0.02)*Tabla1[[#This Row],[PRECIO $]]*1.18</f>
        <v>4102.2936</v>
      </c>
      <c r="J106" s="7">
        <f>+Tabla1[[#This Row],[PRECIO EN SOLES]]-Tabla1[[#This Row],[PC]]</f>
        <v>1030.5763999999999</v>
      </c>
      <c r="K106" s="15"/>
      <c r="L106" s="15" t="str">
        <f t="shared" si="4"/>
        <v>NORMAL</v>
      </c>
    </row>
    <row r="107" spans="1:12" x14ac:dyDescent="0.25">
      <c r="A107" s="3" t="s">
        <v>601</v>
      </c>
      <c r="B107" s="3" t="s">
        <v>602</v>
      </c>
      <c r="C107" s="1">
        <v>20</v>
      </c>
      <c r="D107" s="1">
        <v>20.7</v>
      </c>
      <c r="E107" s="1" t="s">
        <v>52</v>
      </c>
      <c r="F107" s="1" t="s">
        <v>3129</v>
      </c>
      <c r="G107" s="3" t="s">
        <v>603</v>
      </c>
      <c r="H107" s="11">
        <f t="shared" si="5"/>
        <v>103.75</v>
      </c>
      <c r="I107" s="9">
        <f>($K$2+0.02)*Tabla1[[#This Row],[PRECIO $]]*1.18</f>
        <v>85.002479999999991</v>
      </c>
      <c r="J107" s="7">
        <f>+Tabla1[[#This Row],[PRECIO EN SOLES]]-Tabla1[[#This Row],[PC]]</f>
        <v>18.747520000000009</v>
      </c>
      <c r="K107" s="15"/>
      <c r="L107" s="15" t="str">
        <f t="shared" si="4"/>
        <v>NORMAL</v>
      </c>
    </row>
    <row r="108" spans="1:12" x14ac:dyDescent="0.25">
      <c r="A108" s="3" t="s">
        <v>116</v>
      </c>
      <c r="B108" s="3" t="s">
        <v>117</v>
      </c>
      <c r="C108" s="1">
        <v>20</v>
      </c>
      <c r="D108" s="1">
        <v>20.7</v>
      </c>
      <c r="E108" s="1" t="s">
        <v>52</v>
      </c>
      <c r="F108" s="1" t="s">
        <v>3130</v>
      </c>
      <c r="G108" s="3" t="s">
        <v>2773</v>
      </c>
      <c r="H108" s="11">
        <f t="shared" si="5"/>
        <v>103.75</v>
      </c>
      <c r="I108" s="9">
        <f>($K$2+0.02)*Tabla1[[#This Row],[PRECIO $]]*1.18</f>
        <v>85.002479999999991</v>
      </c>
      <c r="J108" s="7">
        <f>+Tabla1[[#This Row],[PRECIO EN SOLES]]-Tabla1[[#This Row],[PC]]</f>
        <v>18.747520000000009</v>
      </c>
      <c r="K108" s="15"/>
      <c r="L108" s="15" t="str">
        <f t="shared" si="4"/>
        <v>NORMAL</v>
      </c>
    </row>
    <row r="109" spans="1:12" x14ac:dyDescent="0.25">
      <c r="A109" s="3" t="s">
        <v>118</v>
      </c>
      <c r="B109" s="3" t="s">
        <v>119</v>
      </c>
      <c r="C109" s="1">
        <v>20</v>
      </c>
      <c r="D109" s="1">
        <v>22.5</v>
      </c>
      <c r="E109" s="1" t="s">
        <v>52</v>
      </c>
      <c r="F109" s="1" t="s">
        <v>3131</v>
      </c>
      <c r="G109" s="3" t="s">
        <v>120</v>
      </c>
      <c r="H109" s="11">
        <f t="shared" si="5"/>
        <v>112.25</v>
      </c>
      <c r="I109" s="9">
        <f>($K$2+0.02)*Tabla1[[#This Row],[PRECIO $]]*1.18</f>
        <v>92.393999999999991</v>
      </c>
      <c r="J109" s="7">
        <f>+Tabla1[[#This Row],[PRECIO EN SOLES]]-Tabla1[[#This Row],[PC]]</f>
        <v>19.856000000000009</v>
      </c>
      <c r="K109" s="15"/>
      <c r="L109" s="15" t="str">
        <f t="shared" si="4"/>
        <v>NORMAL</v>
      </c>
    </row>
    <row r="110" spans="1:12" x14ac:dyDescent="0.25">
      <c r="A110" s="3" t="s">
        <v>886</v>
      </c>
      <c r="B110" s="3" t="s">
        <v>887</v>
      </c>
      <c r="C110" s="1">
        <v>20</v>
      </c>
      <c r="D110" s="1">
        <v>31</v>
      </c>
      <c r="E110" s="1" t="s">
        <v>52</v>
      </c>
      <c r="F110" s="1" t="s">
        <v>3132</v>
      </c>
      <c r="G110" s="3" t="s">
        <v>2761</v>
      </c>
      <c r="H110" s="11">
        <f t="shared" si="5"/>
        <v>152.38999999999999</v>
      </c>
      <c r="I110" s="9">
        <f>($K$2+0.02)*Tabla1[[#This Row],[PRECIO $]]*1.18</f>
        <v>127.29839999999999</v>
      </c>
      <c r="J110" s="7">
        <f>+Tabla1[[#This Row],[PRECIO EN SOLES]]-Tabla1[[#This Row],[PC]]</f>
        <v>25.0916</v>
      </c>
      <c r="K110" s="15"/>
      <c r="L110" s="15" t="str">
        <f t="shared" si="4"/>
        <v>NORMAL</v>
      </c>
    </row>
    <row r="111" spans="1:12" x14ac:dyDescent="0.25">
      <c r="A111" s="3" t="s">
        <v>888</v>
      </c>
      <c r="B111" s="3" t="s">
        <v>889</v>
      </c>
      <c r="C111" s="1">
        <v>0</v>
      </c>
      <c r="D111" s="1">
        <v>81</v>
      </c>
      <c r="E111" s="1" t="s">
        <v>121</v>
      </c>
      <c r="F111" s="1" t="s">
        <v>3133</v>
      </c>
      <c r="G111" s="3" t="s">
        <v>890</v>
      </c>
      <c r="H111" s="11">
        <f t="shared" si="5"/>
        <v>390.51</v>
      </c>
      <c r="I111" s="9">
        <f>($K$2+0.02)*Tabla1[[#This Row],[PRECIO $]]*1.18</f>
        <v>332.61839999999995</v>
      </c>
      <c r="J111" s="7">
        <f>+Tabla1[[#This Row],[PRECIO EN SOLES]]-Tabla1[[#This Row],[PC]]</f>
        <v>57.891600000000039</v>
      </c>
      <c r="K111" s="15"/>
      <c r="L111" s="15" t="str">
        <f t="shared" si="4"/>
        <v>NORMAL</v>
      </c>
    </row>
    <row r="112" spans="1:12" x14ac:dyDescent="0.25">
      <c r="A112" s="3" t="s">
        <v>4381</v>
      </c>
      <c r="B112" s="3" t="s">
        <v>4382</v>
      </c>
      <c r="C112" s="1">
        <v>20</v>
      </c>
      <c r="D112" s="1">
        <v>50.5</v>
      </c>
      <c r="E112" s="1" t="s">
        <v>3029</v>
      </c>
      <c r="F112" s="1" t="s">
        <v>4383</v>
      </c>
      <c r="G112" s="3" t="s">
        <v>4858</v>
      </c>
      <c r="H112" s="11">
        <f t="shared" si="5"/>
        <v>246.48</v>
      </c>
      <c r="I112" s="9">
        <f>($K$2+0.02)*Tabla1[[#This Row],[PRECIO $]]*1.18</f>
        <v>207.3732</v>
      </c>
      <c r="J112" s="7">
        <f>+Tabla1[[#This Row],[PRECIO EN SOLES]]-Tabla1[[#This Row],[PC]]</f>
        <v>39.106799999999993</v>
      </c>
      <c r="K112" s="15"/>
      <c r="L112" s="15" t="str">
        <f t="shared" si="4"/>
        <v>NORMAL</v>
      </c>
    </row>
    <row r="113" spans="1:12" x14ac:dyDescent="0.25">
      <c r="A113" s="3" t="s">
        <v>124</v>
      </c>
      <c r="B113" s="3" t="s">
        <v>125</v>
      </c>
      <c r="C113" s="1">
        <v>20</v>
      </c>
      <c r="D113" s="1">
        <v>17.5</v>
      </c>
      <c r="E113" s="1" t="s">
        <v>52</v>
      </c>
      <c r="F113" s="1" t="s">
        <v>3134</v>
      </c>
      <c r="G113" s="3" t="s">
        <v>126</v>
      </c>
      <c r="H113" s="11">
        <f t="shared" si="5"/>
        <v>86.64</v>
      </c>
      <c r="I113" s="9">
        <f>($K$2+0.02)*Tabla1[[#This Row],[PRECIO $]]*1.18</f>
        <v>71.861999999999995</v>
      </c>
      <c r="J113" s="7">
        <f>+Tabla1[[#This Row],[PRECIO EN SOLES]]-Tabla1[[#This Row],[PC]]</f>
        <v>14.778000000000006</v>
      </c>
      <c r="K113" s="15"/>
      <c r="L113" s="15" t="str">
        <f t="shared" si="4"/>
        <v>NORMAL</v>
      </c>
    </row>
    <row r="114" spans="1:12" x14ac:dyDescent="0.25">
      <c r="A114" s="3" t="s">
        <v>127</v>
      </c>
      <c r="B114" s="3" t="s">
        <v>128</v>
      </c>
      <c r="C114" s="1">
        <v>20</v>
      </c>
      <c r="D114" s="1">
        <v>17.5</v>
      </c>
      <c r="E114" s="1" t="s">
        <v>52</v>
      </c>
      <c r="F114" s="1" t="s">
        <v>3135</v>
      </c>
      <c r="G114" s="3" t="s">
        <v>129</v>
      </c>
      <c r="H114" s="11">
        <f t="shared" si="5"/>
        <v>86.64</v>
      </c>
      <c r="I114" s="9">
        <f>($K$2+0.02)*Tabla1[[#This Row],[PRECIO $]]*1.18</f>
        <v>71.861999999999995</v>
      </c>
      <c r="J114" s="7">
        <f>+Tabla1[[#This Row],[PRECIO EN SOLES]]-Tabla1[[#This Row],[PC]]</f>
        <v>14.778000000000006</v>
      </c>
      <c r="K114" s="15"/>
      <c r="L114" s="15" t="str">
        <f t="shared" si="4"/>
        <v>NORMAL</v>
      </c>
    </row>
    <row r="115" spans="1:12" x14ac:dyDescent="0.25">
      <c r="A115" s="3" t="s">
        <v>130</v>
      </c>
      <c r="B115" s="3" t="s">
        <v>131</v>
      </c>
      <c r="C115" s="1">
        <v>20</v>
      </c>
      <c r="D115" s="1">
        <v>17.5</v>
      </c>
      <c r="E115" s="1" t="s">
        <v>52</v>
      </c>
      <c r="F115" s="1" t="s">
        <v>3136</v>
      </c>
      <c r="G115" s="3" t="s">
        <v>132</v>
      </c>
      <c r="H115" s="11">
        <f t="shared" si="5"/>
        <v>86.64</v>
      </c>
      <c r="I115" s="9">
        <f>($K$2+0.02)*Tabla1[[#This Row],[PRECIO $]]*1.18</f>
        <v>71.861999999999995</v>
      </c>
      <c r="J115" s="7">
        <f>+Tabla1[[#This Row],[PRECIO EN SOLES]]-Tabla1[[#This Row],[PC]]</f>
        <v>14.778000000000006</v>
      </c>
      <c r="K115" s="15"/>
      <c r="L115" s="15" t="str">
        <f t="shared" si="4"/>
        <v>NORMAL</v>
      </c>
    </row>
    <row r="116" spans="1:12" x14ac:dyDescent="0.25">
      <c r="A116" s="3" t="s">
        <v>6409</v>
      </c>
      <c r="B116" s="3" t="s">
        <v>6410</v>
      </c>
      <c r="C116" s="1">
        <v>20</v>
      </c>
      <c r="D116" s="1">
        <v>25.9</v>
      </c>
      <c r="E116" s="1" t="s">
        <v>52</v>
      </c>
      <c r="F116" s="1" t="s">
        <v>6411</v>
      </c>
      <c r="G116" s="3" t="s">
        <v>6412</v>
      </c>
      <c r="H116" s="11">
        <f t="shared" si="5"/>
        <v>128.31</v>
      </c>
      <c r="I116" s="9">
        <f>($K$2+0.02)*Tabla1[[#This Row],[PRECIO $]]*1.18</f>
        <v>106.35575999999999</v>
      </c>
      <c r="J116" s="7">
        <f>+Tabla1[[#This Row],[PRECIO EN SOLES]]-Tabla1[[#This Row],[PC]]</f>
        <v>21.954240000000013</v>
      </c>
      <c r="K116" s="15"/>
      <c r="L116" s="15" t="str">
        <f t="shared" si="4"/>
        <v>NORMAL</v>
      </c>
    </row>
    <row r="117" spans="1:12" x14ac:dyDescent="0.25">
      <c r="A117" s="3" t="s">
        <v>133</v>
      </c>
      <c r="B117" s="3" t="s">
        <v>134</v>
      </c>
      <c r="C117" s="1">
        <v>20</v>
      </c>
      <c r="D117" s="1">
        <v>25.9</v>
      </c>
      <c r="E117" s="1" t="s">
        <v>52</v>
      </c>
      <c r="F117" s="1" t="s">
        <v>3137</v>
      </c>
      <c r="G117" s="3" t="s">
        <v>2762</v>
      </c>
      <c r="H117" s="11">
        <f t="shared" si="5"/>
        <v>128.31</v>
      </c>
      <c r="I117" s="9">
        <f>($K$2+0.02)*Tabla1[[#This Row],[PRECIO $]]*1.18</f>
        <v>106.35575999999999</v>
      </c>
      <c r="J117" s="7">
        <f>+Tabla1[[#This Row],[PRECIO EN SOLES]]-Tabla1[[#This Row],[PC]]</f>
        <v>21.954240000000013</v>
      </c>
      <c r="K117" s="15"/>
      <c r="L117" s="15" t="str">
        <f t="shared" si="4"/>
        <v>NORMAL</v>
      </c>
    </row>
    <row r="118" spans="1:12" x14ac:dyDescent="0.25">
      <c r="A118" s="3" t="s">
        <v>891</v>
      </c>
      <c r="B118" s="3" t="s">
        <v>892</v>
      </c>
      <c r="C118" s="1">
        <v>20</v>
      </c>
      <c r="D118" s="1">
        <v>28</v>
      </c>
      <c r="E118" s="1" t="s">
        <v>52</v>
      </c>
      <c r="F118" s="1" t="s">
        <v>3138</v>
      </c>
      <c r="G118" s="3" t="s">
        <v>893</v>
      </c>
      <c r="H118" s="11">
        <f t="shared" si="5"/>
        <v>138.22999999999999</v>
      </c>
      <c r="I118" s="9">
        <f>($K$2+0.02)*Tabla1[[#This Row],[PRECIO $]]*1.18</f>
        <v>114.97919999999999</v>
      </c>
      <c r="J118" s="7">
        <f>+Tabla1[[#This Row],[PRECIO EN SOLES]]-Tabla1[[#This Row],[PC]]</f>
        <v>23.250799999999998</v>
      </c>
      <c r="K118" s="15"/>
      <c r="L118" s="15" t="str">
        <f t="shared" si="4"/>
        <v>NORMAL</v>
      </c>
    </row>
    <row r="119" spans="1:12" x14ac:dyDescent="0.25">
      <c r="A119" s="3" t="s">
        <v>5225</v>
      </c>
      <c r="B119" s="3" t="s">
        <v>5226</v>
      </c>
      <c r="C119" s="1">
        <v>11</v>
      </c>
      <c r="D119" s="1">
        <v>30.3</v>
      </c>
      <c r="E119" s="1" t="s">
        <v>52</v>
      </c>
      <c r="F119" s="1" t="s">
        <v>5227</v>
      </c>
      <c r="G119" s="3" t="s">
        <v>5228</v>
      </c>
      <c r="H119" s="11">
        <f t="shared" si="5"/>
        <v>149.09</v>
      </c>
      <c r="I119" s="9">
        <f>($K$2+0.02)*Tabla1[[#This Row],[PRECIO $]]*1.18</f>
        <v>124.42392</v>
      </c>
      <c r="J119" s="7">
        <f>+Tabla1[[#This Row],[PRECIO EN SOLES]]-Tabla1[[#This Row],[PC]]</f>
        <v>24.666080000000008</v>
      </c>
      <c r="K119" s="15"/>
      <c r="L119" s="15" t="str">
        <f t="shared" si="4"/>
        <v>NORMAL</v>
      </c>
    </row>
    <row r="120" spans="1:12" x14ac:dyDescent="0.25">
      <c r="A120" s="3" t="s">
        <v>894</v>
      </c>
      <c r="B120" s="3" t="s">
        <v>895</v>
      </c>
      <c r="C120" s="1">
        <v>20</v>
      </c>
      <c r="D120" s="1">
        <v>29</v>
      </c>
      <c r="E120" s="1" t="s">
        <v>52</v>
      </c>
      <c r="F120" s="1" t="s">
        <v>3139</v>
      </c>
      <c r="G120" s="3" t="s">
        <v>896</v>
      </c>
      <c r="H120" s="11">
        <f t="shared" si="5"/>
        <v>142.94999999999999</v>
      </c>
      <c r="I120" s="9">
        <f>($K$2+0.02)*Tabla1[[#This Row],[PRECIO $]]*1.18</f>
        <v>119.0856</v>
      </c>
      <c r="J120" s="7">
        <f>+Tabla1[[#This Row],[PRECIO EN SOLES]]-Tabla1[[#This Row],[PC]]</f>
        <v>23.864399999999989</v>
      </c>
      <c r="K120" s="15"/>
      <c r="L120" s="15" t="str">
        <f t="shared" si="4"/>
        <v>NORMAL</v>
      </c>
    </row>
    <row r="121" spans="1:12" x14ac:dyDescent="0.25">
      <c r="A121" s="3" t="s">
        <v>4859</v>
      </c>
      <c r="B121" s="3" t="s">
        <v>4860</v>
      </c>
      <c r="C121" s="1">
        <v>20</v>
      </c>
      <c r="D121" s="1">
        <v>75.150000000000006</v>
      </c>
      <c r="E121" s="1" t="s">
        <v>115</v>
      </c>
      <c r="F121" s="1" t="s">
        <v>4861</v>
      </c>
      <c r="G121" s="3" t="s">
        <v>5148</v>
      </c>
      <c r="H121" s="11">
        <f t="shared" si="5"/>
        <v>362.89</v>
      </c>
      <c r="I121" s="9">
        <f>($K$2+0.02)*Tabla1[[#This Row],[PRECIO $]]*1.18</f>
        <v>308.59595999999999</v>
      </c>
      <c r="J121" s="7">
        <f>+Tabla1[[#This Row],[PRECIO EN SOLES]]-Tabla1[[#This Row],[PC]]</f>
        <v>54.294039999999995</v>
      </c>
      <c r="K121" s="15"/>
      <c r="L121" s="15" t="str">
        <f t="shared" si="4"/>
        <v>NORMAL</v>
      </c>
    </row>
    <row r="122" spans="1:12" x14ac:dyDescent="0.25">
      <c r="A122" s="3" t="s">
        <v>4862</v>
      </c>
      <c r="B122" s="3" t="s">
        <v>4863</v>
      </c>
      <c r="C122" s="1">
        <v>20</v>
      </c>
      <c r="D122" s="1">
        <v>75.25</v>
      </c>
      <c r="E122" s="1" t="s">
        <v>115</v>
      </c>
      <c r="F122" s="1" t="s">
        <v>4864</v>
      </c>
      <c r="G122" s="3" t="s">
        <v>5149</v>
      </c>
      <c r="H122" s="11">
        <f t="shared" si="5"/>
        <v>363.36</v>
      </c>
      <c r="I122" s="9">
        <f>($K$2+0.02)*Tabla1[[#This Row],[PRECIO $]]*1.18</f>
        <v>309.00659999999999</v>
      </c>
      <c r="J122" s="7">
        <f>+Tabla1[[#This Row],[PRECIO EN SOLES]]-Tabla1[[#This Row],[PC]]</f>
        <v>54.353400000000022</v>
      </c>
      <c r="K122" s="15"/>
      <c r="L122" s="15" t="str">
        <f t="shared" si="4"/>
        <v>NORMAL</v>
      </c>
    </row>
    <row r="123" spans="1:12" x14ac:dyDescent="0.25">
      <c r="A123" s="3" t="s">
        <v>6657</v>
      </c>
      <c r="B123" s="3" t="s">
        <v>6658</v>
      </c>
      <c r="C123" s="1">
        <v>0</v>
      </c>
      <c r="D123" s="1">
        <v>77.45</v>
      </c>
      <c r="E123" s="1" t="s">
        <v>115</v>
      </c>
      <c r="F123" s="1" t="s">
        <v>6659</v>
      </c>
      <c r="G123" s="3" t="s">
        <v>6660</v>
      </c>
      <c r="H123" s="11">
        <f t="shared" si="5"/>
        <v>373.75</v>
      </c>
      <c r="I123" s="9">
        <f>($K$2+0.02)*Tabla1[[#This Row],[PRECIO $]]*1.18</f>
        <v>318.04068000000001</v>
      </c>
      <c r="J123" s="7">
        <f>+Tabla1[[#This Row],[PRECIO EN SOLES]]-Tabla1[[#This Row],[PC]]</f>
        <v>55.709319999999991</v>
      </c>
      <c r="K123" s="15"/>
      <c r="L123" s="15" t="str">
        <f t="shared" si="4"/>
        <v>NORMAL</v>
      </c>
    </row>
    <row r="124" spans="1:12" x14ac:dyDescent="0.25">
      <c r="A124" s="3" t="s">
        <v>4865</v>
      </c>
      <c r="B124" s="3" t="s">
        <v>4866</v>
      </c>
      <c r="C124" s="1">
        <v>20</v>
      </c>
      <c r="D124" s="1">
        <v>109.6</v>
      </c>
      <c r="E124" s="1" t="s">
        <v>115</v>
      </c>
      <c r="F124" s="1" t="s">
        <v>4867</v>
      </c>
      <c r="G124" s="3" t="s">
        <v>4868</v>
      </c>
      <c r="H124" s="11">
        <f t="shared" si="5"/>
        <v>525.57000000000005</v>
      </c>
      <c r="I124" s="9">
        <f>($K$2+0.02)*Tabla1[[#This Row],[PRECIO $]]*1.18</f>
        <v>450.06143999999995</v>
      </c>
      <c r="J124" s="7">
        <f>+Tabla1[[#This Row],[PRECIO EN SOLES]]-Tabla1[[#This Row],[PC]]</f>
        <v>75.508560000000102</v>
      </c>
      <c r="K124" s="15"/>
      <c r="L124" s="15" t="str">
        <f t="shared" si="4"/>
        <v>NORMAL</v>
      </c>
    </row>
    <row r="125" spans="1:12" x14ac:dyDescent="0.25">
      <c r="A125" s="3" t="s">
        <v>135</v>
      </c>
      <c r="B125" s="3" t="s">
        <v>136</v>
      </c>
      <c r="C125" s="1">
        <v>20</v>
      </c>
      <c r="D125" s="1">
        <v>34.4</v>
      </c>
      <c r="E125" s="1" t="s">
        <v>52</v>
      </c>
      <c r="F125" s="1" t="s">
        <v>3140</v>
      </c>
      <c r="G125" s="3" t="s">
        <v>137</v>
      </c>
      <c r="H125" s="11">
        <f t="shared" si="5"/>
        <v>168.45</v>
      </c>
      <c r="I125" s="9">
        <f>($K$2+0.02)*Tabla1[[#This Row],[PRECIO $]]*1.18</f>
        <v>141.26015999999998</v>
      </c>
      <c r="J125" s="7">
        <f>+Tabla1[[#This Row],[PRECIO EN SOLES]]-Tabla1[[#This Row],[PC]]</f>
        <v>27.189840000000004</v>
      </c>
      <c r="K125" s="15"/>
      <c r="L125" s="15" t="str">
        <f t="shared" si="4"/>
        <v>NORMAL</v>
      </c>
    </row>
    <row r="126" spans="1:12" x14ac:dyDescent="0.25">
      <c r="A126" s="3" t="s">
        <v>897</v>
      </c>
      <c r="B126" s="3" t="s">
        <v>898</v>
      </c>
      <c r="C126" s="1">
        <v>20</v>
      </c>
      <c r="D126" s="1">
        <v>34.5</v>
      </c>
      <c r="E126" s="1" t="s">
        <v>52</v>
      </c>
      <c r="F126" s="1" t="s">
        <v>3141</v>
      </c>
      <c r="G126" s="3" t="s">
        <v>899</v>
      </c>
      <c r="H126" s="11">
        <f t="shared" si="5"/>
        <v>168.92</v>
      </c>
      <c r="I126" s="9">
        <f>($K$2+0.02)*Tabla1[[#This Row],[PRECIO $]]*1.18</f>
        <v>141.67079999999999</v>
      </c>
      <c r="J126" s="7">
        <f>+Tabla1[[#This Row],[PRECIO EN SOLES]]-Tabla1[[#This Row],[PC]]</f>
        <v>27.249200000000002</v>
      </c>
      <c r="K126" s="15"/>
      <c r="L126" s="15" t="str">
        <f t="shared" si="4"/>
        <v>NORMAL</v>
      </c>
    </row>
    <row r="127" spans="1:12" x14ac:dyDescent="0.25">
      <c r="A127" s="3" t="s">
        <v>4869</v>
      </c>
      <c r="B127" s="3" t="s">
        <v>4870</v>
      </c>
      <c r="C127" s="1">
        <v>18</v>
      </c>
      <c r="D127" s="1">
        <v>103.5</v>
      </c>
      <c r="E127" s="1" t="s">
        <v>3029</v>
      </c>
      <c r="F127" s="1" t="s">
        <v>4871</v>
      </c>
      <c r="G127" s="3" t="s">
        <v>4556</v>
      </c>
      <c r="H127" s="11">
        <f t="shared" si="5"/>
        <v>496.76</v>
      </c>
      <c r="I127" s="9">
        <f>($K$2+0.02)*Tabla1[[#This Row],[PRECIO $]]*1.18</f>
        <v>425.01240000000001</v>
      </c>
      <c r="J127" s="7">
        <f>+Tabla1[[#This Row],[PRECIO EN SOLES]]-Tabla1[[#This Row],[PC]]</f>
        <v>71.747599999999977</v>
      </c>
      <c r="K127" s="15"/>
      <c r="L127" s="15" t="str">
        <f t="shared" si="4"/>
        <v>NORMAL</v>
      </c>
    </row>
    <row r="128" spans="1:12" x14ac:dyDescent="0.25">
      <c r="A128" s="3" t="s">
        <v>2807</v>
      </c>
      <c r="B128" s="3" t="s">
        <v>139</v>
      </c>
      <c r="C128" s="1">
        <v>19</v>
      </c>
      <c r="D128" s="1">
        <v>34</v>
      </c>
      <c r="E128" s="1" t="s">
        <v>52</v>
      </c>
      <c r="F128" s="1" t="s">
        <v>3142</v>
      </c>
      <c r="G128" s="3"/>
      <c r="H128" s="11">
        <f t="shared" si="5"/>
        <v>166.56</v>
      </c>
      <c r="I128" s="9">
        <f>($K$2+0.02)*Tabla1[[#This Row],[PRECIO $]]*1.18</f>
        <v>139.61759999999998</v>
      </c>
      <c r="J128" s="7">
        <f>+Tabla1[[#This Row],[PRECIO EN SOLES]]-Tabla1[[#This Row],[PC]]</f>
        <v>26.942400000000021</v>
      </c>
      <c r="K128" s="15"/>
      <c r="L128" s="15" t="str">
        <f t="shared" si="4"/>
        <v>NORMAL</v>
      </c>
    </row>
    <row r="129" spans="1:12" x14ac:dyDescent="0.25">
      <c r="A129" s="3" t="s">
        <v>138</v>
      </c>
      <c r="B129" s="3" t="s">
        <v>139</v>
      </c>
      <c r="C129" s="1">
        <v>20</v>
      </c>
      <c r="D129" s="1">
        <v>41</v>
      </c>
      <c r="E129" s="1" t="s">
        <v>52</v>
      </c>
      <c r="F129" s="1" t="s">
        <v>3143</v>
      </c>
      <c r="G129" s="3" t="s">
        <v>140</v>
      </c>
      <c r="H129" s="11">
        <f t="shared" si="5"/>
        <v>201.62</v>
      </c>
      <c r="I129" s="9">
        <f>($K$2+0.02)*Tabla1[[#This Row],[PRECIO $]]*1.18</f>
        <v>168.36240000000001</v>
      </c>
      <c r="J129" s="7">
        <f>+Tabla1[[#This Row],[PRECIO EN SOLES]]-Tabla1[[#This Row],[PC]]</f>
        <v>33.257599999999996</v>
      </c>
      <c r="K129" s="15"/>
      <c r="L129" s="15" t="str">
        <f t="shared" si="4"/>
        <v>NORMAL</v>
      </c>
    </row>
    <row r="130" spans="1:12" x14ac:dyDescent="0.25">
      <c r="A130" s="3" t="s">
        <v>5704</v>
      </c>
      <c r="B130" s="3" t="s">
        <v>5705</v>
      </c>
      <c r="C130" s="1">
        <v>20</v>
      </c>
      <c r="D130" s="1">
        <v>50.25</v>
      </c>
      <c r="E130" s="1" t="s">
        <v>121</v>
      </c>
      <c r="F130" s="1" t="s">
        <v>5706</v>
      </c>
      <c r="G130" s="3" t="s">
        <v>5707</v>
      </c>
      <c r="H130" s="11">
        <f t="shared" si="5"/>
        <v>245.3</v>
      </c>
      <c r="I130" s="9">
        <f>($K$2+0.02)*Tabla1[[#This Row],[PRECIO $]]*1.18</f>
        <v>206.3466</v>
      </c>
      <c r="J130" s="7">
        <f>+Tabla1[[#This Row],[PRECIO EN SOLES]]-Tabla1[[#This Row],[PC]]</f>
        <v>38.953400000000016</v>
      </c>
      <c r="K130" s="15"/>
      <c r="L130" s="15" t="str">
        <f t="shared" si="4"/>
        <v>NORMAL</v>
      </c>
    </row>
    <row r="131" spans="1:12" x14ac:dyDescent="0.25">
      <c r="A131" s="3" t="s">
        <v>5229</v>
      </c>
      <c r="B131" s="3" t="s">
        <v>5230</v>
      </c>
      <c r="C131" s="1">
        <v>20</v>
      </c>
      <c r="D131" s="1">
        <v>54.4</v>
      </c>
      <c r="E131" s="1" t="s">
        <v>121</v>
      </c>
      <c r="F131" s="1" t="s">
        <v>5231</v>
      </c>
      <c r="G131" s="3" t="s">
        <v>5232</v>
      </c>
      <c r="H131" s="11">
        <f t="shared" si="5"/>
        <v>264.89999999999998</v>
      </c>
      <c r="I131" s="9">
        <f>($K$2+0.02)*Tabla1[[#This Row],[PRECIO $]]*1.18</f>
        <v>223.38815999999997</v>
      </c>
      <c r="J131" s="7">
        <f>+Tabla1[[#This Row],[PRECIO EN SOLES]]-Tabla1[[#This Row],[PC]]</f>
        <v>41.511840000000007</v>
      </c>
      <c r="K131" s="15"/>
      <c r="L131" s="15" t="str">
        <f t="shared" si="4"/>
        <v>NORMAL</v>
      </c>
    </row>
    <row r="132" spans="1:12" x14ac:dyDescent="0.25">
      <c r="A132" s="3" t="s">
        <v>122</v>
      </c>
      <c r="B132" s="3" t="s">
        <v>123</v>
      </c>
      <c r="C132" s="1">
        <v>20</v>
      </c>
      <c r="D132" s="1">
        <v>122.7</v>
      </c>
      <c r="E132" s="1" t="s">
        <v>121</v>
      </c>
      <c r="F132" s="1" t="s">
        <v>3144</v>
      </c>
      <c r="G132" s="3" t="s">
        <v>630</v>
      </c>
      <c r="H132" s="11">
        <f t="shared" si="5"/>
        <v>587.42999999999995</v>
      </c>
      <c r="I132" s="9">
        <f>($K$2+0.02)*Tabla1[[#This Row],[PRECIO $]]*1.18</f>
        <v>503.85527999999994</v>
      </c>
      <c r="J132" s="7">
        <f>+Tabla1[[#This Row],[PRECIO EN SOLES]]-Tabla1[[#This Row],[PC]]</f>
        <v>83.574720000000013</v>
      </c>
      <c r="K132" s="15"/>
      <c r="L132" s="15" t="str">
        <f t="shared" si="4"/>
        <v>NORMAL</v>
      </c>
    </row>
    <row r="133" spans="1:12" x14ac:dyDescent="0.25">
      <c r="A133" s="3" t="s">
        <v>900</v>
      </c>
      <c r="B133" s="3" t="s">
        <v>901</v>
      </c>
      <c r="C133" s="1">
        <v>20</v>
      </c>
      <c r="D133" s="1">
        <v>122.7</v>
      </c>
      <c r="E133" s="1" t="s">
        <v>121</v>
      </c>
      <c r="F133" s="1" t="s">
        <v>3145</v>
      </c>
      <c r="G133" s="3" t="s">
        <v>902</v>
      </c>
      <c r="H133" s="11">
        <f t="shared" si="5"/>
        <v>587.42999999999995</v>
      </c>
      <c r="I133" s="9">
        <f>($K$2+0.02)*Tabla1[[#This Row],[PRECIO $]]*1.18</f>
        <v>503.85527999999994</v>
      </c>
      <c r="J133" s="7">
        <f>+Tabla1[[#This Row],[PRECIO EN SOLES]]-Tabla1[[#This Row],[PC]]</f>
        <v>83.574720000000013</v>
      </c>
      <c r="K133" s="15"/>
      <c r="L133" s="15" t="str">
        <f t="shared" si="4"/>
        <v>NORMAL</v>
      </c>
    </row>
    <row r="134" spans="1:12" x14ac:dyDescent="0.25">
      <c r="A134" s="3" t="s">
        <v>903</v>
      </c>
      <c r="B134" s="3" t="s">
        <v>904</v>
      </c>
      <c r="C134" s="1">
        <v>20</v>
      </c>
      <c r="D134" s="1">
        <v>4.33</v>
      </c>
      <c r="E134" s="1" t="s">
        <v>54</v>
      </c>
      <c r="F134" s="1" t="s">
        <v>3146</v>
      </c>
      <c r="G134" s="3" t="s">
        <v>905</v>
      </c>
      <c r="H134" s="11">
        <f t="shared" si="5"/>
        <v>22.45</v>
      </c>
      <c r="I134" s="9">
        <f>($K$2+0.02)*Tabla1[[#This Row],[PRECIO $]]*1.18</f>
        <v>17.780712000000001</v>
      </c>
      <c r="J134" s="7">
        <f>+Tabla1[[#This Row],[PRECIO EN SOLES]]-Tabla1[[#This Row],[PC]]</f>
        <v>4.6692879999999981</v>
      </c>
      <c r="K134" s="15"/>
      <c r="L134" s="15" t="str">
        <f t="shared" si="4"/>
        <v>NORMAL</v>
      </c>
    </row>
    <row r="135" spans="1:12" x14ac:dyDescent="0.25">
      <c r="A135" s="3" t="s">
        <v>5708</v>
      </c>
      <c r="B135" s="3" t="s">
        <v>5709</v>
      </c>
      <c r="C135" s="1">
        <v>8</v>
      </c>
      <c r="D135" s="1">
        <v>126.6</v>
      </c>
      <c r="E135" s="1" t="s">
        <v>906</v>
      </c>
      <c r="F135" s="1" t="s">
        <v>5710</v>
      </c>
      <c r="G135" s="3" t="s">
        <v>5711</v>
      </c>
      <c r="H135" s="11">
        <f t="shared" si="5"/>
        <v>605.85</v>
      </c>
      <c r="I135" s="9">
        <f>($K$2+0.02)*Tabla1[[#This Row],[PRECIO $]]*1.18</f>
        <v>519.87023999999997</v>
      </c>
      <c r="J135" s="7">
        <f>+Tabla1[[#This Row],[PRECIO EN SOLES]]-Tabla1[[#This Row],[PC]]</f>
        <v>85.979760000000056</v>
      </c>
      <c r="K135" s="15"/>
      <c r="L135" s="15" t="str">
        <f t="shared" si="4"/>
        <v>NORMAL</v>
      </c>
    </row>
    <row r="136" spans="1:12" x14ac:dyDescent="0.25">
      <c r="A136" s="3" t="s">
        <v>5712</v>
      </c>
      <c r="B136" s="3" t="s">
        <v>5713</v>
      </c>
      <c r="C136" s="1">
        <v>6</v>
      </c>
      <c r="D136" s="1">
        <v>134.5</v>
      </c>
      <c r="E136" s="1" t="s">
        <v>906</v>
      </c>
      <c r="F136" s="1" t="s">
        <v>5714</v>
      </c>
      <c r="G136" s="3" t="s">
        <v>5715</v>
      </c>
      <c r="H136" s="11">
        <f t="shared" si="5"/>
        <v>643.16</v>
      </c>
      <c r="I136" s="9">
        <f>($K$2+0.02)*Tabla1[[#This Row],[PRECIO $]]*1.18</f>
        <v>552.31079999999997</v>
      </c>
      <c r="J136" s="7">
        <f>+Tabla1[[#This Row],[PRECIO EN SOLES]]-Tabla1[[#This Row],[PC]]</f>
        <v>90.849199999999996</v>
      </c>
      <c r="K136" s="15"/>
      <c r="L136" s="15" t="str">
        <f t="shared" si="4"/>
        <v>NORMAL</v>
      </c>
    </row>
    <row r="137" spans="1:12" x14ac:dyDescent="0.25">
      <c r="A137" s="3" t="s">
        <v>6661</v>
      </c>
      <c r="B137" s="3" t="s">
        <v>6662</v>
      </c>
      <c r="C137" s="1">
        <v>20</v>
      </c>
      <c r="D137" s="1">
        <v>74</v>
      </c>
      <c r="E137" s="1" t="s">
        <v>52</v>
      </c>
      <c r="F137" s="1" t="s">
        <v>6663</v>
      </c>
      <c r="G137" s="3" t="s">
        <v>6664</v>
      </c>
      <c r="H137" s="11">
        <f t="shared" si="5"/>
        <v>357.45</v>
      </c>
      <c r="I137" s="9">
        <f>($K$2+0.02)*Tabla1[[#This Row],[PRECIO $]]*1.18</f>
        <v>303.87359999999995</v>
      </c>
      <c r="J137" s="7">
        <f>+Tabla1[[#This Row],[PRECIO EN SOLES]]-Tabla1[[#This Row],[PC]]</f>
        <v>53.576400000000035</v>
      </c>
      <c r="K137" s="15"/>
      <c r="L137" s="15" t="str">
        <f t="shared" si="4"/>
        <v>NORMAL</v>
      </c>
    </row>
    <row r="138" spans="1:12" x14ac:dyDescent="0.25">
      <c r="A138" s="3" t="s">
        <v>907</v>
      </c>
      <c r="B138" s="3" t="s">
        <v>908</v>
      </c>
      <c r="C138" s="1">
        <v>20</v>
      </c>
      <c r="D138" s="1">
        <v>9.6999999999999993</v>
      </c>
      <c r="E138" s="1" t="s">
        <v>52</v>
      </c>
      <c r="F138" s="1" t="s">
        <v>3147</v>
      </c>
      <c r="G138" s="3" t="s">
        <v>909</v>
      </c>
      <c r="H138" s="11">
        <f t="shared" si="5"/>
        <v>49.81</v>
      </c>
      <c r="I138" s="9">
        <f>($K$2+0.02)*Tabla1[[#This Row],[PRECIO $]]*1.18</f>
        <v>39.832079999999998</v>
      </c>
      <c r="J138" s="7">
        <f>+Tabla1[[#This Row],[PRECIO EN SOLES]]-Tabla1[[#This Row],[PC]]</f>
        <v>9.9779200000000046</v>
      </c>
      <c r="K138" s="15"/>
      <c r="L138" s="15" t="str">
        <f t="shared" si="4"/>
        <v>NORMAL</v>
      </c>
    </row>
    <row r="139" spans="1:12" x14ac:dyDescent="0.25">
      <c r="A139" s="3" t="s">
        <v>631</v>
      </c>
      <c r="B139" s="3" t="s">
        <v>632</v>
      </c>
      <c r="C139" s="1">
        <v>0</v>
      </c>
      <c r="D139" s="1">
        <v>999</v>
      </c>
      <c r="E139" s="1" t="s">
        <v>57</v>
      </c>
      <c r="F139" s="1" t="s">
        <v>3148</v>
      </c>
      <c r="G139" s="3"/>
      <c r="H139" s="11">
        <f t="shared" si="5"/>
        <v>4725.6400000000003</v>
      </c>
      <c r="I139" s="9">
        <f>($K$2+0.02)*Tabla1[[#This Row],[PRECIO $]]*1.18</f>
        <v>4102.2936</v>
      </c>
      <c r="J139" s="7">
        <f>+Tabla1[[#This Row],[PRECIO EN SOLES]]-Tabla1[[#This Row],[PC]]</f>
        <v>623.34640000000036</v>
      </c>
      <c r="K139" s="15"/>
      <c r="L139" s="15" t="str">
        <f t="shared" si="4"/>
        <v>NORMAL</v>
      </c>
    </row>
    <row r="140" spans="1:12" x14ac:dyDescent="0.25">
      <c r="A140" s="3" t="s">
        <v>5716</v>
      </c>
      <c r="B140" s="3" t="s">
        <v>5717</v>
      </c>
      <c r="C140" s="1">
        <v>20</v>
      </c>
      <c r="D140" s="1">
        <v>51.5</v>
      </c>
      <c r="E140" s="1" t="s">
        <v>906</v>
      </c>
      <c r="F140" s="1" t="s">
        <v>5718</v>
      </c>
      <c r="G140" s="3" t="s">
        <v>5719</v>
      </c>
      <c r="H140" s="11">
        <f t="shared" si="5"/>
        <v>251.2</v>
      </c>
      <c r="I140" s="9">
        <f>($K$2+0.02)*Tabla1[[#This Row],[PRECIO $]]*1.18</f>
        <v>211.47959999999998</v>
      </c>
      <c r="J140" s="7">
        <f>+Tabla1[[#This Row],[PRECIO EN SOLES]]-Tabla1[[#This Row],[PC]]</f>
        <v>39.720400000000012</v>
      </c>
      <c r="K140" s="15"/>
      <c r="L140" s="15" t="str">
        <f t="shared" si="4"/>
        <v>NORMAL</v>
      </c>
    </row>
    <row r="141" spans="1:12" x14ac:dyDescent="0.25">
      <c r="A141" s="3" t="s">
        <v>5720</v>
      </c>
      <c r="B141" s="3" t="s">
        <v>5721</v>
      </c>
      <c r="C141" s="1">
        <v>20</v>
      </c>
      <c r="D141" s="1">
        <v>44.8</v>
      </c>
      <c r="E141" s="1" t="s">
        <v>906</v>
      </c>
      <c r="F141" s="1" t="s">
        <v>5722</v>
      </c>
      <c r="G141" s="3" t="s">
        <v>5723</v>
      </c>
      <c r="H141" s="11">
        <f t="shared" si="5"/>
        <v>219.56</v>
      </c>
      <c r="I141" s="9">
        <f>($K$2+0.02)*Tabla1[[#This Row],[PRECIO $]]*1.18</f>
        <v>183.96671999999998</v>
      </c>
      <c r="J141" s="7">
        <f>+Tabla1[[#This Row],[PRECIO EN SOLES]]-Tabla1[[#This Row],[PC]]</f>
        <v>35.593280000000021</v>
      </c>
      <c r="K141" s="15"/>
      <c r="L141" s="15" t="str">
        <f t="shared" si="4"/>
        <v>NORMAL</v>
      </c>
    </row>
    <row r="142" spans="1:12" x14ac:dyDescent="0.25">
      <c r="A142" s="3" t="s">
        <v>5724</v>
      </c>
      <c r="B142" s="3" t="s">
        <v>5725</v>
      </c>
      <c r="C142" s="1">
        <v>0</v>
      </c>
      <c r="D142" s="1">
        <v>55.5</v>
      </c>
      <c r="E142" s="1" t="s">
        <v>906</v>
      </c>
      <c r="F142" s="1" t="s">
        <v>5726</v>
      </c>
      <c r="G142" s="3" t="s">
        <v>5727</v>
      </c>
      <c r="H142" s="11">
        <f t="shared" si="5"/>
        <v>270.08999999999997</v>
      </c>
      <c r="I142" s="9">
        <f>($K$2+0.02)*Tabla1[[#This Row],[PRECIO $]]*1.18</f>
        <v>227.90519999999998</v>
      </c>
      <c r="J142" s="7">
        <f>+Tabla1[[#This Row],[PRECIO EN SOLES]]-Tabla1[[#This Row],[PC]]</f>
        <v>42.184799999999996</v>
      </c>
      <c r="K142" s="15"/>
      <c r="L142" s="15" t="str">
        <f t="shared" si="4"/>
        <v>NORMAL</v>
      </c>
    </row>
    <row r="143" spans="1:12" x14ac:dyDescent="0.25">
      <c r="A143" s="3" t="s">
        <v>5728</v>
      </c>
      <c r="B143" s="3" t="s">
        <v>5729</v>
      </c>
      <c r="C143" s="1">
        <v>20</v>
      </c>
      <c r="D143" s="1">
        <v>71.7</v>
      </c>
      <c r="E143" s="1" t="s">
        <v>906</v>
      </c>
      <c r="F143" s="1" t="s">
        <v>5730</v>
      </c>
      <c r="G143" s="3" t="s">
        <v>5731</v>
      </c>
      <c r="H143" s="11">
        <f t="shared" si="5"/>
        <v>346.59</v>
      </c>
      <c r="I143" s="9">
        <f>($K$2+0.02)*Tabla1[[#This Row],[PRECIO $]]*1.18</f>
        <v>294.42887999999999</v>
      </c>
      <c r="J143" s="7">
        <f>+Tabla1[[#This Row],[PRECIO EN SOLES]]-Tabla1[[#This Row],[PC]]</f>
        <v>52.161119999999983</v>
      </c>
      <c r="K143" s="15"/>
      <c r="L143" s="15" t="str">
        <f t="shared" si="4"/>
        <v>NORMAL</v>
      </c>
    </row>
    <row r="144" spans="1:12" x14ac:dyDescent="0.25">
      <c r="A144" s="3" t="s">
        <v>5732</v>
      </c>
      <c r="B144" s="3" t="s">
        <v>5733</v>
      </c>
      <c r="C144" s="1">
        <v>9</v>
      </c>
      <c r="D144" s="1">
        <v>139.75</v>
      </c>
      <c r="E144" s="1" t="s">
        <v>906</v>
      </c>
      <c r="F144" s="1" t="s">
        <v>5734</v>
      </c>
      <c r="G144" s="3" t="s">
        <v>5735</v>
      </c>
      <c r="H144" s="11">
        <f t="shared" si="5"/>
        <v>667.95</v>
      </c>
      <c r="I144" s="9">
        <f>($K$2+0.02)*Tabla1[[#This Row],[PRECIO $]]*1.18</f>
        <v>573.86939999999993</v>
      </c>
      <c r="J144" s="7">
        <f>+Tabla1[[#This Row],[PRECIO EN SOLES]]-Tabla1[[#This Row],[PC]]</f>
        <v>94.080600000000118</v>
      </c>
      <c r="K144" s="15"/>
      <c r="L144" s="15" t="str">
        <f t="shared" ref="L144:L207" si="6"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5" spans="1:12" x14ac:dyDescent="0.25">
      <c r="A145" s="3" t="s">
        <v>5736</v>
      </c>
      <c r="B145" s="3" t="s">
        <v>5737</v>
      </c>
      <c r="C145" s="1">
        <v>7</v>
      </c>
      <c r="D145" s="1">
        <v>154.6</v>
      </c>
      <c r="E145" s="1" t="s">
        <v>906</v>
      </c>
      <c r="F145" s="1" t="s">
        <v>5738</v>
      </c>
      <c r="G145" s="3" t="s">
        <v>5739</v>
      </c>
      <c r="H145" s="11">
        <f t="shared" si="5"/>
        <v>738.08</v>
      </c>
      <c r="I145" s="9">
        <f>($K$2+0.02)*Tabla1[[#This Row],[PRECIO $]]*1.18</f>
        <v>634.84943999999984</v>
      </c>
      <c r="J145" s="7">
        <f>+Tabla1[[#This Row],[PRECIO EN SOLES]]-Tabla1[[#This Row],[PC]]</f>
        <v>103.2305600000002</v>
      </c>
      <c r="K145" s="15"/>
      <c r="L145" s="15" t="str">
        <f t="shared" si="6"/>
        <v>NORMAL</v>
      </c>
    </row>
    <row r="146" spans="1:12" x14ac:dyDescent="0.25">
      <c r="A146" s="3" t="s">
        <v>5740</v>
      </c>
      <c r="B146" s="3" t="s">
        <v>5741</v>
      </c>
      <c r="C146" s="1">
        <v>0</v>
      </c>
      <c r="D146" s="1">
        <v>80.7</v>
      </c>
      <c r="E146" s="1" t="s">
        <v>906</v>
      </c>
      <c r="F146" s="1" t="s">
        <v>5742</v>
      </c>
      <c r="G146" s="3" t="s">
        <v>5743</v>
      </c>
      <c r="H146" s="11">
        <f t="shared" ref="H146:H209" si="7">ROUND(
IF(L144="GANCHO",
   IF(I146&lt;=50,I146*1.1+4,IF(I146&lt;=120,I146*1.1+7,IF(I146&lt;=250,I146*1.1+11,I146*1.1+19))),
IF(L144="NORMAL",
   IF(I146&lt;=30,I146*1.15+2,IF(I146&lt;=80,I146*1.15+4,IF(I146&lt;=150,I146*1.15+6,I146*1.15+8))),
IF(L144="COMPLEMENTO",
   IF(I146&lt;=25,I146*1.25+1.5,IF(I146&lt;=60,I146*1.25+3,IF(I146&lt;=120,I146*1.25+4,I146*1.25+5))),
""))),2)</f>
        <v>389.09</v>
      </c>
      <c r="I146" s="9">
        <f>($K$2+0.02)*Tabla1[[#This Row],[PRECIO $]]*1.18</f>
        <v>331.38648000000001</v>
      </c>
      <c r="J146" s="7">
        <f>+Tabla1[[#This Row],[PRECIO EN SOLES]]-Tabla1[[#This Row],[PC]]</f>
        <v>57.703519999999969</v>
      </c>
      <c r="K146" s="15"/>
      <c r="L146" s="15" t="str">
        <f t="shared" si="6"/>
        <v>NORMAL</v>
      </c>
    </row>
    <row r="147" spans="1:12" x14ac:dyDescent="0.25">
      <c r="A147" s="3" t="s">
        <v>5744</v>
      </c>
      <c r="B147" s="3" t="s">
        <v>5745</v>
      </c>
      <c r="C147" s="1">
        <v>12</v>
      </c>
      <c r="D147" s="1">
        <v>105.3</v>
      </c>
      <c r="E147" s="1" t="s">
        <v>906</v>
      </c>
      <c r="F147" s="1" t="s">
        <v>5746</v>
      </c>
      <c r="G147" s="3" t="s">
        <v>5747</v>
      </c>
      <c r="H147" s="11">
        <f t="shared" si="7"/>
        <v>505.26</v>
      </c>
      <c r="I147" s="9">
        <f>($K$2+0.02)*Tabla1[[#This Row],[PRECIO $]]*1.18</f>
        <v>432.40391999999991</v>
      </c>
      <c r="J147" s="7">
        <f>+Tabla1[[#This Row],[PRECIO EN SOLES]]-Tabla1[[#This Row],[PC]]</f>
        <v>72.856080000000077</v>
      </c>
      <c r="K147" s="15"/>
      <c r="L147" s="15" t="str">
        <f t="shared" si="6"/>
        <v>NORMAL</v>
      </c>
    </row>
    <row r="148" spans="1:12" x14ac:dyDescent="0.25">
      <c r="A148" s="3" t="s">
        <v>5748</v>
      </c>
      <c r="B148" s="3" t="s">
        <v>5749</v>
      </c>
      <c r="C148" s="1">
        <v>0</v>
      </c>
      <c r="D148" s="1">
        <v>35.25</v>
      </c>
      <c r="E148" s="1" t="s">
        <v>906</v>
      </c>
      <c r="F148" s="1" t="s">
        <v>5750</v>
      </c>
      <c r="G148" s="3" t="s">
        <v>5719</v>
      </c>
      <c r="H148" s="11">
        <f t="shared" si="7"/>
        <v>172.46</v>
      </c>
      <c r="I148" s="9">
        <f>($K$2+0.02)*Tabla1[[#This Row],[PRECIO $]]*1.18</f>
        <v>144.75059999999999</v>
      </c>
      <c r="J148" s="7">
        <f>+Tabla1[[#This Row],[PRECIO EN SOLES]]-Tabla1[[#This Row],[PC]]</f>
        <v>27.709400000000016</v>
      </c>
      <c r="K148" s="15"/>
      <c r="L148" s="15" t="str">
        <f t="shared" si="6"/>
        <v>NORMAL</v>
      </c>
    </row>
    <row r="149" spans="1:12" x14ac:dyDescent="0.25">
      <c r="A149" s="3" t="s">
        <v>5751</v>
      </c>
      <c r="B149" s="3" t="s">
        <v>5752</v>
      </c>
      <c r="C149" s="1">
        <v>16</v>
      </c>
      <c r="D149" s="1">
        <v>95.2</v>
      </c>
      <c r="E149" s="1" t="s">
        <v>906</v>
      </c>
      <c r="F149" s="1" t="s">
        <v>5753</v>
      </c>
      <c r="G149" s="3" t="s">
        <v>5754</v>
      </c>
      <c r="H149" s="11">
        <f t="shared" si="7"/>
        <v>457.57</v>
      </c>
      <c r="I149" s="9">
        <f>($K$2+0.02)*Tabla1[[#This Row],[PRECIO $]]*1.18</f>
        <v>390.92927999999995</v>
      </c>
      <c r="J149" s="7">
        <f>+Tabla1[[#This Row],[PRECIO EN SOLES]]-Tabla1[[#This Row],[PC]]</f>
        <v>66.640720000000044</v>
      </c>
      <c r="K149" s="15"/>
      <c r="L149" s="15" t="str">
        <f t="shared" si="6"/>
        <v>NORMAL</v>
      </c>
    </row>
    <row r="150" spans="1:12" x14ac:dyDescent="0.25">
      <c r="A150" s="3" t="s">
        <v>5755</v>
      </c>
      <c r="B150" s="3" t="s">
        <v>5756</v>
      </c>
      <c r="C150" s="1">
        <v>11</v>
      </c>
      <c r="D150" s="1">
        <v>118.6</v>
      </c>
      <c r="E150" s="1" t="s">
        <v>906</v>
      </c>
      <c r="F150" s="1" t="s">
        <v>5757</v>
      </c>
      <c r="G150" s="3" t="s">
        <v>5758</v>
      </c>
      <c r="H150" s="11">
        <f t="shared" si="7"/>
        <v>568.07000000000005</v>
      </c>
      <c r="I150" s="9">
        <f>($K$2+0.02)*Tabla1[[#This Row],[PRECIO $]]*1.18</f>
        <v>487.0190399999999</v>
      </c>
      <c r="J150" s="7">
        <f>+Tabla1[[#This Row],[PRECIO EN SOLES]]-Tabla1[[#This Row],[PC]]</f>
        <v>81.050960000000146</v>
      </c>
      <c r="K150" s="15"/>
      <c r="L150" s="15" t="str">
        <f t="shared" si="6"/>
        <v>NORMAL</v>
      </c>
    </row>
    <row r="151" spans="1:12" x14ac:dyDescent="0.25">
      <c r="A151" s="3" t="s">
        <v>5759</v>
      </c>
      <c r="B151" s="3" t="s">
        <v>5760</v>
      </c>
      <c r="C151" s="1">
        <v>16</v>
      </c>
      <c r="D151" s="1">
        <v>76.150000000000006</v>
      </c>
      <c r="E151" s="1" t="s">
        <v>906</v>
      </c>
      <c r="F151" s="1" t="s">
        <v>5761</v>
      </c>
      <c r="G151" s="3" t="s">
        <v>5762</v>
      </c>
      <c r="H151" s="11">
        <f t="shared" si="7"/>
        <v>367.61</v>
      </c>
      <c r="I151" s="9">
        <f>($K$2+0.02)*Tabla1[[#This Row],[PRECIO $]]*1.18</f>
        <v>312.70236</v>
      </c>
      <c r="J151" s="7">
        <f>+Tabla1[[#This Row],[PRECIO EN SOLES]]-Tabla1[[#This Row],[PC]]</f>
        <v>54.907640000000015</v>
      </c>
      <c r="K151" s="15"/>
      <c r="L151" s="15" t="str">
        <f t="shared" si="6"/>
        <v>NORMAL</v>
      </c>
    </row>
    <row r="152" spans="1:12" x14ac:dyDescent="0.25">
      <c r="A152" s="3" t="s">
        <v>5763</v>
      </c>
      <c r="B152" s="3" t="s">
        <v>5764</v>
      </c>
      <c r="C152" s="1">
        <v>17</v>
      </c>
      <c r="D152" s="1">
        <v>80.7</v>
      </c>
      <c r="E152" s="1" t="s">
        <v>906</v>
      </c>
      <c r="F152" s="1" t="s">
        <v>5765</v>
      </c>
      <c r="G152" s="3" t="s">
        <v>5766</v>
      </c>
      <c r="H152" s="11">
        <f t="shared" si="7"/>
        <v>389.09</v>
      </c>
      <c r="I152" s="9">
        <f>($K$2+0.02)*Tabla1[[#This Row],[PRECIO $]]*1.18</f>
        <v>331.38648000000001</v>
      </c>
      <c r="J152" s="7">
        <f>+Tabla1[[#This Row],[PRECIO EN SOLES]]-Tabla1[[#This Row],[PC]]</f>
        <v>57.703519999999969</v>
      </c>
      <c r="K152" s="15"/>
      <c r="L152" s="15" t="str">
        <f t="shared" si="6"/>
        <v>NORMAL</v>
      </c>
    </row>
    <row r="153" spans="1:12" x14ac:dyDescent="0.25">
      <c r="A153" s="3" t="s">
        <v>5767</v>
      </c>
      <c r="B153" s="3" t="s">
        <v>5768</v>
      </c>
      <c r="C153" s="1">
        <v>14</v>
      </c>
      <c r="D153" s="1">
        <v>86.25</v>
      </c>
      <c r="E153" s="1" t="s">
        <v>906</v>
      </c>
      <c r="F153" s="1" t="s">
        <v>5769</v>
      </c>
      <c r="G153" s="3" t="s">
        <v>5770</v>
      </c>
      <c r="H153" s="11">
        <f t="shared" si="7"/>
        <v>415.3</v>
      </c>
      <c r="I153" s="9">
        <f>($K$2+0.02)*Tabla1[[#This Row],[PRECIO $]]*1.18</f>
        <v>354.17699999999996</v>
      </c>
      <c r="J153" s="7">
        <f>+Tabla1[[#This Row],[PRECIO EN SOLES]]-Tabla1[[#This Row],[PC]]</f>
        <v>61.123000000000047</v>
      </c>
      <c r="K153" s="15"/>
      <c r="L153" s="15" t="str">
        <f t="shared" si="6"/>
        <v>NORMAL</v>
      </c>
    </row>
    <row r="154" spans="1:12" x14ac:dyDescent="0.25">
      <c r="A154" s="3" t="s">
        <v>5771</v>
      </c>
      <c r="B154" s="3" t="s">
        <v>5772</v>
      </c>
      <c r="C154" s="1">
        <v>6</v>
      </c>
      <c r="D154" s="1">
        <v>106.5</v>
      </c>
      <c r="E154" s="1" t="s">
        <v>906</v>
      </c>
      <c r="F154" s="1" t="s">
        <v>5773</v>
      </c>
      <c r="G154" s="3" t="s">
        <v>5774</v>
      </c>
      <c r="H154" s="11">
        <f t="shared" si="7"/>
        <v>510.93</v>
      </c>
      <c r="I154" s="9">
        <f>($K$2+0.02)*Tabla1[[#This Row],[PRECIO $]]*1.18</f>
        <v>437.33159999999998</v>
      </c>
      <c r="J154" s="7">
        <f>+Tabla1[[#This Row],[PRECIO EN SOLES]]-Tabla1[[#This Row],[PC]]</f>
        <v>73.598400000000026</v>
      </c>
      <c r="K154" s="15"/>
      <c r="L154" s="15" t="str">
        <f t="shared" si="6"/>
        <v>NORMAL</v>
      </c>
    </row>
    <row r="155" spans="1:12" x14ac:dyDescent="0.25">
      <c r="A155" s="3" t="s">
        <v>5775</v>
      </c>
      <c r="B155" s="3" t="s">
        <v>5776</v>
      </c>
      <c r="C155" s="1">
        <v>10</v>
      </c>
      <c r="D155" s="1">
        <v>306.5</v>
      </c>
      <c r="E155" s="1" t="s">
        <v>906</v>
      </c>
      <c r="F155" s="1" t="s">
        <v>5777</v>
      </c>
      <c r="G155" s="3" t="s">
        <v>5778</v>
      </c>
      <c r="H155" s="11">
        <f t="shared" si="7"/>
        <v>1455.4</v>
      </c>
      <c r="I155" s="9">
        <f>($K$2+0.02)*Tabla1[[#This Row],[PRECIO $]]*1.18</f>
        <v>1258.6115999999997</v>
      </c>
      <c r="J155" s="7">
        <f>+Tabla1[[#This Row],[PRECIO EN SOLES]]-Tabla1[[#This Row],[PC]]</f>
        <v>196.78840000000037</v>
      </c>
      <c r="K155" s="15"/>
      <c r="L155" s="15" t="str">
        <f t="shared" si="6"/>
        <v>NORMAL</v>
      </c>
    </row>
    <row r="156" spans="1:12" x14ac:dyDescent="0.25">
      <c r="A156" s="3" t="s">
        <v>5779</v>
      </c>
      <c r="B156" s="3" t="s">
        <v>5780</v>
      </c>
      <c r="C156" s="1">
        <v>6</v>
      </c>
      <c r="D156" s="1">
        <v>400</v>
      </c>
      <c r="E156" s="1" t="s">
        <v>906</v>
      </c>
      <c r="F156" s="1" t="s">
        <v>5781</v>
      </c>
      <c r="G156" s="3" t="s">
        <v>5782</v>
      </c>
      <c r="H156" s="11">
        <f t="shared" si="7"/>
        <v>1896.94</v>
      </c>
      <c r="I156" s="9">
        <f>($K$2+0.02)*Tabla1[[#This Row],[PRECIO $]]*1.18</f>
        <v>1642.56</v>
      </c>
      <c r="J156" s="7">
        <f>+Tabla1[[#This Row],[PRECIO EN SOLES]]-Tabla1[[#This Row],[PC]]</f>
        <v>254.38000000000011</v>
      </c>
      <c r="K156" s="15"/>
      <c r="L156" s="15" t="str">
        <f t="shared" si="6"/>
        <v>NORMAL</v>
      </c>
    </row>
    <row r="157" spans="1:12" x14ac:dyDescent="0.25">
      <c r="A157" s="3" t="s">
        <v>4557</v>
      </c>
      <c r="B157" s="3" t="s">
        <v>4558</v>
      </c>
      <c r="C157" s="1">
        <v>0</v>
      </c>
      <c r="D157" s="1">
        <v>33.700000000000003</v>
      </c>
      <c r="E157" s="1" t="s">
        <v>226</v>
      </c>
      <c r="F157" s="1" t="s">
        <v>4559</v>
      </c>
      <c r="G157" s="3" t="s">
        <v>4560</v>
      </c>
      <c r="H157" s="11">
        <f t="shared" si="7"/>
        <v>165.14</v>
      </c>
      <c r="I157" s="9">
        <f>($K$2+0.02)*Tabla1[[#This Row],[PRECIO $]]*1.18</f>
        <v>138.38568000000001</v>
      </c>
      <c r="J157" s="7">
        <f>+Tabla1[[#This Row],[PRECIO EN SOLES]]-Tabla1[[#This Row],[PC]]</f>
        <v>26.754319999999979</v>
      </c>
      <c r="K157" s="15"/>
      <c r="L157" s="15" t="str">
        <f t="shared" si="6"/>
        <v>NORMAL</v>
      </c>
    </row>
    <row r="158" spans="1:12" x14ac:dyDescent="0.25">
      <c r="A158" s="3" t="s">
        <v>5233</v>
      </c>
      <c r="B158" s="3" t="s">
        <v>5234</v>
      </c>
      <c r="C158" s="1">
        <v>20</v>
      </c>
      <c r="D158" s="1">
        <v>100.6</v>
      </c>
      <c r="E158" s="1" t="s">
        <v>121</v>
      </c>
      <c r="F158" s="1" t="s">
        <v>5235</v>
      </c>
      <c r="G158" s="3" t="s">
        <v>5236</v>
      </c>
      <c r="H158" s="11">
        <f t="shared" si="7"/>
        <v>483.07</v>
      </c>
      <c r="I158" s="9">
        <f>($K$2+0.02)*Tabla1[[#This Row],[PRECIO $]]*1.18</f>
        <v>413.10383999999993</v>
      </c>
      <c r="J158" s="7">
        <f>+Tabla1[[#This Row],[PRECIO EN SOLES]]-Tabla1[[#This Row],[PC]]</f>
        <v>69.966160000000059</v>
      </c>
      <c r="K158" s="15"/>
      <c r="L158" s="15" t="str">
        <f t="shared" si="6"/>
        <v>NORMAL</v>
      </c>
    </row>
    <row r="159" spans="1:12" x14ac:dyDescent="0.25">
      <c r="A159" s="3" t="s">
        <v>5237</v>
      </c>
      <c r="B159" s="3" t="s">
        <v>5238</v>
      </c>
      <c r="C159" s="1">
        <v>0</v>
      </c>
      <c r="D159" s="1">
        <v>86.45</v>
      </c>
      <c r="E159" s="1" t="s">
        <v>121</v>
      </c>
      <c r="F159" s="1" t="s">
        <v>5239</v>
      </c>
      <c r="G159" s="3" t="s">
        <v>5240</v>
      </c>
      <c r="H159" s="11">
        <f t="shared" si="7"/>
        <v>416.25</v>
      </c>
      <c r="I159" s="9">
        <f>($K$2+0.02)*Tabla1[[#This Row],[PRECIO $]]*1.18</f>
        <v>354.99827999999997</v>
      </c>
      <c r="J159" s="7">
        <f>+Tabla1[[#This Row],[PRECIO EN SOLES]]-Tabla1[[#This Row],[PC]]</f>
        <v>61.251720000000034</v>
      </c>
      <c r="K159" s="15"/>
      <c r="L159" s="15" t="str">
        <f t="shared" si="6"/>
        <v>GANCHO</v>
      </c>
    </row>
    <row r="160" spans="1:12" x14ac:dyDescent="0.25">
      <c r="A160" s="3" t="s">
        <v>5783</v>
      </c>
      <c r="B160" s="3" t="s">
        <v>5784</v>
      </c>
      <c r="C160" s="1">
        <v>0</v>
      </c>
      <c r="D160" s="1">
        <v>40.799999999999997</v>
      </c>
      <c r="E160" s="1" t="s">
        <v>121</v>
      </c>
      <c r="F160" s="1" t="s">
        <v>5785</v>
      </c>
      <c r="G160" s="3" t="s">
        <v>5786</v>
      </c>
      <c r="H160" s="11">
        <f t="shared" si="7"/>
        <v>200.67</v>
      </c>
      <c r="I160" s="9">
        <f>($K$2+0.02)*Tabla1[[#This Row],[PRECIO $]]*1.18</f>
        <v>167.54111999999998</v>
      </c>
      <c r="J160" s="7">
        <f>+Tabla1[[#This Row],[PRECIO EN SOLES]]-Tabla1[[#This Row],[PC]]</f>
        <v>33.128880000000009</v>
      </c>
      <c r="K160" s="15"/>
      <c r="L160" s="15" t="str">
        <f t="shared" si="6"/>
        <v>GANCHO</v>
      </c>
    </row>
    <row r="161" spans="1:12" x14ac:dyDescent="0.25">
      <c r="A161" s="3" t="s">
        <v>911</v>
      </c>
      <c r="B161" s="3" t="s">
        <v>912</v>
      </c>
      <c r="C161" s="1">
        <v>0</v>
      </c>
      <c r="D161" s="1">
        <v>427</v>
      </c>
      <c r="E161" s="1" t="s">
        <v>837</v>
      </c>
      <c r="F161" s="1" t="s">
        <v>3149</v>
      </c>
      <c r="G161" s="3" t="s">
        <v>913</v>
      </c>
      <c r="H161" s="11">
        <f t="shared" si="7"/>
        <v>1947.78</v>
      </c>
      <c r="I161" s="9">
        <f>($K$2+0.02)*Tabla1[[#This Row],[PRECIO $]]*1.18</f>
        <v>1753.4328</v>
      </c>
      <c r="J161" s="7">
        <f>+Tabla1[[#This Row],[PRECIO EN SOLES]]-Tabla1[[#This Row],[PC]]</f>
        <v>194.34719999999993</v>
      </c>
      <c r="K161" s="15"/>
      <c r="L161" s="15" t="str">
        <f t="shared" si="6"/>
        <v>GANCHO</v>
      </c>
    </row>
    <row r="162" spans="1:12" x14ac:dyDescent="0.25">
      <c r="A162" s="3" t="s">
        <v>914</v>
      </c>
      <c r="B162" s="3" t="s">
        <v>915</v>
      </c>
      <c r="C162" s="1">
        <v>0</v>
      </c>
      <c r="D162" s="1">
        <v>563</v>
      </c>
      <c r="E162" s="1" t="s">
        <v>56</v>
      </c>
      <c r="F162" s="1" t="s">
        <v>3150</v>
      </c>
      <c r="G162" s="3"/>
      <c r="H162" s="11">
        <f t="shared" si="7"/>
        <v>2562.09</v>
      </c>
      <c r="I162" s="9">
        <f>($K$2+0.02)*Tabla1[[#This Row],[PRECIO $]]*1.18</f>
        <v>2311.9031999999997</v>
      </c>
      <c r="J162" s="7">
        <f>+Tabla1[[#This Row],[PRECIO EN SOLES]]-Tabla1[[#This Row],[PC]]</f>
        <v>250.1868000000004</v>
      </c>
      <c r="K162" s="15"/>
      <c r="L162" s="15" t="str">
        <f t="shared" si="6"/>
        <v>GANCHO</v>
      </c>
    </row>
    <row r="163" spans="1:12" x14ac:dyDescent="0.25">
      <c r="A163" s="3" t="s">
        <v>2918</v>
      </c>
      <c r="B163" s="3" t="s">
        <v>2919</v>
      </c>
      <c r="C163" s="1">
        <v>0</v>
      </c>
      <c r="D163" s="1">
        <v>578</v>
      </c>
      <c r="E163" s="1" t="s">
        <v>141</v>
      </c>
      <c r="F163" s="1" t="s">
        <v>3151</v>
      </c>
      <c r="G163" s="3" t="s">
        <v>2920</v>
      </c>
      <c r="H163" s="11">
        <f t="shared" si="7"/>
        <v>2629.85</v>
      </c>
      <c r="I163" s="9">
        <f>($K$2+0.02)*Tabla1[[#This Row],[PRECIO $]]*1.18</f>
        <v>2373.4991999999997</v>
      </c>
      <c r="J163" s="7">
        <f>+Tabla1[[#This Row],[PRECIO EN SOLES]]-Tabla1[[#This Row],[PC]]</f>
        <v>256.35080000000016</v>
      </c>
      <c r="K163" s="15"/>
      <c r="L163" s="15" t="str">
        <f t="shared" si="6"/>
        <v>GANCHO</v>
      </c>
    </row>
    <row r="164" spans="1:12" x14ac:dyDescent="0.25">
      <c r="A164" s="3" t="s">
        <v>142</v>
      </c>
      <c r="B164" s="3" t="s">
        <v>143</v>
      </c>
      <c r="C164" s="1">
        <v>18</v>
      </c>
      <c r="D164" s="1">
        <v>203</v>
      </c>
      <c r="E164" s="1" t="s">
        <v>141</v>
      </c>
      <c r="F164" s="1" t="s">
        <v>3152</v>
      </c>
      <c r="G164" s="3" t="s">
        <v>144</v>
      </c>
      <c r="H164" s="11">
        <f t="shared" si="7"/>
        <v>935.96</v>
      </c>
      <c r="I164" s="9">
        <f>($K$2+0.02)*Tabla1[[#This Row],[PRECIO $]]*1.18</f>
        <v>833.59919999999988</v>
      </c>
      <c r="J164" s="7">
        <f>+Tabla1[[#This Row],[PRECIO EN SOLES]]-Tabla1[[#This Row],[PC]]</f>
        <v>102.36080000000015</v>
      </c>
      <c r="K164" s="15"/>
      <c r="L164" s="15" t="str">
        <f t="shared" si="6"/>
        <v>GANCHO</v>
      </c>
    </row>
    <row r="165" spans="1:12" x14ac:dyDescent="0.25">
      <c r="A165" s="3" t="s">
        <v>917</v>
      </c>
      <c r="B165" s="3" t="s">
        <v>918</v>
      </c>
      <c r="C165" s="1">
        <v>4</v>
      </c>
      <c r="D165" s="1">
        <v>1710</v>
      </c>
      <c r="E165" s="1" t="s">
        <v>141</v>
      </c>
      <c r="F165" s="1" t="s">
        <v>3153</v>
      </c>
      <c r="G165" s="3" t="s">
        <v>919</v>
      </c>
      <c r="H165" s="11">
        <f t="shared" si="7"/>
        <v>7743.14</v>
      </c>
      <c r="I165" s="9">
        <f>($K$2+0.02)*Tabla1[[#This Row],[PRECIO $]]*1.18</f>
        <v>7021.9439999999995</v>
      </c>
      <c r="J165" s="7">
        <f>+Tabla1[[#This Row],[PRECIO EN SOLES]]-Tabla1[[#This Row],[PC]]</f>
        <v>721.19600000000082</v>
      </c>
      <c r="K165" s="15"/>
      <c r="L165" s="15" t="str">
        <f t="shared" si="6"/>
        <v>GANCHO</v>
      </c>
    </row>
    <row r="166" spans="1:12" x14ac:dyDescent="0.25">
      <c r="A166" s="3" t="s">
        <v>2774</v>
      </c>
      <c r="B166" s="3" t="s">
        <v>916</v>
      </c>
      <c r="C166" s="1">
        <v>20</v>
      </c>
      <c r="D166" s="1">
        <v>267</v>
      </c>
      <c r="E166" s="1" t="s">
        <v>141</v>
      </c>
      <c r="F166" s="1" t="s">
        <v>3154</v>
      </c>
      <c r="G166" s="3"/>
      <c r="H166" s="11">
        <f t="shared" si="7"/>
        <v>1225.05</v>
      </c>
      <c r="I166" s="9">
        <f>($K$2+0.02)*Tabla1[[#This Row],[PRECIO $]]*1.18</f>
        <v>1096.4087999999999</v>
      </c>
      <c r="J166" s="7">
        <f>+Tabla1[[#This Row],[PRECIO EN SOLES]]-Tabla1[[#This Row],[PC]]</f>
        <v>128.64120000000003</v>
      </c>
      <c r="K166" s="15"/>
      <c r="L166" s="15" t="str">
        <f t="shared" si="6"/>
        <v>GANCHO</v>
      </c>
    </row>
    <row r="167" spans="1:12" x14ac:dyDescent="0.25">
      <c r="A167" s="3" t="s">
        <v>4561</v>
      </c>
      <c r="B167" s="3" t="s">
        <v>4562</v>
      </c>
      <c r="C167" s="1">
        <v>4</v>
      </c>
      <c r="D167" s="1">
        <v>868</v>
      </c>
      <c r="E167" s="1" t="s">
        <v>141</v>
      </c>
      <c r="F167" s="1" t="s">
        <v>4563</v>
      </c>
      <c r="G167" s="3" t="s">
        <v>4564</v>
      </c>
      <c r="H167" s="11">
        <f t="shared" si="7"/>
        <v>3939.79</v>
      </c>
      <c r="I167" s="9">
        <f>($K$2+0.02)*Tabla1[[#This Row],[PRECIO $]]*1.18</f>
        <v>3564.3551999999995</v>
      </c>
      <c r="J167" s="7">
        <f>+Tabla1[[#This Row],[PRECIO EN SOLES]]-Tabla1[[#This Row],[PC]]</f>
        <v>375.43480000000045</v>
      </c>
      <c r="K167" s="15"/>
      <c r="L167" s="15" t="str">
        <f t="shared" si="6"/>
        <v>GANCHO</v>
      </c>
    </row>
    <row r="168" spans="1:12" x14ac:dyDescent="0.25">
      <c r="A168" s="3" t="s">
        <v>5639</v>
      </c>
      <c r="B168" s="3" t="s">
        <v>5640</v>
      </c>
      <c r="C168" s="1">
        <v>15</v>
      </c>
      <c r="D168" s="1">
        <v>403</v>
      </c>
      <c r="E168" s="1" t="s">
        <v>141</v>
      </c>
      <c r="F168" s="1" t="s">
        <v>5641</v>
      </c>
      <c r="G168" s="3" t="s">
        <v>5642</v>
      </c>
      <c r="H168" s="11">
        <f t="shared" si="7"/>
        <v>1839.37</v>
      </c>
      <c r="I168" s="9">
        <f>($K$2+0.02)*Tabla1[[#This Row],[PRECIO $]]*1.18</f>
        <v>1654.8792000000001</v>
      </c>
      <c r="J168" s="7">
        <f>+Tabla1[[#This Row],[PRECIO EN SOLES]]-Tabla1[[#This Row],[PC]]</f>
        <v>184.49079999999981</v>
      </c>
      <c r="K168" s="15"/>
      <c r="L168" s="15" t="str">
        <f t="shared" si="6"/>
        <v>GANCHO</v>
      </c>
    </row>
    <row r="169" spans="1:12" x14ac:dyDescent="0.25">
      <c r="A169" s="3" t="s">
        <v>920</v>
      </c>
      <c r="B169" s="3" t="s">
        <v>921</v>
      </c>
      <c r="C169" s="1">
        <v>11</v>
      </c>
      <c r="D169" s="1">
        <v>752</v>
      </c>
      <c r="E169" s="1" t="s">
        <v>141</v>
      </c>
      <c r="F169" s="1" t="s">
        <v>3155</v>
      </c>
      <c r="G169" s="3" t="s">
        <v>922</v>
      </c>
      <c r="H169" s="11">
        <f t="shared" si="7"/>
        <v>3415.81</v>
      </c>
      <c r="I169" s="9">
        <f>($K$2+0.02)*Tabla1[[#This Row],[PRECIO $]]*1.18</f>
        <v>3088.0128</v>
      </c>
      <c r="J169" s="7">
        <f>+Tabla1[[#This Row],[PRECIO EN SOLES]]-Tabla1[[#This Row],[PC]]</f>
        <v>327.79719999999998</v>
      </c>
      <c r="K169" s="15"/>
      <c r="L169" s="15" t="str">
        <f t="shared" si="6"/>
        <v>GANCHO</v>
      </c>
    </row>
    <row r="170" spans="1:12" x14ac:dyDescent="0.25">
      <c r="A170" s="3" t="s">
        <v>923</v>
      </c>
      <c r="B170" s="3" t="s">
        <v>924</v>
      </c>
      <c r="C170" s="1">
        <v>20</v>
      </c>
      <c r="D170" s="1">
        <v>222</v>
      </c>
      <c r="E170" s="1" t="s">
        <v>141</v>
      </c>
      <c r="F170" s="1" t="s">
        <v>3156</v>
      </c>
      <c r="G170" s="3" t="s">
        <v>925</v>
      </c>
      <c r="H170" s="11">
        <f t="shared" si="7"/>
        <v>1021.78</v>
      </c>
      <c r="I170" s="9">
        <f>($K$2+0.02)*Tabla1[[#This Row],[PRECIO $]]*1.18</f>
        <v>911.62079999999992</v>
      </c>
      <c r="J170" s="7">
        <f>+Tabla1[[#This Row],[PRECIO EN SOLES]]-Tabla1[[#This Row],[PC]]</f>
        <v>110.15920000000006</v>
      </c>
      <c r="K170" s="15"/>
      <c r="L170" s="15" t="str">
        <f t="shared" si="6"/>
        <v>GANCHO</v>
      </c>
    </row>
    <row r="171" spans="1:12" x14ac:dyDescent="0.25">
      <c r="A171" s="3" t="s">
        <v>2808</v>
      </c>
      <c r="B171" s="3" t="s">
        <v>2809</v>
      </c>
      <c r="C171" s="1">
        <v>5</v>
      </c>
      <c r="D171" s="1">
        <v>220</v>
      </c>
      <c r="E171" s="1" t="s">
        <v>141</v>
      </c>
      <c r="F171" s="1" t="s">
        <v>3157</v>
      </c>
      <c r="G171" s="3" t="s">
        <v>2810</v>
      </c>
      <c r="H171" s="11">
        <f t="shared" si="7"/>
        <v>1012.75</v>
      </c>
      <c r="I171" s="9">
        <f>($K$2+0.02)*Tabla1[[#This Row],[PRECIO $]]*1.18</f>
        <v>903.40800000000002</v>
      </c>
      <c r="J171" s="7">
        <f>+Tabla1[[#This Row],[PRECIO EN SOLES]]-Tabla1[[#This Row],[PC]]</f>
        <v>109.34199999999998</v>
      </c>
      <c r="K171" s="15"/>
      <c r="L171" s="15" t="str">
        <f t="shared" si="6"/>
        <v>GANCHO</v>
      </c>
    </row>
    <row r="172" spans="1:12" x14ac:dyDescent="0.25">
      <c r="A172" s="3" t="s">
        <v>926</v>
      </c>
      <c r="B172" s="3" t="s">
        <v>927</v>
      </c>
      <c r="C172" s="1">
        <v>20</v>
      </c>
      <c r="D172" s="1">
        <v>308</v>
      </c>
      <c r="E172" s="1" t="s">
        <v>74</v>
      </c>
      <c r="F172" s="1" t="s">
        <v>3158</v>
      </c>
      <c r="G172" s="3" t="s">
        <v>928</v>
      </c>
      <c r="H172" s="11">
        <f t="shared" si="7"/>
        <v>1410.25</v>
      </c>
      <c r="I172" s="9">
        <f>($K$2+0.02)*Tabla1[[#This Row],[PRECIO $]]*1.18</f>
        <v>1264.7711999999999</v>
      </c>
      <c r="J172" s="7">
        <f>+Tabla1[[#This Row],[PRECIO EN SOLES]]-Tabla1[[#This Row],[PC]]</f>
        <v>145.47880000000009</v>
      </c>
      <c r="K172" s="15"/>
      <c r="L172" s="15" t="str">
        <f t="shared" si="6"/>
        <v>GANCHO</v>
      </c>
    </row>
    <row r="173" spans="1:12" x14ac:dyDescent="0.25">
      <c r="A173" s="3" t="s">
        <v>929</v>
      </c>
      <c r="B173" s="3" t="s">
        <v>930</v>
      </c>
      <c r="C173" s="1">
        <v>20</v>
      </c>
      <c r="D173" s="1">
        <v>872</v>
      </c>
      <c r="E173" s="1" t="s">
        <v>837</v>
      </c>
      <c r="F173" s="1" t="s">
        <v>3159</v>
      </c>
      <c r="G173" s="3" t="s">
        <v>4872</v>
      </c>
      <c r="H173" s="11">
        <f t="shared" si="7"/>
        <v>3957.86</v>
      </c>
      <c r="I173" s="9">
        <f>($K$2+0.02)*Tabla1[[#This Row],[PRECIO $]]*1.18</f>
        <v>3580.7807999999995</v>
      </c>
      <c r="J173" s="7">
        <f>+Tabla1[[#This Row],[PRECIO EN SOLES]]-Tabla1[[#This Row],[PC]]</f>
        <v>377.07920000000058</v>
      </c>
      <c r="K173" s="15"/>
      <c r="L173" s="15" t="str">
        <f t="shared" si="6"/>
        <v>GANCHO</v>
      </c>
    </row>
    <row r="174" spans="1:12" x14ac:dyDescent="0.25">
      <c r="A174" s="3" t="s">
        <v>931</v>
      </c>
      <c r="B174" s="3" t="s">
        <v>932</v>
      </c>
      <c r="C174" s="1">
        <v>20</v>
      </c>
      <c r="D174" s="1">
        <v>1035</v>
      </c>
      <c r="E174" s="1" t="s">
        <v>837</v>
      </c>
      <c r="F174" s="1" t="s">
        <v>3160</v>
      </c>
      <c r="G174" s="3" t="s">
        <v>4873</v>
      </c>
      <c r="H174" s="11">
        <f t="shared" si="7"/>
        <v>4694.1400000000003</v>
      </c>
      <c r="I174" s="9">
        <f>($K$2+0.02)*Tabla1[[#This Row],[PRECIO $]]*1.18</f>
        <v>4250.1239999999998</v>
      </c>
      <c r="J174" s="7">
        <f>+Tabla1[[#This Row],[PRECIO EN SOLES]]-Tabla1[[#This Row],[PC]]</f>
        <v>444.01600000000053</v>
      </c>
      <c r="K174" s="15"/>
      <c r="L174" s="15" t="str">
        <f t="shared" si="6"/>
        <v>GANCHO</v>
      </c>
    </row>
    <row r="175" spans="1:12" x14ac:dyDescent="0.25">
      <c r="A175" s="3" t="s">
        <v>933</v>
      </c>
      <c r="B175" s="3" t="s">
        <v>934</v>
      </c>
      <c r="C175" s="1">
        <v>20</v>
      </c>
      <c r="D175" s="1">
        <v>967</v>
      </c>
      <c r="E175" s="1" t="s">
        <v>837</v>
      </c>
      <c r="F175" s="1" t="s">
        <v>3161</v>
      </c>
      <c r="G175" s="3" t="s">
        <v>4873</v>
      </c>
      <c r="H175" s="11">
        <f t="shared" si="7"/>
        <v>4386.9799999999996</v>
      </c>
      <c r="I175" s="9">
        <f>($K$2+0.02)*Tabla1[[#This Row],[PRECIO $]]*1.18</f>
        <v>3970.8887999999997</v>
      </c>
      <c r="J175" s="7">
        <f>+Tabla1[[#This Row],[PRECIO EN SOLES]]-Tabla1[[#This Row],[PC]]</f>
        <v>416.09119999999984</v>
      </c>
      <c r="K175" s="15"/>
      <c r="L175" s="15" t="str">
        <f t="shared" si="6"/>
        <v>GANCHO</v>
      </c>
    </row>
    <row r="176" spans="1:12" x14ac:dyDescent="0.25">
      <c r="A176" s="3" t="s">
        <v>935</v>
      </c>
      <c r="B176" s="3" t="s">
        <v>936</v>
      </c>
      <c r="C176" s="1">
        <v>0</v>
      </c>
      <c r="D176" s="1">
        <v>419</v>
      </c>
      <c r="E176" s="1" t="s">
        <v>54</v>
      </c>
      <c r="F176" s="1" t="s">
        <v>3162</v>
      </c>
      <c r="G176" s="3" t="s">
        <v>937</v>
      </c>
      <c r="H176" s="11">
        <f t="shared" si="7"/>
        <v>1911.64</v>
      </c>
      <c r="I176" s="9">
        <f>($K$2+0.02)*Tabla1[[#This Row],[PRECIO $]]*1.18</f>
        <v>1720.5815999999998</v>
      </c>
      <c r="J176" s="7">
        <f>+Tabla1[[#This Row],[PRECIO EN SOLES]]-Tabla1[[#This Row],[PC]]</f>
        <v>191.05840000000035</v>
      </c>
      <c r="K176" s="15"/>
      <c r="L176" s="15" t="str">
        <f t="shared" si="6"/>
        <v>GANCHO</v>
      </c>
    </row>
    <row r="177" spans="1:12" x14ac:dyDescent="0.25">
      <c r="A177" s="3" t="s">
        <v>938</v>
      </c>
      <c r="B177" s="3" t="s">
        <v>939</v>
      </c>
      <c r="C177" s="1">
        <v>20</v>
      </c>
      <c r="D177" s="1">
        <v>477</v>
      </c>
      <c r="E177" s="1" t="s">
        <v>74</v>
      </c>
      <c r="F177" s="1" t="s">
        <v>3163</v>
      </c>
      <c r="G177" s="3" t="s">
        <v>145</v>
      </c>
      <c r="H177" s="11">
        <f t="shared" si="7"/>
        <v>2173.63</v>
      </c>
      <c r="I177" s="9">
        <f>($K$2+0.02)*Tabla1[[#This Row],[PRECIO $]]*1.18</f>
        <v>1958.7528</v>
      </c>
      <c r="J177" s="7">
        <f>+Tabla1[[#This Row],[PRECIO EN SOLES]]-Tabla1[[#This Row],[PC]]</f>
        <v>214.87720000000013</v>
      </c>
      <c r="K177" s="15"/>
      <c r="L177" s="15" t="str">
        <f t="shared" si="6"/>
        <v>GANCHO</v>
      </c>
    </row>
    <row r="178" spans="1:12" x14ac:dyDescent="0.25">
      <c r="A178" s="3" t="s">
        <v>146</v>
      </c>
      <c r="B178" s="3" t="s">
        <v>147</v>
      </c>
      <c r="C178" s="1">
        <v>14</v>
      </c>
      <c r="D178" s="1">
        <v>380.5</v>
      </c>
      <c r="E178" s="1" t="s">
        <v>74</v>
      </c>
      <c r="F178" s="1" t="s">
        <v>3164</v>
      </c>
      <c r="G178" s="3" t="s">
        <v>145</v>
      </c>
      <c r="H178" s="11">
        <f t="shared" si="7"/>
        <v>1737.73</v>
      </c>
      <c r="I178" s="9">
        <f>($K$2+0.02)*Tabla1[[#This Row],[PRECIO $]]*1.18</f>
        <v>1562.4852000000001</v>
      </c>
      <c r="J178" s="7">
        <f>+Tabla1[[#This Row],[PRECIO EN SOLES]]-Tabla1[[#This Row],[PC]]</f>
        <v>175.24479999999994</v>
      </c>
      <c r="K178" s="15"/>
      <c r="L178" s="15" t="str">
        <f t="shared" si="6"/>
        <v>GANCHO</v>
      </c>
    </row>
    <row r="179" spans="1:12" x14ac:dyDescent="0.25">
      <c r="A179" s="3" t="s">
        <v>4384</v>
      </c>
      <c r="B179" s="3" t="s">
        <v>4385</v>
      </c>
      <c r="C179" s="1">
        <v>0</v>
      </c>
      <c r="D179" s="1">
        <v>650</v>
      </c>
      <c r="E179" s="1" t="s">
        <v>910</v>
      </c>
      <c r="F179" s="1" t="s">
        <v>4386</v>
      </c>
      <c r="G179" s="3" t="s">
        <v>4387</v>
      </c>
      <c r="H179" s="11">
        <f t="shared" si="7"/>
        <v>2955.08</v>
      </c>
      <c r="I179" s="9">
        <f>($K$2+0.02)*Tabla1[[#This Row],[PRECIO $]]*1.18</f>
        <v>2669.16</v>
      </c>
      <c r="J179" s="7">
        <f>+Tabla1[[#This Row],[PRECIO EN SOLES]]-Tabla1[[#This Row],[PC]]</f>
        <v>285.92000000000007</v>
      </c>
      <c r="K179" s="15"/>
      <c r="L179" s="15" t="str">
        <f t="shared" si="6"/>
        <v>GANCHO</v>
      </c>
    </row>
    <row r="180" spans="1:12" x14ac:dyDescent="0.25">
      <c r="A180" s="3" t="s">
        <v>940</v>
      </c>
      <c r="B180" s="3" t="s">
        <v>941</v>
      </c>
      <c r="C180" s="1">
        <v>20</v>
      </c>
      <c r="D180" s="1">
        <v>727</v>
      </c>
      <c r="E180" s="1" t="s">
        <v>74</v>
      </c>
      <c r="F180" s="1" t="s">
        <v>3165</v>
      </c>
      <c r="G180" s="3" t="s">
        <v>942</v>
      </c>
      <c r="H180" s="11">
        <f t="shared" si="7"/>
        <v>3302.89</v>
      </c>
      <c r="I180" s="9">
        <f>($K$2+0.02)*Tabla1[[#This Row],[PRECIO $]]*1.18</f>
        <v>2985.3527999999997</v>
      </c>
      <c r="J180" s="7">
        <f>+Tabla1[[#This Row],[PRECIO EN SOLES]]-Tabla1[[#This Row],[PC]]</f>
        <v>317.53720000000021</v>
      </c>
      <c r="K180" s="15"/>
      <c r="L180" s="15" t="str">
        <f t="shared" si="6"/>
        <v>GANCHO</v>
      </c>
    </row>
    <row r="181" spans="1:12" x14ac:dyDescent="0.25">
      <c r="A181" s="3" t="s">
        <v>6665</v>
      </c>
      <c r="B181" s="3" t="s">
        <v>6666</v>
      </c>
      <c r="C181" s="1">
        <v>20</v>
      </c>
      <c r="D181" s="1">
        <v>567</v>
      </c>
      <c r="E181" s="1" t="s">
        <v>74</v>
      </c>
      <c r="F181" s="1" t="s">
        <v>6667</v>
      </c>
      <c r="G181" s="3" t="s">
        <v>4252</v>
      </c>
      <c r="H181" s="11">
        <f t="shared" si="7"/>
        <v>2580.16</v>
      </c>
      <c r="I181" s="9">
        <f>($K$2+0.02)*Tabla1[[#This Row],[PRECIO $]]*1.18</f>
        <v>2328.3287999999998</v>
      </c>
      <c r="J181" s="7">
        <f>+Tabla1[[#This Row],[PRECIO EN SOLES]]-Tabla1[[#This Row],[PC]]</f>
        <v>251.83120000000008</v>
      </c>
      <c r="K181" s="15"/>
      <c r="L181" s="15" t="str">
        <f t="shared" si="6"/>
        <v>GANCHO</v>
      </c>
    </row>
    <row r="182" spans="1:12" x14ac:dyDescent="0.25">
      <c r="A182" s="3" t="s">
        <v>4253</v>
      </c>
      <c r="B182" s="3" t="s">
        <v>4254</v>
      </c>
      <c r="C182" s="1">
        <v>20</v>
      </c>
      <c r="D182" s="1">
        <v>625</v>
      </c>
      <c r="E182" s="1" t="s">
        <v>74</v>
      </c>
      <c r="F182" s="1" t="s">
        <v>4255</v>
      </c>
      <c r="G182" s="3" t="s">
        <v>4252</v>
      </c>
      <c r="H182" s="11">
        <f t="shared" si="7"/>
        <v>2842.15</v>
      </c>
      <c r="I182" s="9">
        <f>($K$2+0.02)*Tabla1[[#This Row],[PRECIO $]]*1.18</f>
        <v>2566.5</v>
      </c>
      <c r="J182" s="7">
        <f>+Tabla1[[#This Row],[PRECIO EN SOLES]]-Tabla1[[#This Row],[PC]]</f>
        <v>275.65000000000009</v>
      </c>
      <c r="K182" s="15"/>
      <c r="L182" s="15" t="str">
        <f t="shared" si="6"/>
        <v>GANCHO</v>
      </c>
    </row>
    <row r="183" spans="1:12" x14ac:dyDescent="0.25">
      <c r="A183" s="3" t="s">
        <v>943</v>
      </c>
      <c r="B183" s="3" t="s">
        <v>944</v>
      </c>
      <c r="C183" s="1">
        <v>19</v>
      </c>
      <c r="D183" s="1">
        <v>917</v>
      </c>
      <c r="E183" s="1" t="s">
        <v>837</v>
      </c>
      <c r="F183" s="1" t="s">
        <v>3166</v>
      </c>
      <c r="G183" s="3" t="s">
        <v>945</v>
      </c>
      <c r="H183" s="11">
        <f t="shared" si="7"/>
        <v>4161.13</v>
      </c>
      <c r="I183" s="9">
        <f>($K$2+0.02)*Tabla1[[#This Row],[PRECIO $]]*1.18</f>
        <v>3765.5687999999996</v>
      </c>
      <c r="J183" s="7">
        <f>+Tabla1[[#This Row],[PRECIO EN SOLES]]-Tabla1[[#This Row],[PC]]</f>
        <v>395.56120000000055</v>
      </c>
      <c r="K183" s="15"/>
      <c r="L183" s="15" t="str">
        <f t="shared" si="6"/>
        <v>GANCHO</v>
      </c>
    </row>
    <row r="184" spans="1:12" x14ac:dyDescent="0.25">
      <c r="A184" s="3" t="s">
        <v>5241</v>
      </c>
      <c r="B184" s="3" t="s">
        <v>5242</v>
      </c>
      <c r="C184" s="1">
        <v>5</v>
      </c>
      <c r="D184" s="1">
        <v>747</v>
      </c>
      <c r="E184" s="1" t="s">
        <v>74</v>
      </c>
      <c r="F184" s="1" t="s">
        <v>5243</v>
      </c>
      <c r="G184" s="3" t="s">
        <v>6413</v>
      </c>
      <c r="H184" s="11">
        <f t="shared" si="7"/>
        <v>3393.23</v>
      </c>
      <c r="I184" s="9">
        <f>($K$2+0.02)*Tabla1[[#This Row],[PRECIO $]]*1.18</f>
        <v>3067.4807999999998</v>
      </c>
      <c r="J184" s="7">
        <f>+Tabla1[[#This Row],[PRECIO EN SOLES]]-Tabla1[[#This Row],[PC]]</f>
        <v>325.7492000000002</v>
      </c>
      <c r="K184" s="15"/>
      <c r="L184" s="15" t="str">
        <f t="shared" si="6"/>
        <v>GANCHO</v>
      </c>
    </row>
    <row r="185" spans="1:12" x14ac:dyDescent="0.25">
      <c r="A185" s="3" t="s">
        <v>6668</v>
      </c>
      <c r="B185" s="3" t="s">
        <v>6669</v>
      </c>
      <c r="C185" s="1">
        <v>4</v>
      </c>
      <c r="D185" s="1">
        <v>867</v>
      </c>
      <c r="E185" s="1" t="s">
        <v>74</v>
      </c>
      <c r="F185" s="1" t="s">
        <v>6670</v>
      </c>
      <c r="G185" s="3" t="s">
        <v>6413</v>
      </c>
      <c r="H185" s="11">
        <f t="shared" si="7"/>
        <v>3935.27</v>
      </c>
      <c r="I185" s="9">
        <f>($K$2+0.02)*Tabla1[[#This Row],[PRECIO $]]*1.18</f>
        <v>3560.2487999999998</v>
      </c>
      <c r="J185" s="7">
        <f>+Tabla1[[#This Row],[PRECIO EN SOLES]]-Tabla1[[#This Row],[PC]]</f>
        <v>375.02120000000014</v>
      </c>
      <c r="K185" s="15"/>
      <c r="L185" s="15" t="str">
        <f t="shared" si="6"/>
        <v>GANCHO</v>
      </c>
    </row>
    <row r="186" spans="1:12" x14ac:dyDescent="0.25">
      <c r="A186" s="3" t="s">
        <v>946</v>
      </c>
      <c r="B186" s="3" t="s">
        <v>947</v>
      </c>
      <c r="C186" s="1">
        <v>20</v>
      </c>
      <c r="D186" s="1">
        <v>827</v>
      </c>
      <c r="E186" s="1" t="s">
        <v>74</v>
      </c>
      <c r="F186" s="1" t="s">
        <v>3167</v>
      </c>
      <c r="G186" s="3" t="s">
        <v>948</v>
      </c>
      <c r="H186" s="11">
        <f t="shared" si="7"/>
        <v>3754.59</v>
      </c>
      <c r="I186" s="9">
        <f>($K$2+0.02)*Tabla1[[#This Row],[PRECIO $]]*1.18</f>
        <v>3395.9928</v>
      </c>
      <c r="J186" s="7">
        <f>+Tabla1[[#This Row],[PRECIO EN SOLES]]-Tabla1[[#This Row],[PC]]</f>
        <v>358.59720000000016</v>
      </c>
      <c r="K186" s="15"/>
      <c r="L186" s="15" t="str">
        <f t="shared" si="6"/>
        <v>GANCHO</v>
      </c>
    </row>
    <row r="187" spans="1:12" x14ac:dyDescent="0.25">
      <c r="A187" s="3" t="s">
        <v>949</v>
      </c>
      <c r="B187" s="3" t="s">
        <v>950</v>
      </c>
      <c r="C187" s="1">
        <v>18</v>
      </c>
      <c r="D187" s="1">
        <v>780</v>
      </c>
      <c r="E187" s="1" t="s">
        <v>148</v>
      </c>
      <c r="F187" s="1" t="s">
        <v>3168</v>
      </c>
      <c r="G187" s="3" t="s">
        <v>951</v>
      </c>
      <c r="H187" s="11">
        <f t="shared" si="7"/>
        <v>3542.29</v>
      </c>
      <c r="I187" s="9">
        <f>($K$2+0.02)*Tabla1[[#This Row],[PRECIO $]]*1.18</f>
        <v>3202.9919999999997</v>
      </c>
      <c r="J187" s="7">
        <f>+Tabla1[[#This Row],[PRECIO EN SOLES]]-Tabla1[[#This Row],[PC]]</f>
        <v>339.29800000000023</v>
      </c>
      <c r="K187" s="15"/>
      <c r="L187" s="15" t="str">
        <f t="shared" si="6"/>
        <v>GANCHO</v>
      </c>
    </row>
    <row r="188" spans="1:12" x14ac:dyDescent="0.25">
      <c r="A188" s="3" t="s">
        <v>952</v>
      </c>
      <c r="B188" s="3" t="s">
        <v>953</v>
      </c>
      <c r="C188" s="1">
        <v>20</v>
      </c>
      <c r="D188" s="1">
        <v>586</v>
      </c>
      <c r="E188" s="1" t="s">
        <v>74</v>
      </c>
      <c r="F188" s="1" t="s">
        <v>3169</v>
      </c>
      <c r="G188" s="3" t="s">
        <v>954</v>
      </c>
      <c r="H188" s="11">
        <f t="shared" si="7"/>
        <v>2665.99</v>
      </c>
      <c r="I188" s="9">
        <f>($K$2+0.02)*Tabla1[[#This Row],[PRECIO $]]*1.18</f>
        <v>2406.3503999999998</v>
      </c>
      <c r="J188" s="7">
        <f>+Tabla1[[#This Row],[PRECIO EN SOLES]]-Tabla1[[#This Row],[PC]]</f>
        <v>259.63959999999997</v>
      </c>
      <c r="K188" s="15"/>
      <c r="L188" s="15" t="str">
        <f t="shared" si="6"/>
        <v>GANCHO</v>
      </c>
    </row>
    <row r="189" spans="1:12" x14ac:dyDescent="0.25">
      <c r="A189" s="3" t="s">
        <v>955</v>
      </c>
      <c r="B189" s="3" t="s">
        <v>956</v>
      </c>
      <c r="C189" s="1">
        <v>20</v>
      </c>
      <c r="D189" s="1">
        <v>606</v>
      </c>
      <c r="E189" s="1" t="s">
        <v>74</v>
      </c>
      <c r="F189" s="1" t="s">
        <v>3170</v>
      </c>
      <c r="G189" s="3" t="s">
        <v>957</v>
      </c>
      <c r="H189" s="11">
        <f t="shared" si="7"/>
        <v>2756.33</v>
      </c>
      <c r="I189" s="9">
        <f>($K$2+0.02)*Tabla1[[#This Row],[PRECIO $]]*1.18</f>
        <v>2488.4784</v>
      </c>
      <c r="J189" s="7">
        <f>+Tabla1[[#This Row],[PRECIO EN SOLES]]-Tabla1[[#This Row],[PC]]</f>
        <v>267.85159999999996</v>
      </c>
      <c r="K189" s="15"/>
      <c r="L189" s="15" t="str">
        <f t="shared" si="6"/>
        <v>GANCHO</v>
      </c>
    </row>
    <row r="190" spans="1:12" x14ac:dyDescent="0.25">
      <c r="A190" s="3" t="s">
        <v>958</v>
      </c>
      <c r="B190" s="3" t="s">
        <v>959</v>
      </c>
      <c r="C190" s="1">
        <v>0</v>
      </c>
      <c r="D190" s="1">
        <v>887</v>
      </c>
      <c r="E190" s="1" t="s">
        <v>148</v>
      </c>
      <c r="F190" s="1" t="s">
        <v>3171</v>
      </c>
      <c r="G190" s="3" t="s">
        <v>960</v>
      </c>
      <c r="H190" s="11">
        <f t="shared" si="7"/>
        <v>4025.61</v>
      </c>
      <c r="I190" s="9">
        <f>($K$2+0.02)*Tabla1[[#This Row],[PRECIO $]]*1.18</f>
        <v>3642.3767999999995</v>
      </c>
      <c r="J190" s="7">
        <f>+Tabla1[[#This Row],[PRECIO EN SOLES]]-Tabla1[[#This Row],[PC]]</f>
        <v>383.23320000000058</v>
      </c>
      <c r="K190" s="15"/>
      <c r="L190" s="15" t="str">
        <f t="shared" si="6"/>
        <v>GANCHO</v>
      </c>
    </row>
    <row r="191" spans="1:12" x14ac:dyDescent="0.25">
      <c r="A191" s="3" t="s">
        <v>962</v>
      </c>
      <c r="B191" s="3" t="s">
        <v>963</v>
      </c>
      <c r="C191" s="1">
        <v>20</v>
      </c>
      <c r="D191" s="1">
        <v>677</v>
      </c>
      <c r="E191" s="1" t="s">
        <v>74</v>
      </c>
      <c r="F191" s="1" t="s">
        <v>3172</v>
      </c>
      <c r="G191" s="3" t="s">
        <v>961</v>
      </c>
      <c r="H191" s="11">
        <f t="shared" si="7"/>
        <v>3077.04</v>
      </c>
      <c r="I191" s="9">
        <f>($K$2+0.02)*Tabla1[[#This Row],[PRECIO $]]*1.18</f>
        <v>2780.0328</v>
      </c>
      <c r="J191" s="7">
        <f>+Tabla1[[#This Row],[PRECIO EN SOLES]]-Tabla1[[#This Row],[PC]]</f>
        <v>297.00720000000001</v>
      </c>
      <c r="K191" s="15"/>
      <c r="L191" s="15" t="str">
        <f t="shared" si="6"/>
        <v>GANCHO</v>
      </c>
    </row>
    <row r="192" spans="1:12" x14ac:dyDescent="0.25">
      <c r="A192" s="3" t="s">
        <v>964</v>
      </c>
      <c r="B192" s="3" t="s">
        <v>965</v>
      </c>
      <c r="C192" s="1">
        <v>20</v>
      </c>
      <c r="D192" s="1">
        <v>965</v>
      </c>
      <c r="E192" s="1" t="s">
        <v>148</v>
      </c>
      <c r="F192" s="1" t="s">
        <v>3173</v>
      </c>
      <c r="G192" s="3" t="s">
        <v>966</v>
      </c>
      <c r="H192" s="11">
        <f t="shared" si="7"/>
        <v>4377.9399999999996</v>
      </c>
      <c r="I192" s="9">
        <f>($K$2+0.02)*Tabla1[[#This Row],[PRECIO $]]*1.18</f>
        <v>3962.6759999999995</v>
      </c>
      <c r="J192" s="7">
        <f>+Tabla1[[#This Row],[PRECIO EN SOLES]]-Tabla1[[#This Row],[PC]]</f>
        <v>415.26400000000012</v>
      </c>
      <c r="K192" s="15"/>
      <c r="L192" s="15" t="str">
        <f t="shared" si="6"/>
        <v>GANCHO</v>
      </c>
    </row>
    <row r="193" spans="1:12" x14ac:dyDescent="0.25">
      <c r="A193" s="3" t="s">
        <v>6671</v>
      </c>
      <c r="B193" s="3" t="s">
        <v>6672</v>
      </c>
      <c r="C193" s="1">
        <v>0</v>
      </c>
      <c r="D193" s="1">
        <v>1520</v>
      </c>
      <c r="E193" s="1" t="s">
        <v>148</v>
      </c>
      <c r="F193" s="1" t="s">
        <v>6673</v>
      </c>
      <c r="G193" s="3" t="s">
        <v>6674</v>
      </c>
      <c r="H193" s="11">
        <f t="shared" si="7"/>
        <v>6884.9</v>
      </c>
      <c r="I193" s="9">
        <f>($K$2+0.02)*Tabla1[[#This Row],[PRECIO $]]*1.18</f>
        <v>6241.7280000000001</v>
      </c>
      <c r="J193" s="7">
        <f>+Tabla1[[#This Row],[PRECIO EN SOLES]]-Tabla1[[#This Row],[PC]]</f>
        <v>643.17199999999957</v>
      </c>
      <c r="K193" s="15"/>
      <c r="L193" s="15" t="str">
        <f t="shared" si="6"/>
        <v>GANCHO</v>
      </c>
    </row>
    <row r="194" spans="1:12" x14ac:dyDescent="0.25">
      <c r="A194" s="3" t="s">
        <v>4874</v>
      </c>
      <c r="B194" s="3" t="s">
        <v>4875</v>
      </c>
      <c r="C194" s="1">
        <v>20</v>
      </c>
      <c r="D194" s="1">
        <v>1175</v>
      </c>
      <c r="E194" s="1" t="s">
        <v>56</v>
      </c>
      <c r="F194" s="1" t="s">
        <v>4876</v>
      </c>
      <c r="G194" s="3"/>
      <c r="H194" s="11">
        <f t="shared" si="7"/>
        <v>5326.52</v>
      </c>
      <c r="I194" s="9">
        <f>($K$2+0.02)*Tabla1[[#This Row],[PRECIO $]]*1.18</f>
        <v>4825.0199999999995</v>
      </c>
      <c r="J194" s="7">
        <f>+Tabla1[[#This Row],[PRECIO EN SOLES]]-Tabla1[[#This Row],[PC]]</f>
        <v>501.50000000000091</v>
      </c>
      <c r="K194" s="15"/>
      <c r="L194" s="15" t="str">
        <f t="shared" si="6"/>
        <v>GANCHO</v>
      </c>
    </row>
    <row r="195" spans="1:12" x14ac:dyDescent="0.25">
      <c r="A195" s="3" t="s">
        <v>5787</v>
      </c>
      <c r="B195" s="3" t="s">
        <v>5788</v>
      </c>
      <c r="C195" s="1">
        <v>9</v>
      </c>
      <c r="D195" s="1">
        <v>337</v>
      </c>
      <c r="E195" s="1" t="s">
        <v>54</v>
      </c>
      <c r="F195" s="1" t="s">
        <v>5789</v>
      </c>
      <c r="G195" s="3" t="s">
        <v>5790</v>
      </c>
      <c r="H195" s="11">
        <f t="shared" si="7"/>
        <v>1541.24</v>
      </c>
      <c r="I195" s="9">
        <f>($K$2+0.02)*Tabla1[[#This Row],[PRECIO $]]*1.18</f>
        <v>1383.8568</v>
      </c>
      <c r="J195" s="7">
        <f>+Tabla1[[#This Row],[PRECIO EN SOLES]]-Tabla1[[#This Row],[PC]]</f>
        <v>157.38319999999999</v>
      </c>
      <c r="K195" s="15"/>
      <c r="L195" s="15" t="str">
        <f t="shared" si="6"/>
        <v>GANCHO</v>
      </c>
    </row>
    <row r="196" spans="1:12" x14ac:dyDescent="0.25">
      <c r="A196" s="3" t="s">
        <v>5791</v>
      </c>
      <c r="B196" s="3" t="s">
        <v>5792</v>
      </c>
      <c r="C196" s="1">
        <v>2</v>
      </c>
      <c r="D196" s="1">
        <v>1461</v>
      </c>
      <c r="E196" s="1" t="s">
        <v>54</v>
      </c>
      <c r="F196" s="1" t="s">
        <v>5793</v>
      </c>
      <c r="G196" s="3"/>
      <c r="H196" s="11">
        <f t="shared" si="7"/>
        <v>6618.4</v>
      </c>
      <c r="I196" s="9">
        <f>($K$2+0.02)*Tabla1[[#This Row],[PRECIO $]]*1.18</f>
        <v>5999.4503999999997</v>
      </c>
      <c r="J196" s="7">
        <f>+Tabla1[[#This Row],[PRECIO EN SOLES]]-Tabla1[[#This Row],[PC]]</f>
        <v>618.94959999999992</v>
      </c>
      <c r="K196" s="15"/>
      <c r="L196" s="15" t="str">
        <f t="shared" si="6"/>
        <v>GANCHO</v>
      </c>
    </row>
    <row r="197" spans="1:12" x14ac:dyDescent="0.25">
      <c r="A197" s="3" t="s">
        <v>967</v>
      </c>
      <c r="B197" s="3" t="s">
        <v>968</v>
      </c>
      <c r="C197" s="1">
        <v>20</v>
      </c>
      <c r="D197" s="1">
        <v>897</v>
      </c>
      <c r="E197" s="1" t="s">
        <v>56</v>
      </c>
      <c r="F197" s="1" t="s">
        <v>3174</v>
      </c>
      <c r="G197" s="3" t="s">
        <v>969</v>
      </c>
      <c r="H197" s="11">
        <f t="shared" si="7"/>
        <v>4070.78</v>
      </c>
      <c r="I197" s="9">
        <f>($K$2+0.02)*Tabla1[[#This Row],[PRECIO $]]*1.18</f>
        <v>3683.4407999999999</v>
      </c>
      <c r="J197" s="7">
        <f>+Tabla1[[#This Row],[PRECIO EN SOLES]]-Tabla1[[#This Row],[PC]]</f>
        <v>387.33920000000035</v>
      </c>
      <c r="K197" s="15"/>
      <c r="L197" s="15" t="str">
        <f t="shared" si="6"/>
        <v>GANCHO</v>
      </c>
    </row>
    <row r="198" spans="1:12" x14ac:dyDescent="0.25">
      <c r="A198" s="3" t="s">
        <v>3030</v>
      </c>
      <c r="B198" s="3" t="s">
        <v>3031</v>
      </c>
      <c r="C198" s="1">
        <v>8</v>
      </c>
      <c r="D198" s="1">
        <v>477</v>
      </c>
      <c r="E198" s="1" t="s">
        <v>54</v>
      </c>
      <c r="F198" s="1" t="s">
        <v>3175</v>
      </c>
      <c r="G198" s="3" t="s">
        <v>3032</v>
      </c>
      <c r="H198" s="11">
        <f t="shared" si="7"/>
        <v>2173.63</v>
      </c>
      <c r="I198" s="9">
        <f>($K$2+0.02)*Tabla1[[#This Row],[PRECIO $]]*1.18</f>
        <v>1958.7528</v>
      </c>
      <c r="J198" s="7">
        <f>+Tabla1[[#This Row],[PRECIO EN SOLES]]-Tabla1[[#This Row],[PC]]</f>
        <v>214.87720000000013</v>
      </c>
      <c r="K198" s="15"/>
      <c r="L198" s="15" t="str">
        <f t="shared" si="6"/>
        <v>GANCHO</v>
      </c>
    </row>
    <row r="199" spans="1:12" x14ac:dyDescent="0.25">
      <c r="A199" s="3" t="s">
        <v>970</v>
      </c>
      <c r="B199" s="3" t="s">
        <v>971</v>
      </c>
      <c r="C199" s="1">
        <v>20</v>
      </c>
      <c r="D199" s="1">
        <v>997</v>
      </c>
      <c r="E199" s="1" t="s">
        <v>56</v>
      </c>
      <c r="F199" s="1" t="s">
        <v>3176</v>
      </c>
      <c r="G199" s="3" t="s">
        <v>972</v>
      </c>
      <c r="H199" s="11">
        <f t="shared" si="7"/>
        <v>4522.49</v>
      </c>
      <c r="I199" s="9">
        <f>($K$2+0.02)*Tabla1[[#This Row],[PRECIO $]]*1.18</f>
        <v>4094.0807999999997</v>
      </c>
      <c r="J199" s="7">
        <f>+Tabla1[[#This Row],[PRECIO EN SOLES]]-Tabla1[[#This Row],[PC]]</f>
        <v>428.40920000000006</v>
      </c>
      <c r="K199" s="15"/>
      <c r="L199" s="15" t="str">
        <f t="shared" si="6"/>
        <v>GANCHO</v>
      </c>
    </row>
    <row r="200" spans="1:12" x14ac:dyDescent="0.25">
      <c r="A200" s="3" t="s">
        <v>5794</v>
      </c>
      <c r="B200" s="3" t="s">
        <v>5795</v>
      </c>
      <c r="C200" s="1">
        <v>20</v>
      </c>
      <c r="D200" s="1">
        <v>734</v>
      </c>
      <c r="E200" s="1" t="s">
        <v>837</v>
      </c>
      <c r="F200" s="1" t="s">
        <v>5796</v>
      </c>
      <c r="G200" s="3"/>
      <c r="H200" s="11">
        <f t="shared" si="7"/>
        <v>3334.51</v>
      </c>
      <c r="I200" s="9">
        <f>($K$2+0.02)*Tabla1[[#This Row],[PRECIO $]]*1.18</f>
        <v>3014.0976000000001</v>
      </c>
      <c r="J200" s="7">
        <f>+Tabla1[[#This Row],[PRECIO EN SOLES]]-Tabla1[[#This Row],[PC]]</f>
        <v>320.41240000000016</v>
      </c>
      <c r="K200" s="15"/>
      <c r="L200" s="15" t="str">
        <f t="shared" si="6"/>
        <v>GANCHO</v>
      </c>
    </row>
    <row r="201" spans="1:12" x14ac:dyDescent="0.25">
      <c r="A201" s="3" t="s">
        <v>973</v>
      </c>
      <c r="B201" s="3" t="s">
        <v>147</v>
      </c>
      <c r="C201" s="1">
        <v>20</v>
      </c>
      <c r="D201" s="1">
        <v>319</v>
      </c>
      <c r="E201" s="1" t="s">
        <v>837</v>
      </c>
      <c r="F201" s="1" t="s">
        <v>3177</v>
      </c>
      <c r="G201" s="3" t="s">
        <v>974</v>
      </c>
      <c r="H201" s="11">
        <f t="shared" si="7"/>
        <v>1459.94</v>
      </c>
      <c r="I201" s="9">
        <f>($K$2+0.02)*Tabla1[[#This Row],[PRECIO $]]*1.18</f>
        <v>1309.9415999999999</v>
      </c>
      <c r="J201" s="7">
        <f>+Tabla1[[#This Row],[PRECIO EN SOLES]]-Tabla1[[#This Row],[PC]]</f>
        <v>149.99840000000017</v>
      </c>
      <c r="K201" s="15"/>
      <c r="L201" s="15" t="str">
        <f t="shared" si="6"/>
        <v>GANCHO</v>
      </c>
    </row>
    <row r="202" spans="1:12" x14ac:dyDescent="0.25">
      <c r="A202" s="3" t="s">
        <v>5797</v>
      </c>
      <c r="B202" s="3" t="s">
        <v>5798</v>
      </c>
      <c r="C202" s="1">
        <v>0</v>
      </c>
      <c r="D202" s="1">
        <v>407</v>
      </c>
      <c r="E202" s="1" t="s">
        <v>54</v>
      </c>
      <c r="F202" s="1" t="s">
        <v>5799</v>
      </c>
      <c r="G202" s="3"/>
      <c r="H202" s="11">
        <f t="shared" si="7"/>
        <v>1857.44</v>
      </c>
      <c r="I202" s="9">
        <f>($K$2+0.02)*Tabla1[[#This Row],[PRECIO $]]*1.18</f>
        <v>1671.3047999999999</v>
      </c>
      <c r="J202" s="7">
        <f>+Tabla1[[#This Row],[PRECIO EN SOLES]]-Tabla1[[#This Row],[PC]]</f>
        <v>186.13520000000017</v>
      </c>
      <c r="K202" s="15"/>
      <c r="L202" s="15" t="str">
        <f t="shared" si="6"/>
        <v>GANCHO</v>
      </c>
    </row>
    <row r="203" spans="1:12" x14ac:dyDescent="0.25">
      <c r="A203" s="3" t="s">
        <v>5800</v>
      </c>
      <c r="B203" s="3" t="s">
        <v>5798</v>
      </c>
      <c r="C203" s="1">
        <v>6</v>
      </c>
      <c r="D203" s="1">
        <v>485</v>
      </c>
      <c r="E203" s="1" t="s">
        <v>54</v>
      </c>
      <c r="F203" s="1" t="s">
        <v>5801</v>
      </c>
      <c r="G203" s="3"/>
      <c r="H203" s="11">
        <f t="shared" si="7"/>
        <v>2209.7600000000002</v>
      </c>
      <c r="I203" s="9">
        <f>($K$2+0.02)*Tabla1[[#This Row],[PRECIO $]]*1.18</f>
        <v>1991.6039999999998</v>
      </c>
      <c r="J203" s="7">
        <f>+Tabla1[[#This Row],[PRECIO EN SOLES]]-Tabla1[[#This Row],[PC]]</f>
        <v>218.1560000000004</v>
      </c>
      <c r="K203" s="15"/>
      <c r="L203" s="15" t="str">
        <f t="shared" si="6"/>
        <v>GANCHO</v>
      </c>
    </row>
    <row r="204" spans="1:12" x14ac:dyDescent="0.25">
      <c r="A204" s="3" t="s">
        <v>6675</v>
      </c>
      <c r="B204" s="3" t="s">
        <v>6676</v>
      </c>
      <c r="C204" s="1">
        <v>0</v>
      </c>
      <c r="D204" s="1">
        <v>999</v>
      </c>
      <c r="E204" s="1" t="s">
        <v>54</v>
      </c>
      <c r="F204" s="1" t="s">
        <v>6677</v>
      </c>
      <c r="G204" s="3"/>
      <c r="H204" s="11">
        <f t="shared" si="7"/>
        <v>4531.5200000000004</v>
      </c>
      <c r="I204" s="9">
        <f>($K$2+0.02)*Tabla1[[#This Row],[PRECIO $]]*1.18</f>
        <v>4102.2936</v>
      </c>
      <c r="J204" s="7">
        <f>+Tabla1[[#This Row],[PRECIO EN SOLES]]-Tabla1[[#This Row],[PC]]</f>
        <v>429.22640000000047</v>
      </c>
      <c r="K204" s="15"/>
      <c r="L204" s="15" t="str">
        <f t="shared" si="6"/>
        <v>GANCHO</v>
      </c>
    </row>
    <row r="205" spans="1:12" x14ac:dyDescent="0.25">
      <c r="A205" s="3" t="s">
        <v>975</v>
      </c>
      <c r="B205" s="3" t="s">
        <v>976</v>
      </c>
      <c r="C205" s="1">
        <v>0</v>
      </c>
      <c r="D205" s="1">
        <v>685</v>
      </c>
      <c r="E205" s="1" t="s">
        <v>56</v>
      </c>
      <c r="F205" s="1" t="s">
        <v>3178</v>
      </c>
      <c r="G205" s="3" t="s">
        <v>977</v>
      </c>
      <c r="H205" s="11">
        <f t="shared" si="7"/>
        <v>3113.17</v>
      </c>
      <c r="I205" s="9">
        <f>($K$2+0.02)*Tabla1[[#This Row],[PRECIO $]]*1.18</f>
        <v>2812.884</v>
      </c>
      <c r="J205" s="7">
        <f>+Tabla1[[#This Row],[PRECIO EN SOLES]]-Tabla1[[#This Row],[PC]]</f>
        <v>300.28600000000006</v>
      </c>
      <c r="K205" s="15"/>
      <c r="L205" s="15" t="str">
        <f t="shared" si="6"/>
        <v>GANCHO</v>
      </c>
    </row>
    <row r="206" spans="1:12" x14ac:dyDescent="0.25">
      <c r="A206" s="3" t="s">
        <v>149</v>
      </c>
      <c r="B206" s="3" t="s">
        <v>150</v>
      </c>
      <c r="C206" s="1">
        <v>2</v>
      </c>
      <c r="D206" s="1">
        <v>810</v>
      </c>
      <c r="E206" s="1" t="s">
        <v>56</v>
      </c>
      <c r="F206" s="1" t="s">
        <v>3179</v>
      </c>
      <c r="G206" s="3" t="s">
        <v>151</v>
      </c>
      <c r="H206" s="11">
        <f t="shared" si="7"/>
        <v>3677.8</v>
      </c>
      <c r="I206" s="9">
        <f>($K$2+0.02)*Tabla1[[#This Row],[PRECIO $]]*1.18</f>
        <v>3326.1840000000002</v>
      </c>
      <c r="J206" s="7">
        <f>+Tabla1[[#This Row],[PRECIO EN SOLES]]-Tabla1[[#This Row],[PC]]</f>
        <v>351.61599999999999</v>
      </c>
      <c r="K206" s="15"/>
      <c r="L206" s="15" t="str">
        <f t="shared" si="6"/>
        <v>GANCHO</v>
      </c>
    </row>
    <row r="207" spans="1:12" x14ac:dyDescent="0.25">
      <c r="A207" s="3" t="s">
        <v>5802</v>
      </c>
      <c r="B207" s="3" t="s">
        <v>5803</v>
      </c>
      <c r="C207" s="1">
        <v>20</v>
      </c>
      <c r="D207" s="1">
        <v>747</v>
      </c>
      <c r="E207" s="1" t="s">
        <v>54</v>
      </c>
      <c r="F207" s="1" t="s">
        <v>5804</v>
      </c>
      <c r="G207" s="3" t="s">
        <v>5805</v>
      </c>
      <c r="H207" s="11">
        <f t="shared" si="7"/>
        <v>3393.23</v>
      </c>
      <c r="I207" s="9">
        <f>($K$2+0.02)*Tabla1[[#This Row],[PRECIO $]]*1.18</f>
        <v>3067.4807999999998</v>
      </c>
      <c r="J207" s="7">
        <f>+Tabla1[[#This Row],[PRECIO EN SOLES]]-Tabla1[[#This Row],[PC]]</f>
        <v>325.7492000000002</v>
      </c>
      <c r="K207" s="15"/>
      <c r="L207" s="15" t="str">
        <f t="shared" si="6"/>
        <v>GANCHO</v>
      </c>
    </row>
    <row r="208" spans="1:12" x14ac:dyDescent="0.25">
      <c r="A208" s="3" t="s">
        <v>5150</v>
      </c>
      <c r="B208" s="3" t="s">
        <v>5151</v>
      </c>
      <c r="C208" s="1">
        <v>20</v>
      </c>
      <c r="D208" s="1">
        <v>1287</v>
      </c>
      <c r="E208" s="1" t="s">
        <v>74</v>
      </c>
      <c r="F208" s="1" t="s">
        <v>5152</v>
      </c>
      <c r="G208" s="3" t="s">
        <v>5806</v>
      </c>
      <c r="H208" s="11">
        <f t="shared" si="7"/>
        <v>5832.43</v>
      </c>
      <c r="I208" s="9">
        <f>($K$2+0.02)*Tabla1[[#This Row],[PRECIO $]]*1.18</f>
        <v>5284.9368000000004</v>
      </c>
      <c r="J208" s="7">
        <f>+Tabla1[[#This Row],[PRECIO EN SOLES]]-Tabla1[[#This Row],[PC]]</f>
        <v>547.49319999999989</v>
      </c>
      <c r="K208" s="15"/>
      <c r="L208" s="15" t="str">
        <f t="shared" ref="L208:L271" si="8"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09" spans="1:12" x14ac:dyDescent="0.25">
      <c r="A209" s="3" t="s">
        <v>5807</v>
      </c>
      <c r="B209" s="3" t="s">
        <v>5808</v>
      </c>
      <c r="C209" s="1">
        <v>9</v>
      </c>
      <c r="D209" s="1">
        <v>875</v>
      </c>
      <c r="E209" s="1" t="s">
        <v>52</v>
      </c>
      <c r="F209" s="1" t="s">
        <v>5809</v>
      </c>
      <c r="G209" s="3" t="s">
        <v>5810</v>
      </c>
      <c r="H209" s="11">
        <f t="shared" si="7"/>
        <v>3971.41</v>
      </c>
      <c r="I209" s="9">
        <f>($K$2+0.02)*Tabla1[[#This Row],[PRECIO $]]*1.18</f>
        <v>3593.1</v>
      </c>
      <c r="J209" s="7">
        <f>+Tabla1[[#This Row],[PRECIO EN SOLES]]-Tabla1[[#This Row],[PC]]</f>
        <v>378.30999999999995</v>
      </c>
      <c r="K209" s="15"/>
      <c r="L209" s="15" t="str">
        <f t="shared" si="8"/>
        <v>GANCHO</v>
      </c>
    </row>
    <row r="210" spans="1:12" x14ac:dyDescent="0.25">
      <c r="A210" s="3" t="s">
        <v>4482</v>
      </c>
      <c r="B210" s="3" t="s">
        <v>4483</v>
      </c>
      <c r="C210" s="1">
        <v>5</v>
      </c>
      <c r="D210" s="1">
        <v>1080</v>
      </c>
      <c r="E210" s="1" t="s">
        <v>910</v>
      </c>
      <c r="F210" s="1" t="s">
        <v>4484</v>
      </c>
      <c r="G210" s="3" t="s">
        <v>4485</v>
      </c>
      <c r="H210" s="11">
        <f t="shared" ref="H210:H273" si="9">ROUND(
IF(L208="GANCHO",
   IF(I210&lt;=50,I210*1.1+4,IF(I210&lt;=120,I210*1.1+7,IF(I210&lt;=250,I210*1.1+11,I210*1.1+19))),
IF(L208="NORMAL",
   IF(I210&lt;=30,I210*1.15+2,IF(I210&lt;=80,I210*1.15+4,IF(I210&lt;=150,I210*1.15+6,I210*1.15+8))),
IF(L208="COMPLEMENTO",
   IF(I210&lt;=25,I210*1.25+1.5,IF(I210&lt;=60,I210*1.25+3,IF(I210&lt;=120,I210*1.25+4,I210*1.25+5))),
""))),2)</f>
        <v>4897.3999999999996</v>
      </c>
      <c r="I210" s="9">
        <f>($K$2+0.02)*Tabla1[[#This Row],[PRECIO $]]*1.18</f>
        <v>4434.9120000000003</v>
      </c>
      <c r="J210" s="7">
        <f>+Tabla1[[#This Row],[PRECIO EN SOLES]]-Tabla1[[#This Row],[PC]]</f>
        <v>462.48799999999937</v>
      </c>
      <c r="K210" s="15"/>
      <c r="L210" s="15" t="str">
        <f t="shared" si="8"/>
        <v>GANCHO</v>
      </c>
    </row>
    <row r="211" spans="1:12" x14ac:dyDescent="0.25">
      <c r="A211" s="3" t="s">
        <v>6414</v>
      </c>
      <c r="B211" s="3" t="s">
        <v>6415</v>
      </c>
      <c r="C211" s="1">
        <v>20</v>
      </c>
      <c r="D211" s="1">
        <v>1097</v>
      </c>
      <c r="E211" s="1" t="s">
        <v>56</v>
      </c>
      <c r="F211" s="1" t="s">
        <v>6416</v>
      </c>
      <c r="G211" s="3"/>
      <c r="H211" s="11">
        <f t="shared" si="9"/>
        <v>4974.1899999999996</v>
      </c>
      <c r="I211" s="9">
        <f>($K$2+0.02)*Tabla1[[#This Row],[PRECIO $]]*1.18</f>
        <v>4504.7208000000001</v>
      </c>
      <c r="J211" s="7">
        <f>+Tabla1[[#This Row],[PRECIO EN SOLES]]-Tabla1[[#This Row],[PC]]</f>
        <v>469.46919999999955</v>
      </c>
      <c r="K211" s="15"/>
      <c r="L211" s="15" t="str">
        <f t="shared" si="8"/>
        <v>GANCHO</v>
      </c>
    </row>
    <row r="212" spans="1:12" x14ac:dyDescent="0.25">
      <c r="A212" s="3" t="s">
        <v>4565</v>
      </c>
      <c r="B212" s="3" t="s">
        <v>4566</v>
      </c>
      <c r="C212" s="1">
        <v>20</v>
      </c>
      <c r="D212" s="1">
        <v>1185</v>
      </c>
      <c r="E212" s="1" t="s">
        <v>56</v>
      </c>
      <c r="F212" s="1" t="s">
        <v>4567</v>
      </c>
      <c r="G212" s="3"/>
      <c r="H212" s="11">
        <f t="shared" si="9"/>
        <v>5371.69</v>
      </c>
      <c r="I212" s="9">
        <f>($K$2+0.02)*Tabla1[[#This Row],[PRECIO $]]*1.18</f>
        <v>4866.0839999999998</v>
      </c>
      <c r="J212" s="7">
        <f>+Tabla1[[#This Row],[PRECIO EN SOLES]]-Tabla1[[#This Row],[PC]]</f>
        <v>505.60599999999977</v>
      </c>
      <c r="K212" s="15"/>
      <c r="L212" s="15" t="str">
        <f t="shared" si="8"/>
        <v>GANCHO</v>
      </c>
    </row>
    <row r="213" spans="1:12" x14ac:dyDescent="0.25">
      <c r="A213" s="3" t="s">
        <v>978</v>
      </c>
      <c r="B213" s="3" t="s">
        <v>979</v>
      </c>
      <c r="C213" s="1">
        <v>0</v>
      </c>
      <c r="D213" s="1">
        <v>1135</v>
      </c>
      <c r="E213" s="1" t="s">
        <v>837</v>
      </c>
      <c r="F213" s="1" t="s">
        <v>3180</v>
      </c>
      <c r="G213" s="3" t="s">
        <v>980</v>
      </c>
      <c r="H213" s="11">
        <f t="shared" si="9"/>
        <v>5145.84</v>
      </c>
      <c r="I213" s="9">
        <f>($K$2+0.02)*Tabla1[[#This Row],[PRECIO $]]*1.18</f>
        <v>4660.7640000000001</v>
      </c>
      <c r="J213" s="7">
        <f>+Tabla1[[#This Row],[PRECIO EN SOLES]]-Tabla1[[#This Row],[PC]]</f>
        <v>485.07600000000002</v>
      </c>
      <c r="K213" s="15"/>
      <c r="L213" s="15" t="str">
        <f t="shared" si="8"/>
        <v>GANCHO</v>
      </c>
    </row>
    <row r="214" spans="1:12" x14ac:dyDescent="0.25">
      <c r="A214" s="3" t="s">
        <v>5811</v>
      </c>
      <c r="B214" s="3" t="s">
        <v>5812</v>
      </c>
      <c r="C214" s="1">
        <v>20</v>
      </c>
      <c r="D214" s="1">
        <v>844</v>
      </c>
      <c r="E214" s="1" t="s">
        <v>837</v>
      </c>
      <c r="F214" s="1" t="s">
        <v>5813</v>
      </c>
      <c r="G214" s="3" t="s">
        <v>6678</v>
      </c>
      <c r="H214" s="11">
        <f t="shared" si="9"/>
        <v>3831.38</v>
      </c>
      <c r="I214" s="9">
        <f>($K$2+0.02)*Tabla1[[#This Row],[PRECIO $]]*1.18</f>
        <v>3465.8015999999998</v>
      </c>
      <c r="J214" s="7">
        <f>+Tabla1[[#This Row],[PRECIO EN SOLES]]-Tabla1[[#This Row],[PC]]</f>
        <v>365.57840000000033</v>
      </c>
      <c r="K214" s="15"/>
      <c r="L214" s="15" t="str">
        <f t="shared" si="8"/>
        <v>GANCHO</v>
      </c>
    </row>
    <row r="215" spans="1:12" x14ac:dyDescent="0.25">
      <c r="A215" s="3" t="s">
        <v>5814</v>
      </c>
      <c r="B215" s="3" t="s">
        <v>5815</v>
      </c>
      <c r="C215" s="1">
        <v>20</v>
      </c>
      <c r="D215" s="1">
        <v>1035</v>
      </c>
      <c r="E215" s="1" t="s">
        <v>837</v>
      </c>
      <c r="F215" s="1" t="s">
        <v>5816</v>
      </c>
      <c r="G215" s="3" t="s">
        <v>6678</v>
      </c>
      <c r="H215" s="11">
        <f t="shared" si="9"/>
        <v>4694.1400000000003</v>
      </c>
      <c r="I215" s="9">
        <f>($K$2+0.02)*Tabla1[[#This Row],[PRECIO $]]*1.18</f>
        <v>4250.1239999999998</v>
      </c>
      <c r="J215" s="7">
        <f>+Tabla1[[#This Row],[PRECIO EN SOLES]]-Tabla1[[#This Row],[PC]]</f>
        <v>444.01600000000053</v>
      </c>
      <c r="K215" s="15"/>
      <c r="L215" s="15" t="str">
        <f t="shared" si="8"/>
        <v>GANCHO</v>
      </c>
    </row>
    <row r="216" spans="1:12" x14ac:dyDescent="0.25">
      <c r="A216" s="3" t="s">
        <v>5817</v>
      </c>
      <c r="B216" s="3" t="s">
        <v>5818</v>
      </c>
      <c r="C216" s="1">
        <v>10</v>
      </c>
      <c r="D216" s="1">
        <v>1295</v>
      </c>
      <c r="E216" s="1" t="s">
        <v>52</v>
      </c>
      <c r="F216" s="1" t="s">
        <v>5819</v>
      </c>
      <c r="G216" s="3" t="s">
        <v>5820</v>
      </c>
      <c r="H216" s="11">
        <f t="shared" si="9"/>
        <v>5868.57</v>
      </c>
      <c r="I216" s="9">
        <f>($K$2+0.02)*Tabla1[[#This Row],[PRECIO $]]*1.18</f>
        <v>5317.7880000000005</v>
      </c>
      <c r="J216" s="7">
        <f>+Tabla1[[#This Row],[PRECIO EN SOLES]]-Tabla1[[#This Row],[PC]]</f>
        <v>550.78199999999924</v>
      </c>
      <c r="K216" s="15"/>
      <c r="L216" s="15" t="str">
        <f t="shared" si="8"/>
        <v>GANCHO</v>
      </c>
    </row>
    <row r="217" spans="1:12" x14ac:dyDescent="0.25">
      <c r="A217" s="3" t="s">
        <v>4821</v>
      </c>
      <c r="B217" s="3" t="s">
        <v>4822</v>
      </c>
      <c r="C217" s="1">
        <v>1</v>
      </c>
      <c r="D217" s="1">
        <v>1449</v>
      </c>
      <c r="E217" s="1" t="s">
        <v>54</v>
      </c>
      <c r="F217" s="1" t="s">
        <v>4823</v>
      </c>
      <c r="G217" s="3" t="s">
        <v>4877</v>
      </c>
      <c r="H217" s="11">
        <f t="shared" si="9"/>
        <v>6564.19</v>
      </c>
      <c r="I217" s="9">
        <f>($K$2+0.02)*Tabla1[[#This Row],[PRECIO $]]*1.18</f>
        <v>5950.1735999999992</v>
      </c>
      <c r="J217" s="7">
        <f>+Tabla1[[#This Row],[PRECIO EN SOLES]]-Tabla1[[#This Row],[PC]]</f>
        <v>614.01640000000043</v>
      </c>
      <c r="K217" s="15"/>
      <c r="L217" s="15" t="str">
        <f t="shared" si="8"/>
        <v>GANCHO</v>
      </c>
    </row>
    <row r="218" spans="1:12" x14ac:dyDescent="0.25">
      <c r="A218" s="3" t="s">
        <v>981</v>
      </c>
      <c r="B218" s="3" t="s">
        <v>982</v>
      </c>
      <c r="C218" s="1">
        <v>1</v>
      </c>
      <c r="D218" s="1">
        <v>2635</v>
      </c>
      <c r="E218" s="1" t="s">
        <v>56</v>
      </c>
      <c r="F218" s="1" t="s">
        <v>3181</v>
      </c>
      <c r="G218" s="3"/>
      <c r="H218" s="11">
        <f t="shared" si="9"/>
        <v>11921.4</v>
      </c>
      <c r="I218" s="9">
        <f>($K$2+0.02)*Tabla1[[#This Row],[PRECIO $]]*1.18</f>
        <v>10820.363999999998</v>
      </c>
      <c r="J218" s="7">
        <f>+Tabla1[[#This Row],[PRECIO EN SOLES]]-Tabla1[[#This Row],[PC]]</f>
        <v>1101.0360000000019</v>
      </c>
      <c r="K218" s="15"/>
      <c r="L218" s="15" t="str">
        <f t="shared" si="8"/>
        <v>GANCHO</v>
      </c>
    </row>
    <row r="219" spans="1:12" x14ac:dyDescent="0.25">
      <c r="A219" s="3" t="s">
        <v>985</v>
      </c>
      <c r="B219" s="3" t="s">
        <v>983</v>
      </c>
      <c r="C219" s="1">
        <v>20</v>
      </c>
      <c r="D219" s="1">
        <v>1442</v>
      </c>
      <c r="E219" s="1" t="s">
        <v>56</v>
      </c>
      <c r="F219" s="1" t="s">
        <v>3182</v>
      </c>
      <c r="G219" s="3" t="s">
        <v>984</v>
      </c>
      <c r="H219" s="11">
        <f t="shared" si="9"/>
        <v>6532.57</v>
      </c>
      <c r="I219" s="9">
        <f>($K$2+0.02)*Tabla1[[#This Row],[PRECIO $]]*1.18</f>
        <v>5921.4287999999997</v>
      </c>
      <c r="J219" s="7">
        <f>+Tabla1[[#This Row],[PRECIO EN SOLES]]-Tabla1[[#This Row],[PC]]</f>
        <v>611.14120000000003</v>
      </c>
      <c r="K219" s="15"/>
      <c r="L219" s="15" t="str">
        <f t="shared" si="8"/>
        <v>GANCHO</v>
      </c>
    </row>
    <row r="220" spans="1:12" x14ac:dyDescent="0.25">
      <c r="A220" s="3" t="s">
        <v>4878</v>
      </c>
      <c r="B220" s="3" t="s">
        <v>4879</v>
      </c>
      <c r="C220" s="1">
        <v>20</v>
      </c>
      <c r="D220" s="1">
        <v>2236</v>
      </c>
      <c r="E220" s="1" t="s">
        <v>56</v>
      </c>
      <c r="F220" s="1" t="s">
        <v>4880</v>
      </c>
      <c r="G220" s="3"/>
      <c r="H220" s="11">
        <f t="shared" si="9"/>
        <v>10119.1</v>
      </c>
      <c r="I220" s="9">
        <f>($K$2+0.02)*Tabla1[[#This Row],[PRECIO $]]*1.18</f>
        <v>9181.9103999999988</v>
      </c>
      <c r="J220" s="7">
        <f>+Tabla1[[#This Row],[PRECIO EN SOLES]]-Tabla1[[#This Row],[PC]]</f>
        <v>937.18960000000152</v>
      </c>
      <c r="K220" s="15"/>
      <c r="L220" s="15" t="str">
        <f t="shared" si="8"/>
        <v>GANCHO</v>
      </c>
    </row>
    <row r="221" spans="1:12" x14ac:dyDescent="0.25">
      <c r="A221" s="3" t="s">
        <v>4881</v>
      </c>
      <c r="B221" s="3" t="s">
        <v>4882</v>
      </c>
      <c r="C221" s="1">
        <v>14</v>
      </c>
      <c r="D221" s="1">
        <v>2735</v>
      </c>
      <c r="E221" s="1" t="s">
        <v>56</v>
      </c>
      <c r="F221" s="1" t="s">
        <v>4883</v>
      </c>
      <c r="G221" s="3"/>
      <c r="H221" s="11">
        <f t="shared" si="9"/>
        <v>12373.1</v>
      </c>
      <c r="I221" s="9">
        <f>($K$2+0.02)*Tabla1[[#This Row],[PRECIO $]]*1.18</f>
        <v>11231.003999999999</v>
      </c>
      <c r="J221" s="7">
        <f>+Tabla1[[#This Row],[PRECIO EN SOLES]]-Tabla1[[#This Row],[PC]]</f>
        <v>1142.0960000000014</v>
      </c>
      <c r="K221" s="15"/>
      <c r="L221" s="15" t="str">
        <f t="shared" si="8"/>
        <v>GANCHO</v>
      </c>
    </row>
    <row r="222" spans="1:12" x14ac:dyDescent="0.25">
      <c r="A222" s="3" t="s">
        <v>4884</v>
      </c>
      <c r="B222" s="3" t="s">
        <v>4885</v>
      </c>
      <c r="C222" s="1">
        <v>6</v>
      </c>
      <c r="D222" s="1">
        <v>2535</v>
      </c>
      <c r="E222" s="1" t="s">
        <v>56</v>
      </c>
      <c r="F222" s="1" t="s">
        <v>4886</v>
      </c>
      <c r="G222" s="3"/>
      <c r="H222" s="11">
        <f t="shared" si="9"/>
        <v>11469.7</v>
      </c>
      <c r="I222" s="9">
        <f>($K$2+0.02)*Tabla1[[#This Row],[PRECIO $]]*1.18</f>
        <v>10409.723999999998</v>
      </c>
      <c r="J222" s="7">
        <f>+Tabla1[[#This Row],[PRECIO EN SOLES]]-Tabla1[[#This Row],[PC]]</f>
        <v>1059.9760000000024</v>
      </c>
      <c r="K222" s="15"/>
      <c r="L222" s="15" t="str">
        <f t="shared" si="8"/>
        <v>GANCHO</v>
      </c>
    </row>
    <row r="223" spans="1:12" x14ac:dyDescent="0.25">
      <c r="A223" s="3" t="s">
        <v>4887</v>
      </c>
      <c r="B223" s="3" t="s">
        <v>4888</v>
      </c>
      <c r="C223" s="1">
        <v>4</v>
      </c>
      <c r="D223" s="1">
        <v>2225</v>
      </c>
      <c r="E223" s="1" t="s">
        <v>56</v>
      </c>
      <c r="F223" s="1" t="s">
        <v>4889</v>
      </c>
      <c r="G223" s="3"/>
      <c r="H223" s="11">
        <f t="shared" si="9"/>
        <v>10069.41</v>
      </c>
      <c r="I223" s="9">
        <f>($K$2+0.02)*Tabla1[[#This Row],[PRECIO $]]*1.18</f>
        <v>9136.74</v>
      </c>
      <c r="J223" s="7">
        <f>+Tabla1[[#This Row],[PRECIO EN SOLES]]-Tabla1[[#This Row],[PC]]</f>
        <v>932.67000000000007</v>
      </c>
      <c r="K223" s="15"/>
      <c r="L223" s="15" t="str">
        <f t="shared" si="8"/>
        <v>GANCHO</v>
      </c>
    </row>
    <row r="224" spans="1:12" x14ac:dyDescent="0.25">
      <c r="A224" s="3" t="s">
        <v>4890</v>
      </c>
      <c r="B224" s="3" t="s">
        <v>4891</v>
      </c>
      <c r="C224" s="1">
        <v>9</v>
      </c>
      <c r="D224" s="1">
        <v>2695</v>
      </c>
      <c r="E224" s="1" t="s">
        <v>56</v>
      </c>
      <c r="F224" s="1" t="s">
        <v>4892</v>
      </c>
      <c r="G224" s="3"/>
      <c r="H224" s="11">
        <f t="shared" si="9"/>
        <v>12192.42</v>
      </c>
      <c r="I224" s="9">
        <f>($K$2+0.02)*Tabla1[[#This Row],[PRECIO $]]*1.18</f>
        <v>11066.748</v>
      </c>
      <c r="J224" s="7">
        <f>+Tabla1[[#This Row],[PRECIO EN SOLES]]-Tabla1[[#This Row],[PC]]</f>
        <v>1125.6720000000005</v>
      </c>
      <c r="K224" s="15"/>
      <c r="L224" s="15" t="str">
        <f t="shared" si="8"/>
        <v>GANCHO</v>
      </c>
    </row>
    <row r="225" spans="1:12" x14ac:dyDescent="0.25">
      <c r="A225" s="3" t="s">
        <v>5244</v>
      </c>
      <c r="B225" s="3" t="s">
        <v>5245</v>
      </c>
      <c r="C225" s="1">
        <v>20</v>
      </c>
      <c r="D225" s="1">
        <v>3125</v>
      </c>
      <c r="E225" s="1" t="s">
        <v>837</v>
      </c>
      <c r="F225" s="1" t="s">
        <v>5246</v>
      </c>
      <c r="G225" s="3" t="s">
        <v>5247</v>
      </c>
      <c r="H225" s="11">
        <f t="shared" si="9"/>
        <v>14134.75</v>
      </c>
      <c r="I225" s="9">
        <f>($K$2+0.02)*Tabla1[[#This Row],[PRECIO $]]*1.18</f>
        <v>12832.5</v>
      </c>
      <c r="J225" s="7">
        <f>+Tabla1[[#This Row],[PRECIO EN SOLES]]-Tabla1[[#This Row],[PC]]</f>
        <v>1302.25</v>
      </c>
      <c r="K225" s="15"/>
      <c r="L225" s="15" t="str">
        <f t="shared" si="8"/>
        <v>GANCHO</v>
      </c>
    </row>
    <row r="226" spans="1:12" x14ac:dyDescent="0.25">
      <c r="A226" s="3" t="s">
        <v>4824</v>
      </c>
      <c r="B226" s="3" t="s">
        <v>4825</v>
      </c>
      <c r="C226" s="1">
        <v>17</v>
      </c>
      <c r="D226" s="1">
        <v>3232</v>
      </c>
      <c r="E226" s="1" t="s">
        <v>837</v>
      </c>
      <c r="F226" s="1" t="s">
        <v>4826</v>
      </c>
      <c r="G226" s="3" t="s">
        <v>4893</v>
      </c>
      <c r="H226" s="11">
        <f t="shared" si="9"/>
        <v>14618.07</v>
      </c>
      <c r="I226" s="9">
        <f>($K$2+0.02)*Tabla1[[#This Row],[PRECIO $]]*1.18</f>
        <v>13271.8848</v>
      </c>
      <c r="J226" s="7">
        <f>+Tabla1[[#This Row],[PRECIO EN SOLES]]-Tabla1[[#This Row],[PC]]</f>
        <v>1346.1851999999999</v>
      </c>
      <c r="K226" s="15"/>
      <c r="L226" s="15" t="str">
        <f t="shared" si="8"/>
        <v>GANCHO</v>
      </c>
    </row>
    <row r="227" spans="1:12" x14ac:dyDescent="0.25">
      <c r="A227" s="3" t="s">
        <v>5248</v>
      </c>
      <c r="B227" s="3" t="s">
        <v>5249</v>
      </c>
      <c r="C227" s="1">
        <v>20</v>
      </c>
      <c r="D227" s="1">
        <v>2645</v>
      </c>
      <c r="E227" s="1" t="s">
        <v>837</v>
      </c>
      <c r="F227" s="1" t="s">
        <v>5250</v>
      </c>
      <c r="G227" s="3" t="s">
        <v>5251</v>
      </c>
      <c r="H227" s="11">
        <f t="shared" si="9"/>
        <v>11966.57</v>
      </c>
      <c r="I227" s="9">
        <f>($K$2+0.02)*Tabla1[[#This Row],[PRECIO $]]*1.18</f>
        <v>10861.428</v>
      </c>
      <c r="J227" s="7">
        <f>+Tabla1[[#This Row],[PRECIO EN SOLES]]-Tabla1[[#This Row],[PC]]</f>
        <v>1105.1419999999998</v>
      </c>
      <c r="K227" s="15"/>
      <c r="L227" s="15" t="str">
        <f t="shared" si="8"/>
        <v>GANCHO</v>
      </c>
    </row>
    <row r="228" spans="1:12" x14ac:dyDescent="0.25">
      <c r="A228" s="3" t="s">
        <v>5252</v>
      </c>
      <c r="B228" s="3" t="s">
        <v>5253</v>
      </c>
      <c r="C228" s="1">
        <v>20</v>
      </c>
      <c r="D228" s="1">
        <v>2975</v>
      </c>
      <c r="E228" s="1" t="s">
        <v>837</v>
      </c>
      <c r="F228" s="1" t="s">
        <v>5254</v>
      </c>
      <c r="G228" s="3" t="s">
        <v>5251</v>
      </c>
      <c r="H228" s="11">
        <f t="shared" si="9"/>
        <v>13457.19</v>
      </c>
      <c r="I228" s="9">
        <f>($K$2+0.02)*Tabla1[[#This Row],[PRECIO $]]*1.18</f>
        <v>12216.539999999999</v>
      </c>
      <c r="J228" s="7">
        <f>+Tabla1[[#This Row],[PRECIO EN SOLES]]-Tabla1[[#This Row],[PC]]</f>
        <v>1240.6500000000015</v>
      </c>
      <c r="K228" s="15"/>
      <c r="L228" s="15" t="str">
        <f t="shared" si="8"/>
        <v>GANCHO</v>
      </c>
    </row>
    <row r="229" spans="1:12" x14ac:dyDescent="0.25">
      <c r="A229" s="3" t="s">
        <v>4827</v>
      </c>
      <c r="B229" s="3" t="s">
        <v>4828</v>
      </c>
      <c r="C229" s="1">
        <v>20</v>
      </c>
      <c r="D229" s="1">
        <v>3075</v>
      </c>
      <c r="E229" s="1" t="s">
        <v>837</v>
      </c>
      <c r="F229" s="1" t="s">
        <v>4829</v>
      </c>
      <c r="G229" s="3" t="s">
        <v>4830</v>
      </c>
      <c r="H229" s="11">
        <f t="shared" si="9"/>
        <v>13908.9</v>
      </c>
      <c r="I229" s="9">
        <f>($K$2+0.02)*Tabla1[[#This Row],[PRECIO $]]*1.18</f>
        <v>12627.179999999998</v>
      </c>
      <c r="J229" s="7">
        <f>+Tabla1[[#This Row],[PRECIO EN SOLES]]-Tabla1[[#This Row],[PC]]</f>
        <v>1281.7200000000012</v>
      </c>
      <c r="K229" s="15"/>
      <c r="L229" s="15" t="str">
        <f t="shared" si="8"/>
        <v>NORMAL</v>
      </c>
    </row>
    <row r="230" spans="1:12" x14ac:dyDescent="0.25">
      <c r="A230" s="3" t="s">
        <v>986</v>
      </c>
      <c r="B230" s="3" t="s">
        <v>987</v>
      </c>
      <c r="C230" s="1">
        <v>20</v>
      </c>
      <c r="D230" s="1">
        <v>1865</v>
      </c>
      <c r="E230" s="1" t="s">
        <v>837</v>
      </c>
      <c r="F230" s="1" t="s">
        <v>3183</v>
      </c>
      <c r="G230" s="3" t="s">
        <v>4894</v>
      </c>
      <c r="H230" s="11">
        <f t="shared" si="9"/>
        <v>8443.2800000000007</v>
      </c>
      <c r="I230" s="9">
        <f>($K$2+0.02)*Tabla1[[#This Row],[PRECIO $]]*1.18</f>
        <v>7658.4359999999997</v>
      </c>
      <c r="J230" s="7">
        <f>+Tabla1[[#This Row],[PRECIO EN SOLES]]-Tabla1[[#This Row],[PC]]</f>
        <v>784.84400000000096</v>
      </c>
      <c r="K230" s="15"/>
      <c r="L230" s="15" t="str">
        <f t="shared" si="8"/>
        <v>GANCHO</v>
      </c>
    </row>
    <row r="231" spans="1:12" x14ac:dyDescent="0.25">
      <c r="A231" s="3" t="s">
        <v>1774</v>
      </c>
      <c r="B231" s="3" t="s">
        <v>1775</v>
      </c>
      <c r="C231" s="1">
        <v>20</v>
      </c>
      <c r="D231" s="1">
        <v>82</v>
      </c>
      <c r="E231" s="1" t="s">
        <v>121</v>
      </c>
      <c r="F231" s="1" t="s">
        <v>3668</v>
      </c>
      <c r="G231" s="3" t="s">
        <v>2894</v>
      </c>
      <c r="H231" s="11">
        <f t="shared" si="9"/>
        <v>395.23</v>
      </c>
      <c r="I231" s="9">
        <f>($K$2+0.02)*Tabla1[[#This Row],[PRECIO $]]*1.18</f>
        <v>336.72480000000002</v>
      </c>
      <c r="J231" s="7">
        <f>+Tabla1[[#This Row],[PRECIO EN SOLES]]-Tabla1[[#This Row],[PC]]</f>
        <v>58.505200000000002</v>
      </c>
      <c r="K231" s="15"/>
      <c r="L231" s="15" t="str">
        <f t="shared" si="8"/>
        <v>GANCHO</v>
      </c>
    </row>
    <row r="232" spans="1:12" x14ac:dyDescent="0.25">
      <c r="A232" s="3" t="s">
        <v>4388</v>
      </c>
      <c r="B232" s="3" t="s">
        <v>4389</v>
      </c>
      <c r="C232" s="1">
        <v>16</v>
      </c>
      <c r="D232" s="1">
        <v>277</v>
      </c>
      <c r="E232" s="1" t="s">
        <v>154</v>
      </c>
      <c r="F232" s="1" t="s">
        <v>4390</v>
      </c>
      <c r="G232" s="3" t="s">
        <v>4391</v>
      </c>
      <c r="H232" s="11">
        <f t="shared" si="9"/>
        <v>1270.22</v>
      </c>
      <c r="I232" s="9">
        <f>($K$2+0.02)*Tabla1[[#This Row],[PRECIO $]]*1.18</f>
        <v>1137.4728</v>
      </c>
      <c r="J232" s="7">
        <f>+Tabla1[[#This Row],[PRECIO EN SOLES]]-Tabla1[[#This Row],[PC]]</f>
        <v>132.74720000000002</v>
      </c>
      <c r="K232" s="15"/>
      <c r="L232" s="15" t="str">
        <f t="shared" si="8"/>
        <v>GANCHO</v>
      </c>
    </row>
    <row r="233" spans="1:12" x14ac:dyDescent="0.25">
      <c r="A233" s="3" t="s">
        <v>152</v>
      </c>
      <c r="B233" s="3" t="s">
        <v>153</v>
      </c>
      <c r="C233" s="1">
        <v>20</v>
      </c>
      <c r="D233" s="1">
        <v>126.5</v>
      </c>
      <c r="E233" s="1" t="s">
        <v>154</v>
      </c>
      <c r="F233" s="1" t="s">
        <v>3184</v>
      </c>
      <c r="G233" s="3" t="s">
        <v>155</v>
      </c>
      <c r="H233" s="11">
        <f t="shared" si="9"/>
        <v>590.41</v>
      </c>
      <c r="I233" s="9">
        <f>($K$2+0.02)*Tabla1[[#This Row],[PRECIO $]]*1.18</f>
        <v>519.45959999999991</v>
      </c>
      <c r="J233" s="7">
        <f>+Tabla1[[#This Row],[PRECIO EN SOLES]]-Tabla1[[#This Row],[PC]]</f>
        <v>70.950400000000059</v>
      </c>
      <c r="K233" s="15"/>
      <c r="L233" s="15" t="str">
        <f t="shared" si="8"/>
        <v>GANCHO</v>
      </c>
    </row>
    <row r="234" spans="1:12" x14ac:dyDescent="0.25">
      <c r="A234" s="3" t="s">
        <v>988</v>
      </c>
      <c r="B234" s="3" t="s">
        <v>989</v>
      </c>
      <c r="C234" s="1">
        <v>15</v>
      </c>
      <c r="D234" s="1">
        <v>153</v>
      </c>
      <c r="E234" s="1" t="s">
        <v>154</v>
      </c>
      <c r="F234" s="1" t="s">
        <v>3185</v>
      </c>
      <c r="G234" s="3" t="s">
        <v>990</v>
      </c>
      <c r="H234" s="11">
        <f t="shared" si="9"/>
        <v>710.11</v>
      </c>
      <c r="I234" s="9">
        <f>($K$2+0.02)*Tabla1[[#This Row],[PRECIO $]]*1.18</f>
        <v>628.27919999999995</v>
      </c>
      <c r="J234" s="7">
        <f>+Tabla1[[#This Row],[PRECIO EN SOLES]]-Tabla1[[#This Row],[PC]]</f>
        <v>81.830800000000067</v>
      </c>
      <c r="K234" s="15"/>
      <c r="L234" s="15" t="str">
        <f t="shared" si="8"/>
        <v>GANCHO</v>
      </c>
    </row>
    <row r="235" spans="1:12" x14ac:dyDescent="0.25">
      <c r="A235" s="3" t="s">
        <v>4256</v>
      </c>
      <c r="B235" s="3" t="s">
        <v>4257</v>
      </c>
      <c r="C235" s="1">
        <v>20</v>
      </c>
      <c r="D235" s="1">
        <v>523</v>
      </c>
      <c r="E235" s="1" t="s">
        <v>154</v>
      </c>
      <c r="F235" s="1" t="s">
        <v>4258</v>
      </c>
      <c r="G235" s="3" t="s">
        <v>4259</v>
      </c>
      <c r="H235" s="11">
        <f t="shared" si="9"/>
        <v>2381.41</v>
      </c>
      <c r="I235" s="9">
        <f>($K$2+0.02)*Tabla1[[#This Row],[PRECIO $]]*1.18</f>
        <v>2147.6471999999999</v>
      </c>
      <c r="J235" s="7">
        <f>+Tabla1[[#This Row],[PRECIO EN SOLES]]-Tabla1[[#This Row],[PC]]</f>
        <v>233.76279999999997</v>
      </c>
      <c r="K235" s="15"/>
      <c r="L235" s="15" t="str">
        <f t="shared" si="8"/>
        <v>GANCHO</v>
      </c>
    </row>
    <row r="236" spans="1:12" x14ac:dyDescent="0.25">
      <c r="A236" s="3" t="s">
        <v>633</v>
      </c>
      <c r="B236" s="3" t="s">
        <v>634</v>
      </c>
      <c r="C236" s="1">
        <v>20</v>
      </c>
      <c r="D236" s="1">
        <v>151.5</v>
      </c>
      <c r="E236" s="1" t="s">
        <v>154</v>
      </c>
      <c r="F236" s="1" t="s">
        <v>3186</v>
      </c>
      <c r="G236" s="3" t="s">
        <v>635</v>
      </c>
      <c r="H236" s="11">
        <f t="shared" si="9"/>
        <v>703.33</v>
      </c>
      <c r="I236" s="9">
        <f>($K$2+0.02)*Tabla1[[#This Row],[PRECIO $]]*1.18</f>
        <v>622.11959999999999</v>
      </c>
      <c r="J236" s="7">
        <f>+Tabla1[[#This Row],[PRECIO EN SOLES]]-Tabla1[[#This Row],[PC]]</f>
        <v>81.21040000000005</v>
      </c>
      <c r="K236" s="15"/>
      <c r="L236" s="15" t="str">
        <f t="shared" si="8"/>
        <v>GANCHO</v>
      </c>
    </row>
    <row r="237" spans="1:12" x14ac:dyDescent="0.25">
      <c r="A237" s="3" t="s">
        <v>156</v>
      </c>
      <c r="B237" s="3" t="s">
        <v>157</v>
      </c>
      <c r="C237" s="1">
        <v>20</v>
      </c>
      <c r="D237" s="1">
        <v>171.3</v>
      </c>
      <c r="E237" s="1" t="s">
        <v>154</v>
      </c>
      <c r="F237" s="1" t="s">
        <v>3187</v>
      </c>
      <c r="G237" s="3" t="s">
        <v>158</v>
      </c>
      <c r="H237" s="11">
        <f t="shared" si="9"/>
        <v>792.77</v>
      </c>
      <c r="I237" s="9">
        <f>($K$2+0.02)*Tabla1[[#This Row],[PRECIO $]]*1.18</f>
        <v>703.42632000000003</v>
      </c>
      <c r="J237" s="7">
        <f>+Tabla1[[#This Row],[PRECIO EN SOLES]]-Tabla1[[#This Row],[PC]]</f>
        <v>89.343679999999949</v>
      </c>
      <c r="K237" s="15"/>
      <c r="L237" s="15" t="str">
        <f t="shared" si="8"/>
        <v>GANCHO</v>
      </c>
    </row>
    <row r="238" spans="1:12" x14ac:dyDescent="0.25">
      <c r="A238" s="3" t="s">
        <v>159</v>
      </c>
      <c r="B238" s="3" t="s">
        <v>160</v>
      </c>
      <c r="C238" s="1">
        <v>2</v>
      </c>
      <c r="D238" s="1">
        <v>200</v>
      </c>
      <c r="E238" s="1" t="s">
        <v>154</v>
      </c>
      <c r="F238" s="1" t="s">
        <v>3188</v>
      </c>
      <c r="G238" s="3" t="s">
        <v>161</v>
      </c>
      <c r="H238" s="11">
        <f t="shared" si="9"/>
        <v>922.41</v>
      </c>
      <c r="I238" s="9">
        <f>($K$2+0.02)*Tabla1[[#This Row],[PRECIO $]]*1.18</f>
        <v>821.28</v>
      </c>
      <c r="J238" s="7">
        <f>+Tabla1[[#This Row],[PRECIO EN SOLES]]-Tabla1[[#This Row],[PC]]</f>
        <v>101.13</v>
      </c>
      <c r="K238" s="15"/>
      <c r="L238" s="15" t="str">
        <f t="shared" si="8"/>
        <v>GANCHO</v>
      </c>
    </row>
    <row r="239" spans="1:12" x14ac:dyDescent="0.25">
      <c r="A239" s="3" t="s">
        <v>991</v>
      </c>
      <c r="B239" s="3" t="s">
        <v>992</v>
      </c>
      <c r="C239" s="1">
        <v>20</v>
      </c>
      <c r="D239" s="1">
        <v>226</v>
      </c>
      <c r="E239" s="1" t="s">
        <v>154</v>
      </c>
      <c r="F239" s="1" t="s">
        <v>3189</v>
      </c>
      <c r="G239" s="3" t="s">
        <v>993</v>
      </c>
      <c r="H239" s="11">
        <f t="shared" si="9"/>
        <v>1039.8499999999999</v>
      </c>
      <c r="I239" s="9">
        <f>($K$2+0.02)*Tabla1[[#This Row],[PRECIO $]]*1.18</f>
        <v>928.04639999999995</v>
      </c>
      <c r="J239" s="7">
        <f>+Tabla1[[#This Row],[PRECIO EN SOLES]]-Tabla1[[#This Row],[PC]]</f>
        <v>111.80359999999996</v>
      </c>
      <c r="K239" s="15"/>
      <c r="L239" s="15" t="str">
        <f t="shared" si="8"/>
        <v>GANCHO</v>
      </c>
    </row>
    <row r="240" spans="1:12" x14ac:dyDescent="0.25">
      <c r="A240" s="3" t="s">
        <v>4260</v>
      </c>
      <c r="B240" s="3" t="s">
        <v>4261</v>
      </c>
      <c r="C240" s="1">
        <v>20</v>
      </c>
      <c r="D240" s="1">
        <v>315.2</v>
      </c>
      <c r="E240" s="1" t="s">
        <v>154</v>
      </c>
      <c r="F240" s="1" t="s">
        <v>4262</v>
      </c>
      <c r="G240" s="3" t="s">
        <v>4263</v>
      </c>
      <c r="H240" s="11">
        <f t="shared" si="9"/>
        <v>1442.77</v>
      </c>
      <c r="I240" s="9">
        <f>($K$2+0.02)*Tabla1[[#This Row],[PRECIO $]]*1.18</f>
        <v>1294.33728</v>
      </c>
      <c r="J240" s="7">
        <f>+Tabla1[[#This Row],[PRECIO EN SOLES]]-Tabla1[[#This Row],[PC]]</f>
        <v>148.43272000000002</v>
      </c>
      <c r="K240" s="15"/>
      <c r="L240" s="15" t="str">
        <f t="shared" si="8"/>
        <v>GANCHO</v>
      </c>
    </row>
    <row r="241" spans="1:12" x14ac:dyDescent="0.25">
      <c r="A241" s="3" t="s">
        <v>4392</v>
      </c>
      <c r="B241" s="3" t="s">
        <v>4393</v>
      </c>
      <c r="C241" s="1">
        <v>2</v>
      </c>
      <c r="D241" s="1">
        <v>425</v>
      </c>
      <c r="E241" s="1" t="s">
        <v>154</v>
      </c>
      <c r="F241" s="1" t="s">
        <v>4394</v>
      </c>
      <c r="G241" s="3" t="s">
        <v>4395</v>
      </c>
      <c r="H241" s="11">
        <f t="shared" si="9"/>
        <v>1938.74</v>
      </c>
      <c r="I241" s="9">
        <f>($K$2+0.02)*Tabla1[[#This Row],[PRECIO $]]*1.18</f>
        <v>1745.2199999999998</v>
      </c>
      <c r="J241" s="7">
        <f>+Tabla1[[#This Row],[PRECIO EN SOLES]]-Tabla1[[#This Row],[PC]]</f>
        <v>193.52000000000021</v>
      </c>
      <c r="K241" s="15"/>
      <c r="L241" s="15" t="str">
        <f t="shared" si="8"/>
        <v>GANCHO</v>
      </c>
    </row>
    <row r="242" spans="1:12" x14ac:dyDescent="0.25">
      <c r="A242" s="3" t="s">
        <v>4264</v>
      </c>
      <c r="B242" s="3" t="s">
        <v>4265</v>
      </c>
      <c r="C242" s="1">
        <v>3</v>
      </c>
      <c r="D242" s="1">
        <v>266</v>
      </c>
      <c r="E242" s="1" t="s">
        <v>154</v>
      </c>
      <c r="F242" s="1" t="s">
        <v>4266</v>
      </c>
      <c r="G242" s="3" t="s">
        <v>4267</v>
      </c>
      <c r="H242" s="11">
        <f t="shared" si="9"/>
        <v>1220.53</v>
      </c>
      <c r="I242" s="9">
        <f>($K$2+0.02)*Tabla1[[#This Row],[PRECIO $]]*1.18</f>
        <v>1092.3023999999998</v>
      </c>
      <c r="J242" s="7">
        <f>+Tabla1[[#This Row],[PRECIO EN SOLES]]-Tabla1[[#This Row],[PC]]</f>
        <v>128.22760000000017</v>
      </c>
      <c r="K242" s="15"/>
      <c r="L242" s="15" t="str">
        <f t="shared" si="8"/>
        <v>GANCHO</v>
      </c>
    </row>
    <row r="243" spans="1:12" x14ac:dyDescent="0.25">
      <c r="A243" s="3" t="s">
        <v>162</v>
      </c>
      <c r="B243" s="3" t="s">
        <v>163</v>
      </c>
      <c r="C243" s="1">
        <v>20</v>
      </c>
      <c r="D243" s="1">
        <v>150</v>
      </c>
      <c r="E243" s="1" t="s">
        <v>148</v>
      </c>
      <c r="F243" s="1" t="s">
        <v>3190</v>
      </c>
      <c r="G243" s="3" t="s">
        <v>164</v>
      </c>
      <c r="H243" s="11">
        <f t="shared" si="9"/>
        <v>696.56</v>
      </c>
      <c r="I243" s="9">
        <f>($K$2+0.02)*Tabla1[[#This Row],[PRECIO $]]*1.18</f>
        <v>615.95999999999992</v>
      </c>
      <c r="J243" s="7">
        <f>+Tabla1[[#This Row],[PRECIO EN SOLES]]-Tabla1[[#This Row],[PC]]</f>
        <v>80.600000000000023</v>
      </c>
      <c r="K243" s="15"/>
      <c r="L243" s="15" t="str">
        <f t="shared" si="8"/>
        <v>GANCHO</v>
      </c>
    </row>
    <row r="244" spans="1:12" x14ac:dyDescent="0.25">
      <c r="A244" s="3" t="s">
        <v>994</v>
      </c>
      <c r="B244" s="3" t="s">
        <v>995</v>
      </c>
      <c r="C244" s="1">
        <v>20</v>
      </c>
      <c r="D244" s="1">
        <v>150</v>
      </c>
      <c r="E244" s="1" t="s">
        <v>148</v>
      </c>
      <c r="F244" s="1" t="s">
        <v>3191</v>
      </c>
      <c r="G244" s="3" t="s">
        <v>5821</v>
      </c>
      <c r="H244" s="11">
        <f t="shared" si="9"/>
        <v>696.56</v>
      </c>
      <c r="I244" s="9">
        <f>($K$2+0.02)*Tabla1[[#This Row],[PRECIO $]]*1.18</f>
        <v>615.95999999999992</v>
      </c>
      <c r="J244" s="7">
        <f>+Tabla1[[#This Row],[PRECIO EN SOLES]]-Tabla1[[#This Row],[PC]]</f>
        <v>80.600000000000023</v>
      </c>
      <c r="K244" s="15"/>
      <c r="L244" s="15" t="str">
        <f t="shared" si="8"/>
        <v>GANCHO</v>
      </c>
    </row>
    <row r="245" spans="1:12" x14ac:dyDescent="0.25">
      <c r="A245" s="3" t="s">
        <v>4507</v>
      </c>
      <c r="B245" s="3" t="s">
        <v>4508</v>
      </c>
      <c r="C245" s="1">
        <v>20</v>
      </c>
      <c r="D245" s="1">
        <v>170</v>
      </c>
      <c r="E245" s="1" t="s">
        <v>148</v>
      </c>
      <c r="F245" s="1" t="s">
        <v>4509</v>
      </c>
      <c r="G245" s="3" t="s">
        <v>5822</v>
      </c>
      <c r="H245" s="11">
        <f t="shared" si="9"/>
        <v>786.9</v>
      </c>
      <c r="I245" s="9">
        <f>($K$2+0.02)*Tabla1[[#This Row],[PRECIO $]]*1.18</f>
        <v>698.08799999999997</v>
      </c>
      <c r="J245" s="7">
        <f>+Tabla1[[#This Row],[PRECIO EN SOLES]]-Tabla1[[#This Row],[PC]]</f>
        <v>88.812000000000012</v>
      </c>
      <c r="K245" s="15"/>
      <c r="L245" s="15" t="str">
        <f t="shared" si="8"/>
        <v>GANCHO</v>
      </c>
    </row>
    <row r="246" spans="1:12" x14ac:dyDescent="0.25">
      <c r="A246" s="3" t="s">
        <v>4895</v>
      </c>
      <c r="B246" s="3" t="s">
        <v>4896</v>
      </c>
      <c r="C246" s="1">
        <v>7</v>
      </c>
      <c r="D246" s="1">
        <v>286</v>
      </c>
      <c r="E246" s="1" t="s">
        <v>148</v>
      </c>
      <c r="F246" s="1" t="s">
        <v>4897</v>
      </c>
      <c r="G246" s="3" t="s">
        <v>4898</v>
      </c>
      <c r="H246" s="11">
        <f t="shared" si="9"/>
        <v>1310.87</v>
      </c>
      <c r="I246" s="9">
        <f>($K$2+0.02)*Tabla1[[#This Row],[PRECIO $]]*1.18</f>
        <v>1174.4304</v>
      </c>
      <c r="J246" s="7">
        <f>+Tabla1[[#This Row],[PRECIO EN SOLES]]-Tabla1[[#This Row],[PC]]</f>
        <v>136.43959999999993</v>
      </c>
      <c r="K246" s="15"/>
      <c r="L246" s="15" t="str">
        <f t="shared" si="8"/>
        <v>NORMAL</v>
      </c>
    </row>
    <row r="247" spans="1:12" x14ac:dyDescent="0.25">
      <c r="A247" s="3" t="s">
        <v>165</v>
      </c>
      <c r="B247" s="3" t="s">
        <v>166</v>
      </c>
      <c r="C247" s="1">
        <v>4</v>
      </c>
      <c r="D247" s="1">
        <v>150</v>
      </c>
      <c r="E247" s="1" t="s">
        <v>148</v>
      </c>
      <c r="F247" s="1" t="s">
        <v>3192</v>
      </c>
      <c r="G247" s="3" t="s">
        <v>167</v>
      </c>
      <c r="H247" s="11">
        <f t="shared" si="9"/>
        <v>696.56</v>
      </c>
      <c r="I247" s="9">
        <f>($K$2+0.02)*Tabla1[[#This Row],[PRECIO $]]*1.18</f>
        <v>615.95999999999992</v>
      </c>
      <c r="J247" s="7">
        <f>+Tabla1[[#This Row],[PRECIO EN SOLES]]-Tabla1[[#This Row],[PC]]</f>
        <v>80.600000000000023</v>
      </c>
      <c r="K247" s="15"/>
      <c r="L247" s="15" t="str">
        <f t="shared" si="8"/>
        <v>GANCHO</v>
      </c>
    </row>
    <row r="248" spans="1:12" x14ac:dyDescent="0.25">
      <c r="A248" s="3" t="s">
        <v>6275</v>
      </c>
      <c r="B248" s="3" t="s">
        <v>6276</v>
      </c>
      <c r="C248" s="1">
        <v>20</v>
      </c>
      <c r="D248" s="1">
        <v>30.3</v>
      </c>
      <c r="E248" s="1" t="s">
        <v>52</v>
      </c>
      <c r="F248" s="1" t="s">
        <v>6277</v>
      </c>
      <c r="G248" s="3" t="s">
        <v>6278</v>
      </c>
      <c r="H248" s="11">
        <f t="shared" si="9"/>
        <v>149.09</v>
      </c>
      <c r="I248" s="9">
        <f>($K$2+0.02)*Tabla1[[#This Row],[PRECIO $]]*1.18</f>
        <v>124.42392</v>
      </c>
      <c r="J248" s="7">
        <f>+Tabla1[[#This Row],[PRECIO EN SOLES]]-Tabla1[[#This Row],[PC]]</f>
        <v>24.666080000000008</v>
      </c>
      <c r="K248" s="15"/>
      <c r="L248" s="15" t="str">
        <f t="shared" si="8"/>
        <v>NORMAL</v>
      </c>
    </row>
    <row r="249" spans="1:12" x14ac:dyDescent="0.25">
      <c r="A249" s="3" t="s">
        <v>5823</v>
      </c>
      <c r="B249" s="3" t="s">
        <v>5824</v>
      </c>
      <c r="C249" s="1">
        <v>0</v>
      </c>
      <c r="D249" s="1">
        <v>81</v>
      </c>
      <c r="E249" s="1" t="s">
        <v>906</v>
      </c>
      <c r="F249" s="1" t="s">
        <v>5825</v>
      </c>
      <c r="G249" s="3"/>
      <c r="H249" s="11">
        <f t="shared" si="9"/>
        <v>384.88</v>
      </c>
      <c r="I249" s="9">
        <f>($K$2+0.02)*Tabla1[[#This Row],[PRECIO $]]*1.18</f>
        <v>332.61839999999995</v>
      </c>
      <c r="J249" s="7">
        <f>+Tabla1[[#This Row],[PRECIO EN SOLES]]-Tabla1[[#This Row],[PC]]</f>
        <v>52.261600000000044</v>
      </c>
      <c r="K249" s="15"/>
      <c r="L249" s="15" t="str">
        <f t="shared" si="8"/>
        <v>GANCHO</v>
      </c>
    </row>
    <row r="250" spans="1:12" x14ac:dyDescent="0.25">
      <c r="A250" s="3" t="s">
        <v>996</v>
      </c>
      <c r="B250" s="3" t="s">
        <v>997</v>
      </c>
      <c r="C250" s="1">
        <v>20</v>
      </c>
      <c r="D250" s="1">
        <v>42.2</v>
      </c>
      <c r="E250" s="1" t="s">
        <v>52</v>
      </c>
      <c r="F250" s="1" t="s">
        <v>3193</v>
      </c>
      <c r="G250" s="3" t="s">
        <v>4776</v>
      </c>
      <c r="H250" s="11">
        <f t="shared" si="9"/>
        <v>207.28</v>
      </c>
      <c r="I250" s="9">
        <f>($K$2+0.02)*Tabla1[[#This Row],[PRECIO $]]*1.18</f>
        <v>173.29008000000002</v>
      </c>
      <c r="J250" s="7">
        <f>+Tabla1[[#This Row],[PRECIO EN SOLES]]-Tabla1[[#This Row],[PC]]</f>
        <v>33.989919999999984</v>
      </c>
      <c r="K250" s="15"/>
      <c r="L250" s="15" t="str">
        <f t="shared" si="8"/>
        <v>NORMAL</v>
      </c>
    </row>
    <row r="251" spans="1:12" x14ac:dyDescent="0.25">
      <c r="A251" s="3" t="s">
        <v>4568</v>
      </c>
      <c r="B251" s="3" t="s">
        <v>4569</v>
      </c>
      <c r="C251" s="1">
        <v>4</v>
      </c>
      <c r="D251" s="1">
        <v>56.55</v>
      </c>
      <c r="E251" s="1" t="s">
        <v>226</v>
      </c>
      <c r="F251" s="1" t="s">
        <v>4570</v>
      </c>
      <c r="G251" s="3" t="s">
        <v>4571</v>
      </c>
      <c r="H251" s="11">
        <f t="shared" si="9"/>
        <v>266.44</v>
      </c>
      <c r="I251" s="9">
        <f>($K$2+0.02)*Tabla1[[#This Row],[PRECIO $]]*1.18</f>
        <v>232.21691999999996</v>
      </c>
      <c r="J251" s="7">
        <f>+Tabla1[[#This Row],[PRECIO EN SOLES]]-Tabla1[[#This Row],[PC]]</f>
        <v>34.223080000000039</v>
      </c>
      <c r="K251" s="15"/>
      <c r="L251" s="15" t="str">
        <f t="shared" si="8"/>
        <v>NORMAL</v>
      </c>
    </row>
    <row r="252" spans="1:12" x14ac:dyDescent="0.25">
      <c r="A252" s="3" t="s">
        <v>5826</v>
      </c>
      <c r="B252" s="3" t="s">
        <v>5827</v>
      </c>
      <c r="C252" s="1">
        <v>20</v>
      </c>
      <c r="D252" s="1">
        <v>52.6</v>
      </c>
      <c r="E252" s="1" t="s">
        <v>121</v>
      </c>
      <c r="F252" s="1" t="s">
        <v>5828</v>
      </c>
      <c r="G252" s="3" t="s">
        <v>5829</v>
      </c>
      <c r="H252" s="11">
        <f t="shared" si="9"/>
        <v>256.39999999999998</v>
      </c>
      <c r="I252" s="9">
        <f>($K$2+0.02)*Tabla1[[#This Row],[PRECIO $]]*1.18</f>
        <v>215.99663999999999</v>
      </c>
      <c r="J252" s="7">
        <f>+Tabla1[[#This Row],[PRECIO EN SOLES]]-Tabla1[[#This Row],[PC]]</f>
        <v>40.403359999999992</v>
      </c>
      <c r="K252" s="15"/>
      <c r="L252" s="15" t="str">
        <f t="shared" si="8"/>
        <v>NORMAL</v>
      </c>
    </row>
    <row r="253" spans="1:12" x14ac:dyDescent="0.25">
      <c r="A253" s="3" t="s">
        <v>5830</v>
      </c>
      <c r="B253" s="3" t="s">
        <v>5831</v>
      </c>
      <c r="C253" s="1">
        <v>20</v>
      </c>
      <c r="D253" s="1">
        <v>55.9</v>
      </c>
      <c r="E253" s="1" t="s">
        <v>121</v>
      </c>
      <c r="F253" s="1" t="s">
        <v>5832</v>
      </c>
      <c r="G253" s="3" t="s">
        <v>5833</v>
      </c>
      <c r="H253" s="11">
        <f t="shared" si="9"/>
        <v>271.98</v>
      </c>
      <c r="I253" s="9">
        <f>($K$2+0.02)*Tabla1[[#This Row],[PRECIO $]]*1.18</f>
        <v>229.54775999999995</v>
      </c>
      <c r="J253" s="7">
        <f>+Tabla1[[#This Row],[PRECIO EN SOLES]]-Tabla1[[#This Row],[PC]]</f>
        <v>42.432240000000064</v>
      </c>
      <c r="K253" s="15"/>
      <c r="L253" s="15" t="str">
        <f t="shared" si="8"/>
        <v>GANCHO</v>
      </c>
    </row>
    <row r="254" spans="1:12" x14ac:dyDescent="0.25">
      <c r="A254" s="3" t="s">
        <v>3033</v>
      </c>
      <c r="B254" s="3" t="s">
        <v>3034</v>
      </c>
      <c r="C254" s="1">
        <v>20</v>
      </c>
      <c r="D254" s="1">
        <v>54</v>
      </c>
      <c r="E254" s="1" t="s">
        <v>3029</v>
      </c>
      <c r="F254" s="1" t="s">
        <v>3194</v>
      </c>
      <c r="G254" s="3" t="s">
        <v>4899</v>
      </c>
      <c r="H254" s="11">
        <f t="shared" si="9"/>
        <v>263.01</v>
      </c>
      <c r="I254" s="9">
        <f>($K$2+0.02)*Tabla1[[#This Row],[PRECIO $]]*1.18</f>
        <v>221.74559999999997</v>
      </c>
      <c r="J254" s="7">
        <f>+Tabla1[[#This Row],[PRECIO EN SOLES]]-Tabla1[[#This Row],[PC]]</f>
        <v>41.264400000000023</v>
      </c>
      <c r="K254" s="15"/>
      <c r="L254" s="15" t="str">
        <f t="shared" si="8"/>
        <v>GANCHO</v>
      </c>
    </row>
    <row r="255" spans="1:12" x14ac:dyDescent="0.25">
      <c r="A255" s="3" t="s">
        <v>5834</v>
      </c>
      <c r="B255" s="3" t="s">
        <v>5835</v>
      </c>
      <c r="C255" s="1">
        <v>0</v>
      </c>
      <c r="D255" s="1">
        <v>92.5</v>
      </c>
      <c r="E255" s="1" t="s">
        <v>906</v>
      </c>
      <c r="F255" s="1" t="s">
        <v>5836</v>
      </c>
      <c r="G255" s="3"/>
      <c r="H255" s="11">
        <f t="shared" si="9"/>
        <v>436.83</v>
      </c>
      <c r="I255" s="9">
        <f>($K$2+0.02)*Tabla1[[#This Row],[PRECIO $]]*1.18</f>
        <v>379.84199999999993</v>
      </c>
      <c r="J255" s="7">
        <f>+Tabla1[[#This Row],[PRECIO EN SOLES]]-Tabla1[[#This Row],[PC]]</f>
        <v>56.988000000000056</v>
      </c>
      <c r="K255" s="15"/>
      <c r="L255" s="15" t="str">
        <f t="shared" si="8"/>
        <v>NORMAL</v>
      </c>
    </row>
    <row r="256" spans="1:12" x14ac:dyDescent="0.25">
      <c r="A256" s="3" t="s">
        <v>5837</v>
      </c>
      <c r="B256" s="3" t="s">
        <v>5838</v>
      </c>
      <c r="C256" s="1">
        <v>0</v>
      </c>
      <c r="D256" s="1">
        <v>80.75</v>
      </c>
      <c r="E256" s="1" t="s">
        <v>906</v>
      </c>
      <c r="F256" s="1" t="s">
        <v>5839</v>
      </c>
      <c r="G256" s="3"/>
      <c r="H256" s="11">
        <f t="shared" si="9"/>
        <v>383.75</v>
      </c>
      <c r="I256" s="9">
        <f>($K$2+0.02)*Tabla1[[#This Row],[PRECIO $]]*1.18</f>
        <v>331.59179999999998</v>
      </c>
      <c r="J256" s="7">
        <f>+Tabla1[[#This Row],[PRECIO EN SOLES]]-Tabla1[[#This Row],[PC]]</f>
        <v>52.158200000000022</v>
      </c>
      <c r="K256" s="15"/>
      <c r="L256" s="15" t="str">
        <f t="shared" si="8"/>
        <v>GANCHO</v>
      </c>
    </row>
    <row r="257" spans="1:12" x14ac:dyDescent="0.25">
      <c r="A257" s="3" t="s">
        <v>5840</v>
      </c>
      <c r="B257" s="3" t="s">
        <v>5841</v>
      </c>
      <c r="C257" s="1">
        <v>6</v>
      </c>
      <c r="D257" s="1">
        <v>188</v>
      </c>
      <c r="E257" s="1" t="s">
        <v>906</v>
      </c>
      <c r="F257" s="1" t="s">
        <v>5842</v>
      </c>
      <c r="G257" s="3"/>
      <c r="H257" s="11">
        <f t="shared" si="9"/>
        <v>895.8</v>
      </c>
      <c r="I257" s="9">
        <f>($K$2+0.02)*Tabla1[[#This Row],[PRECIO $]]*1.18</f>
        <v>772.00319999999999</v>
      </c>
      <c r="J257" s="7">
        <f>+Tabla1[[#This Row],[PRECIO EN SOLES]]-Tabla1[[#This Row],[PC]]</f>
        <v>123.79679999999996</v>
      </c>
      <c r="K257" s="15"/>
      <c r="L257" s="15" t="str">
        <f t="shared" si="8"/>
        <v>GANCHO</v>
      </c>
    </row>
    <row r="258" spans="1:12" x14ac:dyDescent="0.25">
      <c r="A258" s="3" t="s">
        <v>5843</v>
      </c>
      <c r="B258" s="3" t="s">
        <v>5844</v>
      </c>
      <c r="C258" s="1">
        <v>0</v>
      </c>
      <c r="D258" s="1">
        <v>72.8</v>
      </c>
      <c r="E258" s="1" t="s">
        <v>906</v>
      </c>
      <c r="F258" s="1" t="s">
        <v>5845</v>
      </c>
      <c r="G258" s="3"/>
      <c r="H258" s="11">
        <f t="shared" si="9"/>
        <v>347.84</v>
      </c>
      <c r="I258" s="9">
        <f>($K$2+0.02)*Tabla1[[#This Row],[PRECIO $]]*1.18</f>
        <v>298.94592</v>
      </c>
      <c r="J258" s="7">
        <f>+Tabla1[[#This Row],[PRECIO EN SOLES]]-Tabla1[[#This Row],[PC]]</f>
        <v>48.894079999999974</v>
      </c>
      <c r="K258" s="15"/>
      <c r="L258" s="15" t="str">
        <f t="shared" si="8"/>
        <v>NORMAL</v>
      </c>
    </row>
    <row r="259" spans="1:12" x14ac:dyDescent="0.25">
      <c r="A259" s="3" t="s">
        <v>5846</v>
      </c>
      <c r="B259" s="3" t="s">
        <v>5847</v>
      </c>
      <c r="C259" s="1">
        <v>0</v>
      </c>
      <c r="D259" s="1">
        <v>72.900000000000006</v>
      </c>
      <c r="E259" s="1" t="s">
        <v>906</v>
      </c>
      <c r="F259" s="1" t="s">
        <v>5848</v>
      </c>
      <c r="G259" s="3"/>
      <c r="H259" s="11">
        <f t="shared" si="9"/>
        <v>348.29</v>
      </c>
      <c r="I259" s="9">
        <f>($K$2+0.02)*Tabla1[[#This Row],[PRECIO $]]*1.18</f>
        <v>299.35656</v>
      </c>
      <c r="J259" s="7">
        <f>+Tabla1[[#This Row],[PRECIO EN SOLES]]-Tabla1[[#This Row],[PC]]</f>
        <v>48.933440000000019</v>
      </c>
      <c r="K259" s="15"/>
      <c r="L259" s="15" t="str">
        <f t="shared" si="8"/>
        <v>NORMAL</v>
      </c>
    </row>
    <row r="260" spans="1:12" x14ac:dyDescent="0.25">
      <c r="A260" s="3" t="s">
        <v>2921</v>
      </c>
      <c r="B260" s="3" t="s">
        <v>2922</v>
      </c>
      <c r="C260" s="1">
        <v>2</v>
      </c>
      <c r="D260" s="1">
        <v>222.75</v>
      </c>
      <c r="E260" s="1" t="s">
        <v>115</v>
      </c>
      <c r="F260" s="1" t="s">
        <v>3195</v>
      </c>
      <c r="G260" s="3" t="s">
        <v>2923</v>
      </c>
      <c r="H260" s="11">
        <f t="shared" si="9"/>
        <v>1059.9100000000001</v>
      </c>
      <c r="I260" s="9">
        <f>($K$2+0.02)*Tabla1[[#This Row],[PRECIO $]]*1.18</f>
        <v>914.70059999999989</v>
      </c>
      <c r="J260" s="7">
        <f>+Tabla1[[#This Row],[PRECIO EN SOLES]]-Tabla1[[#This Row],[PC]]</f>
        <v>145.20940000000019</v>
      </c>
      <c r="K260" s="15"/>
      <c r="L260" s="15" t="str">
        <f t="shared" si="8"/>
        <v>GANCHO</v>
      </c>
    </row>
    <row r="261" spans="1:12" x14ac:dyDescent="0.25">
      <c r="A261" s="3" t="s">
        <v>3035</v>
      </c>
      <c r="B261" s="3" t="s">
        <v>3036</v>
      </c>
      <c r="C261" s="1">
        <v>20</v>
      </c>
      <c r="D261" s="1">
        <v>78</v>
      </c>
      <c r="E261" s="1" t="s">
        <v>3029</v>
      </c>
      <c r="F261" s="1" t="s">
        <v>3196</v>
      </c>
      <c r="G261" s="3" t="s">
        <v>4900</v>
      </c>
      <c r="H261" s="11">
        <f t="shared" si="9"/>
        <v>376.34</v>
      </c>
      <c r="I261" s="9">
        <f>($K$2+0.02)*Tabla1[[#This Row],[PRECIO $]]*1.18</f>
        <v>320.29919999999998</v>
      </c>
      <c r="J261" s="7">
        <f>+Tabla1[[#This Row],[PRECIO EN SOLES]]-Tabla1[[#This Row],[PC]]</f>
        <v>56.04079999999999</v>
      </c>
      <c r="K261" s="15"/>
      <c r="L261" s="15" t="str">
        <f t="shared" si="8"/>
        <v>NORMAL</v>
      </c>
    </row>
    <row r="262" spans="1:12" x14ac:dyDescent="0.25">
      <c r="A262" s="3" t="s">
        <v>4572</v>
      </c>
      <c r="B262" s="3" t="s">
        <v>4573</v>
      </c>
      <c r="C262" s="1">
        <v>0</v>
      </c>
      <c r="D262" s="1">
        <v>63.85</v>
      </c>
      <c r="E262" s="1" t="s">
        <v>226</v>
      </c>
      <c r="F262" s="1" t="s">
        <v>4574</v>
      </c>
      <c r="G262" s="3" t="s">
        <v>4575</v>
      </c>
      <c r="H262" s="11">
        <f t="shared" si="9"/>
        <v>307.41000000000003</v>
      </c>
      <c r="I262" s="9">
        <f>($K$2+0.02)*Tabla1[[#This Row],[PRECIO $]]*1.18</f>
        <v>262.19364000000002</v>
      </c>
      <c r="J262" s="7">
        <f>+Tabla1[[#This Row],[PRECIO EN SOLES]]-Tabla1[[#This Row],[PC]]</f>
        <v>45.216360000000009</v>
      </c>
      <c r="K262" s="15"/>
      <c r="L262" s="15" t="str">
        <f t="shared" si="8"/>
        <v>NORMAL</v>
      </c>
    </row>
    <row r="263" spans="1:12" x14ac:dyDescent="0.25">
      <c r="A263" s="3" t="s">
        <v>2924</v>
      </c>
      <c r="B263" s="3" t="s">
        <v>2925</v>
      </c>
      <c r="C263" s="1">
        <v>2</v>
      </c>
      <c r="D263" s="1">
        <v>70</v>
      </c>
      <c r="E263" s="1" t="s">
        <v>121</v>
      </c>
      <c r="F263" s="1" t="s">
        <v>3197</v>
      </c>
      <c r="G263" s="3" t="s">
        <v>2926</v>
      </c>
      <c r="H263" s="11">
        <f t="shared" si="9"/>
        <v>338.57</v>
      </c>
      <c r="I263" s="9">
        <f>($K$2+0.02)*Tabla1[[#This Row],[PRECIO $]]*1.18</f>
        <v>287.44799999999998</v>
      </c>
      <c r="J263" s="7">
        <f>+Tabla1[[#This Row],[PRECIO EN SOLES]]-Tabla1[[#This Row],[PC]]</f>
        <v>51.122000000000014</v>
      </c>
      <c r="K263" s="15"/>
      <c r="L263" s="15" t="str">
        <f t="shared" si="8"/>
        <v>NORMAL</v>
      </c>
    </row>
    <row r="264" spans="1:12" x14ac:dyDescent="0.25">
      <c r="A264" s="3" t="s">
        <v>5255</v>
      </c>
      <c r="B264" s="3" t="s">
        <v>5256</v>
      </c>
      <c r="C264" s="1">
        <v>20</v>
      </c>
      <c r="D264" s="1">
        <v>72.7</v>
      </c>
      <c r="E264" s="1" t="s">
        <v>121</v>
      </c>
      <c r="F264" s="1" t="s">
        <v>5257</v>
      </c>
      <c r="G264" s="3" t="s">
        <v>5258</v>
      </c>
      <c r="H264" s="11">
        <f t="shared" si="9"/>
        <v>351.32</v>
      </c>
      <c r="I264" s="9">
        <f>($K$2+0.02)*Tabla1[[#This Row],[PRECIO $]]*1.18</f>
        <v>298.53528</v>
      </c>
      <c r="J264" s="7">
        <f>+Tabla1[[#This Row],[PRECIO EN SOLES]]-Tabla1[[#This Row],[PC]]</f>
        <v>52.784719999999993</v>
      </c>
      <c r="K264" s="15"/>
      <c r="L264" s="15" t="str">
        <f t="shared" si="8"/>
        <v>NORMAL</v>
      </c>
    </row>
    <row r="265" spans="1:12" x14ac:dyDescent="0.25">
      <c r="A265" s="3" t="s">
        <v>5259</v>
      </c>
      <c r="B265" s="3" t="s">
        <v>5260</v>
      </c>
      <c r="C265" s="1">
        <v>20</v>
      </c>
      <c r="D265" s="1">
        <v>73.3</v>
      </c>
      <c r="E265" s="1" t="s">
        <v>121</v>
      </c>
      <c r="F265" s="1" t="s">
        <v>5261</v>
      </c>
      <c r="G265" s="3" t="s">
        <v>5262</v>
      </c>
      <c r="H265" s="11">
        <f t="shared" si="9"/>
        <v>354.15</v>
      </c>
      <c r="I265" s="9">
        <f>($K$2+0.02)*Tabla1[[#This Row],[PRECIO $]]*1.18</f>
        <v>300.99911999999995</v>
      </c>
      <c r="J265" s="7">
        <f>+Tabla1[[#This Row],[PRECIO EN SOLES]]-Tabla1[[#This Row],[PC]]</f>
        <v>53.150880000000029</v>
      </c>
      <c r="K265" s="15"/>
      <c r="L265" s="15" t="str">
        <f t="shared" si="8"/>
        <v>NORMAL</v>
      </c>
    </row>
    <row r="266" spans="1:12" x14ac:dyDescent="0.25">
      <c r="A266" s="3" t="s">
        <v>168</v>
      </c>
      <c r="B266" s="3" t="s">
        <v>169</v>
      </c>
      <c r="C266" s="1">
        <v>20</v>
      </c>
      <c r="D266" s="1">
        <v>32.75</v>
      </c>
      <c r="E266" s="1" t="s">
        <v>170</v>
      </c>
      <c r="F266" s="1" t="s">
        <v>3198</v>
      </c>
      <c r="G266" s="3" t="s">
        <v>171</v>
      </c>
      <c r="H266" s="11">
        <f t="shared" si="9"/>
        <v>160.66</v>
      </c>
      <c r="I266" s="9">
        <f>($K$2+0.02)*Tabla1[[#This Row],[PRECIO $]]*1.18</f>
        <v>134.4846</v>
      </c>
      <c r="J266" s="7">
        <f>+Tabla1[[#This Row],[PRECIO EN SOLES]]-Tabla1[[#This Row],[PC]]</f>
        <v>26.175399999999996</v>
      </c>
      <c r="K266" s="15"/>
      <c r="L266" s="15" t="str">
        <f t="shared" si="8"/>
        <v>NORMAL</v>
      </c>
    </row>
    <row r="267" spans="1:12" x14ac:dyDescent="0.25">
      <c r="A267" s="3" t="s">
        <v>6417</v>
      </c>
      <c r="B267" s="3" t="s">
        <v>6418</v>
      </c>
      <c r="C267" s="1">
        <v>0</v>
      </c>
      <c r="D267" s="1">
        <v>56</v>
      </c>
      <c r="E267" s="1" t="s">
        <v>170</v>
      </c>
      <c r="F267" s="1" t="s">
        <v>6419</v>
      </c>
      <c r="G267" s="3" t="s">
        <v>6420</v>
      </c>
      <c r="H267" s="11">
        <f t="shared" si="9"/>
        <v>272.45</v>
      </c>
      <c r="I267" s="9">
        <f>($K$2+0.02)*Tabla1[[#This Row],[PRECIO $]]*1.18</f>
        <v>229.95839999999998</v>
      </c>
      <c r="J267" s="7">
        <f>+Tabla1[[#This Row],[PRECIO EN SOLES]]-Tabla1[[#This Row],[PC]]</f>
        <v>42.491600000000005</v>
      </c>
      <c r="K267" s="15"/>
      <c r="L267" s="15" t="str">
        <f t="shared" si="8"/>
        <v>NORMAL</v>
      </c>
    </row>
    <row r="268" spans="1:12" x14ac:dyDescent="0.25">
      <c r="A268" s="3" t="s">
        <v>4396</v>
      </c>
      <c r="B268" s="3" t="s">
        <v>4397</v>
      </c>
      <c r="C268" s="1">
        <v>20</v>
      </c>
      <c r="D268" s="1">
        <v>89.5</v>
      </c>
      <c r="E268" s="1" t="s">
        <v>170</v>
      </c>
      <c r="F268" s="1" t="s">
        <v>4398</v>
      </c>
      <c r="G268" s="3" t="s">
        <v>4399</v>
      </c>
      <c r="H268" s="11">
        <f t="shared" si="9"/>
        <v>430.65</v>
      </c>
      <c r="I268" s="9">
        <f>($K$2+0.02)*Tabla1[[#This Row],[PRECIO $]]*1.18</f>
        <v>367.52279999999996</v>
      </c>
      <c r="J268" s="7">
        <f>+Tabla1[[#This Row],[PRECIO EN SOLES]]-Tabla1[[#This Row],[PC]]</f>
        <v>63.127200000000016</v>
      </c>
      <c r="K268" s="15"/>
      <c r="L268" s="15" t="str">
        <f t="shared" si="8"/>
        <v>NORMAL</v>
      </c>
    </row>
    <row r="269" spans="1:12" x14ac:dyDescent="0.25">
      <c r="A269" s="3" t="s">
        <v>6421</v>
      </c>
      <c r="B269" s="3" t="s">
        <v>6422</v>
      </c>
      <c r="C269" s="1">
        <v>0</v>
      </c>
      <c r="D269" s="1">
        <v>239</v>
      </c>
      <c r="E269" s="1" t="s">
        <v>170</v>
      </c>
      <c r="F269" s="1" t="s">
        <v>6423</v>
      </c>
      <c r="G269" s="3" t="s">
        <v>6424</v>
      </c>
      <c r="H269" s="11">
        <f t="shared" si="9"/>
        <v>1136.6400000000001</v>
      </c>
      <c r="I269" s="9">
        <f>($K$2+0.02)*Tabla1[[#This Row],[PRECIO $]]*1.18</f>
        <v>981.42959999999994</v>
      </c>
      <c r="J269" s="7">
        <f>+Tabla1[[#This Row],[PRECIO EN SOLES]]-Tabla1[[#This Row],[PC]]</f>
        <v>155.21040000000016</v>
      </c>
      <c r="K269" s="15"/>
      <c r="L269" s="15" t="str">
        <f t="shared" si="8"/>
        <v>NORMAL</v>
      </c>
    </row>
    <row r="270" spans="1:12" x14ac:dyDescent="0.25">
      <c r="A270" s="3" t="s">
        <v>6425</v>
      </c>
      <c r="B270" s="3" t="s">
        <v>6426</v>
      </c>
      <c r="C270" s="1">
        <v>20</v>
      </c>
      <c r="D270" s="1">
        <v>149.5</v>
      </c>
      <c r="E270" s="1" t="s">
        <v>170</v>
      </c>
      <c r="F270" s="1" t="s">
        <v>6427</v>
      </c>
      <c r="G270" s="3" t="s">
        <v>6428</v>
      </c>
      <c r="H270" s="11">
        <f t="shared" si="9"/>
        <v>713.99</v>
      </c>
      <c r="I270" s="9">
        <f>($K$2+0.02)*Tabla1[[#This Row],[PRECIO $]]*1.18</f>
        <v>613.90679999999998</v>
      </c>
      <c r="J270" s="7">
        <f>+Tabla1[[#This Row],[PRECIO EN SOLES]]-Tabla1[[#This Row],[PC]]</f>
        <v>100.08320000000003</v>
      </c>
      <c r="K270" s="15"/>
      <c r="L270" s="15" t="str">
        <f t="shared" si="8"/>
        <v>NORMAL</v>
      </c>
    </row>
    <row r="271" spans="1:12" x14ac:dyDescent="0.25">
      <c r="A271" s="3" t="s">
        <v>998</v>
      </c>
      <c r="B271" s="3" t="s">
        <v>999</v>
      </c>
      <c r="C271" s="1">
        <v>20</v>
      </c>
      <c r="D271" s="1">
        <v>205.1</v>
      </c>
      <c r="E271" s="1" t="s">
        <v>170</v>
      </c>
      <c r="F271" s="1" t="s">
        <v>3199</v>
      </c>
      <c r="G271" s="3" t="s">
        <v>1000</v>
      </c>
      <c r="H271" s="11">
        <f t="shared" si="9"/>
        <v>976.56</v>
      </c>
      <c r="I271" s="9">
        <f>($K$2+0.02)*Tabla1[[#This Row],[PRECIO $]]*1.18</f>
        <v>842.22263999999984</v>
      </c>
      <c r="J271" s="7">
        <f>+Tabla1[[#This Row],[PRECIO EN SOLES]]-Tabla1[[#This Row],[PC]]</f>
        <v>134.3373600000001</v>
      </c>
      <c r="K271" s="15"/>
      <c r="L271" s="15" t="str">
        <f t="shared" si="8"/>
        <v>NORMAL</v>
      </c>
    </row>
    <row r="272" spans="1:12" x14ac:dyDescent="0.25">
      <c r="A272" s="3" t="s">
        <v>6429</v>
      </c>
      <c r="B272" s="3" t="s">
        <v>6430</v>
      </c>
      <c r="C272" s="1">
        <v>20</v>
      </c>
      <c r="D272" s="1">
        <v>128.69999999999999</v>
      </c>
      <c r="E272" s="1" t="s">
        <v>170</v>
      </c>
      <c r="F272" s="1" t="s">
        <v>6431</v>
      </c>
      <c r="G272" s="3" t="s">
        <v>6432</v>
      </c>
      <c r="H272" s="11">
        <f t="shared" si="9"/>
        <v>615.77</v>
      </c>
      <c r="I272" s="9">
        <f>($K$2+0.02)*Tabla1[[#This Row],[PRECIO $]]*1.18</f>
        <v>528.49367999999993</v>
      </c>
      <c r="J272" s="7">
        <f>+Tabla1[[#This Row],[PRECIO EN SOLES]]-Tabla1[[#This Row],[PC]]</f>
        <v>87.276320000000055</v>
      </c>
      <c r="K272" s="15"/>
      <c r="L272" s="15" t="str">
        <f t="shared" ref="L272:L335" si="10"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NORMAL</v>
      </c>
    </row>
    <row r="273" spans="1:12" x14ac:dyDescent="0.25">
      <c r="A273" s="3" t="s">
        <v>1001</v>
      </c>
      <c r="B273" s="3" t="s">
        <v>1002</v>
      </c>
      <c r="C273" s="1">
        <v>20</v>
      </c>
      <c r="D273" s="1">
        <v>159</v>
      </c>
      <c r="E273" s="1" t="s">
        <v>170</v>
      </c>
      <c r="F273" s="1" t="s">
        <v>3200</v>
      </c>
      <c r="G273" s="3" t="s">
        <v>1003</v>
      </c>
      <c r="H273" s="11">
        <f t="shared" si="9"/>
        <v>758.86</v>
      </c>
      <c r="I273" s="9">
        <f>($K$2+0.02)*Tabla1[[#This Row],[PRECIO $]]*1.18</f>
        <v>652.91759999999999</v>
      </c>
      <c r="J273" s="7">
        <f>+Tabla1[[#This Row],[PRECIO EN SOLES]]-Tabla1[[#This Row],[PC]]</f>
        <v>105.94240000000002</v>
      </c>
      <c r="K273" s="15"/>
      <c r="L273" s="15" t="str">
        <f t="shared" si="10"/>
        <v>NORMAL</v>
      </c>
    </row>
    <row r="274" spans="1:12" x14ac:dyDescent="0.25">
      <c r="A274" s="3" t="s">
        <v>1004</v>
      </c>
      <c r="B274" s="3" t="s">
        <v>1005</v>
      </c>
      <c r="C274" s="1">
        <v>20</v>
      </c>
      <c r="D274" s="1">
        <v>216.2</v>
      </c>
      <c r="E274" s="1" t="s">
        <v>170</v>
      </c>
      <c r="F274" s="1" t="s">
        <v>3201</v>
      </c>
      <c r="G274" s="3" t="s">
        <v>1006</v>
      </c>
      <c r="H274" s="11">
        <f t="shared" ref="H274:H337" si="11">ROUND(
IF(L272="GANCHO",
   IF(I274&lt;=50,I274*1.1+4,IF(I274&lt;=120,I274*1.1+7,IF(I274&lt;=250,I274*1.1+11,I274*1.1+19))),
IF(L272="NORMAL",
   IF(I274&lt;=30,I274*1.15+2,IF(I274&lt;=80,I274*1.15+4,IF(I274&lt;=150,I274*1.15+6,I274*1.15+8))),
IF(L272="COMPLEMENTO",
   IF(I274&lt;=25,I274*1.25+1.5,IF(I274&lt;=60,I274*1.25+3,IF(I274&lt;=120,I274*1.25+4,I274*1.25+5))),
""))),2)</f>
        <v>1028.97</v>
      </c>
      <c r="I274" s="9">
        <f>($K$2+0.02)*Tabla1[[#This Row],[PRECIO $]]*1.18</f>
        <v>887.80367999999987</v>
      </c>
      <c r="J274" s="7">
        <f>+Tabla1[[#This Row],[PRECIO EN SOLES]]-Tabla1[[#This Row],[PC]]</f>
        <v>141.16632000000016</v>
      </c>
      <c r="K274" s="15"/>
      <c r="L274" s="15" t="str">
        <f t="shared" si="10"/>
        <v>NORMAL</v>
      </c>
    </row>
    <row r="275" spans="1:12" x14ac:dyDescent="0.25">
      <c r="A275" s="3" t="s">
        <v>5849</v>
      </c>
      <c r="B275" s="3" t="s">
        <v>5850</v>
      </c>
      <c r="C275" s="1">
        <v>20</v>
      </c>
      <c r="D275" s="1">
        <v>134.19999999999999</v>
      </c>
      <c r="E275" s="1" t="s">
        <v>170</v>
      </c>
      <c r="F275" s="1" t="s">
        <v>5851</v>
      </c>
      <c r="G275" s="3" t="s">
        <v>5852</v>
      </c>
      <c r="H275" s="11">
        <f t="shared" si="11"/>
        <v>641.74</v>
      </c>
      <c r="I275" s="9">
        <f>($K$2+0.02)*Tabla1[[#This Row],[PRECIO $]]*1.18</f>
        <v>551.07887999999991</v>
      </c>
      <c r="J275" s="7">
        <f>+Tabla1[[#This Row],[PRECIO EN SOLES]]-Tabla1[[#This Row],[PC]]</f>
        <v>90.661120000000096</v>
      </c>
      <c r="K275" s="15"/>
      <c r="L275" s="15" t="str">
        <f t="shared" si="10"/>
        <v>NORMAL</v>
      </c>
    </row>
    <row r="276" spans="1:12" x14ac:dyDescent="0.25">
      <c r="A276" s="3" t="s">
        <v>6433</v>
      </c>
      <c r="B276" s="3" t="s">
        <v>6434</v>
      </c>
      <c r="C276" s="1">
        <v>20</v>
      </c>
      <c r="D276" s="1">
        <v>181</v>
      </c>
      <c r="E276" s="1" t="s">
        <v>170</v>
      </c>
      <c r="F276" s="1" t="s">
        <v>6435</v>
      </c>
      <c r="G276" s="3" t="s">
        <v>6436</v>
      </c>
      <c r="H276" s="11">
        <f t="shared" si="11"/>
        <v>862.75</v>
      </c>
      <c r="I276" s="9">
        <f>($K$2+0.02)*Tabla1[[#This Row],[PRECIO $]]*1.18</f>
        <v>743.25839999999994</v>
      </c>
      <c r="J276" s="7">
        <f>+Tabla1[[#This Row],[PRECIO EN SOLES]]-Tabla1[[#This Row],[PC]]</f>
        <v>119.49160000000006</v>
      </c>
      <c r="K276" s="15"/>
      <c r="L276" s="15" t="str">
        <f t="shared" si="10"/>
        <v>NORMAL</v>
      </c>
    </row>
    <row r="277" spans="1:12" x14ac:dyDescent="0.25">
      <c r="A277" s="3" t="s">
        <v>4901</v>
      </c>
      <c r="B277" s="3" t="s">
        <v>4902</v>
      </c>
      <c r="C277" s="1">
        <v>20</v>
      </c>
      <c r="D277" s="1">
        <v>189</v>
      </c>
      <c r="E277" s="1" t="s">
        <v>170</v>
      </c>
      <c r="F277" s="1" t="s">
        <v>4903</v>
      </c>
      <c r="G277" s="3" t="s">
        <v>4904</v>
      </c>
      <c r="H277" s="11">
        <f t="shared" si="11"/>
        <v>900.53</v>
      </c>
      <c r="I277" s="9">
        <f>($K$2+0.02)*Tabla1[[#This Row],[PRECIO $]]*1.18</f>
        <v>776.1096</v>
      </c>
      <c r="J277" s="7">
        <f>+Tabla1[[#This Row],[PRECIO EN SOLES]]-Tabla1[[#This Row],[PC]]</f>
        <v>124.42039999999997</v>
      </c>
      <c r="K277" s="15"/>
      <c r="L277" s="15" t="str">
        <f t="shared" si="10"/>
        <v>NORMAL</v>
      </c>
    </row>
    <row r="278" spans="1:12" x14ac:dyDescent="0.25">
      <c r="A278" s="3" t="s">
        <v>1007</v>
      </c>
      <c r="B278" s="3" t="s">
        <v>1008</v>
      </c>
      <c r="C278" s="1">
        <v>20</v>
      </c>
      <c r="D278" s="1">
        <v>304</v>
      </c>
      <c r="E278" s="1" t="s">
        <v>170</v>
      </c>
      <c r="F278" s="1" t="s">
        <v>3202</v>
      </c>
      <c r="G278" s="3" t="s">
        <v>1009</v>
      </c>
      <c r="H278" s="11">
        <f t="shared" si="11"/>
        <v>1443.6</v>
      </c>
      <c r="I278" s="9">
        <f>($K$2+0.02)*Tabla1[[#This Row],[PRECIO $]]*1.18</f>
        <v>1248.3456000000001</v>
      </c>
      <c r="J278" s="7">
        <f>+Tabla1[[#This Row],[PRECIO EN SOLES]]-Tabla1[[#This Row],[PC]]</f>
        <v>195.25439999999981</v>
      </c>
      <c r="K278" s="15"/>
      <c r="L278" s="15" t="str">
        <f t="shared" si="10"/>
        <v>NORMAL</v>
      </c>
    </row>
    <row r="279" spans="1:12" x14ac:dyDescent="0.25">
      <c r="A279" s="3" t="s">
        <v>4777</v>
      </c>
      <c r="B279" s="3" t="s">
        <v>4778</v>
      </c>
      <c r="C279" s="1">
        <v>20</v>
      </c>
      <c r="D279" s="1">
        <v>404.5</v>
      </c>
      <c r="E279" s="1" t="s">
        <v>170</v>
      </c>
      <c r="F279" s="1" t="s">
        <v>4779</v>
      </c>
      <c r="G279" s="3" t="s">
        <v>4780</v>
      </c>
      <c r="H279" s="11">
        <f t="shared" si="11"/>
        <v>1918.19</v>
      </c>
      <c r="I279" s="9">
        <f>($K$2+0.02)*Tabla1[[#This Row],[PRECIO $]]*1.18</f>
        <v>1661.0388</v>
      </c>
      <c r="J279" s="7">
        <f>+Tabla1[[#This Row],[PRECIO EN SOLES]]-Tabla1[[#This Row],[PC]]</f>
        <v>257.15120000000002</v>
      </c>
      <c r="K279" s="15"/>
      <c r="L279" s="15" t="str">
        <f t="shared" si="10"/>
        <v>NORMAL</v>
      </c>
    </row>
    <row r="280" spans="1:12" x14ac:dyDescent="0.25">
      <c r="A280" s="3" t="s">
        <v>1010</v>
      </c>
      <c r="B280" s="3" t="s">
        <v>1011</v>
      </c>
      <c r="C280" s="1">
        <v>20</v>
      </c>
      <c r="D280" s="1">
        <v>210.6</v>
      </c>
      <c r="E280" s="1" t="s">
        <v>170</v>
      </c>
      <c r="F280" s="1" t="s">
        <v>3203</v>
      </c>
      <c r="G280" s="3" t="s">
        <v>1012</v>
      </c>
      <c r="H280" s="11">
        <f t="shared" si="11"/>
        <v>1002.53</v>
      </c>
      <c r="I280" s="9">
        <f>($K$2+0.02)*Tabla1[[#This Row],[PRECIO $]]*1.18</f>
        <v>864.80783999999983</v>
      </c>
      <c r="J280" s="7">
        <f>+Tabla1[[#This Row],[PRECIO EN SOLES]]-Tabla1[[#This Row],[PC]]</f>
        <v>137.72216000000014</v>
      </c>
      <c r="K280" s="15"/>
      <c r="L280" s="15" t="str">
        <f t="shared" si="10"/>
        <v>NORMAL</v>
      </c>
    </row>
    <row r="281" spans="1:12" x14ac:dyDescent="0.25">
      <c r="A281" s="3" t="s">
        <v>1013</v>
      </c>
      <c r="B281" s="3" t="s">
        <v>1014</v>
      </c>
      <c r="C281" s="1">
        <v>20</v>
      </c>
      <c r="D281" s="1">
        <v>220.2</v>
      </c>
      <c r="E281" s="1" t="s">
        <v>170</v>
      </c>
      <c r="F281" s="1" t="s">
        <v>3204</v>
      </c>
      <c r="G281" s="3" t="s">
        <v>1015</v>
      </c>
      <c r="H281" s="11">
        <f t="shared" si="11"/>
        <v>1047.8599999999999</v>
      </c>
      <c r="I281" s="9">
        <f>($K$2+0.02)*Tabla1[[#This Row],[PRECIO $]]*1.18</f>
        <v>904.2292799999999</v>
      </c>
      <c r="J281" s="7">
        <f>+Tabla1[[#This Row],[PRECIO EN SOLES]]-Tabla1[[#This Row],[PC]]</f>
        <v>143.63072</v>
      </c>
      <c r="K281" s="15"/>
      <c r="L281" s="15" t="str">
        <f t="shared" si="10"/>
        <v>NORMAL</v>
      </c>
    </row>
    <row r="282" spans="1:12" x14ac:dyDescent="0.25">
      <c r="A282" s="3" t="s">
        <v>1016</v>
      </c>
      <c r="B282" s="3" t="s">
        <v>1017</v>
      </c>
      <c r="C282" s="1">
        <v>20</v>
      </c>
      <c r="D282" s="1">
        <v>318.5</v>
      </c>
      <c r="E282" s="1" t="s">
        <v>170</v>
      </c>
      <c r="F282" s="1" t="s">
        <v>3205</v>
      </c>
      <c r="G282" s="3" t="s">
        <v>1018</v>
      </c>
      <c r="H282" s="11">
        <f t="shared" si="11"/>
        <v>1512.07</v>
      </c>
      <c r="I282" s="9">
        <f>($K$2+0.02)*Tabla1[[#This Row],[PRECIO $]]*1.18</f>
        <v>1307.8883999999998</v>
      </c>
      <c r="J282" s="7">
        <f>+Tabla1[[#This Row],[PRECIO EN SOLES]]-Tabla1[[#This Row],[PC]]</f>
        <v>204.18160000000012</v>
      </c>
      <c r="K282" s="15"/>
      <c r="L282" s="15" t="str">
        <f t="shared" si="10"/>
        <v>NORMAL</v>
      </c>
    </row>
    <row r="283" spans="1:12" x14ac:dyDescent="0.25">
      <c r="A283" s="3" t="s">
        <v>4905</v>
      </c>
      <c r="B283" s="3" t="s">
        <v>4906</v>
      </c>
      <c r="C283" s="1">
        <v>20</v>
      </c>
      <c r="D283" s="1">
        <v>481</v>
      </c>
      <c r="E283" s="1" t="s">
        <v>170</v>
      </c>
      <c r="F283" s="1" t="s">
        <v>4907</v>
      </c>
      <c r="G283" s="3" t="s">
        <v>4908</v>
      </c>
      <c r="H283" s="11">
        <f t="shared" si="11"/>
        <v>2279.46</v>
      </c>
      <c r="I283" s="9">
        <f>($K$2+0.02)*Tabla1[[#This Row],[PRECIO $]]*1.18</f>
        <v>1975.1783999999998</v>
      </c>
      <c r="J283" s="7">
        <f>+Tabla1[[#This Row],[PRECIO EN SOLES]]-Tabla1[[#This Row],[PC]]</f>
        <v>304.28160000000025</v>
      </c>
      <c r="K283" s="15"/>
      <c r="L283" s="15" t="str">
        <f t="shared" si="10"/>
        <v>NORMAL</v>
      </c>
    </row>
    <row r="284" spans="1:12" x14ac:dyDescent="0.25">
      <c r="A284" s="3" t="s">
        <v>1019</v>
      </c>
      <c r="B284" s="3" t="s">
        <v>1020</v>
      </c>
      <c r="C284" s="1">
        <v>13</v>
      </c>
      <c r="D284" s="1">
        <v>337</v>
      </c>
      <c r="E284" s="1" t="s">
        <v>170</v>
      </c>
      <c r="F284" s="1" t="s">
        <v>3206</v>
      </c>
      <c r="G284" s="3" t="s">
        <v>1021</v>
      </c>
      <c r="H284" s="11">
        <f t="shared" si="11"/>
        <v>1599.44</v>
      </c>
      <c r="I284" s="9">
        <f>($K$2+0.02)*Tabla1[[#This Row],[PRECIO $]]*1.18</f>
        <v>1383.8568</v>
      </c>
      <c r="J284" s="7">
        <f>+Tabla1[[#This Row],[PRECIO EN SOLES]]-Tabla1[[#This Row],[PC]]</f>
        <v>215.58320000000003</v>
      </c>
      <c r="K284" s="15"/>
      <c r="L284" s="15" t="str">
        <f t="shared" si="10"/>
        <v>NORMAL</v>
      </c>
    </row>
    <row r="285" spans="1:12" x14ac:dyDescent="0.25">
      <c r="A285" s="3" t="s">
        <v>4909</v>
      </c>
      <c r="B285" s="3" t="s">
        <v>4910</v>
      </c>
      <c r="C285" s="1">
        <v>9</v>
      </c>
      <c r="D285" s="1">
        <v>576</v>
      </c>
      <c r="E285" s="1" t="s">
        <v>170</v>
      </c>
      <c r="F285" s="1" t="s">
        <v>4911</v>
      </c>
      <c r="G285" s="3" t="s">
        <v>4912</v>
      </c>
      <c r="H285" s="11">
        <f t="shared" si="11"/>
        <v>2728.08</v>
      </c>
      <c r="I285" s="9">
        <f>($K$2+0.02)*Tabla1[[#This Row],[PRECIO $]]*1.18</f>
        <v>2365.2864</v>
      </c>
      <c r="J285" s="7">
        <f>+Tabla1[[#This Row],[PRECIO EN SOLES]]-Tabla1[[#This Row],[PC]]</f>
        <v>362.79359999999997</v>
      </c>
      <c r="K285" s="15"/>
      <c r="L285" s="15" t="str">
        <f t="shared" si="10"/>
        <v>NORMAL</v>
      </c>
    </row>
    <row r="286" spans="1:12" x14ac:dyDescent="0.25">
      <c r="A286" s="3" t="s">
        <v>172</v>
      </c>
      <c r="B286" s="3" t="s">
        <v>173</v>
      </c>
      <c r="C286" s="1">
        <v>20</v>
      </c>
      <c r="D286" s="1">
        <v>400</v>
      </c>
      <c r="E286" s="1" t="s">
        <v>170</v>
      </c>
      <c r="F286" s="1" t="s">
        <v>3207</v>
      </c>
      <c r="G286" s="3" t="s">
        <v>174</v>
      </c>
      <c r="H286" s="11">
        <f t="shared" si="11"/>
        <v>1896.94</v>
      </c>
      <c r="I286" s="9">
        <f>($K$2+0.02)*Tabla1[[#This Row],[PRECIO $]]*1.18</f>
        <v>1642.56</v>
      </c>
      <c r="J286" s="7">
        <f>+Tabla1[[#This Row],[PRECIO EN SOLES]]-Tabla1[[#This Row],[PC]]</f>
        <v>254.38000000000011</v>
      </c>
      <c r="K286" s="15"/>
      <c r="L286" s="15" t="str">
        <f t="shared" si="10"/>
        <v>NORMAL</v>
      </c>
    </row>
    <row r="287" spans="1:12" x14ac:dyDescent="0.25">
      <c r="A287" s="3" t="s">
        <v>1022</v>
      </c>
      <c r="B287" s="3" t="s">
        <v>1023</v>
      </c>
      <c r="C287" s="1">
        <v>5</v>
      </c>
      <c r="D287" s="1">
        <v>559</v>
      </c>
      <c r="E287" s="1" t="s">
        <v>170</v>
      </c>
      <c r="F287" s="1" t="s">
        <v>3208</v>
      </c>
      <c r="G287" s="3" t="s">
        <v>1024</v>
      </c>
      <c r="H287" s="11">
        <f t="shared" si="11"/>
        <v>2647.8</v>
      </c>
      <c r="I287" s="9">
        <f>($K$2+0.02)*Tabla1[[#This Row],[PRECIO $]]*1.18</f>
        <v>2295.4775999999997</v>
      </c>
      <c r="J287" s="7">
        <f>+Tabla1[[#This Row],[PRECIO EN SOLES]]-Tabla1[[#This Row],[PC]]</f>
        <v>352.32240000000047</v>
      </c>
      <c r="K287" s="15"/>
      <c r="L287" s="15" t="str">
        <f t="shared" si="10"/>
        <v>NORMAL</v>
      </c>
    </row>
    <row r="288" spans="1:12" x14ac:dyDescent="0.25">
      <c r="A288" s="3" t="s">
        <v>1025</v>
      </c>
      <c r="B288" s="3" t="s">
        <v>1026</v>
      </c>
      <c r="C288" s="1">
        <v>20</v>
      </c>
      <c r="D288" s="1">
        <v>674</v>
      </c>
      <c r="E288" s="1" t="s">
        <v>170</v>
      </c>
      <c r="F288" s="1" t="s">
        <v>3209</v>
      </c>
      <c r="G288" s="3" t="s">
        <v>1027</v>
      </c>
      <c r="H288" s="11">
        <f t="shared" si="11"/>
        <v>3190.87</v>
      </c>
      <c r="I288" s="9">
        <f>($K$2+0.02)*Tabla1[[#This Row],[PRECIO $]]*1.18</f>
        <v>2767.7136</v>
      </c>
      <c r="J288" s="7">
        <f>+Tabla1[[#This Row],[PRECIO EN SOLES]]-Tabla1[[#This Row],[PC]]</f>
        <v>423.15639999999985</v>
      </c>
      <c r="K288" s="15"/>
      <c r="L288" s="15" t="str">
        <f t="shared" si="10"/>
        <v>NORMAL</v>
      </c>
    </row>
    <row r="289" spans="1:12" x14ac:dyDescent="0.25">
      <c r="A289" s="3" t="s">
        <v>6580</v>
      </c>
      <c r="B289" s="3" t="s">
        <v>6581</v>
      </c>
      <c r="C289" s="1">
        <v>20</v>
      </c>
      <c r="D289" s="1">
        <v>193</v>
      </c>
      <c r="E289" s="1" t="s">
        <v>175</v>
      </c>
      <c r="F289" s="1" t="s">
        <v>6582</v>
      </c>
      <c r="G289" s="3" t="s">
        <v>6583</v>
      </c>
      <c r="H289" s="11">
        <f t="shared" si="11"/>
        <v>919.42</v>
      </c>
      <c r="I289" s="9">
        <f>($K$2+0.02)*Tabla1[[#This Row],[PRECIO $]]*1.18</f>
        <v>792.53519999999992</v>
      </c>
      <c r="J289" s="7">
        <f>+Tabla1[[#This Row],[PRECIO EN SOLES]]-Tabla1[[#This Row],[PC]]</f>
        <v>126.88480000000004</v>
      </c>
      <c r="K289" s="15"/>
      <c r="L289" s="15" t="str">
        <f t="shared" si="10"/>
        <v>NORMAL</v>
      </c>
    </row>
    <row r="290" spans="1:12" x14ac:dyDescent="0.25">
      <c r="A290" s="3" t="s">
        <v>6437</v>
      </c>
      <c r="B290" s="3" t="s">
        <v>6438</v>
      </c>
      <c r="C290" s="1">
        <v>0</v>
      </c>
      <c r="D290" s="1">
        <v>85.5</v>
      </c>
      <c r="E290" s="1" t="s">
        <v>175</v>
      </c>
      <c r="F290" s="1" t="s">
        <v>6439</v>
      </c>
      <c r="G290" s="3" t="s">
        <v>6440</v>
      </c>
      <c r="H290" s="11">
        <f t="shared" si="11"/>
        <v>411.76</v>
      </c>
      <c r="I290" s="9">
        <f>($K$2+0.02)*Tabla1[[#This Row],[PRECIO $]]*1.18</f>
        <v>351.09719999999999</v>
      </c>
      <c r="J290" s="7">
        <f>+Tabla1[[#This Row],[PRECIO EN SOLES]]-Tabla1[[#This Row],[PC]]</f>
        <v>60.662800000000004</v>
      </c>
      <c r="K290" s="15"/>
      <c r="L290" s="15" t="str">
        <f t="shared" si="10"/>
        <v>NORMAL</v>
      </c>
    </row>
    <row r="291" spans="1:12" x14ac:dyDescent="0.25">
      <c r="A291" s="3" t="s">
        <v>5853</v>
      </c>
      <c r="B291" s="3" t="s">
        <v>5854</v>
      </c>
      <c r="C291" s="1">
        <v>20</v>
      </c>
      <c r="D291" s="1">
        <v>183</v>
      </c>
      <c r="E291" s="1" t="s">
        <v>5265</v>
      </c>
      <c r="F291" s="1" t="s">
        <v>5855</v>
      </c>
      <c r="G291" s="3" t="s">
        <v>5856</v>
      </c>
      <c r="H291" s="11">
        <f t="shared" si="11"/>
        <v>872.19</v>
      </c>
      <c r="I291" s="9">
        <f>($K$2+0.02)*Tabla1[[#This Row],[PRECIO $]]*1.18</f>
        <v>751.47119999999995</v>
      </c>
      <c r="J291" s="7">
        <f>+Tabla1[[#This Row],[PRECIO EN SOLES]]-Tabla1[[#This Row],[PC]]</f>
        <v>120.7188000000001</v>
      </c>
      <c r="K291" s="15"/>
      <c r="L291" s="15" t="str">
        <f t="shared" si="10"/>
        <v>NORMAL</v>
      </c>
    </row>
    <row r="292" spans="1:12" x14ac:dyDescent="0.25">
      <c r="A292" s="3" t="s">
        <v>176</v>
      </c>
      <c r="B292" s="3" t="s">
        <v>177</v>
      </c>
      <c r="C292" s="1">
        <v>0</v>
      </c>
      <c r="D292" s="1">
        <v>173.5</v>
      </c>
      <c r="E292" s="1" t="s">
        <v>175</v>
      </c>
      <c r="F292" s="1" t="s">
        <v>3210</v>
      </c>
      <c r="G292" s="3" t="s">
        <v>178</v>
      </c>
      <c r="H292" s="11">
        <f t="shared" si="11"/>
        <v>827.33</v>
      </c>
      <c r="I292" s="9">
        <f>($K$2+0.02)*Tabla1[[#This Row],[PRECIO $]]*1.18</f>
        <v>712.46039999999994</v>
      </c>
      <c r="J292" s="7">
        <f>+Tabla1[[#This Row],[PRECIO EN SOLES]]-Tabla1[[#This Row],[PC]]</f>
        <v>114.8696000000001</v>
      </c>
      <c r="K292" s="15"/>
      <c r="L292" s="15" t="str">
        <f t="shared" si="10"/>
        <v>NORMAL</v>
      </c>
    </row>
    <row r="293" spans="1:12" x14ac:dyDescent="0.25">
      <c r="A293" s="3" t="s">
        <v>6441</v>
      </c>
      <c r="B293" s="3" t="s">
        <v>6442</v>
      </c>
      <c r="C293" s="1">
        <v>4</v>
      </c>
      <c r="D293" s="1">
        <v>260.89999999999998</v>
      </c>
      <c r="E293" s="1" t="s">
        <v>175</v>
      </c>
      <c r="F293" s="1" t="s">
        <v>6443</v>
      </c>
      <c r="G293" s="3" t="s">
        <v>6444</v>
      </c>
      <c r="H293" s="11">
        <f t="shared" si="11"/>
        <v>1240.06</v>
      </c>
      <c r="I293" s="9">
        <f>($K$2+0.02)*Tabla1[[#This Row],[PRECIO $]]*1.18</f>
        <v>1071.3597599999998</v>
      </c>
      <c r="J293" s="7">
        <f>+Tabla1[[#This Row],[PRECIO EN SOLES]]-Tabla1[[#This Row],[PC]]</f>
        <v>168.70024000000012</v>
      </c>
      <c r="K293" s="15"/>
      <c r="L293" s="15" t="str">
        <f t="shared" si="10"/>
        <v>NORMAL</v>
      </c>
    </row>
    <row r="294" spans="1:12" x14ac:dyDescent="0.25">
      <c r="A294" s="3" t="s">
        <v>5263</v>
      </c>
      <c r="B294" s="3" t="s">
        <v>5264</v>
      </c>
      <c r="C294" s="1">
        <v>3</v>
      </c>
      <c r="D294" s="1">
        <v>251</v>
      </c>
      <c r="E294" s="1" t="s">
        <v>5265</v>
      </c>
      <c r="F294" s="1" t="s">
        <v>5266</v>
      </c>
      <c r="G294" s="3" t="s">
        <v>5267</v>
      </c>
      <c r="H294" s="11">
        <f t="shared" si="11"/>
        <v>1193.31</v>
      </c>
      <c r="I294" s="9">
        <f>($K$2+0.02)*Tabla1[[#This Row],[PRECIO $]]*1.18</f>
        <v>1030.7064</v>
      </c>
      <c r="J294" s="7">
        <f>+Tabla1[[#This Row],[PRECIO EN SOLES]]-Tabla1[[#This Row],[PC]]</f>
        <v>162.60359999999991</v>
      </c>
      <c r="K294" s="15"/>
      <c r="L294" s="15" t="str">
        <f t="shared" si="10"/>
        <v>NORMAL</v>
      </c>
    </row>
    <row r="295" spans="1:12" x14ac:dyDescent="0.25">
      <c r="A295" s="3" t="s">
        <v>5268</v>
      </c>
      <c r="B295" s="3" t="s">
        <v>5269</v>
      </c>
      <c r="C295" s="1">
        <v>7</v>
      </c>
      <c r="D295" s="1">
        <v>328</v>
      </c>
      <c r="E295" s="1" t="s">
        <v>5265</v>
      </c>
      <c r="F295" s="1" t="s">
        <v>5270</v>
      </c>
      <c r="G295" s="3" t="s">
        <v>5271</v>
      </c>
      <c r="H295" s="11">
        <f t="shared" si="11"/>
        <v>1556.93</v>
      </c>
      <c r="I295" s="9">
        <f>($K$2+0.02)*Tabla1[[#This Row],[PRECIO $]]*1.18</f>
        <v>1346.8992000000001</v>
      </c>
      <c r="J295" s="7">
        <f>+Tabla1[[#This Row],[PRECIO EN SOLES]]-Tabla1[[#This Row],[PC]]</f>
        <v>210.0308</v>
      </c>
      <c r="K295" s="15"/>
      <c r="L295" s="15" t="str">
        <f t="shared" si="10"/>
        <v>NORMAL</v>
      </c>
    </row>
    <row r="296" spans="1:12" x14ac:dyDescent="0.25">
      <c r="A296" s="3" t="s">
        <v>6445</v>
      </c>
      <c r="B296" s="3" t="s">
        <v>6446</v>
      </c>
      <c r="C296" s="1">
        <v>0</v>
      </c>
      <c r="D296" s="1">
        <v>300.5</v>
      </c>
      <c r="E296" s="1" t="s">
        <v>175</v>
      </c>
      <c r="F296" s="1" t="s">
        <v>6447</v>
      </c>
      <c r="G296" s="3" t="s">
        <v>5860</v>
      </c>
      <c r="H296" s="11">
        <f t="shared" si="11"/>
        <v>1427.07</v>
      </c>
      <c r="I296" s="9">
        <f>($K$2+0.02)*Tabla1[[#This Row],[PRECIO $]]*1.18</f>
        <v>1233.9731999999999</v>
      </c>
      <c r="J296" s="7">
        <f>+Tabla1[[#This Row],[PRECIO EN SOLES]]-Tabla1[[#This Row],[PC]]</f>
        <v>193.09680000000003</v>
      </c>
      <c r="K296" s="15"/>
      <c r="L296" s="15" t="str">
        <f t="shared" si="10"/>
        <v>NORMAL</v>
      </c>
    </row>
    <row r="297" spans="1:12" x14ac:dyDescent="0.25">
      <c r="A297" s="3" t="s">
        <v>6448</v>
      </c>
      <c r="B297" s="3" t="s">
        <v>6449</v>
      </c>
      <c r="C297" s="1">
        <v>1</v>
      </c>
      <c r="D297" s="1">
        <v>302.5</v>
      </c>
      <c r="E297" s="1" t="s">
        <v>175</v>
      </c>
      <c r="F297" s="1" t="s">
        <v>6450</v>
      </c>
      <c r="G297" s="3" t="s">
        <v>6451</v>
      </c>
      <c r="H297" s="11">
        <f t="shared" si="11"/>
        <v>1436.51</v>
      </c>
      <c r="I297" s="9">
        <f>($K$2+0.02)*Tabla1[[#This Row],[PRECIO $]]*1.18</f>
        <v>1242.1859999999999</v>
      </c>
      <c r="J297" s="7">
        <f>+Tabla1[[#This Row],[PRECIO EN SOLES]]-Tabla1[[#This Row],[PC]]</f>
        <v>194.32400000000007</v>
      </c>
      <c r="K297" s="15"/>
      <c r="L297" s="15" t="str">
        <f t="shared" si="10"/>
        <v>NORMAL</v>
      </c>
    </row>
    <row r="298" spans="1:12" x14ac:dyDescent="0.25">
      <c r="A298" s="3" t="s">
        <v>6452</v>
      </c>
      <c r="B298" s="3" t="s">
        <v>6453</v>
      </c>
      <c r="C298" s="1">
        <v>3</v>
      </c>
      <c r="D298" s="1">
        <v>280.5</v>
      </c>
      <c r="E298" s="1" t="s">
        <v>175</v>
      </c>
      <c r="F298" s="1" t="s">
        <v>6454</v>
      </c>
      <c r="G298" s="3" t="s">
        <v>6455</v>
      </c>
      <c r="H298" s="11">
        <f t="shared" si="11"/>
        <v>1332.62</v>
      </c>
      <c r="I298" s="9">
        <f>($K$2+0.02)*Tabla1[[#This Row],[PRECIO $]]*1.18</f>
        <v>1151.8452</v>
      </c>
      <c r="J298" s="7">
        <f>+Tabla1[[#This Row],[PRECIO EN SOLES]]-Tabla1[[#This Row],[PC]]</f>
        <v>180.77479999999991</v>
      </c>
      <c r="K298" s="15"/>
      <c r="L298" s="15" t="str">
        <f t="shared" si="10"/>
        <v>NORMAL</v>
      </c>
    </row>
    <row r="299" spans="1:12" x14ac:dyDescent="0.25">
      <c r="A299" s="3" t="s">
        <v>5857</v>
      </c>
      <c r="B299" s="3" t="s">
        <v>5858</v>
      </c>
      <c r="C299" s="1">
        <v>20</v>
      </c>
      <c r="D299" s="1">
        <v>358</v>
      </c>
      <c r="E299" s="1" t="s">
        <v>5265</v>
      </c>
      <c r="F299" s="1" t="s">
        <v>5859</v>
      </c>
      <c r="G299" s="3" t="s">
        <v>5860</v>
      </c>
      <c r="H299" s="11">
        <f t="shared" si="11"/>
        <v>1698.6</v>
      </c>
      <c r="I299" s="9">
        <f>($K$2+0.02)*Tabla1[[#This Row],[PRECIO $]]*1.18</f>
        <v>1470.0911999999998</v>
      </c>
      <c r="J299" s="7">
        <f>+Tabla1[[#This Row],[PRECIO EN SOLES]]-Tabla1[[#This Row],[PC]]</f>
        <v>228.50880000000006</v>
      </c>
      <c r="K299" s="15"/>
      <c r="L299" s="15" t="str">
        <f t="shared" si="10"/>
        <v>NORMAL</v>
      </c>
    </row>
    <row r="300" spans="1:12" x14ac:dyDescent="0.25">
      <c r="A300" s="3" t="s">
        <v>4181</v>
      </c>
      <c r="B300" s="3" t="s">
        <v>4182</v>
      </c>
      <c r="C300" s="1">
        <v>20</v>
      </c>
      <c r="D300" s="1">
        <v>329</v>
      </c>
      <c r="E300" s="1" t="s">
        <v>175</v>
      </c>
      <c r="F300" s="1" t="s">
        <v>4230</v>
      </c>
      <c r="G300" s="3" t="s">
        <v>4183</v>
      </c>
      <c r="H300" s="11">
        <f t="shared" si="11"/>
        <v>1561.66</v>
      </c>
      <c r="I300" s="9">
        <f>($K$2+0.02)*Tabla1[[#This Row],[PRECIO $]]*1.18</f>
        <v>1351.0056</v>
      </c>
      <c r="J300" s="7">
        <f>+Tabla1[[#This Row],[PRECIO EN SOLES]]-Tabla1[[#This Row],[PC]]</f>
        <v>210.65440000000012</v>
      </c>
      <c r="K300" s="15"/>
      <c r="L300" s="15" t="str">
        <f t="shared" si="10"/>
        <v>NORMAL</v>
      </c>
    </row>
    <row r="301" spans="1:12" x14ac:dyDescent="0.25">
      <c r="A301" s="3" t="s">
        <v>1028</v>
      </c>
      <c r="B301" s="3" t="s">
        <v>1029</v>
      </c>
      <c r="C301" s="1">
        <v>20</v>
      </c>
      <c r="D301" s="1">
        <v>374</v>
      </c>
      <c r="E301" s="1" t="s">
        <v>175</v>
      </c>
      <c r="F301" s="1" t="s">
        <v>3211</v>
      </c>
      <c r="G301" s="3" t="s">
        <v>1030</v>
      </c>
      <c r="H301" s="11">
        <f t="shared" si="11"/>
        <v>1774.16</v>
      </c>
      <c r="I301" s="9">
        <f>($K$2+0.02)*Tabla1[[#This Row],[PRECIO $]]*1.18</f>
        <v>1535.7936</v>
      </c>
      <c r="J301" s="7">
        <f>+Tabla1[[#This Row],[PRECIO EN SOLES]]-Tabla1[[#This Row],[PC]]</f>
        <v>238.36640000000011</v>
      </c>
      <c r="K301" s="15"/>
      <c r="L301" s="15" t="str">
        <f t="shared" si="10"/>
        <v>NORMAL</v>
      </c>
    </row>
    <row r="302" spans="1:12" x14ac:dyDescent="0.25">
      <c r="A302" s="3" t="s">
        <v>179</v>
      </c>
      <c r="B302" s="3" t="s">
        <v>180</v>
      </c>
      <c r="C302" s="1">
        <v>20</v>
      </c>
      <c r="D302" s="1">
        <v>352</v>
      </c>
      <c r="E302" s="1" t="s">
        <v>175</v>
      </c>
      <c r="F302" s="1" t="s">
        <v>3212</v>
      </c>
      <c r="G302" s="3" t="s">
        <v>181</v>
      </c>
      <c r="H302" s="11">
        <f t="shared" si="11"/>
        <v>1670.27</v>
      </c>
      <c r="I302" s="9">
        <f>($K$2+0.02)*Tabla1[[#This Row],[PRECIO $]]*1.18</f>
        <v>1445.4528</v>
      </c>
      <c r="J302" s="7">
        <f>+Tabla1[[#This Row],[PRECIO EN SOLES]]-Tabla1[[#This Row],[PC]]</f>
        <v>224.81719999999996</v>
      </c>
      <c r="K302" s="15"/>
      <c r="L302" s="15" t="str">
        <f t="shared" si="10"/>
        <v>NORMAL</v>
      </c>
    </row>
    <row r="303" spans="1:12" x14ac:dyDescent="0.25">
      <c r="A303" s="3" t="s">
        <v>4486</v>
      </c>
      <c r="B303" s="3" t="s">
        <v>4487</v>
      </c>
      <c r="C303" s="1">
        <v>4</v>
      </c>
      <c r="D303" s="1">
        <v>420</v>
      </c>
      <c r="E303" s="1" t="s">
        <v>175</v>
      </c>
      <c r="F303" s="1" t="s">
        <v>4488</v>
      </c>
      <c r="G303" s="3" t="s">
        <v>4489</v>
      </c>
      <c r="H303" s="11">
        <f t="shared" si="11"/>
        <v>1991.39</v>
      </c>
      <c r="I303" s="9">
        <f>($K$2+0.02)*Tabla1[[#This Row],[PRECIO $]]*1.18</f>
        <v>1724.6879999999999</v>
      </c>
      <c r="J303" s="7">
        <f>+Tabla1[[#This Row],[PRECIO EN SOLES]]-Tabla1[[#This Row],[PC]]</f>
        <v>266.70200000000023</v>
      </c>
      <c r="K303" s="15"/>
      <c r="L303" s="15" t="str">
        <f t="shared" si="10"/>
        <v>NORMAL</v>
      </c>
    </row>
    <row r="304" spans="1:12" x14ac:dyDescent="0.25">
      <c r="A304" s="3" t="s">
        <v>4913</v>
      </c>
      <c r="B304" s="3" t="s">
        <v>4914</v>
      </c>
      <c r="C304" s="1">
        <v>15</v>
      </c>
      <c r="D304" s="1">
        <v>391</v>
      </c>
      <c r="E304" s="1" t="s">
        <v>175</v>
      </c>
      <c r="F304" s="1" t="s">
        <v>4915</v>
      </c>
      <c r="G304" s="3" t="s">
        <v>4916</v>
      </c>
      <c r="H304" s="11">
        <f t="shared" si="11"/>
        <v>1854.44</v>
      </c>
      <c r="I304" s="9">
        <f>($K$2+0.02)*Tabla1[[#This Row],[PRECIO $]]*1.18</f>
        <v>1605.6024</v>
      </c>
      <c r="J304" s="7">
        <f>+Tabla1[[#This Row],[PRECIO EN SOLES]]-Tabla1[[#This Row],[PC]]</f>
        <v>248.83760000000007</v>
      </c>
      <c r="K304" s="15"/>
      <c r="L304" s="15" t="str">
        <f t="shared" si="10"/>
        <v>NORMAL</v>
      </c>
    </row>
    <row r="305" spans="1:12" x14ac:dyDescent="0.25">
      <c r="A305" s="3" t="s">
        <v>4490</v>
      </c>
      <c r="B305" s="3" t="s">
        <v>4491</v>
      </c>
      <c r="C305" s="1">
        <v>20</v>
      </c>
      <c r="D305" s="1">
        <v>611</v>
      </c>
      <c r="E305" s="1" t="s">
        <v>175</v>
      </c>
      <c r="F305" s="1" t="s">
        <v>4492</v>
      </c>
      <c r="G305" s="3" t="s">
        <v>4493</v>
      </c>
      <c r="H305" s="11">
        <f t="shared" si="11"/>
        <v>2893.36</v>
      </c>
      <c r="I305" s="9">
        <f>($K$2+0.02)*Tabla1[[#This Row],[PRECIO $]]*1.18</f>
        <v>2509.0104000000001</v>
      </c>
      <c r="J305" s="7">
        <f>+Tabla1[[#This Row],[PRECIO EN SOLES]]-Tabla1[[#This Row],[PC]]</f>
        <v>384.34960000000001</v>
      </c>
      <c r="K305" s="15"/>
      <c r="L305" s="15" t="str">
        <f t="shared" si="10"/>
        <v>NORMAL</v>
      </c>
    </row>
    <row r="306" spans="1:12" x14ac:dyDescent="0.25">
      <c r="A306" s="3" t="s">
        <v>1031</v>
      </c>
      <c r="B306" s="3" t="s">
        <v>1032</v>
      </c>
      <c r="C306" s="1">
        <v>20</v>
      </c>
      <c r="D306" s="1">
        <v>568.86</v>
      </c>
      <c r="E306" s="1" t="s">
        <v>175</v>
      </c>
      <c r="F306" s="1" t="s">
        <v>3213</v>
      </c>
      <c r="G306" s="3" t="s">
        <v>1033</v>
      </c>
      <c r="H306" s="11">
        <f t="shared" si="11"/>
        <v>2694.36</v>
      </c>
      <c r="I306" s="9">
        <f>($K$2+0.02)*Tabla1[[#This Row],[PRECIO $]]*1.18</f>
        <v>2335.9667039999999</v>
      </c>
      <c r="J306" s="7">
        <f>+Tabla1[[#This Row],[PRECIO EN SOLES]]-Tabla1[[#This Row],[PC]]</f>
        <v>358.39329600000019</v>
      </c>
      <c r="K306" s="15"/>
      <c r="L306" s="15" t="str">
        <f t="shared" si="10"/>
        <v>NORMAL</v>
      </c>
    </row>
    <row r="307" spans="1:12" x14ac:dyDescent="0.25">
      <c r="A307" s="3" t="s">
        <v>1034</v>
      </c>
      <c r="B307" s="3" t="s">
        <v>1035</v>
      </c>
      <c r="C307" s="1">
        <v>20</v>
      </c>
      <c r="D307" s="1">
        <v>508</v>
      </c>
      <c r="E307" s="1" t="s">
        <v>175</v>
      </c>
      <c r="F307" s="1" t="s">
        <v>3214</v>
      </c>
      <c r="G307" s="3" t="s">
        <v>1036</v>
      </c>
      <c r="H307" s="11">
        <f t="shared" si="11"/>
        <v>2406.96</v>
      </c>
      <c r="I307" s="9">
        <f>($K$2+0.02)*Tabla1[[#This Row],[PRECIO $]]*1.18</f>
        <v>2086.0511999999999</v>
      </c>
      <c r="J307" s="7">
        <f>+Tabla1[[#This Row],[PRECIO EN SOLES]]-Tabla1[[#This Row],[PC]]</f>
        <v>320.90880000000016</v>
      </c>
      <c r="K307" s="15"/>
      <c r="L307" s="15" t="str">
        <f t="shared" si="10"/>
        <v>NORMAL</v>
      </c>
    </row>
    <row r="308" spans="1:12" x14ac:dyDescent="0.25">
      <c r="A308" s="3" t="s">
        <v>182</v>
      </c>
      <c r="B308" s="3" t="s">
        <v>183</v>
      </c>
      <c r="C308" s="1">
        <v>20</v>
      </c>
      <c r="D308" s="1">
        <v>493</v>
      </c>
      <c r="E308" s="1" t="s">
        <v>175</v>
      </c>
      <c r="F308" s="1" t="s">
        <v>3215</v>
      </c>
      <c r="G308" s="3" t="s">
        <v>184</v>
      </c>
      <c r="H308" s="11">
        <f t="shared" si="11"/>
        <v>2336.12</v>
      </c>
      <c r="I308" s="9">
        <f>($K$2+0.02)*Tabla1[[#This Row],[PRECIO $]]*1.18</f>
        <v>2024.4552000000001</v>
      </c>
      <c r="J308" s="7">
        <f>+Tabla1[[#This Row],[PRECIO EN SOLES]]-Tabla1[[#This Row],[PC]]</f>
        <v>311.66479999999979</v>
      </c>
      <c r="K308" s="15"/>
      <c r="L308" s="15" t="str">
        <f t="shared" si="10"/>
        <v>NORMAL</v>
      </c>
    </row>
    <row r="309" spans="1:12" x14ac:dyDescent="0.25">
      <c r="A309" s="3" t="s">
        <v>4494</v>
      </c>
      <c r="B309" s="3" t="s">
        <v>4495</v>
      </c>
      <c r="C309" s="1">
        <v>4</v>
      </c>
      <c r="D309" s="1">
        <v>710.63</v>
      </c>
      <c r="E309" s="1" t="s">
        <v>175</v>
      </c>
      <c r="F309" s="1" t="s">
        <v>4496</v>
      </c>
      <c r="G309" s="3" t="s">
        <v>4497</v>
      </c>
      <c r="H309" s="11">
        <f t="shared" si="11"/>
        <v>3363.85</v>
      </c>
      <c r="I309" s="9">
        <f>($K$2+0.02)*Tabla1[[#This Row],[PRECIO $]]*1.18</f>
        <v>2918.1310319999998</v>
      </c>
      <c r="J309" s="7">
        <f>+Tabla1[[#This Row],[PRECIO EN SOLES]]-Tabla1[[#This Row],[PC]]</f>
        <v>445.71896800000013</v>
      </c>
      <c r="K309" s="15"/>
      <c r="L309" s="15" t="str">
        <f t="shared" si="10"/>
        <v>NORMAL</v>
      </c>
    </row>
    <row r="310" spans="1:12" x14ac:dyDescent="0.25">
      <c r="A310" s="3" t="s">
        <v>4498</v>
      </c>
      <c r="B310" s="3" t="s">
        <v>4499</v>
      </c>
      <c r="C310" s="1">
        <v>20</v>
      </c>
      <c r="D310" s="1">
        <v>179</v>
      </c>
      <c r="E310" s="1" t="s">
        <v>175</v>
      </c>
      <c r="F310" s="1" t="s">
        <v>4500</v>
      </c>
      <c r="G310" s="3" t="s">
        <v>4501</v>
      </c>
      <c r="H310" s="11">
        <f t="shared" si="11"/>
        <v>853.3</v>
      </c>
      <c r="I310" s="9">
        <f>($K$2+0.02)*Tabla1[[#This Row],[PRECIO $]]*1.18</f>
        <v>735.04559999999992</v>
      </c>
      <c r="J310" s="7">
        <f>+Tabla1[[#This Row],[PRECIO EN SOLES]]-Tabla1[[#This Row],[PC]]</f>
        <v>118.25440000000003</v>
      </c>
      <c r="K310" s="15"/>
      <c r="L310" s="15" t="str">
        <f t="shared" si="10"/>
        <v>NORMAL</v>
      </c>
    </row>
    <row r="311" spans="1:12" x14ac:dyDescent="0.25">
      <c r="A311" s="3" t="s">
        <v>4917</v>
      </c>
      <c r="B311" s="3" t="s">
        <v>4918</v>
      </c>
      <c r="C311" s="1">
        <v>20</v>
      </c>
      <c r="D311" s="1">
        <v>158</v>
      </c>
      <c r="E311" s="1" t="s">
        <v>175</v>
      </c>
      <c r="F311" s="1" t="s">
        <v>4919</v>
      </c>
      <c r="G311" s="3" t="s">
        <v>4920</v>
      </c>
      <c r="H311" s="11">
        <f t="shared" si="11"/>
        <v>754.13</v>
      </c>
      <c r="I311" s="9">
        <f>($K$2+0.02)*Tabla1[[#This Row],[PRECIO $]]*1.18</f>
        <v>648.81119999999999</v>
      </c>
      <c r="J311" s="7">
        <f>+Tabla1[[#This Row],[PRECIO EN SOLES]]-Tabla1[[#This Row],[PC]]</f>
        <v>105.31880000000001</v>
      </c>
      <c r="K311" s="15"/>
      <c r="L311" s="15" t="str">
        <f t="shared" si="10"/>
        <v>NORMAL</v>
      </c>
    </row>
    <row r="312" spans="1:12" x14ac:dyDescent="0.25">
      <c r="A312" s="3" t="s">
        <v>4268</v>
      </c>
      <c r="B312" s="3" t="s">
        <v>4269</v>
      </c>
      <c r="C312" s="1">
        <v>20</v>
      </c>
      <c r="D312" s="1">
        <v>219.89</v>
      </c>
      <c r="E312" s="1" t="s">
        <v>175</v>
      </c>
      <c r="F312" s="1" t="s">
        <v>4270</v>
      </c>
      <c r="G312" s="3" t="s">
        <v>4271</v>
      </c>
      <c r="H312" s="11">
        <f t="shared" si="11"/>
        <v>1046.4000000000001</v>
      </c>
      <c r="I312" s="9">
        <f>($K$2+0.02)*Tabla1[[#This Row],[PRECIO $]]*1.18</f>
        <v>902.95629599999984</v>
      </c>
      <c r="J312" s="7">
        <f>+Tabla1[[#This Row],[PRECIO EN SOLES]]-Tabla1[[#This Row],[PC]]</f>
        <v>143.44370400000025</v>
      </c>
      <c r="K312" s="15"/>
      <c r="L312" s="15" t="str">
        <f t="shared" si="10"/>
        <v>NORMAL</v>
      </c>
    </row>
    <row r="313" spans="1:12" x14ac:dyDescent="0.25">
      <c r="A313" s="3" t="s">
        <v>4272</v>
      </c>
      <c r="B313" s="3" t="s">
        <v>4273</v>
      </c>
      <c r="C313" s="1">
        <v>20</v>
      </c>
      <c r="D313" s="1">
        <v>207.5</v>
      </c>
      <c r="E313" s="1" t="s">
        <v>175</v>
      </c>
      <c r="F313" s="1" t="s">
        <v>4274</v>
      </c>
      <c r="G313" s="3" t="s">
        <v>4275</v>
      </c>
      <c r="H313" s="11">
        <f t="shared" si="11"/>
        <v>987.89</v>
      </c>
      <c r="I313" s="9">
        <f>($K$2+0.02)*Tabla1[[#This Row],[PRECIO $]]*1.18</f>
        <v>852.07799999999997</v>
      </c>
      <c r="J313" s="7">
        <f>+Tabla1[[#This Row],[PRECIO EN SOLES]]-Tabla1[[#This Row],[PC]]</f>
        <v>135.81200000000001</v>
      </c>
      <c r="K313" s="15"/>
      <c r="L313" s="15" t="str">
        <f t="shared" si="10"/>
        <v>NORMAL</v>
      </c>
    </row>
    <row r="314" spans="1:12" x14ac:dyDescent="0.25">
      <c r="A314" s="3" t="s">
        <v>4921</v>
      </c>
      <c r="B314" s="3" t="s">
        <v>4922</v>
      </c>
      <c r="C314" s="1">
        <v>20</v>
      </c>
      <c r="D314" s="1">
        <v>361</v>
      </c>
      <c r="E314" s="1" t="s">
        <v>175</v>
      </c>
      <c r="F314" s="1" t="s">
        <v>4923</v>
      </c>
      <c r="G314" s="3" t="s">
        <v>4924</v>
      </c>
      <c r="H314" s="11">
        <f t="shared" si="11"/>
        <v>1712.77</v>
      </c>
      <c r="I314" s="9">
        <f>($K$2+0.02)*Tabla1[[#This Row],[PRECIO $]]*1.18</f>
        <v>1482.4104</v>
      </c>
      <c r="J314" s="7">
        <f>+Tabla1[[#This Row],[PRECIO EN SOLES]]-Tabla1[[#This Row],[PC]]</f>
        <v>230.3596</v>
      </c>
      <c r="K314" s="15"/>
      <c r="L314" s="15" t="str">
        <f t="shared" si="10"/>
        <v>NORMAL</v>
      </c>
    </row>
    <row r="315" spans="1:12" x14ac:dyDescent="0.25">
      <c r="A315" s="3" t="s">
        <v>4925</v>
      </c>
      <c r="B315" s="3" t="s">
        <v>4926</v>
      </c>
      <c r="C315" s="1">
        <v>20</v>
      </c>
      <c r="D315" s="1">
        <v>345</v>
      </c>
      <c r="E315" s="1" t="s">
        <v>175</v>
      </c>
      <c r="F315" s="1" t="s">
        <v>4927</v>
      </c>
      <c r="G315" s="3" t="s">
        <v>4928</v>
      </c>
      <c r="H315" s="11">
        <f t="shared" si="11"/>
        <v>1637.21</v>
      </c>
      <c r="I315" s="9">
        <f>($K$2+0.02)*Tabla1[[#This Row],[PRECIO $]]*1.18</f>
        <v>1416.7079999999999</v>
      </c>
      <c r="J315" s="7">
        <f>+Tabla1[[#This Row],[PRECIO EN SOLES]]-Tabla1[[#This Row],[PC]]</f>
        <v>220.50200000000018</v>
      </c>
      <c r="K315" s="15"/>
      <c r="L315" s="15" t="str">
        <f t="shared" si="10"/>
        <v>NORMAL</v>
      </c>
    </row>
    <row r="316" spans="1:12" x14ac:dyDescent="0.25">
      <c r="A316" s="3" t="s">
        <v>4276</v>
      </c>
      <c r="B316" s="3" t="s">
        <v>4277</v>
      </c>
      <c r="C316" s="1">
        <v>20</v>
      </c>
      <c r="D316" s="1">
        <v>308.5</v>
      </c>
      <c r="E316" s="1" t="s">
        <v>175</v>
      </c>
      <c r="F316" s="1" t="s">
        <v>4278</v>
      </c>
      <c r="G316" s="3" t="s">
        <v>4279</v>
      </c>
      <c r="H316" s="11">
        <f t="shared" si="11"/>
        <v>1464.85</v>
      </c>
      <c r="I316" s="9">
        <f>($K$2+0.02)*Tabla1[[#This Row],[PRECIO $]]*1.18</f>
        <v>1266.8243999999997</v>
      </c>
      <c r="J316" s="7">
        <f>+Tabla1[[#This Row],[PRECIO EN SOLES]]-Tabla1[[#This Row],[PC]]</f>
        <v>198.02560000000017</v>
      </c>
      <c r="K316" s="15"/>
      <c r="L316" s="15" t="str">
        <f t="shared" si="10"/>
        <v>NORMAL</v>
      </c>
    </row>
    <row r="317" spans="1:12" x14ac:dyDescent="0.25">
      <c r="A317" s="3" t="s">
        <v>5861</v>
      </c>
      <c r="B317" s="3" t="s">
        <v>5862</v>
      </c>
      <c r="C317" s="1">
        <v>20</v>
      </c>
      <c r="D317" s="1">
        <v>331</v>
      </c>
      <c r="E317" s="1" t="s">
        <v>5863</v>
      </c>
      <c r="F317" s="1" t="s">
        <v>5864</v>
      </c>
      <c r="G317" s="3" t="s">
        <v>5865</v>
      </c>
      <c r="H317" s="11">
        <f t="shared" si="11"/>
        <v>1571.1</v>
      </c>
      <c r="I317" s="9">
        <f>($K$2+0.02)*Tabla1[[#This Row],[PRECIO $]]*1.18</f>
        <v>1359.2183999999997</v>
      </c>
      <c r="J317" s="7">
        <f>+Tabla1[[#This Row],[PRECIO EN SOLES]]-Tabla1[[#This Row],[PC]]</f>
        <v>211.88160000000016</v>
      </c>
      <c r="K317" s="15"/>
      <c r="L317" s="15" t="str">
        <f t="shared" si="10"/>
        <v>NORMAL</v>
      </c>
    </row>
    <row r="318" spans="1:12" x14ac:dyDescent="0.25">
      <c r="A318" s="3" t="s">
        <v>1037</v>
      </c>
      <c r="B318" s="3" t="s">
        <v>1038</v>
      </c>
      <c r="C318" s="1">
        <v>20</v>
      </c>
      <c r="D318" s="1">
        <v>591.80999999999995</v>
      </c>
      <c r="E318" s="1" t="s">
        <v>175</v>
      </c>
      <c r="F318" s="1" t="s">
        <v>3216</v>
      </c>
      <c r="G318" s="3" t="s">
        <v>1039</v>
      </c>
      <c r="H318" s="11">
        <f t="shared" si="11"/>
        <v>2802.74</v>
      </c>
      <c r="I318" s="9">
        <f>($K$2+0.02)*Tabla1[[#This Row],[PRECIO $]]*1.18</f>
        <v>2430.2085839999995</v>
      </c>
      <c r="J318" s="7">
        <f>+Tabla1[[#This Row],[PRECIO EN SOLES]]-Tabla1[[#This Row],[PC]]</f>
        <v>372.53141600000026</v>
      </c>
      <c r="K318" s="15"/>
      <c r="L318" s="15" t="str">
        <f t="shared" si="10"/>
        <v>NORMAL</v>
      </c>
    </row>
    <row r="319" spans="1:12" x14ac:dyDescent="0.25">
      <c r="A319" s="3" t="s">
        <v>1040</v>
      </c>
      <c r="B319" s="3" t="s">
        <v>1041</v>
      </c>
      <c r="C319" s="1">
        <v>20</v>
      </c>
      <c r="D319" s="1">
        <v>602.45000000000005</v>
      </c>
      <c r="E319" s="1" t="s">
        <v>175</v>
      </c>
      <c r="F319" s="1" t="s">
        <v>3217</v>
      </c>
      <c r="G319" s="3" t="s">
        <v>1042</v>
      </c>
      <c r="H319" s="11">
        <f t="shared" si="11"/>
        <v>2852.99</v>
      </c>
      <c r="I319" s="9">
        <f>($K$2+0.02)*Tabla1[[#This Row],[PRECIO $]]*1.18</f>
        <v>2473.9006800000002</v>
      </c>
      <c r="J319" s="7">
        <f>+Tabla1[[#This Row],[PRECIO EN SOLES]]-Tabla1[[#This Row],[PC]]</f>
        <v>379.08931999999959</v>
      </c>
      <c r="K319" s="15"/>
      <c r="L319" s="15" t="str">
        <f t="shared" si="10"/>
        <v>NORMAL</v>
      </c>
    </row>
    <row r="320" spans="1:12" x14ac:dyDescent="0.25">
      <c r="A320" s="3" t="s">
        <v>5866</v>
      </c>
      <c r="B320" s="3" t="s">
        <v>5867</v>
      </c>
      <c r="C320" s="1">
        <v>7</v>
      </c>
      <c r="D320" s="1">
        <v>208.5</v>
      </c>
      <c r="E320" s="1" t="s">
        <v>185</v>
      </c>
      <c r="F320" s="1" t="s">
        <v>5868</v>
      </c>
      <c r="G320" s="3" t="s">
        <v>5869</v>
      </c>
      <c r="H320" s="11">
        <f t="shared" si="11"/>
        <v>992.61</v>
      </c>
      <c r="I320" s="9">
        <f>($K$2+0.02)*Tabla1[[#This Row],[PRECIO $]]*1.18</f>
        <v>856.18439999999998</v>
      </c>
      <c r="J320" s="7">
        <f>+Tabla1[[#This Row],[PRECIO EN SOLES]]-Tabla1[[#This Row],[PC]]</f>
        <v>136.42560000000003</v>
      </c>
      <c r="K320" s="15"/>
      <c r="L320" s="15" t="str">
        <f t="shared" si="10"/>
        <v>NORMAL</v>
      </c>
    </row>
    <row r="321" spans="1:12" x14ac:dyDescent="0.25">
      <c r="A321" s="3" t="s">
        <v>5870</v>
      </c>
      <c r="B321" s="3" t="s">
        <v>5871</v>
      </c>
      <c r="C321" s="1">
        <v>0</v>
      </c>
      <c r="D321" s="1">
        <v>309.5</v>
      </c>
      <c r="E321" s="1" t="s">
        <v>185</v>
      </c>
      <c r="F321" s="1" t="s">
        <v>5872</v>
      </c>
      <c r="G321" s="3" t="s">
        <v>5873</v>
      </c>
      <c r="H321" s="11">
        <f t="shared" si="11"/>
        <v>1469.57</v>
      </c>
      <c r="I321" s="9">
        <f>($K$2+0.02)*Tabla1[[#This Row],[PRECIO $]]*1.18</f>
        <v>1270.9307999999999</v>
      </c>
      <c r="J321" s="7">
        <f>+Tabla1[[#This Row],[PRECIO EN SOLES]]-Tabla1[[#This Row],[PC]]</f>
        <v>198.63920000000007</v>
      </c>
      <c r="K321" s="15"/>
      <c r="L321" s="15" t="str">
        <f t="shared" si="10"/>
        <v>NORMAL</v>
      </c>
    </row>
    <row r="322" spans="1:12" x14ac:dyDescent="0.25">
      <c r="A322" s="3" t="s">
        <v>5874</v>
      </c>
      <c r="B322" s="3" t="s">
        <v>5875</v>
      </c>
      <c r="C322" s="1">
        <v>3</v>
      </c>
      <c r="D322" s="1">
        <v>164.5</v>
      </c>
      <c r="E322" s="1" t="s">
        <v>185</v>
      </c>
      <c r="F322" s="1" t="s">
        <v>5876</v>
      </c>
      <c r="G322" s="3" t="s">
        <v>5877</v>
      </c>
      <c r="H322" s="11">
        <f t="shared" si="11"/>
        <v>784.83</v>
      </c>
      <c r="I322" s="9">
        <f>($K$2+0.02)*Tabla1[[#This Row],[PRECIO $]]*1.18</f>
        <v>675.50279999999998</v>
      </c>
      <c r="J322" s="7">
        <f>+Tabla1[[#This Row],[PRECIO EN SOLES]]-Tabla1[[#This Row],[PC]]</f>
        <v>109.32720000000006</v>
      </c>
      <c r="K322" s="15"/>
      <c r="L322" s="15" t="str">
        <f t="shared" si="10"/>
        <v>NORMAL</v>
      </c>
    </row>
    <row r="323" spans="1:12" x14ac:dyDescent="0.25">
      <c r="A323" s="3" t="s">
        <v>4280</v>
      </c>
      <c r="B323" s="3" t="s">
        <v>4281</v>
      </c>
      <c r="C323" s="1">
        <v>9</v>
      </c>
      <c r="D323" s="1">
        <v>299.5</v>
      </c>
      <c r="E323" s="1" t="s">
        <v>186</v>
      </c>
      <c r="F323" s="1" t="s">
        <v>4282</v>
      </c>
      <c r="G323" s="3" t="s">
        <v>4283</v>
      </c>
      <c r="H323" s="11">
        <f t="shared" si="11"/>
        <v>1422.35</v>
      </c>
      <c r="I323" s="9">
        <f>($K$2+0.02)*Tabla1[[#This Row],[PRECIO $]]*1.18</f>
        <v>1229.8668</v>
      </c>
      <c r="J323" s="7">
        <f>+Tabla1[[#This Row],[PRECIO EN SOLES]]-Tabla1[[#This Row],[PC]]</f>
        <v>192.4831999999999</v>
      </c>
      <c r="K323" s="15"/>
      <c r="L323" s="15" t="str">
        <f t="shared" si="10"/>
        <v>NORMAL</v>
      </c>
    </row>
    <row r="324" spans="1:12" x14ac:dyDescent="0.25">
      <c r="A324" s="3" t="s">
        <v>1043</v>
      </c>
      <c r="B324" s="3" t="s">
        <v>1044</v>
      </c>
      <c r="C324" s="1">
        <v>9</v>
      </c>
      <c r="D324" s="1">
        <v>305.3</v>
      </c>
      <c r="E324" s="1" t="s">
        <v>186</v>
      </c>
      <c r="F324" s="1" t="s">
        <v>3218</v>
      </c>
      <c r="G324" s="3" t="s">
        <v>1045</v>
      </c>
      <c r="H324" s="11">
        <f t="shared" si="11"/>
        <v>1449.74</v>
      </c>
      <c r="I324" s="9">
        <f>($K$2+0.02)*Tabla1[[#This Row],[PRECIO $]]*1.18</f>
        <v>1253.6839199999999</v>
      </c>
      <c r="J324" s="7">
        <f>+Tabla1[[#This Row],[PRECIO EN SOLES]]-Tabla1[[#This Row],[PC]]</f>
        <v>196.05608000000007</v>
      </c>
      <c r="K324" s="15"/>
      <c r="L324" s="15" t="str">
        <f t="shared" si="10"/>
        <v>NORMAL</v>
      </c>
    </row>
    <row r="325" spans="1:12" x14ac:dyDescent="0.25">
      <c r="A325" s="3" t="s">
        <v>6279</v>
      </c>
      <c r="B325" s="3" t="s">
        <v>6280</v>
      </c>
      <c r="C325" s="1">
        <v>0</v>
      </c>
      <c r="D325" s="1">
        <v>370.5</v>
      </c>
      <c r="E325" s="1" t="s">
        <v>186</v>
      </c>
      <c r="F325" s="1" t="s">
        <v>6281</v>
      </c>
      <c r="G325" s="3" t="s">
        <v>6282</v>
      </c>
      <c r="H325" s="11">
        <f t="shared" si="11"/>
        <v>1757.63</v>
      </c>
      <c r="I325" s="9">
        <f>($K$2+0.02)*Tabla1[[#This Row],[PRECIO $]]*1.18</f>
        <v>1521.4211999999998</v>
      </c>
      <c r="J325" s="7">
        <f>+Tabla1[[#This Row],[PRECIO EN SOLES]]-Tabla1[[#This Row],[PC]]</f>
        <v>236.20880000000034</v>
      </c>
      <c r="K325" s="15"/>
      <c r="L325" s="15" t="str">
        <f t="shared" si="10"/>
        <v>NORMAL</v>
      </c>
    </row>
    <row r="326" spans="1:12" x14ac:dyDescent="0.25">
      <c r="A326" s="3" t="s">
        <v>6679</v>
      </c>
      <c r="B326" s="3" t="s">
        <v>6680</v>
      </c>
      <c r="C326" s="1">
        <v>20</v>
      </c>
      <c r="D326" s="1">
        <v>278.3</v>
      </c>
      <c r="E326" s="1" t="s">
        <v>187</v>
      </c>
      <c r="F326" s="1" t="s">
        <v>6681</v>
      </c>
      <c r="G326" s="3" t="s">
        <v>6682</v>
      </c>
      <c r="H326" s="11">
        <f t="shared" si="11"/>
        <v>1322.23</v>
      </c>
      <c r="I326" s="9">
        <f>($K$2+0.02)*Tabla1[[#This Row],[PRECIO $]]*1.18</f>
        <v>1142.8111200000001</v>
      </c>
      <c r="J326" s="7">
        <f>+Tabla1[[#This Row],[PRECIO EN SOLES]]-Tabla1[[#This Row],[PC]]</f>
        <v>179.41887999999994</v>
      </c>
      <c r="K326" s="15"/>
      <c r="L326" s="15" t="str">
        <f t="shared" si="10"/>
        <v>NORMAL</v>
      </c>
    </row>
    <row r="327" spans="1:12" x14ac:dyDescent="0.25">
      <c r="A327" s="3" t="s">
        <v>6683</v>
      </c>
      <c r="B327" s="3" t="s">
        <v>6684</v>
      </c>
      <c r="C327" s="1">
        <v>0</v>
      </c>
      <c r="D327" s="1">
        <v>316.5</v>
      </c>
      <c r="E327" s="1" t="s">
        <v>187</v>
      </c>
      <c r="F327" s="1" t="s">
        <v>6685</v>
      </c>
      <c r="G327" s="3" t="s">
        <v>6686</v>
      </c>
      <c r="H327" s="11">
        <f t="shared" si="11"/>
        <v>1502.63</v>
      </c>
      <c r="I327" s="9">
        <f>($K$2+0.02)*Tabla1[[#This Row],[PRECIO $]]*1.18</f>
        <v>1299.6756</v>
      </c>
      <c r="J327" s="7">
        <f>+Tabla1[[#This Row],[PRECIO EN SOLES]]-Tabla1[[#This Row],[PC]]</f>
        <v>202.95440000000008</v>
      </c>
      <c r="K327" s="15"/>
      <c r="L327" s="15" t="str">
        <f t="shared" si="10"/>
        <v>NORMAL</v>
      </c>
    </row>
    <row r="328" spans="1:12" x14ac:dyDescent="0.25">
      <c r="A328" s="3" t="s">
        <v>5878</v>
      </c>
      <c r="B328" s="3" t="s">
        <v>5879</v>
      </c>
      <c r="C328" s="1">
        <v>0</v>
      </c>
      <c r="D328" s="1">
        <v>78.2</v>
      </c>
      <c r="E328" s="1" t="s">
        <v>187</v>
      </c>
      <c r="F328" s="1" t="s">
        <v>5880</v>
      </c>
      <c r="G328" s="3" t="s">
        <v>5881</v>
      </c>
      <c r="H328" s="11">
        <f t="shared" si="11"/>
        <v>377.29</v>
      </c>
      <c r="I328" s="9">
        <f>($K$2+0.02)*Tabla1[[#This Row],[PRECIO $]]*1.18</f>
        <v>321.12047999999999</v>
      </c>
      <c r="J328" s="7">
        <f>+Tabla1[[#This Row],[PRECIO EN SOLES]]-Tabla1[[#This Row],[PC]]</f>
        <v>56.169520000000034</v>
      </c>
      <c r="K328" s="15"/>
      <c r="L328" s="15" t="str">
        <f t="shared" si="10"/>
        <v>NORMAL</v>
      </c>
    </row>
    <row r="329" spans="1:12" x14ac:dyDescent="0.25">
      <c r="A329" s="3" t="s">
        <v>5882</v>
      </c>
      <c r="B329" s="3" t="s">
        <v>5883</v>
      </c>
      <c r="C329" s="1">
        <v>20</v>
      </c>
      <c r="D329" s="1">
        <v>294.3</v>
      </c>
      <c r="E329" s="1" t="s">
        <v>187</v>
      </c>
      <c r="F329" s="1" t="s">
        <v>5884</v>
      </c>
      <c r="G329" s="3" t="s">
        <v>5885</v>
      </c>
      <c r="H329" s="11">
        <f t="shared" si="11"/>
        <v>1397.79</v>
      </c>
      <c r="I329" s="9">
        <f>($K$2+0.02)*Tabla1[[#This Row],[PRECIO $]]*1.18</f>
        <v>1208.51352</v>
      </c>
      <c r="J329" s="7">
        <f>+Tabla1[[#This Row],[PRECIO EN SOLES]]-Tabla1[[#This Row],[PC]]</f>
        <v>189.27647999999999</v>
      </c>
      <c r="K329" s="15"/>
      <c r="L329" s="15" t="str">
        <f t="shared" si="10"/>
        <v>NORMAL</v>
      </c>
    </row>
    <row r="330" spans="1:12" x14ac:dyDescent="0.25">
      <c r="A330" s="3" t="s">
        <v>6456</v>
      </c>
      <c r="B330" s="3" t="s">
        <v>6457</v>
      </c>
      <c r="C330" s="1">
        <v>20</v>
      </c>
      <c r="D330" s="1">
        <v>326.5</v>
      </c>
      <c r="E330" s="1" t="s">
        <v>187</v>
      </c>
      <c r="F330" s="1" t="s">
        <v>6458</v>
      </c>
      <c r="G330" s="3" t="s">
        <v>6459</v>
      </c>
      <c r="H330" s="11">
        <f t="shared" si="11"/>
        <v>1549.85</v>
      </c>
      <c r="I330" s="9">
        <f>($K$2+0.02)*Tabla1[[#This Row],[PRECIO $]]*1.18</f>
        <v>1340.7395999999999</v>
      </c>
      <c r="J330" s="7">
        <f>+Tabla1[[#This Row],[PRECIO EN SOLES]]-Tabla1[[#This Row],[PC]]</f>
        <v>209.11040000000003</v>
      </c>
      <c r="K330" s="15"/>
      <c r="L330" s="15" t="str">
        <f t="shared" si="10"/>
        <v>NORMAL</v>
      </c>
    </row>
    <row r="331" spans="1:12" x14ac:dyDescent="0.25">
      <c r="A331" s="3" t="s">
        <v>5886</v>
      </c>
      <c r="B331" s="3" t="s">
        <v>5887</v>
      </c>
      <c r="C331" s="1">
        <v>20</v>
      </c>
      <c r="D331" s="1">
        <v>348.5</v>
      </c>
      <c r="E331" s="1" t="s">
        <v>187</v>
      </c>
      <c r="F331" s="1" t="s">
        <v>5888</v>
      </c>
      <c r="G331" s="3" t="s">
        <v>5889</v>
      </c>
      <c r="H331" s="11">
        <f t="shared" si="11"/>
        <v>1653.74</v>
      </c>
      <c r="I331" s="9">
        <f>($K$2+0.02)*Tabla1[[#This Row],[PRECIO $]]*1.18</f>
        <v>1431.0803999999998</v>
      </c>
      <c r="J331" s="7">
        <f>+Tabla1[[#This Row],[PRECIO EN SOLES]]-Tabla1[[#This Row],[PC]]</f>
        <v>222.65960000000018</v>
      </c>
      <c r="K331" s="15"/>
      <c r="L331" s="15" t="str">
        <f t="shared" si="10"/>
        <v>NORMAL</v>
      </c>
    </row>
    <row r="332" spans="1:12" x14ac:dyDescent="0.25">
      <c r="A332" s="3" t="s">
        <v>4400</v>
      </c>
      <c r="B332" s="3" t="s">
        <v>4401</v>
      </c>
      <c r="C332" s="1">
        <v>20</v>
      </c>
      <c r="D332" s="1">
        <v>460.5</v>
      </c>
      <c r="E332" s="1" t="s">
        <v>187</v>
      </c>
      <c r="F332" s="1" t="s">
        <v>4402</v>
      </c>
      <c r="G332" s="3" t="s">
        <v>4403</v>
      </c>
      <c r="H332" s="11">
        <f t="shared" si="11"/>
        <v>2182.65</v>
      </c>
      <c r="I332" s="9">
        <f>($K$2+0.02)*Tabla1[[#This Row],[PRECIO $]]*1.18</f>
        <v>1890.9971999999998</v>
      </c>
      <c r="J332" s="7">
        <f>+Tabla1[[#This Row],[PRECIO EN SOLES]]-Tabla1[[#This Row],[PC]]</f>
        <v>291.6528000000003</v>
      </c>
      <c r="K332" s="15"/>
      <c r="L332" s="15" t="str">
        <f t="shared" si="10"/>
        <v>NORMAL</v>
      </c>
    </row>
    <row r="333" spans="1:12" x14ac:dyDescent="0.25">
      <c r="A333" s="3" t="s">
        <v>6460</v>
      </c>
      <c r="B333" s="3" t="s">
        <v>6461</v>
      </c>
      <c r="C333" s="1">
        <v>0</v>
      </c>
      <c r="D333" s="1">
        <v>477</v>
      </c>
      <c r="E333" s="1" t="s">
        <v>187</v>
      </c>
      <c r="F333" s="1" t="s">
        <v>6462</v>
      </c>
      <c r="G333" s="3" t="s">
        <v>6463</v>
      </c>
      <c r="H333" s="11">
        <f t="shared" si="11"/>
        <v>2260.5700000000002</v>
      </c>
      <c r="I333" s="9">
        <f>($K$2+0.02)*Tabla1[[#This Row],[PRECIO $]]*1.18</f>
        <v>1958.7528</v>
      </c>
      <c r="J333" s="7">
        <f>+Tabla1[[#This Row],[PRECIO EN SOLES]]-Tabla1[[#This Row],[PC]]</f>
        <v>301.81720000000018</v>
      </c>
      <c r="K333" s="15"/>
      <c r="L333" s="15" t="str">
        <f t="shared" si="10"/>
        <v>NORMAL</v>
      </c>
    </row>
    <row r="334" spans="1:12" x14ac:dyDescent="0.25">
      <c r="A334" s="3" t="s">
        <v>5890</v>
      </c>
      <c r="B334" s="3" t="s">
        <v>5891</v>
      </c>
      <c r="C334" s="1">
        <v>20</v>
      </c>
      <c r="D334" s="1">
        <v>76.7</v>
      </c>
      <c r="E334" s="1" t="s">
        <v>187</v>
      </c>
      <c r="F334" s="1" t="s">
        <v>5892</v>
      </c>
      <c r="G334" s="3" t="s">
        <v>5893</v>
      </c>
      <c r="H334" s="11">
        <f t="shared" si="11"/>
        <v>370.21</v>
      </c>
      <c r="I334" s="9">
        <f>($K$2+0.02)*Tabla1[[#This Row],[PRECIO $]]*1.18</f>
        <v>314.96087999999997</v>
      </c>
      <c r="J334" s="7">
        <f>+Tabla1[[#This Row],[PRECIO EN SOLES]]-Tabla1[[#This Row],[PC]]</f>
        <v>55.249120000000005</v>
      </c>
      <c r="K334" s="15"/>
      <c r="L334" s="15" t="str">
        <f t="shared" si="10"/>
        <v>NORMAL</v>
      </c>
    </row>
    <row r="335" spans="1:12" x14ac:dyDescent="0.25">
      <c r="A335" s="3" t="s">
        <v>5643</v>
      </c>
      <c r="B335" s="3" t="s">
        <v>5644</v>
      </c>
      <c r="C335" s="1">
        <v>0</v>
      </c>
      <c r="D335" s="1">
        <v>89.3</v>
      </c>
      <c r="E335" s="1" t="s">
        <v>187</v>
      </c>
      <c r="F335" s="1" t="s">
        <v>5645</v>
      </c>
      <c r="G335" s="3" t="s">
        <v>5646</v>
      </c>
      <c r="H335" s="11">
        <f t="shared" si="11"/>
        <v>429.71</v>
      </c>
      <c r="I335" s="9">
        <f>($K$2+0.02)*Tabla1[[#This Row],[PRECIO $]]*1.18</f>
        <v>366.70152000000002</v>
      </c>
      <c r="J335" s="7">
        <f>+Tabla1[[#This Row],[PRECIO EN SOLES]]-Tabla1[[#This Row],[PC]]</f>
        <v>63.008479999999963</v>
      </c>
      <c r="K335" s="15"/>
      <c r="L335" s="15" t="str">
        <f t="shared" si="10"/>
        <v>NORMAL</v>
      </c>
    </row>
    <row r="336" spans="1:12" x14ac:dyDescent="0.25">
      <c r="A336" s="3" t="s">
        <v>1046</v>
      </c>
      <c r="B336" s="3" t="s">
        <v>1047</v>
      </c>
      <c r="C336" s="1">
        <v>5</v>
      </c>
      <c r="D336" s="1">
        <v>119.3</v>
      </c>
      <c r="E336" s="1" t="s">
        <v>187</v>
      </c>
      <c r="F336" s="1" t="s">
        <v>3219</v>
      </c>
      <c r="G336" s="3" t="s">
        <v>2775</v>
      </c>
      <c r="H336" s="11">
        <f t="shared" si="11"/>
        <v>571.38</v>
      </c>
      <c r="I336" s="9">
        <f>($K$2+0.02)*Tabla1[[#This Row],[PRECIO $]]*1.18</f>
        <v>489.89351999999997</v>
      </c>
      <c r="J336" s="7">
        <f>+Tabla1[[#This Row],[PRECIO EN SOLES]]-Tabla1[[#This Row],[PC]]</f>
        <v>81.486480000000029</v>
      </c>
      <c r="K336" s="15"/>
      <c r="L336" s="15" t="str">
        <f t="shared" ref="L336:L399" si="12"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7" spans="1:12" x14ac:dyDescent="0.25">
      <c r="A337" s="3" t="s">
        <v>6464</v>
      </c>
      <c r="B337" s="3" t="s">
        <v>6465</v>
      </c>
      <c r="C337" s="1">
        <v>17</v>
      </c>
      <c r="D337" s="1">
        <v>173.5</v>
      </c>
      <c r="E337" s="1" t="s">
        <v>187</v>
      </c>
      <c r="F337" s="1" t="s">
        <v>6466</v>
      </c>
      <c r="G337" s="3" t="s">
        <v>6467</v>
      </c>
      <c r="H337" s="11">
        <f t="shared" si="11"/>
        <v>827.33</v>
      </c>
      <c r="I337" s="9">
        <f>($K$2+0.02)*Tabla1[[#This Row],[PRECIO $]]*1.18</f>
        <v>712.46039999999994</v>
      </c>
      <c r="J337" s="7">
        <f>+Tabla1[[#This Row],[PRECIO EN SOLES]]-Tabla1[[#This Row],[PC]]</f>
        <v>114.8696000000001</v>
      </c>
      <c r="K337" s="15"/>
      <c r="L337" s="15" t="str">
        <f t="shared" si="12"/>
        <v>NORMAL</v>
      </c>
    </row>
    <row r="338" spans="1:12" x14ac:dyDescent="0.25">
      <c r="A338" s="3" t="s">
        <v>188</v>
      </c>
      <c r="B338" s="3" t="s">
        <v>189</v>
      </c>
      <c r="C338" s="1">
        <v>20</v>
      </c>
      <c r="D338" s="1">
        <v>175.3</v>
      </c>
      <c r="E338" s="1" t="s">
        <v>187</v>
      </c>
      <c r="F338" s="1" t="s">
        <v>3220</v>
      </c>
      <c r="G338" s="3" t="s">
        <v>190</v>
      </c>
      <c r="H338" s="11">
        <f t="shared" ref="H338:H401" si="13">ROUND(
IF(L336="GANCHO",
   IF(I338&lt;=50,I338*1.1+4,IF(I338&lt;=120,I338*1.1+7,IF(I338&lt;=250,I338*1.1+11,I338*1.1+19))),
IF(L336="NORMAL",
   IF(I338&lt;=30,I338*1.15+2,IF(I338&lt;=80,I338*1.15+4,IF(I338&lt;=150,I338*1.15+6,I338*1.15+8))),
IF(L336="COMPLEMENTO",
   IF(I338&lt;=25,I338*1.25+1.5,IF(I338&lt;=60,I338*1.25+3,IF(I338&lt;=120,I338*1.25+4,I338*1.25+5))),
""))),2)</f>
        <v>835.83</v>
      </c>
      <c r="I338" s="9">
        <f>($K$2+0.02)*Tabla1[[#This Row],[PRECIO $]]*1.18</f>
        <v>719.85191999999995</v>
      </c>
      <c r="J338" s="7">
        <f>+Tabla1[[#This Row],[PRECIO EN SOLES]]-Tabla1[[#This Row],[PC]]</f>
        <v>115.97808000000009</v>
      </c>
      <c r="K338" s="15"/>
      <c r="L338" s="15" t="str">
        <f t="shared" si="12"/>
        <v>NORMAL</v>
      </c>
    </row>
    <row r="339" spans="1:12" x14ac:dyDescent="0.25">
      <c r="A339" s="3" t="s">
        <v>6687</v>
      </c>
      <c r="B339" s="3" t="s">
        <v>6688</v>
      </c>
      <c r="C339" s="1">
        <v>0</v>
      </c>
      <c r="D339" s="1">
        <v>244.5</v>
      </c>
      <c r="E339" s="1" t="s">
        <v>187</v>
      </c>
      <c r="F339" s="1" t="s">
        <v>6689</v>
      </c>
      <c r="G339" s="3" t="s">
        <v>6690</v>
      </c>
      <c r="H339" s="11">
        <f t="shared" si="13"/>
        <v>1162.6199999999999</v>
      </c>
      <c r="I339" s="9">
        <f>($K$2+0.02)*Tabla1[[#This Row],[PRECIO $]]*1.18</f>
        <v>1004.0147999999999</v>
      </c>
      <c r="J339" s="7">
        <f>+Tabla1[[#This Row],[PRECIO EN SOLES]]-Tabla1[[#This Row],[PC]]</f>
        <v>158.60519999999997</v>
      </c>
      <c r="K339" s="15"/>
      <c r="L339" s="15" t="str">
        <f t="shared" si="12"/>
        <v>NORMAL</v>
      </c>
    </row>
    <row r="340" spans="1:12" x14ac:dyDescent="0.25">
      <c r="A340" s="3" t="s">
        <v>6691</v>
      </c>
      <c r="B340" s="3" t="s">
        <v>6692</v>
      </c>
      <c r="C340" s="1">
        <v>20</v>
      </c>
      <c r="D340" s="1">
        <v>232.5</v>
      </c>
      <c r="E340" s="1" t="s">
        <v>187</v>
      </c>
      <c r="F340" s="1" t="s">
        <v>6693</v>
      </c>
      <c r="G340" s="3" t="s">
        <v>6694</v>
      </c>
      <c r="H340" s="11">
        <f t="shared" si="13"/>
        <v>1105.95</v>
      </c>
      <c r="I340" s="9">
        <f>($K$2+0.02)*Tabla1[[#This Row],[PRECIO $]]*1.18</f>
        <v>954.73799999999994</v>
      </c>
      <c r="J340" s="7">
        <f>+Tabla1[[#This Row],[PRECIO EN SOLES]]-Tabla1[[#This Row],[PC]]</f>
        <v>151.2120000000001</v>
      </c>
      <c r="K340" s="15"/>
      <c r="L340" s="15" t="str">
        <f t="shared" si="12"/>
        <v>NORMAL</v>
      </c>
    </row>
    <row r="341" spans="1:12" x14ac:dyDescent="0.25">
      <c r="A341" s="3" t="s">
        <v>1048</v>
      </c>
      <c r="B341" s="3" t="s">
        <v>1049</v>
      </c>
      <c r="C341" s="1">
        <v>20</v>
      </c>
      <c r="D341" s="1">
        <v>225.5</v>
      </c>
      <c r="E341" s="1" t="s">
        <v>186</v>
      </c>
      <c r="F341" s="1" t="s">
        <v>3221</v>
      </c>
      <c r="G341" s="3" t="s">
        <v>1050</v>
      </c>
      <c r="H341" s="11">
        <f t="shared" si="13"/>
        <v>1072.8900000000001</v>
      </c>
      <c r="I341" s="9">
        <f>($K$2+0.02)*Tabla1[[#This Row],[PRECIO $]]*1.18</f>
        <v>925.9932</v>
      </c>
      <c r="J341" s="7">
        <f>+Tabla1[[#This Row],[PRECIO EN SOLES]]-Tabla1[[#This Row],[PC]]</f>
        <v>146.8968000000001</v>
      </c>
      <c r="K341" s="15"/>
      <c r="L341" s="15" t="str">
        <f t="shared" si="12"/>
        <v>NORMAL</v>
      </c>
    </row>
    <row r="342" spans="1:12" x14ac:dyDescent="0.25">
      <c r="A342" s="3" t="s">
        <v>5894</v>
      </c>
      <c r="B342" s="3" t="s">
        <v>5895</v>
      </c>
      <c r="C342" s="1">
        <v>20</v>
      </c>
      <c r="D342" s="1">
        <v>268.39999999999998</v>
      </c>
      <c r="E342" s="1" t="s">
        <v>186</v>
      </c>
      <c r="F342" s="1" t="s">
        <v>5896</v>
      </c>
      <c r="G342" s="3" t="s">
        <v>5897</v>
      </c>
      <c r="H342" s="11">
        <f t="shared" si="13"/>
        <v>1275.48</v>
      </c>
      <c r="I342" s="9">
        <f>($K$2+0.02)*Tabla1[[#This Row],[PRECIO $]]*1.18</f>
        <v>1102.1577599999998</v>
      </c>
      <c r="J342" s="7">
        <f>+Tabla1[[#This Row],[PRECIO EN SOLES]]-Tabla1[[#This Row],[PC]]</f>
        <v>173.32224000000019</v>
      </c>
      <c r="K342" s="15"/>
      <c r="L342" s="15" t="str">
        <f t="shared" si="12"/>
        <v>NORMAL</v>
      </c>
    </row>
    <row r="343" spans="1:12" x14ac:dyDescent="0.25">
      <c r="A343" s="3" t="s">
        <v>1051</v>
      </c>
      <c r="B343" s="3" t="s">
        <v>1052</v>
      </c>
      <c r="C343" s="1">
        <v>20</v>
      </c>
      <c r="D343" s="1">
        <v>254.3</v>
      </c>
      <c r="E343" s="1" t="s">
        <v>186</v>
      </c>
      <c r="F343" s="1" t="s">
        <v>3222</v>
      </c>
      <c r="G343" s="3" t="s">
        <v>1053</v>
      </c>
      <c r="H343" s="11">
        <f t="shared" si="13"/>
        <v>1208.9000000000001</v>
      </c>
      <c r="I343" s="9">
        <f>($K$2+0.02)*Tabla1[[#This Row],[PRECIO $]]*1.18</f>
        <v>1044.2575200000001</v>
      </c>
      <c r="J343" s="7">
        <f>+Tabla1[[#This Row],[PRECIO EN SOLES]]-Tabla1[[#This Row],[PC]]</f>
        <v>164.64247999999998</v>
      </c>
      <c r="K343" s="15"/>
      <c r="L343" s="15" t="str">
        <f t="shared" si="12"/>
        <v>NORMAL</v>
      </c>
    </row>
    <row r="344" spans="1:12" x14ac:dyDescent="0.25">
      <c r="A344" s="3" t="s">
        <v>1054</v>
      </c>
      <c r="B344" s="3" t="s">
        <v>1055</v>
      </c>
      <c r="C344" s="1">
        <v>7</v>
      </c>
      <c r="D344" s="1">
        <v>283.3</v>
      </c>
      <c r="E344" s="1" t="s">
        <v>186</v>
      </c>
      <c r="F344" s="1" t="s">
        <v>3223</v>
      </c>
      <c r="G344" s="3" t="s">
        <v>1056</v>
      </c>
      <c r="H344" s="11">
        <f t="shared" si="13"/>
        <v>1345.84</v>
      </c>
      <c r="I344" s="9">
        <f>($K$2+0.02)*Tabla1[[#This Row],[PRECIO $]]*1.18</f>
        <v>1163.34312</v>
      </c>
      <c r="J344" s="7">
        <f>+Tabla1[[#This Row],[PRECIO EN SOLES]]-Tabla1[[#This Row],[PC]]</f>
        <v>182.49687999999992</v>
      </c>
      <c r="K344" s="15"/>
      <c r="L344" s="15" t="str">
        <f t="shared" si="12"/>
        <v>NORMAL</v>
      </c>
    </row>
    <row r="345" spans="1:12" x14ac:dyDescent="0.25">
      <c r="A345" s="3" t="s">
        <v>5647</v>
      </c>
      <c r="B345" s="3" t="s">
        <v>5648</v>
      </c>
      <c r="C345" s="1">
        <v>20</v>
      </c>
      <c r="D345" s="1">
        <v>324</v>
      </c>
      <c r="E345" s="1" t="s">
        <v>186</v>
      </c>
      <c r="F345" s="1" t="s">
        <v>5649</v>
      </c>
      <c r="G345" s="3" t="s">
        <v>5650</v>
      </c>
      <c r="H345" s="11">
        <f t="shared" si="13"/>
        <v>1538.04</v>
      </c>
      <c r="I345" s="9">
        <f>($K$2+0.02)*Tabla1[[#This Row],[PRECIO $]]*1.18</f>
        <v>1330.4735999999998</v>
      </c>
      <c r="J345" s="7">
        <f>+Tabla1[[#This Row],[PRECIO EN SOLES]]-Tabla1[[#This Row],[PC]]</f>
        <v>207.56640000000016</v>
      </c>
      <c r="K345" s="15"/>
      <c r="L345" s="15" t="str">
        <f t="shared" si="12"/>
        <v>NORMAL</v>
      </c>
    </row>
    <row r="346" spans="1:12" x14ac:dyDescent="0.25">
      <c r="A346" s="3" t="s">
        <v>1057</v>
      </c>
      <c r="B346" s="3" t="s">
        <v>1058</v>
      </c>
      <c r="C346" s="1">
        <v>20</v>
      </c>
      <c r="D346" s="1">
        <v>420.5</v>
      </c>
      <c r="E346" s="1" t="s">
        <v>186</v>
      </c>
      <c r="F346" s="1" t="s">
        <v>3224</v>
      </c>
      <c r="G346" s="3" t="s">
        <v>1059</v>
      </c>
      <c r="H346" s="11">
        <f t="shared" si="13"/>
        <v>1993.75</v>
      </c>
      <c r="I346" s="9">
        <f>($K$2+0.02)*Tabla1[[#This Row],[PRECIO $]]*1.18</f>
        <v>1726.7411999999997</v>
      </c>
      <c r="J346" s="7">
        <f>+Tabla1[[#This Row],[PRECIO EN SOLES]]-Tabla1[[#This Row],[PC]]</f>
        <v>267.00880000000029</v>
      </c>
      <c r="K346" s="15"/>
      <c r="L346" s="15" t="str">
        <f t="shared" si="12"/>
        <v>NORMAL</v>
      </c>
    </row>
    <row r="347" spans="1:12" x14ac:dyDescent="0.25">
      <c r="A347" s="3" t="s">
        <v>1060</v>
      </c>
      <c r="B347" s="3" t="s">
        <v>1061</v>
      </c>
      <c r="C347" s="1">
        <v>4</v>
      </c>
      <c r="D347" s="1">
        <v>216.4</v>
      </c>
      <c r="E347" s="1" t="s">
        <v>186</v>
      </c>
      <c r="F347" s="1" t="s">
        <v>3225</v>
      </c>
      <c r="G347" s="3" t="s">
        <v>1062</v>
      </c>
      <c r="H347" s="11">
        <f t="shared" si="13"/>
        <v>1029.92</v>
      </c>
      <c r="I347" s="9">
        <f>($K$2+0.02)*Tabla1[[#This Row],[PRECIO $]]*1.18</f>
        <v>888.62495999999999</v>
      </c>
      <c r="J347" s="7">
        <f>+Tabla1[[#This Row],[PRECIO EN SOLES]]-Tabla1[[#This Row],[PC]]</f>
        <v>141.29504000000009</v>
      </c>
      <c r="K347" s="15"/>
      <c r="L347" s="15" t="str">
        <f t="shared" si="12"/>
        <v>NORMAL</v>
      </c>
    </row>
    <row r="348" spans="1:12" x14ac:dyDescent="0.25">
      <c r="A348" s="3" t="s">
        <v>1063</v>
      </c>
      <c r="B348" s="3" t="s">
        <v>1064</v>
      </c>
      <c r="C348" s="1">
        <v>9</v>
      </c>
      <c r="D348" s="1">
        <v>232.5</v>
      </c>
      <c r="E348" s="1" t="s">
        <v>186</v>
      </c>
      <c r="F348" s="1" t="s">
        <v>3226</v>
      </c>
      <c r="G348" s="3" t="s">
        <v>1065</v>
      </c>
      <c r="H348" s="11">
        <f t="shared" si="13"/>
        <v>1105.95</v>
      </c>
      <c r="I348" s="9">
        <f>($K$2+0.02)*Tabla1[[#This Row],[PRECIO $]]*1.18</f>
        <v>954.73799999999994</v>
      </c>
      <c r="J348" s="7">
        <f>+Tabla1[[#This Row],[PRECIO EN SOLES]]-Tabla1[[#This Row],[PC]]</f>
        <v>151.2120000000001</v>
      </c>
      <c r="K348" s="15"/>
      <c r="L348" s="15" t="str">
        <f t="shared" si="12"/>
        <v>NORMAL</v>
      </c>
    </row>
    <row r="349" spans="1:12" x14ac:dyDescent="0.25">
      <c r="A349" s="3" t="s">
        <v>5651</v>
      </c>
      <c r="B349" s="3" t="s">
        <v>5652</v>
      </c>
      <c r="C349" s="1">
        <v>0</v>
      </c>
      <c r="D349" s="1">
        <v>120.3</v>
      </c>
      <c r="E349" s="1" t="s">
        <v>186</v>
      </c>
      <c r="F349" s="1" t="s">
        <v>5653</v>
      </c>
      <c r="G349" s="3" t="s">
        <v>5654</v>
      </c>
      <c r="H349" s="11">
        <f t="shared" si="13"/>
        <v>576.1</v>
      </c>
      <c r="I349" s="9">
        <f>($K$2+0.02)*Tabla1[[#This Row],[PRECIO $]]*1.18</f>
        <v>493.99991999999997</v>
      </c>
      <c r="J349" s="7">
        <f>+Tabla1[[#This Row],[PRECIO EN SOLES]]-Tabla1[[#This Row],[PC]]</f>
        <v>82.100080000000048</v>
      </c>
      <c r="K349" s="15"/>
      <c r="L349" s="15" t="str">
        <f t="shared" si="12"/>
        <v>NORMAL</v>
      </c>
    </row>
    <row r="350" spans="1:12" x14ac:dyDescent="0.25">
      <c r="A350" s="3" t="s">
        <v>1067</v>
      </c>
      <c r="B350" s="3" t="s">
        <v>1066</v>
      </c>
      <c r="C350" s="1">
        <v>2</v>
      </c>
      <c r="D350" s="1">
        <v>174.4</v>
      </c>
      <c r="E350" s="1" t="s">
        <v>186</v>
      </c>
      <c r="F350" s="1" t="s">
        <v>3227</v>
      </c>
      <c r="G350" s="3" t="s">
        <v>1068</v>
      </c>
      <c r="H350" s="11">
        <f t="shared" si="13"/>
        <v>831.58</v>
      </c>
      <c r="I350" s="9">
        <f>($K$2+0.02)*Tabla1[[#This Row],[PRECIO $]]*1.18</f>
        <v>716.15616</v>
      </c>
      <c r="J350" s="7">
        <f>+Tabla1[[#This Row],[PRECIO EN SOLES]]-Tabla1[[#This Row],[PC]]</f>
        <v>115.42384000000004</v>
      </c>
      <c r="K350" s="15"/>
      <c r="L350" s="15" t="str">
        <f t="shared" si="12"/>
        <v>NORMAL</v>
      </c>
    </row>
    <row r="351" spans="1:12" x14ac:dyDescent="0.25">
      <c r="A351" s="3" t="s">
        <v>191</v>
      </c>
      <c r="B351" s="3" t="s">
        <v>192</v>
      </c>
      <c r="C351" s="1">
        <v>20</v>
      </c>
      <c r="D351" s="1">
        <v>60.5</v>
      </c>
      <c r="E351" s="1" t="s">
        <v>186</v>
      </c>
      <c r="F351" s="1" t="s">
        <v>3228</v>
      </c>
      <c r="G351" s="3" t="s">
        <v>193</v>
      </c>
      <c r="H351" s="11">
        <f t="shared" si="13"/>
        <v>293.7</v>
      </c>
      <c r="I351" s="9">
        <f>($K$2+0.02)*Tabla1[[#This Row],[PRECIO $]]*1.18</f>
        <v>248.43719999999999</v>
      </c>
      <c r="J351" s="7">
        <f>+Tabla1[[#This Row],[PRECIO EN SOLES]]-Tabla1[[#This Row],[PC]]</f>
        <v>45.262799999999999</v>
      </c>
      <c r="K351" s="15"/>
      <c r="L351" s="15" t="str">
        <f t="shared" si="12"/>
        <v>NORMAL</v>
      </c>
    </row>
    <row r="352" spans="1:12" x14ac:dyDescent="0.25">
      <c r="A352" s="3" t="s">
        <v>5655</v>
      </c>
      <c r="B352" s="3" t="s">
        <v>5656</v>
      </c>
      <c r="C352" s="1">
        <v>20</v>
      </c>
      <c r="D352" s="1">
        <v>120.3</v>
      </c>
      <c r="E352" s="1" t="s">
        <v>186</v>
      </c>
      <c r="F352" s="1" t="s">
        <v>5657</v>
      </c>
      <c r="G352" s="3" t="s">
        <v>5658</v>
      </c>
      <c r="H352" s="11">
        <f t="shared" si="13"/>
        <v>576.1</v>
      </c>
      <c r="I352" s="9">
        <f>($K$2+0.02)*Tabla1[[#This Row],[PRECIO $]]*1.18</f>
        <v>493.99991999999997</v>
      </c>
      <c r="J352" s="7">
        <f>+Tabla1[[#This Row],[PRECIO EN SOLES]]-Tabla1[[#This Row],[PC]]</f>
        <v>82.100080000000048</v>
      </c>
      <c r="K352" s="15"/>
      <c r="L352" s="15" t="str">
        <f t="shared" si="12"/>
        <v>NORMAL</v>
      </c>
    </row>
    <row r="353" spans="1:12" x14ac:dyDescent="0.25">
      <c r="A353" s="3" t="s">
        <v>2776</v>
      </c>
      <c r="B353" s="3" t="s">
        <v>2777</v>
      </c>
      <c r="C353" s="1">
        <v>20</v>
      </c>
      <c r="D353" s="1">
        <v>76.2</v>
      </c>
      <c r="E353" s="1" t="s">
        <v>186</v>
      </c>
      <c r="F353" s="1" t="s">
        <v>3229</v>
      </c>
      <c r="G353" s="3" t="s">
        <v>2778</v>
      </c>
      <c r="H353" s="11">
        <f t="shared" si="13"/>
        <v>367.84</v>
      </c>
      <c r="I353" s="9">
        <f>($K$2+0.02)*Tabla1[[#This Row],[PRECIO $]]*1.18</f>
        <v>312.90767999999997</v>
      </c>
      <c r="J353" s="7">
        <f>+Tabla1[[#This Row],[PRECIO EN SOLES]]-Tabla1[[#This Row],[PC]]</f>
        <v>54.932320000000004</v>
      </c>
      <c r="K353" s="15"/>
      <c r="L353" s="15" t="str">
        <f t="shared" si="12"/>
        <v>NORMAL</v>
      </c>
    </row>
    <row r="354" spans="1:12" x14ac:dyDescent="0.25">
      <c r="A354" s="3" t="s">
        <v>5659</v>
      </c>
      <c r="B354" s="3" t="s">
        <v>5660</v>
      </c>
      <c r="C354" s="1">
        <v>20</v>
      </c>
      <c r="D354" s="1">
        <v>70</v>
      </c>
      <c r="E354" s="1" t="s">
        <v>185</v>
      </c>
      <c r="F354" s="1" t="s">
        <v>5661</v>
      </c>
      <c r="G354" s="3" t="s">
        <v>6283</v>
      </c>
      <c r="H354" s="11">
        <f t="shared" si="13"/>
        <v>338.57</v>
      </c>
      <c r="I354" s="9">
        <f>($K$2+0.02)*Tabla1[[#This Row],[PRECIO $]]*1.18</f>
        <v>287.44799999999998</v>
      </c>
      <c r="J354" s="7">
        <f>+Tabla1[[#This Row],[PRECIO EN SOLES]]-Tabla1[[#This Row],[PC]]</f>
        <v>51.122000000000014</v>
      </c>
      <c r="K354" s="15"/>
      <c r="L354" s="15" t="str">
        <f t="shared" si="12"/>
        <v>NORMAL</v>
      </c>
    </row>
    <row r="355" spans="1:12" x14ac:dyDescent="0.25">
      <c r="A355" s="3" t="s">
        <v>2779</v>
      </c>
      <c r="B355" s="3" t="s">
        <v>2780</v>
      </c>
      <c r="C355" s="1">
        <v>9</v>
      </c>
      <c r="D355" s="1">
        <v>120.5</v>
      </c>
      <c r="E355" s="1" t="s">
        <v>185</v>
      </c>
      <c r="F355" s="1" t="s">
        <v>3230</v>
      </c>
      <c r="G355" s="3" t="s">
        <v>2781</v>
      </c>
      <c r="H355" s="11">
        <f t="shared" si="13"/>
        <v>577.04</v>
      </c>
      <c r="I355" s="9">
        <f>($K$2+0.02)*Tabla1[[#This Row],[PRECIO $]]*1.18</f>
        <v>494.82119999999992</v>
      </c>
      <c r="J355" s="7">
        <f>+Tabla1[[#This Row],[PRECIO EN SOLES]]-Tabla1[[#This Row],[PC]]</f>
        <v>82.218800000000044</v>
      </c>
      <c r="K355" s="15"/>
      <c r="L355" s="15" t="str">
        <f t="shared" si="12"/>
        <v>NORMAL</v>
      </c>
    </row>
    <row r="356" spans="1:12" x14ac:dyDescent="0.25">
      <c r="A356" s="3" t="s">
        <v>194</v>
      </c>
      <c r="B356" s="3" t="s">
        <v>195</v>
      </c>
      <c r="C356" s="1">
        <v>7</v>
      </c>
      <c r="D356" s="1">
        <v>2.0099999999999998</v>
      </c>
      <c r="E356" s="1" t="s">
        <v>196</v>
      </c>
      <c r="F356" s="1" t="s">
        <v>3231</v>
      </c>
      <c r="G356" s="3" t="s">
        <v>197</v>
      </c>
      <c r="H356" s="11">
        <f t="shared" si="13"/>
        <v>11.49</v>
      </c>
      <c r="I356" s="9">
        <f>($K$2+0.02)*Tabla1[[#This Row],[PRECIO $]]*1.18</f>
        <v>8.2538639999999983</v>
      </c>
      <c r="J356" s="7">
        <f>+Tabla1[[#This Row],[PRECIO EN SOLES]]-Tabla1[[#This Row],[PC]]</f>
        <v>3.2361360000000019</v>
      </c>
      <c r="K356" s="15"/>
      <c r="L356" s="15" t="str">
        <f t="shared" si="12"/>
        <v>NORMAL</v>
      </c>
    </row>
    <row r="357" spans="1:12" x14ac:dyDescent="0.25">
      <c r="A357" s="3" t="s">
        <v>1069</v>
      </c>
      <c r="B357" s="3" t="s">
        <v>1070</v>
      </c>
      <c r="C357" s="1">
        <v>2</v>
      </c>
      <c r="D357" s="1">
        <v>140.30000000000001</v>
      </c>
      <c r="E357" s="1" t="s">
        <v>196</v>
      </c>
      <c r="F357" s="1" t="s">
        <v>3232</v>
      </c>
      <c r="G357" s="3" t="s">
        <v>1071</v>
      </c>
      <c r="H357" s="11">
        <f t="shared" si="13"/>
        <v>670.55</v>
      </c>
      <c r="I357" s="9">
        <f>($K$2+0.02)*Tabla1[[#This Row],[PRECIO $]]*1.18</f>
        <v>576.12792000000002</v>
      </c>
      <c r="J357" s="7">
        <f>+Tabla1[[#This Row],[PRECIO EN SOLES]]-Tabla1[[#This Row],[PC]]</f>
        <v>94.422079999999937</v>
      </c>
      <c r="K357" s="15"/>
      <c r="L357" s="15" t="str">
        <f t="shared" si="12"/>
        <v>NORMAL</v>
      </c>
    </row>
    <row r="358" spans="1:12" x14ac:dyDescent="0.25">
      <c r="A358" s="3" t="s">
        <v>200</v>
      </c>
      <c r="B358" s="3" t="s">
        <v>201</v>
      </c>
      <c r="C358" s="1">
        <v>20</v>
      </c>
      <c r="D358" s="1">
        <v>134.30000000000001</v>
      </c>
      <c r="E358" s="1" t="s">
        <v>196</v>
      </c>
      <c r="F358" s="1" t="s">
        <v>3233</v>
      </c>
      <c r="G358" s="3" t="s">
        <v>202</v>
      </c>
      <c r="H358" s="11">
        <f t="shared" si="13"/>
        <v>642.21</v>
      </c>
      <c r="I358" s="9">
        <f>($K$2+0.02)*Tabla1[[#This Row],[PRECIO $]]*1.18</f>
        <v>551.48951999999997</v>
      </c>
      <c r="J358" s="7">
        <f>+Tabla1[[#This Row],[PRECIO EN SOLES]]-Tabla1[[#This Row],[PC]]</f>
        <v>90.720480000000066</v>
      </c>
      <c r="K358" s="15"/>
      <c r="L358" s="15" t="str">
        <f t="shared" si="12"/>
        <v>NORMAL</v>
      </c>
    </row>
    <row r="359" spans="1:12" x14ac:dyDescent="0.25">
      <c r="A359" s="3" t="s">
        <v>203</v>
      </c>
      <c r="B359" s="3" t="s">
        <v>204</v>
      </c>
      <c r="C359" s="1">
        <v>20</v>
      </c>
      <c r="D359" s="1">
        <v>232</v>
      </c>
      <c r="E359" s="1" t="s">
        <v>196</v>
      </c>
      <c r="F359" s="1" t="s">
        <v>3234</v>
      </c>
      <c r="G359" s="3" t="s">
        <v>205</v>
      </c>
      <c r="H359" s="11">
        <f t="shared" si="13"/>
        <v>1103.5899999999999</v>
      </c>
      <c r="I359" s="9">
        <f>($K$2+0.02)*Tabla1[[#This Row],[PRECIO $]]*1.18</f>
        <v>952.6848</v>
      </c>
      <c r="J359" s="7">
        <f>+Tabla1[[#This Row],[PRECIO EN SOLES]]-Tabla1[[#This Row],[PC]]</f>
        <v>150.90519999999992</v>
      </c>
      <c r="K359" s="15"/>
      <c r="L359" s="15" t="str">
        <f t="shared" si="12"/>
        <v>NORMAL</v>
      </c>
    </row>
    <row r="360" spans="1:12" x14ac:dyDescent="0.25">
      <c r="A360" s="3" t="s">
        <v>206</v>
      </c>
      <c r="B360" s="3" t="s">
        <v>207</v>
      </c>
      <c r="C360" s="1">
        <v>20</v>
      </c>
      <c r="D360" s="1">
        <v>134.30000000000001</v>
      </c>
      <c r="E360" s="1" t="s">
        <v>196</v>
      </c>
      <c r="F360" s="1" t="s">
        <v>3235</v>
      </c>
      <c r="G360" s="3" t="s">
        <v>208</v>
      </c>
      <c r="H360" s="11">
        <f t="shared" si="13"/>
        <v>642.21</v>
      </c>
      <c r="I360" s="9">
        <f>($K$2+0.02)*Tabla1[[#This Row],[PRECIO $]]*1.18</f>
        <v>551.48951999999997</v>
      </c>
      <c r="J360" s="7">
        <f>+Tabla1[[#This Row],[PRECIO EN SOLES]]-Tabla1[[#This Row],[PC]]</f>
        <v>90.720480000000066</v>
      </c>
      <c r="K360" s="15"/>
      <c r="L360" s="15" t="str">
        <f t="shared" si="12"/>
        <v>NORMAL</v>
      </c>
    </row>
    <row r="361" spans="1:12" x14ac:dyDescent="0.25">
      <c r="A361" s="3" t="s">
        <v>209</v>
      </c>
      <c r="B361" s="3" t="s">
        <v>210</v>
      </c>
      <c r="C361" s="1">
        <v>20</v>
      </c>
      <c r="D361" s="1">
        <v>232</v>
      </c>
      <c r="E361" s="1" t="s">
        <v>196</v>
      </c>
      <c r="F361" s="1" t="s">
        <v>3236</v>
      </c>
      <c r="G361" s="3" t="s">
        <v>211</v>
      </c>
      <c r="H361" s="11">
        <f t="shared" si="13"/>
        <v>1103.5899999999999</v>
      </c>
      <c r="I361" s="9">
        <f>($K$2+0.02)*Tabla1[[#This Row],[PRECIO $]]*1.18</f>
        <v>952.6848</v>
      </c>
      <c r="J361" s="7">
        <f>+Tabla1[[#This Row],[PRECIO EN SOLES]]-Tabla1[[#This Row],[PC]]</f>
        <v>150.90519999999992</v>
      </c>
      <c r="K361" s="15"/>
      <c r="L361" s="15" t="str">
        <f t="shared" si="12"/>
        <v>NORMAL</v>
      </c>
    </row>
    <row r="362" spans="1:12" x14ac:dyDescent="0.25">
      <c r="A362" s="3" t="s">
        <v>212</v>
      </c>
      <c r="B362" s="3" t="s">
        <v>213</v>
      </c>
      <c r="C362" s="1">
        <v>20</v>
      </c>
      <c r="D362" s="1">
        <v>162.30000000000001</v>
      </c>
      <c r="E362" s="1" t="s">
        <v>196</v>
      </c>
      <c r="F362" s="1" t="s">
        <v>3237</v>
      </c>
      <c r="G362" s="3" t="s">
        <v>214</v>
      </c>
      <c r="H362" s="11">
        <f t="shared" si="13"/>
        <v>774.44</v>
      </c>
      <c r="I362" s="9">
        <f>($K$2+0.02)*Tabla1[[#This Row],[PRECIO $]]*1.18</f>
        <v>666.46872000000008</v>
      </c>
      <c r="J362" s="7">
        <f>+Tabla1[[#This Row],[PRECIO EN SOLES]]-Tabla1[[#This Row],[PC]]</f>
        <v>107.97127999999998</v>
      </c>
      <c r="K362" s="15"/>
      <c r="L362" s="15" t="str">
        <f t="shared" si="12"/>
        <v>NORMAL</v>
      </c>
    </row>
    <row r="363" spans="1:12" x14ac:dyDescent="0.25">
      <c r="A363" s="3" t="s">
        <v>636</v>
      </c>
      <c r="B363" s="3" t="s">
        <v>637</v>
      </c>
      <c r="C363" s="1">
        <v>20</v>
      </c>
      <c r="D363" s="1">
        <v>275.5</v>
      </c>
      <c r="E363" s="1" t="s">
        <v>196</v>
      </c>
      <c r="F363" s="1" t="s">
        <v>3238</v>
      </c>
      <c r="G363" s="3" t="s">
        <v>638</v>
      </c>
      <c r="H363" s="11">
        <f t="shared" si="13"/>
        <v>1309.01</v>
      </c>
      <c r="I363" s="9">
        <f>($K$2+0.02)*Tabla1[[#This Row],[PRECIO $]]*1.18</f>
        <v>1131.3132000000001</v>
      </c>
      <c r="J363" s="7">
        <f>+Tabla1[[#This Row],[PRECIO EN SOLES]]-Tabla1[[#This Row],[PC]]</f>
        <v>177.69679999999994</v>
      </c>
      <c r="K363" s="15"/>
      <c r="L363" s="15" t="str">
        <f t="shared" si="12"/>
        <v>NORMAL</v>
      </c>
    </row>
    <row r="364" spans="1:12" x14ac:dyDescent="0.25">
      <c r="A364" s="3" t="s">
        <v>215</v>
      </c>
      <c r="B364" s="3" t="s">
        <v>216</v>
      </c>
      <c r="C364" s="1">
        <v>20</v>
      </c>
      <c r="D364" s="1">
        <v>476.5</v>
      </c>
      <c r="E364" s="1" t="s">
        <v>196</v>
      </c>
      <c r="F364" s="1" t="s">
        <v>3239</v>
      </c>
      <c r="G364" s="3" t="s">
        <v>217</v>
      </c>
      <c r="H364" s="11">
        <f t="shared" si="13"/>
        <v>2258.1999999999998</v>
      </c>
      <c r="I364" s="9">
        <f>($K$2+0.02)*Tabla1[[#This Row],[PRECIO $]]*1.18</f>
        <v>1956.6995999999999</v>
      </c>
      <c r="J364" s="7">
        <f>+Tabla1[[#This Row],[PRECIO EN SOLES]]-Tabla1[[#This Row],[PC]]</f>
        <v>301.5003999999999</v>
      </c>
      <c r="K364" s="15"/>
      <c r="L364" s="15" t="str">
        <f t="shared" si="12"/>
        <v>NORMAL</v>
      </c>
    </row>
    <row r="365" spans="1:12" x14ac:dyDescent="0.25">
      <c r="A365" s="3" t="s">
        <v>6284</v>
      </c>
      <c r="B365" s="3" t="s">
        <v>6285</v>
      </c>
      <c r="C365" s="1">
        <v>20</v>
      </c>
      <c r="D365" s="1">
        <v>221</v>
      </c>
      <c r="E365" s="1" t="s">
        <v>218</v>
      </c>
      <c r="F365" s="1" t="s">
        <v>6286</v>
      </c>
      <c r="G365" s="3" t="s">
        <v>6287</v>
      </c>
      <c r="H365" s="11">
        <f t="shared" si="13"/>
        <v>1051.6400000000001</v>
      </c>
      <c r="I365" s="9">
        <f>($K$2+0.02)*Tabla1[[#This Row],[PRECIO $]]*1.18</f>
        <v>907.51440000000002</v>
      </c>
      <c r="J365" s="7">
        <f>+Tabla1[[#This Row],[PRECIO EN SOLES]]-Tabla1[[#This Row],[PC]]</f>
        <v>144.12560000000008</v>
      </c>
      <c r="K365" s="15"/>
      <c r="L365" s="15" t="str">
        <f t="shared" si="12"/>
        <v>NORMAL</v>
      </c>
    </row>
    <row r="366" spans="1:12" x14ac:dyDescent="0.25">
      <c r="A366" s="3" t="s">
        <v>1072</v>
      </c>
      <c r="B366" s="3" t="s">
        <v>1073</v>
      </c>
      <c r="C366" s="1">
        <v>20</v>
      </c>
      <c r="D366" s="1">
        <v>22.6</v>
      </c>
      <c r="E366" s="1" t="s">
        <v>219</v>
      </c>
      <c r="F366" s="1" t="s">
        <v>3240</v>
      </c>
      <c r="G366" s="3" t="s">
        <v>1074</v>
      </c>
      <c r="H366" s="11">
        <f t="shared" si="13"/>
        <v>112.73</v>
      </c>
      <c r="I366" s="9">
        <f>($K$2+0.02)*Tabla1[[#This Row],[PRECIO $]]*1.18</f>
        <v>92.804640000000006</v>
      </c>
      <c r="J366" s="7">
        <f>+Tabla1[[#This Row],[PRECIO EN SOLES]]-Tabla1[[#This Row],[PC]]</f>
        <v>19.925359999999998</v>
      </c>
      <c r="K366" s="15"/>
      <c r="L366" s="15" t="str">
        <f t="shared" si="12"/>
        <v>NORMAL</v>
      </c>
    </row>
    <row r="367" spans="1:12" x14ac:dyDescent="0.25">
      <c r="A367" s="3" t="s">
        <v>1075</v>
      </c>
      <c r="B367" s="3" t="s">
        <v>1076</v>
      </c>
      <c r="C367" s="1">
        <v>7</v>
      </c>
      <c r="D367" s="1">
        <v>217</v>
      </c>
      <c r="E367" s="1" t="s">
        <v>1077</v>
      </c>
      <c r="F367" s="1" t="s">
        <v>3241</v>
      </c>
      <c r="G367" s="3" t="s">
        <v>1078</v>
      </c>
      <c r="H367" s="11">
        <f t="shared" si="13"/>
        <v>1032.75</v>
      </c>
      <c r="I367" s="9">
        <f>($K$2+0.02)*Tabla1[[#This Row],[PRECIO $]]*1.18</f>
        <v>891.08879999999988</v>
      </c>
      <c r="J367" s="7">
        <f>+Tabla1[[#This Row],[PRECIO EN SOLES]]-Tabla1[[#This Row],[PC]]</f>
        <v>141.66120000000012</v>
      </c>
      <c r="K367" s="15"/>
      <c r="L367" s="15" t="str">
        <f t="shared" si="12"/>
        <v>NORMAL</v>
      </c>
    </row>
    <row r="368" spans="1:12" x14ac:dyDescent="0.25">
      <c r="A368" s="3" t="s">
        <v>1079</v>
      </c>
      <c r="B368" s="3" t="s">
        <v>1080</v>
      </c>
      <c r="C368" s="1">
        <v>5</v>
      </c>
      <c r="D368" s="1">
        <v>48</v>
      </c>
      <c r="E368" s="1" t="s">
        <v>52</v>
      </c>
      <c r="F368" s="1" t="s">
        <v>3242</v>
      </c>
      <c r="G368" s="3" t="s">
        <v>1081</v>
      </c>
      <c r="H368" s="11">
        <f t="shared" si="13"/>
        <v>234.67</v>
      </c>
      <c r="I368" s="9">
        <f>($K$2+0.02)*Tabla1[[#This Row],[PRECIO $]]*1.18</f>
        <v>197.10719999999998</v>
      </c>
      <c r="J368" s="7">
        <f>+Tabla1[[#This Row],[PRECIO EN SOLES]]-Tabla1[[#This Row],[PC]]</f>
        <v>37.56280000000001</v>
      </c>
      <c r="K368" s="15"/>
      <c r="L368" s="15" t="str">
        <f t="shared" si="12"/>
        <v>NORMAL</v>
      </c>
    </row>
    <row r="369" spans="1:12" x14ac:dyDescent="0.25">
      <c r="A369" s="3" t="s">
        <v>2927</v>
      </c>
      <c r="B369" s="3" t="s">
        <v>2928</v>
      </c>
      <c r="C369" s="1">
        <v>20</v>
      </c>
      <c r="D369" s="1">
        <v>8.8000000000000007</v>
      </c>
      <c r="E369" s="1" t="s">
        <v>224</v>
      </c>
      <c r="F369" s="1" t="s">
        <v>3243</v>
      </c>
      <c r="G369" s="3" t="s">
        <v>2929</v>
      </c>
      <c r="H369" s="11">
        <f t="shared" si="13"/>
        <v>45.56</v>
      </c>
      <c r="I369" s="9">
        <f>($K$2+0.02)*Tabla1[[#This Row],[PRECIO $]]*1.18</f>
        <v>36.136319999999998</v>
      </c>
      <c r="J369" s="7">
        <f>+Tabla1[[#This Row],[PRECIO EN SOLES]]-Tabla1[[#This Row],[PC]]</f>
        <v>9.4236800000000045</v>
      </c>
      <c r="K369" s="15"/>
      <c r="L369" s="15" t="str">
        <f t="shared" si="12"/>
        <v>NORMAL</v>
      </c>
    </row>
    <row r="370" spans="1:12" x14ac:dyDescent="0.25">
      <c r="A370" s="3" t="s">
        <v>221</v>
      </c>
      <c r="B370" s="3" t="s">
        <v>222</v>
      </c>
      <c r="C370" s="1">
        <v>20</v>
      </c>
      <c r="D370" s="1">
        <v>30.5</v>
      </c>
      <c r="E370" s="1" t="s">
        <v>220</v>
      </c>
      <c r="F370" s="1" t="s">
        <v>3244</v>
      </c>
      <c r="G370" s="3" t="s">
        <v>223</v>
      </c>
      <c r="H370" s="11">
        <f t="shared" si="13"/>
        <v>150.03</v>
      </c>
      <c r="I370" s="9">
        <f>($K$2+0.02)*Tabla1[[#This Row],[PRECIO $]]*1.18</f>
        <v>125.2452</v>
      </c>
      <c r="J370" s="7">
        <f>+Tabla1[[#This Row],[PRECIO EN SOLES]]-Tabla1[[#This Row],[PC]]</f>
        <v>24.784800000000004</v>
      </c>
      <c r="K370" s="15"/>
      <c r="L370" s="15" t="str">
        <f t="shared" si="12"/>
        <v>NORMAL</v>
      </c>
    </row>
    <row r="371" spans="1:12" x14ac:dyDescent="0.25">
      <c r="A371" s="3" t="s">
        <v>1082</v>
      </c>
      <c r="B371" s="3" t="s">
        <v>1083</v>
      </c>
      <c r="C371" s="1">
        <v>20</v>
      </c>
      <c r="D371" s="1">
        <v>30</v>
      </c>
      <c r="E371" s="1" t="s">
        <v>220</v>
      </c>
      <c r="F371" s="1" t="s">
        <v>3245</v>
      </c>
      <c r="G371" s="3" t="s">
        <v>1084</v>
      </c>
      <c r="H371" s="11">
        <f t="shared" si="13"/>
        <v>147.66999999999999</v>
      </c>
      <c r="I371" s="9">
        <f>($K$2+0.02)*Tabla1[[#This Row],[PRECIO $]]*1.18</f>
        <v>123.19200000000001</v>
      </c>
      <c r="J371" s="7">
        <f>+Tabla1[[#This Row],[PRECIO EN SOLES]]-Tabla1[[#This Row],[PC]]</f>
        <v>24.47799999999998</v>
      </c>
      <c r="K371" s="15"/>
      <c r="L371" s="15" t="str">
        <f t="shared" si="12"/>
        <v>NORMAL</v>
      </c>
    </row>
    <row r="372" spans="1:12" x14ac:dyDescent="0.25">
      <c r="A372" s="3" t="s">
        <v>639</v>
      </c>
      <c r="B372" s="3" t="s">
        <v>640</v>
      </c>
      <c r="C372" s="1">
        <v>9</v>
      </c>
      <c r="D372" s="1">
        <v>125</v>
      </c>
      <c r="E372" s="1" t="s">
        <v>220</v>
      </c>
      <c r="F372" s="1" t="s">
        <v>3246</v>
      </c>
      <c r="G372" s="3" t="s">
        <v>4576</v>
      </c>
      <c r="H372" s="11">
        <f t="shared" si="13"/>
        <v>598.29999999999995</v>
      </c>
      <c r="I372" s="9">
        <f>($K$2+0.02)*Tabla1[[#This Row],[PRECIO $]]*1.18</f>
        <v>513.29999999999995</v>
      </c>
      <c r="J372" s="7">
        <f>+Tabla1[[#This Row],[PRECIO EN SOLES]]-Tabla1[[#This Row],[PC]]</f>
        <v>85</v>
      </c>
      <c r="K372" s="15"/>
      <c r="L372" s="15" t="str">
        <f t="shared" si="12"/>
        <v>NORMAL</v>
      </c>
    </row>
    <row r="373" spans="1:12" x14ac:dyDescent="0.25">
      <c r="A373" s="3" t="s">
        <v>6584</v>
      </c>
      <c r="B373" s="3" t="s">
        <v>6585</v>
      </c>
      <c r="C373" s="1">
        <v>12</v>
      </c>
      <c r="D373" s="1">
        <v>135</v>
      </c>
      <c r="E373" s="1" t="s">
        <v>220</v>
      </c>
      <c r="F373" s="1" t="s">
        <v>6586</v>
      </c>
      <c r="G373" s="3" t="s">
        <v>6587</v>
      </c>
      <c r="H373" s="11">
        <f t="shared" si="13"/>
        <v>645.52</v>
      </c>
      <c r="I373" s="9">
        <f>($K$2+0.02)*Tabla1[[#This Row],[PRECIO $]]*1.18</f>
        <v>554.36400000000003</v>
      </c>
      <c r="J373" s="7">
        <f>+Tabla1[[#This Row],[PRECIO EN SOLES]]-Tabla1[[#This Row],[PC]]</f>
        <v>91.155999999999949</v>
      </c>
      <c r="K373" s="15"/>
      <c r="L373" s="15" t="str">
        <f t="shared" si="12"/>
        <v>NORMAL</v>
      </c>
    </row>
    <row r="374" spans="1:12" x14ac:dyDescent="0.25">
      <c r="A374" s="3" t="s">
        <v>4929</v>
      </c>
      <c r="B374" s="3" t="s">
        <v>4930</v>
      </c>
      <c r="C374" s="1">
        <v>8</v>
      </c>
      <c r="D374" s="1">
        <v>343</v>
      </c>
      <c r="E374" s="1" t="s">
        <v>220</v>
      </c>
      <c r="F374" s="1" t="s">
        <v>4931</v>
      </c>
      <c r="G374" s="3" t="s">
        <v>4932</v>
      </c>
      <c r="H374" s="11">
        <f t="shared" si="13"/>
        <v>1627.77</v>
      </c>
      <c r="I374" s="9">
        <f>($K$2+0.02)*Tabla1[[#This Row],[PRECIO $]]*1.18</f>
        <v>1408.4952000000001</v>
      </c>
      <c r="J374" s="7">
        <f>+Tabla1[[#This Row],[PRECIO EN SOLES]]-Tabla1[[#This Row],[PC]]</f>
        <v>219.27479999999991</v>
      </c>
      <c r="K374" s="15"/>
      <c r="L374" s="15" t="str">
        <f t="shared" si="12"/>
        <v>NORMAL</v>
      </c>
    </row>
    <row r="375" spans="1:12" x14ac:dyDescent="0.25">
      <c r="A375" s="3" t="s">
        <v>1085</v>
      </c>
      <c r="B375" s="3" t="s">
        <v>1086</v>
      </c>
      <c r="C375" s="1">
        <v>6</v>
      </c>
      <c r="D375" s="1">
        <v>875</v>
      </c>
      <c r="E375" s="1" t="s">
        <v>220</v>
      </c>
      <c r="F375" s="1" t="s">
        <v>3247</v>
      </c>
      <c r="G375" s="3" t="s">
        <v>1087</v>
      </c>
      <c r="H375" s="11">
        <f t="shared" si="13"/>
        <v>4140.07</v>
      </c>
      <c r="I375" s="9">
        <f>($K$2+0.02)*Tabla1[[#This Row],[PRECIO $]]*1.18</f>
        <v>3593.1</v>
      </c>
      <c r="J375" s="7">
        <f>+Tabla1[[#This Row],[PRECIO EN SOLES]]-Tabla1[[#This Row],[PC]]</f>
        <v>546.9699999999998</v>
      </c>
      <c r="K375" s="15"/>
      <c r="L375" s="15" t="str">
        <f t="shared" si="12"/>
        <v>NORMAL</v>
      </c>
    </row>
    <row r="376" spans="1:12" x14ac:dyDescent="0.25">
      <c r="A376" s="3" t="s">
        <v>6695</v>
      </c>
      <c r="B376" s="3" t="s">
        <v>6696</v>
      </c>
      <c r="C376" s="1">
        <v>17</v>
      </c>
      <c r="D376" s="1">
        <v>44</v>
      </c>
      <c r="E376" s="1" t="s">
        <v>224</v>
      </c>
      <c r="F376" s="1" t="s">
        <v>6697</v>
      </c>
      <c r="G376" s="3" t="s">
        <v>6698</v>
      </c>
      <c r="H376" s="11">
        <f t="shared" si="13"/>
        <v>215.78</v>
      </c>
      <c r="I376" s="9">
        <f>($K$2+0.02)*Tabla1[[#This Row],[PRECIO $]]*1.18</f>
        <v>180.6816</v>
      </c>
      <c r="J376" s="7">
        <f>+Tabla1[[#This Row],[PRECIO EN SOLES]]-Tabla1[[#This Row],[PC]]</f>
        <v>35.098399999999998</v>
      </c>
      <c r="K376" s="15"/>
      <c r="L376" s="15" t="str">
        <f t="shared" si="12"/>
        <v>NORMAL</v>
      </c>
    </row>
    <row r="377" spans="1:12" x14ac:dyDescent="0.25">
      <c r="A377" s="3" t="s">
        <v>5898</v>
      </c>
      <c r="B377" s="3" t="s">
        <v>5899</v>
      </c>
      <c r="C377" s="1">
        <v>20</v>
      </c>
      <c r="D377" s="1">
        <v>19</v>
      </c>
      <c r="E377" s="1" t="s">
        <v>224</v>
      </c>
      <c r="F377" s="1" t="s">
        <v>5900</v>
      </c>
      <c r="G377" s="3" t="s">
        <v>5901</v>
      </c>
      <c r="H377" s="11">
        <f t="shared" si="13"/>
        <v>93.72</v>
      </c>
      <c r="I377" s="9">
        <f>($K$2+0.02)*Tabla1[[#This Row],[PRECIO $]]*1.18</f>
        <v>78.021600000000007</v>
      </c>
      <c r="J377" s="7">
        <f>+Tabla1[[#This Row],[PRECIO EN SOLES]]-Tabla1[[#This Row],[PC]]</f>
        <v>15.698399999999992</v>
      </c>
      <c r="K377" s="15"/>
      <c r="L377" s="15" t="str">
        <f t="shared" si="12"/>
        <v>NORMAL</v>
      </c>
    </row>
    <row r="378" spans="1:12" x14ac:dyDescent="0.25">
      <c r="A378" s="3" t="s">
        <v>6468</v>
      </c>
      <c r="B378" s="3" t="s">
        <v>225</v>
      </c>
      <c r="C378" s="1">
        <v>20</v>
      </c>
      <c r="D378" s="1">
        <v>12.8</v>
      </c>
      <c r="E378" s="1" t="s">
        <v>52</v>
      </c>
      <c r="F378" s="1" t="s">
        <v>6469</v>
      </c>
      <c r="G378" s="3" t="s">
        <v>6470</v>
      </c>
      <c r="H378" s="11">
        <f t="shared" si="13"/>
        <v>64.45</v>
      </c>
      <c r="I378" s="9">
        <f>($K$2+0.02)*Tabla1[[#This Row],[PRECIO $]]*1.18</f>
        <v>52.561920000000001</v>
      </c>
      <c r="J378" s="7">
        <f>+Tabla1[[#This Row],[PRECIO EN SOLES]]-Tabla1[[#This Row],[PC]]</f>
        <v>11.888080000000002</v>
      </c>
      <c r="K378" s="15"/>
      <c r="L378" s="15" t="str">
        <f t="shared" si="12"/>
        <v>NORMAL</v>
      </c>
    </row>
    <row r="379" spans="1:12" x14ac:dyDescent="0.25">
      <c r="A379" s="3" t="s">
        <v>4933</v>
      </c>
      <c r="B379" s="3" t="s">
        <v>4934</v>
      </c>
      <c r="C379" s="1">
        <v>3</v>
      </c>
      <c r="D379" s="1">
        <v>225</v>
      </c>
      <c r="E379" s="1" t="s">
        <v>220</v>
      </c>
      <c r="F379" s="1" t="s">
        <v>4935</v>
      </c>
      <c r="G379" s="3" t="s">
        <v>4936</v>
      </c>
      <c r="H379" s="11">
        <f t="shared" si="13"/>
        <v>1070.53</v>
      </c>
      <c r="I379" s="9">
        <f>($K$2+0.02)*Tabla1[[#This Row],[PRECIO $]]*1.18</f>
        <v>923.93999999999994</v>
      </c>
      <c r="J379" s="7">
        <f>+Tabla1[[#This Row],[PRECIO EN SOLES]]-Tabla1[[#This Row],[PC]]</f>
        <v>146.59000000000003</v>
      </c>
      <c r="K379" s="15"/>
      <c r="L379" s="15" t="str">
        <f t="shared" si="12"/>
        <v>NORMAL</v>
      </c>
    </row>
    <row r="380" spans="1:12" x14ac:dyDescent="0.25">
      <c r="A380" s="3" t="s">
        <v>1088</v>
      </c>
      <c r="B380" s="3" t="s">
        <v>1089</v>
      </c>
      <c r="C380" s="1">
        <v>7</v>
      </c>
      <c r="D380" s="1">
        <v>150</v>
      </c>
      <c r="E380" s="1" t="s">
        <v>220</v>
      </c>
      <c r="F380" s="1" t="s">
        <v>3248</v>
      </c>
      <c r="G380" s="3" t="s">
        <v>1090</v>
      </c>
      <c r="H380" s="11">
        <f t="shared" si="13"/>
        <v>716.35</v>
      </c>
      <c r="I380" s="9">
        <f>($K$2+0.02)*Tabla1[[#This Row],[PRECIO $]]*1.18</f>
        <v>615.95999999999992</v>
      </c>
      <c r="J380" s="7">
        <f>+Tabla1[[#This Row],[PRECIO EN SOLES]]-Tabla1[[#This Row],[PC]]</f>
        <v>100.3900000000001</v>
      </c>
      <c r="K380" s="15"/>
      <c r="L380" s="15" t="str">
        <f t="shared" si="12"/>
        <v>NORMAL</v>
      </c>
    </row>
    <row r="381" spans="1:12" x14ac:dyDescent="0.25">
      <c r="A381" s="3" t="s">
        <v>1091</v>
      </c>
      <c r="B381" s="3" t="s">
        <v>1092</v>
      </c>
      <c r="C381" s="1">
        <v>4</v>
      </c>
      <c r="D381" s="1">
        <v>158</v>
      </c>
      <c r="E381" s="1" t="s">
        <v>220</v>
      </c>
      <c r="F381" s="1" t="s">
        <v>3249</v>
      </c>
      <c r="G381" s="3" t="s">
        <v>1093</v>
      </c>
      <c r="H381" s="11">
        <f t="shared" si="13"/>
        <v>754.13</v>
      </c>
      <c r="I381" s="9">
        <f>($K$2+0.02)*Tabla1[[#This Row],[PRECIO $]]*1.18</f>
        <v>648.81119999999999</v>
      </c>
      <c r="J381" s="7">
        <f>+Tabla1[[#This Row],[PRECIO EN SOLES]]-Tabla1[[#This Row],[PC]]</f>
        <v>105.31880000000001</v>
      </c>
      <c r="K381" s="15"/>
      <c r="L381" s="15" t="str">
        <f t="shared" si="12"/>
        <v>NORMAL</v>
      </c>
    </row>
    <row r="382" spans="1:12" x14ac:dyDescent="0.25">
      <c r="A382" s="3" t="s">
        <v>1094</v>
      </c>
      <c r="B382" s="3" t="s">
        <v>1095</v>
      </c>
      <c r="C382" s="1">
        <v>1</v>
      </c>
      <c r="D382" s="1">
        <v>163</v>
      </c>
      <c r="E382" s="1" t="s">
        <v>220</v>
      </c>
      <c r="F382" s="1" t="s">
        <v>3250</v>
      </c>
      <c r="G382" s="3" t="s">
        <v>1096</v>
      </c>
      <c r="H382" s="11">
        <f t="shared" si="13"/>
        <v>777.74</v>
      </c>
      <c r="I382" s="9">
        <f>($K$2+0.02)*Tabla1[[#This Row],[PRECIO $]]*1.18</f>
        <v>669.34320000000002</v>
      </c>
      <c r="J382" s="7">
        <f>+Tabla1[[#This Row],[PRECIO EN SOLES]]-Tabla1[[#This Row],[PC]]</f>
        <v>108.39679999999998</v>
      </c>
      <c r="K382" s="15"/>
      <c r="L382" s="15" t="str">
        <f t="shared" si="12"/>
        <v>NORMAL</v>
      </c>
    </row>
    <row r="383" spans="1:12" x14ac:dyDescent="0.25">
      <c r="A383" s="3" t="s">
        <v>1097</v>
      </c>
      <c r="B383" s="3" t="s">
        <v>225</v>
      </c>
      <c r="C383" s="1">
        <v>0</v>
      </c>
      <c r="D383" s="1">
        <v>999</v>
      </c>
      <c r="E383" s="1" t="s">
        <v>187</v>
      </c>
      <c r="F383" s="1" t="s">
        <v>3251</v>
      </c>
      <c r="G383" s="3"/>
      <c r="H383" s="11">
        <f t="shared" si="13"/>
        <v>4725.6400000000003</v>
      </c>
      <c r="I383" s="9">
        <f>($K$2+0.02)*Tabla1[[#This Row],[PRECIO $]]*1.18</f>
        <v>4102.2936</v>
      </c>
      <c r="J383" s="7">
        <f>+Tabla1[[#This Row],[PRECIO EN SOLES]]-Tabla1[[#This Row],[PC]]</f>
        <v>623.34640000000036</v>
      </c>
      <c r="K383" s="15"/>
      <c r="L383" s="15" t="str">
        <f t="shared" si="12"/>
        <v>NORMAL</v>
      </c>
    </row>
    <row r="384" spans="1:12" x14ac:dyDescent="0.25">
      <c r="A384" s="3" t="s">
        <v>5272</v>
      </c>
      <c r="B384" s="3" t="s">
        <v>5273</v>
      </c>
      <c r="C384" s="1">
        <v>1</v>
      </c>
      <c r="D384" s="1">
        <v>28</v>
      </c>
      <c r="E384" s="1" t="s">
        <v>54</v>
      </c>
      <c r="F384" s="1" t="s">
        <v>5274</v>
      </c>
      <c r="G384" s="3"/>
      <c r="H384" s="11">
        <f t="shared" si="13"/>
        <v>138.22999999999999</v>
      </c>
      <c r="I384" s="9">
        <f>($K$2+0.02)*Tabla1[[#This Row],[PRECIO $]]*1.18</f>
        <v>114.97919999999999</v>
      </c>
      <c r="J384" s="7">
        <f>+Tabla1[[#This Row],[PRECIO EN SOLES]]-Tabla1[[#This Row],[PC]]</f>
        <v>23.250799999999998</v>
      </c>
      <c r="K384" s="15"/>
      <c r="L384" s="15" t="str">
        <f t="shared" si="12"/>
        <v>NORMAL</v>
      </c>
    </row>
    <row r="385" spans="1:12" x14ac:dyDescent="0.25">
      <c r="A385" s="3" t="s">
        <v>5275</v>
      </c>
      <c r="B385" s="3" t="s">
        <v>5276</v>
      </c>
      <c r="C385" s="1">
        <v>0</v>
      </c>
      <c r="D385" s="1">
        <v>23.6</v>
      </c>
      <c r="E385" s="1" t="s">
        <v>4502</v>
      </c>
      <c r="F385" s="1" t="s">
        <v>5277</v>
      </c>
      <c r="G385" s="3" t="s">
        <v>5278</v>
      </c>
      <c r="H385" s="11">
        <f t="shared" si="13"/>
        <v>117.45</v>
      </c>
      <c r="I385" s="9">
        <f>($K$2+0.02)*Tabla1[[#This Row],[PRECIO $]]*1.18</f>
        <v>96.91104</v>
      </c>
      <c r="J385" s="7">
        <f>+Tabla1[[#This Row],[PRECIO EN SOLES]]-Tabla1[[#This Row],[PC]]</f>
        <v>20.538960000000003</v>
      </c>
      <c r="K385" s="15"/>
      <c r="L385" s="15" t="str">
        <f t="shared" si="12"/>
        <v>NORMAL</v>
      </c>
    </row>
    <row r="386" spans="1:12" x14ac:dyDescent="0.25">
      <c r="A386" s="3" t="s">
        <v>4503</v>
      </c>
      <c r="B386" s="3" t="s">
        <v>4504</v>
      </c>
      <c r="C386" s="1">
        <v>20</v>
      </c>
      <c r="D386" s="1">
        <v>21.6</v>
      </c>
      <c r="E386" s="1" t="s">
        <v>4502</v>
      </c>
      <c r="F386" s="1" t="s">
        <v>4505</v>
      </c>
      <c r="G386" s="3" t="s">
        <v>4506</v>
      </c>
      <c r="H386" s="11">
        <f t="shared" si="13"/>
        <v>108</v>
      </c>
      <c r="I386" s="9">
        <f>($K$2+0.02)*Tabla1[[#This Row],[PRECIO $]]*1.18</f>
        <v>88.698239999999998</v>
      </c>
      <c r="J386" s="7">
        <f>+Tabla1[[#This Row],[PRECIO EN SOLES]]-Tabla1[[#This Row],[PC]]</f>
        <v>19.301760000000002</v>
      </c>
      <c r="K386" s="15"/>
      <c r="L386" s="15" t="str">
        <f t="shared" si="12"/>
        <v>NORMAL</v>
      </c>
    </row>
    <row r="387" spans="1:12" x14ac:dyDescent="0.25">
      <c r="A387" s="3" t="s">
        <v>641</v>
      </c>
      <c r="B387" s="3" t="s">
        <v>642</v>
      </c>
      <c r="C387" s="1">
        <v>20</v>
      </c>
      <c r="D387" s="1">
        <v>4.75</v>
      </c>
      <c r="E387" s="1" t="s">
        <v>52</v>
      </c>
      <c r="F387" s="1" t="s">
        <v>3252</v>
      </c>
      <c r="G387" s="3" t="s">
        <v>4831</v>
      </c>
      <c r="H387" s="11">
        <f t="shared" si="13"/>
        <v>24.43</v>
      </c>
      <c r="I387" s="9">
        <f>($K$2+0.02)*Tabla1[[#This Row],[PRECIO $]]*1.18</f>
        <v>19.505400000000002</v>
      </c>
      <c r="J387" s="7">
        <f>+Tabla1[[#This Row],[PRECIO EN SOLES]]-Tabla1[[#This Row],[PC]]</f>
        <v>4.9245999999999981</v>
      </c>
      <c r="K387" s="15"/>
      <c r="L387" s="15" t="str">
        <f t="shared" si="12"/>
        <v>NORMAL</v>
      </c>
    </row>
    <row r="388" spans="1:12" x14ac:dyDescent="0.25">
      <c r="A388" s="3" t="s">
        <v>227</v>
      </c>
      <c r="B388" s="3" t="s">
        <v>228</v>
      </c>
      <c r="C388" s="1">
        <v>20</v>
      </c>
      <c r="D388" s="1">
        <v>15.8</v>
      </c>
      <c r="E388" s="1" t="s">
        <v>52</v>
      </c>
      <c r="F388" s="1" t="s">
        <v>3253</v>
      </c>
      <c r="G388" s="3" t="s">
        <v>4832</v>
      </c>
      <c r="H388" s="11">
        <f t="shared" si="13"/>
        <v>78.61</v>
      </c>
      <c r="I388" s="9">
        <f>($K$2+0.02)*Tabla1[[#This Row],[PRECIO $]]*1.18</f>
        <v>64.881119999999996</v>
      </c>
      <c r="J388" s="7">
        <f>+Tabla1[[#This Row],[PRECIO EN SOLES]]-Tabla1[[#This Row],[PC]]</f>
        <v>13.728880000000004</v>
      </c>
      <c r="K388" s="15"/>
      <c r="L388" s="15" t="str">
        <f t="shared" si="12"/>
        <v>NORMAL</v>
      </c>
    </row>
    <row r="389" spans="1:12" x14ac:dyDescent="0.25">
      <c r="A389" s="3" t="s">
        <v>229</v>
      </c>
      <c r="B389" s="3" t="s">
        <v>230</v>
      </c>
      <c r="C389" s="1">
        <v>20</v>
      </c>
      <c r="D389" s="1">
        <v>10.5</v>
      </c>
      <c r="E389" s="1" t="s">
        <v>52</v>
      </c>
      <c r="F389" s="1" t="s">
        <v>3254</v>
      </c>
      <c r="G389" s="3" t="s">
        <v>231</v>
      </c>
      <c r="H389" s="11">
        <f t="shared" si="13"/>
        <v>53.58</v>
      </c>
      <c r="I389" s="9">
        <f>($K$2+0.02)*Tabla1[[#This Row],[PRECIO $]]*1.18</f>
        <v>43.117199999999997</v>
      </c>
      <c r="J389" s="7">
        <f>+Tabla1[[#This Row],[PRECIO EN SOLES]]-Tabla1[[#This Row],[PC]]</f>
        <v>10.462800000000001</v>
      </c>
      <c r="K389" s="15"/>
      <c r="L389" s="15" t="str">
        <f t="shared" si="12"/>
        <v>NORMAL</v>
      </c>
    </row>
    <row r="390" spans="1:12" x14ac:dyDescent="0.25">
      <c r="A390" s="3" t="s">
        <v>232</v>
      </c>
      <c r="B390" s="3" t="s">
        <v>233</v>
      </c>
      <c r="C390" s="1">
        <v>20</v>
      </c>
      <c r="D390" s="1">
        <v>24.3</v>
      </c>
      <c r="E390" s="1" t="s">
        <v>52</v>
      </c>
      <c r="F390" s="1" t="s">
        <v>3255</v>
      </c>
      <c r="G390" s="3" t="s">
        <v>234</v>
      </c>
      <c r="H390" s="11">
        <f t="shared" si="13"/>
        <v>120.75</v>
      </c>
      <c r="I390" s="9">
        <f>($K$2+0.02)*Tabla1[[#This Row],[PRECIO $]]*1.18</f>
        <v>99.785520000000005</v>
      </c>
      <c r="J390" s="7">
        <f>+Tabla1[[#This Row],[PRECIO EN SOLES]]-Tabla1[[#This Row],[PC]]</f>
        <v>20.964479999999995</v>
      </c>
      <c r="K390" s="15"/>
      <c r="L390" s="15" t="str">
        <f t="shared" si="12"/>
        <v>NORMAL</v>
      </c>
    </row>
    <row r="391" spans="1:12" x14ac:dyDescent="0.25">
      <c r="A391" s="3" t="s">
        <v>5279</v>
      </c>
      <c r="B391" s="3" t="s">
        <v>5280</v>
      </c>
      <c r="C391" s="1">
        <v>20</v>
      </c>
      <c r="D391" s="1">
        <v>14.75</v>
      </c>
      <c r="E391" s="1" t="s">
        <v>121</v>
      </c>
      <c r="F391" s="1" t="s">
        <v>5281</v>
      </c>
      <c r="G391" s="3"/>
      <c r="H391" s="11">
        <f t="shared" si="13"/>
        <v>73.650000000000006</v>
      </c>
      <c r="I391" s="9">
        <f>($K$2+0.02)*Tabla1[[#This Row],[PRECIO $]]*1.18</f>
        <v>60.569399999999995</v>
      </c>
      <c r="J391" s="7">
        <f>+Tabla1[[#This Row],[PRECIO EN SOLES]]-Tabla1[[#This Row],[PC]]</f>
        <v>13.080600000000011</v>
      </c>
      <c r="K391" s="15"/>
      <c r="L391" s="15" t="str">
        <f t="shared" si="12"/>
        <v>NORMAL</v>
      </c>
    </row>
    <row r="392" spans="1:12" x14ac:dyDescent="0.25">
      <c r="A392" s="3" t="s">
        <v>1098</v>
      </c>
      <c r="B392" s="3" t="s">
        <v>1099</v>
      </c>
      <c r="C392" s="1">
        <v>1</v>
      </c>
      <c r="D392" s="1">
        <v>54</v>
      </c>
      <c r="E392" s="1" t="s">
        <v>154</v>
      </c>
      <c r="F392" s="1" t="s">
        <v>3256</v>
      </c>
      <c r="G392" s="3"/>
      <c r="H392" s="11">
        <f t="shared" si="13"/>
        <v>263.01</v>
      </c>
      <c r="I392" s="9">
        <f>($K$2+0.02)*Tabla1[[#This Row],[PRECIO $]]*1.18</f>
        <v>221.74559999999997</v>
      </c>
      <c r="J392" s="7">
        <f>+Tabla1[[#This Row],[PRECIO EN SOLES]]-Tabla1[[#This Row],[PC]]</f>
        <v>41.264400000000023</v>
      </c>
      <c r="K392" s="15"/>
      <c r="L392" s="15" t="str">
        <f t="shared" si="12"/>
        <v>NORMAL</v>
      </c>
    </row>
    <row r="393" spans="1:12" x14ac:dyDescent="0.25">
      <c r="A393" s="3" t="s">
        <v>1100</v>
      </c>
      <c r="B393" s="3" t="s">
        <v>1101</v>
      </c>
      <c r="C393" s="1">
        <v>13</v>
      </c>
      <c r="D393" s="1">
        <v>67.91</v>
      </c>
      <c r="E393" s="1" t="s">
        <v>154</v>
      </c>
      <c r="F393" s="1" t="s">
        <v>3257</v>
      </c>
      <c r="G393" s="3"/>
      <c r="H393" s="11">
        <f t="shared" si="13"/>
        <v>328.7</v>
      </c>
      <c r="I393" s="9">
        <f>($K$2+0.02)*Tabla1[[#This Row],[PRECIO $]]*1.18</f>
        <v>278.86562399999997</v>
      </c>
      <c r="J393" s="7">
        <f>+Tabla1[[#This Row],[PRECIO EN SOLES]]-Tabla1[[#This Row],[PC]]</f>
        <v>49.83437600000002</v>
      </c>
      <c r="K393" s="15"/>
      <c r="L393" s="15" t="str">
        <f t="shared" si="12"/>
        <v>NORMAL</v>
      </c>
    </row>
    <row r="394" spans="1:12" x14ac:dyDescent="0.25">
      <c r="A394" s="3" t="s">
        <v>1103</v>
      </c>
      <c r="B394" s="3" t="s">
        <v>1104</v>
      </c>
      <c r="C394" s="1">
        <v>1</v>
      </c>
      <c r="D394" s="1">
        <v>908</v>
      </c>
      <c r="E394" s="1" t="s">
        <v>56</v>
      </c>
      <c r="F394" s="1" t="s">
        <v>3258</v>
      </c>
      <c r="G394" s="3" t="s">
        <v>1105</v>
      </c>
      <c r="H394" s="11">
        <f t="shared" si="13"/>
        <v>4295.8999999999996</v>
      </c>
      <c r="I394" s="9">
        <f>($K$2+0.02)*Tabla1[[#This Row],[PRECIO $]]*1.18</f>
        <v>3728.6111999999998</v>
      </c>
      <c r="J394" s="7">
        <f>+Tabla1[[#This Row],[PRECIO EN SOLES]]-Tabla1[[#This Row],[PC]]</f>
        <v>567.28879999999981</v>
      </c>
      <c r="K394" s="15"/>
      <c r="L394" s="15" t="str">
        <f t="shared" si="12"/>
        <v>NORMAL</v>
      </c>
    </row>
    <row r="395" spans="1:12" x14ac:dyDescent="0.25">
      <c r="A395" s="3" t="s">
        <v>1106</v>
      </c>
      <c r="B395" s="3" t="s">
        <v>1107</v>
      </c>
      <c r="C395" s="1">
        <v>1</v>
      </c>
      <c r="D395" s="1">
        <v>2000</v>
      </c>
      <c r="E395" s="1" t="s">
        <v>56</v>
      </c>
      <c r="F395" s="1" t="s">
        <v>3259</v>
      </c>
      <c r="G395" s="3"/>
      <c r="H395" s="11">
        <f t="shared" si="13"/>
        <v>9452.7199999999993</v>
      </c>
      <c r="I395" s="9">
        <f>($K$2+0.02)*Tabla1[[#This Row],[PRECIO $]]*1.18</f>
        <v>8212.7999999999993</v>
      </c>
      <c r="J395" s="7">
        <f>+Tabla1[[#This Row],[PRECIO EN SOLES]]-Tabla1[[#This Row],[PC]]</f>
        <v>1239.92</v>
      </c>
      <c r="K395" s="15"/>
      <c r="L395" s="15" t="str">
        <f t="shared" si="12"/>
        <v>NORMAL</v>
      </c>
    </row>
    <row r="396" spans="1:12" x14ac:dyDescent="0.25">
      <c r="A396" s="3" t="s">
        <v>1108</v>
      </c>
      <c r="B396" s="3" t="s">
        <v>1109</v>
      </c>
      <c r="C396" s="1">
        <v>5</v>
      </c>
      <c r="D396" s="1">
        <v>42</v>
      </c>
      <c r="E396" s="1" t="s">
        <v>148</v>
      </c>
      <c r="F396" s="1" t="s">
        <v>3260</v>
      </c>
      <c r="G396" s="3"/>
      <c r="H396" s="11">
        <f t="shared" si="13"/>
        <v>206.34</v>
      </c>
      <c r="I396" s="9">
        <f>($K$2+0.02)*Tabla1[[#This Row],[PRECIO $]]*1.18</f>
        <v>172.46879999999999</v>
      </c>
      <c r="J396" s="7">
        <f>+Tabla1[[#This Row],[PRECIO EN SOLES]]-Tabla1[[#This Row],[PC]]</f>
        <v>33.871200000000016</v>
      </c>
      <c r="K396" s="15"/>
      <c r="L396" s="15" t="str">
        <f t="shared" si="12"/>
        <v>NORMAL</v>
      </c>
    </row>
    <row r="397" spans="1:12" x14ac:dyDescent="0.25">
      <c r="A397" s="3" t="s">
        <v>1110</v>
      </c>
      <c r="B397" s="3" t="s">
        <v>1111</v>
      </c>
      <c r="C397" s="1">
        <v>3</v>
      </c>
      <c r="D397" s="1">
        <v>100</v>
      </c>
      <c r="E397" s="1" t="s">
        <v>148</v>
      </c>
      <c r="F397" s="1" t="s">
        <v>3261</v>
      </c>
      <c r="G397" s="3" t="s">
        <v>1112</v>
      </c>
      <c r="H397" s="11">
        <f t="shared" si="13"/>
        <v>480.24</v>
      </c>
      <c r="I397" s="9">
        <f>($K$2+0.02)*Tabla1[[#This Row],[PRECIO $]]*1.18</f>
        <v>410.64</v>
      </c>
      <c r="J397" s="7">
        <f>+Tabla1[[#This Row],[PRECIO EN SOLES]]-Tabla1[[#This Row],[PC]]</f>
        <v>69.600000000000023</v>
      </c>
      <c r="K397" s="15"/>
      <c r="L397" s="15" t="str">
        <f t="shared" si="12"/>
        <v>NORMAL</v>
      </c>
    </row>
    <row r="398" spans="1:12" x14ac:dyDescent="0.25">
      <c r="A398" s="3" t="s">
        <v>1113</v>
      </c>
      <c r="B398" s="3" t="s">
        <v>1114</v>
      </c>
      <c r="C398" s="1">
        <v>20</v>
      </c>
      <c r="D398" s="1">
        <v>100</v>
      </c>
      <c r="E398" s="1" t="s">
        <v>837</v>
      </c>
      <c r="F398" s="1" t="s">
        <v>3262</v>
      </c>
      <c r="G398" s="3"/>
      <c r="H398" s="11">
        <f t="shared" si="13"/>
        <v>480.24</v>
      </c>
      <c r="I398" s="9">
        <f>($K$2+0.02)*Tabla1[[#This Row],[PRECIO $]]*1.18</f>
        <v>410.64</v>
      </c>
      <c r="J398" s="7">
        <f>+Tabla1[[#This Row],[PRECIO EN SOLES]]-Tabla1[[#This Row],[PC]]</f>
        <v>69.600000000000023</v>
      </c>
      <c r="K398" s="15"/>
      <c r="L398" s="15" t="str">
        <f t="shared" si="12"/>
        <v>NORMAL</v>
      </c>
    </row>
    <row r="399" spans="1:12" x14ac:dyDescent="0.25">
      <c r="A399" s="3" t="s">
        <v>1115</v>
      </c>
      <c r="B399" s="3" t="s">
        <v>1116</v>
      </c>
      <c r="C399" s="1">
        <v>0</v>
      </c>
      <c r="D399" s="1">
        <v>9999999.9900000002</v>
      </c>
      <c r="E399" s="1" t="s">
        <v>837</v>
      </c>
      <c r="F399" s="1" t="s">
        <v>3263</v>
      </c>
      <c r="G399" s="3"/>
      <c r="H399" s="11">
        <f t="shared" si="13"/>
        <v>47223607.950000003</v>
      </c>
      <c r="I399" s="9">
        <f>($K$2+0.02)*Tabla1[[#This Row],[PRECIO $]]*1.18</f>
        <v>41063999.958935998</v>
      </c>
      <c r="J399" s="7">
        <f>+Tabla1[[#This Row],[PRECIO EN SOLES]]-Tabla1[[#This Row],[PC]]</f>
        <v>6159607.9910640046</v>
      </c>
      <c r="K399" s="15"/>
      <c r="L399" s="15" t="str">
        <f t="shared" si="12"/>
        <v>NORMAL</v>
      </c>
    </row>
    <row r="400" spans="1:12" x14ac:dyDescent="0.25">
      <c r="A400" s="3" t="s">
        <v>1117</v>
      </c>
      <c r="B400" s="3" t="s">
        <v>1118</v>
      </c>
      <c r="C400" s="1">
        <v>1</v>
      </c>
      <c r="D400" s="1">
        <v>2000</v>
      </c>
      <c r="E400" s="1" t="s">
        <v>1102</v>
      </c>
      <c r="F400" s="1" t="s">
        <v>3264</v>
      </c>
      <c r="G400" s="3"/>
      <c r="H400" s="11">
        <f t="shared" si="13"/>
        <v>9452.7199999999993</v>
      </c>
      <c r="I400" s="9">
        <f>($K$2+0.02)*Tabla1[[#This Row],[PRECIO $]]*1.18</f>
        <v>8212.7999999999993</v>
      </c>
      <c r="J400" s="7">
        <f>+Tabla1[[#This Row],[PRECIO EN SOLES]]-Tabla1[[#This Row],[PC]]</f>
        <v>1239.92</v>
      </c>
      <c r="K400" s="15"/>
      <c r="L400" s="15" t="str">
        <f t="shared" ref="L400:L463" si="14"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401" spans="1:12" x14ac:dyDescent="0.25">
      <c r="A401" s="3" t="s">
        <v>1119</v>
      </c>
      <c r="B401" s="3" t="s">
        <v>1120</v>
      </c>
      <c r="C401" s="1">
        <v>1</v>
      </c>
      <c r="D401" s="1">
        <v>65.27</v>
      </c>
      <c r="E401" s="1" t="s">
        <v>1102</v>
      </c>
      <c r="F401" s="1" t="s">
        <v>3265</v>
      </c>
      <c r="G401" s="3"/>
      <c r="H401" s="11">
        <f t="shared" si="13"/>
        <v>316.23</v>
      </c>
      <c r="I401" s="9">
        <f>($K$2+0.02)*Tabla1[[#This Row],[PRECIO $]]*1.18</f>
        <v>268.02472799999998</v>
      </c>
      <c r="J401" s="7">
        <f>+Tabla1[[#This Row],[PRECIO EN SOLES]]-Tabla1[[#This Row],[PC]]</f>
        <v>48.205272000000036</v>
      </c>
      <c r="K401" s="15"/>
      <c r="L401" s="15" t="str">
        <f t="shared" si="14"/>
        <v>NORMAL</v>
      </c>
    </row>
    <row r="402" spans="1:12" x14ac:dyDescent="0.25">
      <c r="A402" s="3" t="s">
        <v>1121</v>
      </c>
      <c r="B402" s="3" t="s">
        <v>1122</v>
      </c>
      <c r="C402" s="1">
        <v>1</v>
      </c>
      <c r="D402" s="1">
        <v>300</v>
      </c>
      <c r="E402" s="1" t="s">
        <v>1123</v>
      </c>
      <c r="F402" s="1" t="s">
        <v>3266</v>
      </c>
      <c r="G402" s="3" t="s">
        <v>1124</v>
      </c>
      <c r="H402" s="11">
        <f t="shared" ref="H402:H465" si="15">ROUND(
IF(L400="GANCHO",
   IF(I402&lt;=50,I402*1.1+4,IF(I402&lt;=120,I402*1.1+7,IF(I402&lt;=250,I402*1.1+11,I402*1.1+19))),
IF(L400="NORMAL",
   IF(I402&lt;=30,I402*1.15+2,IF(I402&lt;=80,I402*1.15+4,IF(I402&lt;=150,I402*1.15+6,I402*1.15+8))),
IF(L400="COMPLEMENTO",
   IF(I402&lt;=25,I402*1.25+1.5,IF(I402&lt;=60,I402*1.25+3,IF(I402&lt;=120,I402*1.25+4,I402*1.25+5))),
""))),2)</f>
        <v>1424.71</v>
      </c>
      <c r="I402" s="9">
        <f>($K$2+0.02)*Tabla1[[#This Row],[PRECIO $]]*1.18</f>
        <v>1231.9199999999998</v>
      </c>
      <c r="J402" s="7">
        <f>+Tabla1[[#This Row],[PRECIO EN SOLES]]-Tabla1[[#This Row],[PC]]</f>
        <v>192.79000000000019</v>
      </c>
      <c r="K402" s="15"/>
      <c r="L402" s="15" t="str">
        <f t="shared" si="14"/>
        <v>NORMAL</v>
      </c>
    </row>
    <row r="403" spans="1:12" x14ac:dyDescent="0.25">
      <c r="A403" s="3" t="s">
        <v>1125</v>
      </c>
      <c r="B403" s="3" t="s">
        <v>1126</v>
      </c>
      <c r="C403" s="1">
        <v>2</v>
      </c>
      <c r="D403" s="1">
        <v>522</v>
      </c>
      <c r="E403" s="1" t="s">
        <v>1102</v>
      </c>
      <c r="F403" s="1" t="s">
        <v>3267</v>
      </c>
      <c r="G403" s="3"/>
      <c r="H403" s="11">
        <f t="shared" si="15"/>
        <v>2473.0700000000002</v>
      </c>
      <c r="I403" s="9">
        <f>($K$2+0.02)*Tabla1[[#This Row],[PRECIO $]]*1.18</f>
        <v>2143.5407999999998</v>
      </c>
      <c r="J403" s="7">
        <f>+Tabla1[[#This Row],[PRECIO EN SOLES]]-Tabla1[[#This Row],[PC]]</f>
        <v>329.5292000000004</v>
      </c>
      <c r="K403" s="15"/>
      <c r="L403" s="15" t="str">
        <f t="shared" si="14"/>
        <v>NORMAL</v>
      </c>
    </row>
    <row r="404" spans="1:12" x14ac:dyDescent="0.25">
      <c r="A404" s="3" t="s">
        <v>1127</v>
      </c>
      <c r="B404" s="3" t="s">
        <v>1128</v>
      </c>
      <c r="C404" s="1">
        <v>0</v>
      </c>
      <c r="D404" s="1">
        <v>350</v>
      </c>
      <c r="E404" s="1" t="s">
        <v>1102</v>
      </c>
      <c r="F404" s="1" t="s">
        <v>3268</v>
      </c>
      <c r="G404" s="3"/>
      <c r="H404" s="11">
        <f t="shared" si="15"/>
        <v>1660.83</v>
      </c>
      <c r="I404" s="9">
        <f>($K$2+0.02)*Tabla1[[#This Row],[PRECIO $]]*1.18</f>
        <v>1437.24</v>
      </c>
      <c r="J404" s="7">
        <f>+Tabla1[[#This Row],[PRECIO EN SOLES]]-Tabla1[[#This Row],[PC]]</f>
        <v>223.58999999999992</v>
      </c>
      <c r="K404" s="15"/>
      <c r="L404" s="15" t="str">
        <f t="shared" si="14"/>
        <v>NORMAL</v>
      </c>
    </row>
    <row r="405" spans="1:12" x14ac:dyDescent="0.25">
      <c r="A405" s="3" t="s">
        <v>1129</v>
      </c>
      <c r="B405" s="3" t="s">
        <v>1130</v>
      </c>
      <c r="C405" s="1">
        <v>7</v>
      </c>
      <c r="D405" s="1">
        <v>60</v>
      </c>
      <c r="E405" s="1" t="s">
        <v>1102</v>
      </c>
      <c r="F405" s="1" t="s">
        <v>3269</v>
      </c>
      <c r="G405" s="3"/>
      <c r="H405" s="11">
        <f t="shared" si="15"/>
        <v>291.33999999999997</v>
      </c>
      <c r="I405" s="9">
        <f>($K$2+0.02)*Tabla1[[#This Row],[PRECIO $]]*1.18</f>
        <v>246.38400000000001</v>
      </c>
      <c r="J405" s="7">
        <f>+Tabla1[[#This Row],[PRECIO EN SOLES]]-Tabla1[[#This Row],[PC]]</f>
        <v>44.95599999999996</v>
      </c>
      <c r="K405" s="15"/>
      <c r="L405" s="15" t="str">
        <f t="shared" si="14"/>
        <v>NORMAL</v>
      </c>
    </row>
    <row r="406" spans="1:12" x14ac:dyDescent="0.25">
      <c r="A406" s="3" t="s">
        <v>1131</v>
      </c>
      <c r="B406" s="3" t="s">
        <v>1132</v>
      </c>
      <c r="C406" s="1">
        <v>1</v>
      </c>
      <c r="D406" s="1">
        <v>15.3</v>
      </c>
      <c r="E406" s="1" t="s">
        <v>56</v>
      </c>
      <c r="F406" s="1" t="s">
        <v>3270</v>
      </c>
      <c r="G406" s="3"/>
      <c r="H406" s="11">
        <f t="shared" si="15"/>
        <v>76.25</v>
      </c>
      <c r="I406" s="9">
        <f>($K$2+0.02)*Tabla1[[#This Row],[PRECIO $]]*1.18</f>
        <v>62.827919999999999</v>
      </c>
      <c r="J406" s="7">
        <f>+Tabla1[[#This Row],[PRECIO EN SOLES]]-Tabla1[[#This Row],[PC]]</f>
        <v>13.422080000000001</v>
      </c>
      <c r="K406" s="15"/>
      <c r="L406" s="15" t="str">
        <f t="shared" si="14"/>
        <v>NORMAL</v>
      </c>
    </row>
    <row r="407" spans="1:12" x14ac:dyDescent="0.25">
      <c r="A407" s="3" t="s">
        <v>1133</v>
      </c>
      <c r="B407" s="3" t="s">
        <v>1134</v>
      </c>
      <c r="C407" s="1">
        <v>1</v>
      </c>
      <c r="D407" s="1">
        <v>52</v>
      </c>
      <c r="E407" s="1" t="s">
        <v>154</v>
      </c>
      <c r="F407" s="1" t="s">
        <v>3271</v>
      </c>
      <c r="G407" s="3" t="s">
        <v>1135</v>
      </c>
      <c r="H407" s="11">
        <f t="shared" si="15"/>
        <v>253.56</v>
      </c>
      <c r="I407" s="9">
        <f>($K$2+0.02)*Tabla1[[#This Row],[PRECIO $]]*1.18</f>
        <v>213.53280000000001</v>
      </c>
      <c r="J407" s="7">
        <f>+Tabla1[[#This Row],[PRECIO EN SOLES]]-Tabla1[[#This Row],[PC]]</f>
        <v>40.027199999999993</v>
      </c>
      <c r="K407" s="15"/>
      <c r="L407" s="15" t="str">
        <f t="shared" si="14"/>
        <v>NORMAL</v>
      </c>
    </row>
    <row r="408" spans="1:12" x14ac:dyDescent="0.25">
      <c r="A408" s="3" t="s">
        <v>1136</v>
      </c>
      <c r="B408" s="3" t="s">
        <v>1137</v>
      </c>
      <c r="C408" s="1">
        <v>1</v>
      </c>
      <c r="D408" s="1">
        <v>67</v>
      </c>
      <c r="E408" s="1" t="s">
        <v>154</v>
      </c>
      <c r="F408" s="1" t="s">
        <v>3272</v>
      </c>
      <c r="G408" s="3" t="s">
        <v>1138</v>
      </c>
      <c r="H408" s="11">
        <f t="shared" si="15"/>
        <v>324.39999999999998</v>
      </c>
      <c r="I408" s="9">
        <f>($K$2+0.02)*Tabla1[[#This Row],[PRECIO $]]*1.18</f>
        <v>275.12879999999996</v>
      </c>
      <c r="J408" s="7">
        <f>+Tabla1[[#This Row],[PRECIO EN SOLES]]-Tabla1[[#This Row],[PC]]</f>
        <v>49.271200000000022</v>
      </c>
      <c r="K408" s="15"/>
      <c r="L408" s="15" t="str">
        <f t="shared" si="14"/>
        <v>NORMAL</v>
      </c>
    </row>
    <row r="409" spans="1:12" x14ac:dyDescent="0.25">
      <c r="A409" s="3" t="s">
        <v>1139</v>
      </c>
      <c r="B409" s="3" t="s">
        <v>1140</v>
      </c>
      <c r="C409" s="1">
        <v>1</v>
      </c>
      <c r="D409" s="1">
        <v>520</v>
      </c>
      <c r="E409" s="1" t="s">
        <v>1102</v>
      </c>
      <c r="F409" s="1" t="s">
        <v>3273</v>
      </c>
      <c r="G409" s="3"/>
      <c r="H409" s="11">
        <f t="shared" si="15"/>
        <v>2463.63</v>
      </c>
      <c r="I409" s="9">
        <f>($K$2+0.02)*Tabla1[[#This Row],[PRECIO $]]*1.18</f>
        <v>2135.328</v>
      </c>
      <c r="J409" s="7">
        <f>+Tabla1[[#This Row],[PRECIO EN SOLES]]-Tabla1[[#This Row],[PC]]</f>
        <v>328.30200000000013</v>
      </c>
      <c r="K409" s="15"/>
      <c r="L409" s="15" t="str">
        <f t="shared" si="14"/>
        <v>GANCHO</v>
      </c>
    </row>
    <row r="410" spans="1:12" x14ac:dyDescent="0.25">
      <c r="A410" s="3" t="s">
        <v>1141</v>
      </c>
      <c r="B410" s="3" t="s">
        <v>1142</v>
      </c>
      <c r="C410" s="1">
        <v>0</v>
      </c>
      <c r="D410" s="1">
        <v>99</v>
      </c>
      <c r="E410" s="1" t="s">
        <v>56</v>
      </c>
      <c r="F410" s="1" t="s">
        <v>3274</v>
      </c>
      <c r="G410" s="3" t="s">
        <v>1143</v>
      </c>
      <c r="H410" s="11">
        <f t="shared" si="15"/>
        <v>475.51</v>
      </c>
      <c r="I410" s="9">
        <f>($K$2+0.02)*Tabla1[[#This Row],[PRECIO $]]*1.18</f>
        <v>406.53359999999998</v>
      </c>
      <c r="J410" s="7">
        <f>+Tabla1[[#This Row],[PRECIO EN SOLES]]-Tabla1[[#This Row],[PC]]</f>
        <v>68.976400000000012</v>
      </c>
      <c r="K410" s="15"/>
      <c r="L410" s="15" t="str">
        <f t="shared" si="14"/>
        <v>NORMAL</v>
      </c>
    </row>
    <row r="411" spans="1:12" x14ac:dyDescent="0.25">
      <c r="A411" s="3" t="s">
        <v>1144</v>
      </c>
      <c r="B411" s="3" t="s">
        <v>1145</v>
      </c>
      <c r="C411" s="1">
        <v>1</v>
      </c>
      <c r="D411" s="1">
        <v>38.6</v>
      </c>
      <c r="E411" s="1" t="s">
        <v>148</v>
      </c>
      <c r="F411" s="1" t="s">
        <v>3275</v>
      </c>
      <c r="G411" s="3" t="s">
        <v>1146</v>
      </c>
      <c r="H411" s="11">
        <f t="shared" si="15"/>
        <v>185.36</v>
      </c>
      <c r="I411" s="9">
        <f>($K$2+0.02)*Tabla1[[#This Row],[PRECIO $]]*1.18</f>
        <v>158.50703999999999</v>
      </c>
      <c r="J411" s="7">
        <f>+Tabla1[[#This Row],[PRECIO EN SOLES]]-Tabla1[[#This Row],[PC]]</f>
        <v>26.852960000000024</v>
      </c>
      <c r="K411" s="15"/>
      <c r="L411" s="15" t="str">
        <f t="shared" si="14"/>
        <v>NORMAL</v>
      </c>
    </row>
    <row r="412" spans="1:12" x14ac:dyDescent="0.25">
      <c r="A412" s="3" t="s">
        <v>1147</v>
      </c>
      <c r="B412" s="3" t="s">
        <v>1148</v>
      </c>
      <c r="C412" s="1">
        <v>1</v>
      </c>
      <c r="D412" s="1">
        <v>278.89999999999998</v>
      </c>
      <c r="E412" s="1" t="s">
        <v>1102</v>
      </c>
      <c r="F412" s="1" t="s">
        <v>3276</v>
      </c>
      <c r="G412" s="3" t="s">
        <v>1149</v>
      </c>
      <c r="H412" s="11">
        <f t="shared" si="15"/>
        <v>1325.07</v>
      </c>
      <c r="I412" s="9">
        <f>($K$2+0.02)*Tabla1[[#This Row],[PRECIO $]]*1.18</f>
        <v>1145.2749599999997</v>
      </c>
      <c r="J412" s="7">
        <f>+Tabla1[[#This Row],[PRECIO EN SOLES]]-Tabla1[[#This Row],[PC]]</f>
        <v>179.7950400000002</v>
      </c>
      <c r="K412" s="15"/>
      <c r="L412" s="15" t="str">
        <f t="shared" si="14"/>
        <v>NORMAL</v>
      </c>
    </row>
    <row r="413" spans="1:12" x14ac:dyDescent="0.25">
      <c r="A413" s="3" t="s">
        <v>1150</v>
      </c>
      <c r="B413" s="3" t="s">
        <v>1151</v>
      </c>
      <c r="C413" s="1">
        <v>0</v>
      </c>
      <c r="D413" s="1">
        <v>9999999.9900000002</v>
      </c>
      <c r="E413" s="1" t="s">
        <v>56</v>
      </c>
      <c r="F413" s="1" t="s">
        <v>3277</v>
      </c>
      <c r="G413" s="3" t="s">
        <v>1152</v>
      </c>
      <c r="H413" s="11">
        <f t="shared" si="15"/>
        <v>47223607.950000003</v>
      </c>
      <c r="I413" s="9">
        <f>($K$2+0.02)*Tabla1[[#This Row],[PRECIO $]]*1.18</f>
        <v>41063999.958935998</v>
      </c>
      <c r="J413" s="7">
        <f>+Tabla1[[#This Row],[PRECIO EN SOLES]]-Tabla1[[#This Row],[PC]]</f>
        <v>6159607.9910640046</v>
      </c>
      <c r="K413" s="15"/>
      <c r="L413" s="15" t="str">
        <f t="shared" si="14"/>
        <v>NORMAL</v>
      </c>
    </row>
    <row r="414" spans="1:12" x14ac:dyDescent="0.25">
      <c r="A414" s="3" t="s">
        <v>1153</v>
      </c>
      <c r="B414" s="3" t="s">
        <v>1154</v>
      </c>
      <c r="C414" s="1">
        <v>1</v>
      </c>
      <c r="D414" s="1">
        <v>218</v>
      </c>
      <c r="E414" s="1" t="s">
        <v>1102</v>
      </c>
      <c r="F414" s="1" t="s">
        <v>3278</v>
      </c>
      <c r="G414" s="3"/>
      <c r="H414" s="11">
        <f t="shared" si="15"/>
        <v>1037.47</v>
      </c>
      <c r="I414" s="9">
        <f>($K$2+0.02)*Tabla1[[#This Row],[PRECIO $]]*1.18</f>
        <v>895.19519999999989</v>
      </c>
      <c r="J414" s="7">
        <f>+Tabla1[[#This Row],[PRECIO EN SOLES]]-Tabla1[[#This Row],[PC]]</f>
        <v>142.27480000000014</v>
      </c>
      <c r="K414" s="15"/>
      <c r="L414" s="15" t="str">
        <f t="shared" si="14"/>
        <v>NORMAL</v>
      </c>
    </row>
    <row r="415" spans="1:12" x14ac:dyDescent="0.25">
      <c r="A415" s="3" t="s">
        <v>1155</v>
      </c>
      <c r="B415" s="3" t="s">
        <v>1156</v>
      </c>
      <c r="C415" s="1">
        <v>2</v>
      </c>
      <c r="D415" s="1">
        <v>1000</v>
      </c>
      <c r="E415" s="1" t="s">
        <v>1102</v>
      </c>
      <c r="F415" s="1" t="s">
        <v>3279</v>
      </c>
      <c r="G415" s="3" t="s">
        <v>1157</v>
      </c>
      <c r="H415" s="11">
        <f t="shared" si="15"/>
        <v>4730.3599999999997</v>
      </c>
      <c r="I415" s="9">
        <f>($K$2+0.02)*Tabla1[[#This Row],[PRECIO $]]*1.18</f>
        <v>4106.3999999999996</v>
      </c>
      <c r="J415" s="7">
        <f>+Tabla1[[#This Row],[PRECIO EN SOLES]]-Tabla1[[#This Row],[PC]]</f>
        <v>623.96</v>
      </c>
      <c r="K415" s="15"/>
      <c r="L415" s="15" t="str">
        <f t="shared" si="14"/>
        <v>NORMAL</v>
      </c>
    </row>
    <row r="416" spans="1:12" x14ac:dyDescent="0.25">
      <c r="A416" s="3" t="s">
        <v>1158</v>
      </c>
      <c r="B416" s="3" t="s">
        <v>1159</v>
      </c>
      <c r="C416" s="1">
        <v>1</v>
      </c>
      <c r="D416" s="1">
        <v>1000</v>
      </c>
      <c r="E416" s="1" t="s">
        <v>1102</v>
      </c>
      <c r="F416" s="1" t="s">
        <v>3280</v>
      </c>
      <c r="G416" s="3" t="s">
        <v>1160</v>
      </c>
      <c r="H416" s="11">
        <f t="shared" si="15"/>
        <v>4730.3599999999997</v>
      </c>
      <c r="I416" s="9">
        <f>($K$2+0.02)*Tabla1[[#This Row],[PRECIO $]]*1.18</f>
        <v>4106.3999999999996</v>
      </c>
      <c r="J416" s="7">
        <f>+Tabla1[[#This Row],[PRECIO EN SOLES]]-Tabla1[[#This Row],[PC]]</f>
        <v>623.96</v>
      </c>
      <c r="K416" s="15"/>
      <c r="L416" s="15" t="str">
        <f t="shared" si="14"/>
        <v>NORMAL</v>
      </c>
    </row>
    <row r="417" spans="1:12" x14ac:dyDescent="0.25">
      <c r="A417" s="3" t="s">
        <v>1161</v>
      </c>
      <c r="B417" s="3" t="s">
        <v>1162</v>
      </c>
      <c r="C417" s="1">
        <v>20</v>
      </c>
      <c r="D417" s="1">
        <v>113</v>
      </c>
      <c r="E417" s="1" t="s">
        <v>56</v>
      </c>
      <c r="F417" s="1" t="s">
        <v>3281</v>
      </c>
      <c r="G417" s="3" t="s">
        <v>1163</v>
      </c>
      <c r="H417" s="11">
        <f t="shared" si="15"/>
        <v>541.63</v>
      </c>
      <c r="I417" s="9">
        <f>($K$2+0.02)*Tabla1[[#This Row],[PRECIO $]]*1.18</f>
        <v>464.02319999999997</v>
      </c>
      <c r="J417" s="7">
        <f>+Tabla1[[#This Row],[PRECIO EN SOLES]]-Tabla1[[#This Row],[PC]]</f>
        <v>77.606800000000021</v>
      </c>
      <c r="K417" s="15"/>
      <c r="L417" s="15" t="str">
        <f t="shared" si="14"/>
        <v>NORMAL</v>
      </c>
    </row>
    <row r="418" spans="1:12" x14ac:dyDescent="0.25">
      <c r="A418" s="3" t="s">
        <v>1164</v>
      </c>
      <c r="B418" s="3" t="s">
        <v>1165</v>
      </c>
      <c r="C418" s="1">
        <v>2</v>
      </c>
      <c r="D418" s="1">
        <v>150</v>
      </c>
      <c r="E418" s="1" t="s">
        <v>1166</v>
      </c>
      <c r="F418" s="1" t="s">
        <v>3282</v>
      </c>
      <c r="G418" s="3"/>
      <c r="H418" s="11">
        <f t="shared" si="15"/>
        <v>716.35</v>
      </c>
      <c r="I418" s="9">
        <f>($K$2+0.02)*Tabla1[[#This Row],[PRECIO $]]*1.18</f>
        <v>615.95999999999992</v>
      </c>
      <c r="J418" s="7">
        <f>+Tabla1[[#This Row],[PRECIO EN SOLES]]-Tabla1[[#This Row],[PC]]</f>
        <v>100.3900000000001</v>
      </c>
      <c r="K418" s="15"/>
      <c r="L418" s="15" t="str">
        <f t="shared" si="14"/>
        <v>NORMAL</v>
      </c>
    </row>
    <row r="419" spans="1:12" x14ac:dyDescent="0.25">
      <c r="A419" s="3" t="s">
        <v>6699</v>
      </c>
      <c r="B419" s="3" t="s">
        <v>6700</v>
      </c>
      <c r="C419" s="1">
        <v>10</v>
      </c>
      <c r="D419" s="1">
        <v>177.2</v>
      </c>
      <c r="E419" s="1" t="s">
        <v>141</v>
      </c>
      <c r="F419" s="1" t="s">
        <v>6701</v>
      </c>
      <c r="G419" s="3"/>
      <c r="H419" s="11">
        <f t="shared" si="15"/>
        <v>844.8</v>
      </c>
      <c r="I419" s="9">
        <f>($K$2+0.02)*Tabla1[[#This Row],[PRECIO $]]*1.18</f>
        <v>727.65407999999991</v>
      </c>
      <c r="J419" s="7">
        <f>+Tabla1[[#This Row],[PRECIO EN SOLES]]-Tabla1[[#This Row],[PC]]</f>
        <v>117.14592000000005</v>
      </c>
      <c r="K419" s="15"/>
      <c r="L419" s="15" t="str">
        <f t="shared" si="14"/>
        <v>NORMAL</v>
      </c>
    </row>
    <row r="420" spans="1:12" x14ac:dyDescent="0.25">
      <c r="A420" s="3" t="s">
        <v>1167</v>
      </c>
      <c r="B420" s="3" t="s">
        <v>1168</v>
      </c>
      <c r="C420" s="1">
        <v>2</v>
      </c>
      <c r="D420" s="1">
        <v>170.15</v>
      </c>
      <c r="E420" s="1" t="s">
        <v>154</v>
      </c>
      <c r="F420" s="1" t="s">
        <v>3283</v>
      </c>
      <c r="G420" s="3" t="s">
        <v>1169</v>
      </c>
      <c r="H420" s="11">
        <f t="shared" si="15"/>
        <v>811.51</v>
      </c>
      <c r="I420" s="9">
        <f>($K$2+0.02)*Tabla1[[#This Row],[PRECIO $]]*1.18</f>
        <v>698.70396000000005</v>
      </c>
      <c r="J420" s="7">
        <f>+Tabla1[[#This Row],[PRECIO EN SOLES]]-Tabla1[[#This Row],[PC]]</f>
        <v>112.80603999999994</v>
      </c>
      <c r="K420" s="15"/>
      <c r="L420" s="15" t="str">
        <f t="shared" si="14"/>
        <v>NORMAL</v>
      </c>
    </row>
    <row r="421" spans="1:12" x14ac:dyDescent="0.25">
      <c r="A421" s="3" t="s">
        <v>235</v>
      </c>
      <c r="B421" s="3" t="s">
        <v>236</v>
      </c>
      <c r="C421" s="1">
        <v>20</v>
      </c>
      <c r="D421" s="1">
        <v>29</v>
      </c>
      <c r="E421" s="1" t="s">
        <v>52</v>
      </c>
      <c r="F421" s="1" t="s">
        <v>3284</v>
      </c>
      <c r="G421" s="3" t="s">
        <v>237</v>
      </c>
      <c r="H421" s="11">
        <f t="shared" si="15"/>
        <v>142.94999999999999</v>
      </c>
      <c r="I421" s="9">
        <f>($K$2+0.02)*Tabla1[[#This Row],[PRECIO $]]*1.18</f>
        <v>119.0856</v>
      </c>
      <c r="J421" s="7">
        <f>+Tabla1[[#This Row],[PRECIO EN SOLES]]-Tabla1[[#This Row],[PC]]</f>
        <v>23.864399999999989</v>
      </c>
      <c r="K421" s="15"/>
      <c r="L421" s="15" t="str">
        <f t="shared" si="14"/>
        <v>NORMAL</v>
      </c>
    </row>
    <row r="422" spans="1:12" x14ac:dyDescent="0.25">
      <c r="A422" s="3" t="s">
        <v>1170</v>
      </c>
      <c r="B422" s="3" t="s">
        <v>1171</v>
      </c>
      <c r="C422" s="1">
        <v>0</v>
      </c>
      <c r="D422" s="1">
        <v>350</v>
      </c>
      <c r="E422" s="1" t="s">
        <v>52</v>
      </c>
      <c r="F422" s="1" t="s">
        <v>3285</v>
      </c>
      <c r="G422" s="3"/>
      <c r="H422" s="11">
        <f t="shared" si="15"/>
        <v>1660.83</v>
      </c>
      <c r="I422" s="9">
        <f>($K$2+0.02)*Tabla1[[#This Row],[PRECIO $]]*1.18</f>
        <v>1437.24</v>
      </c>
      <c r="J422" s="7">
        <f>+Tabla1[[#This Row],[PRECIO EN SOLES]]-Tabla1[[#This Row],[PC]]</f>
        <v>223.58999999999992</v>
      </c>
      <c r="K422" s="15"/>
      <c r="L422" s="15" t="str">
        <f t="shared" si="14"/>
        <v>NORMAL</v>
      </c>
    </row>
    <row r="423" spans="1:12" x14ac:dyDescent="0.25">
      <c r="A423" s="3" t="s">
        <v>1172</v>
      </c>
      <c r="B423" s="3" t="s">
        <v>1173</v>
      </c>
      <c r="C423" s="1">
        <v>14</v>
      </c>
      <c r="D423" s="1">
        <v>44</v>
      </c>
      <c r="E423" s="1" t="s">
        <v>141</v>
      </c>
      <c r="F423" s="1" t="s">
        <v>3286</v>
      </c>
      <c r="G423" s="3"/>
      <c r="H423" s="11">
        <f t="shared" si="15"/>
        <v>215.78</v>
      </c>
      <c r="I423" s="9">
        <f>($K$2+0.02)*Tabla1[[#This Row],[PRECIO $]]*1.18</f>
        <v>180.6816</v>
      </c>
      <c r="J423" s="7">
        <f>+Tabla1[[#This Row],[PRECIO EN SOLES]]-Tabla1[[#This Row],[PC]]</f>
        <v>35.098399999999998</v>
      </c>
      <c r="K423" s="15"/>
      <c r="L423" s="15" t="str">
        <f t="shared" si="14"/>
        <v>NORMAL</v>
      </c>
    </row>
    <row r="424" spans="1:12" x14ac:dyDescent="0.25">
      <c r="A424" s="3" t="s">
        <v>1174</v>
      </c>
      <c r="B424" s="3" t="s">
        <v>1175</v>
      </c>
      <c r="C424" s="1">
        <v>3</v>
      </c>
      <c r="D424" s="1">
        <v>300</v>
      </c>
      <c r="E424" s="1" t="s">
        <v>154</v>
      </c>
      <c r="F424" s="1" t="s">
        <v>3287</v>
      </c>
      <c r="G424" s="3" t="s">
        <v>1176</v>
      </c>
      <c r="H424" s="11">
        <f t="shared" si="15"/>
        <v>1424.71</v>
      </c>
      <c r="I424" s="9">
        <f>($K$2+0.02)*Tabla1[[#This Row],[PRECIO $]]*1.18</f>
        <v>1231.9199999999998</v>
      </c>
      <c r="J424" s="7">
        <f>+Tabla1[[#This Row],[PRECIO EN SOLES]]-Tabla1[[#This Row],[PC]]</f>
        <v>192.79000000000019</v>
      </c>
      <c r="K424" s="15"/>
      <c r="L424" s="15" t="str">
        <f t="shared" si="14"/>
        <v>NORMAL</v>
      </c>
    </row>
    <row r="425" spans="1:12" x14ac:dyDescent="0.25">
      <c r="A425" s="3" t="s">
        <v>1177</v>
      </c>
      <c r="B425" s="3" t="s">
        <v>1178</v>
      </c>
      <c r="C425" s="1">
        <v>2</v>
      </c>
      <c r="D425" s="1">
        <v>77.7</v>
      </c>
      <c r="E425" s="1" t="s">
        <v>141</v>
      </c>
      <c r="F425" s="1" t="s">
        <v>3288</v>
      </c>
      <c r="G425" s="3" t="s">
        <v>1179</v>
      </c>
      <c r="H425" s="11">
        <f t="shared" si="15"/>
        <v>374.93</v>
      </c>
      <c r="I425" s="9">
        <f>($K$2+0.02)*Tabla1[[#This Row],[PRECIO $]]*1.18</f>
        <v>319.06727999999998</v>
      </c>
      <c r="J425" s="7">
        <f>+Tabla1[[#This Row],[PRECIO EN SOLES]]-Tabla1[[#This Row],[PC]]</f>
        <v>55.862720000000024</v>
      </c>
      <c r="K425" s="15"/>
      <c r="L425" s="15" t="str">
        <f t="shared" si="14"/>
        <v>NORMAL</v>
      </c>
    </row>
    <row r="426" spans="1:12" x14ac:dyDescent="0.25">
      <c r="A426" s="3" t="s">
        <v>6702</v>
      </c>
      <c r="B426" s="3" t="s">
        <v>6703</v>
      </c>
      <c r="C426" s="1">
        <v>5</v>
      </c>
      <c r="D426" s="1">
        <v>920</v>
      </c>
      <c r="E426" s="1" t="s">
        <v>141</v>
      </c>
      <c r="F426" s="1" t="s">
        <v>6704</v>
      </c>
      <c r="G426" s="3" t="s">
        <v>6705</v>
      </c>
      <c r="H426" s="11">
        <f t="shared" si="15"/>
        <v>4352.57</v>
      </c>
      <c r="I426" s="9">
        <f>($K$2+0.02)*Tabla1[[#This Row],[PRECIO $]]*1.18</f>
        <v>3777.8879999999999</v>
      </c>
      <c r="J426" s="7">
        <f>+Tabla1[[#This Row],[PRECIO EN SOLES]]-Tabla1[[#This Row],[PC]]</f>
        <v>574.68199999999979</v>
      </c>
      <c r="K426" s="15"/>
      <c r="L426" s="15" t="str">
        <f t="shared" si="14"/>
        <v>NORMAL</v>
      </c>
    </row>
    <row r="427" spans="1:12" x14ac:dyDescent="0.25">
      <c r="A427" s="3" t="s">
        <v>4937</v>
      </c>
      <c r="B427" s="3" t="s">
        <v>4938</v>
      </c>
      <c r="C427" s="1">
        <v>12</v>
      </c>
      <c r="D427" s="1">
        <v>433</v>
      </c>
      <c r="E427" s="1" t="s">
        <v>141</v>
      </c>
      <c r="F427" s="1" t="s">
        <v>4939</v>
      </c>
      <c r="G427" s="3" t="s">
        <v>4940</v>
      </c>
      <c r="H427" s="11">
        <f t="shared" si="15"/>
        <v>2052.7800000000002</v>
      </c>
      <c r="I427" s="9">
        <f>($K$2+0.02)*Tabla1[[#This Row],[PRECIO $]]*1.18</f>
        <v>1778.0711999999999</v>
      </c>
      <c r="J427" s="7">
        <f>+Tabla1[[#This Row],[PRECIO EN SOLES]]-Tabla1[[#This Row],[PC]]</f>
        <v>274.70880000000034</v>
      </c>
      <c r="K427" s="15"/>
      <c r="L427" s="15" t="str">
        <f t="shared" si="14"/>
        <v>NORMAL</v>
      </c>
    </row>
    <row r="428" spans="1:12" x14ac:dyDescent="0.25">
      <c r="A428" s="3" t="s">
        <v>2930</v>
      </c>
      <c r="B428" s="3" t="s">
        <v>2931</v>
      </c>
      <c r="C428" s="1">
        <v>10</v>
      </c>
      <c r="D428" s="1">
        <v>250</v>
      </c>
      <c r="E428" s="1" t="s">
        <v>56</v>
      </c>
      <c r="F428" s="1" t="s">
        <v>3289</v>
      </c>
      <c r="G428" s="3"/>
      <c r="H428" s="11">
        <f t="shared" si="15"/>
        <v>1188.5899999999999</v>
      </c>
      <c r="I428" s="9">
        <f>($K$2+0.02)*Tabla1[[#This Row],[PRECIO $]]*1.18</f>
        <v>1026.5999999999999</v>
      </c>
      <c r="J428" s="7">
        <f>+Tabla1[[#This Row],[PRECIO EN SOLES]]-Tabla1[[#This Row],[PC]]</f>
        <v>161.99</v>
      </c>
      <c r="K428" s="15"/>
      <c r="L428" s="15" t="str">
        <f t="shared" si="14"/>
        <v>NORMAL</v>
      </c>
    </row>
    <row r="429" spans="1:12" x14ac:dyDescent="0.25">
      <c r="A429" s="3" t="s">
        <v>2932</v>
      </c>
      <c r="B429" s="3" t="s">
        <v>2933</v>
      </c>
      <c r="C429" s="1">
        <v>2</v>
      </c>
      <c r="D429" s="1">
        <v>356</v>
      </c>
      <c r="E429" s="1" t="s">
        <v>56</v>
      </c>
      <c r="F429" s="1" t="s">
        <v>3290</v>
      </c>
      <c r="G429" s="3"/>
      <c r="H429" s="11">
        <f t="shared" si="15"/>
        <v>1689.16</v>
      </c>
      <c r="I429" s="9">
        <f>($K$2+0.02)*Tabla1[[#This Row],[PRECIO $]]*1.18</f>
        <v>1461.8783999999998</v>
      </c>
      <c r="J429" s="7">
        <f>+Tabla1[[#This Row],[PRECIO EN SOLES]]-Tabla1[[#This Row],[PC]]</f>
        <v>227.28160000000025</v>
      </c>
      <c r="K429" s="15"/>
      <c r="L429" s="15" t="str">
        <f t="shared" si="14"/>
        <v>NORMAL</v>
      </c>
    </row>
    <row r="430" spans="1:12" x14ac:dyDescent="0.25">
      <c r="A430" s="3" t="s">
        <v>2934</v>
      </c>
      <c r="B430" s="3" t="s">
        <v>2935</v>
      </c>
      <c r="C430" s="1">
        <v>7</v>
      </c>
      <c r="D430" s="1">
        <v>493</v>
      </c>
      <c r="E430" s="1" t="s">
        <v>56</v>
      </c>
      <c r="F430" s="1" t="s">
        <v>3291</v>
      </c>
      <c r="G430" s="3"/>
      <c r="H430" s="11">
        <f t="shared" si="15"/>
        <v>2336.12</v>
      </c>
      <c r="I430" s="9">
        <f>($K$2+0.02)*Tabla1[[#This Row],[PRECIO $]]*1.18</f>
        <v>2024.4552000000001</v>
      </c>
      <c r="J430" s="7">
        <f>+Tabla1[[#This Row],[PRECIO EN SOLES]]-Tabla1[[#This Row],[PC]]</f>
        <v>311.66479999999979</v>
      </c>
      <c r="K430" s="15"/>
      <c r="L430" s="15" t="str">
        <f t="shared" si="14"/>
        <v>NORMAL</v>
      </c>
    </row>
    <row r="431" spans="1:12" x14ac:dyDescent="0.25">
      <c r="A431" s="3" t="s">
        <v>1180</v>
      </c>
      <c r="B431" s="3" t="s">
        <v>1181</v>
      </c>
      <c r="C431" s="1">
        <v>1</v>
      </c>
      <c r="D431" s="1">
        <v>1612</v>
      </c>
      <c r="E431" s="1" t="s">
        <v>141</v>
      </c>
      <c r="F431" s="1" t="s">
        <v>3292</v>
      </c>
      <c r="G431" s="3"/>
      <c r="H431" s="11">
        <f t="shared" si="15"/>
        <v>7620.44</v>
      </c>
      <c r="I431" s="9">
        <f>($K$2+0.02)*Tabla1[[#This Row],[PRECIO $]]*1.18</f>
        <v>6619.5168000000003</v>
      </c>
      <c r="J431" s="7">
        <f>+Tabla1[[#This Row],[PRECIO EN SOLES]]-Tabla1[[#This Row],[PC]]</f>
        <v>1000.9231999999993</v>
      </c>
      <c r="K431" s="15"/>
      <c r="L431" s="15" t="str">
        <f t="shared" si="14"/>
        <v>NORMAL</v>
      </c>
    </row>
    <row r="432" spans="1:12" x14ac:dyDescent="0.25">
      <c r="A432" s="3" t="s">
        <v>1182</v>
      </c>
      <c r="B432" s="3" t="s">
        <v>1183</v>
      </c>
      <c r="C432" s="1">
        <v>3</v>
      </c>
      <c r="D432" s="1">
        <v>612</v>
      </c>
      <c r="E432" s="1" t="s">
        <v>154</v>
      </c>
      <c r="F432" s="1" t="s">
        <v>3293</v>
      </c>
      <c r="G432" s="3" t="s">
        <v>4781</v>
      </c>
      <c r="H432" s="11">
        <f t="shared" si="15"/>
        <v>2898.08</v>
      </c>
      <c r="I432" s="9">
        <f>($K$2+0.02)*Tabla1[[#This Row],[PRECIO $]]*1.18</f>
        <v>2513.1167999999998</v>
      </c>
      <c r="J432" s="7">
        <f>+Tabla1[[#This Row],[PRECIO EN SOLES]]-Tabla1[[#This Row],[PC]]</f>
        <v>384.96320000000014</v>
      </c>
      <c r="K432" s="15"/>
      <c r="L432" s="15" t="str">
        <f t="shared" si="14"/>
        <v>NORMAL</v>
      </c>
    </row>
    <row r="433" spans="1:12" x14ac:dyDescent="0.25">
      <c r="A433" s="3" t="s">
        <v>1184</v>
      </c>
      <c r="B433" s="3" t="s">
        <v>1185</v>
      </c>
      <c r="C433" s="1">
        <v>4</v>
      </c>
      <c r="D433" s="1">
        <v>4235</v>
      </c>
      <c r="E433" s="1" t="s">
        <v>141</v>
      </c>
      <c r="F433" s="1" t="s">
        <v>3294</v>
      </c>
      <c r="G433" s="3" t="s">
        <v>1186</v>
      </c>
      <c r="H433" s="11">
        <f t="shared" si="15"/>
        <v>20007.189999999999</v>
      </c>
      <c r="I433" s="9">
        <f>($K$2+0.02)*Tabla1[[#This Row],[PRECIO $]]*1.18</f>
        <v>17390.603999999999</v>
      </c>
      <c r="J433" s="7">
        <f>+Tabla1[[#This Row],[PRECIO EN SOLES]]-Tabla1[[#This Row],[PC]]</f>
        <v>2616.5859999999993</v>
      </c>
      <c r="K433" s="15"/>
      <c r="L433" s="15" t="str">
        <f t="shared" si="14"/>
        <v>NORMAL</v>
      </c>
    </row>
    <row r="434" spans="1:12" x14ac:dyDescent="0.25">
      <c r="A434" s="3" t="s">
        <v>1187</v>
      </c>
      <c r="B434" s="3" t="s">
        <v>1188</v>
      </c>
      <c r="C434" s="1">
        <v>4</v>
      </c>
      <c r="D434" s="1">
        <v>373</v>
      </c>
      <c r="E434" s="1" t="s">
        <v>154</v>
      </c>
      <c r="F434" s="1" t="s">
        <v>3295</v>
      </c>
      <c r="G434" s="3" t="s">
        <v>1189</v>
      </c>
      <c r="H434" s="11">
        <f t="shared" si="15"/>
        <v>1769.44</v>
      </c>
      <c r="I434" s="9">
        <f>($K$2+0.02)*Tabla1[[#This Row],[PRECIO $]]*1.18</f>
        <v>1531.6871999999998</v>
      </c>
      <c r="J434" s="7">
        <f>+Tabla1[[#This Row],[PRECIO EN SOLES]]-Tabla1[[#This Row],[PC]]</f>
        <v>237.75280000000021</v>
      </c>
      <c r="K434" s="15"/>
      <c r="L434" s="15" t="str">
        <f t="shared" si="14"/>
        <v>NORMAL</v>
      </c>
    </row>
    <row r="435" spans="1:12" x14ac:dyDescent="0.25">
      <c r="A435" s="3" t="s">
        <v>4941</v>
      </c>
      <c r="B435" s="3" t="s">
        <v>4942</v>
      </c>
      <c r="C435" s="1">
        <v>8</v>
      </c>
      <c r="D435" s="1">
        <v>919</v>
      </c>
      <c r="E435" s="1" t="s">
        <v>154</v>
      </c>
      <c r="F435" s="1" t="s">
        <v>4943</v>
      </c>
      <c r="G435" s="3"/>
      <c r="H435" s="11">
        <f t="shared" si="15"/>
        <v>4347.8500000000004</v>
      </c>
      <c r="I435" s="9">
        <f>($K$2+0.02)*Tabla1[[#This Row],[PRECIO $]]*1.18</f>
        <v>3773.7815999999998</v>
      </c>
      <c r="J435" s="7">
        <f>+Tabla1[[#This Row],[PRECIO EN SOLES]]-Tabla1[[#This Row],[PC]]</f>
        <v>574.06840000000057</v>
      </c>
      <c r="K435" s="15"/>
      <c r="L435" s="15" t="str">
        <f t="shared" si="14"/>
        <v>NORMAL</v>
      </c>
    </row>
    <row r="436" spans="1:12" x14ac:dyDescent="0.25">
      <c r="A436" s="3" t="s">
        <v>1190</v>
      </c>
      <c r="B436" s="3" t="s">
        <v>1191</v>
      </c>
      <c r="C436" s="1">
        <v>20</v>
      </c>
      <c r="D436" s="1">
        <v>1496</v>
      </c>
      <c r="E436" s="1" t="s">
        <v>141</v>
      </c>
      <c r="F436" s="1" t="s">
        <v>3296</v>
      </c>
      <c r="G436" s="3" t="s">
        <v>1192</v>
      </c>
      <c r="H436" s="11">
        <f t="shared" si="15"/>
        <v>7072.65</v>
      </c>
      <c r="I436" s="9">
        <f>($K$2+0.02)*Tabla1[[#This Row],[PRECIO $]]*1.18</f>
        <v>6143.1743999999999</v>
      </c>
      <c r="J436" s="7">
        <f>+Tabla1[[#This Row],[PRECIO EN SOLES]]-Tabla1[[#This Row],[PC]]</f>
        <v>929.47559999999976</v>
      </c>
      <c r="K436" s="15"/>
      <c r="L436" s="15" t="str">
        <f t="shared" si="14"/>
        <v>NORMAL</v>
      </c>
    </row>
    <row r="437" spans="1:12" x14ac:dyDescent="0.25">
      <c r="A437" s="3" t="s">
        <v>1193</v>
      </c>
      <c r="B437" s="3" t="s">
        <v>1194</v>
      </c>
      <c r="C437" s="1">
        <v>11</v>
      </c>
      <c r="D437" s="1">
        <v>1716</v>
      </c>
      <c r="E437" s="1" t="s">
        <v>141</v>
      </c>
      <c r="F437" s="1" t="s">
        <v>3297</v>
      </c>
      <c r="G437" s="3" t="s">
        <v>1195</v>
      </c>
      <c r="H437" s="11">
        <f t="shared" si="15"/>
        <v>8111.57</v>
      </c>
      <c r="I437" s="9">
        <f>($K$2+0.02)*Tabla1[[#This Row],[PRECIO $]]*1.18</f>
        <v>7046.5824000000002</v>
      </c>
      <c r="J437" s="7">
        <f>+Tabla1[[#This Row],[PRECIO EN SOLES]]-Tabla1[[#This Row],[PC]]</f>
        <v>1064.9875999999995</v>
      </c>
      <c r="K437" s="15"/>
      <c r="L437" s="15" t="str">
        <f t="shared" si="14"/>
        <v>NORMAL</v>
      </c>
    </row>
    <row r="438" spans="1:12" x14ac:dyDescent="0.25">
      <c r="A438" s="3" t="s">
        <v>1196</v>
      </c>
      <c r="B438" s="3" t="s">
        <v>1197</v>
      </c>
      <c r="C438" s="1">
        <v>6</v>
      </c>
      <c r="D438" s="1">
        <v>572</v>
      </c>
      <c r="E438" s="1" t="s">
        <v>154</v>
      </c>
      <c r="F438" s="1" t="s">
        <v>3298</v>
      </c>
      <c r="G438" s="3" t="s">
        <v>1198</v>
      </c>
      <c r="H438" s="11">
        <f t="shared" si="15"/>
        <v>2709.19</v>
      </c>
      <c r="I438" s="9">
        <f>($K$2+0.02)*Tabla1[[#This Row],[PRECIO $]]*1.18</f>
        <v>2348.8607999999999</v>
      </c>
      <c r="J438" s="7">
        <f>+Tabla1[[#This Row],[PRECIO EN SOLES]]-Tabla1[[#This Row],[PC]]</f>
        <v>360.32920000000013</v>
      </c>
      <c r="K438" s="15"/>
      <c r="L438" s="15" t="str">
        <f t="shared" si="14"/>
        <v>NORMAL</v>
      </c>
    </row>
    <row r="439" spans="1:12" x14ac:dyDescent="0.25">
      <c r="A439" s="3" t="s">
        <v>1199</v>
      </c>
      <c r="B439" s="3" t="s">
        <v>1197</v>
      </c>
      <c r="C439" s="1">
        <v>4</v>
      </c>
      <c r="D439" s="1">
        <v>580</v>
      </c>
      <c r="E439" s="1" t="s">
        <v>154</v>
      </c>
      <c r="F439" s="1" t="s">
        <v>3299</v>
      </c>
      <c r="G439" s="3" t="s">
        <v>1198</v>
      </c>
      <c r="H439" s="11">
        <f t="shared" si="15"/>
        <v>2746.97</v>
      </c>
      <c r="I439" s="9">
        <f>($K$2+0.02)*Tabla1[[#This Row],[PRECIO $]]*1.18</f>
        <v>2381.712</v>
      </c>
      <c r="J439" s="7">
        <f>+Tabla1[[#This Row],[PRECIO EN SOLES]]-Tabla1[[#This Row],[PC]]</f>
        <v>365.25799999999981</v>
      </c>
      <c r="K439" s="15"/>
      <c r="L439" s="15" t="str">
        <f t="shared" si="14"/>
        <v>NORMAL</v>
      </c>
    </row>
    <row r="440" spans="1:12" x14ac:dyDescent="0.25">
      <c r="A440" s="3" t="s">
        <v>4782</v>
      </c>
      <c r="B440" s="3" t="s">
        <v>4783</v>
      </c>
      <c r="C440" s="1">
        <v>3</v>
      </c>
      <c r="D440" s="1">
        <v>572</v>
      </c>
      <c r="E440" s="1" t="s">
        <v>154</v>
      </c>
      <c r="F440" s="1" t="s">
        <v>4784</v>
      </c>
      <c r="G440" s="3" t="s">
        <v>4785</v>
      </c>
      <c r="H440" s="11">
        <f t="shared" si="15"/>
        <v>2709.19</v>
      </c>
      <c r="I440" s="9">
        <f>($K$2+0.02)*Tabla1[[#This Row],[PRECIO $]]*1.18</f>
        <v>2348.8607999999999</v>
      </c>
      <c r="J440" s="7">
        <f>+Tabla1[[#This Row],[PRECIO EN SOLES]]-Tabla1[[#This Row],[PC]]</f>
        <v>360.32920000000013</v>
      </c>
      <c r="K440" s="15"/>
      <c r="L440" s="15" t="str">
        <f t="shared" si="14"/>
        <v>NORMAL</v>
      </c>
    </row>
    <row r="441" spans="1:12" x14ac:dyDescent="0.25">
      <c r="A441" s="3" t="s">
        <v>1200</v>
      </c>
      <c r="B441" s="3" t="s">
        <v>1201</v>
      </c>
      <c r="C441" s="1">
        <v>1</v>
      </c>
      <c r="D441" s="1">
        <v>471</v>
      </c>
      <c r="E441" s="1" t="s">
        <v>154</v>
      </c>
      <c r="F441" s="1" t="s">
        <v>3300</v>
      </c>
      <c r="G441" s="3" t="s">
        <v>4785</v>
      </c>
      <c r="H441" s="11">
        <f t="shared" si="15"/>
        <v>2232.23</v>
      </c>
      <c r="I441" s="9">
        <f>($K$2+0.02)*Tabla1[[#This Row],[PRECIO $]]*1.18</f>
        <v>1934.1143999999997</v>
      </c>
      <c r="J441" s="7">
        <f>+Tabla1[[#This Row],[PRECIO EN SOLES]]-Tabla1[[#This Row],[PC]]</f>
        <v>298.11560000000031</v>
      </c>
      <c r="K441" s="15"/>
      <c r="L441" s="15" t="str">
        <f t="shared" si="14"/>
        <v>NORMAL</v>
      </c>
    </row>
    <row r="442" spans="1:12" x14ac:dyDescent="0.25">
      <c r="A442" s="3" t="s">
        <v>1202</v>
      </c>
      <c r="B442" s="3" t="s">
        <v>1203</v>
      </c>
      <c r="C442" s="1">
        <v>20</v>
      </c>
      <c r="D442" s="1">
        <v>572</v>
      </c>
      <c r="E442" s="1" t="s">
        <v>154</v>
      </c>
      <c r="F442" s="1" t="s">
        <v>3301</v>
      </c>
      <c r="G442" s="3" t="s">
        <v>1204</v>
      </c>
      <c r="H442" s="11">
        <f t="shared" si="15"/>
        <v>2709.19</v>
      </c>
      <c r="I442" s="9">
        <f>($K$2+0.02)*Tabla1[[#This Row],[PRECIO $]]*1.18</f>
        <v>2348.8607999999999</v>
      </c>
      <c r="J442" s="7">
        <f>+Tabla1[[#This Row],[PRECIO EN SOLES]]-Tabla1[[#This Row],[PC]]</f>
        <v>360.32920000000013</v>
      </c>
      <c r="K442" s="15"/>
      <c r="L442" s="15" t="str">
        <f t="shared" si="14"/>
        <v>NORMAL</v>
      </c>
    </row>
    <row r="443" spans="1:12" x14ac:dyDescent="0.25">
      <c r="A443" s="3" t="s">
        <v>238</v>
      </c>
      <c r="B443" s="3" t="s">
        <v>239</v>
      </c>
      <c r="C443" s="1">
        <v>0</v>
      </c>
      <c r="D443" s="1">
        <v>525</v>
      </c>
      <c r="E443" s="1" t="s">
        <v>154</v>
      </c>
      <c r="F443" s="1" t="s">
        <v>3302</v>
      </c>
      <c r="G443" s="3" t="s">
        <v>240</v>
      </c>
      <c r="H443" s="11">
        <f t="shared" si="15"/>
        <v>2487.2399999999998</v>
      </c>
      <c r="I443" s="9">
        <f>($K$2+0.02)*Tabla1[[#This Row],[PRECIO $]]*1.18</f>
        <v>2155.8599999999997</v>
      </c>
      <c r="J443" s="7">
        <f>+Tabla1[[#This Row],[PRECIO EN SOLES]]-Tabla1[[#This Row],[PC]]</f>
        <v>331.38000000000011</v>
      </c>
      <c r="K443" s="15"/>
      <c r="L443" s="15" t="str">
        <f t="shared" si="14"/>
        <v>NORMAL</v>
      </c>
    </row>
    <row r="444" spans="1:12" x14ac:dyDescent="0.25">
      <c r="A444" s="3" t="s">
        <v>643</v>
      </c>
      <c r="B444" s="3" t="s">
        <v>644</v>
      </c>
      <c r="C444" s="1">
        <v>20</v>
      </c>
      <c r="D444" s="1">
        <v>376</v>
      </c>
      <c r="E444" s="1" t="s">
        <v>154</v>
      </c>
      <c r="F444" s="1" t="s">
        <v>3303</v>
      </c>
      <c r="G444" s="3"/>
      <c r="H444" s="11">
        <f t="shared" si="15"/>
        <v>1783.61</v>
      </c>
      <c r="I444" s="9">
        <f>($K$2+0.02)*Tabla1[[#This Row],[PRECIO $]]*1.18</f>
        <v>1544.0064</v>
      </c>
      <c r="J444" s="7">
        <f>+Tabla1[[#This Row],[PRECIO EN SOLES]]-Tabla1[[#This Row],[PC]]</f>
        <v>239.60359999999991</v>
      </c>
      <c r="K444" s="15"/>
      <c r="L444" s="15" t="str">
        <f t="shared" si="14"/>
        <v>NORMAL</v>
      </c>
    </row>
    <row r="445" spans="1:12" x14ac:dyDescent="0.25">
      <c r="A445" s="3" t="s">
        <v>1205</v>
      </c>
      <c r="B445" s="3" t="s">
        <v>1206</v>
      </c>
      <c r="C445" s="1">
        <v>16</v>
      </c>
      <c r="D445" s="1">
        <v>734</v>
      </c>
      <c r="E445" s="1" t="s">
        <v>154</v>
      </c>
      <c r="F445" s="1" t="s">
        <v>3304</v>
      </c>
      <c r="G445" s="3"/>
      <c r="H445" s="11">
        <f t="shared" si="15"/>
        <v>3474.21</v>
      </c>
      <c r="I445" s="9">
        <f>($K$2+0.02)*Tabla1[[#This Row],[PRECIO $]]*1.18</f>
        <v>3014.0976000000001</v>
      </c>
      <c r="J445" s="7">
        <f>+Tabla1[[#This Row],[PRECIO EN SOLES]]-Tabla1[[#This Row],[PC]]</f>
        <v>460.11239999999998</v>
      </c>
      <c r="K445" s="15"/>
      <c r="L445" s="15" t="str">
        <f t="shared" si="14"/>
        <v>NORMAL</v>
      </c>
    </row>
    <row r="446" spans="1:12" x14ac:dyDescent="0.25">
      <c r="A446" s="3" t="s">
        <v>241</v>
      </c>
      <c r="B446" s="3" t="s">
        <v>242</v>
      </c>
      <c r="C446" s="1">
        <v>20</v>
      </c>
      <c r="D446" s="1">
        <v>503</v>
      </c>
      <c r="E446" s="1" t="s">
        <v>154</v>
      </c>
      <c r="F446" s="1" t="s">
        <v>3305</v>
      </c>
      <c r="G446" s="3" t="s">
        <v>243</v>
      </c>
      <c r="H446" s="11">
        <f t="shared" si="15"/>
        <v>2383.35</v>
      </c>
      <c r="I446" s="9">
        <f>($K$2+0.02)*Tabla1[[#This Row],[PRECIO $]]*1.18</f>
        <v>2065.5192000000002</v>
      </c>
      <c r="J446" s="7">
        <f>+Tabla1[[#This Row],[PRECIO EN SOLES]]-Tabla1[[#This Row],[PC]]</f>
        <v>317.83079999999973</v>
      </c>
      <c r="K446" s="15"/>
      <c r="L446" s="15" t="str">
        <f t="shared" si="14"/>
        <v>GANCHO</v>
      </c>
    </row>
    <row r="447" spans="1:12" x14ac:dyDescent="0.25">
      <c r="A447" s="3" t="s">
        <v>6471</v>
      </c>
      <c r="B447" s="3" t="s">
        <v>6472</v>
      </c>
      <c r="C447" s="1">
        <v>20</v>
      </c>
      <c r="D447" s="1">
        <v>44</v>
      </c>
      <c r="E447" s="1" t="s">
        <v>54</v>
      </c>
      <c r="F447" s="1" t="s">
        <v>6473</v>
      </c>
      <c r="G447" s="3" t="s">
        <v>6474</v>
      </c>
      <c r="H447" s="11">
        <f t="shared" si="15"/>
        <v>215.78</v>
      </c>
      <c r="I447" s="9">
        <f>($K$2+0.02)*Tabla1[[#This Row],[PRECIO $]]*1.18</f>
        <v>180.6816</v>
      </c>
      <c r="J447" s="7">
        <f>+Tabla1[[#This Row],[PRECIO EN SOLES]]-Tabla1[[#This Row],[PC]]</f>
        <v>35.098399999999998</v>
      </c>
      <c r="K447" s="15"/>
      <c r="L447" s="15" t="str">
        <f t="shared" si="14"/>
        <v>NORMAL</v>
      </c>
    </row>
    <row r="448" spans="1:12" x14ac:dyDescent="0.25">
      <c r="A448" s="3" t="s">
        <v>1207</v>
      </c>
      <c r="B448" s="3" t="s">
        <v>1208</v>
      </c>
      <c r="C448" s="1">
        <v>1</v>
      </c>
      <c r="D448" s="1">
        <v>2420</v>
      </c>
      <c r="E448" s="1" t="s">
        <v>141</v>
      </c>
      <c r="F448" s="1" t="s">
        <v>3306</v>
      </c>
      <c r="G448" s="3"/>
      <c r="H448" s="11">
        <f t="shared" si="15"/>
        <v>10950.24</v>
      </c>
      <c r="I448" s="9">
        <f>($K$2+0.02)*Tabla1[[#This Row],[PRECIO $]]*1.18</f>
        <v>9937.4879999999994</v>
      </c>
      <c r="J448" s="7">
        <f>+Tabla1[[#This Row],[PRECIO EN SOLES]]-Tabla1[[#This Row],[PC]]</f>
        <v>1012.7520000000004</v>
      </c>
      <c r="K448" s="15"/>
      <c r="L448" s="15" t="str">
        <f t="shared" si="14"/>
        <v>GANCHO</v>
      </c>
    </row>
    <row r="449" spans="1:12" x14ac:dyDescent="0.25">
      <c r="A449" s="3" t="s">
        <v>1209</v>
      </c>
      <c r="B449" s="3" t="s">
        <v>1210</v>
      </c>
      <c r="C449" s="1">
        <v>7</v>
      </c>
      <c r="D449" s="1">
        <v>85</v>
      </c>
      <c r="E449" s="1" t="s">
        <v>1211</v>
      </c>
      <c r="F449" s="1" t="s">
        <v>3307</v>
      </c>
      <c r="G449" s="3" t="s">
        <v>1212</v>
      </c>
      <c r="H449" s="11">
        <f t="shared" si="15"/>
        <v>409.4</v>
      </c>
      <c r="I449" s="9">
        <f>($K$2+0.02)*Tabla1[[#This Row],[PRECIO $]]*1.18</f>
        <v>349.04399999999998</v>
      </c>
      <c r="J449" s="7">
        <f>+Tabla1[[#This Row],[PRECIO EN SOLES]]-Tabla1[[#This Row],[PC]]</f>
        <v>60.355999999999995</v>
      </c>
      <c r="K449" s="15"/>
      <c r="L449" s="15" t="str">
        <f t="shared" si="14"/>
        <v>GANCHO</v>
      </c>
    </row>
    <row r="450" spans="1:12" x14ac:dyDescent="0.25">
      <c r="A450" s="3" t="s">
        <v>4284</v>
      </c>
      <c r="B450" s="3" t="s">
        <v>4285</v>
      </c>
      <c r="C450" s="1">
        <v>1</v>
      </c>
      <c r="D450" s="1">
        <v>726</v>
      </c>
      <c r="E450" s="1" t="s">
        <v>141</v>
      </c>
      <c r="F450" s="1" t="s">
        <v>4286</v>
      </c>
      <c r="G450" s="3" t="s">
        <v>4287</v>
      </c>
      <c r="H450" s="11">
        <f t="shared" si="15"/>
        <v>3298.37</v>
      </c>
      <c r="I450" s="9">
        <f>($K$2+0.02)*Tabla1[[#This Row],[PRECIO $]]*1.18</f>
        <v>2981.2464</v>
      </c>
      <c r="J450" s="7">
        <f>+Tabla1[[#This Row],[PRECIO EN SOLES]]-Tabla1[[#This Row],[PC]]</f>
        <v>317.1235999999999</v>
      </c>
      <c r="K450" s="15"/>
      <c r="L450" s="15" t="str">
        <f t="shared" si="14"/>
        <v>GANCHO</v>
      </c>
    </row>
    <row r="451" spans="1:12" x14ac:dyDescent="0.25">
      <c r="A451" s="3" t="s">
        <v>1214</v>
      </c>
      <c r="B451" s="3" t="s">
        <v>1213</v>
      </c>
      <c r="C451" s="1">
        <v>7</v>
      </c>
      <c r="D451" s="1">
        <v>558</v>
      </c>
      <c r="E451" s="1" t="s">
        <v>56</v>
      </c>
      <c r="F451" s="1" t="s">
        <v>3308</v>
      </c>
      <c r="G451" s="3" t="s">
        <v>1215</v>
      </c>
      <c r="H451" s="11">
        <f t="shared" si="15"/>
        <v>2539.5100000000002</v>
      </c>
      <c r="I451" s="9">
        <f>($K$2+0.02)*Tabla1[[#This Row],[PRECIO $]]*1.18</f>
        <v>2291.3711999999996</v>
      </c>
      <c r="J451" s="7">
        <f>+Tabla1[[#This Row],[PRECIO EN SOLES]]-Tabla1[[#This Row],[PC]]</f>
        <v>248.13880000000063</v>
      </c>
      <c r="K451" s="15"/>
      <c r="L451" s="15" t="str">
        <f t="shared" si="14"/>
        <v>GANCHO</v>
      </c>
    </row>
    <row r="452" spans="1:12" x14ac:dyDescent="0.25">
      <c r="A452" s="3" t="s">
        <v>4786</v>
      </c>
      <c r="B452" s="3" t="s">
        <v>4787</v>
      </c>
      <c r="C452" s="1">
        <v>20</v>
      </c>
      <c r="D452" s="1">
        <v>108</v>
      </c>
      <c r="E452" s="1" t="s">
        <v>56</v>
      </c>
      <c r="F452" s="1" t="s">
        <v>4788</v>
      </c>
      <c r="G452" s="3" t="s">
        <v>4789</v>
      </c>
      <c r="H452" s="11">
        <f t="shared" si="15"/>
        <v>506.84</v>
      </c>
      <c r="I452" s="9">
        <f>($K$2+0.02)*Tabla1[[#This Row],[PRECIO $]]*1.18</f>
        <v>443.49119999999994</v>
      </c>
      <c r="J452" s="7">
        <f>+Tabla1[[#This Row],[PRECIO EN SOLES]]-Tabla1[[#This Row],[PC]]</f>
        <v>63.34880000000004</v>
      </c>
      <c r="K452" s="15"/>
      <c r="L452" s="15" t="str">
        <f t="shared" si="14"/>
        <v>GANCHO</v>
      </c>
    </row>
    <row r="453" spans="1:12" x14ac:dyDescent="0.25">
      <c r="A453" s="3" t="s">
        <v>4944</v>
      </c>
      <c r="B453" s="3" t="s">
        <v>4945</v>
      </c>
      <c r="C453" s="1">
        <v>20</v>
      </c>
      <c r="D453" s="1">
        <v>268</v>
      </c>
      <c r="E453" s="1" t="s">
        <v>56</v>
      </c>
      <c r="F453" s="1" t="s">
        <v>4946</v>
      </c>
      <c r="G453" s="3" t="s">
        <v>4947</v>
      </c>
      <c r="H453" s="11">
        <f t="shared" si="15"/>
        <v>1229.57</v>
      </c>
      <c r="I453" s="9">
        <f>($K$2+0.02)*Tabla1[[#This Row],[PRECIO $]]*1.18</f>
        <v>1100.5151999999998</v>
      </c>
      <c r="J453" s="7">
        <f>+Tabla1[[#This Row],[PRECIO EN SOLES]]-Tabla1[[#This Row],[PC]]</f>
        <v>129.05480000000011</v>
      </c>
      <c r="K453" s="15"/>
      <c r="L453" s="15" t="str">
        <f t="shared" si="14"/>
        <v>GANCHO</v>
      </c>
    </row>
    <row r="454" spans="1:12" x14ac:dyDescent="0.25">
      <c r="A454" s="3" t="s">
        <v>1216</v>
      </c>
      <c r="B454" s="3" t="s">
        <v>1217</v>
      </c>
      <c r="C454" s="1">
        <v>20</v>
      </c>
      <c r="D454" s="1">
        <v>426</v>
      </c>
      <c r="E454" s="1" t="s">
        <v>56</v>
      </c>
      <c r="F454" s="1" t="s">
        <v>3309</v>
      </c>
      <c r="G454" s="3" t="s">
        <v>1218</v>
      </c>
      <c r="H454" s="11">
        <f t="shared" si="15"/>
        <v>1943.26</v>
      </c>
      <c r="I454" s="9">
        <f>($K$2+0.02)*Tabla1[[#This Row],[PRECIO $]]*1.18</f>
        <v>1749.3263999999999</v>
      </c>
      <c r="J454" s="7">
        <f>+Tabla1[[#This Row],[PRECIO EN SOLES]]-Tabla1[[#This Row],[PC]]</f>
        <v>193.93360000000007</v>
      </c>
      <c r="K454" s="15"/>
      <c r="L454" s="15" t="str">
        <f t="shared" si="14"/>
        <v>GANCHO</v>
      </c>
    </row>
    <row r="455" spans="1:12" x14ac:dyDescent="0.25">
      <c r="A455" s="3" t="s">
        <v>1219</v>
      </c>
      <c r="B455" s="3" t="s">
        <v>1220</v>
      </c>
      <c r="C455" s="1">
        <v>2</v>
      </c>
      <c r="D455" s="1">
        <v>417</v>
      </c>
      <c r="E455" s="1" t="s">
        <v>56</v>
      </c>
      <c r="F455" s="1" t="s">
        <v>3310</v>
      </c>
      <c r="G455" s="3"/>
      <c r="H455" s="11">
        <f t="shared" si="15"/>
        <v>1902.61</v>
      </c>
      <c r="I455" s="9">
        <f>($K$2+0.02)*Tabla1[[#This Row],[PRECIO $]]*1.18</f>
        <v>1712.3688</v>
      </c>
      <c r="J455" s="7">
        <f>+Tabla1[[#This Row],[PRECIO EN SOLES]]-Tabla1[[#This Row],[PC]]</f>
        <v>190.24119999999994</v>
      </c>
      <c r="K455" s="15"/>
      <c r="L455" s="15" t="str">
        <f t="shared" si="14"/>
        <v>GANCHO</v>
      </c>
    </row>
    <row r="456" spans="1:12" x14ac:dyDescent="0.25">
      <c r="A456" s="3" t="s">
        <v>6706</v>
      </c>
      <c r="B456" s="3" t="s">
        <v>6707</v>
      </c>
      <c r="C456" s="1">
        <v>0</v>
      </c>
      <c r="D456" s="1">
        <v>1495</v>
      </c>
      <c r="E456" s="1" t="s">
        <v>141</v>
      </c>
      <c r="F456" s="1" t="s">
        <v>6708</v>
      </c>
      <c r="G456" s="3" t="s">
        <v>6709</v>
      </c>
      <c r="H456" s="11">
        <f t="shared" si="15"/>
        <v>6771.97</v>
      </c>
      <c r="I456" s="9">
        <f>($K$2+0.02)*Tabla1[[#This Row],[PRECIO $]]*1.18</f>
        <v>6139.0680000000002</v>
      </c>
      <c r="J456" s="7">
        <f>+Tabla1[[#This Row],[PRECIO EN SOLES]]-Tabla1[[#This Row],[PC]]</f>
        <v>632.90200000000004</v>
      </c>
      <c r="K456" s="15"/>
      <c r="L456" s="15" t="str">
        <f t="shared" si="14"/>
        <v>NORMAL</v>
      </c>
    </row>
    <row r="457" spans="1:12" x14ac:dyDescent="0.25">
      <c r="A457" s="3" t="s">
        <v>4474</v>
      </c>
      <c r="B457" s="3" t="s">
        <v>4475</v>
      </c>
      <c r="C457" s="1">
        <v>1</v>
      </c>
      <c r="D457" s="1">
        <v>9</v>
      </c>
      <c r="E457" s="1" t="s">
        <v>148</v>
      </c>
      <c r="F457" s="1" t="s">
        <v>4476</v>
      </c>
      <c r="G457" s="3"/>
      <c r="H457" s="11">
        <f t="shared" si="15"/>
        <v>44.65</v>
      </c>
      <c r="I457" s="9">
        <f>($K$2+0.02)*Tabla1[[#This Row],[PRECIO $]]*1.18</f>
        <v>36.957599999999999</v>
      </c>
      <c r="J457" s="7">
        <f>+Tabla1[[#This Row],[PRECIO EN SOLES]]-Tabla1[[#This Row],[PC]]</f>
        <v>7.6923999999999992</v>
      </c>
      <c r="K457" s="15"/>
      <c r="L457" s="15" t="str">
        <f t="shared" si="14"/>
        <v>NORMAL</v>
      </c>
    </row>
    <row r="458" spans="1:12" x14ac:dyDescent="0.25">
      <c r="A458" s="3" t="s">
        <v>1221</v>
      </c>
      <c r="B458" s="3" t="s">
        <v>1222</v>
      </c>
      <c r="C458" s="1">
        <v>2</v>
      </c>
      <c r="D458" s="1">
        <v>42</v>
      </c>
      <c r="E458" s="1" t="s">
        <v>141</v>
      </c>
      <c r="F458" s="1" t="s">
        <v>3311</v>
      </c>
      <c r="G458" s="3"/>
      <c r="H458" s="11">
        <f t="shared" si="15"/>
        <v>206.34</v>
      </c>
      <c r="I458" s="9">
        <f>($K$2+0.02)*Tabla1[[#This Row],[PRECIO $]]*1.18</f>
        <v>172.46879999999999</v>
      </c>
      <c r="J458" s="7">
        <f>+Tabla1[[#This Row],[PRECIO EN SOLES]]-Tabla1[[#This Row],[PC]]</f>
        <v>33.871200000000016</v>
      </c>
      <c r="K458" s="15"/>
      <c r="L458" s="15" t="str">
        <f t="shared" si="14"/>
        <v>NORMAL</v>
      </c>
    </row>
    <row r="459" spans="1:12" x14ac:dyDescent="0.25">
      <c r="A459" s="3" t="s">
        <v>5902</v>
      </c>
      <c r="B459" s="3" t="s">
        <v>5903</v>
      </c>
      <c r="C459" s="1">
        <v>20</v>
      </c>
      <c r="D459" s="1">
        <v>730</v>
      </c>
      <c r="E459" s="1" t="s">
        <v>141</v>
      </c>
      <c r="F459" s="1" t="s">
        <v>5904</v>
      </c>
      <c r="G459" s="3" t="s">
        <v>6588</v>
      </c>
      <c r="H459" s="11">
        <f t="shared" si="15"/>
        <v>3455.32</v>
      </c>
      <c r="I459" s="9">
        <f>($K$2+0.02)*Tabla1[[#This Row],[PRECIO $]]*1.18</f>
        <v>2997.672</v>
      </c>
      <c r="J459" s="7">
        <f>+Tabla1[[#This Row],[PRECIO EN SOLES]]-Tabla1[[#This Row],[PC]]</f>
        <v>457.64800000000014</v>
      </c>
      <c r="K459" s="15"/>
      <c r="L459" s="15" t="str">
        <f t="shared" si="14"/>
        <v>GANCHO</v>
      </c>
    </row>
    <row r="460" spans="1:12" x14ac:dyDescent="0.25">
      <c r="A460" s="3" t="s">
        <v>6288</v>
      </c>
      <c r="B460" s="3" t="s">
        <v>6289</v>
      </c>
      <c r="C460" s="1">
        <v>20</v>
      </c>
      <c r="D460" s="1">
        <v>38.700000000000003</v>
      </c>
      <c r="E460" s="1" t="s">
        <v>54</v>
      </c>
      <c r="F460" s="1" t="s">
        <v>6290</v>
      </c>
      <c r="G460" s="3" t="s">
        <v>6291</v>
      </c>
      <c r="H460" s="11">
        <f t="shared" si="15"/>
        <v>190.76</v>
      </c>
      <c r="I460" s="9">
        <f>($K$2+0.02)*Tabla1[[#This Row],[PRECIO $]]*1.18</f>
        <v>158.91768000000002</v>
      </c>
      <c r="J460" s="7">
        <f>+Tabla1[[#This Row],[PRECIO EN SOLES]]-Tabla1[[#This Row],[PC]]</f>
        <v>31.842319999999972</v>
      </c>
      <c r="K460" s="15"/>
      <c r="L460" s="15" t="str">
        <f t="shared" si="14"/>
        <v>GANCHO</v>
      </c>
    </row>
    <row r="461" spans="1:12" x14ac:dyDescent="0.25">
      <c r="A461" s="3" t="s">
        <v>1224</v>
      </c>
      <c r="B461" s="3" t="s">
        <v>1223</v>
      </c>
      <c r="C461" s="1">
        <v>20</v>
      </c>
      <c r="D461" s="1">
        <v>87</v>
      </c>
      <c r="E461" s="1" t="s">
        <v>54</v>
      </c>
      <c r="F461" s="1" t="s">
        <v>3312</v>
      </c>
      <c r="G461" s="3" t="s">
        <v>1225</v>
      </c>
      <c r="H461" s="11">
        <f t="shared" si="15"/>
        <v>411.98</v>
      </c>
      <c r="I461" s="9">
        <f>($K$2+0.02)*Tabla1[[#This Row],[PRECIO $]]*1.18</f>
        <v>357.2568</v>
      </c>
      <c r="J461" s="7">
        <f>+Tabla1[[#This Row],[PRECIO EN SOLES]]-Tabla1[[#This Row],[PC]]</f>
        <v>54.72320000000002</v>
      </c>
      <c r="K461" s="15"/>
      <c r="L461" s="15" t="str">
        <f t="shared" si="14"/>
        <v>GANCHO</v>
      </c>
    </row>
    <row r="462" spans="1:12" x14ac:dyDescent="0.25">
      <c r="A462" s="3" t="s">
        <v>244</v>
      </c>
      <c r="B462" s="3" t="s">
        <v>245</v>
      </c>
      <c r="C462" s="1">
        <v>3</v>
      </c>
      <c r="D462" s="1">
        <v>89.3</v>
      </c>
      <c r="E462" s="1" t="s">
        <v>54</v>
      </c>
      <c r="F462" s="1" t="s">
        <v>3313</v>
      </c>
      <c r="G462" s="3" t="s">
        <v>246</v>
      </c>
      <c r="H462" s="11">
        <f t="shared" si="15"/>
        <v>422.37</v>
      </c>
      <c r="I462" s="9">
        <f>($K$2+0.02)*Tabla1[[#This Row],[PRECIO $]]*1.18</f>
        <v>366.70152000000002</v>
      </c>
      <c r="J462" s="7">
        <f>+Tabla1[[#This Row],[PRECIO EN SOLES]]-Tabla1[[#This Row],[PC]]</f>
        <v>55.668479999999988</v>
      </c>
      <c r="K462" s="15"/>
      <c r="L462" s="15" t="str">
        <f t="shared" si="14"/>
        <v>GANCHO</v>
      </c>
    </row>
    <row r="463" spans="1:12" x14ac:dyDescent="0.25">
      <c r="A463" s="3" t="s">
        <v>6710</v>
      </c>
      <c r="B463" s="3" t="s">
        <v>6711</v>
      </c>
      <c r="C463" s="1">
        <v>1</v>
      </c>
      <c r="D463" s="1">
        <v>1816</v>
      </c>
      <c r="E463" s="1" t="s">
        <v>141</v>
      </c>
      <c r="F463" s="1" t="s">
        <v>6712</v>
      </c>
      <c r="G463" s="3"/>
      <c r="H463" s="11">
        <f t="shared" si="15"/>
        <v>8221.94</v>
      </c>
      <c r="I463" s="9">
        <f>($K$2+0.02)*Tabla1[[#This Row],[PRECIO $]]*1.18</f>
        <v>7457.2223999999997</v>
      </c>
      <c r="J463" s="7">
        <f>+Tabla1[[#This Row],[PRECIO EN SOLES]]-Tabla1[[#This Row],[PC]]</f>
        <v>764.71760000000086</v>
      </c>
      <c r="K463" s="15"/>
      <c r="L463" s="15" t="str">
        <f t="shared" si="14"/>
        <v>GANCHO</v>
      </c>
    </row>
    <row r="464" spans="1:12" x14ac:dyDescent="0.25">
      <c r="A464" s="3" t="s">
        <v>1226</v>
      </c>
      <c r="B464" s="3" t="s">
        <v>1227</v>
      </c>
      <c r="C464" s="1">
        <v>1</v>
      </c>
      <c r="D464" s="1">
        <v>2368</v>
      </c>
      <c r="E464" s="1" t="s">
        <v>141</v>
      </c>
      <c r="F464" s="1" t="s">
        <v>3314</v>
      </c>
      <c r="G464" s="3" t="s">
        <v>1228</v>
      </c>
      <c r="H464" s="11">
        <f t="shared" si="15"/>
        <v>10715.35</v>
      </c>
      <c r="I464" s="9">
        <f>($K$2+0.02)*Tabla1[[#This Row],[PRECIO $]]*1.18</f>
        <v>9723.9551999999985</v>
      </c>
      <c r="J464" s="7">
        <f>+Tabla1[[#This Row],[PRECIO EN SOLES]]-Tabla1[[#This Row],[PC]]</f>
        <v>991.39480000000185</v>
      </c>
      <c r="K464" s="15"/>
      <c r="L464" s="15" t="str">
        <f t="shared" ref="L464:L527" si="16"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GANCHO</v>
      </c>
    </row>
    <row r="465" spans="1:12" x14ac:dyDescent="0.25">
      <c r="A465" s="3" t="s">
        <v>604</v>
      </c>
      <c r="B465" s="3" t="s">
        <v>605</v>
      </c>
      <c r="C465" s="1">
        <v>20</v>
      </c>
      <c r="D465" s="1">
        <v>119</v>
      </c>
      <c r="E465" s="1" t="s">
        <v>141</v>
      </c>
      <c r="F465" s="1" t="s">
        <v>3315</v>
      </c>
      <c r="G465" s="3" t="s">
        <v>606</v>
      </c>
      <c r="H465" s="11">
        <f t="shared" si="15"/>
        <v>556.53</v>
      </c>
      <c r="I465" s="9">
        <f>($K$2+0.02)*Tabla1[[#This Row],[PRECIO $]]*1.18</f>
        <v>488.66159999999996</v>
      </c>
      <c r="J465" s="7">
        <f>+Tabla1[[#This Row],[PRECIO EN SOLES]]-Tabla1[[#This Row],[PC]]</f>
        <v>67.868400000000008</v>
      </c>
      <c r="K465" s="15"/>
      <c r="L465" s="15" t="str">
        <f t="shared" si="16"/>
        <v>GANCHO</v>
      </c>
    </row>
    <row r="466" spans="1:12" x14ac:dyDescent="0.25">
      <c r="A466" s="3" t="s">
        <v>1229</v>
      </c>
      <c r="B466" s="3" t="s">
        <v>1230</v>
      </c>
      <c r="C466" s="1">
        <v>20</v>
      </c>
      <c r="D466" s="1">
        <v>157</v>
      </c>
      <c r="E466" s="1" t="s">
        <v>141</v>
      </c>
      <c r="F466" s="1" t="s">
        <v>3316</v>
      </c>
      <c r="G466" s="3" t="s">
        <v>1231</v>
      </c>
      <c r="H466" s="11">
        <f t="shared" ref="H466:H529" si="17">ROUND(
IF(L464="GANCHO",
   IF(I466&lt;=50,I466*1.1+4,IF(I466&lt;=120,I466*1.1+7,IF(I466&lt;=250,I466*1.1+11,I466*1.1+19))),
IF(L464="NORMAL",
   IF(I466&lt;=30,I466*1.15+2,IF(I466&lt;=80,I466*1.15+4,IF(I466&lt;=150,I466*1.15+6,I466*1.15+8))),
IF(L464="COMPLEMENTO",
   IF(I466&lt;=25,I466*1.25+1.5,IF(I466&lt;=60,I466*1.25+3,IF(I466&lt;=120,I466*1.25+4,I466*1.25+5))),
""))),2)</f>
        <v>728.18</v>
      </c>
      <c r="I466" s="9">
        <f>($K$2+0.02)*Tabla1[[#This Row],[PRECIO $]]*1.18</f>
        <v>644.70479999999998</v>
      </c>
      <c r="J466" s="7">
        <f>+Tabla1[[#This Row],[PRECIO EN SOLES]]-Tabla1[[#This Row],[PC]]</f>
        <v>83.475199999999973</v>
      </c>
      <c r="K466" s="15"/>
      <c r="L466" s="15" t="str">
        <f t="shared" si="16"/>
        <v>GANCHO</v>
      </c>
    </row>
    <row r="467" spans="1:12" x14ac:dyDescent="0.25">
      <c r="A467" s="3" t="s">
        <v>1232</v>
      </c>
      <c r="B467" s="3" t="s">
        <v>1233</v>
      </c>
      <c r="C467" s="1">
        <v>20</v>
      </c>
      <c r="D467" s="1">
        <v>318</v>
      </c>
      <c r="E467" s="1" t="s">
        <v>141</v>
      </c>
      <c r="F467" s="1" t="s">
        <v>3317</v>
      </c>
      <c r="G467" s="3" t="s">
        <v>1234</v>
      </c>
      <c r="H467" s="11">
        <f t="shared" si="17"/>
        <v>1455.42</v>
      </c>
      <c r="I467" s="9">
        <f>($K$2+0.02)*Tabla1[[#This Row],[PRECIO $]]*1.18</f>
        <v>1305.8352</v>
      </c>
      <c r="J467" s="7">
        <f>+Tabla1[[#This Row],[PRECIO EN SOLES]]-Tabla1[[#This Row],[PC]]</f>
        <v>149.58480000000009</v>
      </c>
      <c r="K467" s="15"/>
      <c r="L467" s="15" t="str">
        <f t="shared" si="16"/>
        <v>NORMAL</v>
      </c>
    </row>
    <row r="468" spans="1:12" x14ac:dyDescent="0.25">
      <c r="A468" s="3" t="s">
        <v>1235</v>
      </c>
      <c r="B468" s="3" t="s">
        <v>1236</v>
      </c>
      <c r="C468" s="1">
        <v>2</v>
      </c>
      <c r="D468" s="1">
        <v>345</v>
      </c>
      <c r="E468" s="1" t="s">
        <v>141</v>
      </c>
      <c r="F468" s="1" t="s">
        <v>3318</v>
      </c>
      <c r="G468" s="3" t="s">
        <v>1237</v>
      </c>
      <c r="H468" s="11">
        <f t="shared" si="17"/>
        <v>1577.38</v>
      </c>
      <c r="I468" s="9">
        <f>($K$2+0.02)*Tabla1[[#This Row],[PRECIO $]]*1.18</f>
        <v>1416.7079999999999</v>
      </c>
      <c r="J468" s="7">
        <f>+Tabla1[[#This Row],[PRECIO EN SOLES]]-Tabla1[[#This Row],[PC]]</f>
        <v>160.67200000000025</v>
      </c>
      <c r="K468" s="15"/>
      <c r="L468" s="15" t="str">
        <f t="shared" si="16"/>
        <v>NORMAL</v>
      </c>
    </row>
    <row r="469" spans="1:12" x14ac:dyDescent="0.25">
      <c r="A469" s="3" t="s">
        <v>1238</v>
      </c>
      <c r="B469" s="3" t="s">
        <v>1239</v>
      </c>
      <c r="C469" s="1">
        <v>20</v>
      </c>
      <c r="D469" s="1">
        <v>138</v>
      </c>
      <c r="E469" s="1" t="s">
        <v>141</v>
      </c>
      <c r="F469" s="1" t="s">
        <v>3319</v>
      </c>
      <c r="G469" s="3"/>
      <c r="H469" s="11">
        <f t="shared" si="17"/>
        <v>659.69</v>
      </c>
      <c r="I469" s="9">
        <f>($K$2+0.02)*Tabla1[[#This Row],[PRECIO $]]*1.18</f>
        <v>566.68319999999994</v>
      </c>
      <c r="J469" s="7">
        <f>+Tabla1[[#This Row],[PRECIO EN SOLES]]-Tabla1[[#This Row],[PC]]</f>
        <v>93.006800000000112</v>
      </c>
      <c r="K469" s="15"/>
      <c r="L469" s="15" t="str">
        <f t="shared" si="16"/>
        <v>NORMAL</v>
      </c>
    </row>
    <row r="470" spans="1:12" x14ac:dyDescent="0.25">
      <c r="A470" s="3" t="s">
        <v>2750</v>
      </c>
      <c r="B470" s="3" t="s">
        <v>2751</v>
      </c>
      <c r="C470" s="1">
        <v>20</v>
      </c>
      <c r="D470" s="1">
        <v>34.799999999999997</v>
      </c>
      <c r="E470" s="1" t="s">
        <v>54</v>
      </c>
      <c r="F470" s="1" t="s">
        <v>3320</v>
      </c>
      <c r="G470" s="3" t="s">
        <v>2763</v>
      </c>
      <c r="H470" s="11">
        <f t="shared" si="17"/>
        <v>170.34</v>
      </c>
      <c r="I470" s="9">
        <f>($K$2+0.02)*Tabla1[[#This Row],[PRECIO $]]*1.18</f>
        <v>142.90271999999999</v>
      </c>
      <c r="J470" s="7">
        <f>+Tabla1[[#This Row],[PRECIO EN SOLES]]-Tabla1[[#This Row],[PC]]</f>
        <v>27.437280000000015</v>
      </c>
      <c r="K470" s="15"/>
      <c r="L470" s="15" t="str">
        <f t="shared" si="16"/>
        <v>NORMAL</v>
      </c>
    </row>
    <row r="471" spans="1:12" x14ac:dyDescent="0.25">
      <c r="A471" s="3" t="s">
        <v>1240</v>
      </c>
      <c r="B471" s="3" t="s">
        <v>1241</v>
      </c>
      <c r="C471" s="1">
        <v>20</v>
      </c>
      <c r="D471" s="1">
        <v>19.600000000000001</v>
      </c>
      <c r="E471" s="1" t="s">
        <v>141</v>
      </c>
      <c r="F471" s="1" t="s">
        <v>3321</v>
      </c>
      <c r="G471" s="3"/>
      <c r="H471" s="11">
        <f t="shared" si="17"/>
        <v>98.56</v>
      </c>
      <c r="I471" s="9">
        <f>($K$2+0.02)*Tabla1[[#This Row],[PRECIO $]]*1.18</f>
        <v>80.485439999999997</v>
      </c>
      <c r="J471" s="7">
        <f>+Tabla1[[#This Row],[PRECIO EN SOLES]]-Tabla1[[#This Row],[PC]]</f>
        <v>18.074560000000005</v>
      </c>
      <c r="K471" s="15"/>
      <c r="L471" s="15" t="str">
        <f t="shared" si="16"/>
        <v>NORMAL</v>
      </c>
    </row>
    <row r="472" spans="1:12" x14ac:dyDescent="0.25">
      <c r="A472" s="3" t="s">
        <v>1242</v>
      </c>
      <c r="B472" s="3" t="s">
        <v>1243</v>
      </c>
      <c r="C472" s="1">
        <v>1</v>
      </c>
      <c r="D472" s="1">
        <v>373</v>
      </c>
      <c r="E472" s="1" t="s">
        <v>56</v>
      </c>
      <c r="F472" s="1" t="s">
        <v>3322</v>
      </c>
      <c r="G472" s="3" t="s">
        <v>1244</v>
      </c>
      <c r="H472" s="11">
        <f t="shared" si="17"/>
        <v>1769.44</v>
      </c>
      <c r="I472" s="9">
        <f>($K$2+0.02)*Tabla1[[#This Row],[PRECIO $]]*1.18</f>
        <v>1531.6871999999998</v>
      </c>
      <c r="J472" s="7">
        <f>+Tabla1[[#This Row],[PRECIO EN SOLES]]-Tabla1[[#This Row],[PC]]</f>
        <v>237.75280000000021</v>
      </c>
      <c r="K472" s="15"/>
      <c r="L472" s="15" t="str">
        <f t="shared" si="16"/>
        <v>NORMAL</v>
      </c>
    </row>
    <row r="473" spans="1:12" x14ac:dyDescent="0.25">
      <c r="A473" s="3" t="s">
        <v>1245</v>
      </c>
      <c r="B473" s="3" t="s">
        <v>1246</v>
      </c>
      <c r="C473" s="1">
        <v>3</v>
      </c>
      <c r="D473" s="1">
        <v>363</v>
      </c>
      <c r="E473" s="1" t="s">
        <v>56</v>
      </c>
      <c r="F473" s="1" t="s">
        <v>3323</v>
      </c>
      <c r="G473" s="3" t="s">
        <v>1247</v>
      </c>
      <c r="H473" s="11">
        <f t="shared" si="17"/>
        <v>1722.22</v>
      </c>
      <c r="I473" s="9">
        <f>($K$2+0.02)*Tabla1[[#This Row],[PRECIO $]]*1.18</f>
        <v>1490.6232</v>
      </c>
      <c r="J473" s="7">
        <f>+Tabla1[[#This Row],[PRECIO EN SOLES]]-Tabla1[[#This Row],[PC]]</f>
        <v>231.59680000000003</v>
      </c>
      <c r="K473" s="15"/>
      <c r="L473" s="15" t="str">
        <f t="shared" si="16"/>
        <v>NORMAL</v>
      </c>
    </row>
    <row r="474" spans="1:12" x14ac:dyDescent="0.25">
      <c r="A474" s="3" t="s">
        <v>6589</v>
      </c>
      <c r="B474" s="3" t="s">
        <v>6590</v>
      </c>
      <c r="C474" s="1">
        <v>2</v>
      </c>
      <c r="D474" s="1">
        <v>23.8</v>
      </c>
      <c r="E474" s="1" t="s">
        <v>141</v>
      </c>
      <c r="F474" s="1" t="s">
        <v>6591</v>
      </c>
      <c r="G474" s="3"/>
      <c r="H474" s="11">
        <f t="shared" si="17"/>
        <v>118.39</v>
      </c>
      <c r="I474" s="9">
        <f>($K$2+0.02)*Tabla1[[#This Row],[PRECIO $]]*1.18</f>
        <v>97.732319999999987</v>
      </c>
      <c r="J474" s="7">
        <f>+Tabla1[[#This Row],[PRECIO EN SOLES]]-Tabla1[[#This Row],[PC]]</f>
        <v>20.657680000000013</v>
      </c>
      <c r="K474" s="15"/>
      <c r="L474" s="15" t="str">
        <f t="shared" si="16"/>
        <v>NORMAL</v>
      </c>
    </row>
    <row r="475" spans="1:12" x14ac:dyDescent="0.25">
      <c r="A475" s="3" t="s">
        <v>1248</v>
      </c>
      <c r="B475" s="3" t="s">
        <v>1249</v>
      </c>
      <c r="C475" s="1">
        <v>0</v>
      </c>
      <c r="D475" s="1">
        <v>9999999.9900000002</v>
      </c>
      <c r="E475" s="1" t="s">
        <v>1250</v>
      </c>
      <c r="F475" s="1" t="s">
        <v>3324</v>
      </c>
      <c r="G475" s="3"/>
      <c r="H475" s="11">
        <f t="shared" si="17"/>
        <v>47223607.950000003</v>
      </c>
      <c r="I475" s="9">
        <f>($K$2+0.02)*Tabla1[[#This Row],[PRECIO $]]*1.18</f>
        <v>41063999.958935998</v>
      </c>
      <c r="J475" s="7">
        <f>+Tabla1[[#This Row],[PRECIO EN SOLES]]-Tabla1[[#This Row],[PC]]</f>
        <v>6159607.9910640046</v>
      </c>
      <c r="K475" s="15"/>
      <c r="L475" s="15" t="str">
        <f t="shared" si="16"/>
        <v>NORMAL</v>
      </c>
    </row>
    <row r="476" spans="1:12" x14ac:dyDescent="0.25">
      <c r="A476" s="3" t="s">
        <v>701</v>
      </c>
      <c r="B476" s="3" t="s">
        <v>702</v>
      </c>
      <c r="C476" s="1">
        <v>20</v>
      </c>
      <c r="D476" s="1">
        <v>65</v>
      </c>
      <c r="E476" s="1" t="s">
        <v>247</v>
      </c>
      <c r="F476" s="1" t="s">
        <v>3325</v>
      </c>
      <c r="G476" s="3" t="s">
        <v>703</v>
      </c>
      <c r="H476" s="11">
        <f t="shared" si="17"/>
        <v>314.95</v>
      </c>
      <c r="I476" s="9">
        <f>($K$2+0.02)*Tabla1[[#This Row],[PRECIO $]]*1.18</f>
        <v>266.916</v>
      </c>
      <c r="J476" s="7">
        <f>+Tabla1[[#This Row],[PRECIO EN SOLES]]-Tabla1[[#This Row],[PC]]</f>
        <v>48.033999999999992</v>
      </c>
      <c r="K476" s="15"/>
      <c r="L476" s="15" t="str">
        <f t="shared" si="16"/>
        <v>NORMAL</v>
      </c>
    </row>
    <row r="477" spans="1:12" x14ac:dyDescent="0.25">
      <c r="A477" s="3" t="s">
        <v>704</v>
      </c>
      <c r="B477" s="3" t="s">
        <v>705</v>
      </c>
      <c r="C477" s="1">
        <v>20</v>
      </c>
      <c r="D477" s="1">
        <v>148.94</v>
      </c>
      <c r="E477" s="1" t="s">
        <v>247</v>
      </c>
      <c r="F477" s="1" t="s">
        <v>3326</v>
      </c>
      <c r="G477" s="3" t="s">
        <v>706</v>
      </c>
      <c r="H477" s="11">
        <f t="shared" si="17"/>
        <v>711.35</v>
      </c>
      <c r="I477" s="9">
        <f>($K$2+0.02)*Tabla1[[#This Row],[PRECIO $]]*1.18</f>
        <v>611.60721599999999</v>
      </c>
      <c r="J477" s="7">
        <f>+Tabla1[[#This Row],[PRECIO EN SOLES]]-Tabla1[[#This Row],[PC]]</f>
        <v>99.742784000000029</v>
      </c>
      <c r="K477" s="15"/>
      <c r="L477" s="15" t="str">
        <f t="shared" si="16"/>
        <v>NORMAL</v>
      </c>
    </row>
    <row r="478" spans="1:12" x14ac:dyDescent="0.25">
      <c r="A478" s="3" t="s">
        <v>707</v>
      </c>
      <c r="B478" s="3" t="s">
        <v>708</v>
      </c>
      <c r="C478" s="1">
        <v>20</v>
      </c>
      <c r="D478" s="1">
        <v>185</v>
      </c>
      <c r="E478" s="1" t="s">
        <v>247</v>
      </c>
      <c r="F478" s="1" t="s">
        <v>3327</v>
      </c>
      <c r="G478" s="3" t="s">
        <v>709</v>
      </c>
      <c r="H478" s="11">
        <f t="shared" si="17"/>
        <v>881.64</v>
      </c>
      <c r="I478" s="9">
        <f>($K$2+0.02)*Tabla1[[#This Row],[PRECIO $]]*1.18</f>
        <v>759.68399999999986</v>
      </c>
      <c r="J478" s="7">
        <f>+Tabla1[[#This Row],[PRECIO EN SOLES]]-Tabla1[[#This Row],[PC]]</f>
        <v>121.95600000000013</v>
      </c>
      <c r="K478" s="15"/>
      <c r="L478" s="15" t="str">
        <f t="shared" si="16"/>
        <v>NORMAL</v>
      </c>
    </row>
    <row r="479" spans="1:12" x14ac:dyDescent="0.25">
      <c r="A479" s="3" t="s">
        <v>710</v>
      </c>
      <c r="B479" s="3" t="s">
        <v>711</v>
      </c>
      <c r="C479" s="1">
        <v>20</v>
      </c>
      <c r="D479" s="1">
        <v>232.47</v>
      </c>
      <c r="E479" s="1" t="s">
        <v>247</v>
      </c>
      <c r="F479" s="1" t="s">
        <v>3328</v>
      </c>
      <c r="G479" s="3" t="s">
        <v>712</v>
      </c>
      <c r="H479" s="11">
        <f t="shared" si="17"/>
        <v>1105.81</v>
      </c>
      <c r="I479" s="9">
        <f>($K$2+0.02)*Tabla1[[#This Row],[PRECIO $]]*1.18</f>
        <v>954.61480799999993</v>
      </c>
      <c r="J479" s="7">
        <f>+Tabla1[[#This Row],[PRECIO EN SOLES]]-Tabla1[[#This Row],[PC]]</f>
        <v>151.19519200000002</v>
      </c>
      <c r="K479" s="15"/>
      <c r="L479" s="15" t="str">
        <f t="shared" si="16"/>
        <v>NORMAL</v>
      </c>
    </row>
    <row r="480" spans="1:12" x14ac:dyDescent="0.25">
      <c r="A480" s="3" t="s">
        <v>713</v>
      </c>
      <c r="B480" s="3" t="s">
        <v>714</v>
      </c>
      <c r="C480" s="1">
        <v>20</v>
      </c>
      <c r="D480" s="1">
        <v>223</v>
      </c>
      <c r="E480" s="1" t="s">
        <v>247</v>
      </c>
      <c r="F480" s="1" t="s">
        <v>3329</v>
      </c>
      <c r="G480" s="3" t="s">
        <v>715</v>
      </c>
      <c r="H480" s="11">
        <f t="shared" si="17"/>
        <v>1061.0899999999999</v>
      </c>
      <c r="I480" s="9">
        <f>($K$2+0.02)*Tabla1[[#This Row],[PRECIO $]]*1.18</f>
        <v>915.72719999999993</v>
      </c>
      <c r="J480" s="7">
        <f>+Tabla1[[#This Row],[PRECIO EN SOLES]]-Tabla1[[#This Row],[PC]]</f>
        <v>145.36279999999999</v>
      </c>
      <c r="K480" s="15"/>
      <c r="L480" s="15" t="str">
        <f t="shared" si="16"/>
        <v>COMPLEMENTO</v>
      </c>
    </row>
    <row r="481" spans="1:12" x14ac:dyDescent="0.25">
      <c r="A481" s="3" t="s">
        <v>716</v>
      </c>
      <c r="B481" s="3" t="s">
        <v>717</v>
      </c>
      <c r="C481" s="1">
        <v>20</v>
      </c>
      <c r="D481" s="1">
        <v>430</v>
      </c>
      <c r="E481" s="1" t="s">
        <v>247</v>
      </c>
      <c r="F481" s="1" t="s">
        <v>3330</v>
      </c>
      <c r="G481" s="3" t="s">
        <v>718</v>
      </c>
      <c r="H481" s="11">
        <f t="shared" si="17"/>
        <v>2038.61</v>
      </c>
      <c r="I481" s="9">
        <f>($K$2+0.02)*Tabla1[[#This Row],[PRECIO $]]*1.18</f>
        <v>1765.752</v>
      </c>
      <c r="J481" s="7">
        <f>+Tabla1[[#This Row],[PRECIO EN SOLES]]-Tabla1[[#This Row],[PC]]</f>
        <v>272.85799999999995</v>
      </c>
      <c r="K481" s="15"/>
      <c r="L481" s="15" t="str">
        <f t="shared" si="16"/>
        <v>COMPLEMENTO</v>
      </c>
    </row>
    <row r="482" spans="1:12" x14ac:dyDescent="0.25">
      <c r="A482" s="3" t="s">
        <v>719</v>
      </c>
      <c r="B482" s="3" t="s">
        <v>248</v>
      </c>
      <c r="C482" s="1">
        <v>20</v>
      </c>
      <c r="D482" s="1">
        <v>19.149999999999999</v>
      </c>
      <c r="E482" s="1" t="s">
        <v>247</v>
      </c>
      <c r="F482" s="1" t="s">
        <v>3331</v>
      </c>
      <c r="G482" s="3" t="s">
        <v>3037</v>
      </c>
      <c r="H482" s="11">
        <f t="shared" si="17"/>
        <v>102.3</v>
      </c>
      <c r="I482" s="9">
        <f>($K$2+0.02)*Tabla1[[#This Row],[PRECIO $]]*1.18</f>
        <v>78.637559999999993</v>
      </c>
      <c r="J482" s="7">
        <f>+Tabla1[[#This Row],[PRECIO EN SOLES]]-Tabla1[[#This Row],[PC]]</f>
        <v>23.662440000000004</v>
      </c>
      <c r="K482" s="15"/>
      <c r="L482" s="15" t="str">
        <f t="shared" si="16"/>
        <v>COMPLEMENTO</v>
      </c>
    </row>
    <row r="483" spans="1:12" x14ac:dyDescent="0.25">
      <c r="A483" s="3" t="s">
        <v>1251</v>
      </c>
      <c r="B483" s="3" t="s">
        <v>248</v>
      </c>
      <c r="C483" s="1">
        <v>0</v>
      </c>
      <c r="D483" s="1">
        <v>999</v>
      </c>
      <c r="E483" s="1" t="s">
        <v>247</v>
      </c>
      <c r="F483" s="1" t="s">
        <v>3332</v>
      </c>
      <c r="G483" s="3"/>
      <c r="H483" s="11">
        <f t="shared" si="17"/>
        <v>5132.87</v>
      </c>
      <c r="I483" s="9">
        <f>($K$2+0.02)*Tabla1[[#This Row],[PRECIO $]]*1.18</f>
        <v>4102.2936</v>
      </c>
      <c r="J483" s="7">
        <f>+Tabla1[[#This Row],[PRECIO EN SOLES]]-Tabla1[[#This Row],[PC]]</f>
        <v>1030.5763999999999</v>
      </c>
      <c r="K483" s="15"/>
      <c r="L483" s="15" t="str">
        <f t="shared" si="16"/>
        <v>COMPLEMENTO</v>
      </c>
    </row>
    <row r="484" spans="1:12" x14ac:dyDescent="0.25">
      <c r="A484" s="3" t="s">
        <v>720</v>
      </c>
      <c r="B484" s="3" t="s">
        <v>721</v>
      </c>
      <c r="C484" s="1">
        <v>20</v>
      </c>
      <c r="D484" s="1">
        <v>26.81</v>
      </c>
      <c r="E484" s="1" t="s">
        <v>247</v>
      </c>
      <c r="F484" s="1" t="s">
        <v>3333</v>
      </c>
      <c r="G484" s="3" t="s">
        <v>3038</v>
      </c>
      <c r="H484" s="11">
        <f t="shared" si="17"/>
        <v>141.62</v>
      </c>
      <c r="I484" s="9">
        <f>($K$2+0.02)*Tabla1[[#This Row],[PRECIO $]]*1.18</f>
        <v>110.09258399999999</v>
      </c>
      <c r="J484" s="7">
        <f>+Tabla1[[#This Row],[PRECIO EN SOLES]]-Tabla1[[#This Row],[PC]]</f>
        <v>31.527416000000017</v>
      </c>
      <c r="K484" s="15"/>
      <c r="L484" s="15" t="str">
        <f t="shared" si="16"/>
        <v>COMPLEMENTO</v>
      </c>
    </row>
    <row r="485" spans="1:12" x14ac:dyDescent="0.25">
      <c r="A485" s="3" t="s">
        <v>722</v>
      </c>
      <c r="B485" s="3" t="s">
        <v>723</v>
      </c>
      <c r="C485" s="1">
        <v>20</v>
      </c>
      <c r="D485" s="1">
        <v>34.47</v>
      </c>
      <c r="E485" s="1" t="s">
        <v>247</v>
      </c>
      <c r="F485" s="1" t="s">
        <v>3334</v>
      </c>
      <c r="G485" s="3" t="s">
        <v>3039</v>
      </c>
      <c r="H485" s="11">
        <f t="shared" si="17"/>
        <v>181.93</v>
      </c>
      <c r="I485" s="9">
        <f>($K$2+0.02)*Tabla1[[#This Row],[PRECIO $]]*1.18</f>
        <v>141.54760799999997</v>
      </c>
      <c r="J485" s="7">
        <f>+Tabla1[[#This Row],[PRECIO EN SOLES]]-Tabla1[[#This Row],[PC]]</f>
        <v>40.382392000000038</v>
      </c>
      <c r="K485" s="15"/>
      <c r="L485" s="15" t="str">
        <f t="shared" si="16"/>
        <v>NORMAL</v>
      </c>
    </row>
    <row r="486" spans="1:12" x14ac:dyDescent="0.25">
      <c r="A486" s="3" t="s">
        <v>724</v>
      </c>
      <c r="B486" s="3" t="s">
        <v>725</v>
      </c>
      <c r="C486" s="1">
        <v>20</v>
      </c>
      <c r="D486" s="1">
        <v>48.52</v>
      </c>
      <c r="E486" s="1" t="s">
        <v>247</v>
      </c>
      <c r="F486" s="1" t="s">
        <v>3335</v>
      </c>
      <c r="G486" s="3" t="s">
        <v>3040</v>
      </c>
      <c r="H486" s="11">
        <f t="shared" si="17"/>
        <v>254.05</v>
      </c>
      <c r="I486" s="9">
        <f>($K$2+0.02)*Tabla1[[#This Row],[PRECIO $]]*1.18</f>
        <v>199.24252799999999</v>
      </c>
      <c r="J486" s="7">
        <f>+Tabla1[[#This Row],[PRECIO EN SOLES]]-Tabla1[[#This Row],[PC]]</f>
        <v>54.807472000000018</v>
      </c>
      <c r="K486" s="15"/>
      <c r="L486" s="15" t="str">
        <f t="shared" si="16"/>
        <v>NORMAL</v>
      </c>
    </row>
    <row r="487" spans="1:12" x14ac:dyDescent="0.25">
      <c r="A487" s="3" t="s">
        <v>726</v>
      </c>
      <c r="B487" s="3" t="s">
        <v>727</v>
      </c>
      <c r="C487" s="1">
        <v>20</v>
      </c>
      <c r="D487" s="1">
        <v>26.81</v>
      </c>
      <c r="E487" s="1" t="s">
        <v>247</v>
      </c>
      <c r="F487" s="1" t="s">
        <v>3336</v>
      </c>
      <c r="G487" s="3" t="s">
        <v>3041</v>
      </c>
      <c r="H487" s="11">
        <f t="shared" si="17"/>
        <v>132.61000000000001</v>
      </c>
      <c r="I487" s="9">
        <f>($K$2+0.02)*Tabla1[[#This Row],[PRECIO $]]*1.18</f>
        <v>110.09258399999999</v>
      </c>
      <c r="J487" s="7">
        <f>+Tabla1[[#This Row],[PRECIO EN SOLES]]-Tabla1[[#This Row],[PC]]</f>
        <v>22.517416000000026</v>
      </c>
      <c r="K487" s="15"/>
      <c r="L487" s="15" t="str">
        <f t="shared" si="16"/>
        <v>NORMAL</v>
      </c>
    </row>
    <row r="488" spans="1:12" x14ac:dyDescent="0.25">
      <c r="A488" s="3" t="s">
        <v>728</v>
      </c>
      <c r="B488" s="3" t="s">
        <v>729</v>
      </c>
      <c r="C488" s="1">
        <v>20</v>
      </c>
      <c r="D488" s="1">
        <v>34.47</v>
      </c>
      <c r="E488" s="1" t="s">
        <v>247</v>
      </c>
      <c r="F488" s="1" t="s">
        <v>3337</v>
      </c>
      <c r="G488" s="3" t="s">
        <v>3042</v>
      </c>
      <c r="H488" s="11">
        <f t="shared" si="17"/>
        <v>168.78</v>
      </c>
      <c r="I488" s="9">
        <f>($K$2+0.02)*Tabla1[[#This Row],[PRECIO $]]*1.18</f>
        <v>141.54760799999997</v>
      </c>
      <c r="J488" s="7">
        <f>+Tabla1[[#This Row],[PRECIO EN SOLES]]-Tabla1[[#This Row],[PC]]</f>
        <v>27.232392000000033</v>
      </c>
      <c r="K488" s="15"/>
      <c r="L488" s="15" t="str">
        <f t="shared" si="16"/>
        <v>NORMAL</v>
      </c>
    </row>
    <row r="489" spans="1:12" x14ac:dyDescent="0.25">
      <c r="A489" s="3" t="s">
        <v>730</v>
      </c>
      <c r="B489" s="3" t="s">
        <v>731</v>
      </c>
      <c r="C489" s="1">
        <v>20</v>
      </c>
      <c r="D489" s="1">
        <v>42.14</v>
      </c>
      <c r="E489" s="1" t="s">
        <v>247</v>
      </c>
      <c r="F489" s="1" t="s">
        <v>3338</v>
      </c>
      <c r="G489" s="3" t="s">
        <v>3043</v>
      </c>
      <c r="H489" s="11">
        <f t="shared" si="17"/>
        <v>207</v>
      </c>
      <c r="I489" s="9">
        <f>($K$2+0.02)*Tabla1[[#This Row],[PRECIO $]]*1.18</f>
        <v>173.04369599999998</v>
      </c>
      <c r="J489" s="7">
        <f>+Tabla1[[#This Row],[PRECIO EN SOLES]]-Tabla1[[#This Row],[PC]]</f>
        <v>33.956304000000017</v>
      </c>
      <c r="K489" s="15"/>
      <c r="L489" s="15" t="str">
        <f t="shared" si="16"/>
        <v>NORMAL</v>
      </c>
    </row>
    <row r="490" spans="1:12" x14ac:dyDescent="0.25">
      <c r="A490" s="3" t="s">
        <v>732</v>
      </c>
      <c r="B490" s="3" t="s">
        <v>733</v>
      </c>
      <c r="C490" s="1">
        <v>20</v>
      </c>
      <c r="D490" s="1">
        <v>54.9</v>
      </c>
      <c r="E490" s="1" t="s">
        <v>247</v>
      </c>
      <c r="F490" s="1" t="s">
        <v>3339</v>
      </c>
      <c r="G490" s="3" t="s">
        <v>3044</v>
      </c>
      <c r="H490" s="11">
        <f t="shared" si="17"/>
        <v>267.26</v>
      </c>
      <c r="I490" s="9">
        <f>($K$2+0.02)*Tabla1[[#This Row],[PRECIO $]]*1.18</f>
        <v>225.44135999999997</v>
      </c>
      <c r="J490" s="7">
        <f>+Tabla1[[#This Row],[PRECIO EN SOLES]]-Tabla1[[#This Row],[PC]]</f>
        <v>41.818640000000016</v>
      </c>
      <c r="K490" s="15"/>
      <c r="L490" s="15" t="str">
        <f t="shared" si="16"/>
        <v>NORMAL</v>
      </c>
    </row>
    <row r="491" spans="1:12" x14ac:dyDescent="0.25">
      <c r="A491" s="3" t="s">
        <v>734</v>
      </c>
      <c r="B491" s="3" t="s">
        <v>735</v>
      </c>
      <c r="C491" s="1">
        <v>20</v>
      </c>
      <c r="D491" s="1">
        <v>38.31</v>
      </c>
      <c r="E491" s="1" t="s">
        <v>247</v>
      </c>
      <c r="F491" s="1" t="s">
        <v>3340</v>
      </c>
      <c r="G491" s="3" t="s">
        <v>3045</v>
      </c>
      <c r="H491" s="11">
        <f t="shared" si="17"/>
        <v>188.91</v>
      </c>
      <c r="I491" s="9">
        <f>($K$2+0.02)*Tabla1[[#This Row],[PRECIO $]]*1.18</f>
        <v>157.31618399999999</v>
      </c>
      <c r="J491" s="7">
        <f>+Tabla1[[#This Row],[PRECIO EN SOLES]]-Tabla1[[#This Row],[PC]]</f>
        <v>31.593816000000004</v>
      </c>
      <c r="K491" s="15"/>
      <c r="L491" s="15" t="str">
        <f t="shared" si="16"/>
        <v>NORMAL</v>
      </c>
    </row>
    <row r="492" spans="1:12" x14ac:dyDescent="0.25">
      <c r="A492" s="3" t="s">
        <v>736</v>
      </c>
      <c r="B492" s="3" t="s">
        <v>737</v>
      </c>
      <c r="C492" s="1">
        <v>20</v>
      </c>
      <c r="D492" s="1">
        <v>54</v>
      </c>
      <c r="E492" s="1" t="s">
        <v>247</v>
      </c>
      <c r="F492" s="1" t="s">
        <v>3341</v>
      </c>
      <c r="G492" s="3" t="s">
        <v>3046</v>
      </c>
      <c r="H492" s="11">
        <f t="shared" si="17"/>
        <v>263.01</v>
      </c>
      <c r="I492" s="9">
        <f>($K$2+0.02)*Tabla1[[#This Row],[PRECIO $]]*1.18</f>
        <v>221.74559999999997</v>
      </c>
      <c r="J492" s="7">
        <f>+Tabla1[[#This Row],[PRECIO EN SOLES]]-Tabla1[[#This Row],[PC]]</f>
        <v>41.264400000000023</v>
      </c>
      <c r="K492" s="15"/>
      <c r="L492" s="15" t="str">
        <f t="shared" si="16"/>
        <v>NORMAL</v>
      </c>
    </row>
    <row r="493" spans="1:12" x14ac:dyDescent="0.25">
      <c r="A493" s="3" t="s">
        <v>738</v>
      </c>
      <c r="B493" s="3" t="s">
        <v>739</v>
      </c>
      <c r="C493" s="1">
        <v>20</v>
      </c>
      <c r="D493" s="1">
        <v>18.829999999999998</v>
      </c>
      <c r="E493" s="1" t="s">
        <v>247</v>
      </c>
      <c r="F493" s="1" t="s">
        <v>3342</v>
      </c>
      <c r="G493" s="3"/>
      <c r="H493" s="11">
        <f t="shared" si="17"/>
        <v>92.92</v>
      </c>
      <c r="I493" s="9">
        <f>($K$2+0.02)*Tabla1[[#This Row],[PRECIO $]]*1.18</f>
        <v>77.32351199999998</v>
      </c>
      <c r="J493" s="7">
        <f>+Tabla1[[#This Row],[PRECIO EN SOLES]]-Tabla1[[#This Row],[PC]]</f>
        <v>15.596488000000022</v>
      </c>
      <c r="K493" s="15"/>
      <c r="L493" s="15" t="str">
        <f t="shared" si="16"/>
        <v>NORMAL</v>
      </c>
    </row>
    <row r="494" spans="1:12" x14ac:dyDescent="0.25">
      <c r="A494" s="3" t="s">
        <v>740</v>
      </c>
      <c r="B494" s="3" t="s">
        <v>741</v>
      </c>
      <c r="C494" s="1">
        <v>20</v>
      </c>
      <c r="D494" s="1">
        <v>300</v>
      </c>
      <c r="E494" s="1" t="s">
        <v>247</v>
      </c>
      <c r="F494" s="1" t="s">
        <v>3343</v>
      </c>
      <c r="G494" s="3"/>
      <c r="H494" s="11">
        <f t="shared" si="17"/>
        <v>1424.71</v>
      </c>
      <c r="I494" s="9">
        <f>($K$2+0.02)*Tabla1[[#This Row],[PRECIO $]]*1.18</f>
        <v>1231.9199999999998</v>
      </c>
      <c r="J494" s="7">
        <f>+Tabla1[[#This Row],[PRECIO EN SOLES]]-Tabla1[[#This Row],[PC]]</f>
        <v>192.79000000000019</v>
      </c>
      <c r="K494" s="15"/>
      <c r="L494" s="15" t="str">
        <f t="shared" si="16"/>
        <v>COMPLEMENTO</v>
      </c>
    </row>
    <row r="495" spans="1:12" x14ac:dyDescent="0.25">
      <c r="A495" s="3" t="s">
        <v>1252</v>
      </c>
      <c r="B495" s="3" t="s">
        <v>1253</v>
      </c>
      <c r="C495" s="1">
        <v>20</v>
      </c>
      <c r="D495" s="1">
        <v>666</v>
      </c>
      <c r="E495" s="1" t="s">
        <v>247</v>
      </c>
      <c r="F495" s="1" t="s">
        <v>3344</v>
      </c>
      <c r="G495" s="3"/>
      <c r="H495" s="11">
        <f t="shared" si="17"/>
        <v>3153.09</v>
      </c>
      <c r="I495" s="9">
        <f>($K$2+0.02)*Tabla1[[#This Row],[PRECIO $]]*1.18</f>
        <v>2734.8623999999995</v>
      </c>
      <c r="J495" s="7">
        <f>+Tabla1[[#This Row],[PRECIO EN SOLES]]-Tabla1[[#This Row],[PC]]</f>
        <v>418.22760000000062</v>
      </c>
      <c r="K495" s="15"/>
      <c r="L495" s="15" t="str">
        <f t="shared" si="16"/>
        <v>NORMAL</v>
      </c>
    </row>
    <row r="496" spans="1:12" x14ac:dyDescent="0.25">
      <c r="A496" s="3" t="s">
        <v>6713</v>
      </c>
      <c r="B496" s="3" t="s">
        <v>6714</v>
      </c>
      <c r="C496" s="1">
        <v>20</v>
      </c>
      <c r="D496" s="1">
        <v>666</v>
      </c>
      <c r="E496" s="1" t="s">
        <v>247</v>
      </c>
      <c r="F496" s="1" t="s">
        <v>6715</v>
      </c>
      <c r="G496" s="3"/>
      <c r="H496" s="11">
        <f t="shared" si="17"/>
        <v>3423.58</v>
      </c>
      <c r="I496" s="9">
        <f>($K$2+0.02)*Tabla1[[#This Row],[PRECIO $]]*1.18</f>
        <v>2734.8623999999995</v>
      </c>
      <c r="J496" s="7">
        <f>+Tabla1[[#This Row],[PRECIO EN SOLES]]-Tabla1[[#This Row],[PC]]</f>
        <v>688.7176000000004</v>
      </c>
      <c r="K496" s="15"/>
      <c r="L496" s="15" t="str">
        <f t="shared" si="16"/>
        <v>NORMAL</v>
      </c>
    </row>
    <row r="497" spans="1:12" x14ac:dyDescent="0.25">
      <c r="A497" s="3" t="s">
        <v>1254</v>
      </c>
      <c r="B497" s="3" t="s">
        <v>1255</v>
      </c>
      <c r="C497" s="1">
        <v>0</v>
      </c>
      <c r="D497" s="1">
        <v>999</v>
      </c>
      <c r="E497" s="1" t="s">
        <v>249</v>
      </c>
      <c r="F497" s="1" t="s">
        <v>3345</v>
      </c>
      <c r="G497" s="3"/>
      <c r="H497" s="11">
        <f t="shared" si="17"/>
        <v>4725.6400000000003</v>
      </c>
      <c r="I497" s="9">
        <f>($K$2+0.02)*Tabla1[[#This Row],[PRECIO $]]*1.18</f>
        <v>4102.2936</v>
      </c>
      <c r="J497" s="7">
        <f>+Tabla1[[#This Row],[PRECIO EN SOLES]]-Tabla1[[#This Row],[PC]]</f>
        <v>623.34640000000036</v>
      </c>
      <c r="K497" s="15"/>
      <c r="L497" s="15" t="str">
        <f t="shared" si="16"/>
        <v>NORMAL</v>
      </c>
    </row>
    <row r="498" spans="1:12" x14ac:dyDescent="0.25">
      <c r="A498" s="3" t="s">
        <v>4577</v>
      </c>
      <c r="B498" s="3" t="s">
        <v>4578</v>
      </c>
      <c r="C498" s="1">
        <v>0</v>
      </c>
      <c r="D498" s="1">
        <v>9999999.9900000002</v>
      </c>
      <c r="E498" s="1" t="s">
        <v>1211</v>
      </c>
      <c r="F498" s="1" t="s">
        <v>4579</v>
      </c>
      <c r="G498" s="3"/>
      <c r="H498" s="11">
        <f t="shared" si="17"/>
        <v>47223607.950000003</v>
      </c>
      <c r="I498" s="9">
        <f>($K$2+0.02)*Tabla1[[#This Row],[PRECIO $]]*1.18</f>
        <v>41063999.958935998</v>
      </c>
      <c r="J498" s="7">
        <f>+Tabla1[[#This Row],[PRECIO EN SOLES]]-Tabla1[[#This Row],[PC]]</f>
        <v>6159607.9910640046</v>
      </c>
      <c r="K498" s="15"/>
      <c r="L498" s="15" t="str">
        <f t="shared" si="16"/>
        <v>NORMAL</v>
      </c>
    </row>
    <row r="499" spans="1:12" x14ac:dyDescent="0.25">
      <c r="A499" s="3" t="s">
        <v>1256</v>
      </c>
      <c r="B499" s="3" t="s">
        <v>1257</v>
      </c>
      <c r="C499" s="1">
        <v>2</v>
      </c>
      <c r="D499" s="1">
        <v>8.5</v>
      </c>
      <c r="E499" s="1" t="s">
        <v>1211</v>
      </c>
      <c r="F499" s="1" t="s">
        <v>3346</v>
      </c>
      <c r="G499" s="3"/>
      <c r="H499" s="11">
        <f t="shared" si="17"/>
        <v>44.14</v>
      </c>
      <c r="I499" s="9">
        <f>($K$2+0.02)*Tabla1[[#This Row],[PRECIO $]]*1.18</f>
        <v>34.904399999999995</v>
      </c>
      <c r="J499" s="7">
        <f>+Tabla1[[#This Row],[PRECIO EN SOLES]]-Tabla1[[#This Row],[PC]]</f>
        <v>9.2356000000000051</v>
      </c>
      <c r="K499" s="15"/>
      <c r="L499" s="15" t="str">
        <f t="shared" si="16"/>
        <v>NORMAL</v>
      </c>
    </row>
    <row r="500" spans="1:12" x14ac:dyDescent="0.25">
      <c r="A500" s="3" t="s">
        <v>1258</v>
      </c>
      <c r="B500" s="3" t="s">
        <v>1259</v>
      </c>
      <c r="C500" s="1">
        <v>4</v>
      </c>
      <c r="D500" s="1">
        <v>21.8</v>
      </c>
      <c r="E500" s="1" t="s">
        <v>1211</v>
      </c>
      <c r="F500" s="1" t="s">
        <v>3347</v>
      </c>
      <c r="G500" s="3" t="s">
        <v>1260</v>
      </c>
      <c r="H500" s="11">
        <f t="shared" si="17"/>
        <v>108.95</v>
      </c>
      <c r="I500" s="9">
        <f>($K$2+0.02)*Tabla1[[#This Row],[PRECIO $]]*1.18</f>
        <v>89.51952</v>
      </c>
      <c r="J500" s="7">
        <f>+Tabla1[[#This Row],[PRECIO EN SOLES]]-Tabla1[[#This Row],[PC]]</f>
        <v>19.430480000000003</v>
      </c>
      <c r="K500" s="15"/>
      <c r="L500" s="15" t="str">
        <f t="shared" si="16"/>
        <v>NORMAL</v>
      </c>
    </row>
    <row r="501" spans="1:12" x14ac:dyDescent="0.25">
      <c r="A501" s="3" t="s">
        <v>1261</v>
      </c>
      <c r="B501" s="3" t="s">
        <v>1262</v>
      </c>
      <c r="C501" s="1">
        <v>20</v>
      </c>
      <c r="D501" s="1">
        <v>4.2</v>
      </c>
      <c r="E501" s="1" t="s">
        <v>1211</v>
      </c>
      <c r="F501" s="1" t="s">
        <v>3348</v>
      </c>
      <c r="G501" s="3" t="s">
        <v>1263</v>
      </c>
      <c r="H501" s="11">
        <f t="shared" si="17"/>
        <v>21.83</v>
      </c>
      <c r="I501" s="9">
        <f>($K$2+0.02)*Tabla1[[#This Row],[PRECIO $]]*1.18</f>
        <v>17.246879999999997</v>
      </c>
      <c r="J501" s="7">
        <f>+Tabla1[[#This Row],[PRECIO EN SOLES]]-Tabla1[[#This Row],[PC]]</f>
        <v>4.583120000000001</v>
      </c>
      <c r="K501" s="15"/>
      <c r="L501" s="15" t="str">
        <f t="shared" si="16"/>
        <v>NORMAL</v>
      </c>
    </row>
    <row r="502" spans="1:12" x14ac:dyDescent="0.25">
      <c r="A502" s="3" t="s">
        <v>1264</v>
      </c>
      <c r="B502" s="3" t="s">
        <v>1265</v>
      </c>
      <c r="C502" s="1">
        <v>18</v>
      </c>
      <c r="D502" s="1">
        <v>4.5999999999999996</v>
      </c>
      <c r="E502" s="1" t="s">
        <v>1211</v>
      </c>
      <c r="F502" s="1" t="s">
        <v>3349</v>
      </c>
      <c r="G502" s="3" t="s">
        <v>1266</v>
      </c>
      <c r="H502" s="11">
        <f t="shared" si="17"/>
        <v>23.72</v>
      </c>
      <c r="I502" s="9">
        <f>($K$2+0.02)*Tabla1[[#This Row],[PRECIO $]]*1.18</f>
        <v>18.889439999999997</v>
      </c>
      <c r="J502" s="7">
        <f>+Tabla1[[#This Row],[PRECIO EN SOLES]]-Tabla1[[#This Row],[PC]]</f>
        <v>4.830560000000002</v>
      </c>
      <c r="K502" s="15"/>
      <c r="L502" s="15" t="str">
        <f t="shared" si="16"/>
        <v>NORMAL</v>
      </c>
    </row>
    <row r="503" spans="1:12" x14ac:dyDescent="0.25">
      <c r="A503" s="3" t="s">
        <v>1267</v>
      </c>
      <c r="B503" s="3" t="s">
        <v>1262</v>
      </c>
      <c r="C503" s="1">
        <v>2</v>
      </c>
      <c r="D503" s="1">
        <v>8</v>
      </c>
      <c r="E503" s="1" t="s">
        <v>1211</v>
      </c>
      <c r="F503" s="1" t="s">
        <v>3350</v>
      </c>
      <c r="G503" s="3" t="s">
        <v>1268</v>
      </c>
      <c r="H503" s="11">
        <f t="shared" si="17"/>
        <v>41.78</v>
      </c>
      <c r="I503" s="9">
        <f>($K$2+0.02)*Tabla1[[#This Row],[PRECIO $]]*1.18</f>
        <v>32.851199999999999</v>
      </c>
      <c r="J503" s="7">
        <f>+Tabla1[[#This Row],[PRECIO EN SOLES]]-Tabla1[[#This Row],[PC]]</f>
        <v>8.9288000000000025</v>
      </c>
      <c r="K503" s="15"/>
      <c r="L503" s="15" t="str">
        <f t="shared" si="16"/>
        <v>NORMAL</v>
      </c>
    </row>
    <row r="504" spans="1:12" x14ac:dyDescent="0.25">
      <c r="A504" s="3" t="s">
        <v>1269</v>
      </c>
      <c r="B504" s="3" t="s">
        <v>1262</v>
      </c>
      <c r="C504" s="1">
        <v>9</v>
      </c>
      <c r="D504" s="1">
        <v>8</v>
      </c>
      <c r="E504" s="1" t="s">
        <v>1211</v>
      </c>
      <c r="F504" s="1" t="s">
        <v>3351</v>
      </c>
      <c r="G504" s="3" t="s">
        <v>1270</v>
      </c>
      <c r="H504" s="11">
        <f t="shared" si="17"/>
        <v>41.78</v>
      </c>
      <c r="I504" s="9">
        <f>($K$2+0.02)*Tabla1[[#This Row],[PRECIO $]]*1.18</f>
        <v>32.851199999999999</v>
      </c>
      <c r="J504" s="7">
        <f>+Tabla1[[#This Row],[PRECIO EN SOLES]]-Tabla1[[#This Row],[PC]]</f>
        <v>8.9288000000000025</v>
      </c>
      <c r="K504" s="15"/>
      <c r="L504" s="15" t="str">
        <f t="shared" si="16"/>
        <v>NORMAL</v>
      </c>
    </row>
    <row r="505" spans="1:12" x14ac:dyDescent="0.25">
      <c r="A505" s="3" t="s">
        <v>1271</v>
      </c>
      <c r="B505" s="3" t="s">
        <v>1272</v>
      </c>
      <c r="C505" s="1">
        <v>4</v>
      </c>
      <c r="D505" s="1">
        <v>3.1</v>
      </c>
      <c r="E505" s="1" t="s">
        <v>1211</v>
      </c>
      <c r="F505" s="1" t="s">
        <v>3352</v>
      </c>
      <c r="G505" s="3" t="s">
        <v>1273</v>
      </c>
      <c r="H505" s="11">
        <f t="shared" si="17"/>
        <v>16.64</v>
      </c>
      <c r="I505" s="9">
        <f>($K$2+0.02)*Tabla1[[#This Row],[PRECIO $]]*1.18</f>
        <v>12.729839999999999</v>
      </c>
      <c r="J505" s="7">
        <f>+Tabla1[[#This Row],[PRECIO EN SOLES]]-Tabla1[[#This Row],[PC]]</f>
        <v>3.9101600000000012</v>
      </c>
      <c r="K505" s="15"/>
      <c r="L505" s="15" t="str">
        <f t="shared" si="16"/>
        <v>NORMAL</v>
      </c>
    </row>
    <row r="506" spans="1:12" x14ac:dyDescent="0.25">
      <c r="A506" s="3" t="s">
        <v>1274</v>
      </c>
      <c r="B506" s="3" t="s">
        <v>1275</v>
      </c>
      <c r="C506" s="1">
        <v>16</v>
      </c>
      <c r="D506" s="1">
        <v>54.5</v>
      </c>
      <c r="E506" s="1" t="s">
        <v>1211</v>
      </c>
      <c r="F506" s="1" t="s">
        <v>3353</v>
      </c>
      <c r="G506" s="3" t="s">
        <v>1276</v>
      </c>
      <c r="H506" s="11">
        <f t="shared" si="17"/>
        <v>265.37</v>
      </c>
      <c r="I506" s="9">
        <f>($K$2+0.02)*Tabla1[[#This Row],[PRECIO $]]*1.18</f>
        <v>223.79879999999997</v>
      </c>
      <c r="J506" s="7">
        <f>+Tabla1[[#This Row],[PRECIO EN SOLES]]-Tabla1[[#This Row],[PC]]</f>
        <v>41.571200000000033</v>
      </c>
      <c r="K506" s="15"/>
      <c r="L506" s="15" t="str">
        <f t="shared" si="16"/>
        <v>NORMAL</v>
      </c>
    </row>
    <row r="507" spans="1:12" x14ac:dyDescent="0.25">
      <c r="A507" s="3" t="s">
        <v>1277</v>
      </c>
      <c r="B507" s="3" t="s">
        <v>1278</v>
      </c>
      <c r="C507" s="1">
        <v>6</v>
      </c>
      <c r="D507" s="1">
        <v>17.5</v>
      </c>
      <c r="E507" s="1" t="s">
        <v>1211</v>
      </c>
      <c r="F507" s="1" t="s">
        <v>3354</v>
      </c>
      <c r="G507" s="3" t="s">
        <v>1279</v>
      </c>
      <c r="H507" s="11">
        <f t="shared" si="17"/>
        <v>86.64</v>
      </c>
      <c r="I507" s="9">
        <f>($K$2+0.02)*Tabla1[[#This Row],[PRECIO $]]*1.18</f>
        <v>71.861999999999995</v>
      </c>
      <c r="J507" s="7">
        <f>+Tabla1[[#This Row],[PRECIO EN SOLES]]-Tabla1[[#This Row],[PC]]</f>
        <v>14.778000000000006</v>
      </c>
      <c r="K507" s="15"/>
      <c r="L507" s="15" t="str">
        <f t="shared" si="16"/>
        <v>NORMAL</v>
      </c>
    </row>
    <row r="508" spans="1:12" x14ac:dyDescent="0.25">
      <c r="A508" s="3" t="s">
        <v>1280</v>
      </c>
      <c r="B508" s="3" t="s">
        <v>1281</v>
      </c>
      <c r="C508" s="1">
        <v>18</v>
      </c>
      <c r="D508" s="1">
        <v>5.0999999999999996</v>
      </c>
      <c r="E508" s="1" t="s">
        <v>1211</v>
      </c>
      <c r="F508" s="1" t="s">
        <v>3355</v>
      </c>
      <c r="G508" s="3" t="s">
        <v>1282</v>
      </c>
      <c r="H508" s="11">
        <f t="shared" si="17"/>
        <v>26.08</v>
      </c>
      <c r="I508" s="9">
        <f>($K$2+0.02)*Tabla1[[#This Row],[PRECIO $]]*1.18</f>
        <v>20.942639999999997</v>
      </c>
      <c r="J508" s="7">
        <f>+Tabla1[[#This Row],[PRECIO EN SOLES]]-Tabla1[[#This Row],[PC]]</f>
        <v>5.137360000000001</v>
      </c>
      <c r="K508" s="15"/>
      <c r="L508" s="15" t="str">
        <f t="shared" si="16"/>
        <v>NORMAL</v>
      </c>
    </row>
    <row r="509" spans="1:12" x14ac:dyDescent="0.25">
      <c r="A509" s="3" t="s">
        <v>5905</v>
      </c>
      <c r="B509" s="3" t="s">
        <v>5906</v>
      </c>
      <c r="C509" s="1">
        <v>20</v>
      </c>
      <c r="D509" s="1">
        <v>1870</v>
      </c>
      <c r="E509" s="1" t="s">
        <v>906</v>
      </c>
      <c r="F509" s="1" t="s">
        <v>5907</v>
      </c>
      <c r="G509" s="3" t="s">
        <v>5908</v>
      </c>
      <c r="H509" s="11">
        <f t="shared" si="17"/>
        <v>8838.81</v>
      </c>
      <c r="I509" s="9">
        <f>($K$2+0.02)*Tabla1[[#This Row],[PRECIO $]]*1.18</f>
        <v>7678.9679999999998</v>
      </c>
      <c r="J509" s="7">
        <f>+Tabla1[[#This Row],[PRECIO EN SOLES]]-Tabla1[[#This Row],[PC]]</f>
        <v>1159.8419999999996</v>
      </c>
      <c r="K509" s="15"/>
      <c r="L509" s="15" t="str">
        <f t="shared" si="16"/>
        <v>NORMAL</v>
      </c>
    </row>
    <row r="510" spans="1:12" x14ac:dyDescent="0.25">
      <c r="A510" s="3" t="s">
        <v>5282</v>
      </c>
      <c r="B510" s="3" t="s">
        <v>5283</v>
      </c>
      <c r="C510" s="1">
        <v>20</v>
      </c>
      <c r="D510" s="1">
        <v>77.650000000000006</v>
      </c>
      <c r="E510" s="1" t="s">
        <v>115</v>
      </c>
      <c r="F510" s="1" t="s">
        <v>5284</v>
      </c>
      <c r="G510" s="3" t="s">
        <v>5285</v>
      </c>
      <c r="H510" s="11">
        <f t="shared" si="17"/>
        <v>374.69</v>
      </c>
      <c r="I510" s="9">
        <f>($K$2+0.02)*Tabla1[[#This Row],[PRECIO $]]*1.18</f>
        <v>318.86196000000001</v>
      </c>
      <c r="J510" s="7">
        <f>+Tabla1[[#This Row],[PRECIO EN SOLES]]-Tabla1[[#This Row],[PC]]</f>
        <v>55.828039999999987</v>
      </c>
      <c r="K510" s="15"/>
      <c r="L510" s="15" t="str">
        <f t="shared" si="16"/>
        <v>NORMAL</v>
      </c>
    </row>
    <row r="511" spans="1:12" x14ac:dyDescent="0.25">
      <c r="A511" s="3" t="s">
        <v>4545</v>
      </c>
      <c r="B511" s="3" t="s">
        <v>4546</v>
      </c>
      <c r="C511" s="1">
        <v>0</v>
      </c>
      <c r="D511" s="1">
        <v>66.400000000000006</v>
      </c>
      <c r="E511" s="1" t="s">
        <v>115</v>
      </c>
      <c r="F511" s="1" t="s">
        <v>4547</v>
      </c>
      <c r="G511" s="3" t="s">
        <v>4548</v>
      </c>
      <c r="H511" s="11">
        <f t="shared" si="17"/>
        <v>321.56</v>
      </c>
      <c r="I511" s="9">
        <f>($K$2+0.02)*Tabla1[[#This Row],[PRECIO $]]*1.18</f>
        <v>272.66496000000001</v>
      </c>
      <c r="J511" s="7">
        <f>+Tabla1[[#This Row],[PRECIO EN SOLES]]-Tabla1[[#This Row],[PC]]</f>
        <v>48.895039999999995</v>
      </c>
      <c r="K511" s="15"/>
      <c r="L511" s="15" t="str">
        <f t="shared" si="16"/>
        <v>NORMAL</v>
      </c>
    </row>
    <row r="512" spans="1:12" x14ac:dyDescent="0.25">
      <c r="A512" s="3" t="s">
        <v>5286</v>
      </c>
      <c r="B512" s="3" t="s">
        <v>5287</v>
      </c>
      <c r="C512" s="1">
        <v>0</v>
      </c>
      <c r="D512" s="1">
        <v>114</v>
      </c>
      <c r="E512" s="1" t="s">
        <v>226</v>
      </c>
      <c r="F512" s="1" t="s">
        <v>5288</v>
      </c>
      <c r="G512" s="3" t="s">
        <v>5289</v>
      </c>
      <c r="H512" s="11">
        <f t="shared" si="17"/>
        <v>546.35</v>
      </c>
      <c r="I512" s="9">
        <f>($K$2+0.02)*Tabla1[[#This Row],[PRECIO $]]*1.18</f>
        <v>468.12959999999993</v>
      </c>
      <c r="J512" s="7">
        <f>+Tabla1[[#This Row],[PRECIO EN SOLES]]-Tabla1[[#This Row],[PC]]</f>
        <v>78.220400000000097</v>
      </c>
      <c r="K512" s="15"/>
      <c r="L512" s="15" t="str">
        <f t="shared" si="16"/>
        <v>NORMAL</v>
      </c>
    </row>
    <row r="513" spans="1:12" x14ac:dyDescent="0.25">
      <c r="A513" s="3" t="s">
        <v>5290</v>
      </c>
      <c r="B513" s="3" t="s">
        <v>5291</v>
      </c>
      <c r="C513" s="1">
        <v>20</v>
      </c>
      <c r="D513" s="1">
        <v>74.400000000000006</v>
      </c>
      <c r="E513" s="1" t="s">
        <v>226</v>
      </c>
      <c r="F513" s="1" t="s">
        <v>5292</v>
      </c>
      <c r="G513" s="3" t="s">
        <v>5293</v>
      </c>
      <c r="H513" s="11">
        <f t="shared" si="17"/>
        <v>359.34</v>
      </c>
      <c r="I513" s="9">
        <f>($K$2+0.02)*Tabla1[[#This Row],[PRECIO $]]*1.18</f>
        <v>305.51616000000001</v>
      </c>
      <c r="J513" s="7">
        <f>+Tabla1[[#This Row],[PRECIO EN SOLES]]-Tabla1[[#This Row],[PC]]</f>
        <v>53.823839999999961</v>
      </c>
      <c r="K513" s="15"/>
      <c r="L513" s="15" t="str">
        <f t="shared" si="16"/>
        <v>NORMAL</v>
      </c>
    </row>
    <row r="514" spans="1:12" x14ac:dyDescent="0.25">
      <c r="A514" s="3" t="s">
        <v>5294</v>
      </c>
      <c r="B514" s="3" t="s">
        <v>5295</v>
      </c>
      <c r="C514" s="1">
        <v>20</v>
      </c>
      <c r="D514" s="1">
        <v>71.099999999999994</v>
      </c>
      <c r="E514" s="1" t="s">
        <v>226</v>
      </c>
      <c r="F514" s="1" t="s">
        <v>5296</v>
      </c>
      <c r="G514" s="3" t="s">
        <v>5297</v>
      </c>
      <c r="H514" s="11">
        <f t="shared" si="17"/>
        <v>343.76</v>
      </c>
      <c r="I514" s="9">
        <f>($K$2+0.02)*Tabla1[[#This Row],[PRECIO $]]*1.18</f>
        <v>291.96503999999993</v>
      </c>
      <c r="J514" s="7">
        <f>+Tabla1[[#This Row],[PRECIO EN SOLES]]-Tabla1[[#This Row],[PC]]</f>
        <v>51.79496000000006</v>
      </c>
      <c r="K514" s="15"/>
      <c r="L514" s="15" t="str">
        <f t="shared" si="16"/>
        <v>NORMAL</v>
      </c>
    </row>
    <row r="515" spans="1:12" x14ac:dyDescent="0.25">
      <c r="A515" s="3" t="s">
        <v>1283</v>
      </c>
      <c r="B515" s="3" t="s">
        <v>1284</v>
      </c>
      <c r="C515" s="1">
        <v>0</v>
      </c>
      <c r="D515" s="1">
        <v>59.3</v>
      </c>
      <c r="E515" s="1" t="s">
        <v>226</v>
      </c>
      <c r="F515" s="1" t="s">
        <v>3356</v>
      </c>
      <c r="G515" s="3" t="s">
        <v>1285</v>
      </c>
      <c r="H515" s="11">
        <f t="shared" si="17"/>
        <v>288.04000000000002</v>
      </c>
      <c r="I515" s="9">
        <f>($K$2+0.02)*Tabla1[[#This Row],[PRECIO $]]*1.18</f>
        <v>243.50951999999995</v>
      </c>
      <c r="J515" s="7">
        <f>+Tabla1[[#This Row],[PRECIO EN SOLES]]-Tabla1[[#This Row],[PC]]</f>
        <v>44.530480000000068</v>
      </c>
      <c r="K515" s="15"/>
      <c r="L515" s="15" t="str">
        <f t="shared" si="16"/>
        <v>NORMAL</v>
      </c>
    </row>
    <row r="516" spans="1:12" x14ac:dyDescent="0.25">
      <c r="A516" s="3" t="s">
        <v>5909</v>
      </c>
      <c r="B516" s="3" t="s">
        <v>5910</v>
      </c>
      <c r="C516" s="1">
        <v>20</v>
      </c>
      <c r="D516" s="1">
        <v>74.2</v>
      </c>
      <c r="E516" s="1" t="s">
        <v>121</v>
      </c>
      <c r="F516" s="1" t="s">
        <v>5911</v>
      </c>
      <c r="G516" s="3" t="s">
        <v>5912</v>
      </c>
      <c r="H516" s="11">
        <f t="shared" si="17"/>
        <v>358.4</v>
      </c>
      <c r="I516" s="9">
        <f>($K$2+0.02)*Tabla1[[#This Row],[PRECIO $]]*1.18</f>
        <v>304.69488000000001</v>
      </c>
      <c r="J516" s="7">
        <f>+Tabla1[[#This Row],[PRECIO EN SOLES]]-Tabla1[[#This Row],[PC]]</f>
        <v>53.705119999999965</v>
      </c>
      <c r="K516" s="15"/>
      <c r="L516" s="15" t="str">
        <f t="shared" si="16"/>
        <v>NORMAL</v>
      </c>
    </row>
    <row r="517" spans="1:12" x14ac:dyDescent="0.25">
      <c r="A517" s="3" t="s">
        <v>5913</v>
      </c>
      <c r="B517" s="3" t="s">
        <v>5914</v>
      </c>
      <c r="C517" s="1">
        <v>20</v>
      </c>
      <c r="D517" s="1">
        <v>59.95</v>
      </c>
      <c r="E517" s="1" t="s">
        <v>121</v>
      </c>
      <c r="F517" s="1" t="s">
        <v>5915</v>
      </c>
      <c r="G517" s="3" t="s">
        <v>5916</v>
      </c>
      <c r="H517" s="11">
        <f t="shared" si="17"/>
        <v>291.11</v>
      </c>
      <c r="I517" s="9">
        <f>($K$2+0.02)*Tabla1[[#This Row],[PRECIO $]]*1.18</f>
        <v>246.17867999999999</v>
      </c>
      <c r="J517" s="7">
        <f>+Tabla1[[#This Row],[PRECIO EN SOLES]]-Tabla1[[#This Row],[PC]]</f>
        <v>44.931320000000028</v>
      </c>
      <c r="K517" s="15"/>
      <c r="L517" s="15" t="str">
        <f t="shared" si="16"/>
        <v>NORMAL</v>
      </c>
    </row>
    <row r="518" spans="1:12" x14ac:dyDescent="0.25">
      <c r="A518" s="3" t="s">
        <v>5917</v>
      </c>
      <c r="B518" s="3" t="s">
        <v>5918</v>
      </c>
      <c r="C518" s="1">
        <v>20</v>
      </c>
      <c r="D518" s="1">
        <v>57.85</v>
      </c>
      <c r="E518" s="1" t="s">
        <v>121</v>
      </c>
      <c r="F518" s="1" t="s">
        <v>5919</v>
      </c>
      <c r="G518" s="3" t="s">
        <v>5920</v>
      </c>
      <c r="H518" s="11">
        <f t="shared" si="17"/>
        <v>281.19</v>
      </c>
      <c r="I518" s="9">
        <f>($K$2+0.02)*Tabla1[[#This Row],[PRECIO $]]*1.18</f>
        <v>237.55524</v>
      </c>
      <c r="J518" s="7">
        <f>+Tabla1[[#This Row],[PRECIO EN SOLES]]-Tabla1[[#This Row],[PC]]</f>
        <v>43.63476</v>
      </c>
      <c r="K518" s="15"/>
      <c r="L518" s="15" t="str">
        <f t="shared" si="16"/>
        <v>NORMAL</v>
      </c>
    </row>
    <row r="519" spans="1:12" x14ac:dyDescent="0.25">
      <c r="A519" s="3" t="s">
        <v>1286</v>
      </c>
      <c r="B519" s="3" t="s">
        <v>1287</v>
      </c>
      <c r="C519" s="1">
        <v>12</v>
      </c>
      <c r="D519" s="1">
        <v>60.35</v>
      </c>
      <c r="E519" s="1" t="s">
        <v>906</v>
      </c>
      <c r="F519" s="1" t="s">
        <v>3357</v>
      </c>
      <c r="G519" s="3" t="s">
        <v>1288</v>
      </c>
      <c r="H519" s="11">
        <f t="shared" si="17"/>
        <v>292.99</v>
      </c>
      <c r="I519" s="9">
        <f>($K$2+0.02)*Tabla1[[#This Row],[PRECIO $]]*1.18</f>
        <v>247.82123999999999</v>
      </c>
      <c r="J519" s="7">
        <f>+Tabla1[[#This Row],[PRECIO EN SOLES]]-Tabla1[[#This Row],[PC]]</f>
        <v>45.16876000000002</v>
      </c>
      <c r="K519" s="15"/>
      <c r="L519" s="15" t="str">
        <f t="shared" si="16"/>
        <v>NORMAL</v>
      </c>
    </row>
    <row r="520" spans="1:12" x14ac:dyDescent="0.25">
      <c r="A520" s="3" t="s">
        <v>5298</v>
      </c>
      <c r="B520" s="3" t="s">
        <v>5299</v>
      </c>
      <c r="C520" s="1">
        <v>20</v>
      </c>
      <c r="D520" s="1">
        <v>127.7</v>
      </c>
      <c r="E520" s="1" t="s">
        <v>115</v>
      </c>
      <c r="F520" s="1" t="s">
        <v>5300</v>
      </c>
      <c r="G520" s="3" t="s">
        <v>5301</v>
      </c>
      <c r="H520" s="11">
        <f t="shared" si="17"/>
        <v>611.04999999999995</v>
      </c>
      <c r="I520" s="9">
        <f>($K$2+0.02)*Tabla1[[#This Row],[PRECIO $]]*1.18</f>
        <v>524.38728000000003</v>
      </c>
      <c r="J520" s="7">
        <f>+Tabla1[[#This Row],[PRECIO EN SOLES]]-Tabla1[[#This Row],[PC]]</f>
        <v>86.662719999999922</v>
      </c>
      <c r="K520" s="15"/>
      <c r="L520" s="15" t="str">
        <f t="shared" si="16"/>
        <v>NORMAL</v>
      </c>
    </row>
    <row r="521" spans="1:12" x14ac:dyDescent="0.25">
      <c r="A521" s="3" t="s">
        <v>4288</v>
      </c>
      <c r="B521" s="3" t="s">
        <v>4289</v>
      </c>
      <c r="C521" s="1">
        <v>20</v>
      </c>
      <c r="D521" s="1">
        <v>98.5</v>
      </c>
      <c r="E521" s="1" t="s">
        <v>115</v>
      </c>
      <c r="F521" s="1" t="s">
        <v>4290</v>
      </c>
      <c r="G521" s="3" t="s">
        <v>4291</v>
      </c>
      <c r="H521" s="11">
        <f t="shared" si="17"/>
        <v>473.15</v>
      </c>
      <c r="I521" s="9">
        <f>($K$2+0.02)*Tabla1[[#This Row],[PRECIO $]]*1.18</f>
        <v>404.48039999999997</v>
      </c>
      <c r="J521" s="7">
        <f>+Tabla1[[#This Row],[PRECIO EN SOLES]]-Tabla1[[#This Row],[PC]]</f>
        <v>68.669600000000003</v>
      </c>
      <c r="K521" s="15"/>
      <c r="L521" s="15" t="str">
        <f t="shared" si="16"/>
        <v>NORMAL</v>
      </c>
    </row>
    <row r="522" spans="1:12" x14ac:dyDescent="0.25">
      <c r="A522" s="3" t="s">
        <v>6292</v>
      </c>
      <c r="B522" s="3" t="s">
        <v>6293</v>
      </c>
      <c r="C522" s="1">
        <v>3</v>
      </c>
      <c r="D522" s="1">
        <v>89.4</v>
      </c>
      <c r="E522" s="1" t="s">
        <v>115</v>
      </c>
      <c r="F522" s="1" t="s">
        <v>6294</v>
      </c>
      <c r="G522" s="3" t="s">
        <v>6295</v>
      </c>
      <c r="H522" s="11">
        <f t="shared" si="17"/>
        <v>430.18</v>
      </c>
      <c r="I522" s="9">
        <f>($K$2+0.02)*Tabla1[[#This Row],[PRECIO $]]*1.18</f>
        <v>367.11216000000002</v>
      </c>
      <c r="J522" s="7">
        <f>+Tabla1[[#This Row],[PRECIO EN SOLES]]-Tabla1[[#This Row],[PC]]</f>
        <v>63.06783999999999</v>
      </c>
      <c r="K522" s="15"/>
      <c r="L522" s="15" t="str">
        <f t="shared" si="16"/>
        <v>NORMAL</v>
      </c>
    </row>
    <row r="523" spans="1:12" x14ac:dyDescent="0.25">
      <c r="A523" s="3" t="s">
        <v>1289</v>
      </c>
      <c r="B523" s="3" t="s">
        <v>1290</v>
      </c>
      <c r="C523" s="1">
        <v>20</v>
      </c>
      <c r="D523" s="1">
        <v>63.8</v>
      </c>
      <c r="E523" s="1" t="s">
        <v>115</v>
      </c>
      <c r="F523" s="1" t="s">
        <v>3358</v>
      </c>
      <c r="G523" s="3" t="s">
        <v>1291</v>
      </c>
      <c r="H523" s="11">
        <f t="shared" si="17"/>
        <v>309.29000000000002</v>
      </c>
      <c r="I523" s="9">
        <f>($K$2+0.02)*Tabla1[[#This Row],[PRECIO $]]*1.18</f>
        <v>261.98831999999999</v>
      </c>
      <c r="J523" s="7">
        <f>+Tabla1[[#This Row],[PRECIO EN SOLES]]-Tabla1[[#This Row],[PC]]</f>
        <v>47.301680000000033</v>
      </c>
      <c r="K523" s="15"/>
      <c r="L523" s="15" t="str">
        <f t="shared" si="16"/>
        <v>NORMAL</v>
      </c>
    </row>
    <row r="524" spans="1:12" x14ac:dyDescent="0.25">
      <c r="A524" s="3" t="s">
        <v>1292</v>
      </c>
      <c r="B524" s="3" t="s">
        <v>1293</v>
      </c>
      <c r="C524" s="1">
        <v>0</v>
      </c>
      <c r="D524" s="1">
        <v>178</v>
      </c>
      <c r="E524" s="1" t="s">
        <v>115</v>
      </c>
      <c r="F524" s="1" t="s">
        <v>3359</v>
      </c>
      <c r="G524" s="3" t="s">
        <v>1294</v>
      </c>
      <c r="H524" s="11">
        <f t="shared" si="17"/>
        <v>848.58</v>
      </c>
      <c r="I524" s="9">
        <f>($K$2+0.02)*Tabla1[[#This Row],[PRECIO $]]*1.18</f>
        <v>730.93919999999991</v>
      </c>
      <c r="J524" s="7">
        <f>+Tabla1[[#This Row],[PRECIO EN SOLES]]-Tabla1[[#This Row],[PC]]</f>
        <v>117.64080000000013</v>
      </c>
      <c r="K524" s="15"/>
      <c r="L524" s="15" t="str">
        <f t="shared" si="16"/>
        <v>NORMAL</v>
      </c>
    </row>
    <row r="525" spans="1:12" x14ac:dyDescent="0.25">
      <c r="A525" s="3" t="s">
        <v>1295</v>
      </c>
      <c r="B525" s="3" t="s">
        <v>1296</v>
      </c>
      <c r="C525" s="1">
        <v>3</v>
      </c>
      <c r="D525" s="1">
        <v>115.7</v>
      </c>
      <c r="E525" s="1" t="s">
        <v>226</v>
      </c>
      <c r="F525" s="1" t="s">
        <v>3360</v>
      </c>
      <c r="G525" s="3" t="s">
        <v>1297</v>
      </c>
      <c r="H525" s="11">
        <f t="shared" si="17"/>
        <v>554.38</v>
      </c>
      <c r="I525" s="9">
        <f>($K$2+0.02)*Tabla1[[#This Row],[PRECIO $]]*1.18</f>
        <v>475.11048</v>
      </c>
      <c r="J525" s="7">
        <f>+Tabla1[[#This Row],[PRECIO EN SOLES]]-Tabla1[[#This Row],[PC]]</f>
        <v>79.26952</v>
      </c>
      <c r="K525" s="15"/>
      <c r="L525" s="15" t="str">
        <f t="shared" si="16"/>
        <v>NORMAL</v>
      </c>
    </row>
    <row r="526" spans="1:12" x14ac:dyDescent="0.25">
      <c r="A526" s="3" t="s">
        <v>1298</v>
      </c>
      <c r="B526" s="3" t="s">
        <v>1299</v>
      </c>
      <c r="C526" s="1">
        <v>0</v>
      </c>
      <c r="D526" s="1">
        <v>102.5</v>
      </c>
      <c r="E526" s="1" t="s">
        <v>226</v>
      </c>
      <c r="F526" s="1" t="s">
        <v>3361</v>
      </c>
      <c r="G526" s="3" t="s">
        <v>1300</v>
      </c>
      <c r="H526" s="11">
        <f t="shared" si="17"/>
        <v>492.04</v>
      </c>
      <c r="I526" s="9">
        <f>($K$2+0.02)*Tabla1[[#This Row],[PRECIO $]]*1.18</f>
        <v>420.90599999999995</v>
      </c>
      <c r="J526" s="7">
        <f>+Tabla1[[#This Row],[PRECIO EN SOLES]]-Tabla1[[#This Row],[PC]]</f>
        <v>71.134000000000071</v>
      </c>
      <c r="K526" s="15"/>
      <c r="L526" s="15" t="str">
        <f t="shared" si="16"/>
        <v>NORMAL</v>
      </c>
    </row>
    <row r="527" spans="1:12" x14ac:dyDescent="0.25">
      <c r="A527" s="3" t="s">
        <v>1301</v>
      </c>
      <c r="B527" s="3" t="s">
        <v>1302</v>
      </c>
      <c r="C527" s="1">
        <v>0</v>
      </c>
      <c r="D527" s="1">
        <v>110.6</v>
      </c>
      <c r="E527" s="1" t="s">
        <v>226</v>
      </c>
      <c r="F527" s="1" t="s">
        <v>3362</v>
      </c>
      <c r="G527" s="3" t="s">
        <v>1303</v>
      </c>
      <c r="H527" s="11">
        <f t="shared" si="17"/>
        <v>530.29</v>
      </c>
      <c r="I527" s="9">
        <f>($K$2+0.02)*Tabla1[[#This Row],[PRECIO $]]*1.18</f>
        <v>454.16783999999996</v>
      </c>
      <c r="J527" s="7">
        <f>+Tabla1[[#This Row],[PRECIO EN SOLES]]-Tabla1[[#This Row],[PC]]</f>
        <v>76.122160000000008</v>
      </c>
      <c r="K527" s="15"/>
      <c r="L527" s="15" t="str">
        <f t="shared" si="16"/>
        <v>NORMAL</v>
      </c>
    </row>
    <row r="528" spans="1:12" x14ac:dyDescent="0.25">
      <c r="A528" s="3" t="s">
        <v>645</v>
      </c>
      <c r="B528" s="3" t="s">
        <v>646</v>
      </c>
      <c r="C528" s="1">
        <v>11</v>
      </c>
      <c r="D528" s="1">
        <v>84.1</v>
      </c>
      <c r="E528" s="1" t="s">
        <v>226</v>
      </c>
      <c r="F528" s="1" t="s">
        <v>3363</v>
      </c>
      <c r="G528" s="3" t="s">
        <v>647</v>
      </c>
      <c r="H528" s="11">
        <f t="shared" si="17"/>
        <v>405.15</v>
      </c>
      <c r="I528" s="9">
        <f>($K$2+0.02)*Tabla1[[#This Row],[PRECIO $]]*1.18</f>
        <v>345.34823999999998</v>
      </c>
      <c r="J528" s="7">
        <f>+Tabla1[[#This Row],[PRECIO EN SOLES]]-Tabla1[[#This Row],[PC]]</f>
        <v>59.801760000000002</v>
      </c>
      <c r="K528" s="15"/>
      <c r="L528" s="15" t="str">
        <f t="shared" ref="L528:L591" si="18"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29" spans="1:12" x14ac:dyDescent="0.25">
      <c r="A529" s="3" t="s">
        <v>1304</v>
      </c>
      <c r="B529" s="3" t="s">
        <v>1305</v>
      </c>
      <c r="C529" s="1">
        <v>20</v>
      </c>
      <c r="D529" s="1">
        <v>59.9</v>
      </c>
      <c r="E529" s="1" t="s">
        <v>226</v>
      </c>
      <c r="F529" s="1" t="s">
        <v>3364</v>
      </c>
      <c r="G529" s="3" t="s">
        <v>1306</v>
      </c>
      <c r="H529" s="11">
        <f t="shared" si="17"/>
        <v>290.87</v>
      </c>
      <c r="I529" s="9">
        <f>($K$2+0.02)*Tabla1[[#This Row],[PRECIO $]]*1.18</f>
        <v>245.97335999999999</v>
      </c>
      <c r="J529" s="7">
        <f>+Tabla1[[#This Row],[PRECIO EN SOLES]]-Tabla1[[#This Row],[PC]]</f>
        <v>44.896640000000019</v>
      </c>
      <c r="K529" s="15"/>
      <c r="L529" s="15" t="str">
        <f t="shared" si="18"/>
        <v>NORMAL</v>
      </c>
    </row>
    <row r="530" spans="1:12" x14ac:dyDescent="0.25">
      <c r="A530" s="3" t="s">
        <v>5921</v>
      </c>
      <c r="B530" s="3" t="s">
        <v>5922</v>
      </c>
      <c r="C530" s="1">
        <v>20</v>
      </c>
      <c r="D530" s="1">
        <v>101.6</v>
      </c>
      <c r="E530" s="1" t="s">
        <v>121</v>
      </c>
      <c r="F530" s="1" t="s">
        <v>5923</v>
      </c>
      <c r="G530" s="3" t="s">
        <v>5924</v>
      </c>
      <c r="H530" s="11">
        <f t="shared" ref="H530:H593" si="19">ROUND(
IF(L528="GANCHO",
   IF(I530&lt;=50,I530*1.1+4,IF(I530&lt;=120,I530*1.1+7,IF(I530&lt;=250,I530*1.1+11,I530*1.1+19))),
IF(L528="NORMAL",
   IF(I530&lt;=30,I530*1.15+2,IF(I530&lt;=80,I530*1.15+4,IF(I530&lt;=150,I530*1.15+6,I530*1.15+8))),
IF(L528="COMPLEMENTO",
   IF(I530&lt;=25,I530*1.25+1.5,IF(I530&lt;=60,I530*1.25+3,IF(I530&lt;=120,I530*1.25+4,I530*1.25+5))),
""))),2)</f>
        <v>487.79</v>
      </c>
      <c r="I530" s="9">
        <f>($K$2+0.02)*Tabla1[[#This Row],[PRECIO $]]*1.18</f>
        <v>417.21023999999994</v>
      </c>
      <c r="J530" s="7">
        <f>+Tabla1[[#This Row],[PRECIO EN SOLES]]-Tabla1[[#This Row],[PC]]</f>
        <v>70.579760000000078</v>
      </c>
      <c r="K530" s="15"/>
      <c r="L530" s="15" t="str">
        <f t="shared" si="18"/>
        <v>NORMAL</v>
      </c>
    </row>
    <row r="531" spans="1:12" x14ac:dyDescent="0.25">
      <c r="A531" s="3" t="s">
        <v>5925</v>
      </c>
      <c r="B531" s="3" t="s">
        <v>5926</v>
      </c>
      <c r="C531" s="1">
        <v>20</v>
      </c>
      <c r="D531" s="1">
        <v>86.5</v>
      </c>
      <c r="E531" s="1" t="s">
        <v>121</v>
      </c>
      <c r="F531" s="1" t="s">
        <v>5927</v>
      </c>
      <c r="G531" s="3" t="s">
        <v>5928</v>
      </c>
      <c r="H531" s="11">
        <f t="shared" si="19"/>
        <v>416.48</v>
      </c>
      <c r="I531" s="9">
        <f>($K$2+0.02)*Tabla1[[#This Row],[PRECIO $]]*1.18</f>
        <v>355.20359999999994</v>
      </c>
      <c r="J531" s="7">
        <f>+Tabla1[[#This Row],[PRECIO EN SOLES]]-Tabla1[[#This Row],[PC]]</f>
        <v>61.276400000000081</v>
      </c>
      <c r="K531" s="15"/>
      <c r="L531" s="15" t="str">
        <f t="shared" si="18"/>
        <v>NORMAL</v>
      </c>
    </row>
    <row r="532" spans="1:12" x14ac:dyDescent="0.25">
      <c r="A532" s="3" t="s">
        <v>6296</v>
      </c>
      <c r="B532" s="3" t="s">
        <v>6297</v>
      </c>
      <c r="C532" s="1">
        <v>6</v>
      </c>
      <c r="D532" s="1">
        <v>76.099999999999994</v>
      </c>
      <c r="E532" s="1" t="s">
        <v>121</v>
      </c>
      <c r="F532" s="1" t="s">
        <v>6298</v>
      </c>
      <c r="G532" s="3" t="s">
        <v>6299</v>
      </c>
      <c r="H532" s="11">
        <f t="shared" si="19"/>
        <v>367.37</v>
      </c>
      <c r="I532" s="9">
        <f>($K$2+0.02)*Tabla1[[#This Row],[PRECIO $]]*1.18</f>
        <v>312.49703999999997</v>
      </c>
      <c r="J532" s="7">
        <f>+Tabla1[[#This Row],[PRECIO EN SOLES]]-Tabla1[[#This Row],[PC]]</f>
        <v>54.872960000000035</v>
      </c>
      <c r="K532" s="15"/>
      <c r="L532" s="15" t="str">
        <f t="shared" si="18"/>
        <v>NORMAL</v>
      </c>
    </row>
    <row r="533" spans="1:12" x14ac:dyDescent="0.25">
      <c r="A533" s="3" t="s">
        <v>5929</v>
      </c>
      <c r="B533" s="3" t="s">
        <v>5930</v>
      </c>
      <c r="C533" s="1">
        <v>20</v>
      </c>
      <c r="D533" s="1">
        <v>91</v>
      </c>
      <c r="E533" s="1" t="s">
        <v>121</v>
      </c>
      <c r="F533" s="1" t="s">
        <v>5931</v>
      </c>
      <c r="G533" s="3" t="s">
        <v>5932</v>
      </c>
      <c r="H533" s="11">
        <f t="shared" si="19"/>
        <v>437.73</v>
      </c>
      <c r="I533" s="9">
        <f>($K$2+0.02)*Tabla1[[#This Row],[PRECIO $]]*1.18</f>
        <v>373.68239999999997</v>
      </c>
      <c r="J533" s="7">
        <f>+Tabla1[[#This Row],[PRECIO EN SOLES]]-Tabla1[[#This Row],[PC]]</f>
        <v>64.047600000000045</v>
      </c>
      <c r="K533" s="15"/>
      <c r="L533" s="15" t="str">
        <f t="shared" si="18"/>
        <v>NORMAL</v>
      </c>
    </row>
    <row r="534" spans="1:12" x14ac:dyDescent="0.25">
      <c r="A534" s="3" t="s">
        <v>250</v>
      </c>
      <c r="B534" s="3" t="s">
        <v>251</v>
      </c>
      <c r="C534" s="1">
        <v>8</v>
      </c>
      <c r="D534" s="1">
        <v>60.65</v>
      </c>
      <c r="E534" s="1" t="s">
        <v>121</v>
      </c>
      <c r="F534" s="1" t="s">
        <v>3365</v>
      </c>
      <c r="G534" s="3" t="s">
        <v>252</v>
      </c>
      <c r="H534" s="11">
        <f t="shared" si="19"/>
        <v>294.41000000000003</v>
      </c>
      <c r="I534" s="9">
        <f>($K$2+0.02)*Tabla1[[#This Row],[PRECIO $]]*1.18</f>
        <v>249.05315999999996</v>
      </c>
      <c r="J534" s="7">
        <f>+Tabla1[[#This Row],[PRECIO EN SOLES]]-Tabla1[[#This Row],[PC]]</f>
        <v>45.356840000000062</v>
      </c>
      <c r="K534" s="15"/>
      <c r="L534" s="15" t="str">
        <f t="shared" si="18"/>
        <v>NORMAL</v>
      </c>
    </row>
    <row r="535" spans="1:12" x14ac:dyDescent="0.25">
      <c r="A535" s="3" t="s">
        <v>1307</v>
      </c>
      <c r="B535" s="3" t="s">
        <v>1308</v>
      </c>
      <c r="C535" s="1">
        <v>0</v>
      </c>
      <c r="D535" s="1">
        <v>105.5</v>
      </c>
      <c r="E535" s="1" t="s">
        <v>906</v>
      </c>
      <c r="F535" s="1" t="s">
        <v>3366</v>
      </c>
      <c r="G535" s="3" t="s">
        <v>1309</v>
      </c>
      <c r="H535" s="11">
        <f t="shared" si="19"/>
        <v>506.21</v>
      </c>
      <c r="I535" s="9">
        <f>($K$2+0.02)*Tabla1[[#This Row],[PRECIO $]]*1.18</f>
        <v>433.22519999999997</v>
      </c>
      <c r="J535" s="7">
        <f>+Tabla1[[#This Row],[PRECIO EN SOLES]]-Tabla1[[#This Row],[PC]]</f>
        <v>72.984800000000007</v>
      </c>
      <c r="K535" s="15"/>
      <c r="L535" s="15" t="str">
        <f t="shared" si="18"/>
        <v>NORMAL</v>
      </c>
    </row>
    <row r="536" spans="1:12" x14ac:dyDescent="0.25">
      <c r="A536" s="3" t="s">
        <v>1310</v>
      </c>
      <c r="B536" s="3" t="s">
        <v>1311</v>
      </c>
      <c r="C536" s="1">
        <v>20</v>
      </c>
      <c r="D536" s="1">
        <v>114.5</v>
      </c>
      <c r="E536" s="1" t="s">
        <v>906</v>
      </c>
      <c r="F536" s="1" t="s">
        <v>3367</v>
      </c>
      <c r="G536" s="3" t="s">
        <v>1312</v>
      </c>
      <c r="H536" s="11">
        <f t="shared" si="19"/>
        <v>548.71</v>
      </c>
      <c r="I536" s="9">
        <f>($K$2+0.02)*Tabla1[[#This Row],[PRECIO $]]*1.18</f>
        <v>470.18279999999993</v>
      </c>
      <c r="J536" s="7">
        <f>+Tabla1[[#This Row],[PRECIO EN SOLES]]-Tabla1[[#This Row],[PC]]</f>
        <v>78.527200000000107</v>
      </c>
      <c r="K536" s="15"/>
      <c r="L536" s="15" t="str">
        <f t="shared" si="18"/>
        <v>NORMAL</v>
      </c>
    </row>
    <row r="537" spans="1:12" x14ac:dyDescent="0.25">
      <c r="A537" s="3" t="s">
        <v>5302</v>
      </c>
      <c r="B537" s="3" t="s">
        <v>5303</v>
      </c>
      <c r="C537" s="1">
        <v>20</v>
      </c>
      <c r="D537" s="1">
        <v>174.5</v>
      </c>
      <c r="E537" s="1" t="s">
        <v>115</v>
      </c>
      <c r="F537" s="1" t="s">
        <v>5304</v>
      </c>
      <c r="G537" s="3" t="s">
        <v>5305</v>
      </c>
      <c r="H537" s="11">
        <f t="shared" si="19"/>
        <v>832.05</v>
      </c>
      <c r="I537" s="9">
        <f>($K$2+0.02)*Tabla1[[#This Row],[PRECIO $]]*1.18</f>
        <v>716.56679999999994</v>
      </c>
      <c r="J537" s="7">
        <f>+Tabla1[[#This Row],[PRECIO EN SOLES]]-Tabla1[[#This Row],[PC]]</f>
        <v>115.48320000000001</v>
      </c>
      <c r="K537" s="15"/>
      <c r="L537" s="15" t="str">
        <f t="shared" si="18"/>
        <v>NORMAL</v>
      </c>
    </row>
    <row r="538" spans="1:12" x14ac:dyDescent="0.25">
      <c r="A538" s="3" t="s">
        <v>4404</v>
      </c>
      <c r="B538" s="3" t="s">
        <v>4405</v>
      </c>
      <c r="C538" s="1">
        <v>20</v>
      </c>
      <c r="D538" s="1">
        <v>161.9</v>
      </c>
      <c r="E538" s="1" t="s">
        <v>115</v>
      </c>
      <c r="F538" s="1" t="s">
        <v>4406</v>
      </c>
      <c r="G538" s="3" t="s">
        <v>4407</v>
      </c>
      <c r="H538" s="11">
        <f t="shared" si="19"/>
        <v>772.55</v>
      </c>
      <c r="I538" s="9">
        <f>($K$2+0.02)*Tabla1[[#This Row],[PRECIO $]]*1.18</f>
        <v>664.82615999999996</v>
      </c>
      <c r="J538" s="7">
        <f>+Tabla1[[#This Row],[PRECIO EN SOLES]]-Tabla1[[#This Row],[PC]]</f>
        <v>107.72384</v>
      </c>
      <c r="K538" s="15"/>
      <c r="L538" s="15" t="str">
        <f t="shared" si="18"/>
        <v>NORMAL</v>
      </c>
    </row>
    <row r="539" spans="1:12" x14ac:dyDescent="0.25">
      <c r="A539" s="3" t="s">
        <v>5933</v>
      </c>
      <c r="B539" s="3" t="s">
        <v>5934</v>
      </c>
      <c r="C539" s="1">
        <v>0</v>
      </c>
      <c r="D539" s="1">
        <v>135.19999999999999</v>
      </c>
      <c r="E539" s="1" t="s">
        <v>121</v>
      </c>
      <c r="F539" s="1" t="s">
        <v>5935</v>
      </c>
      <c r="G539" s="3" t="s">
        <v>5936</v>
      </c>
      <c r="H539" s="11">
        <f t="shared" si="19"/>
        <v>646.46</v>
      </c>
      <c r="I539" s="9">
        <f>($K$2+0.02)*Tabla1[[#This Row],[PRECIO $]]*1.18</f>
        <v>555.18527999999992</v>
      </c>
      <c r="J539" s="7">
        <f>+Tabla1[[#This Row],[PRECIO EN SOLES]]-Tabla1[[#This Row],[PC]]</f>
        <v>91.274720000000116</v>
      </c>
      <c r="K539" s="15"/>
      <c r="L539" s="15" t="str">
        <f t="shared" si="18"/>
        <v>NORMAL</v>
      </c>
    </row>
    <row r="540" spans="1:12" x14ac:dyDescent="0.25">
      <c r="A540" s="3" t="s">
        <v>5937</v>
      </c>
      <c r="B540" s="3" t="s">
        <v>5938</v>
      </c>
      <c r="C540" s="1">
        <v>0</v>
      </c>
      <c r="D540" s="1">
        <v>91.5</v>
      </c>
      <c r="E540" s="1" t="s">
        <v>906</v>
      </c>
      <c r="F540" s="1" t="s">
        <v>5939</v>
      </c>
      <c r="G540" s="3" t="s">
        <v>5940</v>
      </c>
      <c r="H540" s="11">
        <f t="shared" si="19"/>
        <v>440.1</v>
      </c>
      <c r="I540" s="9">
        <f>($K$2+0.02)*Tabla1[[#This Row],[PRECIO $]]*1.18</f>
        <v>375.73559999999998</v>
      </c>
      <c r="J540" s="7">
        <f>+Tabla1[[#This Row],[PRECIO EN SOLES]]-Tabla1[[#This Row],[PC]]</f>
        <v>64.364400000000046</v>
      </c>
      <c r="K540" s="15"/>
      <c r="L540" s="15" t="str">
        <f t="shared" si="18"/>
        <v>NORMAL</v>
      </c>
    </row>
    <row r="541" spans="1:12" x14ac:dyDescent="0.25">
      <c r="A541" s="3" t="s">
        <v>5941</v>
      </c>
      <c r="B541" s="3" t="s">
        <v>5942</v>
      </c>
      <c r="C541" s="1">
        <v>1</v>
      </c>
      <c r="D541" s="1">
        <v>71.650000000000006</v>
      </c>
      <c r="E541" s="1" t="s">
        <v>906</v>
      </c>
      <c r="F541" s="1" t="s">
        <v>5943</v>
      </c>
      <c r="G541" s="3" t="s">
        <v>5944</v>
      </c>
      <c r="H541" s="11">
        <f t="shared" si="19"/>
        <v>346.36</v>
      </c>
      <c r="I541" s="9">
        <f>($K$2+0.02)*Tabla1[[#This Row],[PRECIO $]]*1.18</f>
        <v>294.22356000000002</v>
      </c>
      <c r="J541" s="7">
        <f>+Tabla1[[#This Row],[PRECIO EN SOLES]]-Tabla1[[#This Row],[PC]]</f>
        <v>52.136439999999993</v>
      </c>
      <c r="K541" s="15"/>
      <c r="L541" s="15" t="str">
        <f t="shared" si="18"/>
        <v>NORMAL</v>
      </c>
    </row>
    <row r="542" spans="1:12" x14ac:dyDescent="0.25">
      <c r="A542" s="3" t="s">
        <v>5945</v>
      </c>
      <c r="B542" s="3" t="s">
        <v>5946</v>
      </c>
      <c r="C542" s="1">
        <v>20</v>
      </c>
      <c r="D542" s="1">
        <v>85.25</v>
      </c>
      <c r="E542" s="1" t="s">
        <v>906</v>
      </c>
      <c r="F542" s="1" t="s">
        <v>5947</v>
      </c>
      <c r="G542" s="3" t="s">
        <v>5948</v>
      </c>
      <c r="H542" s="11">
        <f t="shared" si="19"/>
        <v>410.58</v>
      </c>
      <c r="I542" s="9">
        <f>($K$2+0.02)*Tabla1[[#This Row],[PRECIO $]]*1.18</f>
        <v>350.07060000000001</v>
      </c>
      <c r="J542" s="7">
        <f>+Tabla1[[#This Row],[PRECIO EN SOLES]]-Tabla1[[#This Row],[PC]]</f>
        <v>60.509399999999971</v>
      </c>
      <c r="K542" s="15"/>
      <c r="L542" s="15" t="str">
        <f t="shared" si="18"/>
        <v>NORMAL</v>
      </c>
    </row>
    <row r="543" spans="1:12" x14ac:dyDescent="0.25">
      <c r="A543" s="3" t="s">
        <v>5949</v>
      </c>
      <c r="B543" s="3" t="s">
        <v>5950</v>
      </c>
      <c r="C543" s="1">
        <v>0</v>
      </c>
      <c r="D543" s="1">
        <v>93.5</v>
      </c>
      <c r="E543" s="1" t="s">
        <v>906</v>
      </c>
      <c r="F543" s="1" t="s">
        <v>5951</v>
      </c>
      <c r="G543" s="3" t="s">
        <v>5952</v>
      </c>
      <c r="H543" s="11">
        <f t="shared" si="19"/>
        <v>449.54</v>
      </c>
      <c r="I543" s="9">
        <f>($K$2+0.02)*Tabla1[[#This Row],[PRECIO $]]*1.18</f>
        <v>383.94839999999999</v>
      </c>
      <c r="J543" s="7">
        <f>+Tabla1[[#This Row],[PRECIO EN SOLES]]-Tabla1[[#This Row],[PC]]</f>
        <v>65.591600000000028</v>
      </c>
      <c r="K543" s="15"/>
      <c r="L543" s="15" t="str">
        <f t="shared" si="18"/>
        <v>NORMAL</v>
      </c>
    </row>
    <row r="544" spans="1:12" x14ac:dyDescent="0.25">
      <c r="A544" s="3" t="s">
        <v>5306</v>
      </c>
      <c r="B544" s="3" t="s">
        <v>5307</v>
      </c>
      <c r="C544" s="1">
        <v>20</v>
      </c>
      <c r="D544" s="1">
        <v>237.5</v>
      </c>
      <c r="E544" s="1" t="s">
        <v>115</v>
      </c>
      <c r="F544" s="1" t="s">
        <v>5308</v>
      </c>
      <c r="G544" s="3" t="s">
        <v>5309</v>
      </c>
      <c r="H544" s="11">
        <f t="shared" si="19"/>
        <v>1129.56</v>
      </c>
      <c r="I544" s="9">
        <f>($K$2+0.02)*Tabla1[[#This Row],[PRECIO $]]*1.18</f>
        <v>975.27</v>
      </c>
      <c r="J544" s="7">
        <f>+Tabla1[[#This Row],[PRECIO EN SOLES]]-Tabla1[[#This Row],[PC]]</f>
        <v>154.28999999999996</v>
      </c>
      <c r="K544" s="15"/>
      <c r="L544" s="15" t="str">
        <f t="shared" si="18"/>
        <v>NORMAL</v>
      </c>
    </row>
    <row r="545" spans="1:12" x14ac:dyDescent="0.25">
      <c r="A545" s="3" t="s">
        <v>4580</v>
      </c>
      <c r="B545" s="3" t="s">
        <v>4581</v>
      </c>
      <c r="C545" s="1">
        <v>0</v>
      </c>
      <c r="D545" s="1">
        <v>103.2</v>
      </c>
      <c r="E545" s="1" t="s">
        <v>226</v>
      </c>
      <c r="F545" s="1" t="s">
        <v>4582</v>
      </c>
      <c r="G545" s="3" t="s">
        <v>4583</v>
      </c>
      <c r="H545" s="11">
        <f t="shared" si="19"/>
        <v>495.35</v>
      </c>
      <c r="I545" s="9">
        <f>($K$2+0.02)*Tabla1[[#This Row],[PRECIO $]]*1.18</f>
        <v>423.78048000000001</v>
      </c>
      <c r="J545" s="7">
        <f>+Tabla1[[#This Row],[PRECIO EN SOLES]]-Tabla1[[#This Row],[PC]]</f>
        <v>71.569520000000011</v>
      </c>
      <c r="K545" s="15"/>
      <c r="L545" s="15" t="str">
        <f t="shared" si="18"/>
        <v>NORMAL</v>
      </c>
    </row>
    <row r="546" spans="1:12" x14ac:dyDescent="0.25">
      <c r="A546" s="3" t="s">
        <v>5310</v>
      </c>
      <c r="B546" s="3" t="s">
        <v>5311</v>
      </c>
      <c r="C546" s="1">
        <v>0</v>
      </c>
      <c r="D546" s="1">
        <v>94</v>
      </c>
      <c r="E546" s="1" t="s">
        <v>226</v>
      </c>
      <c r="F546" s="1" t="s">
        <v>5312</v>
      </c>
      <c r="G546" s="3" t="s">
        <v>5313</v>
      </c>
      <c r="H546" s="11">
        <f t="shared" si="19"/>
        <v>451.9</v>
      </c>
      <c r="I546" s="9">
        <f>($K$2+0.02)*Tabla1[[#This Row],[PRECIO $]]*1.18</f>
        <v>386.0016</v>
      </c>
      <c r="J546" s="7">
        <f>+Tabla1[[#This Row],[PRECIO EN SOLES]]-Tabla1[[#This Row],[PC]]</f>
        <v>65.898399999999981</v>
      </c>
      <c r="K546" s="15"/>
      <c r="L546" s="15" t="str">
        <f t="shared" si="18"/>
        <v>NORMAL</v>
      </c>
    </row>
    <row r="547" spans="1:12" x14ac:dyDescent="0.25">
      <c r="A547" s="3" t="s">
        <v>5953</v>
      </c>
      <c r="B547" s="3" t="s">
        <v>5954</v>
      </c>
      <c r="C547" s="1">
        <v>20</v>
      </c>
      <c r="D547" s="1">
        <v>80.150000000000006</v>
      </c>
      <c r="E547" s="1" t="s">
        <v>121</v>
      </c>
      <c r="F547" s="1" t="s">
        <v>5955</v>
      </c>
      <c r="G547" s="3" t="s">
        <v>5956</v>
      </c>
      <c r="H547" s="11">
        <f t="shared" si="19"/>
        <v>386.5</v>
      </c>
      <c r="I547" s="9">
        <f>($K$2+0.02)*Tabla1[[#This Row],[PRECIO $]]*1.18</f>
        <v>329.12796000000003</v>
      </c>
      <c r="J547" s="7">
        <f>+Tabla1[[#This Row],[PRECIO EN SOLES]]-Tabla1[[#This Row],[PC]]</f>
        <v>57.37203999999997</v>
      </c>
      <c r="K547" s="15"/>
      <c r="L547" s="15" t="str">
        <f t="shared" si="18"/>
        <v>NORMAL</v>
      </c>
    </row>
    <row r="548" spans="1:12" x14ac:dyDescent="0.25">
      <c r="A548" s="3" t="s">
        <v>5957</v>
      </c>
      <c r="B548" s="3" t="s">
        <v>5958</v>
      </c>
      <c r="C548" s="1">
        <v>20</v>
      </c>
      <c r="D548" s="1">
        <v>201</v>
      </c>
      <c r="E548" s="1" t="s">
        <v>121</v>
      </c>
      <c r="F548" s="1" t="s">
        <v>5959</v>
      </c>
      <c r="G548" s="3" t="s">
        <v>5960</v>
      </c>
      <c r="H548" s="11">
        <f t="shared" si="19"/>
        <v>957.19</v>
      </c>
      <c r="I548" s="9">
        <f>($K$2+0.02)*Tabla1[[#This Row],[PRECIO $]]*1.18</f>
        <v>825.38639999999998</v>
      </c>
      <c r="J548" s="7">
        <f>+Tabla1[[#This Row],[PRECIO EN SOLES]]-Tabla1[[#This Row],[PC]]</f>
        <v>131.80360000000007</v>
      </c>
      <c r="K548" s="15"/>
      <c r="L548" s="15" t="str">
        <f t="shared" si="18"/>
        <v>NORMAL</v>
      </c>
    </row>
    <row r="549" spans="1:12" x14ac:dyDescent="0.25">
      <c r="A549" s="3" t="s">
        <v>5961</v>
      </c>
      <c r="B549" s="3" t="s">
        <v>5962</v>
      </c>
      <c r="C549" s="1">
        <v>18</v>
      </c>
      <c r="D549" s="1">
        <v>214.2</v>
      </c>
      <c r="E549" s="1" t="s">
        <v>906</v>
      </c>
      <c r="F549" s="1" t="s">
        <v>5963</v>
      </c>
      <c r="G549" s="3" t="s">
        <v>5964</v>
      </c>
      <c r="H549" s="11">
        <f t="shared" si="19"/>
        <v>1019.53</v>
      </c>
      <c r="I549" s="9">
        <f>($K$2+0.02)*Tabla1[[#This Row],[PRECIO $]]*1.18</f>
        <v>879.59087999999986</v>
      </c>
      <c r="J549" s="7">
        <f>+Tabla1[[#This Row],[PRECIO EN SOLES]]-Tabla1[[#This Row],[PC]]</f>
        <v>139.93912000000012</v>
      </c>
      <c r="K549" s="15"/>
      <c r="L549" s="15" t="str">
        <f t="shared" si="18"/>
        <v>NORMAL</v>
      </c>
    </row>
    <row r="550" spans="1:12" x14ac:dyDescent="0.25">
      <c r="A550" s="3" t="s">
        <v>1313</v>
      </c>
      <c r="B550" s="3" t="s">
        <v>1314</v>
      </c>
      <c r="C550" s="1">
        <v>7</v>
      </c>
      <c r="D550" s="1">
        <v>245.5</v>
      </c>
      <c r="E550" s="1" t="s">
        <v>115</v>
      </c>
      <c r="F550" s="1" t="s">
        <v>3368</v>
      </c>
      <c r="G550" s="3" t="s">
        <v>1315</v>
      </c>
      <c r="H550" s="11">
        <f t="shared" si="19"/>
        <v>1167.3399999999999</v>
      </c>
      <c r="I550" s="9">
        <f>($K$2+0.02)*Tabla1[[#This Row],[PRECIO $]]*1.18</f>
        <v>1008.1211999999999</v>
      </c>
      <c r="J550" s="7">
        <f>+Tabla1[[#This Row],[PRECIO EN SOLES]]-Tabla1[[#This Row],[PC]]</f>
        <v>159.21879999999999</v>
      </c>
      <c r="K550" s="15"/>
      <c r="L550" s="15" t="str">
        <f t="shared" si="18"/>
        <v>NORMAL</v>
      </c>
    </row>
    <row r="551" spans="1:12" x14ac:dyDescent="0.25">
      <c r="A551" s="3" t="s">
        <v>5314</v>
      </c>
      <c r="B551" s="3" t="s">
        <v>5315</v>
      </c>
      <c r="C551" s="1">
        <v>15</v>
      </c>
      <c r="D551" s="1">
        <v>274</v>
      </c>
      <c r="E551" s="1" t="s">
        <v>115</v>
      </c>
      <c r="F551" s="1" t="s">
        <v>5316</v>
      </c>
      <c r="G551" s="3" t="s">
        <v>5317</v>
      </c>
      <c r="H551" s="11">
        <f t="shared" si="19"/>
        <v>1301.93</v>
      </c>
      <c r="I551" s="9">
        <f>($K$2+0.02)*Tabla1[[#This Row],[PRECIO $]]*1.18</f>
        <v>1125.1535999999999</v>
      </c>
      <c r="J551" s="7">
        <f>+Tabla1[[#This Row],[PRECIO EN SOLES]]-Tabla1[[#This Row],[PC]]</f>
        <v>176.77640000000019</v>
      </c>
      <c r="K551" s="15"/>
      <c r="L551" s="15" t="str">
        <f t="shared" si="18"/>
        <v>NORMAL</v>
      </c>
    </row>
    <row r="552" spans="1:12" x14ac:dyDescent="0.25">
      <c r="A552" s="3" t="s">
        <v>5318</v>
      </c>
      <c r="B552" s="3" t="s">
        <v>5319</v>
      </c>
      <c r="C552" s="1">
        <v>17</v>
      </c>
      <c r="D552" s="1">
        <v>197</v>
      </c>
      <c r="E552" s="1" t="s">
        <v>115</v>
      </c>
      <c r="F552" s="1" t="s">
        <v>5320</v>
      </c>
      <c r="G552" s="3" t="s">
        <v>5321</v>
      </c>
      <c r="H552" s="11">
        <f t="shared" si="19"/>
        <v>938.3</v>
      </c>
      <c r="I552" s="9">
        <f>($K$2+0.02)*Tabla1[[#This Row],[PRECIO $]]*1.18</f>
        <v>808.96079999999995</v>
      </c>
      <c r="J552" s="7">
        <f>+Tabla1[[#This Row],[PRECIO EN SOLES]]-Tabla1[[#This Row],[PC]]</f>
        <v>129.33920000000001</v>
      </c>
      <c r="K552" s="15"/>
      <c r="L552" s="15" t="str">
        <f t="shared" si="18"/>
        <v>NORMAL</v>
      </c>
    </row>
    <row r="553" spans="1:12" x14ac:dyDescent="0.25">
      <c r="A553" s="3" t="s">
        <v>5322</v>
      </c>
      <c r="B553" s="3" t="s">
        <v>5323</v>
      </c>
      <c r="C553" s="1">
        <v>6</v>
      </c>
      <c r="D553" s="1">
        <v>659</v>
      </c>
      <c r="E553" s="1" t="s">
        <v>115</v>
      </c>
      <c r="F553" s="1" t="s">
        <v>5324</v>
      </c>
      <c r="G553" s="3" t="s">
        <v>5325</v>
      </c>
      <c r="H553" s="11">
        <f t="shared" si="19"/>
        <v>3120.04</v>
      </c>
      <c r="I553" s="9">
        <f>($K$2+0.02)*Tabla1[[#This Row],[PRECIO $]]*1.18</f>
        <v>2706.1176</v>
      </c>
      <c r="J553" s="7">
        <f>+Tabla1[[#This Row],[PRECIO EN SOLES]]-Tabla1[[#This Row],[PC]]</f>
        <v>413.92239999999993</v>
      </c>
      <c r="K553" s="15"/>
      <c r="L553" s="15" t="str">
        <f t="shared" si="18"/>
        <v>NORMAL</v>
      </c>
    </row>
    <row r="554" spans="1:12" x14ac:dyDescent="0.25">
      <c r="A554" s="3" t="s">
        <v>5326</v>
      </c>
      <c r="B554" s="3" t="s">
        <v>5327</v>
      </c>
      <c r="C554" s="1">
        <v>14</v>
      </c>
      <c r="D554" s="1">
        <v>482</v>
      </c>
      <c r="E554" s="1" t="s">
        <v>115</v>
      </c>
      <c r="F554" s="1" t="s">
        <v>5328</v>
      </c>
      <c r="G554" s="3" t="s">
        <v>5329</v>
      </c>
      <c r="H554" s="11">
        <f t="shared" si="19"/>
        <v>2284.1799999999998</v>
      </c>
      <c r="I554" s="9">
        <f>($K$2+0.02)*Tabla1[[#This Row],[PRECIO $]]*1.18</f>
        <v>1979.2847999999997</v>
      </c>
      <c r="J554" s="7">
        <f>+Tabla1[[#This Row],[PRECIO EN SOLES]]-Tabla1[[#This Row],[PC]]</f>
        <v>304.89520000000016</v>
      </c>
      <c r="K554" s="15"/>
      <c r="L554" s="15" t="str">
        <f t="shared" si="18"/>
        <v>NORMAL</v>
      </c>
    </row>
    <row r="555" spans="1:12" x14ac:dyDescent="0.25">
      <c r="A555" s="3" t="s">
        <v>6475</v>
      </c>
      <c r="B555" s="3" t="s">
        <v>5331</v>
      </c>
      <c r="C555" s="1">
        <v>1</v>
      </c>
      <c r="D555" s="1">
        <v>381</v>
      </c>
      <c r="E555" s="1" t="s">
        <v>115</v>
      </c>
      <c r="F555" s="1" t="s">
        <v>6476</v>
      </c>
      <c r="G555" s="3" t="s">
        <v>5333</v>
      </c>
      <c r="H555" s="11">
        <f t="shared" si="19"/>
        <v>1807.22</v>
      </c>
      <c r="I555" s="9">
        <f>($K$2+0.02)*Tabla1[[#This Row],[PRECIO $]]*1.18</f>
        <v>1564.5383999999997</v>
      </c>
      <c r="J555" s="7">
        <f>+Tabla1[[#This Row],[PRECIO EN SOLES]]-Tabla1[[#This Row],[PC]]</f>
        <v>242.68160000000034</v>
      </c>
      <c r="K555" s="15"/>
      <c r="L555" s="15" t="str">
        <f t="shared" si="18"/>
        <v>NORMAL</v>
      </c>
    </row>
    <row r="556" spans="1:12" x14ac:dyDescent="0.25">
      <c r="A556" s="3" t="s">
        <v>5330</v>
      </c>
      <c r="B556" s="3" t="s">
        <v>5331</v>
      </c>
      <c r="C556" s="1">
        <v>9</v>
      </c>
      <c r="D556" s="1">
        <v>402</v>
      </c>
      <c r="E556" s="1" t="s">
        <v>115</v>
      </c>
      <c r="F556" s="1" t="s">
        <v>5332</v>
      </c>
      <c r="G556" s="3" t="s">
        <v>5333</v>
      </c>
      <c r="H556" s="11">
        <f t="shared" si="19"/>
        <v>1906.39</v>
      </c>
      <c r="I556" s="9">
        <f>($K$2+0.02)*Tabla1[[#This Row],[PRECIO $]]*1.18</f>
        <v>1650.7728</v>
      </c>
      <c r="J556" s="7">
        <f>+Tabla1[[#This Row],[PRECIO EN SOLES]]-Tabla1[[#This Row],[PC]]</f>
        <v>255.61720000000014</v>
      </c>
      <c r="K556" s="15"/>
      <c r="L556" s="15" t="str">
        <f t="shared" si="18"/>
        <v>NORMAL</v>
      </c>
    </row>
    <row r="557" spans="1:12" x14ac:dyDescent="0.25">
      <c r="A557" s="3" t="s">
        <v>5334</v>
      </c>
      <c r="B557" s="3" t="s">
        <v>5335</v>
      </c>
      <c r="C557" s="1">
        <v>20</v>
      </c>
      <c r="D557" s="1">
        <v>309</v>
      </c>
      <c r="E557" s="1" t="s">
        <v>115</v>
      </c>
      <c r="F557" s="1" t="s">
        <v>5336</v>
      </c>
      <c r="G557" s="3" t="s">
        <v>5337</v>
      </c>
      <c r="H557" s="11">
        <f t="shared" si="19"/>
        <v>1467.21</v>
      </c>
      <c r="I557" s="9">
        <f>($K$2+0.02)*Tabla1[[#This Row],[PRECIO $]]*1.18</f>
        <v>1268.8775999999998</v>
      </c>
      <c r="J557" s="7">
        <f>+Tabla1[[#This Row],[PRECIO EN SOLES]]-Tabla1[[#This Row],[PC]]</f>
        <v>198.33240000000023</v>
      </c>
      <c r="K557" s="15"/>
      <c r="L557" s="15" t="str">
        <f t="shared" si="18"/>
        <v>NORMAL</v>
      </c>
    </row>
    <row r="558" spans="1:12" x14ac:dyDescent="0.25">
      <c r="A558" s="3" t="s">
        <v>5338</v>
      </c>
      <c r="B558" s="3" t="s">
        <v>5339</v>
      </c>
      <c r="C558" s="1">
        <v>9</v>
      </c>
      <c r="D558" s="1">
        <v>260.5</v>
      </c>
      <c r="E558" s="1" t="s">
        <v>226</v>
      </c>
      <c r="F558" s="1" t="s">
        <v>5340</v>
      </c>
      <c r="G558" s="3" t="s">
        <v>5341</v>
      </c>
      <c r="H558" s="11">
        <f t="shared" si="19"/>
        <v>1238.17</v>
      </c>
      <c r="I558" s="9">
        <f>($K$2+0.02)*Tabla1[[#This Row],[PRECIO $]]*1.18</f>
        <v>1069.7171999999998</v>
      </c>
      <c r="J558" s="7">
        <f>+Tabla1[[#This Row],[PRECIO EN SOLES]]-Tabla1[[#This Row],[PC]]</f>
        <v>168.45280000000025</v>
      </c>
      <c r="K558" s="15"/>
      <c r="L558" s="15" t="str">
        <f t="shared" si="18"/>
        <v>NORMAL</v>
      </c>
    </row>
    <row r="559" spans="1:12" x14ac:dyDescent="0.25">
      <c r="A559" s="3" t="s">
        <v>5342</v>
      </c>
      <c r="B559" s="3" t="s">
        <v>5343</v>
      </c>
      <c r="C559" s="1">
        <v>9</v>
      </c>
      <c r="D559" s="1">
        <v>295.5</v>
      </c>
      <c r="E559" s="1" t="s">
        <v>226</v>
      </c>
      <c r="F559" s="1" t="s">
        <v>5344</v>
      </c>
      <c r="G559" s="3" t="s">
        <v>5345</v>
      </c>
      <c r="H559" s="11">
        <f t="shared" si="19"/>
        <v>1403.46</v>
      </c>
      <c r="I559" s="9">
        <f>($K$2+0.02)*Tabla1[[#This Row],[PRECIO $]]*1.18</f>
        <v>1213.4411999999998</v>
      </c>
      <c r="J559" s="7">
        <f>+Tabla1[[#This Row],[PRECIO EN SOLES]]-Tabla1[[#This Row],[PC]]</f>
        <v>190.01880000000028</v>
      </c>
      <c r="K559" s="15"/>
      <c r="L559" s="15" t="str">
        <f t="shared" si="18"/>
        <v>NORMAL</v>
      </c>
    </row>
    <row r="560" spans="1:12" x14ac:dyDescent="0.25">
      <c r="A560" s="3" t="s">
        <v>5346</v>
      </c>
      <c r="B560" s="3" t="s">
        <v>5347</v>
      </c>
      <c r="C560" s="1">
        <v>4</v>
      </c>
      <c r="D560" s="1">
        <v>482</v>
      </c>
      <c r="E560" s="1" t="s">
        <v>226</v>
      </c>
      <c r="F560" s="1" t="s">
        <v>5348</v>
      </c>
      <c r="G560" s="3" t="s">
        <v>5349</v>
      </c>
      <c r="H560" s="11">
        <f t="shared" si="19"/>
        <v>2284.1799999999998</v>
      </c>
      <c r="I560" s="9">
        <f>($K$2+0.02)*Tabla1[[#This Row],[PRECIO $]]*1.18</f>
        <v>1979.2847999999997</v>
      </c>
      <c r="J560" s="7">
        <f>+Tabla1[[#This Row],[PRECIO EN SOLES]]-Tabla1[[#This Row],[PC]]</f>
        <v>304.89520000000016</v>
      </c>
      <c r="K560" s="15"/>
      <c r="L560" s="15" t="str">
        <f t="shared" si="18"/>
        <v>NORMAL</v>
      </c>
    </row>
    <row r="561" spans="1:12" x14ac:dyDescent="0.25">
      <c r="A561" s="3" t="s">
        <v>5350</v>
      </c>
      <c r="B561" s="3" t="s">
        <v>5351</v>
      </c>
      <c r="C561" s="1">
        <v>5</v>
      </c>
      <c r="D561" s="1">
        <v>220.5</v>
      </c>
      <c r="E561" s="1" t="s">
        <v>226</v>
      </c>
      <c r="F561" s="1" t="s">
        <v>5352</v>
      </c>
      <c r="G561" s="3" t="s">
        <v>5353</v>
      </c>
      <c r="H561" s="11">
        <f t="shared" si="19"/>
        <v>1049.28</v>
      </c>
      <c r="I561" s="9">
        <f>($K$2+0.02)*Tabla1[[#This Row],[PRECIO $]]*1.18</f>
        <v>905.46119999999996</v>
      </c>
      <c r="J561" s="7">
        <f>+Tabla1[[#This Row],[PRECIO EN SOLES]]-Tabla1[[#This Row],[PC]]</f>
        <v>143.81880000000001</v>
      </c>
      <c r="K561" s="15"/>
      <c r="L561" s="15" t="str">
        <f t="shared" si="18"/>
        <v>NORMAL</v>
      </c>
    </row>
    <row r="562" spans="1:12" x14ac:dyDescent="0.25">
      <c r="A562" s="3" t="s">
        <v>1316</v>
      </c>
      <c r="B562" s="3" t="s">
        <v>1317</v>
      </c>
      <c r="C562" s="1">
        <v>6</v>
      </c>
      <c r="D562" s="1">
        <v>224.5</v>
      </c>
      <c r="E562" s="1" t="s">
        <v>226</v>
      </c>
      <c r="F562" s="1" t="s">
        <v>3369</v>
      </c>
      <c r="G562" s="3" t="s">
        <v>1318</v>
      </c>
      <c r="H562" s="11">
        <f t="shared" si="19"/>
        <v>1068.17</v>
      </c>
      <c r="I562" s="9">
        <f>($K$2+0.02)*Tabla1[[#This Row],[PRECIO $]]*1.18</f>
        <v>921.88679999999999</v>
      </c>
      <c r="J562" s="7">
        <f>+Tabla1[[#This Row],[PRECIO EN SOLES]]-Tabla1[[#This Row],[PC]]</f>
        <v>146.28320000000008</v>
      </c>
      <c r="K562" s="15"/>
      <c r="L562" s="15" t="str">
        <f t="shared" si="18"/>
        <v>NORMAL</v>
      </c>
    </row>
    <row r="563" spans="1:12" x14ac:dyDescent="0.25">
      <c r="A563" s="3" t="s">
        <v>5965</v>
      </c>
      <c r="B563" s="3" t="s">
        <v>5966</v>
      </c>
      <c r="C563" s="1">
        <v>20</v>
      </c>
      <c r="D563" s="1">
        <v>181</v>
      </c>
      <c r="E563" s="1" t="s">
        <v>121</v>
      </c>
      <c r="F563" s="1" t="s">
        <v>5967</v>
      </c>
      <c r="G563" s="3" t="s">
        <v>5968</v>
      </c>
      <c r="H563" s="11">
        <f t="shared" si="19"/>
        <v>862.75</v>
      </c>
      <c r="I563" s="9">
        <f>($K$2+0.02)*Tabla1[[#This Row],[PRECIO $]]*1.18</f>
        <v>743.25839999999994</v>
      </c>
      <c r="J563" s="7">
        <f>+Tabla1[[#This Row],[PRECIO EN SOLES]]-Tabla1[[#This Row],[PC]]</f>
        <v>119.49160000000006</v>
      </c>
      <c r="K563" s="15"/>
      <c r="L563" s="15" t="str">
        <f t="shared" si="18"/>
        <v>NORMAL</v>
      </c>
    </row>
    <row r="564" spans="1:12" x14ac:dyDescent="0.25">
      <c r="A564" s="3" t="s">
        <v>5969</v>
      </c>
      <c r="B564" s="3" t="s">
        <v>5970</v>
      </c>
      <c r="C564" s="1">
        <v>2</v>
      </c>
      <c r="D564" s="1">
        <v>169</v>
      </c>
      <c r="E564" s="1" t="s">
        <v>121</v>
      </c>
      <c r="F564" s="1" t="s">
        <v>5971</v>
      </c>
      <c r="G564" s="3" t="s">
        <v>5972</v>
      </c>
      <c r="H564" s="11">
        <f t="shared" si="19"/>
        <v>806.08</v>
      </c>
      <c r="I564" s="9">
        <f>($K$2+0.02)*Tabla1[[#This Row],[PRECIO $]]*1.18</f>
        <v>693.98159999999996</v>
      </c>
      <c r="J564" s="7">
        <f>+Tabla1[[#This Row],[PRECIO EN SOLES]]-Tabla1[[#This Row],[PC]]</f>
        <v>112.09840000000008</v>
      </c>
      <c r="K564" s="15"/>
      <c r="L564" s="15" t="str">
        <f t="shared" si="18"/>
        <v>NORMAL</v>
      </c>
    </row>
    <row r="565" spans="1:12" x14ac:dyDescent="0.25">
      <c r="A565" s="3" t="s">
        <v>5973</v>
      </c>
      <c r="B565" s="3" t="s">
        <v>5974</v>
      </c>
      <c r="C565" s="1">
        <v>20</v>
      </c>
      <c r="D565" s="1">
        <v>46.9</v>
      </c>
      <c r="E565" s="1" t="s">
        <v>906</v>
      </c>
      <c r="F565" s="1" t="s">
        <v>5975</v>
      </c>
      <c r="G565" s="3" t="s">
        <v>5976</v>
      </c>
      <c r="H565" s="11">
        <f t="shared" si="19"/>
        <v>229.48</v>
      </c>
      <c r="I565" s="9">
        <f>($K$2+0.02)*Tabla1[[#This Row],[PRECIO $]]*1.18</f>
        <v>192.59015999999997</v>
      </c>
      <c r="J565" s="7">
        <f>+Tabla1[[#This Row],[PRECIO EN SOLES]]-Tabla1[[#This Row],[PC]]</f>
        <v>36.889840000000021</v>
      </c>
      <c r="K565" s="15"/>
      <c r="L565" s="15" t="str">
        <f t="shared" si="18"/>
        <v>NORMAL</v>
      </c>
    </row>
    <row r="566" spans="1:12" x14ac:dyDescent="0.25">
      <c r="A566" s="3" t="s">
        <v>5977</v>
      </c>
      <c r="B566" s="3" t="s">
        <v>5978</v>
      </c>
      <c r="C566" s="1">
        <v>0</v>
      </c>
      <c r="D566" s="1">
        <v>48.3</v>
      </c>
      <c r="E566" s="1" t="s">
        <v>906</v>
      </c>
      <c r="F566" s="1" t="s">
        <v>5979</v>
      </c>
      <c r="G566" s="3" t="s">
        <v>5980</v>
      </c>
      <c r="H566" s="11">
        <f t="shared" si="19"/>
        <v>236.09</v>
      </c>
      <c r="I566" s="9">
        <f>($K$2+0.02)*Tabla1[[#This Row],[PRECIO $]]*1.18</f>
        <v>198.33911999999998</v>
      </c>
      <c r="J566" s="7">
        <f>+Tabla1[[#This Row],[PRECIO EN SOLES]]-Tabla1[[#This Row],[PC]]</f>
        <v>37.750880000000024</v>
      </c>
      <c r="K566" s="15"/>
      <c r="L566" s="15" t="str">
        <f t="shared" si="18"/>
        <v>NORMAL</v>
      </c>
    </row>
    <row r="567" spans="1:12" x14ac:dyDescent="0.25">
      <c r="A567" s="3" t="s">
        <v>5354</v>
      </c>
      <c r="B567" s="3" t="s">
        <v>5355</v>
      </c>
      <c r="C567" s="1">
        <v>0</v>
      </c>
      <c r="D567" s="1">
        <v>86.5</v>
      </c>
      <c r="E567" s="1" t="s">
        <v>115</v>
      </c>
      <c r="F567" s="1" t="s">
        <v>5356</v>
      </c>
      <c r="G567" s="3" t="s">
        <v>5357</v>
      </c>
      <c r="H567" s="11">
        <f t="shared" si="19"/>
        <v>416.48</v>
      </c>
      <c r="I567" s="9">
        <f>($K$2+0.02)*Tabla1[[#This Row],[PRECIO $]]*1.18</f>
        <v>355.20359999999994</v>
      </c>
      <c r="J567" s="7">
        <f>+Tabla1[[#This Row],[PRECIO EN SOLES]]-Tabla1[[#This Row],[PC]]</f>
        <v>61.276400000000081</v>
      </c>
      <c r="K567" s="15"/>
      <c r="L567" s="15" t="str">
        <f t="shared" si="18"/>
        <v>NORMAL</v>
      </c>
    </row>
    <row r="568" spans="1:12" x14ac:dyDescent="0.25">
      <c r="A568" s="3" t="s">
        <v>5358</v>
      </c>
      <c r="B568" s="3" t="s">
        <v>5359</v>
      </c>
      <c r="C568" s="1">
        <v>2</v>
      </c>
      <c r="D568" s="1">
        <v>79</v>
      </c>
      <c r="E568" s="1" t="s">
        <v>226</v>
      </c>
      <c r="F568" s="1" t="s">
        <v>5360</v>
      </c>
      <c r="G568" s="3" t="s">
        <v>5361</v>
      </c>
      <c r="H568" s="11">
        <f t="shared" si="19"/>
        <v>381.07</v>
      </c>
      <c r="I568" s="9">
        <f>($K$2+0.02)*Tabla1[[#This Row],[PRECIO $]]*1.18</f>
        <v>324.40559999999999</v>
      </c>
      <c r="J568" s="7">
        <f>+Tabla1[[#This Row],[PRECIO EN SOLES]]-Tabla1[[#This Row],[PC]]</f>
        <v>56.664400000000001</v>
      </c>
      <c r="K568" s="15"/>
      <c r="L568" s="15" t="str">
        <f t="shared" si="18"/>
        <v>NORMAL</v>
      </c>
    </row>
    <row r="569" spans="1:12" x14ac:dyDescent="0.25">
      <c r="A569" s="3" t="s">
        <v>2811</v>
      </c>
      <c r="B569" s="3" t="s">
        <v>2812</v>
      </c>
      <c r="C569" s="1">
        <v>20</v>
      </c>
      <c r="D569" s="1">
        <v>64.8</v>
      </c>
      <c r="E569" s="1" t="s">
        <v>121</v>
      </c>
      <c r="F569" s="1" t="s">
        <v>3370</v>
      </c>
      <c r="G569" s="3" t="s">
        <v>2813</v>
      </c>
      <c r="H569" s="11">
        <f t="shared" si="19"/>
        <v>314.01</v>
      </c>
      <c r="I569" s="9">
        <f>($K$2+0.02)*Tabla1[[#This Row],[PRECIO $]]*1.18</f>
        <v>266.09472</v>
      </c>
      <c r="J569" s="7">
        <f>+Tabla1[[#This Row],[PRECIO EN SOLES]]-Tabla1[[#This Row],[PC]]</f>
        <v>47.915279999999996</v>
      </c>
      <c r="K569" s="15"/>
      <c r="L569" s="15" t="str">
        <f t="shared" si="18"/>
        <v>NORMAL</v>
      </c>
    </row>
    <row r="570" spans="1:12" x14ac:dyDescent="0.25">
      <c r="A570" s="3" t="s">
        <v>648</v>
      </c>
      <c r="B570" s="3" t="s">
        <v>649</v>
      </c>
      <c r="C570" s="1">
        <v>0</v>
      </c>
      <c r="D570" s="1">
        <v>82.75</v>
      </c>
      <c r="E570" s="1" t="s">
        <v>121</v>
      </c>
      <c r="F570" s="1" t="s">
        <v>3371</v>
      </c>
      <c r="G570" s="3" t="s">
        <v>650</v>
      </c>
      <c r="H570" s="11">
        <f t="shared" si="19"/>
        <v>398.78</v>
      </c>
      <c r="I570" s="9">
        <f>($K$2+0.02)*Tabla1[[#This Row],[PRECIO $]]*1.18</f>
        <v>339.80459999999994</v>
      </c>
      <c r="J570" s="7">
        <f>+Tabla1[[#This Row],[PRECIO EN SOLES]]-Tabla1[[#This Row],[PC]]</f>
        <v>58.975400000000036</v>
      </c>
      <c r="K570" s="15"/>
      <c r="L570" s="15" t="str">
        <f t="shared" si="18"/>
        <v>NORMAL</v>
      </c>
    </row>
    <row r="571" spans="1:12" x14ac:dyDescent="0.25">
      <c r="A571" s="3" t="s">
        <v>5981</v>
      </c>
      <c r="B571" s="3" t="s">
        <v>5982</v>
      </c>
      <c r="C571" s="1">
        <v>20</v>
      </c>
      <c r="D571" s="1">
        <v>80</v>
      </c>
      <c r="E571" s="1" t="s">
        <v>906</v>
      </c>
      <c r="F571" s="1" t="s">
        <v>5983</v>
      </c>
      <c r="G571" s="3" t="s">
        <v>5984</v>
      </c>
      <c r="H571" s="11">
        <f t="shared" si="19"/>
        <v>385.79</v>
      </c>
      <c r="I571" s="9">
        <f>($K$2+0.02)*Tabla1[[#This Row],[PRECIO $]]*1.18</f>
        <v>328.51199999999994</v>
      </c>
      <c r="J571" s="7">
        <f>+Tabla1[[#This Row],[PRECIO EN SOLES]]-Tabla1[[#This Row],[PC]]</f>
        <v>57.278000000000077</v>
      </c>
      <c r="K571" s="15"/>
      <c r="L571" s="15" t="str">
        <f t="shared" si="18"/>
        <v>NORMAL</v>
      </c>
    </row>
    <row r="572" spans="1:12" x14ac:dyDescent="0.25">
      <c r="A572" s="3" t="s">
        <v>5362</v>
      </c>
      <c r="B572" s="3" t="s">
        <v>5363</v>
      </c>
      <c r="C572" s="1">
        <v>3</v>
      </c>
      <c r="D572" s="1">
        <v>126.2</v>
      </c>
      <c r="E572" s="1" t="s">
        <v>226</v>
      </c>
      <c r="F572" s="1" t="s">
        <v>5364</v>
      </c>
      <c r="G572" s="3" t="s">
        <v>5365</v>
      </c>
      <c r="H572" s="11">
        <f t="shared" si="19"/>
        <v>603.96</v>
      </c>
      <c r="I572" s="9">
        <f>($K$2+0.02)*Tabla1[[#This Row],[PRECIO $]]*1.18</f>
        <v>518.22767999999996</v>
      </c>
      <c r="J572" s="7">
        <f>+Tabla1[[#This Row],[PRECIO EN SOLES]]-Tabla1[[#This Row],[PC]]</f>
        <v>85.732320000000072</v>
      </c>
      <c r="K572" s="15"/>
      <c r="L572" s="15" t="str">
        <f t="shared" si="18"/>
        <v>NORMAL</v>
      </c>
    </row>
    <row r="573" spans="1:12" x14ac:dyDescent="0.25">
      <c r="A573" s="3" t="s">
        <v>5366</v>
      </c>
      <c r="B573" s="3" t="s">
        <v>5367</v>
      </c>
      <c r="C573" s="1">
        <v>1</v>
      </c>
      <c r="D573" s="1">
        <v>106.1</v>
      </c>
      <c r="E573" s="1" t="s">
        <v>226</v>
      </c>
      <c r="F573" s="1" t="s">
        <v>5368</v>
      </c>
      <c r="G573" s="3" t="s">
        <v>5369</v>
      </c>
      <c r="H573" s="11">
        <f t="shared" si="19"/>
        <v>509.04</v>
      </c>
      <c r="I573" s="9">
        <f>($K$2+0.02)*Tabla1[[#This Row],[PRECIO $]]*1.18</f>
        <v>435.68903999999992</v>
      </c>
      <c r="J573" s="7">
        <f>+Tabla1[[#This Row],[PRECIO EN SOLES]]-Tabla1[[#This Row],[PC]]</f>
        <v>73.3509600000001</v>
      </c>
      <c r="K573" s="15"/>
      <c r="L573" s="15" t="str">
        <f t="shared" si="18"/>
        <v>NORMAL</v>
      </c>
    </row>
    <row r="574" spans="1:12" x14ac:dyDescent="0.25">
      <c r="A574" s="3" t="s">
        <v>5370</v>
      </c>
      <c r="B574" s="3" t="s">
        <v>5371</v>
      </c>
      <c r="C574" s="1">
        <v>12</v>
      </c>
      <c r="D574" s="1">
        <v>101.6</v>
      </c>
      <c r="E574" s="1" t="s">
        <v>226</v>
      </c>
      <c r="F574" s="1" t="s">
        <v>5372</v>
      </c>
      <c r="G574" s="3" t="s">
        <v>5373</v>
      </c>
      <c r="H574" s="11">
        <f t="shared" si="19"/>
        <v>487.79</v>
      </c>
      <c r="I574" s="9">
        <f>($K$2+0.02)*Tabla1[[#This Row],[PRECIO $]]*1.18</f>
        <v>417.21023999999994</v>
      </c>
      <c r="J574" s="7">
        <f>+Tabla1[[#This Row],[PRECIO EN SOLES]]-Tabla1[[#This Row],[PC]]</f>
        <v>70.579760000000078</v>
      </c>
      <c r="K574" s="15"/>
      <c r="L574" s="15" t="str">
        <f t="shared" si="18"/>
        <v>NORMAL</v>
      </c>
    </row>
    <row r="575" spans="1:12" x14ac:dyDescent="0.25">
      <c r="A575" s="3" t="s">
        <v>1319</v>
      </c>
      <c r="B575" s="3" t="s">
        <v>1320</v>
      </c>
      <c r="C575" s="1">
        <v>20</v>
      </c>
      <c r="D575" s="1">
        <v>90.5</v>
      </c>
      <c r="E575" s="1" t="s">
        <v>906</v>
      </c>
      <c r="F575" s="1" t="s">
        <v>3372</v>
      </c>
      <c r="G575" s="3" t="s">
        <v>1321</v>
      </c>
      <c r="H575" s="11">
        <f t="shared" si="19"/>
        <v>435.37</v>
      </c>
      <c r="I575" s="9">
        <f>($K$2+0.02)*Tabla1[[#This Row],[PRECIO $]]*1.18</f>
        <v>371.62919999999997</v>
      </c>
      <c r="J575" s="7">
        <f>+Tabla1[[#This Row],[PRECIO EN SOLES]]-Tabla1[[#This Row],[PC]]</f>
        <v>63.740800000000036</v>
      </c>
      <c r="K575" s="15"/>
      <c r="L575" s="15" t="str">
        <f t="shared" si="18"/>
        <v>NORMAL</v>
      </c>
    </row>
    <row r="576" spans="1:12" x14ac:dyDescent="0.25">
      <c r="A576" s="3" t="s">
        <v>1322</v>
      </c>
      <c r="B576" s="3" t="s">
        <v>1323</v>
      </c>
      <c r="C576" s="1">
        <v>20</v>
      </c>
      <c r="D576" s="1">
        <v>111.6</v>
      </c>
      <c r="E576" s="1" t="s">
        <v>906</v>
      </c>
      <c r="F576" s="1" t="s">
        <v>3373</v>
      </c>
      <c r="G576" s="3" t="s">
        <v>1324</v>
      </c>
      <c r="H576" s="11">
        <f t="shared" si="19"/>
        <v>535.02</v>
      </c>
      <c r="I576" s="9">
        <f>($K$2+0.02)*Tabla1[[#This Row],[PRECIO $]]*1.18</f>
        <v>458.27423999999996</v>
      </c>
      <c r="J576" s="7">
        <f>+Tabla1[[#This Row],[PRECIO EN SOLES]]-Tabla1[[#This Row],[PC]]</f>
        <v>76.745760000000018</v>
      </c>
      <c r="K576" s="15"/>
      <c r="L576" s="15" t="str">
        <f t="shared" si="18"/>
        <v>NORMAL</v>
      </c>
    </row>
    <row r="577" spans="1:12" x14ac:dyDescent="0.25">
      <c r="A577" s="3" t="s">
        <v>5985</v>
      </c>
      <c r="B577" s="3" t="s">
        <v>5986</v>
      </c>
      <c r="C577" s="1">
        <v>20</v>
      </c>
      <c r="D577" s="1">
        <v>115</v>
      </c>
      <c r="E577" s="1" t="s">
        <v>906</v>
      </c>
      <c r="F577" s="1" t="s">
        <v>5987</v>
      </c>
      <c r="G577" s="3" t="s">
        <v>5988</v>
      </c>
      <c r="H577" s="11">
        <f t="shared" si="19"/>
        <v>551.07000000000005</v>
      </c>
      <c r="I577" s="9">
        <f>($K$2+0.02)*Tabla1[[#This Row],[PRECIO $]]*1.18</f>
        <v>472.23599999999999</v>
      </c>
      <c r="J577" s="7">
        <f>+Tabla1[[#This Row],[PRECIO EN SOLES]]-Tabla1[[#This Row],[PC]]</f>
        <v>78.83400000000006</v>
      </c>
      <c r="K577" s="15"/>
      <c r="L577" s="15" t="str">
        <f t="shared" si="18"/>
        <v>NORMAL</v>
      </c>
    </row>
    <row r="578" spans="1:12" x14ac:dyDescent="0.25">
      <c r="A578" s="3" t="s">
        <v>5374</v>
      </c>
      <c r="B578" s="3" t="s">
        <v>5375</v>
      </c>
      <c r="C578" s="1">
        <v>20</v>
      </c>
      <c r="D578" s="1">
        <v>67.849999999999994</v>
      </c>
      <c r="E578" s="1" t="s">
        <v>115</v>
      </c>
      <c r="F578" s="1" t="s">
        <v>5376</v>
      </c>
      <c r="G578" s="3" t="s">
        <v>5377</v>
      </c>
      <c r="H578" s="11">
        <f t="shared" si="19"/>
        <v>328.41</v>
      </c>
      <c r="I578" s="9">
        <f>($K$2+0.02)*Tabla1[[#This Row],[PRECIO $]]*1.18</f>
        <v>278.61923999999993</v>
      </c>
      <c r="J578" s="7">
        <f>+Tabla1[[#This Row],[PRECIO EN SOLES]]-Tabla1[[#This Row],[PC]]</f>
        <v>49.790760000000091</v>
      </c>
      <c r="K578" s="15"/>
      <c r="L578" s="15" t="str">
        <f t="shared" si="18"/>
        <v>NORMAL</v>
      </c>
    </row>
    <row r="579" spans="1:12" x14ac:dyDescent="0.25">
      <c r="A579" s="3" t="s">
        <v>1325</v>
      </c>
      <c r="B579" s="3" t="s">
        <v>1326</v>
      </c>
      <c r="C579" s="1">
        <v>20</v>
      </c>
      <c r="D579" s="1">
        <v>110</v>
      </c>
      <c r="E579" s="1" t="s">
        <v>115</v>
      </c>
      <c r="F579" s="1" t="s">
        <v>3374</v>
      </c>
      <c r="G579" s="3" t="s">
        <v>1327</v>
      </c>
      <c r="H579" s="11">
        <f t="shared" si="19"/>
        <v>527.46</v>
      </c>
      <c r="I579" s="9">
        <f>($K$2+0.02)*Tabla1[[#This Row],[PRECIO $]]*1.18</f>
        <v>451.70400000000001</v>
      </c>
      <c r="J579" s="7">
        <f>+Tabla1[[#This Row],[PRECIO EN SOLES]]-Tabla1[[#This Row],[PC]]</f>
        <v>75.756000000000029</v>
      </c>
      <c r="K579" s="15"/>
      <c r="L579" s="15" t="str">
        <f t="shared" si="18"/>
        <v>NORMAL</v>
      </c>
    </row>
    <row r="580" spans="1:12" x14ac:dyDescent="0.25">
      <c r="A580" s="3" t="s">
        <v>1328</v>
      </c>
      <c r="B580" s="3" t="s">
        <v>1329</v>
      </c>
      <c r="C580" s="1">
        <v>20</v>
      </c>
      <c r="D580" s="1">
        <v>76.400000000000006</v>
      </c>
      <c r="E580" s="1" t="s">
        <v>115</v>
      </c>
      <c r="F580" s="1" t="s">
        <v>3375</v>
      </c>
      <c r="G580" s="3" t="s">
        <v>1330</v>
      </c>
      <c r="H580" s="11">
        <f t="shared" si="19"/>
        <v>368.79</v>
      </c>
      <c r="I580" s="9">
        <f>($K$2+0.02)*Tabla1[[#This Row],[PRECIO $]]*1.18</f>
        <v>313.72895999999997</v>
      </c>
      <c r="J580" s="7">
        <f>+Tabla1[[#This Row],[PRECIO EN SOLES]]-Tabla1[[#This Row],[PC]]</f>
        <v>55.061040000000048</v>
      </c>
      <c r="K580" s="15"/>
      <c r="L580" s="15" t="str">
        <f t="shared" si="18"/>
        <v>NORMAL</v>
      </c>
    </row>
    <row r="581" spans="1:12" x14ac:dyDescent="0.25">
      <c r="A581" s="3" t="s">
        <v>1331</v>
      </c>
      <c r="B581" s="3" t="s">
        <v>1332</v>
      </c>
      <c r="C581" s="1">
        <v>9</v>
      </c>
      <c r="D581" s="1">
        <v>91.5</v>
      </c>
      <c r="E581" s="1" t="s">
        <v>226</v>
      </c>
      <c r="F581" s="1" t="s">
        <v>3376</v>
      </c>
      <c r="G581" s="3" t="s">
        <v>1333</v>
      </c>
      <c r="H581" s="11">
        <f t="shared" si="19"/>
        <v>440.1</v>
      </c>
      <c r="I581" s="9">
        <f>($K$2+0.02)*Tabla1[[#This Row],[PRECIO $]]*1.18</f>
        <v>375.73559999999998</v>
      </c>
      <c r="J581" s="7">
        <f>+Tabla1[[#This Row],[PRECIO EN SOLES]]-Tabla1[[#This Row],[PC]]</f>
        <v>64.364400000000046</v>
      </c>
      <c r="K581" s="15"/>
      <c r="L581" s="15" t="str">
        <f t="shared" si="18"/>
        <v>NORMAL</v>
      </c>
    </row>
    <row r="582" spans="1:12" x14ac:dyDescent="0.25">
      <c r="A582" s="3" t="s">
        <v>4584</v>
      </c>
      <c r="B582" s="3" t="s">
        <v>4585</v>
      </c>
      <c r="C582" s="1">
        <v>20</v>
      </c>
      <c r="D582" s="1">
        <v>96.4</v>
      </c>
      <c r="E582" s="1" t="s">
        <v>226</v>
      </c>
      <c r="F582" s="1" t="s">
        <v>4586</v>
      </c>
      <c r="G582" s="3" t="s">
        <v>4587</v>
      </c>
      <c r="H582" s="11">
        <f t="shared" si="19"/>
        <v>463.24</v>
      </c>
      <c r="I582" s="9">
        <f>($K$2+0.02)*Tabla1[[#This Row],[PRECIO $]]*1.18</f>
        <v>395.85696000000002</v>
      </c>
      <c r="J582" s="7">
        <f>+Tabla1[[#This Row],[PRECIO EN SOLES]]-Tabla1[[#This Row],[PC]]</f>
        <v>67.383039999999994</v>
      </c>
      <c r="K582" s="15"/>
      <c r="L582" s="15" t="str">
        <f t="shared" si="18"/>
        <v>NORMAL</v>
      </c>
    </row>
    <row r="583" spans="1:12" x14ac:dyDescent="0.25">
      <c r="A583" s="3" t="s">
        <v>4588</v>
      </c>
      <c r="B583" s="3" t="s">
        <v>4589</v>
      </c>
      <c r="C583" s="1">
        <v>20</v>
      </c>
      <c r="D583" s="1">
        <v>109.2</v>
      </c>
      <c r="E583" s="1" t="s">
        <v>226</v>
      </c>
      <c r="F583" s="1" t="s">
        <v>4590</v>
      </c>
      <c r="G583" s="3" t="s">
        <v>4591</v>
      </c>
      <c r="H583" s="11">
        <f t="shared" si="19"/>
        <v>523.67999999999995</v>
      </c>
      <c r="I583" s="9">
        <f>($K$2+0.02)*Tabla1[[#This Row],[PRECIO $]]*1.18</f>
        <v>448.41888</v>
      </c>
      <c r="J583" s="7">
        <f>+Tabla1[[#This Row],[PRECIO EN SOLES]]-Tabla1[[#This Row],[PC]]</f>
        <v>75.261119999999949</v>
      </c>
      <c r="K583" s="15"/>
      <c r="L583" s="15" t="str">
        <f t="shared" si="18"/>
        <v>NORMAL</v>
      </c>
    </row>
    <row r="584" spans="1:12" x14ac:dyDescent="0.25">
      <c r="A584" s="3" t="s">
        <v>4592</v>
      </c>
      <c r="B584" s="3" t="s">
        <v>4593</v>
      </c>
      <c r="C584" s="1">
        <v>18</v>
      </c>
      <c r="D584" s="1">
        <v>104.6</v>
      </c>
      <c r="E584" s="1" t="s">
        <v>226</v>
      </c>
      <c r="F584" s="1" t="s">
        <v>4594</v>
      </c>
      <c r="G584" s="3" t="s">
        <v>4595</v>
      </c>
      <c r="H584" s="11">
        <f t="shared" si="19"/>
        <v>501.96</v>
      </c>
      <c r="I584" s="9">
        <f>($K$2+0.02)*Tabla1[[#This Row],[PRECIO $]]*1.18</f>
        <v>429.52943999999997</v>
      </c>
      <c r="J584" s="7">
        <f>+Tabla1[[#This Row],[PRECIO EN SOLES]]-Tabla1[[#This Row],[PC]]</f>
        <v>72.430560000000014</v>
      </c>
      <c r="K584" s="15"/>
      <c r="L584" s="15" t="str">
        <f t="shared" si="18"/>
        <v>NORMAL</v>
      </c>
    </row>
    <row r="585" spans="1:12" x14ac:dyDescent="0.25">
      <c r="A585" s="3" t="s">
        <v>4596</v>
      </c>
      <c r="B585" s="3" t="s">
        <v>4597</v>
      </c>
      <c r="C585" s="1">
        <v>20</v>
      </c>
      <c r="D585" s="1">
        <v>107.1</v>
      </c>
      <c r="E585" s="1" t="s">
        <v>226</v>
      </c>
      <c r="F585" s="1" t="s">
        <v>4598</v>
      </c>
      <c r="G585" s="3" t="s">
        <v>4599</v>
      </c>
      <c r="H585" s="11">
        <f t="shared" si="19"/>
        <v>513.76</v>
      </c>
      <c r="I585" s="9">
        <f>($K$2+0.02)*Tabla1[[#This Row],[PRECIO $]]*1.18</f>
        <v>439.79543999999993</v>
      </c>
      <c r="J585" s="7">
        <f>+Tabla1[[#This Row],[PRECIO EN SOLES]]-Tabla1[[#This Row],[PC]]</f>
        <v>73.964560000000063</v>
      </c>
      <c r="K585" s="15"/>
      <c r="L585" s="15" t="str">
        <f t="shared" si="18"/>
        <v>NORMAL</v>
      </c>
    </row>
    <row r="586" spans="1:12" x14ac:dyDescent="0.25">
      <c r="A586" s="3" t="s">
        <v>5378</v>
      </c>
      <c r="B586" s="3" t="s">
        <v>5379</v>
      </c>
      <c r="C586" s="1">
        <v>0</v>
      </c>
      <c r="D586" s="1">
        <v>74.900000000000006</v>
      </c>
      <c r="E586" s="1" t="s">
        <v>226</v>
      </c>
      <c r="F586" s="1" t="s">
        <v>5380</v>
      </c>
      <c r="G586" s="3" t="s">
        <v>5381</v>
      </c>
      <c r="H586" s="11">
        <f t="shared" si="19"/>
        <v>361.7</v>
      </c>
      <c r="I586" s="9">
        <f>($K$2+0.02)*Tabla1[[#This Row],[PRECIO $]]*1.18</f>
        <v>307.56936000000002</v>
      </c>
      <c r="J586" s="7">
        <f>+Tabla1[[#This Row],[PRECIO EN SOLES]]-Tabla1[[#This Row],[PC]]</f>
        <v>54.130639999999971</v>
      </c>
      <c r="K586" s="15"/>
      <c r="L586" s="15" t="str">
        <f t="shared" si="18"/>
        <v>NORMAL</v>
      </c>
    </row>
    <row r="587" spans="1:12" x14ac:dyDescent="0.25">
      <c r="A587" s="3" t="s">
        <v>5989</v>
      </c>
      <c r="B587" s="3" t="s">
        <v>5990</v>
      </c>
      <c r="C587" s="1">
        <v>0</v>
      </c>
      <c r="D587" s="1">
        <v>73.45</v>
      </c>
      <c r="E587" s="1" t="s">
        <v>121</v>
      </c>
      <c r="F587" s="1" t="s">
        <v>5991</v>
      </c>
      <c r="G587" s="3" t="s">
        <v>5992</v>
      </c>
      <c r="H587" s="11">
        <f t="shared" si="19"/>
        <v>354.86</v>
      </c>
      <c r="I587" s="9">
        <f>($K$2+0.02)*Tabla1[[#This Row],[PRECIO $]]*1.18</f>
        <v>301.61507999999998</v>
      </c>
      <c r="J587" s="7">
        <f>+Tabla1[[#This Row],[PRECIO EN SOLES]]-Tabla1[[#This Row],[PC]]</f>
        <v>53.244920000000036</v>
      </c>
      <c r="K587" s="15"/>
      <c r="L587" s="15" t="str">
        <f t="shared" si="18"/>
        <v>NORMAL</v>
      </c>
    </row>
    <row r="588" spans="1:12" x14ac:dyDescent="0.25">
      <c r="A588" s="3" t="s">
        <v>4292</v>
      </c>
      <c r="B588" s="3" t="s">
        <v>4293</v>
      </c>
      <c r="C588" s="1">
        <v>9</v>
      </c>
      <c r="D588" s="1">
        <v>120.7</v>
      </c>
      <c r="E588" s="1" t="s">
        <v>121</v>
      </c>
      <c r="F588" s="1" t="s">
        <v>4294</v>
      </c>
      <c r="G588" s="3" t="s">
        <v>4295</v>
      </c>
      <c r="H588" s="11">
        <f t="shared" si="19"/>
        <v>577.99</v>
      </c>
      <c r="I588" s="9">
        <f>($K$2+0.02)*Tabla1[[#This Row],[PRECIO $]]*1.18</f>
        <v>495.64247999999998</v>
      </c>
      <c r="J588" s="7">
        <f>+Tabla1[[#This Row],[PRECIO EN SOLES]]-Tabla1[[#This Row],[PC]]</f>
        <v>82.347520000000031</v>
      </c>
      <c r="K588" s="15"/>
      <c r="L588" s="15" t="str">
        <f t="shared" si="18"/>
        <v>NORMAL</v>
      </c>
    </row>
    <row r="589" spans="1:12" x14ac:dyDescent="0.25">
      <c r="A589" s="3" t="s">
        <v>2939</v>
      </c>
      <c r="B589" s="3" t="s">
        <v>2940</v>
      </c>
      <c r="C589" s="1">
        <v>15</v>
      </c>
      <c r="D589" s="1">
        <v>231.5</v>
      </c>
      <c r="E589" s="1" t="s">
        <v>121</v>
      </c>
      <c r="F589" s="1" t="s">
        <v>3397</v>
      </c>
      <c r="G589" s="3" t="s">
        <v>5153</v>
      </c>
      <c r="H589" s="11">
        <f t="shared" si="19"/>
        <v>1101.23</v>
      </c>
      <c r="I589" s="9">
        <f>($K$2+0.02)*Tabla1[[#This Row],[PRECIO $]]*1.18</f>
        <v>950.63159999999993</v>
      </c>
      <c r="J589" s="7">
        <f>+Tabla1[[#This Row],[PRECIO EN SOLES]]-Tabla1[[#This Row],[PC]]</f>
        <v>150.59840000000008</v>
      </c>
      <c r="K589" s="15"/>
      <c r="L589" s="15" t="str">
        <f t="shared" si="18"/>
        <v>NORMAL</v>
      </c>
    </row>
    <row r="590" spans="1:12" x14ac:dyDescent="0.25">
      <c r="A590" s="3" t="s">
        <v>1334</v>
      </c>
      <c r="B590" s="3" t="s">
        <v>1335</v>
      </c>
      <c r="C590" s="1">
        <v>2</v>
      </c>
      <c r="D590" s="1">
        <v>182</v>
      </c>
      <c r="E590" s="1" t="s">
        <v>906</v>
      </c>
      <c r="F590" s="1" t="s">
        <v>3377</v>
      </c>
      <c r="G590" s="3" t="s">
        <v>1336</v>
      </c>
      <c r="H590" s="11">
        <f t="shared" si="19"/>
        <v>867.47</v>
      </c>
      <c r="I590" s="9">
        <f>($K$2+0.02)*Tabla1[[#This Row],[PRECIO $]]*1.18</f>
        <v>747.36479999999995</v>
      </c>
      <c r="J590" s="7">
        <f>+Tabla1[[#This Row],[PRECIO EN SOLES]]-Tabla1[[#This Row],[PC]]</f>
        <v>120.10520000000008</v>
      </c>
      <c r="K590" s="15"/>
      <c r="L590" s="15" t="str">
        <f t="shared" si="18"/>
        <v>NORMAL</v>
      </c>
    </row>
    <row r="591" spans="1:12" x14ac:dyDescent="0.25">
      <c r="A591" s="3" t="s">
        <v>1337</v>
      </c>
      <c r="B591" s="3" t="s">
        <v>1338</v>
      </c>
      <c r="C591" s="1">
        <v>6</v>
      </c>
      <c r="D591" s="1">
        <v>128.19999999999999</v>
      </c>
      <c r="E591" s="1" t="s">
        <v>115</v>
      </c>
      <c r="F591" s="1" t="s">
        <v>3378</v>
      </c>
      <c r="G591" s="3" t="s">
        <v>1339</v>
      </c>
      <c r="H591" s="11">
        <f t="shared" si="19"/>
        <v>613.41</v>
      </c>
      <c r="I591" s="9">
        <f>($K$2+0.02)*Tabla1[[#This Row],[PRECIO $]]*1.18</f>
        <v>526.44047999999998</v>
      </c>
      <c r="J591" s="7">
        <f>+Tabla1[[#This Row],[PRECIO EN SOLES]]-Tabla1[[#This Row],[PC]]</f>
        <v>86.969519999999989</v>
      </c>
      <c r="K591" s="15"/>
      <c r="L591" s="15" t="str">
        <f t="shared" si="18"/>
        <v>NORMAL</v>
      </c>
    </row>
    <row r="592" spans="1:12" x14ac:dyDescent="0.25">
      <c r="A592" s="3" t="s">
        <v>1340</v>
      </c>
      <c r="B592" s="3" t="s">
        <v>1341</v>
      </c>
      <c r="C592" s="1">
        <v>7</v>
      </c>
      <c r="D592" s="1">
        <v>305</v>
      </c>
      <c r="E592" s="1" t="s">
        <v>115</v>
      </c>
      <c r="F592" s="1" t="s">
        <v>3379</v>
      </c>
      <c r="G592" s="3" t="s">
        <v>1342</v>
      </c>
      <c r="H592" s="11">
        <f t="shared" si="19"/>
        <v>1448.32</v>
      </c>
      <c r="I592" s="9">
        <f>($K$2+0.02)*Tabla1[[#This Row],[PRECIO $]]*1.18</f>
        <v>1252.452</v>
      </c>
      <c r="J592" s="7">
        <f>+Tabla1[[#This Row],[PRECIO EN SOLES]]-Tabla1[[#This Row],[PC]]</f>
        <v>195.86799999999994</v>
      </c>
      <c r="K592" s="15"/>
      <c r="L592" s="15" t="str">
        <f t="shared" ref="L592:L655" si="20"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3" spans="1:12" x14ac:dyDescent="0.25">
      <c r="A593" s="3" t="s">
        <v>253</v>
      </c>
      <c r="B593" s="3" t="s">
        <v>254</v>
      </c>
      <c r="C593" s="1">
        <v>20</v>
      </c>
      <c r="D593" s="1">
        <v>163</v>
      </c>
      <c r="E593" s="1" t="s">
        <v>115</v>
      </c>
      <c r="F593" s="1" t="s">
        <v>3380</v>
      </c>
      <c r="G593" s="3" t="s">
        <v>255</v>
      </c>
      <c r="H593" s="11">
        <f t="shared" si="19"/>
        <v>777.74</v>
      </c>
      <c r="I593" s="9">
        <f>($K$2+0.02)*Tabla1[[#This Row],[PRECIO $]]*1.18</f>
        <v>669.34320000000002</v>
      </c>
      <c r="J593" s="7">
        <f>+Tabla1[[#This Row],[PRECIO EN SOLES]]-Tabla1[[#This Row],[PC]]</f>
        <v>108.39679999999998</v>
      </c>
      <c r="K593" s="15"/>
      <c r="L593" s="15" t="str">
        <f t="shared" si="20"/>
        <v>NORMAL</v>
      </c>
    </row>
    <row r="594" spans="1:12" x14ac:dyDescent="0.25">
      <c r="A594" s="3" t="s">
        <v>256</v>
      </c>
      <c r="B594" s="3" t="s">
        <v>257</v>
      </c>
      <c r="C594" s="1">
        <v>10</v>
      </c>
      <c r="D594" s="1">
        <v>178.5</v>
      </c>
      <c r="E594" s="1" t="s">
        <v>115</v>
      </c>
      <c r="F594" s="1" t="s">
        <v>3381</v>
      </c>
      <c r="G594" s="3" t="s">
        <v>258</v>
      </c>
      <c r="H594" s="11">
        <f t="shared" ref="H594:H657" si="21">ROUND(
IF(L592="GANCHO",
   IF(I594&lt;=50,I594*1.1+4,IF(I594&lt;=120,I594*1.1+7,IF(I594&lt;=250,I594*1.1+11,I594*1.1+19))),
IF(L592="NORMAL",
   IF(I594&lt;=30,I594*1.15+2,IF(I594&lt;=80,I594*1.15+4,IF(I594&lt;=150,I594*1.15+6,I594*1.15+8))),
IF(L592="COMPLEMENTO",
   IF(I594&lt;=25,I594*1.25+1.5,IF(I594&lt;=60,I594*1.25+3,IF(I594&lt;=120,I594*1.25+4,I594*1.25+5))),
""))),2)</f>
        <v>850.94</v>
      </c>
      <c r="I594" s="9">
        <f>($K$2+0.02)*Tabla1[[#This Row],[PRECIO $]]*1.18</f>
        <v>732.99239999999986</v>
      </c>
      <c r="J594" s="7">
        <f>+Tabla1[[#This Row],[PRECIO EN SOLES]]-Tabla1[[#This Row],[PC]]</f>
        <v>117.94760000000019</v>
      </c>
      <c r="K594" s="15"/>
      <c r="L594" s="15" t="str">
        <f t="shared" si="20"/>
        <v>NORMAL</v>
      </c>
    </row>
    <row r="595" spans="1:12" x14ac:dyDescent="0.25">
      <c r="A595" s="3" t="s">
        <v>5382</v>
      </c>
      <c r="B595" s="3" t="s">
        <v>1344</v>
      </c>
      <c r="C595" s="1">
        <v>3</v>
      </c>
      <c r="D595" s="1">
        <v>108.9</v>
      </c>
      <c r="E595" s="1" t="s">
        <v>115</v>
      </c>
      <c r="F595" s="1" t="s">
        <v>5383</v>
      </c>
      <c r="G595" s="3"/>
      <c r="H595" s="11">
        <f t="shared" si="21"/>
        <v>522.27</v>
      </c>
      <c r="I595" s="9">
        <f>($K$2+0.02)*Tabla1[[#This Row],[PRECIO $]]*1.18</f>
        <v>447.18696</v>
      </c>
      <c r="J595" s="7">
        <f>+Tabla1[[#This Row],[PRECIO EN SOLES]]-Tabla1[[#This Row],[PC]]</f>
        <v>75.083039999999983</v>
      </c>
      <c r="K595" s="15"/>
      <c r="L595" s="15" t="str">
        <f t="shared" si="20"/>
        <v>NORMAL</v>
      </c>
    </row>
    <row r="596" spans="1:12" x14ac:dyDescent="0.25">
      <c r="A596" s="3" t="s">
        <v>1343</v>
      </c>
      <c r="B596" s="3" t="s">
        <v>1344</v>
      </c>
      <c r="C596" s="1">
        <v>20</v>
      </c>
      <c r="D596" s="1">
        <v>114.2</v>
      </c>
      <c r="E596" s="1" t="s">
        <v>115</v>
      </c>
      <c r="F596" s="1" t="s">
        <v>3382</v>
      </c>
      <c r="G596" s="3" t="s">
        <v>1345</v>
      </c>
      <c r="H596" s="11">
        <f t="shared" si="21"/>
        <v>547.29</v>
      </c>
      <c r="I596" s="9">
        <f>($K$2+0.02)*Tabla1[[#This Row],[PRECIO $]]*1.18</f>
        <v>468.95087999999998</v>
      </c>
      <c r="J596" s="7">
        <f>+Tabla1[[#This Row],[PRECIO EN SOLES]]-Tabla1[[#This Row],[PC]]</f>
        <v>78.33911999999998</v>
      </c>
      <c r="K596" s="15"/>
      <c r="L596" s="15" t="str">
        <f t="shared" si="20"/>
        <v>NORMAL</v>
      </c>
    </row>
    <row r="597" spans="1:12" x14ac:dyDescent="0.25">
      <c r="A597" s="3" t="s">
        <v>5384</v>
      </c>
      <c r="B597" s="3" t="s">
        <v>5385</v>
      </c>
      <c r="C597" s="1">
        <v>20</v>
      </c>
      <c r="D597" s="1">
        <v>256</v>
      </c>
      <c r="E597" s="1" t="s">
        <v>115</v>
      </c>
      <c r="F597" s="1" t="s">
        <v>5386</v>
      </c>
      <c r="G597" s="3" t="s">
        <v>5387</v>
      </c>
      <c r="H597" s="11">
        <f t="shared" si="21"/>
        <v>1216.92</v>
      </c>
      <c r="I597" s="9">
        <f>($K$2+0.02)*Tabla1[[#This Row],[PRECIO $]]*1.18</f>
        <v>1051.2384</v>
      </c>
      <c r="J597" s="7">
        <f>+Tabla1[[#This Row],[PRECIO EN SOLES]]-Tabla1[[#This Row],[PC]]</f>
        <v>165.68160000000012</v>
      </c>
      <c r="K597" s="15"/>
      <c r="L597" s="15" t="str">
        <f t="shared" si="20"/>
        <v>NORMAL</v>
      </c>
    </row>
    <row r="598" spans="1:12" x14ac:dyDescent="0.25">
      <c r="A598" s="3" t="s">
        <v>5388</v>
      </c>
      <c r="B598" s="3" t="s">
        <v>5389</v>
      </c>
      <c r="C598" s="1">
        <v>19</v>
      </c>
      <c r="D598" s="1">
        <v>355</v>
      </c>
      <c r="E598" s="1" t="s">
        <v>115</v>
      </c>
      <c r="F598" s="1" t="s">
        <v>5390</v>
      </c>
      <c r="G598" s="3" t="s">
        <v>5391</v>
      </c>
      <c r="H598" s="11">
        <f t="shared" si="21"/>
        <v>1684.44</v>
      </c>
      <c r="I598" s="9">
        <f>($K$2+0.02)*Tabla1[[#This Row],[PRECIO $]]*1.18</f>
        <v>1457.7719999999999</v>
      </c>
      <c r="J598" s="7">
        <f>+Tabla1[[#This Row],[PRECIO EN SOLES]]-Tabla1[[#This Row],[PC]]</f>
        <v>226.66800000000012</v>
      </c>
      <c r="K598" s="15"/>
      <c r="L598" s="15" t="str">
        <f t="shared" si="20"/>
        <v>NORMAL</v>
      </c>
    </row>
    <row r="599" spans="1:12" x14ac:dyDescent="0.25">
      <c r="A599" s="3" t="s">
        <v>5392</v>
      </c>
      <c r="B599" s="3" t="s">
        <v>5393</v>
      </c>
      <c r="C599" s="1">
        <v>20</v>
      </c>
      <c r="D599" s="1">
        <v>147.80000000000001</v>
      </c>
      <c r="E599" s="1" t="s">
        <v>115</v>
      </c>
      <c r="F599" s="1" t="s">
        <v>5394</v>
      </c>
      <c r="G599" s="3" t="s">
        <v>5395</v>
      </c>
      <c r="H599" s="11">
        <f t="shared" si="21"/>
        <v>705.96</v>
      </c>
      <c r="I599" s="9">
        <f>($K$2+0.02)*Tabla1[[#This Row],[PRECIO $]]*1.18</f>
        <v>606.92592000000002</v>
      </c>
      <c r="J599" s="7">
        <f>+Tabla1[[#This Row],[PRECIO EN SOLES]]-Tabla1[[#This Row],[PC]]</f>
        <v>99.034080000000017</v>
      </c>
      <c r="K599" s="15"/>
      <c r="L599" s="15" t="str">
        <f t="shared" si="20"/>
        <v>NORMAL</v>
      </c>
    </row>
    <row r="600" spans="1:12" x14ac:dyDescent="0.25">
      <c r="A600" s="3" t="s">
        <v>5396</v>
      </c>
      <c r="B600" s="3" t="s">
        <v>5397</v>
      </c>
      <c r="C600" s="1">
        <v>20</v>
      </c>
      <c r="D600" s="1">
        <v>212.7</v>
      </c>
      <c r="E600" s="1" t="s">
        <v>115</v>
      </c>
      <c r="F600" s="1" t="s">
        <v>5398</v>
      </c>
      <c r="G600" s="3" t="s">
        <v>5399</v>
      </c>
      <c r="H600" s="11">
        <f t="shared" si="21"/>
        <v>1012.45</v>
      </c>
      <c r="I600" s="9">
        <f>($K$2+0.02)*Tabla1[[#This Row],[PRECIO $]]*1.18</f>
        <v>873.4312799999999</v>
      </c>
      <c r="J600" s="7">
        <f>+Tabla1[[#This Row],[PRECIO EN SOLES]]-Tabla1[[#This Row],[PC]]</f>
        <v>139.01872000000014</v>
      </c>
      <c r="K600" s="15"/>
      <c r="L600" s="15" t="str">
        <f t="shared" si="20"/>
        <v>NORMAL</v>
      </c>
    </row>
    <row r="601" spans="1:12" x14ac:dyDescent="0.25">
      <c r="A601" s="3" t="s">
        <v>5400</v>
      </c>
      <c r="B601" s="3" t="s">
        <v>5401</v>
      </c>
      <c r="C601" s="1">
        <v>20</v>
      </c>
      <c r="D601" s="1">
        <v>223</v>
      </c>
      <c r="E601" s="1" t="s">
        <v>115</v>
      </c>
      <c r="F601" s="1" t="s">
        <v>5402</v>
      </c>
      <c r="G601" s="3" t="s">
        <v>5403</v>
      </c>
      <c r="H601" s="11">
        <f t="shared" si="21"/>
        <v>1061.0899999999999</v>
      </c>
      <c r="I601" s="9">
        <f>($K$2+0.02)*Tabla1[[#This Row],[PRECIO $]]*1.18</f>
        <v>915.72719999999993</v>
      </c>
      <c r="J601" s="7">
        <f>+Tabla1[[#This Row],[PRECIO EN SOLES]]-Tabla1[[#This Row],[PC]]</f>
        <v>145.36279999999999</v>
      </c>
      <c r="K601" s="15"/>
      <c r="L601" s="15" t="str">
        <f t="shared" si="20"/>
        <v>NORMAL</v>
      </c>
    </row>
    <row r="602" spans="1:12" x14ac:dyDescent="0.25">
      <c r="A602" s="3" t="s">
        <v>5404</v>
      </c>
      <c r="B602" s="3" t="s">
        <v>5405</v>
      </c>
      <c r="C602" s="1">
        <v>8</v>
      </c>
      <c r="D602" s="1">
        <v>300.5</v>
      </c>
      <c r="E602" s="1" t="s">
        <v>115</v>
      </c>
      <c r="F602" s="1" t="s">
        <v>5406</v>
      </c>
      <c r="G602" s="3" t="s">
        <v>5407</v>
      </c>
      <c r="H602" s="11">
        <f t="shared" si="21"/>
        <v>1427.07</v>
      </c>
      <c r="I602" s="9">
        <f>($K$2+0.02)*Tabla1[[#This Row],[PRECIO $]]*1.18</f>
        <v>1233.9731999999999</v>
      </c>
      <c r="J602" s="7">
        <f>+Tabla1[[#This Row],[PRECIO EN SOLES]]-Tabla1[[#This Row],[PC]]</f>
        <v>193.09680000000003</v>
      </c>
      <c r="K602" s="15"/>
      <c r="L602" s="15" t="str">
        <f t="shared" si="20"/>
        <v>NORMAL</v>
      </c>
    </row>
    <row r="603" spans="1:12" x14ac:dyDescent="0.25">
      <c r="A603" s="3" t="s">
        <v>5408</v>
      </c>
      <c r="B603" s="3" t="s">
        <v>5409</v>
      </c>
      <c r="C603" s="1">
        <v>16</v>
      </c>
      <c r="D603" s="1">
        <v>279</v>
      </c>
      <c r="E603" s="1" t="s">
        <v>115</v>
      </c>
      <c r="F603" s="1" t="s">
        <v>5410</v>
      </c>
      <c r="G603" s="3" t="s">
        <v>5411</v>
      </c>
      <c r="H603" s="11">
        <f t="shared" si="21"/>
        <v>1325.54</v>
      </c>
      <c r="I603" s="9">
        <f>($K$2+0.02)*Tabla1[[#This Row],[PRECIO $]]*1.18</f>
        <v>1145.6855999999998</v>
      </c>
      <c r="J603" s="7">
        <f>+Tabla1[[#This Row],[PRECIO EN SOLES]]-Tabla1[[#This Row],[PC]]</f>
        <v>179.85440000000017</v>
      </c>
      <c r="K603" s="15"/>
      <c r="L603" s="15" t="str">
        <f t="shared" si="20"/>
        <v>NORMAL</v>
      </c>
    </row>
    <row r="604" spans="1:12" x14ac:dyDescent="0.25">
      <c r="A604" s="3" t="s">
        <v>5412</v>
      </c>
      <c r="B604" s="3" t="s">
        <v>5413</v>
      </c>
      <c r="C604" s="1">
        <v>15</v>
      </c>
      <c r="D604" s="1">
        <v>230.5</v>
      </c>
      <c r="E604" s="1" t="s">
        <v>115</v>
      </c>
      <c r="F604" s="1" t="s">
        <v>5414</v>
      </c>
      <c r="G604" s="3" t="s">
        <v>5415</v>
      </c>
      <c r="H604" s="11">
        <f t="shared" si="21"/>
        <v>1096.5</v>
      </c>
      <c r="I604" s="9">
        <f>($K$2+0.02)*Tabla1[[#This Row],[PRECIO $]]*1.18</f>
        <v>946.52519999999993</v>
      </c>
      <c r="J604" s="7">
        <f>+Tabla1[[#This Row],[PRECIO EN SOLES]]-Tabla1[[#This Row],[PC]]</f>
        <v>149.97480000000007</v>
      </c>
      <c r="K604" s="15"/>
      <c r="L604" s="15" t="str">
        <f t="shared" si="20"/>
        <v>NORMAL</v>
      </c>
    </row>
    <row r="605" spans="1:12" x14ac:dyDescent="0.25">
      <c r="A605" s="3" t="s">
        <v>5416</v>
      </c>
      <c r="B605" s="3" t="s">
        <v>5417</v>
      </c>
      <c r="C605" s="1">
        <v>16</v>
      </c>
      <c r="D605" s="1">
        <v>474</v>
      </c>
      <c r="E605" s="1" t="s">
        <v>115</v>
      </c>
      <c r="F605" s="1" t="s">
        <v>5418</v>
      </c>
      <c r="G605" s="3" t="s">
        <v>5419</v>
      </c>
      <c r="H605" s="11">
        <f t="shared" si="21"/>
        <v>2246.4</v>
      </c>
      <c r="I605" s="9">
        <f>($K$2+0.02)*Tabla1[[#This Row],[PRECIO $]]*1.18</f>
        <v>1946.4335999999998</v>
      </c>
      <c r="J605" s="7">
        <f>+Tabla1[[#This Row],[PRECIO EN SOLES]]-Tabla1[[#This Row],[PC]]</f>
        <v>299.96640000000025</v>
      </c>
      <c r="K605" s="15"/>
      <c r="L605" s="15" t="str">
        <f t="shared" si="20"/>
        <v>NORMAL</v>
      </c>
    </row>
    <row r="606" spans="1:12" x14ac:dyDescent="0.25">
      <c r="A606" s="3" t="s">
        <v>1346</v>
      </c>
      <c r="B606" s="3" t="s">
        <v>1347</v>
      </c>
      <c r="C606" s="1">
        <v>5</v>
      </c>
      <c r="D606" s="1">
        <v>185.5</v>
      </c>
      <c r="E606" s="1" t="s">
        <v>226</v>
      </c>
      <c r="F606" s="1" t="s">
        <v>3383</v>
      </c>
      <c r="G606" s="3" t="s">
        <v>1348</v>
      </c>
      <c r="H606" s="11">
        <f t="shared" si="21"/>
        <v>884</v>
      </c>
      <c r="I606" s="9">
        <f>($K$2+0.02)*Tabla1[[#This Row],[PRECIO $]]*1.18</f>
        <v>761.73719999999992</v>
      </c>
      <c r="J606" s="7">
        <f>+Tabla1[[#This Row],[PRECIO EN SOLES]]-Tabla1[[#This Row],[PC]]</f>
        <v>122.26280000000008</v>
      </c>
      <c r="K606" s="15"/>
      <c r="L606" s="15" t="str">
        <f t="shared" si="20"/>
        <v>NORMAL</v>
      </c>
    </row>
    <row r="607" spans="1:12" x14ac:dyDescent="0.25">
      <c r="A607" s="3" t="s">
        <v>1349</v>
      </c>
      <c r="B607" s="3" t="s">
        <v>1350</v>
      </c>
      <c r="C607" s="1">
        <v>5</v>
      </c>
      <c r="D607" s="1">
        <v>183</v>
      </c>
      <c r="E607" s="1" t="s">
        <v>226</v>
      </c>
      <c r="F607" s="1" t="s">
        <v>3384</v>
      </c>
      <c r="G607" s="3" t="s">
        <v>1351</v>
      </c>
      <c r="H607" s="11">
        <f t="shared" si="21"/>
        <v>872.19</v>
      </c>
      <c r="I607" s="9">
        <f>($K$2+0.02)*Tabla1[[#This Row],[PRECIO $]]*1.18</f>
        <v>751.47119999999995</v>
      </c>
      <c r="J607" s="7">
        <f>+Tabla1[[#This Row],[PRECIO EN SOLES]]-Tabla1[[#This Row],[PC]]</f>
        <v>120.7188000000001</v>
      </c>
      <c r="K607" s="15"/>
      <c r="L607" s="15" t="str">
        <f t="shared" si="20"/>
        <v>NORMAL</v>
      </c>
    </row>
    <row r="608" spans="1:12" x14ac:dyDescent="0.25">
      <c r="A608" s="3" t="s">
        <v>1352</v>
      </c>
      <c r="B608" s="3" t="s">
        <v>1353</v>
      </c>
      <c r="C608" s="1">
        <v>11</v>
      </c>
      <c r="D608" s="1">
        <v>142.80000000000001</v>
      </c>
      <c r="E608" s="1" t="s">
        <v>226</v>
      </c>
      <c r="F608" s="1" t="s">
        <v>3385</v>
      </c>
      <c r="G608" s="3" t="s">
        <v>1354</v>
      </c>
      <c r="H608" s="11">
        <f t="shared" si="21"/>
        <v>682.35</v>
      </c>
      <c r="I608" s="9">
        <f>($K$2+0.02)*Tabla1[[#This Row],[PRECIO $]]*1.18</f>
        <v>586.39391999999998</v>
      </c>
      <c r="J608" s="7">
        <f>+Tabla1[[#This Row],[PRECIO EN SOLES]]-Tabla1[[#This Row],[PC]]</f>
        <v>95.956080000000043</v>
      </c>
      <c r="K608" s="15"/>
      <c r="L608" s="15" t="str">
        <f t="shared" si="20"/>
        <v>NORMAL</v>
      </c>
    </row>
    <row r="609" spans="1:12" x14ac:dyDescent="0.25">
      <c r="A609" s="3" t="s">
        <v>4600</v>
      </c>
      <c r="B609" s="3" t="s">
        <v>4601</v>
      </c>
      <c r="C609" s="1">
        <v>20</v>
      </c>
      <c r="D609" s="1">
        <v>151</v>
      </c>
      <c r="E609" s="1" t="s">
        <v>226</v>
      </c>
      <c r="F609" s="1" t="s">
        <v>4602</v>
      </c>
      <c r="G609" s="3" t="s">
        <v>4603</v>
      </c>
      <c r="H609" s="11">
        <f t="shared" si="21"/>
        <v>721.08</v>
      </c>
      <c r="I609" s="9">
        <f>($K$2+0.02)*Tabla1[[#This Row],[PRECIO $]]*1.18</f>
        <v>620.06640000000004</v>
      </c>
      <c r="J609" s="7">
        <f>+Tabla1[[#This Row],[PRECIO EN SOLES]]-Tabla1[[#This Row],[PC]]</f>
        <v>101.0136</v>
      </c>
      <c r="K609" s="15"/>
      <c r="L609" s="15" t="str">
        <f t="shared" si="20"/>
        <v>NORMAL</v>
      </c>
    </row>
    <row r="610" spans="1:12" x14ac:dyDescent="0.25">
      <c r="A610" s="3" t="s">
        <v>1355</v>
      </c>
      <c r="B610" s="3" t="s">
        <v>1356</v>
      </c>
      <c r="C610" s="1">
        <v>2</v>
      </c>
      <c r="D610" s="1">
        <v>169</v>
      </c>
      <c r="E610" s="1" t="s">
        <v>226</v>
      </c>
      <c r="F610" s="1" t="s">
        <v>3386</v>
      </c>
      <c r="G610" s="3" t="s">
        <v>1357</v>
      </c>
      <c r="H610" s="11">
        <f t="shared" si="21"/>
        <v>806.08</v>
      </c>
      <c r="I610" s="9">
        <f>($K$2+0.02)*Tabla1[[#This Row],[PRECIO $]]*1.18</f>
        <v>693.98159999999996</v>
      </c>
      <c r="J610" s="7">
        <f>+Tabla1[[#This Row],[PRECIO EN SOLES]]-Tabla1[[#This Row],[PC]]</f>
        <v>112.09840000000008</v>
      </c>
      <c r="K610" s="15"/>
      <c r="L610" s="15" t="str">
        <f t="shared" si="20"/>
        <v>NORMAL</v>
      </c>
    </row>
    <row r="611" spans="1:12" x14ac:dyDescent="0.25">
      <c r="A611" s="3" t="s">
        <v>1358</v>
      </c>
      <c r="B611" s="3" t="s">
        <v>1359</v>
      </c>
      <c r="C611" s="1">
        <v>15</v>
      </c>
      <c r="D611" s="1">
        <v>166.5</v>
      </c>
      <c r="E611" s="1" t="s">
        <v>226</v>
      </c>
      <c r="F611" s="1" t="s">
        <v>3387</v>
      </c>
      <c r="G611" s="3" t="s">
        <v>1360</v>
      </c>
      <c r="H611" s="11">
        <f t="shared" si="21"/>
        <v>794.27</v>
      </c>
      <c r="I611" s="9">
        <f>($K$2+0.02)*Tabla1[[#This Row],[PRECIO $]]*1.18</f>
        <v>683.71559999999988</v>
      </c>
      <c r="J611" s="7">
        <f>+Tabla1[[#This Row],[PRECIO EN SOLES]]-Tabla1[[#This Row],[PC]]</f>
        <v>110.5544000000001</v>
      </c>
      <c r="K611" s="15"/>
      <c r="L611" s="15" t="str">
        <f t="shared" si="20"/>
        <v>NORMAL</v>
      </c>
    </row>
    <row r="612" spans="1:12" x14ac:dyDescent="0.25">
      <c r="A612" s="3" t="s">
        <v>5420</v>
      </c>
      <c r="B612" s="3" t="s">
        <v>5421</v>
      </c>
      <c r="C612" s="1">
        <v>20</v>
      </c>
      <c r="D612" s="1">
        <v>127.7</v>
      </c>
      <c r="E612" s="1" t="s">
        <v>226</v>
      </c>
      <c r="F612" s="1" t="s">
        <v>5422</v>
      </c>
      <c r="G612" s="3" t="s">
        <v>5423</v>
      </c>
      <c r="H612" s="11">
        <f t="shared" si="21"/>
        <v>611.04999999999995</v>
      </c>
      <c r="I612" s="9">
        <f>($K$2+0.02)*Tabla1[[#This Row],[PRECIO $]]*1.18</f>
        <v>524.38728000000003</v>
      </c>
      <c r="J612" s="7">
        <f>+Tabla1[[#This Row],[PRECIO EN SOLES]]-Tabla1[[#This Row],[PC]]</f>
        <v>86.662719999999922</v>
      </c>
      <c r="K612" s="15"/>
      <c r="L612" s="15" t="str">
        <f t="shared" si="20"/>
        <v>NORMAL</v>
      </c>
    </row>
    <row r="613" spans="1:12" x14ac:dyDescent="0.25">
      <c r="A613" s="3" t="s">
        <v>1361</v>
      </c>
      <c r="B613" s="3" t="s">
        <v>1362</v>
      </c>
      <c r="C613" s="1">
        <v>1</v>
      </c>
      <c r="D613" s="1">
        <v>105.2</v>
      </c>
      <c r="E613" s="1" t="s">
        <v>226</v>
      </c>
      <c r="F613" s="1" t="s">
        <v>3388</v>
      </c>
      <c r="G613" s="3" t="s">
        <v>1363</v>
      </c>
      <c r="H613" s="11">
        <f t="shared" si="21"/>
        <v>504.79</v>
      </c>
      <c r="I613" s="9">
        <f>($K$2+0.02)*Tabla1[[#This Row],[PRECIO $]]*1.18</f>
        <v>431.99327999999997</v>
      </c>
      <c r="J613" s="7">
        <f>+Tabla1[[#This Row],[PRECIO EN SOLES]]-Tabla1[[#This Row],[PC]]</f>
        <v>72.79672000000005</v>
      </c>
      <c r="K613" s="15"/>
      <c r="L613" s="15" t="str">
        <f t="shared" si="20"/>
        <v>NORMAL</v>
      </c>
    </row>
    <row r="614" spans="1:12" x14ac:dyDescent="0.25">
      <c r="A614" s="3" t="s">
        <v>1364</v>
      </c>
      <c r="B614" s="3" t="s">
        <v>1365</v>
      </c>
      <c r="C614" s="1">
        <v>11</v>
      </c>
      <c r="D614" s="1">
        <v>180</v>
      </c>
      <c r="E614" s="1" t="s">
        <v>226</v>
      </c>
      <c r="F614" s="1" t="s">
        <v>3389</v>
      </c>
      <c r="G614" s="3" t="s">
        <v>1366</v>
      </c>
      <c r="H614" s="11">
        <f t="shared" si="21"/>
        <v>858.02</v>
      </c>
      <c r="I614" s="9">
        <f>($K$2+0.02)*Tabla1[[#This Row],[PRECIO $]]*1.18</f>
        <v>739.15199999999993</v>
      </c>
      <c r="J614" s="7">
        <f>+Tabla1[[#This Row],[PRECIO EN SOLES]]-Tabla1[[#This Row],[PC]]</f>
        <v>118.86800000000005</v>
      </c>
      <c r="K614" s="15"/>
      <c r="L614" s="15" t="str">
        <f t="shared" si="20"/>
        <v>NORMAL</v>
      </c>
    </row>
    <row r="615" spans="1:12" x14ac:dyDescent="0.25">
      <c r="A615" s="3" t="s">
        <v>4604</v>
      </c>
      <c r="B615" s="3" t="s">
        <v>4605</v>
      </c>
      <c r="C615" s="1">
        <v>20</v>
      </c>
      <c r="D615" s="1">
        <v>185.3</v>
      </c>
      <c r="E615" s="1" t="s">
        <v>226</v>
      </c>
      <c r="F615" s="1" t="s">
        <v>4606</v>
      </c>
      <c r="G615" s="3" t="s">
        <v>4948</v>
      </c>
      <c r="H615" s="11">
        <f t="shared" si="21"/>
        <v>883.05</v>
      </c>
      <c r="I615" s="9">
        <f>($K$2+0.02)*Tabla1[[#This Row],[PRECIO $]]*1.18</f>
        <v>760.91592000000003</v>
      </c>
      <c r="J615" s="7">
        <f>+Tabla1[[#This Row],[PRECIO EN SOLES]]-Tabla1[[#This Row],[PC]]</f>
        <v>122.13407999999993</v>
      </c>
      <c r="K615" s="15"/>
      <c r="L615" s="15" t="str">
        <f t="shared" si="20"/>
        <v>NORMAL</v>
      </c>
    </row>
    <row r="616" spans="1:12" x14ac:dyDescent="0.25">
      <c r="A616" s="3" t="s">
        <v>4607</v>
      </c>
      <c r="B616" s="3" t="s">
        <v>4608</v>
      </c>
      <c r="C616" s="1">
        <v>20</v>
      </c>
      <c r="D616" s="1">
        <v>145.80000000000001</v>
      </c>
      <c r="E616" s="1" t="s">
        <v>226</v>
      </c>
      <c r="F616" s="1" t="s">
        <v>4609</v>
      </c>
      <c r="G616" s="3" t="s">
        <v>4610</v>
      </c>
      <c r="H616" s="11">
        <f t="shared" si="21"/>
        <v>696.52</v>
      </c>
      <c r="I616" s="9">
        <f>($K$2+0.02)*Tabla1[[#This Row],[PRECIO $]]*1.18</f>
        <v>598.71312</v>
      </c>
      <c r="J616" s="7">
        <f>+Tabla1[[#This Row],[PRECIO EN SOLES]]-Tabla1[[#This Row],[PC]]</f>
        <v>97.806879999999978</v>
      </c>
      <c r="K616" s="15"/>
      <c r="L616" s="15" t="str">
        <f t="shared" si="20"/>
        <v>NORMAL</v>
      </c>
    </row>
    <row r="617" spans="1:12" x14ac:dyDescent="0.25">
      <c r="A617" s="3" t="s">
        <v>5424</v>
      </c>
      <c r="B617" s="3" t="s">
        <v>5425</v>
      </c>
      <c r="C617" s="1">
        <v>3</v>
      </c>
      <c r="D617" s="1">
        <v>251.5</v>
      </c>
      <c r="E617" s="1" t="s">
        <v>226</v>
      </c>
      <c r="F617" s="1" t="s">
        <v>5426</v>
      </c>
      <c r="G617" s="3" t="s">
        <v>5427</v>
      </c>
      <c r="H617" s="11">
        <f t="shared" si="21"/>
        <v>1195.67</v>
      </c>
      <c r="I617" s="9">
        <f>($K$2+0.02)*Tabla1[[#This Row],[PRECIO $]]*1.18</f>
        <v>1032.7596000000001</v>
      </c>
      <c r="J617" s="7">
        <f>+Tabla1[[#This Row],[PRECIO EN SOLES]]-Tabla1[[#This Row],[PC]]</f>
        <v>162.91039999999998</v>
      </c>
      <c r="K617" s="15"/>
      <c r="L617" s="15" t="str">
        <f t="shared" si="20"/>
        <v>NORMAL</v>
      </c>
    </row>
    <row r="618" spans="1:12" x14ac:dyDescent="0.25">
      <c r="A618" s="3" t="s">
        <v>5428</v>
      </c>
      <c r="B618" s="3" t="s">
        <v>5429</v>
      </c>
      <c r="C618" s="1">
        <v>1</v>
      </c>
      <c r="D618" s="1">
        <v>329</v>
      </c>
      <c r="E618" s="1" t="s">
        <v>226</v>
      </c>
      <c r="F618" s="1" t="s">
        <v>5430</v>
      </c>
      <c r="G618" s="3" t="s">
        <v>5431</v>
      </c>
      <c r="H618" s="11">
        <f t="shared" si="21"/>
        <v>1561.66</v>
      </c>
      <c r="I618" s="9">
        <f>($K$2+0.02)*Tabla1[[#This Row],[PRECIO $]]*1.18</f>
        <v>1351.0056</v>
      </c>
      <c r="J618" s="7">
        <f>+Tabla1[[#This Row],[PRECIO EN SOLES]]-Tabla1[[#This Row],[PC]]</f>
        <v>210.65440000000012</v>
      </c>
      <c r="K618" s="15"/>
      <c r="L618" s="15" t="str">
        <f t="shared" si="20"/>
        <v>NORMAL</v>
      </c>
    </row>
    <row r="619" spans="1:12" x14ac:dyDescent="0.25">
      <c r="A619" s="3" t="s">
        <v>4611</v>
      </c>
      <c r="B619" s="3" t="s">
        <v>4612</v>
      </c>
      <c r="C619" s="1">
        <v>2</v>
      </c>
      <c r="D619" s="1">
        <v>284</v>
      </c>
      <c r="E619" s="1" t="s">
        <v>226</v>
      </c>
      <c r="F619" s="1" t="s">
        <v>4613</v>
      </c>
      <c r="G619" s="3" t="s">
        <v>4949</v>
      </c>
      <c r="H619" s="11">
        <f t="shared" si="21"/>
        <v>1349.15</v>
      </c>
      <c r="I619" s="9">
        <f>($K$2+0.02)*Tabla1[[#This Row],[PRECIO $]]*1.18</f>
        <v>1166.2175999999999</v>
      </c>
      <c r="J619" s="7">
        <f>+Tabla1[[#This Row],[PRECIO EN SOLES]]-Tabla1[[#This Row],[PC]]</f>
        <v>182.93240000000014</v>
      </c>
      <c r="K619" s="15"/>
      <c r="L619" s="15" t="str">
        <f t="shared" si="20"/>
        <v>NORMAL</v>
      </c>
    </row>
    <row r="620" spans="1:12" x14ac:dyDescent="0.25">
      <c r="A620" s="3" t="s">
        <v>4614</v>
      </c>
      <c r="B620" s="3" t="s">
        <v>4615</v>
      </c>
      <c r="C620" s="1">
        <v>18</v>
      </c>
      <c r="D620" s="1">
        <v>204</v>
      </c>
      <c r="E620" s="1" t="s">
        <v>226</v>
      </c>
      <c r="F620" s="1" t="s">
        <v>4616</v>
      </c>
      <c r="G620" s="3" t="s">
        <v>4617</v>
      </c>
      <c r="H620" s="11">
        <f t="shared" si="21"/>
        <v>971.36</v>
      </c>
      <c r="I620" s="9">
        <f>($K$2+0.02)*Tabla1[[#This Row],[PRECIO $]]*1.18</f>
        <v>837.70559999999989</v>
      </c>
      <c r="J620" s="7">
        <f>+Tabla1[[#This Row],[PRECIO EN SOLES]]-Tabla1[[#This Row],[PC]]</f>
        <v>133.65440000000012</v>
      </c>
      <c r="K620" s="15"/>
      <c r="L620" s="15" t="str">
        <f t="shared" si="20"/>
        <v>NORMAL</v>
      </c>
    </row>
    <row r="621" spans="1:12" x14ac:dyDescent="0.25">
      <c r="A621" s="3" t="s">
        <v>4618</v>
      </c>
      <c r="B621" s="3" t="s">
        <v>4619</v>
      </c>
      <c r="C621" s="1">
        <v>3</v>
      </c>
      <c r="D621" s="1">
        <v>330</v>
      </c>
      <c r="E621" s="1" t="s">
        <v>226</v>
      </c>
      <c r="F621" s="1" t="s">
        <v>4620</v>
      </c>
      <c r="G621" s="3" t="s">
        <v>4621</v>
      </c>
      <c r="H621" s="11">
        <f t="shared" si="21"/>
        <v>1566.38</v>
      </c>
      <c r="I621" s="9">
        <f>($K$2+0.02)*Tabla1[[#This Row],[PRECIO $]]*1.18</f>
        <v>1355.1120000000001</v>
      </c>
      <c r="J621" s="7">
        <f>+Tabla1[[#This Row],[PRECIO EN SOLES]]-Tabla1[[#This Row],[PC]]</f>
        <v>211.26800000000003</v>
      </c>
      <c r="K621" s="15"/>
      <c r="L621" s="15" t="str">
        <f t="shared" si="20"/>
        <v>NORMAL</v>
      </c>
    </row>
    <row r="622" spans="1:12" x14ac:dyDescent="0.25">
      <c r="A622" s="3" t="s">
        <v>1367</v>
      </c>
      <c r="B622" s="3" t="s">
        <v>1368</v>
      </c>
      <c r="C622" s="1">
        <v>5</v>
      </c>
      <c r="D622" s="1">
        <v>216</v>
      </c>
      <c r="E622" s="1" t="s">
        <v>226</v>
      </c>
      <c r="F622" s="1" t="s">
        <v>3390</v>
      </c>
      <c r="G622" s="3" t="s">
        <v>1369</v>
      </c>
      <c r="H622" s="11">
        <f t="shared" si="21"/>
        <v>1028.03</v>
      </c>
      <c r="I622" s="9">
        <f>($K$2+0.02)*Tabla1[[#This Row],[PRECIO $]]*1.18</f>
        <v>886.98239999999987</v>
      </c>
      <c r="J622" s="7">
        <f>+Tabla1[[#This Row],[PRECIO EN SOLES]]-Tabla1[[#This Row],[PC]]</f>
        <v>141.0476000000001</v>
      </c>
      <c r="K622" s="15"/>
      <c r="L622" s="15" t="str">
        <f t="shared" si="20"/>
        <v>NORMAL</v>
      </c>
    </row>
    <row r="623" spans="1:12" x14ac:dyDescent="0.25">
      <c r="A623" s="3" t="s">
        <v>4622</v>
      </c>
      <c r="B623" s="3" t="s">
        <v>4623</v>
      </c>
      <c r="C623" s="1">
        <v>20</v>
      </c>
      <c r="D623" s="1">
        <v>209.5</v>
      </c>
      <c r="E623" s="1" t="s">
        <v>226</v>
      </c>
      <c r="F623" s="1" t="s">
        <v>4624</v>
      </c>
      <c r="G623" s="3" t="s">
        <v>4950</v>
      </c>
      <c r="H623" s="11">
        <f t="shared" si="21"/>
        <v>997.33</v>
      </c>
      <c r="I623" s="9">
        <f>($K$2+0.02)*Tabla1[[#This Row],[PRECIO $]]*1.18</f>
        <v>860.29079999999988</v>
      </c>
      <c r="J623" s="7">
        <f>+Tabla1[[#This Row],[PRECIO EN SOLES]]-Tabla1[[#This Row],[PC]]</f>
        <v>137.03920000000016</v>
      </c>
      <c r="K623" s="15"/>
      <c r="L623" s="15" t="str">
        <f t="shared" si="20"/>
        <v>NORMAL</v>
      </c>
    </row>
    <row r="624" spans="1:12" x14ac:dyDescent="0.25">
      <c r="A624" s="3" t="s">
        <v>4625</v>
      </c>
      <c r="B624" s="3" t="s">
        <v>4623</v>
      </c>
      <c r="C624" s="1">
        <v>7</v>
      </c>
      <c r="D624" s="1">
        <v>212.5</v>
      </c>
      <c r="E624" s="1" t="s">
        <v>226</v>
      </c>
      <c r="F624" s="1" t="s">
        <v>4626</v>
      </c>
      <c r="G624" s="3" t="s">
        <v>4951</v>
      </c>
      <c r="H624" s="11">
        <f t="shared" si="21"/>
        <v>1011.5</v>
      </c>
      <c r="I624" s="9">
        <f>($K$2+0.02)*Tabla1[[#This Row],[PRECIO $]]*1.18</f>
        <v>872.6099999999999</v>
      </c>
      <c r="J624" s="7">
        <f>+Tabla1[[#This Row],[PRECIO EN SOLES]]-Tabla1[[#This Row],[PC]]</f>
        <v>138.8900000000001</v>
      </c>
      <c r="K624" s="15"/>
      <c r="L624" s="15" t="str">
        <f t="shared" si="20"/>
        <v>NORMAL</v>
      </c>
    </row>
    <row r="625" spans="1:12" x14ac:dyDescent="0.25">
      <c r="A625" s="3" t="s">
        <v>1370</v>
      </c>
      <c r="B625" s="3" t="s">
        <v>1371</v>
      </c>
      <c r="C625" s="1">
        <v>13</v>
      </c>
      <c r="D625" s="1">
        <v>171.9</v>
      </c>
      <c r="E625" s="1" t="s">
        <v>121</v>
      </c>
      <c r="F625" s="1" t="s">
        <v>3391</v>
      </c>
      <c r="G625" s="3" t="s">
        <v>1372</v>
      </c>
      <c r="H625" s="11">
        <f t="shared" si="21"/>
        <v>819.77</v>
      </c>
      <c r="I625" s="9">
        <f>($K$2+0.02)*Tabla1[[#This Row],[PRECIO $]]*1.18</f>
        <v>705.89015999999992</v>
      </c>
      <c r="J625" s="7">
        <f>+Tabla1[[#This Row],[PRECIO EN SOLES]]-Tabla1[[#This Row],[PC]]</f>
        <v>113.87984000000006</v>
      </c>
      <c r="K625" s="15"/>
      <c r="L625" s="15" t="str">
        <f t="shared" si="20"/>
        <v>NORMAL</v>
      </c>
    </row>
    <row r="626" spans="1:12" x14ac:dyDescent="0.25">
      <c r="A626" s="3" t="s">
        <v>1373</v>
      </c>
      <c r="B626" s="3" t="s">
        <v>1374</v>
      </c>
      <c r="C626" s="1">
        <v>11</v>
      </c>
      <c r="D626" s="1">
        <v>239</v>
      </c>
      <c r="E626" s="1" t="s">
        <v>121</v>
      </c>
      <c r="F626" s="1" t="s">
        <v>3392</v>
      </c>
      <c r="G626" s="3" t="s">
        <v>1375</v>
      </c>
      <c r="H626" s="11">
        <f t="shared" si="21"/>
        <v>1136.6400000000001</v>
      </c>
      <c r="I626" s="9">
        <f>($K$2+0.02)*Tabla1[[#This Row],[PRECIO $]]*1.18</f>
        <v>981.42959999999994</v>
      </c>
      <c r="J626" s="7">
        <f>+Tabla1[[#This Row],[PRECIO EN SOLES]]-Tabla1[[#This Row],[PC]]</f>
        <v>155.21040000000016</v>
      </c>
      <c r="K626" s="15"/>
      <c r="L626" s="15" t="str">
        <f t="shared" si="20"/>
        <v>NORMAL</v>
      </c>
    </row>
    <row r="627" spans="1:12" x14ac:dyDescent="0.25">
      <c r="A627" s="3" t="s">
        <v>1376</v>
      </c>
      <c r="B627" s="3" t="s">
        <v>1377</v>
      </c>
      <c r="C627" s="1">
        <v>20</v>
      </c>
      <c r="D627" s="1">
        <v>109</v>
      </c>
      <c r="E627" s="1" t="s">
        <v>121</v>
      </c>
      <c r="F627" s="1" t="s">
        <v>3393</v>
      </c>
      <c r="G627" s="3" t="s">
        <v>1378</v>
      </c>
      <c r="H627" s="11">
        <f t="shared" si="21"/>
        <v>522.74</v>
      </c>
      <c r="I627" s="9">
        <f>($K$2+0.02)*Tabla1[[#This Row],[PRECIO $]]*1.18</f>
        <v>447.59759999999994</v>
      </c>
      <c r="J627" s="7">
        <f>+Tabla1[[#This Row],[PRECIO EN SOLES]]-Tabla1[[#This Row],[PC]]</f>
        <v>75.142400000000066</v>
      </c>
      <c r="K627" s="15"/>
      <c r="L627" s="15" t="str">
        <f t="shared" si="20"/>
        <v>NORMAL</v>
      </c>
    </row>
    <row r="628" spans="1:12" x14ac:dyDescent="0.25">
      <c r="A628" s="3" t="s">
        <v>1379</v>
      </c>
      <c r="B628" s="3" t="s">
        <v>1380</v>
      </c>
      <c r="C628" s="1">
        <v>20</v>
      </c>
      <c r="D628" s="1">
        <v>190.5</v>
      </c>
      <c r="E628" s="1" t="s">
        <v>121</v>
      </c>
      <c r="F628" s="1" t="s">
        <v>3394</v>
      </c>
      <c r="G628" s="3" t="s">
        <v>1381</v>
      </c>
      <c r="H628" s="11">
        <f t="shared" si="21"/>
        <v>907.61</v>
      </c>
      <c r="I628" s="9">
        <f>($K$2+0.02)*Tabla1[[#This Row],[PRECIO $]]*1.18</f>
        <v>782.26919999999984</v>
      </c>
      <c r="J628" s="7">
        <f>+Tabla1[[#This Row],[PRECIO EN SOLES]]-Tabla1[[#This Row],[PC]]</f>
        <v>125.34080000000017</v>
      </c>
      <c r="K628" s="15"/>
      <c r="L628" s="15" t="str">
        <f t="shared" si="20"/>
        <v>NORMAL</v>
      </c>
    </row>
    <row r="629" spans="1:12" x14ac:dyDescent="0.25">
      <c r="A629" s="3" t="s">
        <v>1382</v>
      </c>
      <c r="B629" s="3" t="s">
        <v>1383</v>
      </c>
      <c r="C629" s="1">
        <v>3</v>
      </c>
      <c r="D629" s="1">
        <v>222.5</v>
      </c>
      <c r="E629" s="1" t="s">
        <v>121</v>
      </c>
      <c r="F629" s="1" t="s">
        <v>3395</v>
      </c>
      <c r="G629" s="3" t="s">
        <v>1384</v>
      </c>
      <c r="H629" s="11">
        <f t="shared" si="21"/>
        <v>1058.73</v>
      </c>
      <c r="I629" s="9">
        <f>($K$2+0.02)*Tabla1[[#This Row],[PRECIO $]]*1.18</f>
        <v>913.67399999999986</v>
      </c>
      <c r="J629" s="7">
        <f>+Tabla1[[#This Row],[PRECIO EN SOLES]]-Tabla1[[#This Row],[PC]]</f>
        <v>145.05600000000015</v>
      </c>
      <c r="K629" s="15"/>
      <c r="L629" s="15" t="str">
        <f t="shared" si="20"/>
        <v>NORMAL</v>
      </c>
    </row>
    <row r="630" spans="1:12" x14ac:dyDescent="0.25">
      <c r="A630" s="3" t="s">
        <v>5993</v>
      </c>
      <c r="B630" s="3" t="s">
        <v>5994</v>
      </c>
      <c r="C630" s="1">
        <v>10</v>
      </c>
      <c r="D630" s="1">
        <v>230.5</v>
      </c>
      <c r="E630" s="1" t="s">
        <v>121</v>
      </c>
      <c r="F630" s="1" t="s">
        <v>5995</v>
      </c>
      <c r="G630" s="3" t="s">
        <v>5996</v>
      </c>
      <c r="H630" s="11">
        <f t="shared" si="21"/>
        <v>1096.5</v>
      </c>
      <c r="I630" s="9">
        <f>($K$2+0.02)*Tabla1[[#This Row],[PRECIO $]]*1.18</f>
        <v>946.52519999999993</v>
      </c>
      <c r="J630" s="7">
        <f>+Tabla1[[#This Row],[PRECIO EN SOLES]]-Tabla1[[#This Row],[PC]]</f>
        <v>149.97480000000007</v>
      </c>
      <c r="K630" s="15"/>
      <c r="L630" s="15" t="str">
        <f t="shared" si="20"/>
        <v>NORMAL</v>
      </c>
    </row>
    <row r="631" spans="1:12" x14ac:dyDescent="0.25">
      <c r="A631" s="3" t="s">
        <v>5997</v>
      </c>
      <c r="B631" s="3" t="s">
        <v>5998</v>
      </c>
      <c r="C631" s="1">
        <v>7</v>
      </c>
      <c r="D631" s="1">
        <v>435</v>
      </c>
      <c r="E631" s="1" t="s">
        <v>121</v>
      </c>
      <c r="F631" s="1" t="s">
        <v>5999</v>
      </c>
      <c r="G631" s="3" t="s">
        <v>6000</v>
      </c>
      <c r="H631" s="11">
        <f t="shared" si="21"/>
        <v>2062.23</v>
      </c>
      <c r="I631" s="9">
        <f>($K$2+0.02)*Tabla1[[#This Row],[PRECIO $]]*1.18</f>
        <v>1786.2839999999999</v>
      </c>
      <c r="J631" s="7">
        <f>+Tabla1[[#This Row],[PRECIO EN SOLES]]-Tabla1[[#This Row],[PC]]</f>
        <v>275.94600000000014</v>
      </c>
      <c r="K631" s="15"/>
      <c r="L631" s="15" t="str">
        <f t="shared" si="20"/>
        <v>NORMAL</v>
      </c>
    </row>
    <row r="632" spans="1:12" x14ac:dyDescent="0.25">
      <c r="A632" s="3" t="s">
        <v>2936</v>
      </c>
      <c r="B632" s="3" t="s">
        <v>2937</v>
      </c>
      <c r="C632" s="1">
        <v>12</v>
      </c>
      <c r="D632" s="1">
        <v>256.64999999999998</v>
      </c>
      <c r="E632" s="1" t="s">
        <v>121</v>
      </c>
      <c r="F632" s="1" t="s">
        <v>3396</v>
      </c>
      <c r="G632" s="3" t="s">
        <v>2938</v>
      </c>
      <c r="H632" s="11">
        <f t="shared" si="21"/>
        <v>1219.99</v>
      </c>
      <c r="I632" s="9">
        <f>($K$2+0.02)*Tabla1[[#This Row],[PRECIO $]]*1.18</f>
        <v>1053.9075599999999</v>
      </c>
      <c r="J632" s="7">
        <f>+Tabla1[[#This Row],[PRECIO EN SOLES]]-Tabla1[[#This Row],[PC]]</f>
        <v>166.08244000000013</v>
      </c>
      <c r="K632" s="15"/>
      <c r="L632" s="15" t="str">
        <f t="shared" si="20"/>
        <v>NORMAL</v>
      </c>
    </row>
    <row r="633" spans="1:12" x14ac:dyDescent="0.25">
      <c r="A633" s="3" t="s">
        <v>6001</v>
      </c>
      <c r="B633" s="3" t="s">
        <v>6002</v>
      </c>
      <c r="C633" s="1">
        <v>10</v>
      </c>
      <c r="D633" s="1">
        <v>291.5</v>
      </c>
      <c r="E633" s="1" t="s">
        <v>121</v>
      </c>
      <c r="F633" s="1" t="s">
        <v>6003</v>
      </c>
      <c r="G633" s="3" t="s">
        <v>6004</v>
      </c>
      <c r="H633" s="11">
        <f t="shared" si="21"/>
        <v>1384.57</v>
      </c>
      <c r="I633" s="9">
        <f>($K$2+0.02)*Tabla1[[#This Row],[PRECIO $]]*1.18</f>
        <v>1197.0155999999999</v>
      </c>
      <c r="J633" s="7">
        <f>+Tabla1[[#This Row],[PRECIO EN SOLES]]-Tabla1[[#This Row],[PC]]</f>
        <v>187.55439999999999</v>
      </c>
      <c r="K633" s="15"/>
      <c r="L633" s="15" t="str">
        <f t="shared" si="20"/>
        <v>NORMAL</v>
      </c>
    </row>
    <row r="634" spans="1:12" x14ac:dyDescent="0.25">
      <c r="A634" s="3" t="s">
        <v>1385</v>
      </c>
      <c r="B634" s="3" t="s">
        <v>1386</v>
      </c>
      <c r="C634" s="1">
        <v>16</v>
      </c>
      <c r="D634" s="1">
        <v>250.5</v>
      </c>
      <c r="E634" s="1" t="s">
        <v>121</v>
      </c>
      <c r="F634" s="1" t="s">
        <v>3398</v>
      </c>
      <c r="G634" s="3" t="s">
        <v>1387</v>
      </c>
      <c r="H634" s="11">
        <f t="shared" si="21"/>
        <v>1190.95</v>
      </c>
      <c r="I634" s="9">
        <f>($K$2+0.02)*Tabla1[[#This Row],[PRECIO $]]*1.18</f>
        <v>1028.6532</v>
      </c>
      <c r="J634" s="7">
        <f>+Tabla1[[#This Row],[PRECIO EN SOLES]]-Tabla1[[#This Row],[PC]]</f>
        <v>162.29680000000008</v>
      </c>
      <c r="K634" s="15"/>
      <c r="L634" s="15" t="str">
        <f t="shared" si="20"/>
        <v>NORMAL</v>
      </c>
    </row>
    <row r="635" spans="1:12" x14ac:dyDescent="0.25">
      <c r="A635" s="3" t="s">
        <v>1388</v>
      </c>
      <c r="B635" s="3" t="s">
        <v>1389</v>
      </c>
      <c r="C635" s="1">
        <v>1</v>
      </c>
      <c r="D635" s="1">
        <v>525</v>
      </c>
      <c r="E635" s="1" t="s">
        <v>906</v>
      </c>
      <c r="F635" s="1" t="s">
        <v>3399</v>
      </c>
      <c r="G635" s="3" t="s">
        <v>1390</v>
      </c>
      <c r="H635" s="11">
        <f t="shared" si="21"/>
        <v>2487.2399999999998</v>
      </c>
      <c r="I635" s="9">
        <f>($K$2+0.02)*Tabla1[[#This Row],[PRECIO $]]*1.18</f>
        <v>2155.8599999999997</v>
      </c>
      <c r="J635" s="7">
        <f>+Tabla1[[#This Row],[PRECIO EN SOLES]]-Tabla1[[#This Row],[PC]]</f>
        <v>331.38000000000011</v>
      </c>
      <c r="K635" s="15"/>
      <c r="L635" s="15" t="str">
        <f t="shared" si="20"/>
        <v>NORMAL</v>
      </c>
    </row>
    <row r="636" spans="1:12" x14ac:dyDescent="0.25">
      <c r="A636" s="3" t="s">
        <v>6716</v>
      </c>
      <c r="B636" s="3" t="s">
        <v>6717</v>
      </c>
      <c r="C636" s="1">
        <v>19</v>
      </c>
      <c r="D636" s="1">
        <v>151</v>
      </c>
      <c r="E636" s="1" t="s">
        <v>6718</v>
      </c>
      <c r="F636" s="1" t="s">
        <v>6719</v>
      </c>
      <c r="G636" s="3" t="s">
        <v>6720</v>
      </c>
      <c r="H636" s="11">
        <f t="shared" si="21"/>
        <v>721.08</v>
      </c>
      <c r="I636" s="9">
        <f>($K$2+0.02)*Tabla1[[#This Row],[PRECIO $]]*1.18</f>
        <v>620.06640000000004</v>
      </c>
      <c r="J636" s="7">
        <f>+Tabla1[[#This Row],[PRECIO EN SOLES]]-Tabla1[[#This Row],[PC]]</f>
        <v>101.0136</v>
      </c>
      <c r="K636" s="15"/>
      <c r="L636" s="15" t="str">
        <f t="shared" si="20"/>
        <v>NORMAL</v>
      </c>
    </row>
    <row r="637" spans="1:12" x14ac:dyDescent="0.25">
      <c r="A637" s="3" t="s">
        <v>6721</v>
      </c>
      <c r="B637" s="3" t="s">
        <v>6722</v>
      </c>
      <c r="C637" s="1">
        <v>20</v>
      </c>
      <c r="D637" s="1">
        <v>27.7</v>
      </c>
      <c r="E637" s="1" t="s">
        <v>467</v>
      </c>
      <c r="F637" s="1" t="s">
        <v>6723</v>
      </c>
      <c r="G637" s="3" t="s">
        <v>6724</v>
      </c>
      <c r="H637" s="11">
        <f t="shared" si="21"/>
        <v>136.81</v>
      </c>
      <c r="I637" s="9">
        <f>($K$2+0.02)*Tabla1[[#This Row],[PRECIO $]]*1.18</f>
        <v>113.74727999999999</v>
      </c>
      <c r="J637" s="7">
        <f>+Tabla1[[#This Row],[PRECIO EN SOLES]]-Tabla1[[#This Row],[PC]]</f>
        <v>23.062720000000013</v>
      </c>
      <c r="K637" s="15"/>
      <c r="L637" s="15" t="str">
        <f t="shared" si="20"/>
        <v>NORMAL</v>
      </c>
    </row>
    <row r="638" spans="1:12" x14ac:dyDescent="0.25">
      <c r="A638" s="3" t="s">
        <v>6725</v>
      </c>
      <c r="B638" s="3" t="s">
        <v>6726</v>
      </c>
      <c r="C638" s="1">
        <v>20</v>
      </c>
      <c r="D638" s="1">
        <v>118.7</v>
      </c>
      <c r="E638" s="1" t="s">
        <v>831</v>
      </c>
      <c r="F638" s="1" t="s">
        <v>6727</v>
      </c>
      <c r="G638" s="3" t="s">
        <v>6728</v>
      </c>
      <c r="H638" s="11">
        <f t="shared" si="21"/>
        <v>568.54</v>
      </c>
      <c r="I638" s="9">
        <f>($K$2+0.02)*Tabla1[[#This Row],[PRECIO $]]*1.18</f>
        <v>487.42968000000002</v>
      </c>
      <c r="J638" s="7">
        <f>+Tabla1[[#This Row],[PRECIO EN SOLES]]-Tabla1[[#This Row],[PC]]</f>
        <v>81.110319999999945</v>
      </c>
      <c r="K638" s="15"/>
      <c r="L638" s="15" t="str">
        <f t="shared" si="20"/>
        <v>NORMAL</v>
      </c>
    </row>
    <row r="639" spans="1:12" x14ac:dyDescent="0.25">
      <c r="A639" s="3" t="s">
        <v>6729</v>
      </c>
      <c r="B639" s="3" t="s">
        <v>6730</v>
      </c>
      <c r="C639" s="1">
        <v>20</v>
      </c>
      <c r="D639" s="1">
        <v>127.7</v>
      </c>
      <c r="E639" s="1" t="s">
        <v>831</v>
      </c>
      <c r="F639" s="1" t="s">
        <v>6731</v>
      </c>
      <c r="G639" s="3" t="s">
        <v>6732</v>
      </c>
      <c r="H639" s="11">
        <f t="shared" si="21"/>
        <v>611.04999999999995</v>
      </c>
      <c r="I639" s="9">
        <f>($K$2+0.02)*Tabla1[[#This Row],[PRECIO $]]*1.18</f>
        <v>524.38728000000003</v>
      </c>
      <c r="J639" s="7">
        <f>+Tabla1[[#This Row],[PRECIO EN SOLES]]-Tabla1[[#This Row],[PC]]</f>
        <v>86.662719999999922</v>
      </c>
      <c r="K639" s="15"/>
      <c r="L639" s="15" t="str">
        <f t="shared" si="20"/>
        <v>NORMAL</v>
      </c>
    </row>
    <row r="640" spans="1:12" x14ac:dyDescent="0.25">
      <c r="A640" s="3" t="s">
        <v>5432</v>
      </c>
      <c r="B640" s="3" t="s">
        <v>1391</v>
      </c>
      <c r="C640" s="1">
        <v>20</v>
      </c>
      <c r="D640" s="1">
        <v>141.69999999999999</v>
      </c>
      <c r="E640" s="1" t="s">
        <v>196</v>
      </c>
      <c r="F640" s="1" t="s">
        <v>5433</v>
      </c>
      <c r="G640" s="3" t="s">
        <v>1392</v>
      </c>
      <c r="H640" s="11">
        <f t="shared" si="21"/>
        <v>677.16</v>
      </c>
      <c r="I640" s="9">
        <f>($K$2+0.02)*Tabla1[[#This Row],[PRECIO $]]*1.18</f>
        <v>581.87687999999991</v>
      </c>
      <c r="J640" s="7">
        <f>+Tabla1[[#This Row],[PRECIO EN SOLES]]-Tabla1[[#This Row],[PC]]</f>
        <v>95.283120000000054</v>
      </c>
      <c r="K640" s="15"/>
      <c r="L640" s="15" t="str">
        <f t="shared" si="20"/>
        <v>NORMAL</v>
      </c>
    </row>
    <row r="641" spans="1:12" x14ac:dyDescent="0.25">
      <c r="A641" s="3" t="s">
        <v>1393</v>
      </c>
      <c r="B641" s="3" t="s">
        <v>1394</v>
      </c>
      <c r="C641" s="1">
        <v>20</v>
      </c>
      <c r="D641" s="1">
        <v>132.75</v>
      </c>
      <c r="E641" s="1" t="s">
        <v>196</v>
      </c>
      <c r="F641" s="1" t="s">
        <v>3400</v>
      </c>
      <c r="G641" s="3" t="s">
        <v>1395</v>
      </c>
      <c r="H641" s="11">
        <f t="shared" si="21"/>
        <v>634.89</v>
      </c>
      <c r="I641" s="9">
        <f>($K$2+0.02)*Tabla1[[#This Row],[PRECIO $]]*1.18</f>
        <v>545.12459999999999</v>
      </c>
      <c r="J641" s="7">
        <f>+Tabla1[[#This Row],[PRECIO EN SOLES]]-Tabla1[[#This Row],[PC]]</f>
        <v>89.7654</v>
      </c>
      <c r="K641" s="15"/>
      <c r="L641" s="15" t="str">
        <f t="shared" si="20"/>
        <v>NORMAL</v>
      </c>
    </row>
    <row r="642" spans="1:12" x14ac:dyDescent="0.25">
      <c r="A642" s="3" t="s">
        <v>6733</v>
      </c>
      <c r="B642" s="3" t="s">
        <v>6734</v>
      </c>
      <c r="C642" s="1">
        <v>20</v>
      </c>
      <c r="D642" s="1">
        <v>138.69999999999999</v>
      </c>
      <c r="E642" s="1" t="s">
        <v>467</v>
      </c>
      <c r="F642" s="1" t="s">
        <v>6735</v>
      </c>
      <c r="G642" s="3" t="s">
        <v>6736</v>
      </c>
      <c r="H642" s="11">
        <f t="shared" si="21"/>
        <v>662.99</v>
      </c>
      <c r="I642" s="9">
        <f>($K$2+0.02)*Tabla1[[#This Row],[PRECIO $]]*1.18</f>
        <v>569.55767999999989</v>
      </c>
      <c r="J642" s="7">
        <f>+Tabla1[[#This Row],[PRECIO EN SOLES]]-Tabla1[[#This Row],[PC]]</f>
        <v>93.432320000000118</v>
      </c>
      <c r="K642" s="15"/>
      <c r="L642" s="15" t="str">
        <f t="shared" si="20"/>
        <v>NORMAL</v>
      </c>
    </row>
    <row r="643" spans="1:12" x14ac:dyDescent="0.25">
      <c r="A643" s="3" t="s">
        <v>5662</v>
      </c>
      <c r="B643" s="3" t="s">
        <v>5663</v>
      </c>
      <c r="C643" s="1">
        <v>20</v>
      </c>
      <c r="D643" s="1">
        <v>110.5</v>
      </c>
      <c r="E643" s="1" t="s">
        <v>199</v>
      </c>
      <c r="F643" s="1" t="s">
        <v>5664</v>
      </c>
      <c r="G643" s="3" t="s">
        <v>5665</v>
      </c>
      <c r="H643" s="11">
        <f t="shared" si="21"/>
        <v>529.82000000000005</v>
      </c>
      <c r="I643" s="9">
        <f>($K$2+0.02)*Tabla1[[#This Row],[PRECIO $]]*1.18</f>
        <v>453.75720000000001</v>
      </c>
      <c r="J643" s="7">
        <f>+Tabla1[[#This Row],[PRECIO EN SOLES]]-Tabla1[[#This Row],[PC]]</f>
        <v>76.062800000000038</v>
      </c>
      <c r="K643" s="15"/>
      <c r="L643" s="15" t="str">
        <f t="shared" si="20"/>
        <v>NORMAL</v>
      </c>
    </row>
    <row r="644" spans="1:12" x14ac:dyDescent="0.25">
      <c r="A644" s="3" t="s">
        <v>1396</v>
      </c>
      <c r="B644" s="3" t="s">
        <v>1397</v>
      </c>
      <c r="C644" s="1">
        <v>0</v>
      </c>
      <c r="D644" s="1">
        <v>124.7</v>
      </c>
      <c r="E644" s="1" t="s">
        <v>196</v>
      </c>
      <c r="F644" s="1" t="s">
        <v>3401</v>
      </c>
      <c r="G644" s="3" t="s">
        <v>1398</v>
      </c>
      <c r="H644" s="11">
        <f t="shared" si="21"/>
        <v>596.88</v>
      </c>
      <c r="I644" s="9">
        <f>($K$2+0.02)*Tabla1[[#This Row],[PRECIO $]]*1.18</f>
        <v>512.06808000000001</v>
      </c>
      <c r="J644" s="7">
        <f>+Tabla1[[#This Row],[PRECIO EN SOLES]]-Tabla1[[#This Row],[PC]]</f>
        <v>84.811919999999986</v>
      </c>
      <c r="K644" s="15"/>
      <c r="L644" s="15" t="str">
        <f t="shared" si="20"/>
        <v>NORMAL</v>
      </c>
    </row>
    <row r="645" spans="1:12" x14ac:dyDescent="0.25">
      <c r="A645" s="3" t="s">
        <v>4790</v>
      </c>
      <c r="B645" s="3" t="s">
        <v>4791</v>
      </c>
      <c r="C645" s="1">
        <v>3</v>
      </c>
      <c r="D645" s="1">
        <v>255</v>
      </c>
      <c r="E645" s="1" t="s">
        <v>196</v>
      </c>
      <c r="F645" s="1" t="s">
        <v>4792</v>
      </c>
      <c r="G645" s="3" t="s">
        <v>5434</v>
      </c>
      <c r="H645" s="11">
        <f t="shared" si="21"/>
        <v>1212.2</v>
      </c>
      <c r="I645" s="9">
        <f>($K$2+0.02)*Tabla1[[#This Row],[PRECIO $]]*1.18</f>
        <v>1047.1319999999998</v>
      </c>
      <c r="J645" s="7">
        <f>+Tabla1[[#This Row],[PRECIO EN SOLES]]-Tabla1[[#This Row],[PC]]</f>
        <v>165.06800000000021</v>
      </c>
      <c r="K645" s="15"/>
      <c r="L645" s="15" t="str">
        <f t="shared" si="20"/>
        <v>NORMAL</v>
      </c>
    </row>
    <row r="646" spans="1:12" x14ac:dyDescent="0.25">
      <c r="A646" s="3" t="s">
        <v>1399</v>
      </c>
      <c r="B646" s="3" t="s">
        <v>1400</v>
      </c>
      <c r="C646" s="1">
        <v>20</v>
      </c>
      <c r="D646" s="1">
        <v>145</v>
      </c>
      <c r="E646" s="1" t="s">
        <v>196</v>
      </c>
      <c r="F646" s="1" t="s">
        <v>3402</v>
      </c>
      <c r="G646" s="3" t="s">
        <v>1392</v>
      </c>
      <c r="H646" s="11">
        <f t="shared" si="21"/>
        <v>692.74</v>
      </c>
      <c r="I646" s="9">
        <f>($K$2+0.02)*Tabla1[[#This Row],[PRECIO $]]*1.18</f>
        <v>595.428</v>
      </c>
      <c r="J646" s="7">
        <f>+Tabla1[[#This Row],[PRECIO EN SOLES]]-Tabla1[[#This Row],[PC]]</f>
        <v>97.312000000000012</v>
      </c>
      <c r="K646" s="15"/>
      <c r="L646" s="15" t="str">
        <f t="shared" si="20"/>
        <v>NORMAL</v>
      </c>
    </row>
    <row r="647" spans="1:12" x14ac:dyDescent="0.25">
      <c r="A647" s="3" t="s">
        <v>4952</v>
      </c>
      <c r="B647" s="3" t="s">
        <v>4953</v>
      </c>
      <c r="C647" s="1">
        <v>20</v>
      </c>
      <c r="D647" s="1">
        <v>125.7</v>
      </c>
      <c r="E647" s="1" t="s">
        <v>467</v>
      </c>
      <c r="F647" s="1" t="s">
        <v>4954</v>
      </c>
      <c r="G647" s="3" t="s">
        <v>4955</v>
      </c>
      <c r="H647" s="11">
        <f t="shared" si="21"/>
        <v>601.6</v>
      </c>
      <c r="I647" s="9">
        <f>($K$2+0.02)*Tabla1[[#This Row],[PRECIO $]]*1.18</f>
        <v>516.17448000000002</v>
      </c>
      <c r="J647" s="7">
        <f>+Tabla1[[#This Row],[PRECIO EN SOLES]]-Tabla1[[#This Row],[PC]]</f>
        <v>85.425520000000006</v>
      </c>
      <c r="K647" s="15"/>
      <c r="L647" s="15" t="str">
        <f t="shared" si="20"/>
        <v>NORMAL</v>
      </c>
    </row>
    <row r="648" spans="1:12" x14ac:dyDescent="0.25">
      <c r="A648" s="3" t="s">
        <v>4956</v>
      </c>
      <c r="B648" s="3" t="s">
        <v>4957</v>
      </c>
      <c r="C648" s="1">
        <v>20</v>
      </c>
      <c r="D648" s="1">
        <v>130</v>
      </c>
      <c r="E648" s="1" t="s">
        <v>4958</v>
      </c>
      <c r="F648" s="1" t="s">
        <v>4959</v>
      </c>
      <c r="G648" s="3" t="s">
        <v>5154</v>
      </c>
      <c r="H648" s="11">
        <f t="shared" si="21"/>
        <v>621.91</v>
      </c>
      <c r="I648" s="9">
        <f>($K$2+0.02)*Tabla1[[#This Row],[PRECIO $]]*1.18</f>
        <v>533.83199999999999</v>
      </c>
      <c r="J648" s="7">
        <f>+Tabla1[[#This Row],[PRECIO EN SOLES]]-Tabla1[[#This Row],[PC]]</f>
        <v>88.077999999999975</v>
      </c>
      <c r="K648" s="15"/>
      <c r="L648" s="15" t="str">
        <f t="shared" si="20"/>
        <v>NORMAL</v>
      </c>
    </row>
    <row r="649" spans="1:12" x14ac:dyDescent="0.25">
      <c r="A649" s="3" t="s">
        <v>1401</v>
      </c>
      <c r="B649" s="3" t="s">
        <v>1402</v>
      </c>
      <c r="C649" s="1">
        <v>1</v>
      </c>
      <c r="D649" s="1">
        <v>239</v>
      </c>
      <c r="E649" s="1" t="s">
        <v>196</v>
      </c>
      <c r="F649" s="1" t="s">
        <v>3403</v>
      </c>
      <c r="G649" s="3" t="s">
        <v>1403</v>
      </c>
      <c r="H649" s="11">
        <f t="shared" si="21"/>
        <v>1136.6400000000001</v>
      </c>
      <c r="I649" s="9">
        <f>($K$2+0.02)*Tabla1[[#This Row],[PRECIO $]]*1.18</f>
        <v>981.42959999999994</v>
      </c>
      <c r="J649" s="7">
        <f>+Tabla1[[#This Row],[PRECIO EN SOLES]]-Tabla1[[#This Row],[PC]]</f>
        <v>155.21040000000016</v>
      </c>
      <c r="K649" s="15"/>
      <c r="L649" s="15" t="str">
        <f t="shared" si="20"/>
        <v>NORMAL</v>
      </c>
    </row>
    <row r="650" spans="1:12" x14ac:dyDescent="0.25">
      <c r="A650" s="3" t="s">
        <v>6737</v>
      </c>
      <c r="B650" s="3" t="s">
        <v>6738</v>
      </c>
      <c r="C650" s="1">
        <v>20</v>
      </c>
      <c r="D650" s="1">
        <v>67.2</v>
      </c>
      <c r="E650" s="1" t="s">
        <v>831</v>
      </c>
      <c r="F650" s="1" t="s">
        <v>6739</v>
      </c>
      <c r="G650" s="3" t="s">
        <v>6740</v>
      </c>
      <c r="H650" s="11">
        <f t="shared" si="21"/>
        <v>325.33999999999997</v>
      </c>
      <c r="I650" s="9">
        <f>($K$2+0.02)*Tabla1[[#This Row],[PRECIO $]]*1.18</f>
        <v>275.95007999999996</v>
      </c>
      <c r="J650" s="7">
        <f>+Tabla1[[#This Row],[PRECIO EN SOLES]]-Tabla1[[#This Row],[PC]]</f>
        <v>49.389920000000018</v>
      </c>
      <c r="K650" s="15"/>
      <c r="L650" s="15" t="str">
        <f t="shared" si="20"/>
        <v>NORMAL</v>
      </c>
    </row>
    <row r="651" spans="1:12" x14ac:dyDescent="0.25">
      <c r="A651" s="3" t="s">
        <v>5666</v>
      </c>
      <c r="B651" s="3" t="s">
        <v>5667</v>
      </c>
      <c r="C651" s="1">
        <v>20</v>
      </c>
      <c r="D651" s="1">
        <v>65.900000000000006</v>
      </c>
      <c r="E651" s="1" t="s">
        <v>199</v>
      </c>
      <c r="F651" s="1" t="s">
        <v>5668</v>
      </c>
      <c r="G651" s="3" t="s">
        <v>5669</v>
      </c>
      <c r="H651" s="11">
        <f t="shared" si="21"/>
        <v>319.2</v>
      </c>
      <c r="I651" s="9">
        <f>($K$2+0.02)*Tabla1[[#This Row],[PRECIO $]]*1.18</f>
        <v>270.61176</v>
      </c>
      <c r="J651" s="7">
        <f>+Tabla1[[#This Row],[PRECIO EN SOLES]]-Tabla1[[#This Row],[PC]]</f>
        <v>48.588239999999985</v>
      </c>
      <c r="K651" s="15"/>
      <c r="L651" s="15" t="str">
        <f t="shared" si="20"/>
        <v>NORMAL</v>
      </c>
    </row>
    <row r="652" spans="1:12" x14ac:dyDescent="0.25">
      <c r="A652" s="3" t="s">
        <v>1404</v>
      </c>
      <c r="B652" s="3" t="s">
        <v>1405</v>
      </c>
      <c r="C652" s="1">
        <v>20</v>
      </c>
      <c r="D652" s="1">
        <v>74</v>
      </c>
      <c r="E652" s="1" t="s">
        <v>196</v>
      </c>
      <c r="F652" s="1" t="s">
        <v>3404</v>
      </c>
      <c r="G652" s="3" t="s">
        <v>1406</v>
      </c>
      <c r="H652" s="11">
        <f t="shared" si="21"/>
        <v>357.45</v>
      </c>
      <c r="I652" s="9">
        <f>($K$2+0.02)*Tabla1[[#This Row],[PRECIO $]]*1.18</f>
        <v>303.87359999999995</v>
      </c>
      <c r="J652" s="7">
        <f>+Tabla1[[#This Row],[PRECIO EN SOLES]]-Tabla1[[#This Row],[PC]]</f>
        <v>53.576400000000035</v>
      </c>
      <c r="K652" s="15"/>
      <c r="L652" s="15" t="str">
        <f t="shared" si="20"/>
        <v>NORMAL</v>
      </c>
    </row>
    <row r="653" spans="1:12" x14ac:dyDescent="0.25">
      <c r="A653" s="3" t="s">
        <v>6005</v>
      </c>
      <c r="B653" s="3" t="s">
        <v>6006</v>
      </c>
      <c r="C653" s="1">
        <v>20</v>
      </c>
      <c r="D653" s="1">
        <v>78.400000000000006</v>
      </c>
      <c r="E653" s="1" t="s">
        <v>196</v>
      </c>
      <c r="F653" s="1" t="s">
        <v>6007</v>
      </c>
      <c r="G653" s="3" t="s">
        <v>6008</v>
      </c>
      <c r="H653" s="11">
        <f t="shared" si="21"/>
        <v>378.23</v>
      </c>
      <c r="I653" s="9">
        <f>($K$2+0.02)*Tabla1[[#This Row],[PRECIO $]]*1.18</f>
        <v>321.94175999999999</v>
      </c>
      <c r="J653" s="7">
        <f>+Tabla1[[#This Row],[PRECIO EN SOLES]]-Tabla1[[#This Row],[PC]]</f>
        <v>56.28824000000003</v>
      </c>
      <c r="K653" s="15"/>
      <c r="L653" s="15" t="str">
        <f t="shared" si="20"/>
        <v>NORMAL</v>
      </c>
    </row>
    <row r="654" spans="1:12" x14ac:dyDescent="0.25">
      <c r="A654" s="3" t="s">
        <v>4549</v>
      </c>
      <c r="B654" s="3" t="s">
        <v>4550</v>
      </c>
      <c r="C654" s="1">
        <v>20</v>
      </c>
      <c r="D654" s="1">
        <v>65.900000000000006</v>
      </c>
      <c r="E654" s="1" t="s">
        <v>52</v>
      </c>
      <c r="F654" s="1" t="s">
        <v>4551</v>
      </c>
      <c r="G654" s="3" t="s">
        <v>6009</v>
      </c>
      <c r="H654" s="11">
        <f t="shared" si="21"/>
        <v>319.2</v>
      </c>
      <c r="I654" s="9">
        <f>($K$2+0.02)*Tabla1[[#This Row],[PRECIO $]]*1.18</f>
        <v>270.61176</v>
      </c>
      <c r="J654" s="7">
        <f>+Tabla1[[#This Row],[PRECIO EN SOLES]]-Tabla1[[#This Row],[PC]]</f>
        <v>48.588239999999985</v>
      </c>
      <c r="K654" s="15"/>
      <c r="L654" s="15" t="str">
        <f t="shared" si="20"/>
        <v>NORMAL</v>
      </c>
    </row>
    <row r="655" spans="1:12" x14ac:dyDescent="0.25">
      <c r="A655" s="3" t="s">
        <v>4833</v>
      </c>
      <c r="B655" s="3" t="s">
        <v>4834</v>
      </c>
      <c r="C655" s="1">
        <v>20</v>
      </c>
      <c r="D655" s="1">
        <v>66.900000000000006</v>
      </c>
      <c r="E655" s="1" t="s">
        <v>467</v>
      </c>
      <c r="F655" s="1" t="s">
        <v>4835</v>
      </c>
      <c r="G655" s="3" t="s">
        <v>4836</v>
      </c>
      <c r="H655" s="11">
        <f t="shared" si="21"/>
        <v>323.93</v>
      </c>
      <c r="I655" s="9">
        <f>($K$2+0.02)*Tabla1[[#This Row],[PRECIO $]]*1.18</f>
        <v>274.71816000000001</v>
      </c>
      <c r="J655" s="7">
        <f>+Tabla1[[#This Row],[PRECIO EN SOLES]]-Tabla1[[#This Row],[PC]]</f>
        <v>49.211839999999995</v>
      </c>
      <c r="K655" s="15"/>
      <c r="L655" s="15" t="str">
        <f t="shared" si="20"/>
        <v>NORMAL</v>
      </c>
    </row>
    <row r="656" spans="1:12" x14ac:dyDescent="0.25">
      <c r="A656" s="3" t="s">
        <v>4960</v>
      </c>
      <c r="B656" s="3" t="s">
        <v>4961</v>
      </c>
      <c r="C656" s="1">
        <v>20</v>
      </c>
      <c r="D656" s="1">
        <v>67.900000000000006</v>
      </c>
      <c r="E656" s="1" t="s">
        <v>4958</v>
      </c>
      <c r="F656" s="1" t="s">
        <v>4962</v>
      </c>
      <c r="G656" s="3" t="s">
        <v>5155</v>
      </c>
      <c r="H656" s="11">
        <f t="shared" si="21"/>
        <v>328.65</v>
      </c>
      <c r="I656" s="9">
        <f>($K$2+0.02)*Tabla1[[#This Row],[PRECIO $]]*1.18</f>
        <v>278.82456000000002</v>
      </c>
      <c r="J656" s="7">
        <f>+Tabla1[[#This Row],[PRECIO EN SOLES]]-Tabla1[[#This Row],[PC]]</f>
        <v>49.825439999999958</v>
      </c>
      <c r="K656" s="15"/>
      <c r="L656" s="15" t="str">
        <f t="shared" ref="L656:L719" si="22"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7" spans="1:12" x14ac:dyDescent="0.25">
      <c r="A657" s="3" t="s">
        <v>607</v>
      </c>
      <c r="B657" s="3" t="s">
        <v>608</v>
      </c>
      <c r="C657" s="1">
        <v>20</v>
      </c>
      <c r="D657" s="1">
        <v>124.7</v>
      </c>
      <c r="E657" s="1" t="s">
        <v>467</v>
      </c>
      <c r="F657" s="1" t="s">
        <v>3405</v>
      </c>
      <c r="G657" s="3" t="s">
        <v>609</v>
      </c>
      <c r="H657" s="11">
        <f t="shared" si="21"/>
        <v>596.88</v>
      </c>
      <c r="I657" s="9">
        <f>($K$2+0.02)*Tabla1[[#This Row],[PRECIO $]]*1.18</f>
        <v>512.06808000000001</v>
      </c>
      <c r="J657" s="7">
        <f>+Tabla1[[#This Row],[PRECIO EN SOLES]]-Tabla1[[#This Row],[PC]]</f>
        <v>84.811919999999986</v>
      </c>
      <c r="K657" s="15"/>
      <c r="L657" s="15" t="str">
        <f t="shared" si="22"/>
        <v>NORMAL</v>
      </c>
    </row>
    <row r="658" spans="1:12" x14ac:dyDescent="0.25">
      <c r="A658" s="3" t="s">
        <v>1407</v>
      </c>
      <c r="B658" s="3" t="s">
        <v>608</v>
      </c>
      <c r="C658" s="1">
        <v>20</v>
      </c>
      <c r="D658" s="1">
        <v>124.7</v>
      </c>
      <c r="E658" s="1" t="s">
        <v>467</v>
      </c>
      <c r="F658" s="1" t="s">
        <v>3406</v>
      </c>
      <c r="G658" s="3" t="s">
        <v>1408</v>
      </c>
      <c r="H658" s="11">
        <f t="shared" ref="H658:H721" si="23">ROUND(
IF(L656="GANCHO",
   IF(I658&lt;=50,I658*1.1+4,IF(I658&lt;=120,I658*1.1+7,IF(I658&lt;=250,I658*1.1+11,I658*1.1+19))),
IF(L656="NORMAL",
   IF(I658&lt;=30,I658*1.15+2,IF(I658&lt;=80,I658*1.15+4,IF(I658&lt;=150,I658*1.15+6,I658*1.15+8))),
IF(L656="COMPLEMENTO",
   IF(I658&lt;=25,I658*1.25+1.5,IF(I658&lt;=60,I658*1.25+3,IF(I658&lt;=120,I658*1.25+4,I658*1.25+5))),
""))),2)</f>
        <v>596.88</v>
      </c>
      <c r="I658" s="9">
        <f>($K$2+0.02)*Tabla1[[#This Row],[PRECIO $]]*1.18</f>
        <v>512.06808000000001</v>
      </c>
      <c r="J658" s="7">
        <f>+Tabla1[[#This Row],[PRECIO EN SOLES]]-Tabla1[[#This Row],[PC]]</f>
        <v>84.811919999999986</v>
      </c>
      <c r="K658" s="15"/>
      <c r="L658" s="15" t="str">
        <f t="shared" si="22"/>
        <v>NORMAL</v>
      </c>
    </row>
    <row r="659" spans="1:12" x14ac:dyDescent="0.25">
      <c r="A659" s="3" t="s">
        <v>2814</v>
      </c>
      <c r="B659" s="3" t="s">
        <v>2815</v>
      </c>
      <c r="C659" s="1">
        <v>20</v>
      </c>
      <c r="D659" s="1">
        <v>184.24</v>
      </c>
      <c r="E659" s="1" t="s">
        <v>196</v>
      </c>
      <c r="F659" s="1" t="s">
        <v>3407</v>
      </c>
      <c r="G659" s="3" t="s">
        <v>2816</v>
      </c>
      <c r="H659" s="11">
        <f t="shared" si="23"/>
        <v>878.05</v>
      </c>
      <c r="I659" s="9">
        <f>($K$2+0.02)*Tabla1[[#This Row],[PRECIO $]]*1.18</f>
        <v>756.56313599999999</v>
      </c>
      <c r="J659" s="7">
        <f>+Tabla1[[#This Row],[PRECIO EN SOLES]]-Tabla1[[#This Row],[PC]]</f>
        <v>121.48686399999997</v>
      </c>
      <c r="K659" s="15"/>
      <c r="L659" s="15" t="str">
        <f t="shared" si="22"/>
        <v>NORMAL</v>
      </c>
    </row>
    <row r="660" spans="1:12" x14ac:dyDescent="0.25">
      <c r="A660" s="3" t="s">
        <v>4793</v>
      </c>
      <c r="B660" s="3" t="s">
        <v>4794</v>
      </c>
      <c r="C660" s="1">
        <v>20</v>
      </c>
      <c r="D660" s="1">
        <v>84.45</v>
      </c>
      <c r="E660" s="1" t="s">
        <v>196</v>
      </c>
      <c r="F660" s="1" t="s">
        <v>4795</v>
      </c>
      <c r="G660" s="3" t="s">
        <v>4796</v>
      </c>
      <c r="H660" s="11">
        <f t="shared" si="23"/>
        <v>406.8</v>
      </c>
      <c r="I660" s="9">
        <f>($K$2+0.02)*Tabla1[[#This Row],[PRECIO $]]*1.18</f>
        <v>346.78548000000001</v>
      </c>
      <c r="J660" s="7">
        <f>+Tabla1[[#This Row],[PRECIO EN SOLES]]-Tabla1[[#This Row],[PC]]</f>
        <v>60.014520000000005</v>
      </c>
      <c r="K660" s="15"/>
      <c r="L660" s="15" t="str">
        <f t="shared" si="22"/>
        <v>NORMAL</v>
      </c>
    </row>
    <row r="661" spans="1:12" x14ac:dyDescent="0.25">
      <c r="A661" s="3" t="s">
        <v>5670</v>
      </c>
      <c r="B661" s="3" t="s">
        <v>5671</v>
      </c>
      <c r="C661" s="1">
        <v>20</v>
      </c>
      <c r="D661" s="1">
        <v>180</v>
      </c>
      <c r="E661" s="1" t="s">
        <v>199</v>
      </c>
      <c r="F661" s="1" t="s">
        <v>5672</v>
      </c>
      <c r="G661" s="3" t="s">
        <v>5673</v>
      </c>
      <c r="H661" s="11">
        <f t="shared" si="23"/>
        <v>858.02</v>
      </c>
      <c r="I661" s="9">
        <f>($K$2+0.02)*Tabla1[[#This Row],[PRECIO $]]*1.18</f>
        <v>739.15199999999993</v>
      </c>
      <c r="J661" s="7">
        <f>+Tabla1[[#This Row],[PRECIO EN SOLES]]-Tabla1[[#This Row],[PC]]</f>
        <v>118.86800000000005</v>
      </c>
      <c r="K661" s="15"/>
      <c r="L661" s="15" t="str">
        <f t="shared" si="22"/>
        <v>NORMAL</v>
      </c>
    </row>
    <row r="662" spans="1:12" x14ac:dyDescent="0.25">
      <c r="A662" s="3" t="s">
        <v>2817</v>
      </c>
      <c r="B662" s="3" t="s">
        <v>2818</v>
      </c>
      <c r="C662" s="1">
        <v>18</v>
      </c>
      <c r="D662" s="1">
        <v>207</v>
      </c>
      <c r="E662" s="1" t="s">
        <v>196</v>
      </c>
      <c r="F662" s="1" t="s">
        <v>3408</v>
      </c>
      <c r="G662" s="3" t="s">
        <v>2819</v>
      </c>
      <c r="H662" s="11">
        <f t="shared" si="23"/>
        <v>985.53</v>
      </c>
      <c r="I662" s="9">
        <f>($K$2+0.02)*Tabla1[[#This Row],[PRECIO $]]*1.18</f>
        <v>850.02480000000003</v>
      </c>
      <c r="J662" s="7">
        <f>+Tabla1[[#This Row],[PRECIO EN SOLES]]-Tabla1[[#This Row],[PC]]</f>
        <v>135.50519999999995</v>
      </c>
      <c r="K662" s="15"/>
      <c r="L662" s="15" t="str">
        <f t="shared" si="22"/>
        <v>NORMAL</v>
      </c>
    </row>
    <row r="663" spans="1:12" x14ac:dyDescent="0.25">
      <c r="A663" s="3" t="s">
        <v>1409</v>
      </c>
      <c r="B663" s="3" t="s">
        <v>1410</v>
      </c>
      <c r="C663" s="1">
        <v>14</v>
      </c>
      <c r="D663" s="1">
        <v>208</v>
      </c>
      <c r="E663" s="1" t="s">
        <v>196</v>
      </c>
      <c r="F663" s="1" t="s">
        <v>3409</v>
      </c>
      <c r="G663" s="3" t="s">
        <v>1411</v>
      </c>
      <c r="H663" s="11">
        <f t="shared" si="23"/>
        <v>990.25</v>
      </c>
      <c r="I663" s="9">
        <f>($K$2+0.02)*Tabla1[[#This Row],[PRECIO $]]*1.18</f>
        <v>854.13120000000004</v>
      </c>
      <c r="J663" s="7">
        <f>+Tabla1[[#This Row],[PRECIO EN SOLES]]-Tabla1[[#This Row],[PC]]</f>
        <v>136.11879999999996</v>
      </c>
      <c r="K663" s="15"/>
      <c r="L663" s="15" t="str">
        <f t="shared" si="22"/>
        <v>NORMAL</v>
      </c>
    </row>
    <row r="664" spans="1:12" x14ac:dyDescent="0.25">
      <c r="A664" s="3" t="s">
        <v>1412</v>
      </c>
      <c r="B664" s="3" t="s">
        <v>1413</v>
      </c>
      <c r="C664" s="1">
        <v>0</v>
      </c>
      <c r="D664" s="1">
        <v>215</v>
      </c>
      <c r="E664" s="1" t="s">
        <v>196</v>
      </c>
      <c r="F664" s="1" t="s">
        <v>3410</v>
      </c>
      <c r="G664" s="3" t="s">
        <v>1414</v>
      </c>
      <c r="H664" s="11">
        <f t="shared" si="23"/>
        <v>1023.31</v>
      </c>
      <c r="I664" s="9">
        <f>($K$2+0.02)*Tabla1[[#This Row],[PRECIO $]]*1.18</f>
        <v>882.87599999999998</v>
      </c>
      <c r="J664" s="7">
        <f>+Tabla1[[#This Row],[PRECIO EN SOLES]]-Tabla1[[#This Row],[PC]]</f>
        <v>140.43399999999997</v>
      </c>
      <c r="K664" s="15"/>
      <c r="L664" s="15" t="str">
        <f t="shared" si="22"/>
        <v>NORMAL</v>
      </c>
    </row>
    <row r="665" spans="1:12" x14ac:dyDescent="0.25">
      <c r="A665" s="3" t="s">
        <v>4510</v>
      </c>
      <c r="B665" s="3" t="s">
        <v>4511</v>
      </c>
      <c r="C665" s="1">
        <v>20</v>
      </c>
      <c r="D665" s="1">
        <v>199</v>
      </c>
      <c r="E665" s="1" t="s">
        <v>1447</v>
      </c>
      <c r="F665" s="1" t="s">
        <v>4512</v>
      </c>
      <c r="G665" s="3" t="s">
        <v>4963</v>
      </c>
      <c r="H665" s="11">
        <f t="shared" si="23"/>
        <v>947.75</v>
      </c>
      <c r="I665" s="9">
        <f>($K$2+0.02)*Tabla1[[#This Row],[PRECIO $]]*1.18</f>
        <v>817.17359999999996</v>
      </c>
      <c r="J665" s="7">
        <f>+Tabla1[[#This Row],[PRECIO EN SOLES]]-Tabla1[[#This Row],[PC]]</f>
        <v>130.57640000000004</v>
      </c>
      <c r="K665" s="15"/>
      <c r="L665" s="15" t="str">
        <f t="shared" si="22"/>
        <v>NORMAL</v>
      </c>
    </row>
    <row r="666" spans="1:12" x14ac:dyDescent="0.25">
      <c r="A666" s="3" t="s">
        <v>4964</v>
      </c>
      <c r="B666" s="3" t="s">
        <v>4965</v>
      </c>
      <c r="C666" s="1">
        <v>8</v>
      </c>
      <c r="D666" s="1">
        <v>191</v>
      </c>
      <c r="E666" s="1" t="s">
        <v>4958</v>
      </c>
      <c r="F666" s="1" t="s">
        <v>4966</v>
      </c>
      <c r="G666" s="3" t="s">
        <v>5156</v>
      </c>
      <c r="H666" s="11">
        <f t="shared" si="23"/>
        <v>909.97</v>
      </c>
      <c r="I666" s="9">
        <f>($K$2+0.02)*Tabla1[[#This Row],[PRECIO $]]*1.18</f>
        <v>784.3223999999999</v>
      </c>
      <c r="J666" s="7">
        <f>+Tabla1[[#This Row],[PRECIO EN SOLES]]-Tabla1[[#This Row],[PC]]</f>
        <v>125.64760000000012</v>
      </c>
      <c r="K666" s="15"/>
      <c r="L666" s="15" t="str">
        <f t="shared" si="22"/>
        <v>NORMAL</v>
      </c>
    </row>
    <row r="667" spans="1:12" x14ac:dyDescent="0.25">
      <c r="A667" s="3" t="s">
        <v>4967</v>
      </c>
      <c r="B667" s="3" t="s">
        <v>4968</v>
      </c>
      <c r="C667" s="1">
        <v>20</v>
      </c>
      <c r="D667" s="1">
        <v>182</v>
      </c>
      <c r="E667" s="1" t="s">
        <v>4958</v>
      </c>
      <c r="F667" s="1" t="s">
        <v>4969</v>
      </c>
      <c r="G667" s="3" t="s">
        <v>5157</v>
      </c>
      <c r="H667" s="11">
        <f t="shared" si="23"/>
        <v>867.47</v>
      </c>
      <c r="I667" s="9">
        <f>($K$2+0.02)*Tabla1[[#This Row],[PRECIO $]]*1.18</f>
        <v>747.36479999999995</v>
      </c>
      <c r="J667" s="7">
        <f>+Tabla1[[#This Row],[PRECIO EN SOLES]]-Tabla1[[#This Row],[PC]]</f>
        <v>120.10520000000008</v>
      </c>
      <c r="K667" s="15"/>
      <c r="L667" s="15" t="str">
        <f t="shared" si="22"/>
        <v>NORMAL</v>
      </c>
    </row>
    <row r="668" spans="1:12" x14ac:dyDescent="0.25">
      <c r="A668" s="3" t="s">
        <v>1415</v>
      </c>
      <c r="B668" s="3" t="s">
        <v>1416</v>
      </c>
      <c r="C668" s="1">
        <v>0</v>
      </c>
      <c r="D668" s="1">
        <v>391.71</v>
      </c>
      <c r="E668" s="1" t="s">
        <v>196</v>
      </c>
      <c r="F668" s="1" t="s">
        <v>3411</v>
      </c>
      <c r="G668" s="3" t="s">
        <v>6741</v>
      </c>
      <c r="H668" s="11">
        <f t="shared" si="23"/>
        <v>1857.8</v>
      </c>
      <c r="I668" s="9">
        <f>($K$2+0.02)*Tabla1[[#This Row],[PRECIO $]]*1.18</f>
        <v>1608.5179439999997</v>
      </c>
      <c r="J668" s="7">
        <f>+Tabla1[[#This Row],[PRECIO EN SOLES]]-Tabla1[[#This Row],[PC]]</f>
        <v>249.28205600000024</v>
      </c>
      <c r="K668" s="15"/>
      <c r="L668" s="15" t="str">
        <f t="shared" si="22"/>
        <v>NORMAL</v>
      </c>
    </row>
    <row r="669" spans="1:12" x14ac:dyDescent="0.25">
      <c r="A669" s="3" t="s">
        <v>4970</v>
      </c>
      <c r="B669" s="3" t="s">
        <v>4971</v>
      </c>
      <c r="C669" s="1">
        <v>0</v>
      </c>
      <c r="D669" s="1">
        <v>113.6</v>
      </c>
      <c r="E669" s="1" t="s">
        <v>4958</v>
      </c>
      <c r="F669" s="1" t="s">
        <v>4972</v>
      </c>
      <c r="G669" s="3" t="s">
        <v>5158</v>
      </c>
      <c r="H669" s="11">
        <f t="shared" si="23"/>
        <v>544.46</v>
      </c>
      <c r="I669" s="9">
        <f>($K$2+0.02)*Tabla1[[#This Row],[PRECIO $]]*1.18</f>
        <v>466.48703999999992</v>
      </c>
      <c r="J669" s="7">
        <f>+Tabla1[[#This Row],[PRECIO EN SOLES]]-Tabla1[[#This Row],[PC]]</f>
        <v>77.972960000000114</v>
      </c>
      <c r="K669" s="15"/>
      <c r="L669" s="15" t="str">
        <f t="shared" si="22"/>
        <v>NORMAL</v>
      </c>
    </row>
    <row r="670" spans="1:12" x14ac:dyDescent="0.25">
      <c r="A670" s="3" t="s">
        <v>4797</v>
      </c>
      <c r="B670" s="3" t="s">
        <v>4798</v>
      </c>
      <c r="C670" s="1">
        <v>20</v>
      </c>
      <c r="D670" s="1">
        <v>203.1</v>
      </c>
      <c r="E670" s="1" t="s">
        <v>196</v>
      </c>
      <c r="F670" s="1" t="s">
        <v>4799</v>
      </c>
      <c r="G670" s="3" t="s">
        <v>4800</v>
      </c>
      <c r="H670" s="11">
        <f t="shared" si="23"/>
        <v>967.11</v>
      </c>
      <c r="I670" s="9">
        <f>($K$2+0.02)*Tabla1[[#This Row],[PRECIO $]]*1.18</f>
        <v>834.00983999999994</v>
      </c>
      <c r="J670" s="7">
        <f>+Tabla1[[#This Row],[PRECIO EN SOLES]]-Tabla1[[#This Row],[PC]]</f>
        <v>133.10016000000007</v>
      </c>
      <c r="K670" s="15"/>
      <c r="L670" s="15" t="str">
        <f t="shared" si="22"/>
        <v>NORMAL</v>
      </c>
    </row>
    <row r="671" spans="1:12" x14ac:dyDescent="0.25">
      <c r="A671" s="3" t="s">
        <v>4801</v>
      </c>
      <c r="B671" s="3" t="s">
        <v>4802</v>
      </c>
      <c r="C671" s="1">
        <v>20</v>
      </c>
      <c r="D671" s="1">
        <v>209.2</v>
      </c>
      <c r="E671" s="1" t="s">
        <v>196</v>
      </c>
      <c r="F671" s="1" t="s">
        <v>4803</v>
      </c>
      <c r="G671" s="3" t="s">
        <v>4804</v>
      </c>
      <c r="H671" s="11">
        <f t="shared" si="23"/>
        <v>995.92</v>
      </c>
      <c r="I671" s="9">
        <f>($K$2+0.02)*Tabla1[[#This Row],[PRECIO $]]*1.18</f>
        <v>859.05887999999993</v>
      </c>
      <c r="J671" s="7">
        <f>+Tabla1[[#This Row],[PRECIO EN SOLES]]-Tabla1[[#This Row],[PC]]</f>
        <v>136.86112000000003</v>
      </c>
      <c r="K671" s="15"/>
      <c r="L671" s="15" t="str">
        <f t="shared" si="22"/>
        <v>NORMAL</v>
      </c>
    </row>
    <row r="672" spans="1:12" x14ac:dyDescent="0.25">
      <c r="A672" s="3" t="s">
        <v>3047</v>
      </c>
      <c r="B672" s="3" t="s">
        <v>3048</v>
      </c>
      <c r="C672" s="1">
        <v>20</v>
      </c>
      <c r="D672" s="1">
        <v>448</v>
      </c>
      <c r="E672" s="1" t="s">
        <v>3049</v>
      </c>
      <c r="F672" s="1" t="s">
        <v>3412</v>
      </c>
      <c r="G672" s="3" t="s">
        <v>3050</v>
      </c>
      <c r="H672" s="11">
        <f t="shared" si="23"/>
        <v>2123.62</v>
      </c>
      <c r="I672" s="9">
        <f>($K$2+0.02)*Tabla1[[#This Row],[PRECIO $]]*1.18</f>
        <v>1839.6671999999999</v>
      </c>
      <c r="J672" s="7">
        <f>+Tabla1[[#This Row],[PRECIO EN SOLES]]-Tabla1[[#This Row],[PC]]</f>
        <v>283.95280000000002</v>
      </c>
      <c r="K672" s="15"/>
      <c r="L672" s="15" t="str">
        <f t="shared" si="22"/>
        <v>NORMAL</v>
      </c>
    </row>
    <row r="673" spans="1:12" x14ac:dyDescent="0.25">
      <c r="A673" s="3" t="s">
        <v>3051</v>
      </c>
      <c r="B673" s="3" t="s">
        <v>3048</v>
      </c>
      <c r="C673" s="1">
        <v>20</v>
      </c>
      <c r="D673" s="1">
        <v>448</v>
      </c>
      <c r="E673" s="1" t="s">
        <v>3049</v>
      </c>
      <c r="F673" s="1" t="s">
        <v>3413</v>
      </c>
      <c r="G673" s="3" t="s">
        <v>3050</v>
      </c>
      <c r="H673" s="11">
        <f t="shared" si="23"/>
        <v>2123.62</v>
      </c>
      <c r="I673" s="9">
        <f>($K$2+0.02)*Tabla1[[#This Row],[PRECIO $]]*1.18</f>
        <v>1839.6671999999999</v>
      </c>
      <c r="J673" s="7">
        <f>+Tabla1[[#This Row],[PRECIO EN SOLES]]-Tabla1[[#This Row],[PC]]</f>
        <v>283.95280000000002</v>
      </c>
      <c r="K673" s="15"/>
      <c r="L673" s="15" t="str">
        <f t="shared" si="22"/>
        <v>NORMAL</v>
      </c>
    </row>
    <row r="674" spans="1:12" x14ac:dyDescent="0.25">
      <c r="A674" s="3" t="s">
        <v>2941</v>
      </c>
      <c r="B674" s="3" t="s">
        <v>2942</v>
      </c>
      <c r="C674" s="1">
        <v>11</v>
      </c>
      <c r="D674" s="1">
        <v>907</v>
      </c>
      <c r="E674" s="1" t="s">
        <v>198</v>
      </c>
      <c r="F674" s="1" t="s">
        <v>3414</v>
      </c>
      <c r="G674" s="3" t="s">
        <v>2943</v>
      </c>
      <c r="H674" s="11">
        <f t="shared" si="23"/>
        <v>4291.18</v>
      </c>
      <c r="I674" s="9">
        <f>($K$2+0.02)*Tabla1[[#This Row],[PRECIO $]]*1.18</f>
        <v>3724.5048000000002</v>
      </c>
      <c r="J674" s="7">
        <f>+Tabla1[[#This Row],[PRECIO EN SOLES]]-Tabla1[[#This Row],[PC]]</f>
        <v>566.67520000000013</v>
      </c>
      <c r="K674" s="15"/>
      <c r="L674" s="15" t="str">
        <f t="shared" si="22"/>
        <v>NORMAL</v>
      </c>
    </row>
    <row r="675" spans="1:12" x14ac:dyDescent="0.25">
      <c r="A675" s="3" t="s">
        <v>5435</v>
      </c>
      <c r="B675" s="3" t="s">
        <v>5436</v>
      </c>
      <c r="C675" s="1">
        <v>20</v>
      </c>
      <c r="D675" s="1">
        <v>212.4</v>
      </c>
      <c r="E675" s="1" t="s">
        <v>196</v>
      </c>
      <c r="F675" s="1" t="s">
        <v>5437</v>
      </c>
      <c r="G675" s="3" t="s">
        <v>5438</v>
      </c>
      <c r="H675" s="11">
        <f t="shared" si="23"/>
        <v>1011.03</v>
      </c>
      <c r="I675" s="9">
        <f>($K$2+0.02)*Tabla1[[#This Row],[PRECIO $]]*1.18</f>
        <v>872.19935999999996</v>
      </c>
      <c r="J675" s="7">
        <f>+Tabla1[[#This Row],[PRECIO EN SOLES]]-Tabla1[[#This Row],[PC]]</f>
        <v>138.83064000000002</v>
      </c>
      <c r="K675" s="15"/>
      <c r="L675" s="15" t="str">
        <f t="shared" si="22"/>
        <v>NORMAL</v>
      </c>
    </row>
    <row r="676" spans="1:12" x14ac:dyDescent="0.25">
      <c r="A676" s="3" t="s">
        <v>1417</v>
      </c>
      <c r="B676" s="3" t="s">
        <v>1418</v>
      </c>
      <c r="C676" s="1">
        <v>20</v>
      </c>
      <c r="D676" s="1">
        <v>222</v>
      </c>
      <c r="E676" s="1" t="s">
        <v>196</v>
      </c>
      <c r="F676" s="1" t="s">
        <v>3415</v>
      </c>
      <c r="G676" s="3" t="s">
        <v>1419</v>
      </c>
      <c r="H676" s="11">
        <f t="shared" si="23"/>
        <v>1056.3599999999999</v>
      </c>
      <c r="I676" s="9">
        <f>($K$2+0.02)*Tabla1[[#This Row],[PRECIO $]]*1.18</f>
        <v>911.62079999999992</v>
      </c>
      <c r="J676" s="7">
        <f>+Tabla1[[#This Row],[PRECIO EN SOLES]]-Tabla1[[#This Row],[PC]]</f>
        <v>144.73919999999998</v>
      </c>
      <c r="K676" s="15"/>
      <c r="L676" s="15" t="str">
        <f t="shared" si="22"/>
        <v>NORMAL</v>
      </c>
    </row>
    <row r="677" spans="1:12" x14ac:dyDescent="0.25">
      <c r="A677" s="3" t="s">
        <v>6477</v>
      </c>
      <c r="B677" s="3" t="s">
        <v>6478</v>
      </c>
      <c r="C677" s="1">
        <v>20</v>
      </c>
      <c r="D677" s="1">
        <v>367</v>
      </c>
      <c r="E677" s="1" t="s">
        <v>831</v>
      </c>
      <c r="F677" s="1" t="s">
        <v>6479</v>
      </c>
      <c r="G677" s="3" t="s">
        <v>6742</v>
      </c>
      <c r="H677" s="11">
        <f t="shared" si="23"/>
        <v>1741.11</v>
      </c>
      <c r="I677" s="9">
        <f>($K$2+0.02)*Tabla1[[#This Row],[PRECIO $]]*1.18</f>
        <v>1507.0488</v>
      </c>
      <c r="J677" s="7">
        <f>+Tabla1[[#This Row],[PRECIO EN SOLES]]-Tabla1[[#This Row],[PC]]</f>
        <v>234.06119999999987</v>
      </c>
      <c r="K677" s="15"/>
      <c r="L677" s="15" t="str">
        <f t="shared" si="22"/>
        <v>NORMAL</v>
      </c>
    </row>
    <row r="678" spans="1:12" x14ac:dyDescent="0.25">
      <c r="A678" s="3" t="s">
        <v>2820</v>
      </c>
      <c r="B678" s="3" t="s">
        <v>2821</v>
      </c>
      <c r="C678" s="1">
        <v>20</v>
      </c>
      <c r="D678" s="1">
        <v>23.31</v>
      </c>
      <c r="E678" s="1" t="s">
        <v>196</v>
      </c>
      <c r="F678" s="1" t="s">
        <v>3416</v>
      </c>
      <c r="G678" s="3" t="s">
        <v>2822</v>
      </c>
      <c r="H678" s="11">
        <f t="shared" si="23"/>
        <v>116.08</v>
      </c>
      <c r="I678" s="9">
        <f>($K$2+0.02)*Tabla1[[#This Row],[PRECIO $]]*1.18</f>
        <v>95.720183999999989</v>
      </c>
      <c r="J678" s="7">
        <f>+Tabla1[[#This Row],[PRECIO EN SOLES]]-Tabla1[[#This Row],[PC]]</f>
        <v>20.359816000000009</v>
      </c>
      <c r="K678" s="15"/>
      <c r="L678" s="15" t="str">
        <f t="shared" si="22"/>
        <v>NORMAL</v>
      </c>
    </row>
    <row r="679" spans="1:12" x14ac:dyDescent="0.25">
      <c r="A679" s="3" t="s">
        <v>1420</v>
      </c>
      <c r="B679" s="3" t="s">
        <v>1421</v>
      </c>
      <c r="C679" s="1">
        <v>0</v>
      </c>
      <c r="D679" s="1">
        <v>133.19999999999999</v>
      </c>
      <c r="E679" s="1" t="s">
        <v>196</v>
      </c>
      <c r="F679" s="1" t="s">
        <v>3417</v>
      </c>
      <c r="G679" s="3" t="s">
        <v>1422</v>
      </c>
      <c r="H679" s="11">
        <f t="shared" si="23"/>
        <v>637.02</v>
      </c>
      <c r="I679" s="9">
        <f>($K$2+0.02)*Tabla1[[#This Row],[PRECIO $]]*1.18</f>
        <v>546.9724799999999</v>
      </c>
      <c r="J679" s="7">
        <f>+Tabla1[[#This Row],[PRECIO EN SOLES]]-Tabla1[[#This Row],[PC]]</f>
        <v>90.047520000000077</v>
      </c>
      <c r="K679" s="15"/>
      <c r="L679" s="15" t="str">
        <f t="shared" si="22"/>
        <v>NORMAL</v>
      </c>
    </row>
    <row r="680" spans="1:12" x14ac:dyDescent="0.25">
      <c r="A680" s="3" t="s">
        <v>2823</v>
      </c>
      <c r="B680" s="3" t="s">
        <v>2824</v>
      </c>
      <c r="C680" s="1">
        <v>20</v>
      </c>
      <c r="D680" s="1">
        <v>37.51</v>
      </c>
      <c r="E680" s="1" t="s">
        <v>196</v>
      </c>
      <c r="F680" s="1" t="s">
        <v>3418</v>
      </c>
      <c r="G680" s="3" t="s">
        <v>2825</v>
      </c>
      <c r="H680" s="11">
        <f t="shared" si="23"/>
        <v>185.14</v>
      </c>
      <c r="I680" s="9">
        <f>($K$2+0.02)*Tabla1[[#This Row],[PRECIO $]]*1.18</f>
        <v>154.03106399999999</v>
      </c>
      <c r="J680" s="7">
        <f>+Tabla1[[#This Row],[PRECIO EN SOLES]]-Tabla1[[#This Row],[PC]]</f>
        <v>31.108936</v>
      </c>
      <c r="K680" s="15"/>
      <c r="L680" s="15" t="str">
        <f t="shared" si="22"/>
        <v>NORMAL</v>
      </c>
    </row>
    <row r="681" spans="1:12" x14ac:dyDescent="0.25">
      <c r="A681" s="3" t="s">
        <v>2826</v>
      </c>
      <c r="B681" s="3" t="s">
        <v>2827</v>
      </c>
      <c r="C681" s="1">
        <v>20</v>
      </c>
      <c r="D681" s="1">
        <v>97.1</v>
      </c>
      <c r="E681" s="1" t="s">
        <v>196</v>
      </c>
      <c r="F681" s="1" t="s">
        <v>3419</v>
      </c>
      <c r="G681" s="3" t="s">
        <v>2828</v>
      </c>
      <c r="H681" s="11">
        <f t="shared" si="23"/>
        <v>466.54</v>
      </c>
      <c r="I681" s="9">
        <f>($K$2+0.02)*Tabla1[[#This Row],[PRECIO $]]*1.18</f>
        <v>398.73143999999991</v>
      </c>
      <c r="J681" s="7">
        <f>+Tabla1[[#This Row],[PRECIO EN SOLES]]-Tabla1[[#This Row],[PC]]</f>
        <v>67.808560000000114</v>
      </c>
      <c r="K681" s="15"/>
      <c r="L681" s="15" t="str">
        <f t="shared" si="22"/>
        <v>NORMAL</v>
      </c>
    </row>
    <row r="682" spans="1:12" x14ac:dyDescent="0.25">
      <c r="A682" s="3" t="s">
        <v>2829</v>
      </c>
      <c r="B682" s="3" t="s">
        <v>2830</v>
      </c>
      <c r="C682" s="1">
        <v>20</v>
      </c>
      <c r="D682" s="1">
        <v>15.31</v>
      </c>
      <c r="E682" s="1" t="s">
        <v>196</v>
      </c>
      <c r="F682" s="1" t="s">
        <v>3420</v>
      </c>
      <c r="G682" s="3" t="s">
        <v>2831</v>
      </c>
      <c r="H682" s="11">
        <f t="shared" si="23"/>
        <v>76.3</v>
      </c>
      <c r="I682" s="9">
        <f>($K$2+0.02)*Tabla1[[#This Row],[PRECIO $]]*1.18</f>
        <v>62.868984000000005</v>
      </c>
      <c r="J682" s="7">
        <f>+Tabla1[[#This Row],[PRECIO EN SOLES]]-Tabla1[[#This Row],[PC]]</f>
        <v>13.431015999999993</v>
      </c>
      <c r="K682" s="15"/>
      <c r="L682" s="15" t="str">
        <f t="shared" si="22"/>
        <v>NORMAL</v>
      </c>
    </row>
    <row r="683" spans="1:12" x14ac:dyDescent="0.25">
      <c r="A683" s="3" t="s">
        <v>2832</v>
      </c>
      <c r="B683" s="3" t="s">
        <v>2833</v>
      </c>
      <c r="C683" s="1">
        <v>20</v>
      </c>
      <c r="D683" s="1">
        <v>27.91</v>
      </c>
      <c r="E683" s="1" t="s">
        <v>196</v>
      </c>
      <c r="F683" s="1" t="s">
        <v>3421</v>
      </c>
      <c r="G683" s="3" t="s">
        <v>2834</v>
      </c>
      <c r="H683" s="11">
        <f t="shared" si="23"/>
        <v>137.80000000000001</v>
      </c>
      <c r="I683" s="9">
        <f>($K$2+0.02)*Tabla1[[#This Row],[PRECIO $]]*1.18</f>
        <v>114.609624</v>
      </c>
      <c r="J683" s="7">
        <f>+Tabla1[[#This Row],[PRECIO EN SOLES]]-Tabla1[[#This Row],[PC]]</f>
        <v>23.190376000000015</v>
      </c>
      <c r="K683" s="15"/>
      <c r="L683" s="15" t="str">
        <f t="shared" si="22"/>
        <v>NORMAL</v>
      </c>
    </row>
    <row r="684" spans="1:12" x14ac:dyDescent="0.25">
      <c r="A684" s="3" t="s">
        <v>2835</v>
      </c>
      <c r="B684" s="3" t="s">
        <v>2836</v>
      </c>
      <c r="C684" s="1">
        <v>20</v>
      </c>
      <c r="D684" s="1">
        <v>63.1</v>
      </c>
      <c r="E684" s="1" t="s">
        <v>196</v>
      </c>
      <c r="F684" s="1" t="s">
        <v>3422</v>
      </c>
      <c r="G684" s="3" t="s">
        <v>2837</v>
      </c>
      <c r="H684" s="11">
        <f t="shared" si="23"/>
        <v>305.98</v>
      </c>
      <c r="I684" s="9">
        <f>($K$2+0.02)*Tabla1[[#This Row],[PRECIO $]]*1.18</f>
        <v>259.11383999999998</v>
      </c>
      <c r="J684" s="7">
        <f>+Tabla1[[#This Row],[PRECIO EN SOLES]]-Tabla1[[#This Row],[PC]]</f>
        <v>46.866160000000036</v>
      </c>
      <c r="K684" s="15"/>
      <c r="L684" s="15" t="str">
        <f t="shared" si="22"/>
        <v>NORMAL</v>
      </c>
    </row>
    <row r="685" spans="1:12" x14ac:dyDescent="0.25">
      <c r="A685" s="3" t="s">
        <v>2838</v>
      </c>
      <c r="B685" s="3" t="s">
        <v>2839</v>
      </c>
      <c r="C685" s="1">
        <v>20</v>
      </c>
      <c r="D685" s="1">
        <v>15.71</v>
      </c>
      <c r="E685" s="1" t="s">
        <v>196</v>
      </c>
      <c r="F685" s="1" t="s">
        <v>3423</v>
      </c>
      <c r="G685" s="3" t="s">
        <v>2840</v>
      </c>
      <c r="H685" s="11">
        <f t="shared" si="23"/>
        <v>78.19</v>
      </c>
      <c r="I685" s="9">
        <f>($K$2+0.02)*Tabla1[[#This Row],[PRECIO $]]*1.18</f>
        <v>64.511544000000001</v>
      </c>
      <c r="J685" s="7">
        <f>+Tabla1[[#This Row],[PRECIO EN SOLES]]-Tabla1[[#This Row],[PC]]</f>
        <v>13.678455999999997</v>
      </c>
      <c r="K685" s="15"/>
      <c r="L685" s="15" t="str">
        <f t="shared" si="22"/>
        <v>NORMAL</v>
      </c>
    </row>
    <row r="686" spans="1:12" x14ac:dyDescent="0.25">
      <c r="A686" s="3" t="s">
        <v>1423</v>
      </c>
      <c r="B686" s="3" t="s">
        <v>1424</v>
      </c>
      <c r="C686" s="1">
        <v>9</v>
      </c>
      <c r="D686" s="1">
        <v>145.30000000000001</v>
      </c>
      <c r="E686" s="1" t="s">
        <v>218</v>
      </c>
      <c r="F686" s="1" t="s">
        <v>3424</v>
      </c>
      <c r="G686" s="3" t="s">
        <v>1425</v>
      </c>
      <c r="H686" s="11">
        <f t="shared" si="23"/>
        <v>694.16</v>
      </c>
      <c r="I686" s="9">
        <f>($K$2+0.02)*Tabla1[[#This Row],[PRECIO $]]*1.18</f>
        <v>596.65992000000006</v>
      </c>
      <c r="J686" s="7">
        <f>+Tabla1[[#This Row],[PRECIO EN SOLES]]-Tabla1[[#This Row],[PC]]</f>
        <v>97.500079999999912</v>
      </c>
      <c r="K686" s="15"/>
      <c r="L686" s="15" t="str">
        <f t="shared" si="22"/>
        <v>NORMAL</v>
      </c>
    </row>
    <row r="687" spans="1:12" x14ac:dyDescent="0.25">
      <c r="A687" s="3" t="s">
        <v>1426</v>
      </c>
      <c r="B687" s="3" t="s">
        <v>1427</v>
      </c>
      <c r="C687" s="1">
        <v>20</v>
      </c>
      <c r="D687" s="1">
        <v>165.3</v>
      </c>
      <c r="E687" s="1" t="s">
        <v>218</v>
      </c>
      <c r="F687" s="1" t="s">
        <v>3425</v>
      </c>
      <c r="G687" s="3" t="s">
        <v>1428</v>
      </c>
      <c r="H687" s="11">
        <f t="shared" si="23"/>
        <v>788.61</v>
      </c>
      <c r="I687" s="9">
        <f>($K$2+0.02)*Tabla1[[#This Row],[PRECIO $]]*1.18</f>
        <v>678.78791999999999</v>
      </c>
      <c r="J687" s="7">
        <f>+Tabla1[[#This Row],[PRECIO EN SOLES]]-Tabla1[[#This Row],[PC]]</f>
        <v>109.82208000000003</v>
      </c>
      <c r="K687" s="15"/>
      <c r="L687" s="15" t="str">
        <f t="shared" si="22"/>
        <v>NORMAL</v>
      </c>
    </row>
    <row r="688" spans="1:12" x14ac:dyDescent="0.25">
      <c r="A688" s="3" t="s">
        <v>6300</v>
      </c>
      <c r="B688" s="3" t="s">
        <v>6301</v>
      </c>
      <c r="C688" s="1">
        <v>20</v>
      </c>
      <c r="D688" s="1">
        <v>16.43</v>
      </c>
      <c r="E688" s="1" t="s">
        <v>218</v>
      </c>
      <c r="F688" s="1" t="s">
        <v>6302</v>
      </c>
      <c r="G688" s="3"/>
      <c r="H688" s="11">
        <f t="shared" si="23"/>
        <v>81.59</v>
      </c>
      <c r="I688" s="9">
        <f>($K$2+0.02)*Tabla1[[#This Row],[PRECIO $]]*1.18</f>
        <v>67.468152000000003</v>
      </c>
      <c r="J688" s="7">
        <f>+Tabla1[[#This Row],[PRECIO EN SOLES]]-Tabla1[[#This Row],[PC]]</f>
        <v>14.121848</v>
      </c>
      <c r="K688" s="15"/>
      <c r="L688" s="15" t="str">
        <f t="shared" si="22"/>
        <v>NORMAL</v>
      </c>
    </row>
    <row r="689" spans="1:12" x14ac:dyDescent="0.25">
      <c r="A689" s="3" t="s">
        <v>1429</v>
      </c>
      <c r="B689" s="3" t="s">
        <v>1430</v>
      </c>
      <c r="C689" s="1">
        <v>3</v>
      </c>
      <c r="D689" s="1">
        <v>11.01</v>
      </c>
      <c r="E689" s="1" t="s">
        <v>218</v>
      </c>
      <c r="F689" s="1" t="s">
        <v>3426</v>
      </c>
      <c r="G689" s="3" t="s">
        <v>1431</v>
      </c>
      <c r="H689" s="11">
        <f t="shared" si="23"/>
        <v>55.99</v>
      </c>
      <c r="I689" s="9">
        <f>($K$2+0.02)*Tabla1[[#This Row],[PRECIO $]]*1.18</f>
        <v>45.211463999999992</v>
      </c>
      <c r="J689" s="7">
        <f>+Tabla1[[#This Row],[PRECIO EN SOLES]]-Tabla1[[#This Row],[PC]]</f>
        <v>10.77853600000001</v>
      </c>
      <c r="K689" s="15"/>
      <c r="L689" s="15" t="str">
        <f t="shared" si="22"/>
        <v>NORMAL</v>
      </c>
    </row>
    <row r="690" spans="1:12" x14ac:dyDescent="0.25">
      <c r="A690" s="3" t="s">
        <v>6303</v>
      </c>
      <c r="B690" s="3" t="s">
        <v>6304</v>
      </c>
      <c r="C690" s="1">
        <v>20</v>
      </c>
      <c r="D690" s="1">
        <v>7.02</v>
      </c>
      <c r="E690" s="1" t="s">
        <v>218</v>
      </c>
      <c r="F690" s="1" t="s">
        <v>6305</v>
      </c>
      <c r="G690" s="3" t="s">
        <v>6306</v>
      </c>
      <c r="H690" s="11">
        <f t="shared" si="23"/>
        <v>35.15</v>
      </c>
      <c r="I690" s="9">
        <f>($K$2+0.02)*Tabla1[[#This Row],[PRECIO $]]*1.18</f>
        <v>28.826927999999995</v>
      </c>
      <c r="J690" s="7">
        <f>+Tabla1[[#This Row],[PRECIO EN SOLES]]-Tabla1[[#This Row],[PC]]</f>
        <v>6.3230720000000034</v>
      </c>
      <c r="K690" s="15"/>
      <c r="L690" s="15" t="str">
        <f t="shared" si="22"/>
        <v>NORMAL</v>
      </c>
    </row>
    <row r="691" spans="1:12" x14ac:dyDescent="0.25">
      <c r="A691" s="3" t="s">
        <v>4513</v>
      </c>
      <c r="B691" s="3" t="s">
        <v>4514</v>
      </c>
      <c r="C691" s="1">
        <v>1</v>
      </c>
      <c r="D691" s="1">
        <v>5.81</v>
      </c>
      <c r="E691" s="1" t="s">
        <v>218</v>
      </c>
      <c r="F691" s="1" t="s">
        <v>4515</v>
      </c>
      <c r="G691" s="3" t="s">
        <v>4516</v>
      </c>
      <c r="H691" s="11">
        <f t="shared" si="23"/>
        <v>29.44</v>
      </c>
      <c r="I691" s="9">
        <f>($K$2+0.02)*Tabla1[[#This Row],[PRECIO $]]*1.18</f>
        <v>23.858183999999998</v>
      </c>
      <c r="J691" s="7">
        <f>+Tabla1[[#This Row],[PRECIO EN SOLES]]-Tabla1[[#This Row],[PC]]</f>
        <v>5.5818160000000034</v>
      </c>
      <c r="K691" s="15"/>
      <c r="L691" s="15" t="str">
        <f t="shared" si="22"/>
        <v>NORMAL</v>
      </c>
    </row>
    <row r="692" spans="1:12" x14ac:dyDescent="0.25">
      <c r="A692" s="3" t="s">
        <v>259</v>
      </c>
      <c r="B692" s="3" t="s">
        <v>260</v>
      </c>
      <c r="C692" s="1">
        <v>20</v>
      </c>
      <c r="D692" s="1">
        <v>18.62</v>
      </c>
      <c r="E692" s="1" t="s">
        <v>196</v>
      </c>
      <c r="F692" s="1" t="s">
        <v>3427</v>
      </c>
      <c r="G692" s="3" t="s">
        <v>261</v>
      </c>
      <c r="H692" s="11">
        <f t="shared" si="23"/>
        <v>91.93</v>
      </c>
      <c r="I692" s="9">
        <f>($K$2+0.02)*Tabla1[[#This Row],[PRECIO $]]*1.18</f>
        <v>76.461168000000001</v>
      </c>
      <c r="J692" s="7">
        <f>+Tabla1[[#This Row],[PRECIO EN SOLES]]-Tabla1[[#This Row],[PC]]</f>
        <v>15.468832000000006</v>
      </c>
      <c r="K692" s="15"/>
      <c r="L692" s="15" t="str">
        <f t="shared" si="22"/>
        <v>NORMAL</v>
      </c>
    </row>
    <row r="693" spans="1:12" x14ac:dyDescent="0.25">
      <c r="A693" s="3" t="s">
        <v>2841</v>
      </c>
      <c r="B693" s="3" t="s">
        <v>2842</v>
      </c>
      <c r="C693" s="1">
        <v>20</v>
      </c>
      <c r="D693" s="1">
        <v>35.56</v>
      </c>
      <c r="E693" s="1" t="s">
        <v>196</v>
      </c>
      <c r="F693" s="1" t="s">
        <v>3428</v>
      </c>
      <c r="G693" s="3" t="s">
        <v>261</v>
      </c>
      <c r="H693" s="11">
        <f t="shared" si="23"/>
        <v>173.93</v>
      </c>
      <c r="I693" s="9">
        <f>($K$2+0.02)*Tabla1[[#This Row],[PRECIO $]]*1.18</f>
        <v>146.023584</v>
      </c>
      <c r="J693" s="7">
        <f>+Tabla1[[#This Row],[PRECIO EN SOLES]]-Tabla1[[#This Row],[PC]]</f>
        <v>27.906416000000007</v>
      </c>
      <c r="K693" s="15"/>
      <c r="L693" s="15" t="str">
        <f t="shared" si="22"/>
        <v>NORMAL</v>
      </c>
    </row>
    <row r="694" spans="1:12" x14ac:dyDescent="0.25">
      <c r="A694" s="3" t="s">
        <v>262</v>
      </c>
      <c r="B694" s="3" t="s">
        <v>263</v>
      </c>
      <c r="C694" s="1">
        <v>20</v>
      </c>
      <c r="D694" s="1">
        <v>14.4</v>
      </c>
      <c r="E694" s="1" t="s">
        <v>196</v>
      </c>
      <c r="F694" s="1" t="s">
        <v>3429</v>
      </c>
      <c r="G694" s="3" t="s">
        <v>261</v>
      </c>
      <c r="H694" s="11">
        <f t="shared" si="23"/>
        <v>72</v>
      </c>
      <c r="I694" s="9">
        <f>($K$2+0.02)*Tabla1[[#This Row],[PRECIO $]]*1.18</f>
        <v>59.132159999999999</v>
      </c>
      <c r="J694" s="7">
        <f>+Tabla1[[#This Row],[PRECIO EN SOLES]]-Tabla1[[#This Row],[PC]]</f>
        <v>12.867840000000001</v>
      </c>
      <c r="K694" s="15"/>
      <c r="L694" s="15" t="str">
        <f t="shared" si="22"/>
        <v>NORMAL</v>
      </c>
    </row>
    <row r="695" spans="1:12" x14ac:dyDescent="0.25">
      <c r="A695" s="3" t="s">
        <v>2944</v>
      </c>
      <c r="B695" s="3" t="s">
        <v>2945</v>
      </c>
      <c r="C695" s="1">
        <v>20</v>
      </c>
      <c r="D695" s="1">
        <v>5.46</v>
      </c>
      <c r="E695" s="1" t="s">
        <v>196</v>
      </c>
      <c r="F695" s="1" t="s">
        <v>3430</v>
      </c>
      <c r="G695" s="3" t="s">
        <v>2946</v>
      </c>
      <c r="H695" s="11">
        <f t="shared" si="23"/>
        <v>27.78</v>
      </c>
      <c r="I695" s="9">
        <f>($K$2+0.02)*Tabla1[[#This Row],[PRECIO $]]*1.18</f>
        <v>22.420943999999995</v>
      </c>
      <c r="J695" s="7">
        <f>+Tabla1[[#This Row],[PRECIO EN SOLES]]-Tabla1[[#This Row],[PC]]</f>
        <v>5.359056000000006</v>
      </c>
      <c r="K695" s="15"/>
      <c r="L695" s="15" t="str">
        <f t="shared" si="22"/>
        <v>NORMAL</v>
      </c>
    </row>
    <row r="696" spans="1:12" x14ac:dyDescent="0.25">
      <c r="A696" s="3" t="s">
        <v>2947</v>
      </c>
      <c r="B696" s="3" t="s">
        <v>2948</v>
      </c>
      <c r="C696" s="1">
        <v>20</v>
      </c>
      <c r="D696" s="1">
        <v>5.46</v>
      </c>
      <c r="E696" s="1" t="s">
        <v>196</v>
      </c>
      <c r="F696" s="1" t="s">
        <v>3431</v>
      </c>
      <c r="G696" s="3" t="s">
        <v>2949</v>
      </c>
      <c r="H696" s="11">
        <f t="shared" si="23"/>
        <v>27.78</v>
      </c>
      <c r="I696" s="9">
        <f>($K$2+0.02)*Tabla1[[#This Row],[PRECIO $]]*1.18</f>
        <v>22.420943999999995</v>
      </c>
      <c r="J696" s="7">
        <f>+Tabla1[[#This Row],[PRECIO EN SOLES]]-Tabla1[[#This Row],[PC]]</f>
        <v>5.359056000000006</v>
      </c>
      <c r="K696" s="15"/>
      <c r="L696" s="15" t="str">
        <f t="shared" si="22"/>
        <v>NORMAL</v>
      </c>
    </row>
    <row r="697" spans="1:12" x14ac:dyDescent="0.25">
      <c r="A697" s="3" t="s">
        <v>2950</v>
      </c>
      <c r="B697" s="3" t="s">
        <v>2951</v>
      </c>
      <c r="C697" s="1">
        <v>20</v>
      </c>
      <c r="D697" s="1">
        <v>5.46</v>
      </c>
      <c r="E697" s="1" t="s">
        <v>196</v>
      </c>
      <c r="F697" s="1" t="s">
        <v>3432</v>
      </c>
      <c r="G697" s="3" t="s">
        <v>2952</v>
      </c>
      <c r="H697" s="11">
        <f t="shared" si="23"/>
        <v>27.78</v>
      </c>
      <c r="I697" s="9">
        <f>($K$2+0.02)*Tabla1[[#This Row],[PRECIO $]]*1.18</f>
        <v>22.420943999999995</v>
      </c>
      <c r="J697" s="7">
        <f>+Tabla1[[#This Row],[PRECIO EN SOLES]]-Tabla1[[#This Row],[PC]]</f>
        <v>5.359056000000006</v>
      </c>
      <c r="K697" s="15"/>
      <c r="L697" s="15" t="str">
        <f t="shared" si="22"/>
        <v>NORMAL</v>
      </c>
    </row>
    <row r="698" spans="1:12" x14ac:dyDescent="0.25">
      <c r="A698" s="3" t="s">
        <v>2843</v>
      </c>
      <c r="B698" s="3" t="s">
        <v>2844</v>
      </c>
      <c r="C698" s="1">
        <v>20</v>
      </c>
      <c r="D698" s="1">
        <v>20.61</v>
      </c>
      <c r="E698" s="1" t="s">
        <v>196</v>
      </c>
      <c r="F698" s="1" t="s">
        <v>3433</v>
      </c>
      <c r="G698" s="3" t="s">
        <v>2845</v>
      </c>
      <c r="H698" s="11">
        <f t="shared" si="23"/>
        <v>103.33</v>
      </c>
      <c r="I698" s="9">
        <f>($K$2+0.02)*Tabla1[[#This Row],[PRECIO $]]*1.18</f>
        <v>84.632903999999982</v>
      </c>
      <c r="J698" s="7">
        <f>+Tabla1[[#This Row],[PRECIO EN SOLES]]-Tabla1[[#This Row],[PC]]</f>
        <v>18.697096000000016</v>
      </c>
      <c r="K698" s="15"/>
      <c r="L698" s="15" t="str">
        <f t="shared" si="22"/>
        <v>NORMAL</v>
      </c>
    </row>
    <row r="699" spans="1:12" x14ac:dyDescent="0.25">
      <c r="A699" s="3" t="s">
        <v>1432</v>
      </c>
      <c r="B699" s="3" t="s">
        <v>1433</v>
      </c>
      <c r="C699" s="1">
        <v>0</v>
      </c>
      <c r="D699" s="1">
        <v>5.66</v>
      </c>
      <c r="E699" s="1" t="s">
        <v>218</v>
      </c>
      <c r="F699" s="1" t="s">
        <v>3434</v>
      </c>
      <c r="G699" s="3" t="s">
        <v>1434</v>
      </c>
      <c r="H699" s="11">
        <f t="shared" si="23"/>
        <v>28.73</v>
      </c>
      <c r="I699" s="9">
        <f>($K$2+0.02)*Tabla1[[#This Row],[PRECIO $]]*1.18</f>
        <v>23.242223999999997</v>
      </c>
      <c r="J699" s="7">
        <f>+Tabla1[[#This Row],[PRECIO EN SOLES]]-Tabla1[[#This Row],[PC]]</f>
        <v>5.4877760000000038</v>
      </c>
      <c r="K699" s="15"/>
      <c r="L699" s="15" t="str">
        <f t="shared" si="22"/>
        <v>NORMAL</v>
      </c>
    </row>
    <row r="700" spans="1:12" x14ac:dyDescent="0.25">
      <c r="A700" s="3" t="s">
        <v>2953</v>
      </c>
      <c r="B700" s="3" t="s">
        <v>2954</v>
      </c>
      <c r="C700" s="1">
        <v>20</v>
      </c>
      <c r="D700" s="1">
        <v>24.97</v>
      </c>
      <c r="E700" s="1" t="s">
        <v>196</v>
      </c>
      <c r="F700" s="1" t="s">
        <v>3435</v>
      </c>
      <c r="G700" s="3" t="s">
        <v>2955</v>
      </c>
      <c r="H700" s="11">
        <f t="shared" si="23"/>
        <v>123.92</v>
      </c>
      <c r="I700" s="9">
        <f>($K$2+0.02)*Tabla1[[#This Row],[PRECIO $]]*1.18</f>
        <v>102.53680799999999</v>
      </c>
      <c r="J700" s="7">
        <f>+Tabla1[[#This Row],[PRECIO EN SOLES]]-Tabla1[[#This Row],[PC]]</f>
        <v>21.383192000000008</v>
      </c>
      <c r="K700" s="15"/>
      <c r="L700" s="15" t="str">
        <f t="shared" si="22"/>
        <v>NORMAL</v>
      </c>
    </row>
    <row r="701" spans="1:12" x14ac:dyDescent="0.25">
      <c r="A701" s="3" t="s">
        <v>2956</v>
      </c>
      <c r="B701" s="3" t="s">
        <v>2957</v>
      </c>
      <c r="C701" s="1">
        <v>15</v>
      </c>
      <c r="D701" s="1">
        <v>39.1</v>
      </c>
      <c r="E701" s="1" t="s">
        <v>196</v>
      </c>
      <c r="F701" s="1" t="s">
        <v>3436</v>
      </c>
      <c r="G701" s="3" t="s">
        <v>2958</v>
      </c>
      <c r="H701" s="11">
        <f t="shared" si="23"/>
        <v>192.64</v>
      </c>
      <c r="I701" s="9">
        <f>($K$2+0.02)*Tabla1[[#This Row],[PRECIO $]]*1.18</f>
        <v>160.56023999999999</v>
      </c>
      <c r="J701" s="7">
        <f>+Tabla1[[#This Row],[PRECIO EN SOLES]]-Tabla1[[#This Row],[PC]]</f>
        <v>32.079759999999993</v>
      </c>
      <c r="K701" s="15"/>
      <c r="L701" s="15" t="str">
        <f t="shared" si="22"/>
        <v>NORMAL</v>
      </c>
    </row>
    <row r="702" spans="1:12" x14ac:dyDescent="0.25">
      <c r="A702" s="3" t="s">
        <v>2846</v>
      </c>
      <c r="B702" s="3" t="s">
        <v>2847</v>
      </c>
      <c r="C702" s="1">
        <v>20</v>
      </c>
      <c r="D702" s="1">
        <v>19.88</v>
      </c>
      <c r="E702" s="1" t="s">
        <v>196</v>
      </c>
      <c r="F702" s="1" t="s">
        <v>3437</v>
      </c>
      <c r="G702" s="3" t="s">
        <v>2848</v>
      </c>
      <c r="H702" s="11">
        <f t="shared" si="23"/>
        <v>99.88</v>
      </c>
      <c r="I702" s="9">
        <f>($K$2+0.02)*Tabla1[[#This Row],[PRECIO $]]*1.18</f>
        <v>81.635232000000002</v>
      </c>
      <c r="J702" s="7">
        <f>+Tabla1[[#This Row],[PRECIO EN SOLES]]-Tabla1[[#This Row],[PC]]</f>
        <v>18.244767999999993</v>
      </c>
      <c r="K702" s="15"/>
      <c r="L702" s="15" t="str">
        <f t="shared" si="22"/>
        <v>NORMAL</v>
      </c>
    </row>
    <row r="703" spans="1:12" x14ac:dyDescent="0.25">
      <c r="A703" s="3" t="s">
        <v>1435</v>
      </c>
      <c r="B703" s="3" t="s">
        <v>1436</v>
      </c>
      <c r="C703" s="1">
        <v>20</v>
      </c>
      <c r="D703" s="1">
        <v>27.2</v>
      </c>
      <c r="E703" s="1" t="s">
        <v>196</v>
      </c>
      <c r="F703" s="1" t="s">
        <v>3438</v>
      </c>
      <c r="G703" s="3" t="s">
        <v>1437</v>
      </c>
      <c r="H703" s="11">
        <f t="shared" si="23"/>
        <v>134.44999999999999</v>
      </c>
      <c r="I703" s="9">
        <f>($K$2+0.02)*Tabla1[[#This Row],[PRECIO $]]*1.18</f>
        <v>111.69407999999999</v>
      </c>
      <c r="J703" s="7">
        <f>+Tabla1[[#This Row],[PRECIO EN SOLES]]-Tabla1[[#This Row],[PC]]</f>
        <v>22.755920000000003</v>
      </c>
      <c r="K703" s="15"/>
      <c r="L703" s="15" t="str">
        <f t="shared" si="22"/>
        <v>NORMAL</v>
      </c>
    </row>
    <row r="704" spans="1:12" x14ac:dyDescent="0.25">
      <c r="A704" s="3" t="s">
        <v>2849</v>
      </c>
      <c r="B704" s="3" t="s">
        <v>2850</v>
      </c>
      <c r="C704" s="1">
        <v>20</v>
      </c>
      <c r="D704" s="1">
        <v>64.099999999999994</v>
      </c>
      <c r="E704" s="1" t="s">
        <v>196</v>
      </c>
      <c r="F704" s="1" t="s">
        <v>3439</v>
      </c>
      <c r="G704" s="3" t="s">
        <v>2851</v>
      </c>
      <c r="H704" s="11">
        <f t="shared" si="23"/>
        <v>310.7</v>
      </c>
      <c r="I704" s="9">
        <f>($K$2+0.02)*Tabla1[[#This Row],[PRECIO $]]*1.18</f>
        <v>263.22023999999999</v>
      </c>
      <c r="J704" s="7">
        <f>+Tabla1[[#This Row],[PRECIO EN SOLES]]-Tabla1[[#This Row],[PC]]</f>
        <v>47.479759999999999</v>
      </c>
      <c r="K704" s="15"/>
      <c r="L704" s="15" t="str">
        <f t="shared" si="22"/>
        <v>NORMAL</v>
      </c>
    </row>
    <row r="705" spans="1:12" x14ac:dyDescent="0.25">
      <c r="A705" s="3" t="s">
        <v>2959</v>
      </c>
      <c r="B705" s="3" t="s">
        <v>2960</v>
      </c>
      <c r="C705" s="1">
        <v>20</v>
      </c>
      <c r="D705" s="1">
        <v>5.46</v>
      </c>
      <c r="E705" s="1" t="s">
        <v>196</v>
      </c>
      <c r="F705" s="1" t="s">
        <v>3440</v>
      </c>
      <c r="G705" s="3" t="s">
        <v>2961</v>
      </c>
      <c r="H705" s="11">
        <f t="shared" si="23"/>
        <v>27.78</v>
      </c>
      <c r="I705" s="9">
        <f>($K$2+0.02)*Tabla1[[#This Row],[PRECIO $]]*1.18</f>
        <v>22.420943999999995</v>
      </c>
      <c r="J705" s="7">
        <f>+Tabla1[[#This Row],[PRECIO EN SOLES]]-Tabla1[[#This Row],[PC]]</f>
        <v>5.359056000000006</v>
      </c>
      <c r="K705" s="15"/>
      <c r="L705" s="15" t="str">
        <f t="shared" si="22"/>
        <v>NORMAL</v>
      </c>
    </row>
    <row r="706" spans="1:12" x14ac:dyDescent="0.25">
      <c r="A706" s="3" t="s">
        <v>2852</v>
      </c>
      <c r="B706" s="3" t="s">
        <v>2853</v>
      </c>
      <c r="C706" s="1">
        <v>20</v>
      </c>
      <c r="D706" s="1">
        <v>11.98</v>
      </c>
      <c r="E706" s="1" t="s">
        <v>196</v>
      </c>
      <c r="F706" s="1" t="s">
        <v>3441</v>
      </c>
      <c r="G706" s="3" t="s">
        <v>2854</v>
      </c>
      <c r="H706" s="11">
        <f t="shared" si="23"/>
        <v>60.57</v>
      </c>
      <c r="I706" s="9">
        <f>($K$2+0.02)*Tabla1[[#This Row],[PRECIO $]]*1.18</f>
        <v>49.194672000000004</v>
      </c>
      <c r="J706" s="7">
        <f>+Tabla1[[#This Row],[PRECIO EN SOLES]]-Tabla1[[#This Row],[PC]]</f>
        <v>11.375327999999996</v>
      </c>
      <c r="K706" s="15"/>
      <c r="L706" s="15" t="str">
        <f t="shared" si="22"/>
        <v>NORMAL</v>
      </c>
    </row>
    <row r="707" spans="1:12" x14ac:dyDescent="0.25">
      <c r="A707" s="3" t="s">
        <v>2855</v>
      </c>
      <c r="B707" s="3" t="s">
        <v>2856</v>
      </c>
      <c r="C707" s="1">
        <v>20</v>
      </c>
      <c r="D707" s="1">
        <v>5.61</v>
      </c>
      <c r="E707" s="1" t="s">
        <v>196</v>
      </c>
      <c r="F707" s="1" t="s">
        <v>3442</v>
      </c>
      <c r="G707" s="3" t="s">
        <v>2857</v>
      </c>
      <c r="H707" s="11">
        <f t="shared" si="23"/>
        <v>28.49</v>
      </c>
      <c r="I707" s="9">
        <f>($K$2+0.02)*Tabla1[[#This Row],[PRECIO $]]*1.18</f>
        <v>23.036904</v>
      </c>
      <c r="J707" s="7">
        <f>+Tabla1[[#This Row],[PRECIO EN SOLES]]-Tabla1[[#This Row],[PC]]</f>
        <v>5.4530959999999986</v>
      </c>
      <c r="K707" s="15"/>
      <c r="L707" s="15" t="str">
        <f t="shared" si="22"/>
        <v>NORMAL</v>
      </c>
    </row>
    <row r="708" spans="1:12" x14ac:dyDescent="0.25">
      <c r="A708" s="3" t="s">
        <v>2858</v>
      </c>
      <c r="B708" s="3" t="s">
        <v>2859</v>
      </c>
      <c r="C708" s="1">
        <v>20</v>
      </c>
      <c r="D708" s="1">
        <v>18.61</v>
      </c>
      <c r="E708" s="1" t="s">
        <v>196</v>
      </c>
      <c r="F708" s="1" t="s">
        <v>3443</v>
      </c>
      <c r="G708" s="3" t="s">
        <v>2860</v>
      </c>
      <c r="H708" s="11">
        <f t="shared" si="23"/>
        <v>91.88</v>
      </c>
      <c r="I708" s="9">
        <f>($K$2+0.02)*Tabla1[[#This Row],[PRECIO $]]*1.18</f>
        <v>76.420103999999995</v>
      </c>
      <c r="J708" s="7">
        <f>+Tabla1[[#This Row],[PRECIO EN SOLES]]-Tabla1[[#This Row],[PC]]</f>
        <v>15.459896000000001</v>
      </c>
      <c r="K708" s="15"/>
      <c r="L708" s="15" t="str">
        <f t="shared" si="22"/>
        <v>NORMAL</v>
      </c>
    </row>
    <row r="709" spans="1:12" x14ac:dyDescent="0.25">
      <c r="A709" s="3" t="s">
        <v>2861</v>
      </c>
      <c r="B709" s="3" t="s">
        <v>2862</v>
      </c>
      <c r="C709" s="1">
        <v>20</v>
      </c>
      <c r="D709" s="1">
        <v>35.01</v>
      </c>
      <c r="E709" s="1" t="s">
        <v>196</v>
      </c>
      <c r="F709" s="1" t="s">
        <v>3444</v>
      </c>
      <c r="G709" s="3" t="s">
        <v>2863</v>
      </c>
      <c r="H709" s="11">
        <f t="shared" si="23"/>
        <v>171.33</v>
      </c>
      <c r="I709" s="9">
        <f>($K$2+0.02)*Tabla1[[#This Row],[PRECIO $]]*1.18</f>
        <v>143.76506399999997</v>
      </c>
      <c r="J709" s="7">
        <f>+Tabla1[[#This Row],[PRECIO EN SOLES]]-Tabla1[[#This Row],[PC]]</f>
        <v>27.564936000000046</v>
      </c>
      <c r="K709" s="15"/>
      <c r="L709" s="15" t="str">
        <f t="shared" si="22"/>
        <v>NORMAL</v>
      </c>
    </row>
    <row r="710" spans="1:12" x14ac:dyDescent="0.25">
      <c r="A710" s="3" t="s">
        <v>2864</v>
      </c>
      <c r="B710" s="3" t="s">
        <v>2865</v>
      </c>
      <c r="C710" s="1">
        <v>20</v>
      </c>
      <c r="D710" s="1">
        <v>64.599999999999994</v>
      </c>
      <c r="E710" s="1" t="s">
        <v>196</v>
      </c>
      <c r="F710" s="1" t="s">
        <v>3445</v>
      </c>
      <c r="G710" s="3" t="s">
        <v>2866</v>
      </c>
      <c r="H710" s="11">
        <f t="shared" si="23"/>
        <v>313.06</v>
      </c>
      <c r="I710" s="9">
        <f>($K$2+0.02)*Tabla1[[#This Row],[PRECIO $]]*1.18</f>
        <v>265.27343999999999</v>
      </c>
      <c r="J710" s="7">
        <f>+Tabla1[[#This Row],[PRECIO EN SOLES]]-Tabla1[[#This Row],[PC]]</f>
        <v>47.786560000000009</v>
      </c>
      <c r="K710" s="15"/>
      <c r="L710" s="15" t="str">
        <f t="shared" si="22"/>
        <v>NORMAL</v>
      </c>
    </row>
    <row r="711" spans="1:12" x14ac:dyDescent="0.25">
      <c r="A711" s="3" t="s">
        <v>264</v>
      </c>
      <c r="B711" s="3" t="s">
        <v>265</v>
      </c>
      <c r="C711" s="1">
        <v>20</v>
      </c>
      <c r="D711" s="1">
        <v>10.98</v>
      </c>
      <c r="E711" s="1" t="s">
        <v>196</v>
      </c>
      <c r="F711" s="1" t="s">
        <v>3446</v>
      </c>
      <c r="G711" s="3" t="s">
        <v>266</v>
      </c>
      <c r="H711" s="11">
        <f t="shared" si="23"/>
        <v>55.85</v>
      </c>
      <c r="I711" s="9">
        <f>($K$2+0.02)*Tabla1[[#This Row],[PRECIO $]]*1.18</f>
        <v>45.088271999999996</v>
      </c>
      <c r="J711" s="7">
        <f>+Tabla1[[#This Row],[PRECIO EN SOLES]]-Tabla1[[#This Row],[PC]]</f>
        <v>10.761728000000005</v>
      </c>
      <c r="K711" s="15"/>
      <c r="L711" s="15" t="str">
        <f t="shared" si="22"/>
        <v>NORMAL</v>
      </c>
    </row>
    <row r="712" spans="1:12" x14ac:dyDescent="0.25">
      <c r="A712" s="3" t="s">
        <v>267</v>
      </c>
      <c r="B712" s="3" t="s">
        <v>268</v>
      </c>
      <c r="C712" s="1">
        <v>20</v>
      </c>
      <c r="D712" s="1">
        <v>8.5</v>
      </c>
      <c r="E712" s="1" t="s">
        <v>196</v>
      </c>
      <c r="F712" s="1" t="s">
        <v>3447</v>
      </c>
      <c r="G712" s="3" t="s">
        <v>269</v>
      </c>
      <c r="H712" s="11">
        <f t="shared" si="23"/>
        <v>44.14</v>
      </c>
      <c r="I712" s="9">
        <f>($K$2+0.02)*Tabla1[[#This Row],[PRECIO $]]*1.18</f>
        <v>34.904399999999995</v>
      </c>
      <c r="J712" s="7">
        <f>+Tabla1[[#This Row],[PRECIO EN SOLES]]-Tabla1[[#This Row],[PC]]</f>
        <v>9.2356000000000051</v>
      </c>
      <c r="K712" s="15"/>
      <c r="L712" s="15" t="str">
        <f t="shared" si="22"/>
        <v>NORMAL</v>
      </c>
    </row>
    <row r="713" spans="1:12" x14ac:dyDescent="0.25">
      <c r="A713" s="3" t="s">
        <v>2867</v>
      </c>
      <c r="B713" s="3" t="s">
        <v>2868</v>
      </c>
      <c r="C713" s="1">
        <v>20</v>
      </c>
      <c r="D713" s="1">
        <v>20.21</v>
      </c>
      <c r="E713" s="1" t="s">
        <v>196</v>
      </c>
      <c r="F713" s="1" t="s">
        <v>3448</v>
      </c>
      <c r="G713" s="3" t="s">
        <v>2869</v>
      </c>
      <c r="H713" s="11">
        <f t="shared" si="23"/>
        <v>101.44</v>
      </c>
      <c r="I713" s="9">
        <f>($K$2+0.02)*Tabla1[[#This Row],[PRECIO $]]*1.18</f>
        <v>82.990343999999993</v>
      </c>
      <c r="J713" s="7">
        <f>+Tabla1[[#This Row],[PRECIO EN SOLES]]-Tabla1[[#This Row],[PC]]</f>
        <v>18.449656000000004</v>
      </c>
      <c r="K713" s="15"/>
      <c r="L713" s="15" t="str">
        <f t="shared" si="22"/>
        <v>NORMAL</v>
      </c>
    </row>
    <row r="714" spans="1:12" x14ac:dyDescent="0.25">
      <c r="A714" s="3" t="s">
        <v>2870</v>
      </c>
      <c r="B714" s="3" t="s">
        <v>2871</v>
      </c>
      <c r="C714" s="1">
        <v>20</v>
      </c>
      <c r="D714" s="1">
        <v>5.31</v>
      </c>
      <c r="E714" s="1" t="s">
        <v>196</v>
      </c>
      <c r="F714" s="1" t="s">
        <v>3449</v>
      </c>
      <c r="G714" s="3" t="s">
        <v>2872</v>
      </c>
      <c r="H714" s="11">
        <f t="shared" si="23"/>
        <v>27.08</v>
      </c>
      <c r="I714" s="9">
        <f>($K$2+0.02)*Tabla1[[#This Row],[PRECIO $]]*1.18</f>
        <v>21.804983999999997</v>
      </c>
      <c r="J714" s="7">
        <f>+Tabla1[[#This Row],[PRECIO EN SOLES]]-Tabla1[[#This Row],[PC]]</f>
        <v>5.2750160000000008</v>
      </c>
      <c r="K714" s="15"/>
      <c r="L714" s="15" t="str">
        <f t="shared" si="22"/>
        <v>NORMAL</v>
      </c>
    </row>
    <row r="715" spans="1:12" x14ac:dyDescent="0.25">
      <c r="A715" s="3" t="s">
        <v>2962</v>
      </c>
      <c r="B715" s="3" t="s">
        <v>2963</v>
      </c>
      <c r="C715" s="1">
        <v>20</v>
      </c>
      <c r="D715" s="1">
        <v>5.46</v>
      </c>
      <c r="E715" s="1" t="s">
        <v>196</v>
      </c>
      <c r="F715" s="1" t="s">
        <v>3450</v>
      </c>
      <c r="G715" s="3" t="s">
        <v>2964</v>
      </c>
      <c r="H715" s="11">
        <f t="shared" si="23"/>
        <v>27.78</v>
      </c>
      <c r="I715" s="9">
        <f>($K$2+0.02)*Tabla1[[#This Row],[PRECIO $]]*1.18</f>
        <v>22.420943999999995</v>
      </c>
      <c r="J715" s="7">
        <f>+Tabla1[[#This Row],[PRECIO EN SOLES]]-Tabla1[[#This Row],[PC]]</f>
        <v>5.359056000000006</v>
      </c>
      <c r="K715" s="15"/>
      <c r="L715" s="15" t="str">
        <f t="shared" si="22"/>
        <v>NORMAL</v>
      </c>
    </row>
    <row r="716" spans="1:12" x14ac:dyDescent="0.25">
      <c r="A716" s="3" t="s">
        <v>2873</v>
      </c>
      <c r="B716" s="3" t="s">
        <v>2874</v>
      </c>
      <c r="C716" s="1">
        <v>20</v>
      </c>
      <c r="D716" s="1">
        <v>20.02</v>
      </c>
      <c r="E716" s="1" t="s">
        <v>196</v>
      </c>
      <c r="F716" s="1" t="s">
        <v>3451</v>
      </c>
      <c r="G716" s="3" t="s">
        <v>2875</v>
      </c>
      <c r="H716" s="11">
        <f t="shared" si="23"/>
        <v>100.54</v>
      </c>
      <c r="I716" s="9">
        <f>($K$2+0.02)*Tabla1[[#This Row],[PRECIO $]]*1.18</f>
        <v>82.210127999999997</v>
      </c>
      <c r="J716" s="7">
        <f>+Tabla1[[#This Row],[PRECIO EN SOLES]]-Tabla1[[#This Row],[PC]]</f>
        <v>18.329872000000009</v>
      </c>
      <c r="K716" s="15"/>
      <c r="L716" s="15" t="str">
        <f t="shared" si="22"/>
        <v>NORMAL</v>
      </c>
    </row>
    <row r="717" spans="1:12" x14ac:dyDescent="0.25">
      <c r="A717" s="3" t="s">
        <v>2876</v>
      </c>
      <c r="B717" s="3" t="s">
        <v>2877</v>
      </c>
      <c r="C717" s="1">
        <v>20</v>
      </c>
      <c r="D717" s="1">
        <v>5.36</v>
      </c>
      <c r="E717" s="1" t="s">
        <v>196</v>
      </c>
      <c r="F717" s="1" t="s">
        <v>3452</v>
      </c>
      <c r="G717" s="3" t="s">
        <v>2878</v>
      </c>
      <c r="H717" s="11">
        <f t="shared" si="23"/>
        <v>27.31</v>
      </c>
      <c r="I717" s="9">
        <f>($K$2+0.02)*Tabla1[[#This Row],[PRECIO $]]*1.18</f>
        <v>22.010304000000001</v>
      </c>
      <c r="J717" s="7">
        <f>+Tabla1[[#This Row],[PRECIO EN SOLES]]-Tabla1[[#This Row],[PC]]</f>
        <v>5.2996959999999973</v>
      </c>
      <c r="K717" s="15"/>
      <c r="L717" s="15" t="str">
        <f t="shared" si="22"/>
        <v>NORMAL</v>
      </c>
    </row>
    <row r="718" spans="1:12" x14ac:dyDescent="0.25">
      <c r="A718" s="3" t="s">
        <v>270</v>
      </c>
      <c r="B718" s="3" t="s">
        <v>271</v>
      </c>
      <c r="C718" s="1">
        <v>20</v>
      </c>
      <c r="D718" s="1">
        <v>7.95</v>
      </c>
      <c r="E718" s="1" t="s">
        <v>196</v>
      </c>
      <c r="F718" s="1" t="s">
        <v>3453</v>
      </c>
      <c r="G718" s="3" t="s">
        <v>272</v>
      </c>
      <c r="H718" s="11">
        <f t="shared" si="23"/>
        <v>41.54</v>
      </c>
      <c r="I718" s="9">
        <f>($K$2+0.02)*Tabla1[[#This Row],[PRECIO $]]*1.18</f>
        <v>32.645879999999998</v>
      </c>
      <c r="J718" s="7">
        <f>+Tabla1[[#This Row],[PRECIO EN SOLES]]-Tabla1[[#This Row],[PC]]</f>
        <v>8.8941200000000009</v>
      </c>
      <c r="K718" s="15"/>
      <c r="L718" s="15" t="str">
        <f t="shared" si="22"/>
        <v>NORMAL</v>
      </c>
    </row>
    <row r="719" spans="1:12" x14ac:dyDescent="0.25">
      <c r="A719" s="3" t="s">
        <v>273</v>
      </c>
      <c r="B719" s="3" t="s">
        <v>274</v>
      </c>
      <c r="C719" s="1">
        <v>10</v>
      </c>
      <c r="D719" s="1">
        <v>20.010000000000002</v>
      </c>
      <c r="E719" s="1" t="s">
        <v>196</v>
      </c>
      <c r="F719" s="1" t="s">
        <v>3454</v>
      </c>
      <c r="G719" s="3" t="s">
        <v>275</v>
      </c>
      <c r="H719" s="11">
        <f t="shared" si="23"/>
        <v>100.49</v>
      </c>
      <c r="I719" s="9">
        <f>($K$2+0.02)*Tabla1[[#This Row],[PRECIO $]]*1.18</f>
        <v>82.169063999999992</v>
      </c>
      <c r="J719" s="7">
        <f>+Tabla1[[#This Row],[PRECIO EN SOLES]]-Tabla1[[#This Row],[PC]]</f>
        <v>18.320936000000003</v>
      </c>
      <c r="K719" s="15"/>
      <c r="L719" s="15" t="str">
        <f t="shared" si="22"/>
        <v>NORMAL</v>
      </c>
    </row>
    <row r="720" spans="1:12" x14ac:dyDescent="0.25">
      <c r="A720" s="3" t="s">
        <v>1438</v>
      </c>
      <c r="B720" s="3" t="s">
        <v>1439</v>
      </c>
      <c r="C720" s="1">
        <v>20</v>
      </c>
      <c r="D720" s="1">
        <v>42.1</v>
      </c>
      <c r="E720" s="1" t="s">
        <v>196</v>
      </c>
      <c r="F720" s="1" t="s">
        <v>3455</v>
      </c>
      <c r="G720" s="3" t="s">
        <v>1440</v>
      </c>
      <c r="H720" s="11">
        <f t="shared" si="23"/>
        <v>206.81</v>
      </c>
      <c r="I720" s="9">
        <f>($K$2+0.02)*Tabla1[[#This Row],[PRECIO $]]*1.18</f>
        <v>172.87943999999999</v>
      </c>
      <c r="J720" s="7">
        <f>+Tabla1[[#This Row],[PRECIO EN SOLES]]-Tabla1[[#This Row],[PC]]</f>
        <v>33.930560000000014</v>
      </c>
      <c r="K720" s="15"/>
      <c r="L720" s="15" t="str">
        <f t="shared" ref="L720:L783" si="24"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21" spans="1:12" x14ac:dyDescent="0.25">
      <c r="A721" s="3" t="s">
        <v>2879</v>
      </c>
      <c r="B721" s="3" t="s">
        <v>2880</v>
      </c>
      <c r="C721" s="1">
        <v>20</v>
      </c>
      <c r="D721" s="1">
        <v>5.51</v>
      </c>
      <c r="E721" s="1" t="s">
        <v>196</v>
      </c>
      <c r="F721" s="1" t="s">
        <v>3456</v>
      </c>
      <c r="G721" s="3" t="s">
        <v>2881</v>
      </c>
      <c r="H721" s="11">
        <f t="shared" si="23"/>
        <v>28.02</v>
      </c>
      <c r="I721" s="9">
        <f>($K$2+0.02)*Tabla1[[#This Row],[PRECIO $]]*1.18</f>
        <v>22.626263999999995</v>
      </c>
      <c r="J721" s="7">
        <f>+Tabla1[[#This Row],[PRECIO EN SOLES]]-Tabla1[[#This Row],[PC]]</f>
        <v>5.3937360000000041</v>
      </c>
      <c r="K721" s="15"/>
      <c r="L721" s="15" t="str">
        <f t="shared" si="24"/>
        <v>NORMAL</v>
      </c>
    </row>
    <row r="722" spans="1:12" x14ac:dyDescent="0.25">
      <c r="A722" s="3" t="s">
        <v>1441</v>
      </c>
      <c r="B722" s="3" t="s">
        <v>1442</v>
      </c>
      <c r="C722" s="1">
        <v>20</v>
      </c>
      <c r="D722" s="1">
        <v>10.55</v>
      </c>
      <c r="E722" s="1" t="s">
        <v>199</v>
      </c>
      <c r="F722" s="1" t="s">
        <v>3457</v>
      </c>
      <c r="G722" s="3" t="s">
        <v>1443</v>
      </c>
      <c r="H722" s="11">
        <f t="shared" ref="H722:H785" si="25">ROUND(
IF(L720="GANCHO",
   IF(I722&lt;=50,I722*1.1+4,IF(I722&lt;=120,I722*1.1+7,IF(I722&lt;=250,I722*1.1+11,I722*1.1+19))),
IF(L720="NORMAL",
   IF(I722&lt;=30,I722*1.15+2,IF(I722&lt;=80,I722*1.15+4,IF(I722&lt;=150,I722*1.15+6,I722*1.15+8))),
IF(L720="COMPLEMENTO",
   IF(I722&lt;=25,I722*1.25+1.5,IF(I722&lt;=60,I722*1.25+3,IF(I722&lt;=120,I722*1.25+4,I722*1.25+5))),
""))),2)</f>
        <v>53.82</v>
      </c>
      <c r="I722" s="9">
        <f>($K$2+0.02)*Tabla1[[#This Row],[PRECIO $]]*1.18</f>
        <v>43.322520000000004</v>
      </c>
      <c r="J722" s="7">
        <f>+Tabla1[[#This Row],[PRECIO EN SOLES]]-Tabla1[[#This Row],[PC]]</f>
        <v>10.497479999999996</v>
      </c>
      <c r="K722" s="15"/>
      <c r="L722" s="15" t="str">
        <f t="shared" si="24"/>
        <v>NORMAL</v>
      </c>
    </row>
    <row r="723" spans="1:12" x14ac:dyDescent="0.25">
      <c r="A723" s="3" t="s">
        <v>651</v>
      </c>
      <c r="B723" s="3" t="s">
        <v>652</v>
      </c>
      <c r="C723" s="1">
        <v>20</v>
      </c>
      <c r="D723" s="1">
        <v>10.85</v>
      </c>
      <c r="E723" s="1" t="s">
        <v>467</v>
      </c>
      <c r="F723" s="1" t="s">
        <v>3458</v>
      </c>
      <c r="G723" s="3" t="s">
        <v>653</v>
      </c>
      <c r="H723" s="11">
        <f t="shared" si="25"/>
        <v>55.24</v>
      </c>
      <c r="I723" s="9">
        <f>($K$2+0.02)*Tabla1[[#This Row],[PRECIO $]]*1.18</f>
        <v>44.554439999999992</v>
      </c>
      <c r="J723" s="7">
        <f>+Tabla1[[#This Row],[PRECIO EN SOLES]]-Tabla1[[#This Row],[PC]]</f>
        <v>10.685560000000009</v>
      </c>
      <c r="K723" s="15"/>
      <c r="L723" s="15" t="str">
        <f t="shared" si="24"/>
        <v>NORMAL</v>
      </c>
    </row>
    <row r="724" spans="1:12" x14ac:dyDescent="0.25">
      <c r="A724" s="3" t="s">
        <v>1444</v>
      </c>
      <c r="B724" s="3" t="s">
        <v>1445</v>
      </c>
      <c r="C724" s="1">
        <v>1</v>
      </c>
      <c r="D724" s="1">
        <v>44.1</v>
      </c>
      <c r="E724" s="1" t="s">
        <v>196</v>
      </c>
      <c r="F724" s="1" t="s">
        <v>3459</v>
      </c>
      <c r="G724" s="3" t="s">
        <v>1446</v>
      </c>
      <c r="H724" s="11">
        <f t="shared" si="25"/>
        <v>216.26</v>
      </c>
      <c r="I724" s="9">
        <f>($K$2+0.02)*Tabla1[[#This Row],[PRECIO $]]*1.18</f>
        <v>181.09224</v>
      </c>
      <c r="J724" s="7">
        <f>+Tabla1[[#This Row],[PRECIO EN SOLES]]-Tabla1[[#This Row],[PC]]</f>
        <v>35.167759999999987</v>
      </c>
      <c r="K724" s="15"/>
      <c r="L724" s="15" t="str">
        <f t="shared" si="24"/>
        <v>NORMAL</v>
      </c>
    </row>
    <row r="725" spans="1:12" x14ac:dyDescent="0.25">
      <c r="A725" s="3" t="s">
        <v>4296</v>
      </c>
      <c r="B725" s="3" t="s">
        <v>4297</v>
      </c>
      <c r="C725" s="1">
        <v>20</v>
      </c>
      <c r="D725" s="1">
        <v>19.2</v>
      </c>
      <c r="E725" s="1" t="s">
        <v>467</v>
      </c>
      <c r="F725" s="1" t="s">
        <v>4298</v>
      </c>
      <c r="G725" s="3" t="s">
        <v>4299</v>
      </c>
      <c r="H725" s="11">
        <f t="shared" si="25"/>
        <v>94.67</v>
      </c>
      <c r="I725" s="9">
        <f>($K$2+0.02)*Tabla1[[#This Row],[PRECIO $]]*1.18</f>
        <v>78.842879999999994</v>
      </c>
      <c r="J725" s="7">
        <f>+Tabla1[[#This Row],[PRECIO EN SOLES]]-Tabla1[[#This Row],[PC]]</f>
        <v>15.827120000000008</v>
      </c>
      <c r="K725" s="15"/>
      <c r="L725" s="15" t="str">
        <f t="shared" si="24"/>
        <v>NORMAL</v>
      </c>
    </row>
    <row r="726" spans="1:12" x14ac:dyDescent="0.25">
      <c r="A726" s="3" t="s">
        <v>1448</v>
      </c>
      <c r="B726" s="3" t="s">
        <v>1449</v>
      </c>
      <c r="C726" s="1">
        <v>20</v>
      </c>
      <c r="D726" s="1">
        <v>18.600000000000001</v>
      </c>
      <c r="E726" s="1" t="s">
        <v>1450</v>
      </c>
      <c r="F726" s="1" t="s">
        <v>3460</v>
      </c>
      <c r="G726" s="3"/>
      <c r="H726" s="11">
        <f t="shared" si="25"/>
        <v>91.84</v>
      </c>
      <c r="I726" s="9">
        <f>($K$2+0.02)*Tabla1[[#This Row],[PRECIO $]]*1.18</f>
        <v>76.379040000000003</v>
      </c>
      <c r="J726" s="7">
        <f>+Tabla1[[#This Row],[PRECIO EN SOLES]]-Tabla1[[#This Row],[PC]]</f>
        <v>15.46096</v>
      </c>
      <c r="K726" s="15"/>
      <c r="L726" s="15" t="str">
        <f t="shared" si="24"/>
        <v>NORMAL</v>
      </c>
    </row>
    <row r="727" spans="1:12" x14ac:dyDescent="0.25">
      <c r="A727" s="3" t="s">
        <v>1451</v>
      </c>
      <c r="B727" s="3" t="s">
        <v>1452</v>
      </c>
      <c r="C727" s="1">
        <v>20</v>
      </c>
      <c r="D727" s="1">
        <v>80.930000000000007</v>
      </c>
      <c r="E727" s="1" t="s">
        <v>199</v>
      </c>
      <c r="F727" s="1" t="s">
        <v>3461</v>
      </c>
      <c r="G727" s="3" t="s">
        <v>5159</v>
      </c>
      <c r="H727" s="11">
        <f t="shared" si="25"/>
        <v>390.18</v>
      </c>
      <c r="I727" s="9">
        <f>($K$2+0.02)*Tabla1[[#This Row],[PRECIO $]]*1.18</f>
        <v>332.33095200000002</v>
      </c>
      <c r="J727" s="7">
        <f>+Tabla1[[#This Row],[PRECIO EN SOLES]]-Tabla1[[#This Row],[PC]]</f>
        <v>57.849047999999982</v>
      </c>
      <c r="K727" s="15"/>
      <c r="L727" s="15" t="str">
        <f t="shared" si="24"/>
        <v>NORMAL</v>
      </c>
    </row>
    <row r="728" spans="1:12" x14ac:dyDescent="0.25">
      <c r="A728" s="3" t="s">
        <v>654</v>
      </c>
      <c r="B728" s="3" t="s">
        <v>655</v>
      </c>
      <c r="C728" s="1">
        <v>20</v>
      </c>
      <c r="D728" s="1">
        <v>41.2</v>
      </c>
      <c r="E728" s="1" t="s">
        <v>199</v>
      </c>
      <c r="F728" s="1" t="s">
        <v>3462</v>
      </c>
      <c r="G728" s="3" t="s">
        <v>742</v>
      </c>
      <c r="H728" s="11">
        <f t="shared" si="25"/>
        <v>202.56</v>
      </c>
      <c r="I728" s="9">
        <f>($K$2+0.02)*Tabla1[[#This Row],[PRECIO $]]*1.18</f>
        <v>169.18368000000001</v>
      </c>
      <c r="J728" s="7">
        <f>+Tabla1[[#This Row],[PRECIO EN SOLES]]-Tabla1[[#This Row],[PC]]</f>
        <v>33.376319999999993</v>
      </c>
      <c r="K728" s="15"/>
      <c r="L728" s="15" t="str">
        <f t="shared" si="24"/>
        <v>NORMAL</v>
      </c>
    </row>
    <row r="729" spans="1:12" x14ac:dyDescent="0.25">
      <c r="A729" s="3" t="s">
        <v>1453</v>
      </c>
      <c r="B729" s="3" t="s">
        <v>1454</v>
      </c>
      <c r="C729" s="1">
        <v>20</v>
      </c>
      <c r="D729" s="1">
        <v>18.600000000000001</v>
      </c>
      <c r="E729" s="1" t="s">
        <v>1450</v>
      </c>
      <c r="F729" s="1" t="s">
        <v>3463</v>
      </c>
      <c r="G729" s="3"/>
      <c r="H729" s="11">
        <f t="shared" si="25"/>
        <v>91.84</v>
      </c>
      <c r="I729" s="9">
        <f>($K$2+0.02)*Tabla1[[#This Row],[PRECIO $]]*1.18</f>
        <v>76.379040000000003</v>
      </c>
      <c r="J729" s="7">
        <f>+Tabla1[[#This Row],[PRECIO EN SOLES]]-Tabla1[[#This Row],[PC]]</f>
        <v>15.46096</v>
      </c>
      <c r="K729" s="15"/>
      <c r="L729" s="15" t="str">
        <f t="shared" si="24"/>
        <v>NORMAL</v>
      </c>
    </row>
    <row r="730" spans="1:12" x14ac:dyDescent="0.25">
      <c r="A730" s="3" t="s">
        <v>656</v>
      </c>
      <c r="B730" s="3" t="s">
        <v>657</v>
      </c>
      <c r="C730" s="1">
        <v>20</v>
      </c>
      <c r="D730" s="1">
        <v>131.9</v>
      </c>
      <c r="E730" s="1" t="s">
        <v>196</v>
      </c>
      <c r="F730" s="1" t="s">
        <v>3464</v>
      </c>
      <c r="G730" s="3" t="s">
        <v>658</v>
      </c>
      <c r="H730" s="11">
        <f t="shared" si="25"/>
        <v>630.88</v>
      </c>
      <c r="I730" s="9">
        <f>($K$2+0.02)*Tabla1[[#This Row],[PRECIO $]]*1.18</f>
        <v>541.63415999999995</v>
      </c>
      <c r="J730" s="7">
        <f>+Tabla1[[#This Row],[PRECIO EN SOLES]]-Tabla1[[#This Row],[PC]]</f>
        <v>89.245840000000044</v>
      </c>
      <c r="K730" s="15"/>
      <c r="L730" s="15" t="str">
        <f t="shared" si="24"/>
        <v>NORMAL</v>
      </c>
    </row>
    <row r="731" spans="1:12" x14ac:dyDescent="0.25">
      <c r="A731" s="3" t="s">
        <v>610</v>
      </c>
      <c r="B731" s="3" t="s">
        <v>611</v>
      </c>
      <c r="C731" s="1">
        <v>20</v>
      </c>
      <c r="D731" s="1">
        <v>107.6</v>
      </c>
      <c r="E731" s="1" t="s">
        <v>467</v>
      </c>
      <c r="F731" s="1" t="s">
        <v>3465</v>
      </c>
      <c r="G731" s="3" t="s">
        <v>612</v>
      </c>
      <c r="H731" s="11">
        <f t="shared" si="25"/>
        <v>516.13</v>
      </c>
      <c r="I731" s="9">
        <f>($K$2+0.02)*Tabla1[[#This Row],[PRECIO $]]*1.18</f>
        <v>441.84863999999993</v>
      </c>
      <c r="J731" s="7">
        <f>+Tabla1[[#This Row],[PRECIO EN SOLES]]-Tabla1[[#This Row],[PC]]</f>
        <v>74.281360000000063</v>
      </c>
      <c r="K731" s="15"/>
      <c r="L731" s="15" t="str">
        <f t="shared" si="24"/>
        <v>NORMAL</v>
      </c>
    </row>
    <row r="732" spans="1:12" x14ac:dyDescent="0.25">
      <c r="A732" s="3" t="s">
        <v>1455</v>
      </c>
      <c r="B732" s="3" t="s">
        <v>1456</v>
      </c>
      <c r="C732" s="1">
        <v>20</v>
      </c>
      <c r="D732" s="1">
        <v>95.5</v>
      </c>
      <c r="E732" s="1" t="s">
        <v>199</v>
      </c>
      <c r="F732" s="1" t="s">
        <v>3466</v>
      </c>
      <c r="G732" s="3" t="s">
        <v>1457</v>
      </c>
      <c r="H732" s="11">
        <f t="shared" si="25"/>
        <v>458.99</v>
      </c>
      <c r="I732" s="9">
        <f>($K$2+0.02)*Tabla1[[#This Row],[PRECIO $]]*1.18</f>
        <v>392.16119999999995</v>
      </c>
      <c r="J732" s="7">
        <f>+Tabla1[[#This Row],[PRECIO EN SOLES]]-Tabla1[[#This Row],[PC]]</f>
        <v>66.828800000000058</v>
      </c>
      <c r="K732" s="15"/>
      <c r="L732" s="15" t="str">
        <f t="shared" si="24"/>
        <v>NORMAL</v>
      </c>
    </row>
    <row r="733" spans="1:12" x14ac:dyDescent="0.25">
      <c r="A733" s="3" t="s">
        <v>4805</v>
      </c>
      <c r="B733" s="3" t="s">
        <v>4806</v>
      </c>
      <c r="C733" s="1">
        <v>20</v>
      </c>
      <c r="D733" s="1">
        <v>142.5</v>
      </c>
      <c r="E733" s="1" t="s">
        <v>196</v>
      </c>
      <c r="F733" s="1" t="s">
        <v>4807</v>
      </c>
      <c r="G733" s="3" t="s">
        <v>4973</v>
      </c>
      <c r="H733" s="11">
        <f t="shared" si="25"/>
        <v>680.94</v>
      </c>
      <c r="I733" s="9">
        <f>($K$2+0.02)*Tabla1[[#This Row],[PRECIO $]]*1.18</f>
        <v>585.16199999999992</v>
      </c>
      <c r="J733" s="7">
        <f>+Tabla1[[#This Row],[PRECIO EN SOLES]]-Tabla1[[#This Row],[PC]]</f>
        <v>95.778000000000134</v>
      </c>
      <c r="K733" s="15"/>
      <c r="L733" s="15" t="str">
        <f t="shared" si="24"/>
        <v>NORMAL</v>
      </c>
    </row>
    <row r="734" spans="1:12" x14ac:dyDescent="0.25">
      <c r="A734" s="3" t="s">
        <v>659</v>
      </c>
      <c r="B734" s="3" t="s">
        <v>660</v>
      </c>
      <c r="C734" s="1">
        <v>20</v>
      </c>
      <c r="D734" s="1">
        <v>46.5</v>
      </c>
      <c r="E734" s="1" t="s">
        <v>199</v>
      </c>
      <c r="F734" s="1" t="s">
        <v>3467</v>
      </c>
      <c r="G734" s="3" t="s">
        <v>743</v>
      </c>
      <c r="H734" s="11">
        <f t="shared" si="25"/>
        <v>227.59</v>
      </c>
      <c r="I734" s="9">
        <f>($K$2+0.02)*Tabla1[[#This Row],[PRECIO $]]*1.18</f>
        <v>190.94759999999999</v>
      </c>
      <c r="J734" s="7">
        <f>+Tabla1[[#This Row],[PRECIO EN SOLES]]-Tabla1[[#This Row],[PC]]</f>
        <v>36.642400000000009</v>
      </c>
      <c r="K734" s="15"/>
      <c r="L734" s="15" t="str">
        <f t="shared" si="24"/>
        <v>NORMAL</v>
      </c>
    </row>
    <row r="735" spans="1:12" x14ac:dyDescent="0.25">
      <c r="A735" s="3" t="s">
        <v>661</v>
      </c>
      <c r="B735" s="3" t="s">
        <v>662</v>
      </c>
      <c r="C735" s="1">
        <v>20</v>
      </c>
      <c r="D735" s="1">
        <v>77.3</v>
      </c>
      <c r="E735" s="1" t="s">
        <v>196</v>
      </c>
      <c r="F735" s="1" t="s">
        <v>3468</v>
      </c>
      <c r="G735" s="3" t="s">
        <v>4974</v>
      </c>
      <c r="H735" s="11">
        <f t="shared" si="25"/>
        <v>373.04</v>
      </c>
      <c r="I735" s="9">
        <f>($K$2+0.02)*Tabla1[[#This Row],[PRECIO $]]*1.18</f>
        <v>317.42471999999992</v>
      </c>
      <c r="J735" s="7">
        <f>+Tabla1[[#This Row],[PRECIO EN SOLES]]-Tabla1[[#This Row],[PC]]</f>
        <v>55.615280000000098</v>
      </c>
      <c r="K735" s="15"/>
      <c r="L735" s="15" t="str">
        <f t="shared" si="24"/>
        <v>NORMAL</v>
      </c>
    </row>
    <row r="736" spans="1:12" x14ac:dyDescent="0.25">
      <c r="A736" s="3" t="s">
        <v>4975</v>
      </c>
      <c r="B736" s="3" t="s">
        <v>4976</v>
      </c>
      <c r="C736" s="1">
        <v>20</v>
      </c>
      <c r="D736" s="1">
        <v>62.25</v>
      </c>
      <c r="E736" s="1" t="s">
        <v>467</v>
      </c>
      <c r="F736" s="1" t="s">
        <v>4977</v>
      </c>
      <c r="G736" s="3" t="s">
        <v>4978</v>
      </c>
      <c r="H736" s="11">
        <f t="shared" si="25"/>
        <v>301.97000000000003</v>
      </c>
      <c r="I736" s="9">
        <f>($K$2+0.02)*Tabla1[[#This Row],[PRECIO $]]*1.18</f>
        <v>255.62339999999998</v>
      </c>
      <c r="J736" s="7">
        <f>+Tabla1[[#This Row],[PRECIO EN SOLES]]-Tabla1[[#This Row],[PC]]</f>
        <v>46.346600000000052</v>
      </c>
      <c r="K736" s="15"/>
      <c r="L736" s="15" t="str">
        <f t="shared" si="24"/>
        <v>NORMAL</v>
      </c>
    </row>
    <row r="737" spans="1:12" x14ac:dyDescent="0.25">
      <c r="A737" s="3" t="s">
        <v>1458</v>
      </c>
      <c r="B737" s="3" t="s">
        <v>1459</v>
      </c>
      <c r="C737" s="1">
        <v>0</v>
      </c>
      <c r="D737" s="1">
        <v>217.1</v>
      </c>
      <c r="E737" s="1" t="s">
        <v>196</v>
      </c>
      <c r="F737" s="1" t="s">
        <v>3469</v>
      </c>
      <c r="G737" s="3" t="s">
        <v>1460</v>
      </c>
      <c r="H737" s="11">
        <f t="shared" si="25"/>
        <v>1033.22</v>
      </c>
      <c r="I737" s="9">
        <f>($K$2+0.02)*Tabla1[[#This Row],[PRECIO $]]*1.18</f>
        <v>891.49943999999982</v>
      </c>
      <c r="J737" s="7">
        <f>+Tabla1[[#This Row],[PRECIO EN SOLES]]-Tabla1[[#This Row],[PC]]</f>
        <v>141.72056000000021</v>
      </c>
      <c r="K737" s="15"/>
      <c r="L737" s="15" t="str">
        <f t="shared" si="24"/>
        <v>NORMAL</v>
      </c>
    </row>
    <row r="738" spans="1:12" x14ac:dyDescent="0.25">
      <c r="A738" s="3" t="s">
        <v>1461</v>
      </c>
      <c r="B738" s="3" t="s">
        <v>1462</v>
      </c>
      <c r="C738" s="1">
        <v>4</v>
      </c>
      <c r="D738" s="1">
        <v>113.6</v>
      </c>
      <c r="E738" s="1" t="s">
        <v>196</v>
      </c>
      <c r="F738" s="1" t="s">
        <v>3470</v>
      </c>
      <c r="G738" s="3" t="s">
        <v>1463</v>
      </c>
      <c r="H738" s="11">
        <f t="shared" si="25"/>
        <v>544.46</v>
      </c>
      <c r="I738" s="9">
        <f>($K$2+0.02)*Tabla1[[#This Row],[PRECIO $]]*1.18</f>
        <v>466.48703999999992</v>
      </c>
      <c r="J738" s="7">
        <f>+Tabla1[[#This Row],[PRECIO EN SOLES]]-Tabla1[[#This Row],[PC]]</f>
        <v>77.972960000000114</v>
      </c>
      <c r="K738" s="15"/>
      <c r="L738" s="15" t="str">
        <f t="shared" si="24"/>
        <v>NORMAL</v>
      </c>
    </row>
    <row r="739" spans="1:12" x14ac:dyDescent="0.25">
      <c r="A739" s="3" t="s">
        <v>6010</v>
      </c>
      <c r="B739" s="3" t="s">
        <v>6011</v>
      </c>
      <c r="C739" s="1">
        <v>1</v>
      </c>
      <c r="D739" s="1">
        <v>208</v>
      </c>
      <c r="E739" s="1" t="s">
        <v>196</v>
      </c>
      <c r="F739" s="1" t="s">
        <v>6012</v>
      </c>
      <c r="G739" s="3" t="s">
        <v>6013</v>
      </c>
      <c r="H739" s="11">
        <f t="shared" si="25"/>
        <v>990.25</v>
      </c>
      <c r="I739" s="9">
        <f>($K$2+0.02)*Tabla1[[#This Row],[PRECIO $]]*1.18</f>
        <v>854.13120000000004</v>
      </c>
      <c r="J739" s="7">
        <f>+Tabla1[[#This Row],[PRECIO EN SOLES]]-Tabla1[[#This Row],[PC]]</f>
        <v>136.11879999999996</v>
      </c>
      <c r="K739" s="15"/>
      <c r="L739" s="15" t="str">
        <f t="shared" si="24"/>
        <v>NORMAL</v>
      </c>
    </row>
    <row r="740" spans="1:12" x14ac:dyDescent="0.25">
      <c r="A740" s="3" t="s">
        <v>1464</v>
      </c>
      <c r="B740" s="3" t="s">
        <v>1465</v>
      </c>
      <c r="C740" s="1">
        <v>20</v>
      </c>
      <c r="D740" s="1">
        <v>100</v>
      </c>
      <c r="E740" s="1" t="s">
        <v>54</v>
      </c>
      <c r="F740" s="1" t="s">
        <v>3471</v>
      </c>
      <c r="G740" s="3"/>
      <c r="H740" s="11">
        <f t="shared" si="25"/>
        <v>480.24</v>
      </c>
      <c r="I740" s="9">
        <f>($K$2+0.02)*Tabla1[[#This Row],[PRECIO $]]*1.18</f>
        <v>410.64</v>
      </c>
      <c r="J740" s="7">
        <f>+Tabla1[[#This Row],[PRECIO EN SOLES]]-Tabla1[[#This Row],[PC]]</f>
        <v>69.600000000000023</v>
      </c>
      <c r="K740" s="15"/>
      <c r="L740" s="15" t="str">
        <f t="shared" si="24"/>
        <v>NORMAL</v>
      </c>
    </row>
    <row r="741" spans="1:12" x14ac:dyDescent="0.25">
      <c r="A741" s="3" t="s">
        <v>1466</v>
      </c>
      <c r="B741" s="3" t="s">
        <v>1467</v>
      </c>
      <c r="C741" s="1">
        <v>0</v>
      </c>
      <c r="D741" s="1">
        <v>6</v>
      </c>
      <c r="E741" s="1" t="s">
        <v>55</v>
      </c>
      <c r="F741" s="1" t="s">
        <v>3472</v>
      </c>
      <c r="G741" s="3"/>
      <c r="H741" s="11">
        <f t="shared" si="25"/>
        <v>30.33</v>
      </c>
      <c r="I741" s="9">
        <f>($K$2+0.02)*Tabla1[[#This Row],[PRECIO $]]*1.18</f>
        <v>24.638399999999997</v>
      </c>
      <c r="J741" s="7">
        <f>+Tabla1[[#This Row],[PRECIO EN SOLES]]-Tabla1[[#This Row],[PC]]</f>
        <v>5.6916000000000011</v>
      </c>
      <c r="K741" s="15"/>
      <c r="L741" s="15" t="str">
        <f t="shared" si="24"/>
        <v>NORMAL</v>
      </c>
    </row>
    <row r="742" spans="1:12" x14ac:dyDescent="0.25">
      <c r="A742" s="3" t="s">
        <v>2965</v>
      </c>
      <c r="B742" s="3" t="s">
        <v>2966</v>
      </c>
      <c r="C742" s="1">
        <v>20</v>
      </c>
      <c r="D742" s="1">
        <v>10</v>
      </c>
      <c r="E742" s="1" t="s">
        <v>52</v>
      </c>
      <c r="F742" s="1" t="s">
        <v>3473</v>
      </c>
      <c r="G742" s="3"/>
      <c r="H742" s="11">
        <f t="shared" si="25"/>
        <v>51.22</v>
      </c>
      <c r="I742" s="9">
        <f>($K$2+0.02)*Tabla1[[#This Row],[PRECIO $]]*1.18</f>
        <v>41.063999999999993</v>
      </c>
      <c r="J742" s="7">
        <f>+Tabla1[[#This Row],[PRECIO EN SOLES]]-Tabla1[[#This Row],[PC]]</f>
        <v>10.156000000000006</v>
      </c>
      <c r="K742" s="15"/>
      <c r="L742" s="15" t="str">
        <f t="shared" si="24"/>
        <v>NORMAL</v>
      </c>
    </row>
    <row r="743" spans="1:12" x14ac:dyDescent="0.25">
      <c r="A743" s="3" t="s">
        <v>6307</v>
      </c>
      <c r="B743" s="3" t="s">
        <v>6308</v>
      </c>
      <c r="C743" s="1">
        <v>20</v>
      </c>
      <c r="D743" s="1">
        <v>7</v>
      </c>
      <c r="E743" s="1" t="s">
        <v>154</v>
      </c>
      <c r="F743" s="1" t="s">
        <v>6309</v>
      </c>
      <c r="G743" s="3"/>
      <c r="H743" s="11">
        <f t="shared" si="25"/>
        <v>35.06</v>
      </c>
      <c r="I743" s="9">
        <f>($K$2+0.02)*Tabla1[[#This Row],[PRECIO $]]*1.18</f>
        <v>28.744799999999998</v>
      </c>
      <c r="J743" s="7">
        <f>+Tabla1[[#This Row],[PRECIO EN SOLES]]-Tabla1[[#This Row],[PC]]</f>
        <v>6.3152000000000044</v>
      </c>
      <c r="K743" s="15"/>
      <c r="L743" s="15" t="str">
        <f t="shared" si="24"/>
        <v>NORMAL</v>
      </c>
    </row>
    <row r="744" spans="1:12" x14ac:dyDescent="0.25">
      <c r="A744" s="3" t="s">
        <v>1468</v>
      </c>
      <c r="B744" s="3" t="s">
        <v>1469</v>
      </c>
      <c r="C744" s="1">
        <v>1</v>
      </c>
      <c r="D744" s="1">
        <v>60</v>
      </c>
      <c r="E744" s="1" t="s">
        <v>55</v>
      </c>
      <c r="F744" s="1" t="s">
        <v>3474</v>
      </c>
      <c r="G744" s="3"/>
      <c r="H744" s="11">
        <f t="shared" si="25"/>
        <v>291.33999999999997</v>
      </c>
      <c r="I744" s="9">
        <f>($K$2+0.02)*Tabla1[[#This Row],[PRECIO $]]*1.18</f>
        <v>246.38400000000001</v>
      </c>
      <c r="J744" s="7">
        <f>+Tabla1[[#This Row],[PRECIO EN SOLES]]-Tabla1[[#This Row],[PC]]</f>
        <v>44.95599999999996</v>
      </c>
      <c r="K744" s="15"/>
      <c r="L744" s="15" t="str">
        <f t="shared" si="24"/>
        <v>NORMAL</v>
      </c>
    </row>
    <row r="745" spans="1:12" x14ac:dyDescent="0.25">
      <c r="A745" s="3" t="s">
        <v>1470</v>
      </c>
      <c r="B745" s="3" t="s">
        <v>1471</v>
      </c>
      <c r="C745" s="1">
        <v>20</v>
      </c>
      <c r="D745" s="1">
        <v>37</v>
      </c>
      <c r="E745" s="1" t="s">
        <v>55</v>
      </c>
      <c r="F745" s="1" t="s">
        <v>3475</v>
      </c>
      <c r="G745" s="3" t="s">
        <v>1472</v>
      </c>
      <c r="H745" s="11">
        <f t="shared" si="25"/>
        <v>182.73</v>
      </c>
      <c r="I745" s="9">
        <f>($K$2+0.02)*Tabla1[[#This Row],[PRECIO $]]*1.18</f>
        <v>151.93679999999998</v>
      </c>
      <c r="J745" s="7">
        <f>+Tabla1[[#This Row],[PRECIO EN SOLES]]-Tabla1[[#This Row],[PC]]</f>
        <v>30.793200000000013</v>
      </c>
      <c r="K745" s="15"/>
      <c r="L745" s="15" t="str">
        <f t="shared" si="24"/>
        <v>NORMAL</v>
      </c>
    </row>
    <row r="746" spans="1:12" x14ac:dyDescent="0.25">
      <c r="A746" s="3" t="s">
        <v>1475</v>
      </c>
      <c r="B746" s="3" t="s">
        <v>1476</v>
      </c>
      <c r="C746" s="1">
        <v>19</v>
      </c>
      <c r="D746" s="1">
        <v>30</v>
      </c>
      <c r="E746" s="1" t="s">
        <v>55</v>
      </c>
      <c r="F746" s="1" t="s">
        <v>3477</v>
      </c>
      <c r="G746" s="3" t="s">
        <v>1472</v>
      </c>
      <c r="H746" s="11">
        <f t="shared" si="25"/>
        <v>147.66999999999999</v>
      </c>
      <c r="I746" s="9">
        <f>($K$2+0.02)*Tabla1[[#This Row],[PRECIO $]]*1.18</f>
        <v>123.19200000000001</v>
      </c>
      <c r="J746" s="7">
        <f>+Tabla1[[#This Row],[PRECIO EN SOLES]]-Tabla1[[#This Row],[PC]]</f>
        <v>24.47799999999998</v>
      </c>
      <c r="K746" s="15"/>
      <c r="L746" s="15" t="str">
        <f t="shared" si="24"/>
        <v>NORMAL</v>
      </c>
    </row>
    <row r="747" spans="1:12" x14ac:dyDescent="0.25">
      <c r="A747" s="3" t="s">
        <v>6480</v>
      </c>
      <c r="B747" s="3" t="s">
        <v>6481</v>
      </c>
      <c r="C747" s="1">
        <v>20</v>
      </c>
      <c r="D747" s="1">
        <v>4</v>
      </c>
      <c r="E747" s="1" t="s">
        <v>55</v>
      </c>
      <c r="F747" s="1" t="s">
        <v>6482</v>
      </c>
      <c r="G747" s="3"/>
      <c r="H747" s="11">
        <f t="shared" si="25"/>
        <v>20.89</v>
      </c>
      <c r="I747" s="9">
        <f>($K$2+0.02)*Tabla1[[#This Row],[PRECIO $]]*1.18</f>
        <v>16.425599999999999</v>
      </c>
      <c r="J747" s="7">
        <f>+Tabla1[[#This Row],[PRECIO EN SOLES]]-Tabla1[[#This Row],[PC]]</f>
        <v>4.4644000000000013</v>
      </c>
      <c r="K747" s="15"/>
      <c r="L747" s="15" t="str">
        <f t="shared" si="24"/>
        <v>NORMAL</v>
      </c>
    </row>
    <row r="748" spans="1:12" x14ac:dyDescent="0.25">
      <c r="A748" s="3" t="s">
        <v>1477</v>
      </c>
      <c r="B748" s="3" t="s">
        <v>1478</v>
      </c>
      <c r="C748" s="1">
        <v>1</v>
      </c>
      <c r="D748" s="1">
        <v>70</v>
      </c>
      <c r="E748" s="1" t="s">
        <v>55</v>
      </c>
      <c r="F748" s="1" t="s">
        <v>3478</v>
      </c>
      <c r="G748" s="3"/>
      <c r="H748" s="11">
        <f t="shared" si="25"/>
        <v>338.57</v>
      </c>
      <c r="I748" s="9">
        <f>($K$2+0.02)*Tabla1[[#This Row],[PRECIO $]]*1.18</f>
        <v>287.44799999999998</v>
      </c>
      <c r="J748" s="7">
        <f>+Tabla1[[#This Row],[PRECIO EN SOLES]]-Tabla1[[#This Row],[PC]]</f>
        <v>51.122000000000014</v>
      </c>
      <c r="K748" s="15"/>
      <c r="L748" s="15" t="str">
        <f t="shared" si="24"/>
        <v>NORMAL</v>
      </c>
    </row>
    <row r="749" spans="1:12" x14ac:dyDescent="0.25">
      <c r="A749" s="3" t="s">
        <v>1479</v>
      </c>
      <c r="B749" s="3" t="s">
        <v>1480</v>
      </c>
      <c r="C749" s="1">
        <v>7</v>
      </c>
      <c r="D749" s="1">
        <v>200</v>
      </c>
      <c r="E749" s="1" t="s">
        <v>55</v>
      </c>
      <c r="F749" s="1" t="s">
        <v>3479</v>
      </c>
      <c r="G749" s="3"/>
      <c r="H749" s="11">
        <f t="shared" si="25"/>
        <v>952.47</v>
      </c>
      <c r="I749" s="9">
        <f>($K$2+0.02)*Tabla1[[#This Row],[PRECIO $]]*1.18</f>
        <v>821.28</v>
      </c>
      <c r="J749" s="7">
        <f>+Tabla1[[#This Row],[PRECIO EN SOLES]]-Tabla1[[#This Row],[PC]]</f>
        <v>131.19000000000005</v>
      </c>
      <c r="K749" s="15"/>
      <c r="L749" s="15" t="str">
        <f t="shared" si="24"/>
        <v>NORMAL</v>
      </c>
    </row>
    <row r="750" spans="1:12" x14ac:dyDescent="0.25">
      <c r="A750" s="3" t="s">
        <v>1481</v>
      </c>
      <c r="B750" s="3" t="s">
        <v>1482</v>
      </c>
      <c r="C750" s="1">
        <v>13</v>
      </c>
      <c r="D750" s="1">
        <v>200</v>
      </c>
      <c r="E750" s="1" t="s">
        <v>55</v>
      </c>
      <c r="F750" s="1" t="s">
        <v>3480</v>
      </c>
      <c r="G750" s="3"/>
      <c r="H750" s="11">
        <f t="shared" si="25"/>
        <v>952.47</v>
      </c>
      <c r="I750" s="9">
        <f>($K$2+0.02)*Tabla1[[#This Row],[PRECIO $]]*1.18</f>
        <v>821.28</v>
      </c>
      <c r="J750" s="7">
        <f>+Tabla1[[#This Row],[PRECIO EN SOLES]]-Tabla1[[#This Row],[PC]]</f>
        <v>131.19000000000005</v>
      </c>
      <c r="K750" s="15"/>
      <c r="L750" s="15" t="str">
        <f t="shared" si="24"/>
        <v>NORMAL</v>
      </c>
    </row>
    <row r="751" spans="1:12" x14ac:dyDescent="0.25">
      <c r="A751" s="3" t="s">
        <v>1483</v>
      </c>
      <c r="B751" s="3" t="s">
        <v>1484</v>
      </c>
      <c r="C751" s="1">
        <v>1</v>
      </c>
      <c r="D751" s="1">
        <v>200</v>
      </c>
      <c r="E751" s="1" t="s">
        <v>55</v>
      </c>
      <c r="F751" s="1" t="s">
        <v>3481</v>
      </c>
      <c r="G751" s="3"/>
      <c r="H751" s="11">
        <f t="shared" si="25"/>
        <v>952.47</v>
      </c>
      <c r="I751" s="9">
        <f>($K$2+0.02)*Tabla1[[#This Row],[PRECIO $]]*1.18</f>
        <v>821.28</v>
      </c>
      <c r="J751" s="7">
        <f>+Tabla1[[#This Row],[PRECIO EN SOLES]]-Tabla1[[#This Row],[PC]]</f>
        <v>131.19000000000005</v>
      </c>
      <c r="K751" s="15"/>
      <c r="L751" s="15" t="str">
        <f t="shared" si="24"/>
        <v>NORMAL</v>
      </c>
    </row>
    <row r="752" spans="1:12" x14ac:dyDescent="0.25">
      <c r="A752" s="3" t="s">
        <v>1485</v>
      </c>
      <c r="B752" s="3" t="s">
        <v>1486</v>
      </c>
      <c r="C752" s="1">
        <v>20</v>
      </c>
      <c r="D752" s="1">
        <v>50</v>
      </c>
      <c r="E752" s="1" t="s">
        <v>54</v>
      </c>
      <c r="F752" s="1" t="s">
        <v>3482</v>
      </c>
      <c r="G752" s="3"/>
      <c r="H752" s="11">
        <f t="shared" si="25"/>
        <v>244.12</v>
      </c>
      <c r="I752" s="9">
        <f>($K$2+0.02)*Tabla1[[#This Row],[PRECIO $]]*1.18</f>
        <v>205.32</v>
      </c>
      <c r="J752" s="7">
        <f>+Tabla1[[#This Row],[PRECIO EN SOLES]]-Tabla1[[#This Row],[PC]]</f>
        <v>38.800000000000011</v>
      </c>
      <c r="K752" s="15"/>
      <c r="L752" s="15" t="str">
        <f t="shared" si="24"/>
        <v>NORMAL</v>
      </c>
    </row>
    <row r="753" spans="1:12" x14ac:dyDescent="0.25">
      <c r="A753" s="3" t="s">
        <v>1487</v>
      </c>
      <c r="B753" s="3" t="s">
        <v>1488</v>
      </c>
      <c r="C753" s="1">
        <v>0</v>
      </c>
      <c r="D753" s="1">
        <v>5</v>
      </c>
      <c r="E753" s="1" t="s">
        <v>55</v>
      </c>
      <c r="F753" s="1" t="s">
        <v>3483</v>
      </c>
      <c r="G753" s="3"/>
      <c r="H753" s="11">
        <f t="shared" si="25"/>
        <v>25.61</v>
      </c>
      <c r="I753" s="9">
        <f>($K$2+0.02)*Tabla1[[#This Row],[PRECIO $]]*1.18</f>
        <v>20.531999999999996</v>
      </c>
      <c r="J753" s="7">
        <f>+Tabla1[[#This Row],[PRECIO EN SOLES]]-Tabla1[[#This Row],[PC]]</f>
        <v>5.078000000000003</v>
      </c>
      <c r="K753" s="15"/>
      <c r="L753" s="15" t="str">
        <f t="shared" si="24"/>
        <v>NORMAL</v>
      </c>
    </row>
    <row r="754" spans="1:12" x14ac:dyDescent="0.25">
      <c r="A754" s="3" t="s">
        <v>6592</v>
      </c>
      <c r="B754" s="3" t="s">
        <v>6593</v>
      </c>
      <c r="C754" s="1">
        <v>20</v>
      </c>
      <c r="D754" s="1">
        <v>50</v>
      </c>
      <c r="E754" s="1" t="s">
        <v>54</v>
      </c>
      <c r="F754" s="1" t="s">
        <v>6594</v>
      </c>
      <c r="G754" s="3"/>
      <c r="H754" s="11">
        <f t="shared" si="25"/>
        <v>244.12</v>
      </c>
      <c r="I754" s="9">
        <f>($K$2+0.02)*Tabla1[[#This Row],[PRECIO $]]*1.18</f>
        <v>205.32</v>
      </c>
      <c r="J754" s="7">
        <f>+Tabla1[[#This Row],[PRECIO EN SOLES]]-Tabla1[[#This Row],[PC]]</f>
        <v>38.800000000000011</v>
      </c>
      <c r="K754" s="15"/>
      <c r="L754" s="15" t="str">
        <f t="shared" si="24"/>
        <v>NORMAL</v>
      </c>
    </row>
    <row r="755" spans="1:12" x14ac:dyDescent="0.25">
      <c r="A755" s="3" t="s">
        <v>6595</v>
      </c>
      <c r="B755" s="3" t="s">
        <v>6596</v>
      </c>
      <c r="C755" s="1">
        <v>20</v>
      </c>
      <c r="D755" s="1">
        <v>50</v>
      </c>
      <c r="E755" s="1" t="s">
        <v>55</v>
      </c>
      <c r="F755" s="1" t="s">
        <v>6597</v>
      </c>
      <c r="G755" s="3"/>
      <c r="H755" s="11">
        <f t="shared" si="25"/>
        <v>244.12</v>
      </c>
      <c r="I755" s="9">
        <f>($K$2+0.02)*Tabla1[[#This Row],[PRECIO $]]*1.18</f>
        <v>205.32</v>
      </c>
      <c r="J755" s="7">
        <f>+Tabla1[[#This Row],[PRECIO EN SOLES]]-Tabla1[[#This Row],[PC]]</f>
        <v>38.800000000000011</v>
      </c>
      <c r="K755" s="15"/>
      <c r="L755" s="15" t="str">
        <f t="shared" si="24"/>
        <v>NORMAL</v>
      </c>
    </row>
    <row r="756" spans="1:12" x14ac:dyDescent="0.25">
      <c r="A756" s="3" t="s">
        <v>6598</v>
      </c>
      <c r="B756" s="3" t="s">
        <v>6599</v>
      </c>
      <c r="C756" s="1">
        <v>20</v>
      </c>
      <c r="D756" s="1">
        <v>50</v>
      </c>
      <c r="E756" s="1" t="s">
        <v>52</v>
      </c>
      <c r="F756" s="1" t="s">
        <v>6600</v>
      </c>
      <c r="G756" s="3"/>
      <c r="H756" s="11">
        <f t="shared" si="25"/>
        <v>244.12</v>
      </c>
      <c r="I756" s="9">
        <f>($K$2+0.02)*Tabla1[[#This Row],[PRECIO $]]*1.18</f>
        <v>205.32</v>
      </c>
      <c r="J756" s="7">
        <f>+Tabla1[[#This Row],[PRECIO EN SOLES]]-Tabla1[[#This Row],[PC]]</f>
        <v>38.800000000000011</v>
      </c>
      <c r="K756" s="15"/>
      <c r="L756" s="15" t="str">
        <f t="shared" si="24"/>
        <v>NORMAL</v>
      </c>
    </row>
    <row r="757" spans="1:12" x14ac:dyDescent="0.25">
      <c r="A757" s="3" t="s">
        <v>1489</v>
      </c>
      <c r="B757" s="3" t="s">
        <v>2782</v>
      </c>
      <c r="C757" s="1">
        <v>20</v>
      </c>
      <c r="D757" s="1">
        <v>2</v>
      </c>
      <c r="E757" s="1" t="s">
        <v>55</v>
      </c>
      <c r="F757" s="1" t="s">
        <v>3484</v>
      </c>
      <c r="G757" s="3"/>
      <c r="H757" s="11">
        <f t="shared" si="25"/>
        <v>11.44</v>
      </c>
      <c r="I757" s="9">
        <f>($K$2+0.02)*Tabla1[[#This Row],[PRECIO $]]*1.18</f>
        <v>8.2127999999999997</v>
      </c>
      <c r="J757" s="7">
        <f>+Tabla1[[#This Row],[PRECIO EN SOLES]]-Tabla1[[#This Row],[PC]]</f>
        <v>3.2271999999999998</v>
      </c>
      <c r="K757" s="15"/>
      <c r="L757" s="15" t="str">
        <f t="shared" si="24"/>
        <v>NORMAL</v>
      </c>
    </row>
    <row r="758" spans="1:12" x14ac:dyDescent="0.25">
      <c r="A758" s="3" t="s">
        <v>1490</v>
      </c>
      <c r="B758" s="3" t="s">
        <v>1491</v>
      </c>
      <c r="C758" s="1">
        <v>20</v>
      </c>
      <c r="D758" s="1">
        <v>19</v>
      </c>
      <c r="E758" s="1" t="s">
        <v>52</v>
      </c>
      <c r="F758" s="1" t="s">
        <v>3485</v>
      </c>
      <c r="G758" s="3"/>
      <c r="H758" s="11">
        <f t="shared" si="25"/>
        <v>93.72</v>
      </c>
      <c r="I758" s="9">
        <f>($K$2+0.02)*Tabla1[[#This Row],[PRECIO $]]*1.18</f>
        <v>78.021600000000007</v>
      </c>
      <c r="J758" s="7">
        <f>+Tabla1[[#This Row],[PRECIO EN SOLES]]-Tabla1[[#This Row],[PC]]</f>
        <v>15.698399999999992</v>
      </c>
      <c r="K758" s="15"/>
      <c r="L758" s="15" t="str">
        <f t="shared" si="24"/>
        <v>NORMAL</v>
      </c>
    </row>
    <row r="759" spans="1:12" x14ac:dyDescent="0.25">
      <c r="A759" s="3" t="s">
        <v>1492</v>
      </c>
      <c r="B759" s="3" t="s">
        <v>1493</v>
      </c>
      <c r="C759" s="1">
        <v>10</v>
      </c>
      <c r="D759" s="1">
        <v>666</v>
      </c>
      <c r="E759" s="1" t="s">
        <v>52</v>
      </c>
      <c r="F759" s="1" t="s">
        <v>3486</v>
      </c>
      <c r="G759" s="3"/>
      <c r="H759" s="11">
        <f t="shared" si="25"/>
        <v>3153.09</v>
      </c>
      <c r="I759" s="9">
        <f>($K$2+0.02)*Tabla1[[#This Row],[PRECIO $]]*1.18</f>
        <v>2734.8623999999995</v>
      </c>
      <c r="J759" s="7">
        <f>+Tabla1[[#This Row],[PRECIO EN SOLES]]-Tabla1[[#This Row],[PC]]</f>
        <v>418.22760000000062</v>
      </c>
      <c r="K759" s="15"/>
      <c r="L759" s="15" t="str">
        <f t="shared" si="24"/>
        <v>NORMAL</v>
      </c>
    </row>
    <row r="760" spans="1:12" x14ac:dyDescent="0.25">
      <c r="A760" s="3" t="s">
        <v>1494</v>
      </c>
      <c r="B760" s="3" t="s">
        <v>1495</v>
      </c>
      <c r="C760" s="1">
        <v>20</v>
      </c>
      <c r="D760" s="1">
        <v>100</v>
      </c>
      <c r="E760" s="1" t="s">
        <v>52</v>
      </c>
      <c r="F760" s="1" t="s">
        <v>3487</v>
      </c>
      <c r="G760" s="3"/>
      <c r="H760" s="11">
        <f t="shared" si="25"/>
        <v>480.24</v>
      </c>
      <c r="I760" s="9">
        <f>($K$2+0.02)*Tabla1[[#This Row],[PRECIO $]]*1.18</f>
        <v>410.64</v>
      </c>
      <c r="J760" s="7">
        <f>+Tabla1[[#This Row],[PRECIO EN SOLES]]-Tabla1[[#This Row],[PC]]</f>
        <v>69.600000000000023</v>
      </c>
      <c r="K760" s="15"/>
      <c r="L760" s="15" t="str">
        <f t="shared" si="24"/>
        <v>NORMAL</v>
      </c>
    </row>
    <row r="761" spans="1:12" x14ac:dyDescent="0.25">
      <c r="A761" s="3" t="s">
        <v>6483</v>
      </c>
      <c r="B761" s="3" t="s">
        <v>6484</v>
      </c>
      <c r="C761" s="1">
        <v>20</v>
      </c>
      <c r="D761" s="1">
        <v>13</v>
      </c>
      <c r="E761" s="1" t="s">
        <v>52</v>
      </c>
      <c r="F761" s="1" t="s">
        <v>6485</v>
      </c>
      <c r="G761" s="3"/>
      <c r="H761" s="11">
        <f t="shared" si="25"/>
        <v>65.39</v>
      </c>
      <c r="I761" s="9">
        <f>($K$2+0.02)*Tabla1[[#This Row],[PRECIO $]]*1.18</f>
        <v>53.383200000000002</v>
      </c>
      <c r="J761" s="7">
        <f>+Tabla1[[#This Row],[PRECIO EN SOLES]]-Tabla1[[#This Row],[PC]]</f>
        <v>12.006799999999998</v>
      </c>
      <c r="K761" s="15"/>
      <c r="L761" s="15" t="str">
        <f t="shared" si="24"/>
        <v>NORMAL</v>
      </c>
    </row>
    <row r="762" spans="1:12" x14ac:dyDescent="0.25">
      <c r="A762" s="3" t="s">
        <v>1496</v>
      </c>
      <c r="B762" s="3" t="s">
        <v>1497</v>
      </c>
      <c r="C762" s="1">
        <v>20</v>
      </c>
      <c r="D762" s="1">
        <v>100</v>
      </c>
      <c r="E762" s="1" t="s">
        <v>52</v>
      </c>
      <c r="F762" s="1" t="s">
        <v>3488</v>
      </c>
      <c r="G762" s="3"/>
      <c r="H762" s="11">
        <f t="shared" si="25"/>
        <v>480.24</v>
      </c>
      <c r="I762" s="9">
        <f>($K$2+0.02)*Tabla1[[#This Row],[PRECIO $]]*1.18</f>
        <v>410.64</v>
      </c>
      <c r="J762" s="7">
        <f>+Tabla1[[#This Row],[PRECIO EN SOLES]]-Tabla1[[#This Row],[PC]]</f>
        <v>69.600000000000023</v>
      </c>
      <c r="K762" s="15"/>
      <c r="L762" s="15" t="str">
        <f t="shared" si="24"/>
        <v>NORMAL</v>
      </c>
    </row>
    <row r="763" spans="1:12" x14ac:dyDescent="0.25">
      <c r="A763" s="3" t="s">
        <v>6486</v>
      </c>
      <c r="B763" s="3" t="s">
        <v>6487</v>
      </c>
      <c r="C763" s="1">
        <v>20</v>
      </c>
      <c r="D763" s="1">
        <v>4</v>
      </c>
      <c r="E763" s="1" t="s">
        <v>52</v>
      </c>
      <c r="F763" s="1" t="s">
        <v>6488</v>
      </c>
      <c r="G763" s="3"/>
      <c r="H763" s="11">
        <f t="shared" si="25"/>
        <v>20.89</v>
      </c>
      <c r="I763" s="9">
        <f>($K$2+0.02)*Tabla1[[#This Row],[PRECIO $]]*1.18</f>
        <v>16.425599999999999</v>
      </c>
      <c r="J763" s="7">
        <f>+Tabla1[[#This Row],[PRECIO EN SOLES]]-Tabla1[[#This Row],[PC]]</f>
        <v>4.4644000000000013</v>
      </c>
      <c r="K763" s="15"/>
      <c r="L763" s="15" t="str">
        <f t="shared" si="24"/>
        <v>GANCHO</v>
      </c>
    </row>
    <row r="764" spans="1:12" x14ac:dyDescent="0.25">
      <c r="A764" s="3" t="s">
        <v>1498</v>
      </c>
      <c r="B764" s="3" t="s">
        <v>1499</v>
      </c>
      <c r="C764" s="1">
        <v>0</v>
      </c>
      <c r="D764" s="1">
        <v>9</v>
      </c>
      <c r="E764" s="1" t="s">
        <v>52</v>
      </c>
      <c r="F764" s="1" t="s">
        <v>3489</v>
      </c>
      <c r="G764" s="3" t="s">
        <v>1500</v>
      </c>
      <c r="H764" s="11">
        <f t="shared" si="25"/>
        <v>46.5</v>
      </c>
      <c r="I764" s="9">
        <f>($K$2+0.02)*Tabla1[[#This Row],[PRECIO $]]*1.18</f>
        <v>36.957599999999999</v>
      </c>
      <c r="J764" s="7">
        <f>+Tabla1[[#This Row],[PRECIO EN SOLES]]-Tabla1[[#This Row],[PC]]</f>
        <v>9.5424000000000007</v>
      </c>
      <c r="K764" s="15"/>
      <c r="L764" s="15" t="str">
        <f t="shared" si="24"/>
        <v>NORMAL</v>
      </c>
    </row>
    <row r="765" spans="1:12" x14ac:dyDescent="0.25">
      <c r="A765" s="3" t="s">
        <v>1501</v>
      </c>
      <c r="B765" s="3" t="s">
        <v>1502</v>
      </c>
      <c r="C765" s="1">
        <v>0</v>
      </c>
      <c r="D765" s="1">
        <v>20</v>
      </c>
      <c r="E765" s="1" t="s">
        <v>55</v>
      </c>
      <c r="F765" s="1" t="s">
        <v>3490</v>
      </c>
      <c r="G765" s="3"/>
      <c r="H765" s="11">
        <f t="shared" si="25"/>
        <v>97.34</v>
      </c>
      <c r="I765" s="9">
        <f>($K$2+0.02)*Tabla1[[#This Row],[PRECIO $]]*1.18</f>
        <v>82.127999999999986</v>
      </c>
      <c r="J765" s="7">
        <f>+Tabla1[[#This Row],[PRECIO EN SOLES]]-Tabla1[[#This Row],[PC]]</f>
        <v>15.212000000000018</v>
      </c>
      <c r="K765" s="15"/>
      <c r="L765" s="15" t="str">
        <f t="shared" si="24"/>
        <v>NORMAL</v>
      </c>
    </row>
    <row r="766" spans="1:12" x14ac:dyDescent="0.25">
      <c r="A766" s="3" t="s">
        <v>1503</v>
      </c>
      <c r="B766" s="3" t="s">
        <v>1504</v>
      </c>
      <c r="C766" s="1">
        <v>20</v>
      </c>
      <c r="D766" s="1">
        <v>8</v>
      </c>
      <c r="E766" s="1" t="s">
        <v>55</v>
      </c>
      <c r="F766" s="1" t="s">
        <v>3491</v>
      </c>
      <c r="G766" s="3"/>
      <c r="H766" s="11">
        <f t="shared" si="25"/>
        <v>41.78</v>
      </c>
      <c r="I766" s="9">
        <f>($K$2+0.02)*Tabla1[[#This Row],[PRECIO $]]*1.18</f>
        <v>32.851199999999999</v>
      </c>
      <c r="J766" s="7">
        <f>+Tabla1[[#This Row],[PRECIO EN SOLES]]-Tabla1[[#This Row],[PC]]</f>
        <v>8.9288000000000025</v>
      </c>
      <c r="K766" s="15"/>
      <c r="L766" s="15" t="str">
        <f t="shared" si="24"/>
        <v>GANCHO</v>
      </c>
    </row>
    <row r="767" spans="1:12" x14ac:dyDescent="0.25">
      <c r="A767" s="3" t="s">
        <v>2967</v>
      </c>
      <c r="B767" s="3" t="s">
        <v>2968</v>
      </c>
      <c r="C767" s="1">
        <v>0</v>
      </c>
      <c r="D767" s="1">
        <v>46</v>
      </c>
      <c r="E767" s="1" t="s">
        <v>55</v>
      </c>
      <c r="F767" s="1" t="s">
        <v>3492</v>
      </c>
      <c r="G767" s="3"/>
      <c r="H767" s="11">
        <f t="shared" si="25"/>
        <v>225.23</v>
      </c>
      <c r="I767" s="9">
        <f>($K$2+0.02)*Tabla1[[#This Row],[PRECIO $]]*1.18</f>
        <v>188.89440000000002</v>
      </c>
      <c r="J767" s="7">
        <f>+Tabla1[[#This Row],[PRECIO EN SOLES]]-Tabla1[[#This Row],[PC]]</f>
        <v>36.335599999999971</v>
      </c>
      <c r="K767" s="15"/>
      <c r="L767" s="15" t="str">
        <f t="shared" si="24"/>
        <v>NORMAL</v>
      </c>
    </row>
    <row r="768" spans="1:12" x14ac:dyDescent="0.25">
      <c r="A768" s="3" t="s">
        <v>3052</v>
      </c>
      <c r="B768" s="3" t="s">
        <v>3053</v>
      </c>
      <c r="C768" s="1">
        <v>20</v>
      </c>
      <c r="D768" s="1">
        <v>19.59</v>
      </c>
      <c r="E768" s="1" t="s">
        <v>55</v>
      </c>
      <c r="F768" s="1" t="s">
        <v>3493</v>
      </c>
      <c r="G768" s="3"/>
      <c r="H768" s="11">
        <f t="shared" si="25"/>
        <v>95.49</v>
      </c>
      <c r="I768" s="9">
        <f>($K$2+0.02)*Tabla1[[#This Row],[PRECIO $]]*1.18</f>
        <v>80.444375999999991</v>
      </c>
      <c r="J768" s="7">
        <f>+Tabla1[[#This Row],[PRECIO EN SOLES]]-Tabla1[[#This Row],[PC]]</f>
        <v>15.045624000000004</v>
      </c>
      <c r="K768" s="15"/>
      <c r="L768" s="15" t="str">
        <f t="shared" si="24"/>
        <v>NORMAL</v>
      </c>
    </row>
    <row r="769" spans="1:12" x14ac:dyDescent="0.25">
      <c r="A769" s="3" t="s">
        <v>1505</v>
      </c>
      <c r="B769" s="3" t="s">
        <v>1506</v>
      </c>
      <c r="C769" s="1">
        <v>20</v>
      </c>
      <c r="D769" s="1">
        <v>8.5</v>
      </c>
      <c r="E769" s="1" t="s">
        <v>55</v>
      </c>
      <c r="F769" s="1" t="s">
        <v>3494</v>
      </c>
      <c r="G769" s="3"/>
      <c r="H769" s="11">
        <f t="shared" si="25"/>
        <v>44.14</v>
      </c>
      <c r="I769" s="9">
        <f>($K$2+0.02)*Tabla1[[#This Row],[PRECIO $]]*1.18</f>
        <v>34.904399999999995</v>
      </c>
      <c r="J769" s="7">
        <f>+Tabla1[[#This Row],[PRECIO EN SOLES]]-Tabla1[[#This Row],[PC]]</f>
        <v>9.2356000000000051</v>
      </c>
      <c r="K769" s="15"/>
      <c r="L769" s="15" t="str">
        <f t="shared" si="24"/>
        <v>NORMAL</v>
      </c>
    </row>
    <row r="770" spans="1:12" x14ac:dyDescent="0.25">
      <c r="A770" s="3" t="s">
        <v>1507</v>
      </c>
      <c r="B770" s="3" t="s">
        <v>1506</v>
      </c>
      <c r="C770" s="1">
        <v>0</v>
      </c>
      <c r="D770" s="1">
        <v>99</v>
      </c>
      <c r="E770" s="1" t="s">
        <v>55</v>
      </c>
      <c r="F770" s="1" t="s">
        <v>3495</v>
      </c>
      <c r="G770" s="3"/>
      <c r="H770" s="11">
        <f t="shared" si="25"/>
        <v>475.51</v>
      </c>
      <c r="I770" s="9">
        <f>($K$2+0.02)*Tabla1[[#This Row],[PRECIO $]]*1.18</f>
        <v>406.53359999999998</v>
      </c>
      <c r="J770" s="7">
        <f>+Tabla1[[#This Row],[PRECIO EN SOLES]]-Tabla1[[#This Row],[PC]]</f>
        <v>68.976400000000012</v>
      </c>
      <c r="K770" s="15"/>
      <c r="L770" s="15" t="str">
        <f t="shared" si="24"/>
        <v>NORMAL</v>
      </c>
    </row>
    <row r="771" spans="1:12" x14ac:dyDescent="0.25">
      <c r="A771" s="3" t="s">
        <v>1508</v>
      </c>
      <c r="B771" s="3" t="s">
        <v>1509</v>
      </c>
      <c r="C771" s="1">
        <v>20</v>
      </c>
      <c r="D771" s="1">
        <v>20</v>
      </c>
      <c r="E771" s="1" t="s">
        <v>55</v>
      </c>
      <c r="F771" s="1" t="s">
        <v>3496</v>
      </c>
      <c r="G771" s="3"/>
      <c r="H771" s="11">
        <f t="shared" si="25"/>
        <v>100.45</v>
      </c>
      <c r="I771" s="9">
        <f>($K$2+0.02)*Tabla1[[#This Row],[PRECIO $]]*1.18</f>
        <v>82.127999999999986</v>
      </c>
      <c r="J771" s="7">
        <f>+Tabla1[[#This Row],[PRECIO EN SOLES]]-Tabla1[[#This Row],[PC]]</f>
        <v>18.322000000000017</v>
      </c>
      <c r="K771" s="15"/>
      <c r="L771" s="15" t="str">
        <f t="shared" si="24"/>
        <v>NORMAL</v>
      </c>
    </row>
    <row r="772" spans="1:12" x14ac:dyDescent="0.25">
      <c r="A772" s="3" t="s">
        <v>1510</v>
      </c>
      <c r="B772" s="3" t="s">
        <v>1511</v>
      </c>
      <c r="C772" s="1">
        <v>1</v>
      </c>
      <c r="D772" s="1">
        <v>100</v>
      </c>
      <c r="E772" s="1" t="s">
        <v>57</v>
      </c>
      <c r="F772" s="1" t="s">
        <v>3497</v>
      </c>
      <c r="G772" s="3"/>
      <c r="H772" s="11">
        <f t="shared" si="25"/>
        <v>480.24</v>
      </c>
      <c r="I772" s="9">
        <f>($K$2+0.02)*Tabla1[[#This Row],[PRECIO $]]*1.18</f>
        <v>410.64</v>
      </c>
      <c r="J772" s="7">
        <f>+Tabla1[[#This Row],[PRECIO EN SOLES]]-Tabla1[[#This Row],[PC]]</f>
        <v>69.600000000000023</v>
      </c>
      <c r="K772" s="15"/>
      <c r="L772" s="15" t="str">
        <f t="shared" si="24"/>
        <v>NORMAL</v>
      </c>
    </row>
    <row r="773" spans="1:12" x14ac:dyDescent="0.25">
      <c r="A773" s="3" t="s">
        <v>1512</v>
      </c>
      <c r="B773" s="3" t="s">
        <v>1513</v>
      </c>
      <c r="C773" s="1">
        <v>20</v>
      </c>
      <c r="D773" s="1">
        <v>5</v>
      </c>
      <c r="E773" s="1" t="s">
        <v>837</v>
      </c>
      <c r="F773" s="1" t="s">
        <v>3498</v>
      </c>
      <c r="G773" s="3"/>
      <c r="H773" s="11">
        <f t="shared" si="25"/>
        <v>25.61</v>
      </c>
      <c r="I773" s="9">
        <f>($K$2+0.02)*Tabla1[[#This Row],[PRECIO $]]*1.18</f>
        <v>20.531999999999996</v>
      </c>
      <c r="J773" s="7">
        <f>+Tabla1[[#This Row],[PRECIO EN SOLES]]-Tabla1[[#This Row],[PC]]</f>
        <v>5.078000000000003</v>
      </c>
      <c r="K773" s="15"/>
      <c r="L773" s="15" t="str">
        <f t="shared" si="24"/>
        <v>NORMAL</v>
      </c>
    </row>
    <row r="774" spans="1:12" x14ac:dyDescent="0.25">
      <c r="A774" s="3" t="s">
        <v>1514</v>
      </c>
      <c r="B774" s="3" t="s">
        <v>2969</v>
      </c>
      <c r="C774" s="1">
        <v>20</v>
      </c>
      <c r="D774" s="1">
        <v>5</v>
      </c>
      <c r="E774" s="1" t="s">
        <v>74</v>
      </c>
      <c r="F774" s="1" t="s">
        <v>3499</v>
      </c>
      <c r="G774" s="3"/>
      <c r="H774" s="11">
        <f t="shared" si="25"/>
        <v>25.61</v>
      </c>
      <c r="I774" s="9">
        <f>($K$2+0.02)*Tabla1[[#This Row],[PRECIO $]]*1.18</f>
        <v>20.531999999999996</v>
      </c>
      <c r="J774" s="7">
        <f>+Tabla1[[#This Row],[PRECIO EN SOLES]]-Tabla1[[#This Row],[PC]]</f>
        <v>5.078000000000003</v>
      </c>
      <c r="K774" s="15"/>
      <c r="L774" s="15" t="str">
        <f t="shared" si="24"/>
        <v>NORMAL</v>
      </c>
    </row>
    <row r="775" spans="1:12" x14ac:dyDescent="0.25">
      <c r="A775" s="3" t="s">
        <v>1515</v>
      </c>
      <c r="B775" s="3" t="s">
        <v>1516</v>
      </c>
      <c r="C775" s="1">
        <v>20</v>
      </c>
      <c r="D775" s="1">
        <v>100</v>
      </c>
      <c r="E775" s="1" t="s">
        <v>54</v>
      </c>
      <c r="F775" s="1" t="s">
        <v>3500</v>
      </c>
      <c r="G775" s="3"/>
      <c r="H775" s="11">
        <f t="shared" si="25"/>
        <v>480.24</v>
      </c>
      <c r="I775" s="9">
        <f>($K$2+0.02)*Tabla1[[#This Row],[PRECIO $]]*1.18</f>
        <v>410.64</v>
      </c>
      <c r="J775" s="7">
        <f>+Tabla1[[#This Row],[PRECIO EN SOLES]]-Tabla1[[#This Row],[PC]]</f>
        <v>69.600000000000023</v>
      </c>
      <c r="K775" s="15"/>
      <c r="L775" s="15" t="str">
        <f t="shared" si="24"/>
        <v>NORMAL</v>
      </c>
    </row>
    <row r="776" spans="1:12" x14ac:dyDescent="0.25">
      <c r="A776" s="3" t="s">
        <v>1517</v>
      </c>
      <c r="B776" s="3" t="s">
        <v>1518</v>
      </c>
      <c r="C776" s="1">
        <v>20</v>
      </c>
      <c r="D776" s="1">
        <v>100</v>
      </c>
      <c r="E776" s="1" t="s">
        <v>54</v>
      </c>
      <c r="F776" s="1" t="s">
        <v>3501</v>
      </c>
      <c r="G776" s="3"/>
      <c r="H776" s="11">
        <f t="shared" si="25"/>
        <v>480.24</v>
      </c>
      <c r="I776" s="9">
        <f>($K$2+0.02)*Tabla1[[#This Row],[PRECIO $]]*1.18</f>
        <v>410.64</v>
      </c>
      <c r="J776" s="7">
        <f>+Tabla1[[#This Row],[PRECIO EN SOLES]]-Tabla1[[#This Row],[PC]]</f>
        <v>69.600000000000023</v>
      </c>
      <c r="K776" s="15"/>
      <c r="L776" s="15" t="str">
        <f t="shared" si="24"/>
        <v>NORMAL</v>
      </c>
    </row>
    <row r="777" spans="1:12" x14ac:dyDescent="0.25">
      <c r="A777" s="3" t="s">
        <v>1519</v>
      </c>
      <c r="B777" s="3" t="s">
        <v>1520</v>
      </c>
      <c r="C777" s="1">
        <v>20</v>
      </c>
      <c r="D777" s="1">
        <v>666</v>
      </c>
      <c r="E777" s="1" t="s">
        <v>55</v>
      </c>
      <c r="F777" s="1" t="s">
        <v>3502</v>
      </c>
      <c r="G777" s="3"/>
      <c r="H777" s="11">
        <f t="shared" si="25"/>
        <v>3153.09</v>
      </c>
      <c r="I777" s="9">
        <f>($K$2+0.02)*Tabla1[[#This Row],[PRECIO $]]*1.18</f>
        <v>2734.8623999999995</v>
      </c>
      <c r="J777" s="7">
        <f>+Tabla1[[#This Row],[PRECIO EN SOLES]]-Tabla1[[#This Row],[PC]]</f>
        <v>418.22760000000062</v>
      </c>
      <c r="K777" s="15"/>
      <c r="L777" s="15" t="str">
        <f t="shared" si="24"/>
        <v>NORMAL</v>
      </c>
    </row>
    <row r="778" spans="1:12" x14ac:dyDescent="0.25">
      <c r="A778" s="3" t="s">
        <v>1521</v>
      </c>
      <c r="B778" s="3" t="s">
        <v>1522</v>
      </c>
      <c r="C778" s="1">
        <v>0</v>
      </c>
      <c r="D778" s="1">
        <v>666</v>
      </c>
      <c r="E778" s="1" t="s">
        <v>55</v>
      </c>
      <c r="F778" s="1" t="s">
        <v>3503</v>
      </c>
      <c r="G778" s="3"/>
      <c r="H778" s="11">
        <f t="shared" si="25"/>
        <v>3153.09</v>
      </c>
      <c r="I778" s="9">
        <f>($K$2+0.02)*Tabla1[[#This Row],[PRECIO $]]*1.18</f>
        <v>2734.8623999999995</v>
      </c>
      <c r="J778" s="7">
        <f>+Tabla1[[#This Row],[PRECIO EN SOLES]]-Tabla1[[#This Row],[PC]]</f>
        <v>418.22760000000062</v>
      </c>
      <c r="K778" s="15"/>
      <c r="L778" s="15" t="str">
        <f t="shared" si="24"/>
        <v>NORMAL</v>
      </c>
    </row>
    <row r="779" spans="1:12" x14ac:dyDescent="0.25">
      <c r="A779" s="3" t="s">
        <v>1523</v>
      </c>
      <c r="B779" s="3" t="s">
        <v>1524</v>
      </c>
      <c r="C779" s="1">
        <v>0</v>
      </c>
      <c r="D779" s="1">
        <v>99</v>
      </c>
      <c r="E779" s="1" t="s">
        <v>55</v>
      </c>
      <c r="F779" s="1" t="s">
        <v>3504</v>
      </c>
      <c r="G779" s="3"/>
      <c r="H779" s="11">
        <f t="shared" si="25"/>
        <v>475.51</v>
      </c>
      <c r="I779" s="9">
        <f>($K$2+0.02)*Tabla1[[#This Row],[PRECIO $]]*1.18</f>
        <v>406.53359999999998</v>
      </c>
      <c r="J779" s="7">
        <f>+Tabla1[[#This Row],[PRECIO EN SOLES]]-Tabla1[[#This Row],[PC]]</f>
        <v>68.976400000000012</v>
      </c>
      <c r="K779" s="15"/>
      <c r="L779" s="15" t="str">
        <f t="shared" si="24"/>
        <v>NORMAL</v>
      </c>
    </row>
    <row r="780" spans="1:12" x14ac:dyDescent="0.25">
      <c r="A780" s="3" t="s">
        <v>1525</v>
      </c>
      <c r="B780" s="3" t="s">
        <v>1526</v>
      </c>
      <c r="C780" s="1">
        <v>20</v>
      </c>
      <c r="D780" s="1">
        <v>6.5</v>
      </c>
      <c r="E780" s="1" t="s">
        <v>52</v>
      </c>
      <c r="F780" s="1" t="s">
        <v>3505</v>
      </c>
      <c r="G780" s="3"/>
      <c r="H780" s="11">
        <f t="shared" si="25"/>
        <v>32.700000000000003</v>
      </c>
      <c r="I780" s="9">
        <f>($K$2+0.02)*Tabla1[[#This Row],[PRECIO $]]*1.18</f>
        <v>26.691600000000001</v>
      </c>
      <c r="J780" s="7">
        <f>+Tabla1[[#This Row],[PRECIO EN SOLES]]-Tabla1[[#This Row],[PC]]</f>
        <v>6.0084000000000017</v>
      </c>
      <c r="K780" s="15"/>
      <c r="L780" s="15" t="str">
        <f t="shared" si="24"/>
        <v>NORMAL</v>
      </c>
    </row>
    <row r="781" spans="1:12" x14ac:dyDescent="0.25">
      <c r="A781" s="3" t="s">
        <v>1527</v>
      </c>
      <c r="B781" s="3" t="s">
        <v>1528</v>
      </c>
      <c r="C781" s="1">
        <v>0</v>
      </c>
      <c r="D781" s="1">
        <v>99</v>
      </c>
      <c r="E781" s="1" t="s">
        <v>52</v>
      </c>
      <c r="F781" s="1" t="s">
        <v>3506</v>
      </c>
      <c r="G781" s="3"/>
      <c r="H781" s="11">
        <f t="shared" si="25"/>
        <v>475.51</v>
      </c>
      <c r="I781" s="9">
        <f>($K$2+0.02)*Tabla1[[#This Row],[PRECIO $]]*1.18</f>
        <v>406.53359999999998</v>
      </c>
      <c r="J781" s="7">
        <f>+Tabla1[[#This Row],[PRECIO EN SOLES]]-Tabla1[[#This Row],[PC]]</f>
        <v>68.976400000000012</v>
      </c>
      <c r="K781" s="15"/>
      <c r="L781" s="15" t="str">
        <f t="shared" si="24"/>
        <v>NORMAL</v>
      </c>
    </row>
    <row r="782" spans="1:12" x14ac:dyDescent="0.25">
      <c r="A782" s="3" t="s">
        <v>1529</v>
      </c>
      <c r="B782" s="3" t="s">
        <v>1530</v>
      </c>
      <c r="C782" s="1">
        <v>0</v>
      </c>
      <c r="D782" s="1">
        <v>99</v>
      </c>
      <c r="E782" s="1" t="s">
        <v>52</v>
      </c>
      <c r="F782" s="1" t="s">
        <v>3507</v>
      </c>
      <c r="G782" s="3"/>
      <c r="H782" s="11">
        <f t="shared" si="25"/>
        <v>475.51</v>
      </c>
      <c r="I782" s="9">
        <f>($K$2+0.02)*Tabla1[[#This Row],[PRECIO $]]*1.18</f>
        <v>406.53359999999998</v>
      </c>
      <c r="J782" s="7">
        <f>+Tabla1[[#This Row],[PRECIO EN SOLES]]-Tabla1[[#This Row],[PC]]</f>
        <v>68.976400000000012</v>
      </c>
      <c r="K782" s="15"/>
      <c r="L782" s="15" t="str">
        <f t="shared" si="24"/>
        <v>NORMAL</v>
      </c>
    </row>
    <row r="783" spans="1:12" x14ac:dyDescent="0.25">
      <c r="A783" s="3" t="s">
        <v>1531</v>
      </c>
      <c r="B783" s="3" t="s">
        <v>1528</v>
      </c>
      <c r="C783" s="1">
        <v>20</v>
      </c>
      <c r="D783" s="1">
        <v>10</v>
      </c>
      <c r="E783" s="1" t="s">
        <v>52</v>
      </c>
      <c r="F783" s="1" t="s">
        <v>3508</v>
      </c>
      <c r="G783" s="3"/>
      <c r="H783" s="11">
        <f t="shared" si="25"/>
        <v>51.22</v>
      </c>
      <c r="I783" s="9">
        <f>($K$2+0.02)*Tabla1[[#This Row],[PRECIO $]]*1.18</f>
        <v>41.063999999999993</v>
      </c>
      <c r="J783" s="7">
        <f>+Tabla1[[#This Row],[PRECIO EN SOLES]]-Tabla1[[#This Row],[PC]]</f>
        <v>10.156000000000006</v>
      </c>
      <c r="K783" s="15"/>
      <c r="L783" s="15" t="str">
        <f t="shared" si="24"/>
        <v>NORMAL</v>
      </c>
    </row>
    <row r="784" spans="1:12" x14ac:dyDescent="0.25">
      <c r="A784" s="3" t="s">
        <v>1532</v>
      </c>
      <c r="B784" s="3" t="s">
        <v>1533</v>
      </c>
      <c r="C784" s="1">
        <v>20</v>
      </c>
      <c r="D784" s="1">
        <v>20</v>
      </c>
      <c r="E784" s="1" t="s">
        <v>52</v>
      </c>
      <c r="F784" s="1" t="s">
        <v>3509</v>
      </c>
      <c r="G784" s="3"/>
      <c r="H784" s="11">
        <f t="shared" si="25"/>
        <v>100.45</v>
      </c>
      <c r="I784" s="9">
        <f>($K$2+0.02)*Tabla1[[#This Row],[PRECIO $]]*1.18</f>
        <v>82.127999999999986</v>
      </c>
      <c r="J784" s="7">
        <f>+Tabla1[[#This Row],[PRECIO EN SOLES]]-Tabla1[[#This Row],[PC]]</f>
        <v>18.322000000000017</v>
      </c>
      <c r="K784" s="15"/>
      <c r="L784" s="15" t="str">
        <f t="shared" ref="L784:L847" si="26"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5" spans="1:12" x14ac:dyDescent="0.25">
      <c r="A785" s="3" t="s">
        <v>4300</v>
      </c>
      <c r="B785" s="3" t="s">
        <v>4301</v>
      </c>
      <c r="C785" s="1">
        <v>20</v>
      </c>
      <c r="D785" s="1">
        <v>50</v>
      </c>
      <c r="E785" s="1" t="s">
        <v>52</v>
      </c>
      <c r="F785" s="1" t="s">
        <v>4302</v>
      </c>
      <c r="G785" s="3"/>
      <c r="H785" s="11">
        <f t="shared" si="25"/>
        <v>244.12</v>
      </c>
      <c r="I785" s="9">
        <f>($K$2+0.02)*Tabla1[[#This Row],[PRECIO $]]*1.18</f>
        <v>205.32</v>
      </c>
      <c r="J785" s="7">
        <f>+Tabla1[[#This Row],[PRECIO EN SOLES]]-Tabla1[[#This Row],[PC]]</f>
        <v>38.800000000000011</v>
      </c>
      <c r="K785" s="15"/>
      <c r="L785" s="15" t="str">
        <f t="shared" si="26"/>
        <v>NORMAL</v>
      </c>
    </row>
    <row r="786" spans="1:12" x14ac:dyDescent="0.25">
      <c r="A786" s="3" t="s">
        <v>1534</v>
      </c>
      <c r="B786" s="3" t="s">
        <v>1535</v>
      </c>
      <c r="C786" s="1">
        <v>20</v>
      </c>
      <c r="D786" s="1">
        <v>50</v>
      </c>
      <c r="E786" s="1" t="s">
        <v>52</v>
      </c>
      <c r="F786" s="1" t="s">
        <v>3510</v>
      </c>
      <c r="G786" s="3"/>
      <c r="H786" s="11">
        <f t="shared" ref="H786:H849" si="27">ROUND(
IF(L784="GANCHO",
   IF(I786&lt;=50,I786*1.1+4,IF(I786&lt;=120,I786*1.1+7,IF(I786&lt;=250,I786*1.1+11,I786*1.1+19))),
IF(L784="NORMAL",
   IF(I786&lt;=30,I786*1.15+2,IF(I786&lt;=80,I786*1.15+4,IF(I786&lt;=150,I786*1.15+6,I786*1.15+8))),
IF(L784="COMPLEMENTO",
   IF(I786&lt;=25,I786*1.25+1.5,IF(I786&lt;=60,I786*1.25+3,IF(I786&lt;=120,I786*1.25+4,I786*1.25+5))),
""))),2)</f>
        <v>244.12</v>
      </c>
      <c r="I786" s="9">
        <f>($K$2+0.02)*Tabla1[[#This Row],[PRECIO $]]*1.18</f>
        <v>205.32</v>
      </c>
      <c r="J786" s="7">
        <f>+Tabla1[[#This Row],[PRECIO EN SOLES]]-Tabla1[[#This Row],[PC]]</f>
        <v>38.800000000000011</v>
      </c>
      <c r="K786" s="15"/>
      <c r="L786" s="15" t="str">
        <f t="shared" si="26"/>
        <v>NORMAL</v>
      </c>
    </row>
    <row r="787" spans="1:12" x14ac:dyDescent="0.25">
      <c r="A787" s="3" t="s">
        <v>2783</v>
      </c>
      <c r="B787" s="3" t="s">
        <v>2784</v>
      </c>
      <c r="C787" s="1">
        <v>4</v>
      </c>
      <c r="D787" s="1">
        <v>666</v>
      </c>
      <c r="E787" s="1" t="s">
        <v>55</v>
      </c>
      <c r="F787" s="1" t="s">
        <v>3511</v>
      </c>
      <c r="G787" s="3"/>
      <c r="H787" s="11">
        <f t="shared" si="27"/>
        <v>3153.09</v>
      </c>
      <c r="I787" s="9">
        <f>($K$2+0.02)*Tabla1[[#This Row],[PRECIO $]]*1.18</f>
        <v>2734.8623999999995</v>
      </c>
      <c r="J787" s="7">
        <f>+Tabla1[[#This Row],[PRECIO EN SOLES]]-Tabla1[[#This Row],[PC]]</f>
        <v>418.22760000000062</v>
      </c>
      <c r="K787" s="15"/>
      <c r="L787" s="15" t="str">
        <f t="shared" si="26"/>
        <v>NORMAL</v>
      </c>
    </row>
    <row r="788" spans="1:12" x14ac:dyDescent="0.25">
      <c r="A788" s="3" t="s">
        <v>1536</v>
      </c>
      <c r="B788" s="3" t="s">
        <v>1537</v>
      </c>
      <c r="C788" s="1">
        <v>20</v>
      </c>
      <c r="D788" s="1">
        <v>666</v>
      </c>
      <c r="E788" s="1" t="s">
        <v>55</v>
      </c>
      <c r="F788" s="1" t="s">
        <v>3512</v>
      </c>
      <c r="G788" s="3"/>
      <c r="H788" s="11">
        <f t="shared" si="27"/>
        <v>3153.09</v>
      </c>
      <c r="I788" s="9">
        <f>($K$2+0.02)*Tabla1[[#This Row],[PRECIO $]]*1.18</f>
        <v>2734.8623999999995</v>
      </c>
      <c r="J788" s="7">
        <f>+Tabla1[[#This Row],[PRECIO EN SOLES]]-Tabla1[[#This Row],[PC]]</f>
        <v>418.22760000000062</v>
      </c>
      <c r="K788" s="15"/>
      <c r="L788" s="15" t="str">
        <f t="shared" si="26"/>
        <v>NORMAL</v>
      </c>
    </row>
    <row r="789" spans="1:12" x14ac:dyDescent="0.25">
      <c r="A789" s="3" t="s">
        <v>3054</v>
      </c>
      <c r="B789" s="3" t="s">
        <v>3055</v>
      </c>
      <c r="C789" s="1">
        <v>20</v>
      </c>
      <c r="D789" s="1">
        <v>0.06</v>
      </c>
      <c r="E789" s="1" t="s">
        <v>57</v>
      </c>
      <c r="F789" s="1" t="s">
        <v>3513</v>
      </c>
      <c r="G789" s="3"/>
      <c r="H789" s="11">
        <f t="shared" si="27"/>
        <v>2.2799999999999998</v>
      </c>
      <c r="I789" s="9">
        <f>($K$2+0.02)*Tabla1[[#This Row],[PRECIO $]]*1.18</f>
        <v>0.24638399999999996</v>
      </c>
      <c r="J789" s="7">
        <f>+Tabla1[[#This Row],[PRECIO EN SOLES]]-Tabla1[[#This Row],[PC]]</f>
        <v>2.0336159999999999</v>
      </c>
      <c r="K789" s="15"/>
      <c r="L789" s="15" t="str">
        <f t="shared" si="26"/>
        <v>NORMAL</v>
      </c>
    </row>
    <row r="790" spans="1:12" x14ac:dyDescent="0.25">
      <c r="A790" s="3" t="s">
        <v>6489</v>
      </c>
      <c r="B790" s="3" t="s">
        <v>6490</v>
      </c>
      <c r="C790" s="1">
        <v>0</v>
      </c>
      <c r="D790" s="1">
        <v>9999</v>
      </c>
      <c r="E790" s="1" t="s">
        <v>56</v>
      </c>
      <c r="F790" s="1" t="s">
        <v>6491</v>
      </c>
      <c r="G790" s="3"/>
      <c r="H790" s="11">
        <f t="shared" si="27"/>
        <v>47226.879999999997</v>
      </c>
      <c r="I790" s="9">
        <f>($K$2+0.02)*Tabla1[[#This Row],[PRECIO $]]*1.18</f>
        <v>41059.893599999996</v>
      </c>
      <c r="J790" s="7">
        <f>+Tabla1[[#This Row],[PRECIO EN SOLES]]-Tabla1[[#This Row],[PC]]</f>
        <v>6166.9864000000016</v>
      </c>
      <c r="K790" s="15"/>
      <c r="L790" s="15" t="str">
        <f t="shared" si="26"/>
        <v>NORMAL</v>
      </c>
    </row>
    <row r="791" spans="1:12" x14ac:dyDescent="0.25">
      <c r="A791" s="3" t="s">
        <v>1538</v>
      </c>
      <c r="B791" s="3" t="s">
        <v>1539</v>
      </c>
      <c r="C791" s="1">
        <v>0</v>
      </c>
      <c r="D791" s="1">
        <v>600</v>
      </c>
      <c r="E791" s="1" t="s">
        <v>57</v>
      </c>
      <c r="F791" s="1" t="s">
        <v>3514</v>
      </c>
      <c r="G791" s="3"/>
      <c r="H791" s="11">
        <f t="shared" si="27"/>
        <v>2841.42</v>
      </c>
      <c r="I791" s="9">
        <f>($K$2+0.02)*Tabla1[[#This Row],[PRECIO $]]*1.18</f>
        <v>2463.8399999999997</v>
      </c>
      <c r="J791" s="7">
        <f>+Tabla1[[#This Row],[PRECIO EN SOLES]]-Tabla1[[#This Row],[PC]]</f>
        <v>377.58000000000038</v>
      </c>
      <c r="K791" s="15"/>
      <c r="L791" s="15" t="str">
        <f t="shared" si="26"/>
        <v>NORMAL</v>
      </c>
    </row>
    <row r="792" spans="1:12" x14ac:dyDescent="0.25">
      <c r="A792" s="3" t="s">
        <v>2970</v>
      </c>
      <c r="B792" s="3" t="s">
        <v>2971</v>
      </c>
      <c r="C792" s="1">
        <v>20</v>
      </c>
      <c r="D792" s="1">
        <v>666</v>
      </c>
      <c r="E792" s="1" t="s">
        <v>276</v>
      </c>
      <c r="F792" s="1" t="s">
        <v>3515</v>
      </c>
      <c r="G792" s="3"/>
      <c r="H792" s="11">
        <f t="shared" si="27"/>
        <v>3153.09</v>
      </c>
      <c r="I792" s="9">
        <f>($K$2+0.02)*Tabla1[[#This Row],[PRECIO $]]*1.18</f>
        <v>2734.8623999999995</v>
      </c>
      <c r="J792" s="7">
        <f>+Tabla1[[#This Row],[PRECIO EN SOLES]]-Tabla1[[#This Row],[PC]]</f>
        <v>418.22760000000062</v>
      </c>
      <c r="K792" s="15"/>
      <c r="L792" s="15" t="str">
        <f t="shared" si="26"/>
        <v>NORMAL</v>
      </c>
    </row>
    <row r="793" spans="1:12" x14ac:dyDescent="0.25">
      <c r="A793" s="3" t="s">
        <v>6492</v>
      </c>
      <c r="B793" s="3" t="s">
        <v>6493</v>
      </c>
      <c r="C793" s="1">
        <v>20</v>
      </c>
      <c r="D793" s="1">
        <v>666</v>
      </c>
      <c r="E793" s="1" t="s">
        <v>249</v>
      </c>
      <c r="F793" s="1" t="s">
        <v>6494</v>
      </c>
      <c r="G793" s="3"/>
      <c r="H793" s="11">
        <f t="shared" si="27"/>
        <v>3153.09</v>
      </c>
      <c r="I793" s="9">
        <f>($K$2+0.02)*Tabla1[[#This Row],[PRECIO $]]*1.18</f>
        <v>2734.8623999999995</v>
      </c>
      <c r="J793" s="7">
        <f>+Tabla1[[#This Row],[PRECIO EN SOLES]]-Tabla1[[#This Row],[PC]]</f>
        <v>418.22760000000062</v>
      </c>
      <c r="K793" s="15"/>
      <c r="L793" s="15" t="str">
        <f t="shared" si="26"/>
        <v>NORMAL</v>
      </c>
    </row>
    <row r="794" spans="1:12" x14ac:dyDescent="0.25">
      <c r="A794" s="3" t="s">
        <v>1540</v>
      </c>
      <c r="B794" s="3" t="s">
        <v>1541</v>
      </c>
      <c r="C794" s="1">
        <v>0</v>
      </c>
      <c r="D794" s="1">
        <v>600</v>
      </c>
      <c r="E794" s="1" t="s">
        <v>55</v>
      </c>
      <c r="F794" s="1" t="s">
        <v>3516</v>
      </c>
      <c r="G794" s="3"/>
      <c r="H794" s="11">
        <f t="shared" si="27"/>
        <v>2841.42</v>
      </c>
      <c r="I794" s="9">
        <f>($K$2+0.02)*Tabla1[[#This Row],[PRECIO $]]*1.18</f>
        <v>2463.8399999999997</v>
      </c>
      <c r="J794" s="7">
        <f>+Tabla1[[#This Row],[PRECIO EN SOLES]]-Tabla1[[#This Row],[PC]]</f>
        <v>377.58000000000038</v>
      </c>
      <c r="K794" s="15"/>
      <c r="L794" s="15" t="str">
        <f t="shared" si="26"/>
        <v>NORMAL</v>
      </c>
    </row>
    <row r="795" spans="1:12" x14ac:dyDescent="0.25">
      <c r="A795" s="3" t="s">
        <v>1542</v>
      </c>
      <c r="B795" s="3" t="s">
        <v>2785</v>
      </c>
      <c r="C795" s="1">
        <v>20</v>
      </c>
      <c r="D795" s="1">
        <v>600</v>
      </c>
      <c r="E795" s="1" t="s">
        <v>55</v>
      </c>
      <c r="F795" s="1" t="s">
        <v>3517</v>
      </c>
      <c r="G795" s="3"/>
      <c r="H795" s="11">
        <f t="shared" si="27"/>
        <v>2841.42</v>
      </c>
      <c r="I795" s="9">
        <f>($K$2+0.02)*Tabla1[[#This Row],[PRECIO $]]*1.18</f>
        <v>2463.8399999999997</v>
      </c>
      <c r="J795" s="7">
        <f>+Tabla1[[#This Row],[PRECIO EN SOLES]]-Tabla1[[#This Row],[PC]]</f>
        <v>377.58000000000038</v>
      </c>
      <c r="K795" s="15"/>
      <c r="L795" s="15" t="str">
        <f t="shared" si="26"/>
        <v>NORMAL</v>
      </c>
    </row>
    <row r="796" spans="1:12" x14ac:dyDescent="0.25">
      <c r="A796" s="3" t="s">
        <v>2882</v>
      </c>
      <c r="B796" s="3" t="s">
        <v>2883</v>
      </c>
      <c r="C796" s="1">
        <v>0</v>
      </c>
      <c r="D796" s="1">
        <v>9999999.9900000002</v>
      </c>
      <c r="E796" s="1" t="s">
        <v>276</v>
      </c>
      <c r="F796" s="1" t="s">
        <v>3518</v>
      </c>
      <c r="G796" s="3"/>
      <c r="H796" s="11">
        <f t="shared" si="27"/>
        <v>47223607.950000003</v>
      </c>
      <c r="I796" s="9">
        <f>($K$2+0.02)*Tabla1[[#This Row],[PRECIO $]]*1.18</f>
        <v>41063999.958935998</v>
      </c>
      <c r="J796" s="7">
        <f>+Tabla1[[#This Row],[PRECIO EN SOLES]]-Tabla1[[#This Row],[PC]]</f>
        <v>6159607.9910640046</v>
      </c>
      <c r="K796" s="15"/>
      <c r="L796" s="15" t="str">
        <f t="shared" si="26"/>
        <v>NORMAL</v>
      </c>
    </row>
    <row r="797" spans="1:12" x14ac:dyDescent="0.25">
      <c r="A797" s="3" t="s">
        <v>1543</v>
      </c>
      <c r="B797" s="3" t="s">
        <v>1544</v>
      </c>
      <c r="C797" s="1">
        <v>20</v>
      </c>
      <c r="D797" s="1">
        <v>600</v>
      </c>
      <c r="E797" s="1" t="s">
        <v>55</v>
      </c>
      <c r="F797" s="1" t="s">
        <v>3519</v>
      </c>
      <c r="G797" s="3"/>
      <c r="H797" s="11">
        <f t="shared" si="27"/>
        <v>2841.42</v>
      </c>
      <c r="I797" s="9">
        <f>($K$2+0.02)*Tabla1[[#This Row],[PRECIO $]]*1.18</f>
        <v>2463.8399999999997</v>
      </c>
      <c r="J797" s="7">
        <f>+Tabla1[[#This Row],[PRECIO EN SOLES]]-Tabla1[[#This Row],[PC]]</f>
        <v>377.58000000000038</v>
      </c>
      <c r="K797" s="15"/>
      <c r="L797" s="15" t="str">
        <f t="shared" si="26"/>
        <v>NORMAL</v>
      </c>
    </row>
    <row r="798" spans="1:12" x14ac:dyDescent="0.25">
      <c r="A798" s="3" t="s">
        <v>1545</v>
      </c>
      <c r="B798" s="3" t="s">
        <v>1546</v>
      </c>
      <c r="C798" s="1">
        <v>0</v>
      </c>
      <c r="D798" s="1">
        <v>666</v>
      </c>
      <c r="E798" s="1" t="s">
        <v>57</v>
      </c>
      <c r="F798" s="1" t="s">
        <v>3520</v>
      </c>
      <c r="G798" s="3"/>
      <c r="H798" s="11">
        <f t="shared" si="27"/>
        <v>3153.09</v>
      </c>
      <c r="I798" s="9">
        <f>($K$2+0.02)*Tabla1[[#This Row],[PRECIO $]]*1.18</f>
        <v>2734.8623999999995</v>
      </c>
      <c r="J798" s="7">
        <f>+Tabla1[[#This Row],[PRECIO EN SOLES]]-Tabla1[[#This Row],[PC]]</f>
        <v>418.22760000000062</v>
      </c>
      <c r="K798" s="15"/>
      <c r="L798" s="15" t="str">
        <f t="shared" si="26"/>
        <v>NORMAL</v>
      </c>
    </row>
    <row r="799" spans="1:12" x14ac:dyDescent="0.25">
      <c r="A799" s="3" t="s">
        <v>1547</v>
      </c>
      <c r="B799" s="3" t="s">
        <v>1548</v>
      </c>
      <c r="C799" s="1">
        <v>0</v>
      </c>
      <c r="D799" s="1">
        <v>999</v>
      </c>
      <c r="E799" s="1" t="s">
        <v>1549</v>
      </c>
      <c r="F799" s="1" t="s">
        <v>3521</v>
      </c>
      <c r="G799" s="3"/>
      <c r="H799" s="11">
        <f t="shared" si="27"/>
        <v>4725.6400000000003</v>
      </c>
      <c r="I799" s="9">
        <f>($K$2+0.02)*Tabla1[[#This Row],[PRECIO $]]*1.18</f>
        <v>4102.2936</v>
      </c>
      <c r="J799" s="7">
        <f>+Tabla1[[#This Row],[PRECIO EN SOLES]]-Tabla1[[#This Row],[PC]]</f>
        <v>623.34640000000036</v>
      </c>
      <c r="K799" s="15"/>
      <c r="L799" s="15" t="str">
        <f t="shared" si="26"/>
        <v>NORMAL</v>
      </c>
    </row>
    <row r="800" spans="1:12" x14ac:dyDescent="0.25">
      <c r="A800" s="3" t="s">
        <v>4979</v>
      </c>
      <c r="B800" s="3" t="s">
        <v>4980</v>
      </c>
      <c r="C800" s="1">
        <v>0</v>
      </c>
      <c r="D800" s="1">
        <v>666</v>
      </c>
      <c r="E800" s="1" t="s">
        <v>4981</v>
      </c>
      <c r="F800" s="1" t="s">
        <v>4982</v>
      </c>
      <c r="G800" s="3"/>
      <c r="H800" s="11">
        <f t="shared" si="27"/>
        <v>3153.09</v>
      </c>
      <c r="I800" s="9">
        <f>($K$2+0.02)*Tabla1[[#This Row],[PRECIO $]]*1.18</f>
        <v>2734.8623999999995</v>
      </c>
      <c r="J800" s="7">
        <f>+Tabla1[[#This Row],[PRECIO EN SOLES]]-Tabla1[[#This Row],[PC]]</f>
        <v>418.22760000000062</v>
      </c>
      <c r="K800" s="15"/>
      <c r="L800" s="15" t="str">
        <f t="shared" si="26"/>
        <v>NORMAL</v>
      </c>
    </row>
    <row r="801" spans="1:12" x14ac:dyDescent="0.25">
      <c r="A801" s="3" t="s">
        <v>4303</v>
      </c>
      <c r="B801" s="3" t="s">
        <v>4304</v>
      </c>
      <c r="C801" s="1">
        <v>0</v>
      </c>
      <c r="D801" s="1">
        <v>666</v>
      </c>
      <c r="E801" s="1" t="s">
        <v>276</v>
      </c>
      <c r="F801" s="1" t="s">
        <v>4305</v>
      </c>
      <c r="G801" s="3"/>
      <c r="H801" s="11">
        <f t="shared" si="27"/>
        <v>3153.09</v>
      </c>
      <c r="I801" s="9">
        <f>($K$2+0.02)*Tabla1[[#This Row],[PRECIO $]]*1.18</f>
        <v>2734.8623999999995</v>
      </c>
      <c r="J801" s="7">
        <f>+Tabla1[[#This Row],[PRECIO EN SOLES]]-Tabla1[[#This Row],[PC]]</f>
        <v>418.22760000000062</v>
      </c>
      <c r="K801" s="15"/>
      <c r="L801" s="15" t="str">
        <f t="shared" si="26"/>
        <v>NORMAL</v>
      </c>
    </row>
    <row r="802" spans="1:12" x14ac:dyDescent="0.25">
      <c r="A802" s="3" t="s">
        <v>6601</v>
      </c>
      <c r="B802" s="3" t="s">
        <v>6602</v>
      </c>
      <c r="C802" s="1">
        <v>20</v>
      </c>
      <c r="D802" s="1">
        <v>666</v>
      </c>
      <c r="E802" s="1" t="s">
        <v>249</v>
      </c>
      <c r="F802" s="1" t="s">
        <v>6603</v>
      </c>
      <c r="G802" s="3"/>
      <c r="H802" s="11">
        <f t="shared" si="27"/>
        <v>3153.09</v>
      </c>
      <c r="I802" s="9">
        <f>($K$2+0.02)*Tabla1[[#This Row],[PRECIO $]]*1.18</f>
        <v>2734.8623999999995</v>
      </c>
      <c r="J802" s="7">
        <f>+Tabla1[[#This Row],[PRECIO EN SOLES]]-Tabla1[[#This Row],[PC]]</f>
        <v>418.22760000000062</v>
      </c>
      <c r="K802" s="15"/>
      <c r="L802" s="15" t="str">
        <f t="shared" si="26"/>
        <v>NORMAL</v>
      </c>
    </row>
    <row r="803" spans="1:12" x14ac:dyDescent="0.25">
      <c r="A803" s="3" t="s">
        <v>1550</v>
      </c>
      <c r="B803" s="3" t="s">
        <v>2786</v>
      </c>
      <c r="C803" s="1">
        <v>0</v>
      </c>
      <c r="D803" s="1">
        <v>600</v>
      </c>
      <c r="E803" s="1" t="s">
        <v>55</v>
      </c>
      <c r="F803" s="1" t="s">
        <v>3522</v>
      </c>
      <c r="G803" s="3"/>
      <c r="H803" s="11">
        <f t="shared" si="27"/>
        <v>2841.42</v>
      </c>
      <c r="I803" s="9">
        <f>($K$2+0.02)*Tabla1[[#This Row],[PRECIO $]]*1.18</f>
        <v>2463.8399999999997</v>
      </c>
      <c r="J803" s="7">
        <f>+Tabla1[[#This Row],[PRECIO EN SOLES]]-Tabla1[[#This Row],[PC]]</f>
        <v>377.58000000000038</v>
      </c>
      <c r="K803" s="15"/>
      <c r="L803" s="15" t="str">
        <f t="shared" si="26"/>
        <v>NORMAL</v>
      </c>
    </row>
    <row r="804" spans="1:12" x14ac:dyDescent="0.25">
      <c r="A804" s="3" t="s">
        <v>1551</v>
      </c>
      <c r="B804" s="3" t="s">
        <v>1552</v>
      </c>
      <c r="C804" s="1">
        <v>20</v>
      </c>
      <c r="D804" s="1">
        <v>666</v>
      </c>
      <c r="E804" s="1" t="s">
        <v>170</v>
      </c>
      <c r="F804" s="1" t="s">
        <v>3523</v>
      </c>
      <c r="G804" s="3"/>
      <c r="H804" s="11">
        <f t="shared" si="27"/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 t="shared" si="26"/>
        <v>NORMAL</v>
      </c>
    </row>
    <row r="805" spans="1:12" x14ac:dyDescent="0.25">
      <c r="A805" s="3" t="s">
        <v>5674</v>
      </c>
      <c r="B805" s="3" t="s">
        <v>5675</v>
      </c>
      <c r="C805" s="1">
        <v>0</v>
      </c>
      <c r="D805" s="1">
        <v>999</v>
      </c>
      <c r="E805" s="1" t="s">
        <v>218</v>
      </c>
      <c r="F805" s="1" t="s">
        <v>5676</v>
      </c>
      <c r="G805" s="3"/>
      <c r="H805" s="11">
        <f t="shared" si="27"/>
        <v>4725.6400000000003</v>
      </c>
      <c r="I805" s="9">
        <f>($K$2+0.02)*Tabla1[[#This Row],[PRECIO $]]*1.18</f>
        <v>4102.2936</v>
      </c>
      <c r="J805" s="7">
        <f>+Tabla1[[#This Row],[PRECIO EN SOLES]]-Tabla1[[#This Row],[PC]]</f>
        <v>623.34640000000036</v>
      </c>
      <c r="K805" s="15"/>
      <c r="L805" s="15" t="str">
        <f t="shared" si="26"/>
        <v>NORMAL</v>
      </c>
    </row>
    <row r="806" spans="1:12" x14ac:dyDescent="0.25">
      <c r="A806" s="3" t="s">
        <v>1553</v>
      </c>
      <c r="B806" s="3" t="s">
        <v>1554</v>
      </c>
      <c r="C806" s="1">
        <v>20</v>
      </c>
      <c r="D806" s="1">
        <v>666</v>
      </c>
      <c r="E806" s="1" t="s">
        <v>170</v>
      </c>
      <c r="F806" s="1" t="s">
        <v>3524</v>
      </c>
      <c r="G806" s="3"/>
      <c r="H806" s="11">
        <f t="shared" si="27"/>
        <v>3153.09</v>
      </c>
      <c r="I806" s="9">
        <f>($K$2+0.02)*Tabla1[[#This Row],[PRECIO $]]*1.18</f>
        <v>2734.8623999999995</v>
      </c>
      <c r="J806" s="7">
        <f>+Tabla1[[#This Row],[PRECIO EN SOLES]]-Tabla1[[#This Row],[PC]]</f>
        <v>418.22760000000062</v>
      </c>
      <c r="K806" s="15"/>
      <c r="L806" s="15" t="str">
        <f t="shared" si="26"/>
        <v>NORMAL</v>
      </c>
    </row>
    <row r="807" spans="1:12" x14ac:dyDescent="0.25">
      <c r="A807" s="3" t="s">
        <v>6743</v>
      </c>
      <c r="B807" s="3" t="s">
        <v>6744</v>
      </c>
      <c r="C807" s="1">
        <v>0</v>
      </c>
      <c r="D807" s="1">
        <v>999</v>
      </c>
      <c r="E807" s="1" t="s">
        <v>56</v>
      </c>
      <c r="F807" s="1" t="s">
        <v>6745</v>
      </c>
      <c r="G807" s="3"/>
      <c r="H807" s="11">
        <f t="shared" si="27"/>
        <v>4725.6400000000003</v>
      </c>
      <c r="I807" s="9">
        <f>($K$2+0.02)*Tabla1[[#This Row],[PRECIO $]]*1.18</f>
        <v>4102.2936</v>
      </c>
      <c r="J807" s="7">
        <f>+Tabla1[[#This Row],[PRECIO EN SOLES]]-Tabla1[[#This Row],[PC]]</f>
        <v>623.34640000000036</v>
      </c>
      <c r="K807" s="15"/>
      <c r="L807" s="15" t="str">
        <f t="shared" si="26"/>
        <v>NORMAL</v>
      </c>
    </row>
    <row r="808" spans="1:12" x14ac:dyDescent="0.25">
      <c r="A808" s="3" t="s">
        <v>5160</v>
      </c>
      <c r="B808" s="3" t="s">
        <v>5161</v>
      </c>
      <c r="C808" s="1">
        <v>0</v>
      </c>
      <c r="D808" s="1">
        <v>999</v>
      </c>
      <c r="E808" s="1" t="s">
        <v>218</v>
      </c>
      <c r="F808" s="1" t="s">
        <v>5162</v>
      </c>
      <c r="G808" s="3"/>
      <c r="H808" s="11">
        <f t="shared" si="27"/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 t="shared" si="26"/>
        <v>NORMAL</v>
      </c>
    </row>
    <row r="809" spans="1:12" x14ac:dyDescent="0.25">
      <c r="A809" s="3" t="s">
        <v>1555</v>
      </c>
      <c r="B809" s="3" t="s">
        <v>1556</v>
      </c>
      <c r="C809" s="1">
        <v>20</v>
      </c>
      <c r="D809" s="1">
        <v>10</v>
      </c>
      <c r="E809" s="1" t="s">
        <v>57</v>
      </c>
      <c r="F809" s="1" t="s">
        <v>3525</v>
      </c>
      <c r="G809" s="3"/>
      <c r="H809" s="11">
        <f t="shared" si="27"/>
        <v>51.22</v>
      </c>
      <c r="I809" s="9">
        <f>($K$2+0.02)*Tabla1[[#This Row],[PRECIO $]]*1.18</f>
        <v>41.063999999999993</v>
      </c>
      <c r="J809" s="7">
        <f>+Tabla1[[#This Row],[PRECIO EN SOLES]]-Tabla1[[#This Row],[PC]]</f>
        <v>10.156000000000006</v>
      </c>
      <c r="K809" s="15"/>
      <c r="L809" s="15" t="str">
        <f t="shared" si="26"/>
        <v>NORMAL</v>
      </c>
    </row>
    <row r="810" spans="1:12" x14ac:dyDescent="0.25">
      <c r="A810" s="3" t="s">
        <v>1557</v>
      </c>
      <c r="B810" s="3" t="s">
        <v>1558</v>
      </c>
      <c r="C810" s="1">
        <v>0</v>
      </c>
      <c r="D810" s="1">
        <v>999</v>
      </c>
      <c r="E810" s="1" t="s">
        <v>249</v>
      </c>
      <c r="F810" s="1" t="s">
        <v>3526</v>
      </c>
      <c r="G810" s="3"/>
      <c r="H810" s="11">
        <f t="shared" si="27"/>
        <v>4725.6400000000003</v>
      </c>
      <c r="I810" s="9">
        <f>($K$2+0.02)*Tabla1[[#This Row],[PRECIO $]]*1.18</f>
        <v>4102.2936</v>
      </c>
      <c r="J810" s="7">
        <f>+Tabla1[[#This Row],[PRECIO EN SOLES]]-Tabla1[[#This Row],[PC]]</f>
        <v>623.34640000000036</v>
      </c>
      <c r="K810" s="15"/>
      <c r="L810" s="15" t="str">
        <f t="shared" si="26"/>
        <v>COMPLEMENTO</v>
      </c>
    </row>
    <row r="811" spans="1:12" x14ac:dyDescent="0.25">
      <c r="A811" s="3" t="s">
        <v>1559</v>
      </c>
      <c r="B811" s="3" t="s">
        <v>1560</v>
      </c>
      <c r="C811" s="1">
        <v>20</v>
      </c>
      <c r="D811" s="1">
        <v>6.2</v>
      </c>
      <c r="E811" s="1" t="s">
        <v>52</v>
      </c>
      <c r="F811" s="1" t="s">
        <v>3527</v>
      </c>
      <c r="G811" s="3"/>
      <c r="H811" s="11">
        <f t="shared" si="27"/>
        <v>31.28</v>
      </c>
      <c r="I811" s="9">
        <f>($K$2+0.02)*Tabla1[[#This Row],[PRECIO $]]*1.18</f>
        <v>25.459679999999999</v>
      </c>
      <c r="J811" s="7">
        <f>+Tabla1[[#This Row],[PRECIO EN SOLES]]-Tabla1[[#This Row],[PC]]</f>
        <v>5.8203200000000024</v>
      </c>
      <c r="K811" s="15"/>
      <c r="L811" s="15" t="str">
        <f t="shared" si="26"/>
        <v>COMPLEMENTO</v>
      </c>
    </row>
    <row r="812" spans="1:12" x14ac:dyDescent="0.25">
      <c r="A812" s="3" t="s">
        <v>1561</v>
      </c>
      <c r="B812" s="3" t="s">
        <v>2787</v>
      </c>
      <c r="C812" s="1">
        <v>20</v>
      </c>
      <c r="D812" s="1">
        <v>600</v>
      </c>
      <c r="E812" s="1" t="s">
        <v>55</v>
      </c>
      <c r="F812" s="1" t="s">
        <v>3528</v>
      </c>
      <c r="G812" s="3"/>
      <c r="H812" s="11">
        <f t="shared" si="27"/>
        <v>3084.8</v>
      </c>
      <c r="I812" s="9">
        <f>($K$2+0.02)*Tabla1[[#This Row],[PRECIO $]]*1.18</f>
        <v>2463.8399999999997</v>
      </c>
      <c r="J812" s="7">
        <f>+Tabla1[[#This Row],[PRECIO EN SOLES]]-Tabla1[[#This Row],[PC]]</f>
        <v>620.96000000000049</v>
      </c>
      <c r="K812" s="15"/>
      <c r="L812" s="15" t="str">
        <f t="shared" si="26"/>
        <v>NORMAL</v>
      </c>
    </row>
    <row r="813" spans="1:12" x14ac:dyDescent="0.25">
      <c r="A813" s="3" t="s">
        <v>1562</v>
      </c>
      <c r="B813" s="3" t="s">
        <v>6495</v>
      </c>
      <c r="C813" s="1">
        <v>11</v>
      </c>
      <c r="D813" s="1">
        <v>50</v>
      </c>
      <c r="E813" s="1" t="s">
        <v>52</v>
      </c>
      <c r="F813" s="1" t="s">
        <v>3529</v>
      </c>
      <c r="G813" s="3"/>
      <c r="H813" s="11">
        <f t="shared" si="27"/>
        <v>261.64999999999998</v>
      </c>
      <c r="I813" s="9">
        <f>($K$2+0.02)*Tabla1[[#This Row],[PRECIO $]]*1.18</f>
        <v>205.32</v>
      </c>
      <c r="J813" s="7">
        <f>+Tabla1[[#This Row],[PRECIO EN SOLES]]-Tabla1[[#This Row],[PC]]</f>
        <v>56.329999999999984</v>
      </c>
      <c r="K813" s="15"/>
      <c r="L813" s="15" t="str">
        <f t="shared" si="26"/>
        <v>NORMAL</v>
      </c>
    </row>
    <row r="814" spans="1:12" x14ac:dyDescent="0.25">
      <c r="A814" s="3" t="s">
        <v>6496</v>
      </c>
      <c r="B814" s="3" t="s">
        <v>6497</v>
      </c>
      <c r="C814" s="1">
        <v>20</v>
      </c>
      <c r="D814" s="1">
        <v>666</v>
      </c>
      <c r="E814" s="1" t="s">
        <v>249</v>
      </c>
      <c r="F814" s="1" t="s">
        <v>6498</v>
      </c>
      <c r="G814" s="3"/>
      <c r="H814" s="11">
        <f t="shared" si="27"/>
        <v>3153.09</v>
      </c>
      <c r="I814" s="9">
        <f>($K$2+0.02)*Tabla1[[#This Row],[PRECIO $]]*1.18</f>
        <v>2734.8623999999995</v>
      </c>
      <c r="J814" s="7">
        <f>+Tabla1[[#This Row],[PRECIO EN SOLES]]-Tabla1[[#This Row],[PC]]</f>
        <v>418.22760000000062</v>
      </c>
      <c r="K814" s="15"/>
      <c r="L814" s="15" t="str">
        <f t="shared" si="26"/>
        <v>NORMAL</v>
      </c>
    </row>
    <row r="815" spans="1:12" x14ac:dyDescent="0.25">
      <c r="A815" s="3" t="s">
        <v>6310</v>
      </c>
      <c r="B815" s="3" t="s">
        <v>6311</v>
      </c>
      <c r="C815" s="1">
        <v>1</v>
      </c>
      <c r="D815" s="1">
        <v>666</v>
      </c>
      <c r="E815" s="1" t="s">
        <v>57</v>
      </c>
      <c r="F815" s="1" t="s">
        <v>6312</v>
      </c>
      <c r="G815" s="3"/>
      <c r="H815" s="11">
        <f t="shared" si="27"/>
        <v>3153.09</v>
      </c>
      <c r="I815" s="9">
        <f>($K$2+0.02)*Tabla1[[#This Row],[PRECIO $]]*1.18</f>
        <v>2734.8623999999995</v>
      </c>
      <c r="J815" s="7">
        <f>+Tabla1[[#This Row],[PRECIO EN SOLES]]-Tabla1[[#This Row],[PC]]</f>
        <v>418.22760000000062</v>
      </c>
      <c r="K815" s="15"/>
      <c r="L815" s="15" t="str">
        <f t="shared" si="26"/>
        <v>NORMAL</v>
      </c>
    </row>
    <row r="816" spans="1:12" x14ac:dyDescent="0.25">
      <c r="A816" s="3" t="s">
        <v>1563</v>
      </c>
      <c r="B816" s="3" t="s">
        <v>1564</v>
      </c>
      <c r="C816" s="1">
        <v>20</v>
      </c>
      <c r="D816" s="1">
        <v>55</v>
      </c>
      <c r="E816" s="1" t="s">
        <v>249</v>
      </c>
      <c r="F816" s="1" t="s">
        <v>3530</v>
      </c>
      <c r="G816" s="3"/>
      <c r="H816" s="11">
        <f t="shared" si="27"/>
        <v>267.73</v>
      </c>
      <c r="I816" s="9">
        <f>($K$2+0.02)*Tabla1[[#This Row],[PRECIO $]]*1.18</f>
        <v>225.852</v>
      </c>
      <c r="J816" s="7">
        <f>+Tabla1[[#This Row],[PRECIO EN SOLES]]-Tabla1[[#This Row],[PC]]</f>
        <v>41.878000000000014</v>
      </c>
      <c r="K816" s="15"/>
      <c r="L816" s="15" t="str">
        <f t="shared" si="26"/>
        <v>NORMAL</v>
      </c>
    </row>
    <row r="817" spans="1:12" x14ac:dyDescent="0.25">
      <c r="A817" s="3" t="s">
        <v>1565</v>
      </c>
      <c r="B817" s="3" t="s">
        <v>1566</v>
      </c>
      <c r="C817" s="1">
        <v>5</v>
      </c>
      <c r="D817" s="1">
        <v>55</v>
      </c>
      <c r="E817" s="1" t="s">
        <v>249</v>
      </c>
      <c r="F817" s="1" t="s">
        <v>3531</v>
      </c>
      <c r="G817" s="3"/>
      <c r="H817" s="11">
        <f t="shared" si="27"/>
        <v>267.73</v>
      </c>
      <c r="I817" s="9">
        <f>($K$2+0.02)*Tabla1[[#This Row],[PRECIO $]]*1.18</f>
        <v>225.852</v>
      </c>
      <c r="J817" s="7">
        <f>+Tabla1[[#This Row],[PRECIO EN SOLES]]-Tabla1[[#This Row],[PC]]</f>
        <v>41.878000000000014</v>
      </c>
      <c r="K817" s="15"/>
      <c r="L817" s="15" t="str">
        <f t="shared" si="26"/>
        <v>NORMAL</v>
      </c>
    </row>
    <row r="818" spans="1:12" x14ac:dyDescent="0.25">
      <c r="A818" s="3" t="s">
        <v>1567</v>
      </c>
      <c r="B818" s="3" t="s">
        <v>1568</v>
      </c>
      <c r="C818" s="1">
        <v>20</v>
      </c>
      <c r="D818" s="1">
        <v>666</v>
      </c>
      <c r="E818" s="1" t="s">
        <v>170</v>
      </c>
      <c r="F818" s="1" t="s">
        <v>3532</v>
      </c>
      <c r="G818" s="3"/>
      <c r="H818" s="11">
        <f t="shared" si="27"/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 t="shared" si="26"/>
        <v>NORMAL</v>
      </c>
    </row>
    <row r="819" spans="1:12" x14ac:dyDescent="0.25">
      <c r="A819" s="3" t="s">
        <v>1569</v>
      </c>
      <c r="B819" s="3" t="s">
        <v>1570</v>
      </c>
      <c r="C819" s="1">
        <v>5</v>
      </c>
      <c r="D819" s="1">
        <v>50</v>
      </c>
      <c r="E819" s="1" t="s">
        <v>154</v>
      </c>
      <c r="F819" s="1" t="s">
        <v>3533</v>
      </c>
      <c r="G819" s="3"/>
      <c r="H819" s="11">
        <f t="shared" si="27"/>
        <v>244.12</v>
      </c>
      <c r="I819" s="9">
        <f>($K$2+0.02)*Tabla1[[#This Row],[PRECIO $]]*1.18</f>
        <v>205.32</v>
      </c>
      <c r="J819" s="7">
        <f>+Tabla1[[#This Row],[PRECIO EN SOLES]]-Tabla1[[#This Row],[PC]]</f>
        <v>38.800000000000011</v>
      </c>
      <c r="K819" s="15"/>
      <c r="L819" s="15" t="str">
        <f t="shared" si="26"/>
        <v>NORMAL</v>
      </c>
    </row>
    <row r="820" spans="1:12" x14ac:dyDescent="0.25">
      <c r="A820" s="3" t="s">
        <v>1571</v>
      </c>
      <c r="B820" s="3" t="s">
        <v>1572</v>
      </c>
      <c r="C820" s="1">
        <v>20</v>
      </c>
      <c r="D820" s="1">
        <v>666</v>
      </c>
      <c r="E820" s="1" t="s">
        <v>170</v>
      </c>
      <c r="F820" s="1" t="s">
        <v>3534</v>
      </c>
      <c r="G820" s="3"/>
      <c r="H820" s="11">
        <f t="shared" si="27"/>
        <v>3153.09</v>
      </c>
      <c r="I820" s="9">
        <f>($K$2+0.02)*Tabla1[[#This Row],[PRECIO $]]*1.18</f>
        <v>2734.8623999999995</v>
      </c>
      <c r="J820" s="7">
        <f>+Tabla1[[#This Row],[PRECIO EN SOLES]]-Tabla1[[#This Row],[PC]]</f>
        <v>418.22760000000062</v>
      </c>
      <c r="K820" s="15"/>
      <c r="L820" s="15" t="str">
        <f t="shared" si="26"/>
        <v>NORMAL</v>
      </c>
    </row>
    <row r="821" spans="1:12" x14ac:dyDescent="0.25">
      <c r="A821" s="3" t="s">
        <v>6746</v>
      </c>
      <c r="B821" s="3" t="s">
        <v>6747</v>
      </c>
      <c r="C821" s="1">
        <v>12</v>
      </c>
      <c r="D821" s="1">
        <v>666</v>
      </c>
      <c r="E821" s="1" t="s">
        <v>148</v>
      </c>
      <c r="F821" s="1" t="s">
        <v>6748</v>
      </c>
      <c r="G821" s="3"/>
      <c r="H821" s="11">
        <f t="shared" si="27"/>
        <v>3153.09</v>
      </c>
      <c r="I821" s="9">
        <f>($K$2+0.02)*Tabla1[[#This Row],[PRECIO $]]*1.18</f>
        <v>2734.8623999999995</v>
      </c>
      <c r="J821" s="7">
        <f>+Tabla1[[#This Row],[PRECIO EN SOLES]]-Tabla1[[#This Row],[PC]]</f>
        <v>418.22760000000062</v>
      </c>
      <c r="K821" s="15"/>
      <c r="L821" s="15" t="str">
        <f t="shared" si="26"/>
        <v>NORMAL</v>
      </c>
    </row>
    <row r="822" spans="1:12" x14ac:dyDescent="0.25">
      <c r="A822" s="3" t="s">
        <v>1573</v>
      </c>
      <c r="B822" s="3" t="s">
        <v>1574</v>
      </c>
      <c r="C822" s="1">
        <v>0</v>
      </c>
      <c r="D822" s="1">
        <v>999</v>
      </c>
      <c r="E822" s="1" t="s">
        <v>57</v>
      </c>
      <c r="F822" s="1" t="s">
        <v>3535</v>
      </c>
      <c r="G822" s="3"/>
      <c r="H822" s="11">
        <f t="shared" si="27"/>
        <v>4725.6400000000003</v>
      </c>
      <c r="I822" s="9">
        <f>($K$2+0.02)*Tabla1[[#This Row],[PRECIO $]]*1.18</f>
        <v>4102.2936</v>
      </c>
      <c r="J822" s="7">
        <f>+Tabla1[[#This Row],[PRECIO EN SOLES]]-Tabla1[[#This Row],[PC]]</f>
        <v>623.34640000000036</v>
      </c>
      <c r="K822" s="15"/>
      <c r="L822" s="15" t="str">
        <f t="shared" si="26"/>
        <v>NORMAL</v>
      </c>
    </row>
    <row r="823" spans="1:12" x14ac:dyDescent="0.25">
      <c r="A823" s="3" t="s">
        <v>1575</v>
      </c>
      <c r="B823" s="3" t="s">
        <v>2788</v>
      </c>
      <c r="C823" s="1">
        <v>20</v>
      </c>
      <c r="D823" s="1">
        <v>600</v>
      </c>
      <c r="E823" s="1" t="s">
        <v>55</v>
      </c>
      <c r="F823" s="1" t="s">
        <v>3536</v>
      </c>
      <c r="G823" s="3"/>
      <c r="H823" s="11">
        <f t="shared" si="27"/>
        <v>2841.42</v>
      </c>
      <c r="I823" s="9">
        <f>($K$2+0.02)*Tabla1[[#This Row],[PRECIO $]]*1.18</f>
        <v>2463.8399999999997</v>
      </c>
      <c r="J823" s="7">
        <f>+Tabla1[[#This Row],[PRECIO EN SOLES]]-Tabla1[[#This Row],[PC]]</f>
        <v>377.58000000000038</v>
      </c>
      <c r="K823" s="15"/>
      <c r="L823" s="15" t="str">
        <f t="shared" si="26"/>
        <v>NORMAL</v>
      </c>
    </row>
    <row r="824" spans="1:12" x14ac:dyDescent="0.25">
      <c r="A824" s="3" t="s">
        <v>4808</v>
      </c>
      <c r="B824" s="3" t="s">
        <v>6014</v>
      </c>
      <c r="C824" s="1">
        <v>20</v>
      </c>
      <c r="D824" s="1">
        <v>666</v>
      </c>
      <c r="E824" s="1" t="s">
        <v>154</v>
      </c>
      <c r="F824" s="1" t="s">
        <v>4809</v>
      </c>
      <c r="G824" s="3"/>
      <c r="H824" s="11">
        <f t="shared" si="27"/>
        <v>3153.09</v>
      </c>
      <c r="I824" s="9">
        <f>($K$2+0.02)*Tabla1[[#This Row],[PRECIO $]]*1.18</f>
        <v>2734.8623999999995</v>
      </c>
      <c r="J824" s="7">
        <f>+Tabla1[[#This Row],[PRECIO EN SOLES]]-Tabla1[[#This Row],[PC]]</f>
        <v>418.22760000000062</v>
      </c>
      <c r="K824" s="15"/>
      <c r="L824" s="15" t="str">
        <f t="shared" si="26"/>
        <v>NORMAL</v>
      </c>
    </row>
    <row r="825" spans="1:12" x14ac:dyDescent="0.25">
      <c r="A825" s="3" t="s">
        <v>6749</v>
      </c>
      <c r="B825" s="3" t="s">
        <v>6750</v>
      </c>
      <c r="C825" s="1">
        <v>0</v>
      </c>
      <c r="D825" s="1">
        <v>9999</v>
      </c>
      <c r="E825" s="1" t="s">
        <v>52</v>
      </c>
      <c r="F825" s="1" t="s">
        <v>6751</v>
      </c>
      <c r="G825" s="3"/>
      <c r="H825" s="11">
        <f t="shared" si="27"/>
        <v>47226.879999999997</v>
      </c>
      <c r="I825" s="9">
        <f>($K$2+0.02)*Tabla1[[#This Row],[PRECIO $]]*1.18</f>
        <v>41059.893599999996</v>
      </c>
      <c r="J825" s="7">
        <f>+Tabla1[[#This Row],[PRECIO EN SOLES]]-Tabla1[[#This Row],[PC]]</f>
        <v>6166.9864000000016</v>
      </c>
      <c r="K825" s="15"/>
      <c r="L825" s="15" t="str">
        <f t="shared" si="26"/>
        <v>NORMAL</v>
      </c>
    </row>
    <row r="826" spans="1:12" x14ac:dyDescent="0.25">
      <c r="A826" s="3" t="s">
        <v>6752</v>
      </c>
      <c r="B826" s="3" t="s">
        <v>6753</v>
      </c>
      <c r="C826" s="1">
        <v>0</v>
      </c>
      <c r="D826" s="1">
        <v>9999</v>
      </c>
      <c r="E826" s="1" t="s">
        <v>52</v>
      </c>
      <c r="F826" s="1" t="s">
        <v>6754</v>
      </c>
      <c r="G826" s="3"/>
      <c r="H826" s="11">
        <f t="shared" si="27"/>
        <v>47226.879999999997</v>
      </c>
      <c r="I826" s="9">
        <f>($K$2+0.02)*Tabla1[[#This Row],[PRECIO $]]*1.18</f>
        <v>41059.893599999996</v>
      </c>
      <c r="J826" s="7">
        <f>+Tabla1[[#This Row],[PRECIO EN SOLES]]-Tabla1[[#This Row],[PC]]</f>
        <v>6166.9864000000016</v>
      </c>
      <c r="K826" s="15"/>
      <c r="L826" s="15" t="str">
        <f t="shared" si="26"/>
        <v>NORMAL</v>
      </c>
    </row>
    <row r="827" spans="1:12" x14ac:dyDescent="0.25">
      <c r="A827" s="3" t="s">
        <v>6755</v>
      </c>
      <c r="B827" s="3" t="s">
        <v>6756</v>
      </c>
      <c r="C827" s="1">
        <v>0</v>
      </c>
      <c r="D827" s="1">
        <v>9999</v>
      </c>
      <c r="E827" s="1" t="s">
        <v>52</v>
      </c>
      <c r="F827" s="1" t="s">
        <v>6757</v>
      </c>
      <c r="G827" s="3"/>
      <c r="H827" s="11">
        <f t="shared" si="27"/>
        <v>47226.879999999997</v>
      </c>
      <c r="I827" s="9">
        <f>($K$2+0.02)*Tabla1[[#This Row],[PRECIO $]]*1.18</f>
        <v>41059.893599999996</v>
      </c>
      <c r="J827" s="7">
        <f>+Tabla1[[#This Row],[PRECIO EN SOLES]]-Tabla1[[#This Row],[PC]]</f>
        <v>6166.9864000000016</v>
      </c>
      <c r="K827" s="15"/>
      <c r="L827" s="15" t="str">
        <f t="shared" si="26"/>
        <v>NORMAL</v>
      </c>
    </row>
    <row r="828" spans="1:12" x14ac:dyDescent="0.25">
      <c r="A828" s="3" t="s">
        <v>6758</v>
      </c>
      <c r="B828" s="3" t="s">
        <v>6759</v>
      </c>
      <c r="C828" s="1">
        <v>0</v>
      </c>
      <c r="D828" s="1">
        <v>9999</v>
      </c>
      <c r="E828" s="1" t="s">
        <v>57</v>
      </c>
      <c r="F828" s="1" t="s">
        <v>6760</v>
      </c>
      <c r="G828" s="3"/>
      <c r="H828" s="11">
        <f t="shared" si="27"/>
        <v>47226.879999999997</v>
      </c>
      <c r="I828" s="9">
        <f>($K$2+0.02)*Tabla1[[#This Row],[PRECIO $]]*1.18</f>
        <v>41059.893599999996</v>
      </c>
      <c r="J828" s="7">
        <f>+Tabla1[[#This Row],[PRECIO EN SOLES]]-Tabla1[[#This Row],[PC]]</f>
        <v>6166.9864000000016</v>
      </c>
      <c r="K828" s="15"/>
      <c r="L828" s="15" t="str">
        <f t="shared" si="26"/>
        <v>NORMAL</v>
      </c>
    </row>
    <row r="829" spans="1:12" x14ac:dyDescent="0.25">
      <c r="A829" s="3" t="s">
        <v>6015</v>
      </c>
      <c r="B829" s="3" t="s">
        <v>6016</v>
      </c>
      <c r="C829" s="1">
        <v>20</v>
      </c>
      <c r="D829" s="1">
        <v>666</v>
      </c>
      <c r="E829" s="1" t="s">
        <v>154</v>
      </c>
      <c r="F829" s="1" t="s">
        <v>6017</v>
      </c>
      <c r="G829" s="3"/>
      <c r="H829" s="11">
        <f t="shared" si="27"/>
        <v>3153.09</v>
      </c>
      <c r="I829" s="9">
        <f>($K$2+0.02)*Tabla1[[#This Row],[PRECIO $]]*1.18</f>
        <v>2734.8623999999995</v>
      </c>
      <c r="J829" s="7">
        <f>+Tabla1[[#This Row],[PRECIO EN SOLES]]-Tabla1[[#This Row],[PC]]</f>
        <v>418.22760000000062</v>
      </c>
      <c r="K829" s="15"/>
      <c r="L829" s="15" t="str">
        <f t="shared" si="26"/>
        <v>NORMAL</v>
      </c>
    </row>
    <row r="830" spans="1:12" x14ac:dyDescent="0.25">
      <c r="A830" s="3" t="s">
        <v>1576</v>
      </c>
      <c r="B830" s="3" t="s">
        <v>1577</v>
      </c>
      <c r="C830" s="1">
        <v>0</v>
      </c>
      <c r="D830" s="1">
        <v>9999999.9900000002</v>
      </c>
      <c r="E830" s="1" t="s">
        <v>56</v>
      </c>
      <c r="F830" s="1" t="s">
        <v>3537</v>
      </c>
      <c r="G830" s="3"/>
      <c r="H830" s="11">
        <f t="shared" si="27"/>
        <v>47223607.950000003</v>
      </c>
      <c r="I830" s="9">
        <f>($K$2+0.02)*Tabla1[[#This Row],[PRECIO $]]*1.18</f>
        <v>41063999.958935998</v>
      </c>
      <c r="J830" s="7">
        <f>+Tabla1[[#This Row],[PRECIO EN SOLES]]-Tabla1[[#This Row],[PC]]</f>
        <v>6159607.9910640046</v>
      </c>
      <c r="K830" s="15"/>
      <c r="L830" s="15" t="str">
        <f t="shared" si="26"/>
        <v>NORMAL</v>
      </c>
    </row>
    <row r="831" spans="1:12" x14ac:dyDescent="0.25">
      <c r="A831" s="3" t="s">
        <v>1578</v>
      </c>
      <c r="B831" s="3" t="s">
        <v>1579</v>
      </c>
      <c r="C831" s="1">
        <v>0</v>
      </c>
      <c r="D831" s="1">
        <v>9999999.9900000002</v>
      </c>
      <c r="E831" s="1" t="s">
        <v>56</v>
      </c>
      <c r="F831" s="1" t="s">
        <v>3538</v>
      </c>
      <c r="G831" s="3"/>
      <c r="H831" s="11">
        <f t="shared" si="27"/>
        <v>47223607.950000003</v>
      </c>
      <c r="I831" s="9">
        <f>($K$2+0.02)*Tabla1[[#This Row],[PRECIO $]]*1.18</f>
        <v>41063999.958935998</v>
      </c>
      <c r="J831" s="7">
        <f>+Tabla1[[#This Row],[PRECIO EN SOLES]]-Tabla1[[#This Row],[PC]]</f>
        <v>6159607.9910640046</v>
      </c>
      <c r="K831" s="15"/>
      <c r="L831" s="15" t="str">
        <f t="shared" si="26"/>
        <v>NORMAL</v>
      </c>
    </row>
    <row r="832" spans="1:12" x14ac:dyDescent="0.25">
      <c r="A832" s="3" t="s">
        <v>1580</v>
      </c>
      <c r="B832" s="3" t="s">
        <v>1581</v>
      </c>
      <c r="C832" s="1">
        <v>1</v>
      </c>
      <c r="D832" s="1">
        <v>100</v>
      </c>
      <c r="E832" s="1" t="s">
        <v>95</v>
      </c>
      <c r="F832" s="1" t="s">
        <v>3539</v>
      </c>
      <c r="G832" s="3"/>
      <c r="H832" s="11">
        <f t="shared" si="27"/>
        <v>480.24</v>
      </c>
      <c r="I832" s="9">
        <f>($K$2+0.02)*Tabla1[[#This Row],[PRECIO $]]*1.18</f>
        <v>410.64</v>
      </c>
      <c r="J832" s="7">
        <f>+Tabla1[[#This Row],[PRECIO EN SOLES]]-Tabla1[[#This Row],[PC]]</f>
        <v>69.600000000000023</v>
      </c>
      <c r="K832" s="15"/>
      <c r="L832" s="15" t="str">
        <f t="shared" si="26"/>
        <v>NORMAL</v>
      </c>
    </row>
    <row r="833" spans="1:12" x14ac:dyDescent="0.25">
      <c r="A833" s="3" t="s">
        <v>6499</v>
      </c>
      <c r="B833" s="3" t="s">
        <v>6500</v>
      </c>
      <c r="C833" s="1">
        <v>20</v>
      </c>
      <c r="D833" s="1">
        <v>50</v>
      </c>
      <c r="E833" s="1" t="s">
        <v>57</v>
      </c>
      <c r="F833" s="1" t="s">
        <v>6501</v>
      </c>
      <c r="G833" s="3"/>
      <c r="H833" s="11">
        <f t="shared" si="27"/>
        <v>244.12</v>
      </c>
      <c r="I833" s="9">
        <f>($K$2+0.02)*Tabla1[[#This Row],[PRECIO $]]*1.18</f>
        <v>205.32</v>
      </c>
      <c r="J833" s="7">
        <f>+Tabla1[[#This Row],[PRECIO EN SOLES]]-Tabla1[[#This Row],[PC]]</f>
        <v>38.800000000000011</v>
      </c>
      <c r="K833" s="15"/>
      <c r="L833" s="15" t="str">
        <f t="shared" si="26"/>
        <v>NORMAL</v>
      </c>
    </row>
    <row r="834" spans="1:12" x14ac:dyDescent="0.25">
      <c r="A834" s="3" t="s">
        <v>1582</v>
      </c>
      <c r="B834" s="3" t="s">
        <v>1583</v>
      </c>
      <c r="C834" s="1">
        <v>20</v>
      </c>
      <c r="D834" s="1">
        <v>600</v>
      </c>
      <c r="E834" s="1" t="s">
        <v>55</v>
      </c>
      <c r="F834" s="1" t="s">
        <v>3540</v>
      </c>
      <c r="G834" s="3"/>
      <c r="H834" s="11">
        <f t="shared" si="27"/>
        <v>2841.42</v>
      </c>
      <c r="I834" s="9">
        <f>($K$2+0.02)*Tabla1[[#This Row],[PRECIO $]]*1.18</f>
        <v>2463.8399999999997</v>
      </c>
      <c r="J834" s="7">
        <f>+Tabla1[[#This Row],[PRECIO EN SOLES]]-Tabla1[[#This Row],[PC]]</f>
        <v>377.58000000000038</v>
      </c>
      <c r="K834" s="15"/>
      <c r="L834" s="15" t="str">
        <f t="shared" si="26"/>
        <v>COMPLEMENTO</v>
      </c>
    </row>
    <row r="835" spans="1:12" x14ac:dyDescent="0.25">
      <c r="A835" s="3" t="s">
        <v>1584</v>
      </c>
      <c r="B835" s="3" t="s">
        <v>1585</v>
      </c>
      <c r="C835" s="1">
        <v>10</v>
      </c>
      <c r="D835" s="1">
        <v>11</v>
      </c>
      <c r="E835" s="1" t="s">
        <v>55</v>
      </c>
      <c r="F835" s="1" t="s">
        <v>3541</v>
      </c>
      <c r="G835" s="3"/>
      <c r="H835" s="11">
        <f t="shared" si="27"/>
        <v>55.95</v>
      </c>
      <c r="I835" s="9">
        <f>($K$2+0.02)*Tabla1[[#This Row],[PRECIO $]]*1.18</f>
        <v>45.170400000000001</v>
      </c>
      <c r="J835" s="7">
        <f>+Tabla1[[#This Row],[PRECIO EN SOLES]]-Tabla1[[#This Row],[PC]]</f>
        <v>10.779600000000002</v>
      </c>
      <c r="K835" s="15"/>
      <c r="L835" s="15" t="str">
        <f t="shared" si="26"/>
        <v>COMPLEMENTO</v>
      </c>
    </row>
    <row r="836" spans="1:12" x14ac:dyDescent="0.25">
      <c r="A836" s="3" t="s">
        <v>1586</v>
      </c>
      <c r="B836" s="3" t="s">
        <v>1587</v>
      </c>
      <c r="C836" s="1">
        <v>0</v>
      </c>
      <c r="D836" s="1">
        <v>2</v>
      </c>
      <c r="E836" s="1" t="s">
        <v>55</v>
      </c>
      <c r="F836" s="1" t="s">
        <v>3542</v>
      </c>
      <c r="G836" s="3"/>
      <c r="H836" s="11">
        <f t="shared" si="27"/>
        <v>11.77</v>
      </c>
      <c r="I836" s="9">
        <f>($K$2+0.02)*Tabla1[[#This Row],[PRECIO $]]*1.18</f>
        <v>8.2127999999999997</v>
      </c>
      <c r="J836" s="7">
        <f>+Tabla1[[#This Row],[PRECIO EN SOLES]]-Tabla1[[#This Row],[PC]]</f>
        <v>3.5571999999999999</v>
      </c>
      <c r="K836" s="15"/>
      <c r="L836" s="15" t="str">
        <f t="shared" si="26"/>
        <v>NORMAL</v>
      </c>
    </row>
    <row r="837" spans="1:12" x14ac:dyDescent="0.25">
      <c r="A837" s="3" t="s">
        <v>1588</v>
      </c>
      <c r="B837" s="3" t="s">
        <v>1589</v>
      </c>
      <c r="C837" s="1">
        <v>20</v>
      </c>
      <c r="D837" s="1">
        <v>2</v>
      </c>
      <c r="E837" s="1" t="s">
        <v>55</v>
      </c>
      <c r="F837" s="1" t="s">
        <v>3543</v>
      </c>
      <c r="G837" s="3"/>
      <c r="H837" s="11">
        <f t="shared" si="27"/>
        <v>11.77</v>
      </c>
      <c r="I837" s="9">
        <f>($K$2+0.02)*Tabla1[[#This Row],[PRECIO $]]*1.18</f>
        <v>8.2127999999999997</v>
      </c>
      <c r="J837" s="7">
        <f>+Tabla1[[#This Row],[PRECIO EN SOLES]]-Tabla1[[#This Row],[PC]]</f>
        <v>3.5571999999999999</v>
      </c>
      <c r="K837" s="15"/>
      <c r="L837" s="15" t="str">
        <f t="shared" si="26"/>
        <v>NORMAL</v>
      </c>
    </row>
    <row r="838" spans="1:12" x14ac:dyDescent="0.25">
      <c r="A838" s="3" t="s">
        <v>6313</v>
      </c>
      <c r="B838" s="3" t="s">
        <v>6314</v>
      </c>
      <c r="C838" s="1">
        <v>0</v>
      </c>
      <c r="D838" s="1">
        <v>99</v>
      </c>
      <c r="E838" s="1" t="s">
        <v>6315</v>
      </c>
      <c r="F838" s="1" t="s">
        <v>6316</v>
      </c>
      <c r="G838" s="3"/>
      <c r="H838" s="11">
        <f t="shared" si="27"/>
        <v>475.51</v>
      </c>
      <c r="I838" s="9">
        <f>($K$2+0.02)*Tabla1[[#This Row],[PRECIO $]]*1.18</f>
        <v>406.53359999999998</v>
      </c>
      <c r="J838" s="7">
        <f>+Tabla1[[#This Row],[PRECIO EN SOLES]]-Tabla1[[#This Row],[PC]]</f>
        <v>68.976400000000012</v>
      </c>
      <c r="K838" s="15"/>
      <c r="L838" s="15" t="str">
        <f t="shared" si="26"/>
        <v>NORMAL</v>
      </c>
    </row>
    <row r="839" spans="1:12" x14ac:dyDescent="0.25">
      <c r="A839" s="3" t="s">
        <v>1590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3544</v>
      </c>
      <c r="G839" s="3"/>
      <c r="H839" s="11">
        <f t="shared" si="27"/>
        <v>4.13</v>
      </c>
      <c r="I839" s="9">
        <f>($K$2+0.02)*Tabla1[[#This Row],[PRECIO $]]*1.18</f>
        <v>1.84788</v>
      </c>
      <c r="J839" s="7">
        <f>+Tabla1[[#This Row],[PRECIO EN SOLES]]-Tabla1[[#This Row],[PC]]</f>
        <v>2.2821199999999999</v>
      </c>
      <c r="K839" s="15"/>
      <c r="L839" s="15" t="str">
        <f t="shared" si="26"/>
        <v>NORMAL</v>
      </c>
    </row>
    <row r="840" spans="1:12" x14ac:dyDescent="0.25">
      <c r="A840" s="3" t="s">
        <v>1592</v>
      </c>
      <c r="B840" s="3" t="s">
        <v>1593</v>
      </c>
      <c r="C840" s="1">
        <v>1</v>
      </c>
      <c r="D840" s="1">
        <v>100</v>
      </c>
      <c r="E840" s="1" t="s">
        <v>55</v>
      </c>
      <c r="F840" s="1" t="s">
        <v>3545</v>
      </c>
      <c r="G840" s="3"/>
      <c r="H840" s="11">
        <f t="shared" si="27"/>
        <v>480.24</v>
      </c>
      <c r="I840" s="9">
        <f>($K$2+0.02)*Tabla1[[#This Row],[PRECIO $]]*1.18</f>
        <v>410.64</v>
      </c>
      <c r="J840" s="7">
        <f>+Tabla1[[#This Row],[PRECIO EN SOLES]]-Tabla1[[#This Row],[PC]]</f>
        <v>69.600000000000023</v>
      </c>
      <c r="K840" s="15"/>
      <c r="L840" s="15" t="str">
        <f t="shared" si="26"/>
        <v>COMPLEMENTO</v>
      </c>
    </row>
    <row r="841" spans="1:12" x14ac:dyDescent="0.25">
      <c r="A841" s="3" t="s">
        <v>1594</v>
      </c>
      <c r="B841" s="3" t="s">
        <v>1591</v>
      </c>
      <c r="C841" s="1">
        <v>1</v>
      </c>
      <c r="D841" s="1">
        <v>0.45</v>
      </c>
      <c r="E841" s="1" t="s">
        <v>54</v>
      </c>
      <c r="F841" s="1" t="s">
        <v>3546</v>
      </c>
      <c r="G841" s="3"/>
      <c r="H841" s="11">
        <f t="shared" si="27"/>
        <v>4.13</v>
      </c>
      <c r="I841" s="9">
        <f>($K$2+0.02)*Tabla1[[#This Row],[PRECIO $]]*1.18</f>
        <v>1.84788</v>
      </c>
      <c r="J841" s="7">
        <f>+Tabla1[[#This Row],[PRECIO EN SOLES]]-Tabla1[[#This Row],[PC]]</f>
        <v>2.2821199999999999</v>
      </c>
      <c r="K841" s="15"/>
      <c r="L841" s="15" t="str">
        <f t="shared" si="26"/>
        <v>COMPLEMENTO</v>
      </c>
    </row>
    <row r="842" spans="1:12" x14ac:dyDescent="0.25">
      <c r="A842" s="3" t="s">
        <v>421</v>
      </c>
      <c r="B842" s="3" t="s">
        <v>422</v>
      </c>
      <c r="C842" s="1">
        <v>0</v>
      </c>
      <c r="D842" s="1">
        <v>12.8</v>
      </c>
      <c r="E842" s="1" t="s">
        <v>56</v>
      </c>
      <c r="F842" s="1" t="s">
        <v>3767</v>
      </c>
      <c r="G842" s="3" t="s">
        <v>423</v>
      </c>
      <c r="H842" s="11">
        <f t="shared" si="27"/>
        <v>68.7</v>
      </c>
      <c r="I842" s="9">
        <f>($K$2+0.02)*Tabla1[[#This Row],[PRECIO $]]*1.18</f>
        <v>52.561920000000001</v>
      </c>
      <c r="J842" s="7">
        <f>+Tabla1[[#This Row],[PRECIO EN SOLES]]-Tabla1[[#This Row],[PC]]</f>
        <v>16.138080000000002</v>
      </c>
      <c r="K842" s="15"/>
      <c r="L842" s="15" t="str">
        <f t="shared" si="26"/>
        <v>COMPLEMENTO</v>
      </c>
    </row>
    <row r="843" spans="1:12" x14ac:dyDescent="0.25">
      <c r="A843" s="3" t="s">
        <v>6502</v>
      </c>
      <c r="B843" s="3" t="s">
        <v>6503</v>
      </c>
      <c r="C843" s="1">
        <v>20</v>
      </c>
      <c r="D843" s="1">
        <v>17.2</v>
      </c>
      <c r="E843" s="1" t="s">
        <v>52</v>
      </c>
      <c r="F843" s="1" t="s">
        <v>6504</v>
      </c>
      <c r="G843" s="3" t="s">
        <v>6505</v>
      </c>
      <c r="H843" s="11">
        <f t="shared" si="27"/>
        <v>92.29</v>
      </c>
      <c r="I843" s="9">
        <f>($K$2+0.02)*Tabla1[[#This Row],[PRECIO $]]*1.18</f>
        <v>70.630079999999992</v>
      </c>
      <c r="J843" s="7">
        <f>+Tabla1[[#This Row],[PRECIO EN SOLES]]-Tabla1[[#This Row],[PC]]</f>
        <v>21.659920000000014</v>
      </c>
      <c r="K843" s="15"/>
      <c r="L843" s="15" t="str">
        <f t="shared" si="26"/>
        <v>COMPLEMENTO</v>
      </c>
    </row>
    <row r="844" spans="1:12" x14ac:dyDescent="0.25">
      <c r="A844" s="3" t="s">
        <v>6506</v>
      </c>
      <c r="B844" s="3" t="s">
        <v>6507</v>
      </c>
      <c r="C844" s="1">
        <v>20</v>
      </c>
      <c r="D844" s="1">
        <v>17.2</v>
      </c>
      <c r="E844" s="1" t="s">
        <v>52</v>
      </c>
      <c r="F844" s="1" t="s">
        <v>6508</v>
      </c>
      <c r="G844" s="3" t="s">
        <v>6509</v>
      </c>
      <c r="H844" s="11">
        <f t="shared" si="27"/>
        <v>92.29</v>
      </c>
      <c r="I844" s="9">
        <f>($K$2+0.02)*Tabla1[[#This Row],[PRECIO $]]*1.18</f>
        <v>70.630079999999992</v>
      </c>
      <c r="J844" s="7">
        <f>+Tabla1[[#This Row],[PRECIO EN SOLES]]-Tabla1[[#This Row],[PC]]</f>
        <v>21.659920000000014</v>
      </c>
      <c r="K844" s="15"/>
      <c r="L844" s="15" t="str">
        <f t="shared" si="26"/>
        <v>COMPLEMENTO</v>
      </c>
    </row>
    <row r="845" spans="1:12" x14ac:dyDescent="0.25">
      <c r="A845" s="3" t="s">
        <v>6510</v>
      </c>
      <c r="B845" s="3" t="s">
        <v>6511</v>
      </c>
      <c r="C845" s="1">
        <v>20</v>
      </c>
      <c r="D845" s="1">
        <v>17.2</v>
      </c>
      <c r="E845" s="1" t="s">
        <v>52</v>
      </c>
      <c r="F845" s="1" t="s">
        <v>6512</v>
      </c>
      <c r="G845" s="3" t="s">
        <v>6513</v>
      </c>
      <c r="H845" s="11">
        <f t="shared" si="27"/>
        <v>92.29</v>
      </c>
      <c r="I845" s="9">
        <f>($K$2+0.02)*Tabla1[[#This Row],[PRECIO $]]*1.18</f>
        <v>70.630079999999992</v>
      </c>
      <c r="J845" s="7">
        <f>+Tabla1[[#This Row],[PRECIO EN SOLES]]-Tabla1[[#This Row],[PC]]</f>
        <v>21.659920000000014</v>
      </c>
      <c r="K845" s="15"/>
      <c r="L845" s="15" t="str">
        <f t="shared" si="26"/>
        <v>COMPLEMENTO</v>
      </c>
    </row>
    <row r="846" spans="1:12" x14ac:dyDescent="0.25">
      <c r="A846" s="3" t="s">
        <v>6514</v>
      </c>
      <c r="B846" s="3" t="s">
        <v>6515</v>
      </c>
      <c r="C846" s="1">
        <v>20</v>
      </c>
      <c r="D846" s="1">
        <v>17.2</v>
      </c>
      <c r="E846" s="1" t="s">
        <v>52</v>
      </c>
      <c r="F846" s="1" t="s">
        <v>6516</v>
      </c>
      <c r="G846" s="3" t="s">
        <v>6517</v>
      </c>
      <c r="H846" s="11">
        <f t="shared" si="27"/>
        <v>92.29</v>
      </c>
      <c r="I846" s="9">
        <f>($K$2+0.02)*Tabla1[[#This Row],[PRECIO $]]*1.18</f>
        <v>70.630079999999992</v>
      </c>
      <c r="J846" s="7">
        <f>+Tabla1[[#This Row],[PRECIO EN SOLES]]-Tabla1[[#This Row],[PC]]</f>
        <v>21.659920000000014</v>
      </c>
      <c r="K846" s="15"/>
      <c r="L846" s="15" t="str">
        <f t="shared" si="26"/>
        <v>COMPLEMENTO</v>
      </c>
    </row>
    <row r="847" spans="1:12" x14ac:dyDescent="0.25">
      <c r="A847" s="3" t="s">
        <v>6518</v>
      </c>
      <c r="B847" s="3" t="s">
        <v>6519</v>
      </c>
      <c r="C847" s="1">
        <v>20</v>
      </c>
      <c r="D847" s="1">
        <v>19.7</v>
      </c>
      <c r="E847" s="1" t="s">
        <v>52</v>
      </c>
      <c r="F847" s="1" t="s">
        <v>6520</v>
      </c>
      <c r="G847" s="3" t="s">
        <v>6521</v>
      </c>
      <c r="H847" s="11">
        <f t="shared" si="27"/>
        <v>105.12</v>
      </c>
      <c r="I847" s="9">
        <f>($K$2+0.02)*Tabla1[[#This Row],[PRECIO $]]*1.18</f>
        <v>80.896079999999998</v>
      </c>
      <c r="J847" s="7">
        <f>+Tabla1[[#This Row],[PRECIO EN SOLES]]-Tabla1[[#This Row],[PC]]</f>
        <v>24.223920000000007</v>
      </c>
      <c r="K847" s="15"/>
      <c r="L847" s="15" t="str">
        <f t="shared" si="26"/>
        <v>COMPLEMENTO</v>
      </c>
    </row>
    <row r="848" spans="1:12" x14ac:dyDescent="0.25">
      <c r="A848" s="3" t="s">
        <v>6522</v>
      </c>
      <c r="B848" s="3" t="s">
        <v>6523</v>
      </c>
      <c r="C848" s="1">
        <v>20</v>
      </c>
      <c r="D848" s="1">
        <v>19.7</v>
      </c>
      <c r="E848" s="1" t="s">
        <v>52</v>
      </c>
      <c r="F848" s="1" t="s">
        <v>6524</v>
      </c>
      <c r="G848" s="3" t="s">
        <v>6525</v>
      </c>
      <c r="H848" s="11">
        <f t="shared" si="27"/>
        <v>105.12</v>
      </c>
      <c r="I848" s="9">
        <f>($K$2+0.02)*Tabla1[[#This Row],[PRECIO $]]*1.18</f>
        <v>80.896079999999998</v>
      </c>
      <c r="J848" s="7">
        <f>+Tabla1[[#This Row],[PRECIO EN SOLES]]-Tabla1[[#This Row],[PC]]</f>
        <v>24.223920000000007</v>
      </c>
      <c r="K848" s="15"/>
      <c r="L848" s="15" t="str">
        <f t="shared" ref="L848:L911" si="28"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COMPLEMENTO</v>
      </c>
    </row>
    <row r="849" spans="1:12" x14ac:dyDescent="0.25">
      <c r="A849" s="3" t="s">
        <v>6526</v>
      </c>
      <c r="B849" s="3" t="s">
        <v>6527</v>
      </c>
      <c r="C849" s="1">
        <v>20</v>
      </c>
      <c r="D849" s="1">
        <v>19.7</v>
      </c>
      <c r="E849" s="1" t="s">
        <v>52</v>
      </c>
      <c r="F849" s="1" t="s">
        <v>6528</v>
      </c>
      <c r="G849" s="3" t="s">
        <v>6529</v>
      </c>
      <c r="H849" s="11">
        <f t="shared" si="27"/>
        <v>105.12</v>
      </c>
      <c r="I849" s="9">
        <f>($K$2+0.02)*Tabla1[[#This Row],[PRECIO $]]*1.18</f>
        <v>80.896079999999998</v>
      </c>
      <c r="J849" s="7">
        <f>+Tabla1[[#This Row],[PRECIO EN SOLES]]-Tabla1[[#This Row],[PC]]</f>
        <v>24.223920000000007</v>
      </c>
      <c r="K849" s="15"/>
      <c r="L849" s="15" t="str">
        <f t="shared" si="28"/>
        <v>COMPLEMENTO</v>
      </c>
    </row>
    <row r="850" spans="1:12" x14ac:dyDescent="0.25">
      <c r="A850" s="3" t="s">
        <v>5439</v>
      </c>
      <c r="B850" s="3" t="s">
        <v>5440</v>
      </c>
      <c r="C850" s="1">
        <v>18</v>
      </c>
      <c r="D850" s="1">
        <v>17</v>
      </c>
      <c r="E850" s="1" t="s">
        <v>52</v>
      </c>
      <c r="F850" s="1" t="s">
        <v>5441</v>
      </c>
      <c r="G850" s="3" t="s">
        <v>5442</v>
      </c>
      <c r="H850" s="11">
        <f t="shared" ref="H850:H913" si="29">ROUND(
IF(L848="GANCHO",
   IF(I850&lt;=50,I850*1.1+4,IF(I850&lt;=120,I850*1.1+7,IF(I850&lt;=250,I850*1.1+11,I850*1.1+19))),
IF(L848="NORMAL",
   IF(I850&lt;=30,I850*1.15+2,IF(I850&lt;=80,I850*1.15+4,IF(I850&lt;=150,I850*1.15+6,I850*1.15+8))),
IF(L848="COMPLEMENTO",
   IF(I850&lt;=25,I850*1.25+1.5,IF(I850&lt;=60,I850*1.25+3,IF(I850&lt;=120,I850*1.25+4,I850*1.25+5))),
""))),2)</f>
        <v>91.26</v>
      </c>
      <c r="I850" s="9">
        <f>($K$2+0.02)*Tabla1[[#This Row],[PRECIO $]]*1.18</f>
        <v>69.808799999999991</v>
      </c>
      <c r="J850" s="7">
        <f>+Tabla1[[#This Row],[PRECIO EN SOLES]]-Tabla1[[#This Row],[PC]]</f>
        <v>21.451200000000014</v>
      </c>
      <c r="K850" s="15"/>
      <c r="L850" s="15" t="str">
        <f t="shared" si="28"/>
        <v>COMPLEMENTO</v>
      </c>
    </row>
    <row r="851" spans="1:12" x14ac:dyDescent="0.25">
      <c r="A851" s="3" t="s">
        <v>6761</v>
      </c>
      <c r="B851" s="3" t="s">
        <v>6762</v>
      </c>
      <c r="C851" s="1">
        <v>20</v>
      </c>
      <c r="D851" s="1">
        <v>8.6999999999999993</v>
      </c>
      <c r="E851" s="1" t="s">
        <v>52</v>
      </c>
      <c r="F851" s="1" t="s">
        <v>6763</v>
      </c>
      <c r="G851" s="3" t="s">
        <v>6764</v>
      </c>
      <c r="H851" s="11">
        <f t="shared" si="29"/>
        <v>47.66</v>
      </c>
      <c r="I851" s="9">
        <f>($K$2+0.02)*Tabla1[[#This Row],[PRECIO $]]*1.18</f>
        <v>35.725679999999997</v>
      </c>
      <c r="J851" s="7">
        <f>+Tabla1[[#This Row],[PRECIO EN SOLES]]-Tabla1[[#This Row],[PC]]</f>
        <v>11.93432</v>
      </c>
      <c r="K851" s="15"/>
      <c r="L851" s="15" t="str">
        <f t="shared" si="28"/>
        <v>COMPLEMENTO</v>
      </c>
    </row>
    <row r="852" spans="1:12" x14ac:dyDescent="0.25">
      <c r="A852" s="3" t="s">
        <v>6317</v>
      </c>
      <c r="B852" s="3" t="s">
        <v>6318</v>
      </c>
      <c r="C852" s="1">
        <v>20</v>
      </c>
      <c r="D852" s="1">
        <v>8.6999999999999993</v>
      </c>
      <c r="E852" s="1" t="s">
        <v>52</v>
      </c>
      <c r="F852" s="1" t="s">
        <v>6319</v>
      </c>
      <c r="G852" s="3" t="s">
        <v>6320</v>
      </c>
      <c r="H852" s="11">
        <f t="shared" si="29"/>
        <v>47.66</v>
      </c>
      <c r="I852" s="9">
        <f>($K$2+0.02)*Tabla1[[#This Row],[PRECIO $]]*1.18</f>
        <v>35.725679999999997</v>
      </c>
      <c r="J852" s="7">
        <f>+Tabla1[[#This Row],[PRECIO EN SOLES]]-Tabla1[[#This Row],[PC]]</f>
        <v>11.93432</v>
      </c>
      <c r="K852" s="15"/>
      <c r="L852" s="15" t="str">
        <f t="shared" si="28"/>
        <v>COMPLEMENTO</v>
      </c>
    </row>
    <row r="853" spans="1:12" x14ac:dyDescent="0.25">
      <c r="A853" s="3" t="s">
        <v>6530</v>
      </c>
      <c r="B853" s="3" t="s">
        <v>6531</v>
      </c>
      <c r="C853" s="1">
        <v>20</v>
      </c>
      <c r="D853" s="1">
        <v>24.7</v>
      </c>
      <c r="E853" s="1" t="s">
        <v>52</v>
      </c>
      <c r="F853" s="1" t="s">
        <v>6532</v>
      </c>
      <c r="G853" s="3" t="s">
        <v>6533</v>
      </c>
      <c r="H853" s="11">
        <f t="shared" si="29"/>
        <v>130.79</v>
      </c>
      <c r="I853" s="9">
        <f>($K$2+0.02)*Tabla1[[#This Row],[PRECIO $]]*1.18</f>
        <v>101.42807999999999</v>
      </c>
      <c r="J853" s="7">
        <f>+Tabla1[[#This Row],[PRECIO EN SOLES]]-Tabla1[[#This Row],[PC]]</f>
        <v>29.361919999999998</v>
      </c>
      <c r="K853" s="15"/>
      <c r="L853" s="15" t="str">
        <f t="shared" si="28"/>
        <v>COMPLEMENTO</v>
      </c>
    </row>
    <row r="854" spans="1:12" x14ac:dyDescent="0.25">
      <c r="A854" s="3" t="s">
        <v>6534</v>
      </c>
      <c r="B854" s="3" t="s">
        <v>6535</v>
      </c>
      <c r="C854" s="1">
        <v>20</v>
      </c>
      <c r="D854" s="1">
        <v>24.7</v>
      </c>
      <c r="E854" s="1" t="s">
        <v>52</v>
      </c>
      <c r="F854" s="1" t="s">
        <v>6536</v>
      </c>
      <c r="G854" s="3" t="s">
        <v>6537</v>
      </c>
      <c r="H854" s="11">
        <f t="shared" si="29"/>
        <v>130.79</v>
      </c>
      <c r="I854" s="9">
        <f>($K$2+0.02)*Tabla1[[#This Row],[PRECIO $]]*1.18</f>
        <v>101.42807999999999</v>
      </c>
      <c r="J854" s="7">
        <f>+Tabla1[[#This Row],[PRECIO EN SOLES]]-Tabla1[[#This Row],[PC]]</f>
        <v>29.361919999999998</v>
      </c>
      <c r="K854" s="15"/>
      <c r="L854" s="15" t="str">
        <f t="shared" si="28"/>
        <v>COMPLEMENTO</v>
      </c>
    </row>
    <row r="855" spans="1:12" x14ac:dyDescent="0.25">
      <c r="A855" s="3" t="s">
        <v>1595</v>
      </c>
      <c r="B855" s="3" t="s">
        <v>1596</v>
      </c>
      <c r="C855" s="1">
        <v>20</v>
      </c>
      <c r="D855" s="1">
        <v>11.8</v>
      </c>
      <c r="E855" s="1" t="s">
        <v>52</v>
      </c>
      <c r="F855" s="1" t="s">
        <v>3547</v>
      </c>
      <c r="G855" s="3" t="s">
        <v>1597</v>
      </c>
      <c r="H855" s="11">
        <f t="shared" si="29"/>
        <v>63.57</v>
      </c>
      <c r="I855" s="9">
        <f>($K$2+0.02)*Tabla1[[#This Row],[PRECIO $]]*1.18</f>
        <v>48.45552</v>
      </c>
      <c r="J855" s="7">
        <f>+Tabla1[[#This Row],[PRECIO EN SOLES]]-Tabla1[[#This Row],[PC]]</f>
        <v>15.11448</v>
      </c>
      <c r="K855" s="15"/>
      <c r="L855" s="15" t="str">
        <f t="shared" si="28"/>
        <v>COMPLEMENTO</v>
      </c>
    </row>
    <row r="856" spans="1:12" x14ac:dyDescent="0.25">
      <c r="A856" s="3" t="s">
        <v>277</v>
      </c>
      <c r="B856" s="3" t="s">
        <v>278</v>
      </c>
      <c r="C856" s="1">
        <v>20</v>
      </c>
      <c r="D856" s="1">
        <v>25.9</v>
      </c>
      <c r="E856" s="1" t="s">
        <v>52</v>
      </c>
      <c r="F856" s="1" t="s">
        <v>3548</v>
      </c>
      <c r="G856" s="3" t="s">
        <v>663</v>
      </c>
      <c r="H856" s="11">
        <f t="shared" si="29"/>
        <v>136.94</v>
      </c>
      <c r="I856" s="9">
        <f>($K$2+0.02)*Tabla1[[#This Row],[PRECIO $]]*1.18</f>
        <v>106.35575999999999</v>
      </c>
      <c r="J856" s="7">
        <f>+Tabla1[[#This Row],[PRECIO EN SOLES]]-Tabla1[[#This Row],[PC]]</f>
        <v>30.584240000000008</v>
      </c>
      <c r="K856" s="15"/>
      <c r="L856" s="15" t="str">
        <f t="shared" si="28"/>
        <v>COMPLEMENTO</v>
      </c>
    </row>
    <row r="857" spans="1:12" x14ac:dyDescent="0.25">
      <c r="A857" s="3" t="s">
        <v>279</v>
      </c>
      <c r="B857" s="3" t="s">
        <v>280</v>
      </c>
      <c r="C857" s="1">
        <v>20</v>
      </c>
      <c r="D857" s="1">
        <v>25.9</v>
      </c>
      <c r="E857" s="1" t="s">
        <v>52</v>
      </c>
      <c r="F857" s="1" t="s">
        <v>3549</v>
      </c>
      <c r="G857" s="3" t="s">
        <v>664</v>
      </c>
      <c r="H857" s="11">
        <f t="shared" si="29"/>
        <v>136.94</v>
      </c>
      <c r="I857" s="9">
        <f>($K$2+0.02)*Tabla1[[#This Row],[PRECIO $]]*1.18</f>
        <v>106.35575999999999</v>
      </c>
      <c r="J857" s="7">
        <f>+Tabla1[[#This Row],[PRECIO EN SOLES]]-Tabla1[[#This Row],[PC]]</f>
        <v>30.584240000000008</v>
      </c>
      <c r="K857" s="15"/>
      <c r="L857" s="15" t="str">
        <f t="shared" si="28"/>
        <v>COMPLEMENTO</v>
      </c>
    </row>
    <row r="858" spans="1:12" x14ac:dyDescent="0.25">
      <c r="A858" s="3" t="s">
        <v>4983</v>
      </c>
      <c r="B858" s="3" t="s">
        <v>1981</v>
      </c>
      <c r="C858" s="1">
        <v>20</v>
      </c>
      <c r="D858" s="1">
        <v>100</v>
      </c>
      <c r="E858" s="1" t="s">
        <v>52</v>
      </c>
      <c r="F858" s="1" t="s">
        <v>4984</v>
      </c>
      <c r="G858" s="3" t="s">
        <v>4985</v>
      </c>
      <c r="H858" s="11">
        <f t="shared" si="29"/>
        <v>518.29999999999995</v>
      </c>
      <c r="I858" s="9">
        <f>($K$2+0.02)*Tabla1[[#This Row],[PRECIO $]]*1.18</f>
        <v>410.64</v>
      </c>
      <c r="J858" s="7">
        <f>+Tabla1[[#This Row],[PRECIO EN SOLES]]-Tabla1[[#This Row],[PC]]</f>
        <v>107.65999999999997</v>
      </c>
      <c r="K858" s="15"/>
      <c r="L858" s="15" t="str">
        <f t="shared" si="28"/>
        <v>COMPLEMENTO</v>
      </c>
    </row>
    <row r="859" spans="1:12" x14ac:dyDescent="0.25">
      <c r="A859" s="3" t="s">
        <v>4986</v>
      </c>
      <c r="B859" s="3" t="s">
        <v>278</v>
      </c>
      <c r="C859" s="1">
        <v>20</v>
      </c>
      <c r="D859" s="1">
        <v>666</v>
      </c>
      <c r="E859" s="1" t="s">
        <v>249</v>
      </c>
      <c r="F859" s="1" t="s">
        <v>4987</v>
      </c>
      <c r="G859" s="3"/>
      <c r="H859" s="11">
        <f t="shared" si="29"/>
        <v>3423.58</v>
      </c>
      <c r="I859" s="9">
        <f>($K$2+0.02)*Tabla1[[#This Row],[PRECIO $]]*1.18</f>
        <v>2734.8623999999995</v>
      </c>
      <c r="J859" s="7">
        <f>+Tabla1[[#This Row],[PRECIO EN SOLES]]-Tabla1[[#This Row],[PC]]</f>
        <v>688.7176000000004</v>
      </c>
      <c r="K859" s="15"/>
      <c r="L859" s="15" t="str">
        <f t="shared" si="28"/>
        <v>COMPLEMENTO</v>
      </c>
    </row>
    <row r="860" spans="1:12" x14ac:dyDescent="0.25">
      <c r="A860" s="3" t="s">
        <v>4988</v>
      </c>
      <c r="B860" s="3" t="s">
        <v>280</v>
      </c>
      <c r="C860" s="1">
        <v>20</v>
      </c>
      <c r="D860" s="1">
        <v>666</v>
      </c>
      <c r="E860" s="1" t="s">
        <v>249</v>
      </c>
      <c r="F860" s="1" t="s">
        <v>4989</v>
      </c>
      <c r="G860" s="3"/>
      <c r="H860" s="11">
        <f t="shared" si="29"/>
        <v>3423.58</v>
      </c>
      <c r="I860" s="9">
        <f>($K$2+0.02)*Tabla1[[#This Row],[PRECIO $]]*1.18</f>
        <v>2734.8623999999995</v>
      </c>
      <c r="J860" s="7">
        <f>+Tabla1[[#This Row],[PRECIO EN SOLES]]-Tabla1[[#This Row],[PC]]</f>
        <v>688.7176000000004</v>
      </c>
      <c r="K860" s="15"/>
      <c r="L860" s="15" t="str">
        <f t="shared" si="28"/>
        <v>COMPLEMENTO</v>
      </c>
    </row>
    <row r="861" spans="1:12" x14ac:dyDescent="0.25">
      <c r="A861" s="3" t="s">
        <v>2972</v>
      </c>
      <c r="B861" s="3" t="s">
        <v>2973</v>
      </c>
      <c r="C861" s="1">
        <v>20</v>
      </c>
      <c r="D861" s="1">
        <v>19.899999999999999</v>
      </c>
      <c r="E861" s="1" t="s">
        <v>276</v>
      </c>
      <c r="F861" s="1" t="s">
        <v>3550</v>
      </c>
      <c r="G861" s="3"/>
      <c r="H861" s="11">
        <f t="shared" si="29"/>
        <v>106.15</v>
      </c>
      <c r="I861" s="9">
        <f>($K$2+0.02)*Tabla1[[#This Row],[PRECIO $]]*1.18</f>
        <v>81.717359999999985</v>
      </c>
      <c r="J861" s="7">
        <f>+Tabla1[[#This Row],[PRECIO EN SOLES]]-Tabla1[[#This Row],[PC]]</f>
        <v>24.432640000000021</v>
      </c>
      <c r="K861" s="15"/>
      <c r="L861" s="15" t="str">
        <f t="shared" si="28"/>
        <v>COMPLEMENTO</v>
      </c>
    </row>
    <row r="862" spans="1:12" x14ac:dyDescent="0.25">
      <c r="A862" s="3" t="s">
        <v>6018</v>
      </c>
      <c r="B862" s="3" t="s">
        <v>6019</v>
      </c>
      <c r="C862" s="1">
        <v>0</v>
      </c>
      <c r="D862" s="1">
        <v>9999999.9900000002</v>
      </c>
      <c r="E862" s="1" t="s">
        <v>186</v>
      </c>
      <c r="F862" s="1" t="s">
        <v>6020</v>
      </c>
      <c r="G862" s="3"/>
      <c r="H862" s="11">
        <f t="shared" si="29"/>
        <v>51330004.950000003</v>
      </c>
      <c r="I862" s="9">
        <f>($K$2+0.02)*Tabla1[[#This Row],[PRECIO $]]*1.18</f>
        <v>41063999.958935998</v>
      </c>
      <c r="J862" s="7">
        <f>+Tabla1[[#This Row],[PRECIO EN SOLES]]-Tabla1[[#This Row],[PC]]</f>
        <v>10266004.991064005</v>
      </c>
      <c r="K862" s="15"/>
      <c r="L862" s="15" t="str">
        <f t="shared" si="28"/>
        <v>COMPLEMENTO</v>
      </c>
    </row>
    <row r="863" spans="1:12" x14ac:dyDescent="0.25">
      <c r="A863" s="3" t="s">
        <v>4627</v>
      </c>
      <c r="B863" s="3" t="s">
        <v>4628</v>
      </c>
      <c r="C863" s="1">
        <v>0</v>
      </c>
      <c r="D863" s="1">
        <v>999</v>
      </c>
      <c r="E863" s="1" t="s">
        <v>186</v>
      </c>
      <c r="F863" s="1" t="s">
        <v>4629</v>
      </c>
      <c r="G863" s="3"/>
      <c r="H863" s="11">
        <f t="shared" si="29"/>
        <v>5132.87</v>
      </c>
      <c r="I863" s="9">
        <f>($K$2+0.02)*Tabla1[[#This Row],[PRECIO $]]*1.18</f>
        <v>4102.2936</v>
      </c>
      <c r="J863" s="7">
        <f>+Tabla1[[#This Row],[PRECIO EN SOLES]]-Tabla1[[#This Row],[PC]]</f>
        <v>1030.5763999999999</v>
      </c>
      <c r="K863" s="15"/>
      <c r="L863" s="15" t="str">
        <f t="shared" si="28"/>
        <v>GANCHO</v>
      </c>
    </row>
    <row r="864" spans="1:12" x14ac:dyDescent="0.25">
      <c r="A864" s="3" t="s">
        <v>1599</v>
      </c>
      <c r="B864" s="3" t="s">
        <v>1598</v>
      </c>
      <c r="C864" s="1">
        <v>0</v>
      </c>
      <c r="D864" s="1">
        <v>999</v>
      </c>
      <c r="E864" s="1" t="s">
        <v>187</v>
      </c>
      <c r="F864" s="1" t="s">
        <v>3551</v>
      </c>
      <c r="G864" s="3"/>
      <c r="H864" s="11">
        <f t="shared" si="29"/>
        <v>5132.87</v>
      </c>
      <c r="I864" s="9">
        <f>($K$2+0.02)*Tabla1[[#This Row],[PRECIO $]]*1.18</f>
        <v>4102.2936</v>
      </c>
      <c r="J864" s="7">
        <f>+Tabla1[[#This Row],[PRECIO EN SOLES]]-Tabla1[[#This Row],[PC]]</f>
        <v>1030.5763999999999</v>
      </c>
      <c r="K864" s="15"/>
      <c r="L864" s="15" t="str">
        <f t="shared" si="28"/>
        <v>GANCHO</v>
      </c>
    </row>
    <row r="865" spans="1:12" x14ac:dyDescent="0.25">
      <c r="A865" s="3" t="s">
        <v>281</v>
      </c>
      <c r="B865" s="3" t="s">
        <v>282</v>
      </c>
      <c r="C865" s="1">
        <v>20</v>
      </c>
      <c r="D865" s="1">
        <v>78</v>
      </c>
      <c r="E865" s="1" t="s">
        <v>54</v>
      </c>
      <c r="F865" s="1" t="s">
        <v>3552</v>
      </c>
      <c r="G865" s="3" t="s">
        <v>283</v>
      </c>
      <c r="H865" s="11">
        <f t="shared" si="29"/>
        <v>371.33</v>
      </c>
      <c r="I865" s="9">
        <f>($K$2+0.02)*Tabla1[[#This Row],[PRECIO $]]*1.18</f>
        <v>320.29919999999998</v>
      </c>
      <c r="J865" s="7">
        <f>+Tabla1[[#This Row],[PRECIO EN SOLES]]-Tabla1[[#This Row],[PC]]</f>
        <v>51.030799999999999</v>
      </c>
      <c r="K865" s="15"/>
      <c r="L865" s="15" t="str">
        <f t="shared" si="28"/>
        <v>GANCHO</v>
      </c>
    </row>
    <row r="866" spans="1:12" x14ac:dyDescent="0.25">
      <c r="A866" s="3" t="s">
        <v>284</v>
      </c>
      <c r="B866" s="3" t="s">
        <v>285</v>
      </c>
      <c r="C866" s="1">
        <v>0</v>
      </c>
      <c r="D866" s="1">
        <v>78</v>
      </c>
      <c r="E866" s="1" t="s">
        <v>52</v>
      </c>
      <c r="F866" s="1" t="s">
        <v>3553</v>
      </c>
      <c r="G866" s="3" t="s">
        <v>665</v>
      </c>
      <c r="H866" s="11">
        <f t="shared" si="29"/>
        <v>371.33</v>
      </c>
      <c r="I866" s="9">
        <f>($K$2+0.02)*Tabla1[[#This Row],[PRECIO $]]*1.18</f>
        <v>320.29919999999998</v>
      </c>
      <c r="J866" s="7">
        <f>+Tabla1[[#This Row],[PRECIO EN SOLES]]-Tabla1[[#This Row],[PC]]</f>
        <v>51.030799999999999</v>
      </c>
      <c r="K866" s="15"/>
      <c r="L866" s="15" t="str">
        <f t="shared" si="28"/>
        <v>GANCHO</v>
      </c>
    </row>
    <row r="867" spans="1:12" x14ac:dyDescent="0.25">
      <c r="A867" s="3" t="s">
        <v>6765</v>
      </c>
      <c r="B867" s="3" t="s">
        <v>6766</v>
      </c>
      <c r="C867" s="1">
        <v>20</v>
      </c>
      <c r="D867" s="1">
        <v>83</v>
      </c>
      <c r="E867" s="1" t="s">
        <v>52</v>
      </c>
      <c r="F867" s="1" t="s">
        <v>6767</v>
      </c>
      <c r="G867" s="3" t="s">
        <v>6768</v>
      </c>
      <c r="H867" s="11">
        <f t="shared" si="29"/>
        <v>393.91</v>
      </c>
      <c r="I867" s="9">
        <f>($K$2+0.02)*Tabla1[[#This Row],[PRECIO $]]*1.18</f>
        <v>340.83119999999997</v>
      </c>
      <c r="J867" s="7">
        <f>+Tabla1[[#This Row],[PRECIO EN SOLES]]-Tabla1[[#This Row],[PC]]</f>
        <v>53.078800000000058</v>
      </c>
      <c r="K867" s="15"/>
      <c r="L867" s="15" t="str">
        <f t="shared" si="28"/>
        <v>GANCHO</v>
      </c>
    </row>
    <row r="868" spans="1:12" x14ac:dyDescent="0.25">
      <c r="A868" s="3" t="s">
        <v>2752</v>
      </c>
      <c r="B868" s="3" t="s">
        <v>2753</v>
      </c>
      <c r="C868" s="1">
        <v>20</v>
      </c>
      <c r="D868" s="1">
        <v>96</v>
      </c>
      <c r="E868" s="1" t="s">
        <v>54</v>
      </c>
      <c r="F868" s="1" t="s">
        <v>3554</v>
      </c>
      <c r="G868" s="3" t="s">
        <v>2764</v>
      </c>
      <c r="H868" s="11">
        <f t="shared" si="29"/>
        <v>452.64</v>
      </c>
      <c r="I868" s="9">
        <f>($K$2+0.02)*Tabla1[[#This Row],[PRECIO $]]*1.18</f>
        <v>394.21439999999996</v>
      </c>
      <c r="J868" s="7">
        <f>+Tabla1[[#This Row],[PRECIO EN SOLES]]-Tabla1[[#This Row],[PC]]</f>
        <v>58.425600000000031</v>
      </c>
      <c r="K868" s="15"/>
      <c r="L868" s="15" t="str">
        <f t="shared" si="28"/>
        <v>NORMAL</v>
      </c>
    </row>
    <row r="869" spans="1:12" x14ac:dyDescent="0.25">
      <c r="A869" s="3" t="s">
        <v>6021</v>
      </c>
      <c r="B869" s="3" t="s">
        <v>6022</v>
      </c>
      <c r="C869" s="1">
        <v>18</v>
      </c>
      <c r="D869" s="1">
        <v>215</v>
      </c>
      <c r="E869" s="1" t="s">
        <v>219</v>
      </c>
      <c r="F869" s="1" t="s">
        <v>6023</v>
      </c>
      <c r="G869" s="3"/>
      <c r="H869" s="11">
        <f t="shared" si="29"/>
        <v>990.16</v>
      </c>
      <c r="I869" s="9">
        <f>($K$2+0.02)*Tabla1[[#This Row],[PRECIO $]]*1.18</f>
        <v>882.87599999999998</v>
      </c>
      <c r="J869" s="7">
        <f>+Tabla1[[#This Row],[PRECIO EN SOLES]]-Tabla1[[#This Row],[PC]]</f>
        <v>107.28399999999999</v>
      </c>
      <c r="K869" s="15"/>
      <c r="L869" s="15" t="str">
        <f t="shared" si="28"/>
        <v>GANCHO</v>
      </c>
    </row>
    <row r="870" spans="1:12" x14ac:dyDescent="0.25">
      <c r="A870" s="3" t="s">
        <v>6024</v>
      </c>
      <c r="B870" s="3" t="s">
        <v>6025</v>
      </c>
      <c r="C870" s="1">
        <v>4</v>
      </c>
      <c r="D870" s="1">
        <v>147</v>
      </c>
      <c r="E870" s="1" t="s">
        <v>219</v>
      </c>
      <c r="F870" s="1" t="s">
        <v>6026</v>
      </c>
      <c r="G870" s="3" t="s">
        <v>6027</v>
      </c>
      <c r="H870" s="11">
        <f t="shared" si="29"/>
        <v>702.19</v>
      </c>
      <c r="I870" s="9">
        <f>($K$2+0.02)*Tabla1[[#This Row],[PRECIO $]]*1.18</f>
        <v>603.64080000000001</v>
      </c>
      <c r="J870" s="7">
        <f>+Tabla1[[#This Row],[PRECIO EN SOLES]]-Tabla1[[#This Row],[PC]]</f>
        <v>98.549200000000042</v>
      </c>
      <c r="K870" s="15"/>
      <c r="L870" s="15" t="str">
        <f t="shared" si="28"/>
        <v>GANCHO</v>
      </c>
    </row>
    <row r="871" spans="1:12" x14ac:dyDescent="0.25">
      <c r="A871" s="3" t="s">
        <v>2884</v>
      </c>
      <c r="B871" s="3" t="s">
        <v>2885</v>
      </c>
      <c r="C871" s="1">
        <v>20</v>
      </c>
      <c r="D871" s="1">
        <v>323.5</v>
      </c>
      <c r="E871" s="1" t="s">
        <v>219</v>
      </c>
      <c r="F871" s="1" t="s">
        <v>3555</v>
      </c>
      <c r="G871" s="3" t="s">
        <v>2886</v>
      </c>
      <c r="H871" s="11">
        <f t="shared" si="29"/>
        <v>1480.26</v>
      </c>
      <c r="I871" s="9">
        <f>($K$2+0.02)*Tabla1[[#This Row],[PRECIO $]]*1.18</f>
        <v>1328.4204</v>
      </c>
      <c r="J871" s="7">
        <f>+Tabla1[[#This Row],[PRECIO EN SOLES]]-Tabla1[[#This Row],[PC]]</f>
        <v>151.83960000000002</v>
      </c>
      <c r="K871" s="15"/>
      <c r="L871" s="15" t="str">
        <f t="shared" si="28"/>
        <v>GANCHO</v>
      </c>
    </row>
    <row r="872" spans="1:12" x14ac:dyDescent="0.25">
      <c r="A872" s="3" t="s">
        <v>1600</v>
      </c>
      <c r="B872" s="3" t="s">
        <v>4990</v>
      </c>
      <c r="C872" s="1">
        <v>2</v>
      </c>
      <c r="D872" s="1">
        <v>400</v>
      </c>
      <c r="E872" s="1" t="s">
        <v>219</v>
      </c>
      <c r="F872" s="1" t="s">
        <v>3556</v>
      </c>
      <c r="G872" s="3" t="s">
        <v>3557</v>
      </c>
      <c r="H872" s="11">
        <f t="shared" si="29"/>
        <v>1825.82</v>
      </c>
      <c r="I872" s="9">
        <f>($K$2+0.02)*Tabla1[[#This Row],[PRECIO $]]*1.18</f>
        <v>1642.56</v>
      </c>
      <c r="J872" s="7">
        <f>+Tabla1[[#This Row],[PRECIO EN SOLES]]-Tabla1[[#This Row],[PC]]</f>
        <v>183.26</v>
      </c>
      <c r="K872" s="15"/>
      <c r="L872" s="15" t="str">
        <f t="shared" si="28"/>
        <v>GANCHO</v>
      </c>
    </row>
    <row r="873" spans="1:12" x14ac:dyDescent="0.25">
      <c r="A873" s="3" t="s">
        <v>6769</v>
      </c>
      <c r="B873" s="3" t="s">
        <v>6770</v>
      </c>
      <c r="C873" s="1">
        <v>0</v>
      </c>
      <c r="D873" s="1">
        <v>408</v>
      </c>
      <c r="E873" s="1" t="s">
        <v>837</v>
      </c>
      <c r="F873" s="1" t="s">
        <v>6771</v>
      </c>
      <c r="G873" s="3" t="s">
        <v>6772</v>
      </c>
      <c r="H873" s="11">
        <f t="shared" si="29"/>
        <v>1861.95</v>
      </c>
      <c r="I873" s="9">
        <f>($K$2+0.02)*Tabla1[[#This Row],[PRECIO $]]*1.18</f>
        <v>1675.4111999999998</v>
      </c>
      <c r="J873" s="7">
        <f>+Tabla1[[#This Row],[PRECIO EN SOLES]]-Tabla1[[#This Row],[PC]]</f>
        <v>186.53880000000026</v>
      </c>
      <c r="K873" s="15"/>
      <c r="L873" s="15" t="str">
        <f t="shared" si="28"/>
        <v>GANCHO</v>
      </c>
    </row>
    <row r="874" spans="1:12" x14ac:dyDescent="0.25">
      <c r="A874" s="3" t="s">
        <v>5443</v>
      </c>
      <c r="B874" s="3" t="s">
        <v>5444</v>
      </c>
      <c r="C874" s="1">
        <v>3</v>
      </c>
      <c r="D874" s="1">
        <v>1097</v>
      </c>
      <c r="E874" s="1" t="s">
        <v>837</v>
      </c>
      <c r="F874" s="1" t="s">
        <v>5445</v>
      </c>
      <c r="G874" s="3" t="s">
        <v>5446</v>
      </c>
      <c r="H874" s="11">
        <f t="shared" si="29"/>
        <v>4974.1899999999996</v>
      </c>
      <c r="I874" s="9">
        <f>($K$2+0.02)*Tabla1[[#This Row],[PRECIO $]]*1.18</f>
        <v>4504.7208000000001</v>
      </c>
      <c r="J874" s="7">
        <f>+Tabla1[[#This Row],[PRECIO EN SOLES]]-Tabla1[[#This Row],[PC]]</f>
        <v>469.46919999999955</v>
      </c>
      <c r="K874" s="15"/>
      <c r="L874" s="15" t="str">
        <f t="shared" si="28"/>
        <v>GANCHO</v>
      </c>
    </row>
    <row r="875" spans="1:12" x14ac:dyDescent="0.25">
      <c r="A875" s="3" t="s">
        <v>6538</v>
      </c>
      <c r="B875" s="3" t="s">
        <v>6539</v>
      </c>
      <c r="C875" s="1">
        <v>20</v>
      </c>
      <c r="D875" s="1">
        <v>124</v>
      </c>
      <c r="E875" s="1" t="s">
        <v>52</v>
      </c>
      <c r="F875" s="1" t="s">
        <v>6540</v>
      </c>
      <c r="G875" s="3" t="s">
        <v>6541</v>
      </c>
      <c r="H875" s="11">
        <f t="shared" si="29"/>
        <v>579.11</v>
      </c>
      <c r="I875" s="9">
        <f>($K$2+0.02)*Tabla1[[#This Row],[PRECIO $]]*1.18</f>
        <v>509.19359999999995</v>
      </c>
      <c r="J875" s="7">
        <f>+Tabla1[[#This Row],[PRECIO EN SOLES]]-Tabla1[[#This Row],[PC]]</f>
        <v>69.916400000000067</v>
      </c>
      <c r="K875" s="15"/>
      <c r="L875" s="15" t="str">
        <f t="shared" si="28"/>
        <v>GANCHO</v>
      </c>
    </row>
    <row r="876" spans="1:12" x14ac:dyDescent="0.25">
      <c r="A876" s="3" t="s">
        <v>286</v>
      </c>
      <c r="B876" s="3" t="s">
        <v>287</v>
      </c>
      <c r="C876" s="1">
        <v>20</v>
      </c>
      <c r="D876" s="1">
        <v>160</v>
      </c>
      <c r="E876" s="1" t="s">
        <v>52</v>
      </c>
      <c r="F876" s="1" t="s">
        <v>3558</v>
      </c>
      <c r="G876" s="3" t="s">
        <v>2789</v>
      </c>
      <c r="H876" s="11">
        <f t="shared" si="29"/>
        <v>741.73</v>
      </c>
      <c r="I876" s="9">
        <f>($K$2+0.02)*Tabla1[[#This Row],[PRECIO $]]*1.18</f>
        <v>657.02399999999989</v>
      </c>
      <c r="J876" s="7">
        <f>+Tabla1[[#This Row],[PRECIO EN SOLES]]-Tabla1[[#This Row],[PC]]</f>
        <v>84.706000000000131</v>
      </c>
      <c r="K876" s="15"/>
      <c r="L876" s="15" t="str">
        <f t="shared" si="28"/>
        <v>GANCHO</v>
      </c>
    </row>
    <row r="877" spans="1:12" x14ac:dyDescent="0.25">
      <c r="A877" s="3" t="s">
        <v>6773</v>
      </c>
      <c r="B877" s="3" t="s">
        <v>6774</v>
      </c>
      <c r="C877" s="1">
        <v>20</v>
      </c>
      <c r="D877" s="1">
        <v>97</v>
      </c>
      <c r="E877" s="1" t="s">
        <v>52</v>
      </c>
      <c r="F877" s="1" t="s">
        <v>6775</v>
      </c>
      <c r="G877" s="3" t="s">
        <v>6776</v>
      </c>
      <c r="H877" s="11">
        <f t="shared" si="29"/>
        <v>457.15</v>
      </c>
      <c r="I877" s="9">
        <f>($K$2+0.02)*Tabla1[[#This Row],[PRECIO $]]*1.18</f>
        <v>398.32079999999996</v>
      </c>
      <c r="J877" s="7">
        <f>+Tabla1[[#This Row],[PRECIO EN SOLES]]-Tabla1[[#This Row],[PC]]</f>
        <v>58.829200000000014</v>
      </c>
      <c r="K877" s="15"/>
      <c r="L877" s="15" t="str">
        <f t="shared" si="28"/>
        <v>GANCHO</v>
      </c>
    </row>
    <row r="878" spans="1:12" x14ac:dyDescent="0.25">
      <c r="A878" s="3" t="s">
        <v>6321</v>
      </c>
      <c r="B878" s="3" t="s">
        <v>6322</v>
      </c>
      <c r="C878" s="1">
        <v>20</v>
      </c>
      <c r="D878" s="1">
        <v>175</v>
      </c>
      <c r="E878" s="1" t="s">
        <v>52</v>
      </c>
      <c r="F878" s="1" t="s">
        <v>6323</v>
      </c>
      <c r="G878" s="3" t="s">
        <v>6324</v>
      </c>
      <c r="H878" s="11">
        <f t="shared" si="29"/>
        <v>809.48</v>
      </c>
      <c r="I878" s="9">
        <f>($K$2+0.02)*Tabla1[[#This Row],[PRECIO $]]*1.18</f>
        <v>718.62</v>
      </c>
      <c r="J878" s="7">
        <f>+Tabla1[[#This Row],[PRECIO EN SOLES]]-Tabla1[[#This Row],[PC]]</f>
        <v>90.860000000000014</v>
      </c>
      <c r="K878" s="15"/>
      <c r="L878" s="15" t="str">
        <f t="shared" si="28"/>
        <v>GANCHO</v>
      </c>
    </row>
    <row r="879" spans="1:12" x14ac:dyDescent="0.25">
      <c r="A879" s="3" t="s">
        <v>1612</v>
      </c>
      <c r="B879" s="3" t="s">
        <v>1613</v>
      </c>
      <c r="C879" s="1">
        <v>0</v>
      </c>
      <c r="D879" s="1">
        <v>999</v>
      </c>
      <c r="E879" s="1" t="s">
        <v>170</v>
      </c>
      <c r="F879" s="1" t="s">
        <v>3565</v>
      </c>
      <c r="G879" s="3"/>
      <c r="H879" s="11">
        <f t="shared" si="29"/>
        <v>4531.5200000000004</v>
      </c>
      <c r="I879" s="9">
        <f>($K$2+0.02)*Tabla1[[#This Row],[PRECIO $]]*1.18</f>
        <v>4102.2936</v>
      </c>
      <c r="J879" s="7">
        <f>+Tabla1[[#This Row],[PRECIO EN SOLES]]-Tabla1[[#This Row],[PC]]</f>
        <v>429.22640000000047</v>
      </c>
      <c r="K879" s="15"/>
      <c r="L879" s="15" t="str">
        <f t="shared" si="28"/>
        <v>GANCHO</v>
      </c>
    </row>
    <row r="880" spans="1:12" x14ac:dyDescent="0.25">
      <c r="A880" s="3" t="s">
        <v>6777</v>
      </c>
      <c r="B880" s="3" t="s">
        <v>6778</v>
      </c>
      <c r="C880" s="1">
        <v>20</v>
      </c>
      <c r="D880" s="1">
        <v>243</v>
      </c>
      <c r="E880" s="1" t="s">
        <v>52</v>
      </c>
      <c r="F880" s="1" t="s">
        <v>6779</v>
      </c>
      <c r="G880" s="3" t="s">
        <v>6780</v>
      </c>
      <c r="H880" s="11">
        <f t="shared" si="29"/>
        <v>1116.6400000000001</v>
      </c>
      <c r="I880" s="9">
        <f>($K$2+0.02)*Tabla1[[#This Row],[PRECIO $]]*1.18</f>
        <v>997.85519999999997</v>
      </c>
      <c r="J880" s="7">
        <f>+Tabla1[[#This Row],[PRECIO EN SOLES]]-Tabla1[[#This Row],[PC]]</f>
        <v>118.78480000000013</v>
      </c>
      <c r="K880" s="15"/>
      <c r="L880" s="15" t="str">
        <f t="shared" si="28"/>
        <v>GANCHO</v>
      </c>
    </row>
    <row r="881" spans="1:12" x14ac:dyDescent="0.25">
      <c r="A881" s="3" t="s">
        <v>6028</v>
      </c>
      <c r="B881" s="3" t="s">
        <v>6029</v>
      </c>
      <c r="C881" s="1">
        <v>20</v>
      </c>
      <c r="D881" s="1">
        <v>88.4</v>
      </c>
      <c r="E881" s="1" t="s">
        <v>219</v>
      </c>
      <c r="F881" s="1" t="s">
        <v>6030</v>
      </c>
      <c r="G881" s="3" t="s">
        <v>6031</v>
      </c>
      <c r="H881" s="11">
        <f t="shared" si="29"/>
        <v>418.31</v>
      </c>
      <c r="I881" s="9">
        <f>($K$2+0.02)*Tabla1[[#This Row],[PRECIO $]]*1.18</f>
        <v>363.00576000000001</v>
      </c>
      <c r="J881" s="7">
        <f>+Tabla1[[#This Row],[PRECIO EN SOLES]]-Tabla1[[#This Row],[PC]]</f>
        <v>55.304239999999993</v>
      </c>
      <c r="K881" s="15"/>
      <c r="L881" s="15" t="str">
        <f t="shared" si="28"/>
        <v>NORMAL</v>
      </c>
    </row>
    <row r="882" spans="1:12" x14ac:dyDescent="0.25">
      <c r="A882" s="3" t="s">
        <v>5447</v>
      </c>
      <c r="B882" s="3" t="s">
        <v>5448</v>
      </c>
      <c r="C882" s="1">
        <v>1</v>
      </c>
      <c r="D882" s="1">
        <v>136.5</v>
      </c>
      <c r="E882" s="1" t="s">
        <v>219</v>
      </c>
      <c r="F882" s="1" t="s">
        <v>5449</v>
      </c>
      <c r="G882" s="3" t="s">
        <v>5450</v>
      </c>
      <c r="H882" s="11">
        <f t="shared" si="29"/>
        <v>635.58000000000004</v>
      </c>
      <c r="I882" s="9">
        <f>($K$2+0.02)*Tabla1[[#This Row],[PRECIO $]]*1.18</f>
        <v>560.52359999999999</v>
      </c>
      <c r="J882" s="7">
        <f>+Tabla1[[#This Row],[PRECIO EN SOLES]]-Tabla1[[#This Row],[PC]]</f>
        <v>75.056400000000053</v>
      </c>
      <c r="K882" s="15"/>
      <c r="L882" s="15" t="str">
        <f t="shared" si="28"/>
        <v>NORMAL</v>
      </c>
    </row>
    <row r="883" spans="1:12" x14ac:dyDescent="0.25">
      <c r="A883" s="3" t="s">
        <v>1601</v>
      </c>
      <c r="B883" s="3" t="s">
        <v>1602</v>
      </c>
      <c r="C883" s="1">
        <v>1</v>
      </c>
      <c r="D883" s="1">
        <v>199</v>
      </c>
      <c r="E883" s="1" t="s">
        <v>838</v>
      </c>
      <c r="F883" s="1" t="s">
        <v>3559</v>
      </c>
      <c r="G883" s="3"/>
      <c r="H883" s="11">
        <f t="shared" si="29"/>
        <v>947.75</v>
      </c>
      <c r="I883" s="9">
        <f>($K$2+0.02)*Tabla1[[#This Row],[PRECIO $]]*1.18</f>
        <v>817.17359999999996</v>
      </c>
      <c r="J883" s="7">
        <f>+Tabla1[[#This Row],[PRECIO EN SOLES]]-Tabla1[[#This Row],[PC]]</f>
        <v>130.57640000000004</v>
      </c>
      <c r="K883" s="15"/>
      <c r="L883" s="15" t="str">
        <f t="shared" si="28"/>
        <v>GANCHO</v>
      </c>
    </row>
    <row r="884" spans="1:12" x14ac:dyDescent="0.25">
      <c r="A884" s="3" t="s">
        <v>1603</v>
      </c>
      <c r="B884" s="3" t="s">
        <v>1604</v>
      </c>
      <c r="C884" s="1">
        <v>20</v>
      </c>
      <c r="D884" s="1">
        <v>110.6</v>
      </c>
      <c r="E884" s="1" t="s">
        <v>115</v>
      </c>
      <c r="F884" s="1" t="s">
        <v>3560</v>
      </c>
      <c r="G884" s="3" t="s">
        <v>2765</v>
      </c>
      <c r="H884" s="11">
        <f t="shared" si="29"/>
        <v>530.29</v>
      </c>
      <c r="I884" s="9">
        <f>($K$2+0.02)*Tabla1[[#This Row],[PRECIO $]]*1.18</f>
        <v>454.16783999999996</v>
      </c>
      <c r="J884" s="7">
        <f>+Tabla1[[#This Row],[PRECIO EN SOLES]]-Tabla1[[#This Row],[PC]]</f>
        <v>76.122160000000008</v>
      </c>
      <c r="K884" s="15"/>
      <c r="L884" s="15" t="str">
        <f t="shared" si="28"/>
        <v>NORMAL</v>
      </c>
    </row>
    <row r="885" spans="1:12" x14ac:dyDescent="0.25">
      <c r="A885" s="3" t="s">
        <v>288</v>
      </c>
      <c r="B885" s="3" t="s">
        <v>289</v>
      </c>
      <c r="C885" s="1">
        <v>20</v>
      </c>
      <c r="D885" s="1">
        <v>77</v>
      </c>
      <c r="E885" s="1" t="s">
        <v>52</v>
      </c>
      <c r="F885" s="1" t="s">
        <v>3561</v>
      </c>
      <c r="G885" s="3" t="s">
        <v>290</v>
      </c>
      <c r="H885" s="11">
        <f t="shared" si="29"/>
        <v>366.81</v>
      </c>
      <c r="I885" s="9">
        <f>($K$2+0.02)*Tabla1[[#This Row],[PRECIO $]]*1.18</f>
        <v>316.19279999999998</v>
      </c>
      <c r="J885" s="7">
        <f>+Tabla1[[#This Row],[PRECIO EN SOLES]]-Tabla1[[#This Row],[PC]]</f>
        <v>50.617200000000025</v>
      </c>
      <c r="K885" s="15"/>
      <c r="L885" s="15" t="str">
        <f t="shared" si="28"/>
        <v>NORMAL</v>
      </c>
    </row>
    <row r="886" spans="1:12" x14ac:dyDescent="0.25">
      <c r="A886" s="3" t="s">
        <v>1605</v>
      </c>
      <c r="B886" s="3" t="s">
        <v>1606</v>
      </c>
      <c r="C886" s="1">
        <v>19</v>
      </c>
      <c r="D886" s="1">
        <v>132.19999999999999</v>
      </c>
      <c r="E886" s="1" t="s">
        <v>115</v>
      </c>
      <c r="F886" s="1" t="s">
        <v>3562</v>
      </c>
      <c r="G886" s="3" t="s">
        <v>6781</v>
      </c>
      <c r="H886" s="11">
        <f t="shared" si="29"/>
        <v>632.29999999999995</v>
      </c>
      <c r="I886" s="9">
        <f>($K$2+0.02)*Tabla1[[#This Row],[PRECIO $]]*1.18</f>
        <v>542.8660799999999</v>
      </c>
      <c r="J886" s="7">
        <f>+Tabla1[[#This Row],[PRECIO EN SOLES]]-Tabla1[[#This Row],[PC]]</f>
        <v>89.433920000000057</v>
      </c>
      <c r="K886" s="15"/>
      <c r="L886" s="15" t="str">
        <f t="shared" si="28"/>
        <v>NORMAL</v>
      </c>
    </row>
    <row r="887" spans="1:12" x14ac:dyDescent="0.25">
      <c r="A887" s="3" t="s">
        <v>1607</v>
      </c>
      <c r="B887" s="3" t="s">
        <v>1608</v>
      </c>
      <c r="C887" s="1">
        <v>3</v>
      </c>
      <c r="D887" s="1">
        <v>586.5</v>
      </c>
      <c r="E887" s="1" t="s">
        <v>121</v>
      </c>
      <c r="F887" s="1" t="s">
        <v>3563</v>
      </c>
      <c r="G887" s="3" t="s">
        <v>2887</v>
      </c>
      <c r="H887" s="11">
        <f t="shared" si="29"/>
        <v>2777.66</v>
      </c>
      <c r="I887" s="9">
        <f>($K$2+0.02)*Tabla1[[#This Row],[PRECIO $]]*1.18</f>
        <v>2408.4035999999996</v>
      </c>
      <c r="J887" s="7">
        <f>+Tabla1[[#This Row],[PRECIO EN SOLES]]-Tabla1[[#This Row],[PC]]</f>
        <v>369.25640000000021</v>
      </c>
      <c r="K887" s="15"/>
      <c r="L887" s="15" t="str">
        <f t="shared" si="28"/>
        <v>NORMAL</v>
      </c>
    </row>
    <row r="888" spans="1:12" x14ac:dyDescent="0.25">
      <c r="A888" s="3" t="s">
        <v>6032</v>
      </c>
      <c r="B888" s="3" t="s">
        <v>6033</v>
      </c>
      <c r="C888" s="1">
        <v>20</v>
      </c>
      <c r="D888" s="1">
        <v>89.5</v>
      </c>
      <c r="E888" s="1" t="s">
        <v>121</v>
      </c>
      <c r="F888" s="1" t="s">
        <v>6034</v>
      </c>
      <c r="G888" s="3" t="s">
        <v>6035</v>
      </c>
      <c r="H888" s="11">
        <f t="shared" si="29"/>
        <v>430.65</v>
      </c>
      <c r="I888" s="9">
        <f>($K$2+0.02)*Tabla1[[#This Row],[PRECIO $]]*1.18</f>
        <v>367.52279999999996</v>
      </c>
      <c r="J888" s="7">
        <f>+Tabla1[[#This Row],[PRECIO EN SOLES]]-Tabla1[[#This Row],[PC]]</f>
        <v>63.127200000000016</v>
      </c>
      <c r="K888" s="15"/>
      <c r="L888" s="15" t="str">
        <f t="shared" si="28"/>
        <v>GANCHO</v>
      </c>
    </row>
    <row r="889" spans="1:12" x14ac:dyDescent="0.25">
      <c r="A889" s="3" t="s">
        <v>4991</v>
      </c>
      <c r="B889" s="3" t="s">
        <v>4992</v>
      </c>
      <c r="C889" s="1">
        <v>20</v>
      </c>
      <c r="D889" s="1">
        <v>138.75</v>
      </c>
      <c r="E889" s="1" t="s">
        <v>121</v>
      </c>
      <c r="F889" s="1" t="s">
        <v>4993</v>
      </c>
      <c r="G889" s="3" t="s">
        <v>4994</v>
      </c>
      <c r="H889" s="11">
        <f t="shared" si="29"/>
        <v>663.23</v>
      </c>
      <c r="I889" s="9">
        <f>($K$2+0.02)*Tabla1[[#This Row],[PRECIO $]]*1.18</f>
        <v>569.76300000000003</v>
      </c>
      <c r="J889" s="7">
        <f>+Tabla1[[#This Row],[PRECIO EN SOLES]]-Tabla1[[#This Row],[PC]]</f>
        <v>93.466999999999985</v>
      </c>
      <c r="K889" s="15"/>
      <c r="L889" s="15" t="str">
        <f t="shared" si="28"/>
        <v>GANCHO</v>
      </c>
    </row>
    <row r="890" spans="1:12" x14ac:dyDescent="0.25">
      <c r="A890" s="3" t="s">
        <v>6325</v>
      </c>
      <c r="B890" s="3" t="s">
        <v>6326</v>
      </c>
      <c r="C890" s="1">
        <v>20</v>
      </c>
      <c r="D890" s="1">
        <v>157</v>
      </c>
      <c r="E890" s="1" t="s">
        <v>52</v>
      </c>
      <c r="F890" s="1" t="s">
        <v>6327</v>
      </c>
      <c r="G890" s="3" t="s">
        <v>6328</v>
      </c>
      <c r="H890" s="11">
        <f t="shared" si="29"/>
        <v>728.18</v>
      </c>
      <c r="I890" s="9">
        <f>($K$2+0.02)*Tabla1[[#This Row],[PRECIO $]]*1.18</f>
        <v>644.70479999999998</v>
      </c>
      <c r="J890" s="7">
        <f>+Tabla1[[#This Row],[PRECIO EN SOLES]]-Tabla1[[#This Row],[PC]]</f>
        <v>83.475199999999973</v>
      </c>
      <c r="K890" s="15"/>
      <c r="L890" s="15" t="str">
        <f t="shared" si="28"/>
        <v>GANCHO</v>
      </c>
    </row>
    <row r="891" spans="1:12" x14ac:dyDescent="0.25">
      <c r="A891" s="3" t="s">
        <v>6782</v>
      </c>
      <c r="B891" s="3" t="s">
        <v>6783</v>
      </c>
      <c r="C891" s="1">
        <v>20</v>
      </c>
      <c r="D891" s="1">
        <v>117</v>
      </c>
      <c r="E891" s="1" t="s">
        <v>52</v>
      </c>
      <c r="F891" s="1" t="s">
        <v>6784</v>
      </c>
      <c r="G891" s="3" t="s">
        <v>6785</v>
      </c>
      <c r="H891" s="11">
        <f t="shared" si="29"/>
        <v>547.49</v>
      </c>
      <c r="I891" s="9">
        <f>($K$2+0.02)*Tabla1[[#This Row],[PRECIO $]]*1.18</f>
        <v>480.44880000000001</v>
      </c>
      <c r="J891" s="7">
        <f>+Tabla1[[#This Row],[PRECIO EN SOLES]]-Tabla1[[#This Row],[PC]]</f>
        <v>67.041200000000003</v>
      </c>
      <c r="K891" s="15"/>
      <c r="L891" s="15" t="str">
        <f t="shared" si="28"/>
        <v>GANCHO</v>
      </c>
    </row>
    <row r="892" spans="1:12" x14ac:dyDescent="0.25">
      <c r="A892" s="3" t="s">
        <v>4995</v>
      </c>
      <c r="B892" s="3" t="s">
        <v>4996</v>
      </c>
      <c r="C892" s="1">
        <v>20</v>
      </c>
      <c r="D892" s="1">
        <v>113.8</v>
      </c>
      <c r="E892" s="1" t="s">
        <v>219</v>
      </c>
      <c r="F892" s="1" t="s">
        <v>4997</v>
      </c>
      <c r="G892" s="3" t="s">
        <v>4998</v>
      </c>
      <c r="H892" s="11">
        <f t="shared" si="29"/>
        <v>533.04</v>
      </c>
      <c r="I892" s="9">
        <f>($K$2+0.02)*Tabla1[[#This Row],[PRECIO $]]*1.18</f>
        <v>467.30831999999998</v>
      </c>
      <c r="J892" s="7">
        <f>+Tabla1[[#This Row],[PRECIO EN SOLES]]-Tabla1[[#This Row],[PC]]</f>
        <v>65.731679999999983</v>
      </c>
      <c r="K892" s="15"/>
      <c r="L892" s="15" t="str">
        <f t="shared" si="28"/>
        <v>GANCHO</v>
      </c>
    </row>
    <row r="893" spans="1:12" x14ac:dyDescent="0.25">
      <c r="A893" s="3" t="s">
        <v>4306</v>
      </c>
      <c r="B893" s="3" t="s">
        <v>4307</v>
      </c>
      <c r="C893" s="1">
        <v>10</v>
      </c>
      <c r="D893" s="1">
        <v>209.5</v>
      </c>
      <c r="E893" s="1" t="s">
        <v>219</v>
      </c>
      <c r="F893" s="1" t="s">
        <v>4308</v>
      </c>
      <c r="G893" s="3" t="s">
        <v>4309</v>
      </c>
      <c r="H893" s="11">
        <f t="shared" si="29"/>
        <v>965.32</v>
      </c>
      <c r="I893" s="9">
        <f>($K$2+0.02)*Tabla1[[#This Row],[PRECIO $]]*1.18</f>
        <v>860.29079999999988</v>
      </c>
      <c r="J893" s="7">
        <f>+Tabla1[[#This Row],[PRECIO EN SOLES]]-Tabla1[[#This Row],[PC]]</f>
        <v>105.02920000000017</v>
      </c>
      <c r="K893" s="15"/>
      <c r="L893" s="15" t="str">
        <f t="shared" si="28"/>
        <v>NORMAL</v>
      </c>
    </row>
    <row r="894" spans="1:12" x14ac:dyDescent="0.25">
      <c r="A894" s="3" t="s">
        <v>1609</v>
      </c>
      <c r="B894" s="3" t="s">
        <v>1610</v>
      </c>
      <c r="C894" s="1">
        <v>20</v>
      </c>
      <c r="D894" s="1">
        <v>636.44000000000005</v>
      </c>
      <c r="E894" s="1" t="s">
        <v>838</v>
      </c>
      <c r="F894" s="1" t="s">
        <v>3564</v>
      </c>
      <c r="G894" s="3" t="s">
        <v>1611</v>
      </c>
      <c r="H894" s="11">
        <f t="shared" si="29"/>
        <v>2893.82</v>
      </c>
      <c r="I894" s="9">
        <f>($K$2+0.02)*Tabla1[[#This Row],[PRECIO $]]*1.18</f>
        <v>2613.4772159999998</v>
      </c>
      <c r="J894" s="7">
        <f>+Tabla1[[#This Row],[PRECIO EN SOLES]]-Tabla1[[#This Row],[PC]]</f>
        <v>280.34278400000039</v>
      </c>
      <c r="K894" s="15"/>
      <c r="L894" s="15" t="str">
        <f t="shared" si="28"/>
        <v>GANCHO</v>
      </c>
    </row>
    <row r="895" spans="1:12" x14ac:dyDescent="0.25">
      <c r="A895" s="3" t="s">
        <v>5451</v>
      </c>
      <c r="B895" s="3" t="s">
        <v>5452</v>
      </c>
      <c r="C895" s="1">
        <v>14</v>
      </c>
      <c r="D895" s="1">
        <v>310</v>
      </c>
      <c r="E895" s="1" t="s">
        <v>219</v>
      </c>
      <c r="F895" s="1" t="s">
        <v>5453</v>
      </c>
      <c r="G895" s="3" t="s">
        <v>5454</v>
      </c>
      <c r="H895" s="11">
        <f t="shared" si="29"/>
        <v>1471.93</v>
      </c>
      <c r="I895" s="9">
        <f>($K$2+0.02)*Tabla1[[#This Row],[PRECIO $]]*1.18</f>
        <v>1272.9839999999999</v>
      </c>
      <c r="J895" s="7">
        <f>+Tabla1[[#This Row],[PRECIO EN SOLES]]-Tabla1[[#This Row],[PC]]</f>
        <v>198.94600000000014</v>
      </c>
      <c r="K895" s="15"/>
      <c r="L895" s="15" t="str">
        <f t="shared" si="28"/>
        <v>GANCHO</v>
      </c>
    </row>
    <row r="896" spans="1:12" x14ac:dyDescent="0.25">
      <c r="A896" s="3" t="s">
        <v>1614</v>
      </c>
      <c r="B896" s="3" t="s">
        <v>291</v>
      </c>
      <c r="C896" s="1">
        <v>20</v>
      </c>
      <c r="D896" s="1">
        <v>46.3</v>
      </c>
      <c r="E896" s="1" t="s">
        <v>52</v>
      </c>
      <c r="F896" s="1" t="s">
        <v>3566</v>
      </c>
      <c r="G896" s="3" t="s">
        <v>1615</v>
      </c>
      <c r="H896" s="11">
        <f t="shared" si="29"/>
        <v>220.14</v>
      </c>
      <c r="I896" s="9">
        <f>($K$2+0.02)*Tabla1[[#This Row],[PRECIO $]]*1.18</f>
        <v>190.12631999999999</v>
      </c>
      <c r="J896" s="7">
        <f>+Tabla1[[#This Row],[PRECIO EN SOLES]]-Tabla1[[#This Row],[PC]]</f>
        <v>30.013679999999994</v>
      </c>
      <c r="K896" s="15"/>
      <c r="L896" s="15" t="str">
        <f t="shared" si="28"/>
        <v>GANCHO</v>
      </c>
    </row>
    <row r="897" spans="1:12" x14ac:dyDescent="0.25">
      <c r="A897" s="3" t="s">
        <v>1616</v>
      </c>
      <c r="B897" s="3" t="s">
        <v>1617</v>
      </c>
      <c r="C897" s="1">
        <v>18</v>
      </c>
      <c r="D897" s="1">
        <v>57</v>
      </c>
      <c r="E897" s="1" t="s">
        <v>54</v>
      </c>
      <c r="F897" s="1" t="s">
        <v>3567</v>
      </c>
      <c r="G897" s="3" t="s">
        <v>1618</v>
      </c>
      <c r="H897" s="11">
        <f t="shared" si="29"/>
        <v>268.47000000000003</v>
      </c>
      <c r="I897" s="9">
        <f>($K$2+0.02)*Tabla1[[#This Row],[PRECIO $]]*1.18</f>
        <v>234.06479999999996</v>
      </c>
      <c r="J897" s="7">
        <f>+Tabla1[[#This Row],[PRECIO EN SOLES]]-Tabla1[[#This Row],[PC]]</f>
        <v>34.405200000000065</v>
      </c>
      <c r="K897" s="15"/>
      <c r="L897" s="15" t="str">
        <f t="shared" si="28"/>
        <v>GANCHO</v>
      </c>
    </row>
    <row r="898" spans="1:12" x14ac:dyDescent="0.25">
      <c r="A898" s="3" t="s">
        <v>292</v>
      </c>
      <c r="B898" s="3" t="s">
        <v>293</v>
      </c>
      <c r="C898" s="1">
        <v>0</v>
      </c>
      <c r="D898" s="1">
        <v>51.2</v>
      </c>
      <c r="E898" s="1" t="s">
        <v>52</v>
      </c>
      <c r="F898" s="1" t="s">
        <v>3568</v>
      </c>
      <c r="G898" s="3" t="s">
        <v>666</v>
      </c>
      <c r="H898" s="11">
        <f t="shared" si="29"/>
        <v>242.27</v>
      </c>
      <c r="I898" s="9">
        <f>($K$2+0.02)*Tabla1[[#This Row],[PRECIO $]]*1.18</f>
        <v>210.24768</v>
      </c>
      <c r="J898" s="7">
        <f>+Tabla1[[#This Row],[PRECIO EN SOLES]]-Tabla1[[#This Row],[PC]]</f>
        <v>32.022320000000008</v>
      </c>
      <c r="K898" s="15"/>
      <c r="L898" s="15" t="str">
        <f t="shared" si="28"/>
        <v>GANCHO</v>
      </c>
    </row>
    <row r="899" spans="1:12" x14ac:dyDescent="0.25">
      <c r="A899" s="3" t="s">
        <v>294</v>
      </c>
      <c r="B899" s="3" t="s">
        <v>295</v>
      </c>
      <c r="C899" s="1">
        <v>7</v>
      </c>
      <c r="D899" s="1">
        <v>48</v>
      </c>
      <c r="E899" s="1" t="s">
        <v>52</v>
      </c>
      <c r="F899" s="1" t="s">
        <v>3569</v>
      </c>
      <c r="G899" s="3" t="s">
        <v>667</v>
      </c>
      <c r="H899" s="11">
        <f t="shared" si="29"/>
        <v>227.82</v>
      </c>
      <c r="I899" s="9">
        <f>($K$2+0.02)*Tabla1[[#This Row],[PRECIO $]]*1.18</f>
        <v>197.10719999999998</v>
      </c>
      <c r="J899" s="7">
        <f>+Tabla1[[#This Row],[PRECIO EN SOLES]]-Tabla1[[#This Row],[PC]]</f>
        <v>30.712800000000016</v>
      </c>
      <c r="K899" s="15"/>
      <c r="L899" s="15" t="str">
        <f t="shared" si="28"/>
        <v>GANCHO</v>
      </c>
    </row>
    <row r="900" spans="1:12" x14ac:dyDescent="0.25">
      <c r="A900" s="3" t="s">
        <v>1619</v>
      </c>
      <c r="B900" s="3" t="s">
        <v>1620</v>
      </c>
      <c r="C900" s="1">
        <v>20</v>
      </c>
      <c r="D900" s="1">
        <v>121.2</v>
      </c>
      <c r="E900" s="1" t="s">
        <v>56</v>
      </c>
      <c r="F900" s="1" t="s">
        <v>3570</v>
      </c>
      <c r="G900" s="3" t="s">
        <v>1621</v>
      </c>
      <c r="H900" s="11">
        <f t="shared" si="29"/>
        <v>566.47</v>
      </c>
      <c r="I900" s="9">
        <f>($K$2+0.02)*Tabla1[[#This Row],[PRECIO $]]*1.18</f>
        <v>497.69567999999998</v>
      </c>
      <c r="J900" s="7">
        <f>+Tabla1[[#This Row],[PRECIO EN SOLES]]-Tabla1[[#This Row],[PC]]</f>
        <v>68.774320000000046</v>
      </c>
      <c r="K900" s="15"/>
      <c r="L900" s="15" t="str">
        <f t="shared" si="28"/>
        <v>GANCHO</v>
      </c>
    </row>
    <row r="901" spans="1:12" x14ac:dyDescent="0.25">
      <c r="A901" s="3" t="s">
        <v>1622</v>
      </c>
      <c r="B901" s="3" t="s">
        <v>1623</v>
      </c>
      <c r="C901" s="1">
        <v>20</v>
      </c>
      <c r="D901" s="1">
        <v>126.5</v>
      </c>
      <c r="E901" s="1" t="s">
        <v>56</v>
      </c>
      <c r="F901" s="1" t="s">
        <v>3571</v>
      </c>
      <c r="G901" s="3"/>
      <c r="H901" s="11">
        <f t="shared" si="29"/>
        <v>590.41</v>
      </c>
      <c r="I901" s="9">
        <f>($K$2+0.02)*Tabla1[[#This Row],[PRECIO $]]*1.18</f>
        <v>519.45959999999991</v>
      </c>
      <c r="J901" s="7">
        <f>+Tabla1[[#This Row],[PRECIO EN SOLES]]-Tabla1[[#This Row],[PC]]</f>
        <v>70.950400000000059</v>
      </c>
      <c r="K901" s="15"/>
      <c r="L901" s="15" t="str">
        <f t="shared" si="28"/>
        <v>GANCHO</v>
      </c>
    </row>
    <row r="902" spans="1:12" x14ac:dyDescent="0.25">
      <c r="A902" s="3" t="s">
        <v>1624</v>
      </c>
      <c r="B902" s="3" t="s">
        <v>1625</v>
      </c>
      <c r="C902" s="1">
        <v>20</v>
      </c>
      <c r="D902" s="1">
        <v>143</v>
      </c>
      <c r="E902" s="1" t="s">
        <v>837</v>
      </c>
      <c r="F902" s="1" t="s">
        <v>3572</v>
      </c>
      <c r="G902" s="3" t="s">
        <v>1626</v>
      </c>
      <c r="H902" s="11">
        <f t="shared" si="29"/>
        <v>664.94</v>
      </c>
      <c r="I902" s="9">
        <f>($K$2+0.02)*Tabla1[[#This Row],[PRECIO $]]*1.18</f>
        <v>587.21519999999998</v>
      </c>
      <c r="J902" s="7">
        <f>+Tabla1[[#This Row],[PRECIO EN SOLES]]-Tabla1[[#This Row],[PC]]</f>
        <v>77.724800000000073</v>
      </c>
      <c r="K902" s="15"/>
      <c r="L902" s="15" t="str">
        <f t="shared" si="28"/>
        <v>GANCHO</v>
      </c>
    </row>
    <row r="903" spans="1:12" x14ac:dyDescent="0.25">
      <c r="A903" s="3" t="s">
        <v>4630</v>
      </c>
      <c r="B903" s="3" t="s">
        <v>4631</v>
      </c>
      <c r="C903" s="1">
        <v>20</v>
      </c>
      <c r="D903" s="1">
        <v>122.3</v>
      </c>
      <c r="E903" s="1" t="s">
        <v>837</v>
      </c>
      <c r="F903" s="1" t="s">
        <v>4632</v>
      </c>
      <c r="G903" s="3" t="s">
        <v>4999</v>
      </c>
      <c r="H903" s="11">
        <f t="shared" si="29"/>
        <v>571.42999999999995</v>
      </c>
      <c r="I903" s="9">
        <f>($K$2+0.02)*Tabla1[[#This Row],[PRECIO $]]*1.18</f>
        <v>502.21271999999993</v>
      </c>
      <c r="J903" s="7">
        <f>+Tabla1[[#This Row],[PRECIO EN SOLES]]-Tabla1[[#This Row],[PC]]</f>
        <v>69.217280000000017</v>
      </c>
      <c r="K903" s="15"/>
      <c r="L903" s="15" t="str">
        <f t="shared" si="28"/>
        <v>GANCHO</v>
      </c>
    </row>
    <row r="904" spans="1:12" x14ac:dyDescent="0.25">
      <c r="A904" s="3" t="s">
        <v>6786</v>
      </c>
      <c r="B904" s="3" t="s">
        <v>6787</v>
      </c>
      <c r="C904" s="1">
        <v>15</v>
      </c>
      <c r="D904" s="1">
        <v>77</v>
      </c>
      <c r="E904" s="1" t="s">
        <v>74</v>
      </c>
      <c r="F904" s="1" t="s">
        <v>6788</v>
      </c>
      <c r="G904" s="3"/>
      <c r="H904" s="11">
        <f t="shared" si="29"/>
        <v>366.81</v>
      </c>
      <c r="I904" s="9">
        <f>($K$2+0.02)*Tabla1[[#This Row],[PRECIO $]]*1.18</f>
        <v>316.19279999999998</v>
      </c>
      <c r="J904" s="7">
        <f>+Tabla1[[#This Row],[PRECIO EN SOLES]]-Tabla1[[#This Row],[PC]]</f>
        <v>50.617200000000025</v>
      </c>
      <c r="K904" s="15"/>
      <c r="L904" s="15" t="str">
        <f t="shared" si="28"/>
        <v>NORMAL</v>
      </c>
    </row>
    <row r="905" spans="1:12" x14ac:dyDescent="0.25">
      <c r="A905" s="3" t="s">
        <v>1627</v>
      </c>
      <c r="B905" s="3" t="s">
        <v>1628</v>
      </c>
      <c r="C905" s="1">
        <v>20</v>
      </c>
      <c r="D905" s="1">
        <v>106.5</v>
      </c>
      <c r="E905" s="1" t="s">
        <v>838</v>
      </c>
      <c r="F905" s="1" t="s">
        <v>3573</v>
      </c>
      <c r="G905" s="3" t="s">
        <v>1629</v>
      </c>
      <c r="H905" s="11">
        <f t="shared" si="29"/>
        <v>500.06</v>
      </c>
      <c r="I905" s="9">
        <f>($K$2+0.02)*Tabla1[[#This Row],[PRECIO $]]*1.18</f>
        <v>437.33159999999998</v>
      </c>
      <c r="J905" s="7">
        <f>+Tabla1[[#This Row],[PRECIO EN SOLES]]-Tabla1[[#This Row],[PC]]</f>
        <v>62.728400000000022</v>
      </c>
      <c r="K905" s="15"/>
      <c r="L905" s="15" t="str">
        <f t="shared" si="28"/>
        <v>GANCHO</v>
      </c>
    </row>
    <row r="906" spans="1:12" x14ac:dyDescent="0.25">
      <c r="A906" s="3" t="s">
        <v>1630</v>
      </c>
      <c r="B906" s="3" t="s">
        <v>1631</v>
      </c>
      <c r="C906" s="1">
        <v>0</v>
      </c>
      <c r="D906" s="1">
        <v>9999</v>
      </c>
      <c r="E906" s="1" t="s">
        <v>56</v>
      </c>
      <c r="F906" s="1" t="s">
        <v>3574</v>
      </c>
      <c r="G906" s="3"/>
      <c r="H906" s="11">
        <f t="shared" si="29"/>
        <v>47226.879999999997</v>
      </c>
      <c r="I906" s="9">
        <f>($K$2+0.02)*Tabla1[[#This Row],[PRECIO $]]*1.18</f>
        <v>41059.893599999996</v>
      </c>
      <c r="J906" s="7">
        <f>+Tabla1[[#This Row],[PRECIO EN SOLES]]-Tabla1[[#This Row],[PC]]</f>
        <v>6166.9864000000016</v>
      </c>
      <c r="K906" s="15"/>
      <c r="L906" s="15" t="str">
        <f t="shared" si="28"/>
        <v>GANCHO</v>
      </c>
    </row>
    <row r="907" spans="1:12" x14ac:dyDescent="0.25">
      <c r="A907" s="3" t="s">
        <v>1632</v>
      </c>
      <c r="B907" s="3" t="s">
        <v>1633</v>
      </c>
      <c r="C907" s="1">
        <v>0</v>
      </c>
      <c r="D907" s="1">
        <v>83</v>
      </c>
      <c r="E907" s="1" t="s">
        <v>54</v>
      </c>
      <c r="F907" s="1" t="s">
        <v>3575</v>
      </c>
      <c r="G907" s="3" t="s">
        <v>1634</v>
      </c>
      <c r="H907" s="11">
        <f t="shared" si="29"/>
        <v>393.91</v>
      </c>
      <c r="I907" s="9">
        <f>($K$2+0.02)*Tabla1[[#This Row],[PRECIO $]]*1.18</f>
        <v>340.83119999999997</v>
      </c>
      <c r="J907" s="7">
        <f>+Tabla1[[#This Row],[PRECIO EN SOLES]]-Tabla1[[#This Row],[PC]]</f>
        <v>53.078800000000058</v>
      </c>
      <c r="K907" s="15"/>
      <c r="L907" s="15" t="str">
        <f t="shared" si="28"/>
        <v>GANCHO</v>
      </c>
    </row>
    <row r="908" spans="1:12" x14ac:dyDescent="0.25">
      <c r="A908" s="3" t="s">
        <v>296</v>
      </c>
      <c r="B908" s="3" t="s">
        <v>297</v>
      </c>
      <c r="C908" s="1">
        <v>20</v>
      </c>
      <c r="D908" s="1">
        <v>63.5</v>
      </c>
      <c r="E908" s="1" t="s">
        <v>52</v>
      </c>
      <c r="F908" s="1" t="s">
        <v>3576</v>
      </c>
      <c r="G908" s="3" t="s">
        <v>668</v>
      </c>
      <c r="H908" s="11">
        <f t="shared" si="29"/>
        <v>305.83</v>
      </c>
      <c r="I908" s="9">
        <f>($K$2+0.02)*Tabla1[[#This Row],[PRECIO $]]*1.18</f>
        <v>260.75639999999999</v>
      </c>
      <c r="J908" s="7">
        <f>+Tabla1[[#This Row],[PRECIO EN SOLES]]-Tabla1[[#This Row],[PC]]</f>
        <v>45.073599999999999</v>
      </c>
      <c r="K908" s="15"/>
      <c r="L908" s="15" t="str">
        <f t="shared" si="28"/>
        <v>GANCHO</v>
      </c>
    </row>
    <row r="909" spans="1:12" x14ac:dyDescent="0.25">
      <c r="A909" s="3" t="s">
        <v>298</v>
      </c>
      <c r="B909" s="3" t="s">
        <v>299</v>
      </c>
      <c r="C909" s="1">
        <v>20</v>
      </c>
      <c r="D909" s="1">
        <v>175.44</v>
      </c>
      <c r="E909" s="1" t="s">
        <v>52</v>
      </c>
      <c r="F909" s="1" t="s">
        <v>3577</v>
      </c>
      <c r="G909" s="3" t="s">
        <v>300</v>
      </c>
      <c r="H909" s="11">
        <f t="shared" si="29"/>
        <v>811.47</v>
      </c>
      <c r="I909" s="9">
        <f>($K$2+0.02)*Tabla1[[#This Row],[PRECIO $]]*1.18</f>
        <v>720.42681600000003</v>
      </c>
      <c r="J909" s="7">
        <f>+Tabla1[[#This Row],[PRECIO EN SOLES]]-Tabla1[[#This Row],[PC]]</f>
        <v>91.043183999999997</v>
      </c>
      <c r="K909" s="15"/>
      <c r="L909" s="15" t="str">
        <f t="shared" si="28"/>
        <v>GANCHO</v>
      </c>
    </row>
    <row r="910" spans="1:12" x14ac:dyDescent="0.25">
      <c r="A910" s="3" t="s">
        <v>6329</v>
      </c>
      <c r="B910" s="3" t="s">
        <v>6330</v>
      </c>
      <c r="C910" s="1">
        <v>20</v>
      </c>
      <c r="D910" s="1">
        <v>81</v>
      </c>
      <c r="E910" s="1" t="s">
        <v>52</v>
      </c>
      <c r="F910" s="1" t="s">
        <v>6331</v>
      </c>
      <c r="G910" s="3" t="s">
        <v>6332</v>
      </c>
      <c r="H910" s="11">
        <f t="shared" si="29"/>
        <v>384.88</v>
      </c>
      <c r="I910" s="9">
        <f>($K$2+0.02)*Tabla1[[#This Row],[PRECIO $]]*1.18</f>
        <v>332.61839999999995</v>
      </c>
      <c r="J910" s="7">
        <f>+Tabla1[[#This Row],[PRECIO EN SOLES]]-Tabla1[[#This Row],[PC]]</f>
        <v>52.261600000000044</v>
      </c>
      <c r="K910" s="15"/>
      <c r="L910" s="15" t="str">
        <f t="shared" si="28"/>
        <v>GANCHO</v>
      </c>
    </row>
    <row r="911" spans="1:12" x14ac:dyDescent="0.25">
      <c r="A911" s="3" t="s">
        <v>669</v>
      </c>
      <c r="B911" s="3" t="s">
        <v>670</v>
      </c>
      <c r="C911" s="1">
        <v>20</v>
      </c>
      <c r="D911" s="1">
        <v>57</v>
      </c>
      <c r="E911" s="1" t="s">
        <v>52</v>
      </c>
      <c r="F911" s="1" t="s">
        <v>3578</v>
      </c>
      <c r="G911" s="3" t="s">
        <v>671</v>
      </c>
      <c r="H911" s="11">
        <f t="shared" si="29"/>
        <v>268.47000000000003</v>
      </c>
      <c r="I911" s="9">
        <f>($K$2+0.02)*Tabla1[[#This Row],[PRECIO $]]*1.18</f>
        <v>234.06479999999996</v>
      </c>
      <c r="J911" s="7">
        <f>+Tabla1[[#This Row],[PRECIO EN SOLES]]-Tabla1[[#This Row],[PC]]</f>
        <v>34.405200000000065</v>
      </c>
      <c r="K911" s="15"/>
      <c r="L911" s="15" t="str">
        <f t="shared" si="28"/>
        <v>GANCHO</v>
      </c>
    </row>
    <row r="912" spans="1:12" x14ac:dyDescent="0.25">
      <c r="A912" s="3" t="s">
        <v>4310</v>
      </c>
      <c r="B912" s="3" t="s">
        <v>4311</v>
      </c>
      <c r="C912" s="1">
        <v>15</v>
      </c>
      <c r="D912" s="1">
        <v>79.8</v>
      </c>
      <c r="E912" s="1" t="s">
        <v>219</v>
      </c>
      <c r="F912" s="1" t="s">
        <v>4312</v>
      </c>
      <c r="G912" s="3" t="s">
        <v>4313</v>
      </c>
      <c r="H912" s="11">
        <f t="shared" si="29"/>
        <v>379.46</v>
      </c>
      <c r="I912" s="9">
        <f>($K$2+0.02)*Tabla1[[#This Row],[PRECIO $]]*1.18</f>
        <v>327.69072</v>
      </c>
      <c r="J912" s="7">
        <f>+Tabla1[[#This Row],[PRECIO EN SOLES]]-Tabla1[[#This Row],[PC]]</f>
        <v>51.769279999999981</v>
      </c>
      <c r="K912" s="15"/>
      <c r="L912" s="15" t="str">
        <f t="shared" ref="L912:L975" si="30"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GANCHO</v>
      </c>
    </row>
    <row r="913" spans="1:12" x14ac:dyDescent="0.25">
      <c r="A913" s="3" t="s">
        <v>2888</v>
      </c>
      <c r="B913" s="3" t="s">
        <v>2889</v>
      </c>
      <c r="C913" s="1">
        <v>0</v>
      </c>
      <c r="D913" s="1">
        <v>219</v>
      </c>
      <c r="E913" s="1" t="s">
        <v>56</v>
      </c>
      <c r="F913" s="1" t="s">
        <v>3579</v>
      </c>
      <c r="G913" s="3" t="s">
        <v>2890</v>
      </c>
      <c r="H913" s="11">
        <f t="shared" si="29"/>
        <v>1008.23</v>
      </c>
      <c r="I913" s="9">
        <f>($K$2+0.02)*Tabla1[[#This Row],[PRECIO $]]*1.18</f>
        <v>899.30160000000001</v>
      </c>
      <c r="J913" s="7">
        <f>+Tabla1[[#This Row],[PRECIO EN SOLES]]-Tabla1[[#This Row],[PC]]</f>
        <v>108.92840000000001</v>
      </c>
      <c r="K913" s="15"/>
      <c r="L913" s="15" t="str">
        <f t="shared" si="30"/>
        <v>GANCHO</v>
      </c>
    </row>
    <row r="914" spans="1:12" x14ac:dyDescent="0.25">
      <c r="A914" s="3" t="s">
        <v>1635</v>
      </c>
      <c r="B914" s="3" t="s">
        <v>1636</v>
      </c>
      <c r="C914" s="1">
        <v>20</v>
      </c>
      <c r="D914" s="1">
        <v>294</v>
      </c>
      <c r="E914" s="1" t="s">
        <v>56</v>
      </c>
      <c r="F914" s="1" t="s">
        <v>3580</v>
      </c>
      <c r="G914" s="3" t="s">
        <v>1637</v>
      </c>
      <c r="H914" s="11">
        <f t="shared" ref="H914:H977" si="31">ROUND(
IF(L912="GANCHO",
   IF(I914&lt;=50,I914*1.1+4,IF(I914&lt;=120,I914*1.1+7,IF(I914&lt;=250,I914*1.1+11,I914*1.1+19))),
IF(L912="NORMAL",
   IF(I914&lt;=30,I914*1.15+2,IF(I914&lt;=80,I914*1.15+4,IF(I914&lt;=150,I914*1.15+6,I914*1.15+8))),
IF(L912="COMPLEMENTO",
   IF(I914&lt;=25,I914*1.25+1.5,IF(I914&lt;=60,I914*1.25+3,IF(I914&lt;=120,I914*1.25+4,I914*1.25+5))),
""))),2)</f>
        <v>1347.01</v>
      </c>
      <c r="I914" s="9">
        <f>($K$2+0.02)*Tabla1[[#This Row],[PRECIO $]]*1.18</f>
        <v>1207.2816</v>
      </c>
      <c r="J914" s="7">
        <f>+Tabla1[[#This Row],[PRECIO EN SOLES]]-Tabla1[[#This Row],[PC]]</f>
        <v>139.72839999999997</v>
      </c>
      <c r="K914" s="15"/>
      <c r="L914" s="15" t="str">
        <f t="shared" si="30"/>
        <v>GANCHO</v>
      </c>
    </row>
    <row r="915" spans="1:12" x14ac:dyDescent="0.25">
      <c r="A915" s="3" t="s">
        <v>1638</v>
      </c>
      <c r="B915" s="3" t="s">
        <v>1639</v>
      </c>
      <c r="C915" s="1">
        <v>16</v>
      </c>
      <c r="D915" s="1">
        <v>364</v>
      </c>
      <c r="E915" s="1" t="s">
        <v>56</v>
      </c>
      <c r="F915" s="1" t="s">
        <v>3581</v>
      </c>
      <c r="G915" s="3" t="s">
        <v>1640</v>
      </c>
      <c r="H915" s="11">
        <f t="shared" si="31"/>
        <v>1663.2</v>
      </c>
      <c r="I915" s="9">
        <f>($K$2+0.02)*Tabla1[[#This Row],[PRECIO $]]*1.18</f>
        <v>1494.7295999999999</v>
      </c>
      <c r="J915" s="7">
        <f>+Tabla1[[#This Row],[PRECIO EN SOLES]]-Tabla1[[#This Row],[PC]]</f>
        <v>168.47040000000015</v>
      </c>
      <c r="K915" s="15"/>
      <c r="L915" s="15" t="str">
        <f t="shared" si="30"/>
        <v>GANCHO</v>
      </c>
    </row>
    <row r="916" spans="1:12" x14ac:dyDescent="0.25">
      <c r="A916" s="3" t="s">
        <v>1641</v>
      </c>
      <c r="B916" s="3" t="s">
        <v>1642</v>
      </c>
      <c r="C916" s="1">
        <v>20</v>
      </c>
      <c r="D916" s="1">
        <v>334</v>
      </c>
      <c r="E916" s="1" t="s">
        <v>56</v>
      </c>
      <c r="F916" s="1" t="s">
        <v>3582</v>
      </c>
      <c r="G916" s="3"/>
      <c r="H916" s="11">
        <f t="shared" si="31"/>
        <v>1527.69</v>
      </c>
      <c r="I916" s="9">
        <f>($K$2+0.02)*Tabla1[[#This Row],[PRECIO $]]*1.18</f>
        <v>1371.5375999999999</v>
      </c>
      <c r="J916" s="7">
        <f>+Tabla1[[#This Row],[PRECIO EN SOLES]]-Tabla1[[#This Row],[PC]]</f>
        <v>156.15240000000017</v>
      </c>
      <c r="K916" s="15"/>
      <c r="L916" s="15" t="str">
        <f t="shared" si="30"/>
        <v>GANCHO</v>
      </c>
    </row>
    <row r="917" spans="1:12" x14ac:dyDescent="0.25">
      <c r="A917" s="3" t="s">
        <v>1643</v>
      </c>
      <c r="B917" s="3" t="s">
        <v>1644</v>
      </c>
      <c r="C917" s="1">
        <v>20</v>
      </c>
      <c r="D917" s="1">
        <v>212.5</v>
      </c>
      <c r="E917" s="1" t="s">
        <v>56</v>
      </c>
      <c r="F917" s="1" t="s">
        <v>3583</v>
      </c>
      <c r="G917" s="3"/>
      <c r="H917" s="11">
        <f t="shared" si="31"/>
        <v>978.87</v>
      </c>
      <c r="I917" s="9">
        <f>($K$2+0.02)*Tabla1[[#This Row],[PRECIO $]]*1.18</f>
        <v>872.6099999999999</v>
      </c>
      <c r="J917" s="7">
        <f>+Tabla1[[#This Row],[PRECIO EN SOLES]]-Tabla1[[#This Row],[PC]]</f>
        <v>106.2600000000001</v>
      </c>
      <c r="K917" s="15"/>
      <c r="L917" s="15" t="str">
        <f t="shared" si="30"/>
        <v>GANCHO</v>
      </c>
    </row>
    <row r="918" spans="1:12" x14ac:dyDescent="0.25">
      <c r="A918" s="3" t="s">
        <v>1645</v>
      </c>
      <c r="B918" s="3" t="s">
        <v>1646</v>
      </c>
      <c r="C918" s="1">
        <v>20</v>
      </c>
      <c r="D918" s="1">
        <v>185.8</v>
      </c>
      <c r="E918" s="1" t="s">
        <v>56</v>
      </c>
      <c r="F918" s="1" t="s">
        <v>3584</v>
      </c>
      <c r="G918" s="3" t="s">
        <v>1647</v>
      </c>
      <c r="H918" s="11">
        <f t="shared" si="31"/>
        <v>858.27</v>
      </c>
      <c r="I918" s="9">
        <f>($K$2+0.02)*Tabla1[[#This Row],[PRECIO $]]*1.18</f>
        <v>762.96911999999998</v>
      </c>
      <c r="J918" s="7">
        <f>+Tabla1[[#This Row],[PRECIO EN SOLES]]-Tabla1[[#This Row],[PC]]</f>
        <v>95.300880000000006</v>
      </c>
      <c r="K918" s="15"/>
      <c r="L918" s="15" t="str">
        <f t="shared" si="30"/>
        <v>GANCHO</v>
      </c>
    </row>
    <row r="919" spans="1:12" x14ac:dyDescent="0.25">
      <c r="A919" s="3" t="s">
        <v>4633</v>
      </c>
      <c r="B919" s="3" t="s">
        <v>4634</v>
      </c>
      <c r="C919" s="1">
        <v>20</v>
      </c>
      <c r="D919" s="1">
        <v>124.5</v>
      </c>
      <c r="E919" s="1" t="s">
        <v>56</v>
      </c>
      <c r="F919" s="1" t="s">
        <v>4635</v>
      </c>
      <c r="G919" s="3" t="s">
        <v>4636</v>
      </c>
      <c r="H919" s="11">
        <f t="shared" si="31"/>
        <v>581.37</v>
      </c>
      <c r="I919" s="9">
        <f>($K$2+0.02)*Tabla1[[#This Row],[PRECIO $]]*1.18</f>
        <v>511.24679999999995</v>
      </c>
      <c r="J919" s="7">
        <f>+Tabla1[[#This Row],[PRECIO EN SOLES]]-Tabla1[[#This Row],[PC]]</f>
        <v>70.123200000000054</v>
      </c>
      <c r="K919" s="15"/>
      <c r="L919" s="15" t="str">
        <f t="shared" si="30"/>
        <v>GANCHO</v>
      </c>
    </row>
    <row r="920" spans="1:12" x14ac:dyDescent="0.25">
      <c r="A920" s="3" t="s">
        <v>4637</v>
      </c>
      <c r="B920" s="3" t="s">
        <v>4638</v>
      </c>
      <c r="C920" s="1">
        <v>13</v>
      </c>
      <c r="D920" s="1">
        <v>129.9</v>
      </c>
      <c r="E920" s="1" t="s">
        <v>56</v>
      </c>
      <c r="F920" s="1" t="s">
        <v>4639</v>
      </c>
      <c r="G920" s="3" t="s">
        <v>4640</v>
      </c>
      <c r="H920" s="11">
        <f t="shared" si="31"/>
        <v>605.76</v>
      </c>
      <c r="I920" s="9">
        <f>($K$2+0.02)*Tabla1[[#This Row],[PRECIO $]]*1.18</f>
        <v>533.42136000000005</v>
      </c>
      <c r="J920" s="7">
        <f>+Tabla1[[#This Row],[PRECIO EN SOLES]]-Tabla1[[#This Row],[PC]]</f>
        <v>72.338639999999941</v>
      </c>
      <c r="K920" s="15"/>
      <c r="L920" s="15" t="str">
        <f t="shared" si="30"/>
        <v>GANCHO</v>
      </c>
    </row>
    <row r="921" spans="1:12" x14ac:dyDescent="0.25">
      <c r="A921" s="3" t="s">
        <v>1648</v>
      </c>
      <c r="B921" s="3" t="s">
        <v>1649</v>
      </c>
      <c r="C921" s="1">
        <v>0</v>
      </c>
      <c r="D921" s="1">
        <v>304</v>
      </c>
      <c r="E921" s="1" t="s">
        <v>837</v>
      </c>
      <c r="F921" s="1" t="s">
        <v>3585</v>
      </c>
      <c r="G921" s="3" t="s">
        <v>1650</v>
      </c>
      <c r="H921" s="11">
        <f t="shared" si="31"/>
        <v>1392.18</v>
      </c>
      <c r="I921" s="9">
        <f>($K$2+0.02)*Tabla1[[#This Row],[PRECIO $]]*1.18</f>
        <v>1248.3456000000001</v>
      </c>
      <c r="J921" s="7">
        <f>+Tabla1[[#This Row],[PRECIO EN SOLES]]-Tabla1[[#This Row],[PC]]</f>
        <v>143.83439999999996</v>
      </c>
      <c r="K921" s="15"/>
      <c r="L921" s="15" t="str">
        <f t="shared" si="30"/>
        <v>GANCHO</v>
      </c>
    </row>
    <row r="922" spans="1:12" x14ac:dyDescent="0.25">
      <c r="A922" s="3" t="s">
        <v>4641</v>
      </c>
      <c r="B922" s="3" t="s">
        <v>4642</v>
      </c>
      <c r="C922" s="1">
        <v>20</v>
      </c>
      <c r="D922" s="1">
        <v>237</v>
      </c>
      <c r="E922" s="1" t="s">
        <v>837</v>
      </c>
      <c r="F922" s="1" t="s">
        <v>4643</v>
      </c>
      <c r="G922" s="3" t="s">
        <v>4644</v>
      </c>
      <c r="H922" s="11">
        <f t="shared" si="31"/>
        <v>1089.54</v>
      </c>
      <c r="I922" s="9">
        <f>($K$2+0.02)*Tabla1[[#This Row],[PRECIO $]]*1.18</f>
        <v>973.21679999999992</v>
      </c>
      <c r="J922" s="7">
        <f>+Tabla1[[#This Row],[PRECIO EN SOLES]]-Tabla1[[#This Row],[PC]]</f>
        <v>116.32320000000004</v>
      </c>
      <c r="K922" s="15"/>
      <c r="L922" s="15" t="str">
        <f t="shared" si="30"/>
        <v>GANCHO</v>
      </c>
    </row>
    <row r="923" spans="1:12" x14ac:dyDescent="0.25">
      <c r="A923" s="3" t="s">
        <v>6036</v>
      </c>
      <c r="B923" s="3" t="s">
        <v>6037</v>
      </c>
      <c r="C923" s="1">
        <v>20</v>
      </c>
      <c r="D923" s="1">
        <v>88.9</v>
      </c>
      <c r="E923" s="1" t="s">
        <v>837</v>
      </c>
      <c r="F923" s="1" t="s">
        <v>6038</v>
      </c>
      <c r="G923" s="3" t="s">
        <v>6039</v>
      </c>
      <c r="H923" s="11">
        <f t="shared" si="31"/>
        <v>420.56</v>
      </c>
      <c r="I923" s="9">
        <f>($K$2+0.02)*Tabla1[[#This Row],[PRECIO $]]*1.18</f>
        <v>365.05896000000001</v>
      </c>
      <c r="J923" s="7">
        <f>+Tabla1[[#This Row],[PRECIO EN SOLES]]-Tabla1[[#This Row],[PC]]</f>
        <v>55.501039999999989</v>
      </c>
      <c r="K923" s="15"/>
      <c r="L923" s="15" t="str">
        <f t="shared" si="30"/>
        <v>GANCHO</v>
      </c>
    </row>
    <row r="924" spans="1:12" x14ac:dyDescent="0.25">
      <c r="A924" s="3" t="s">
        <v>4645</v>
      </c>
      <c r="B924" s="3" t="s">
        <v>4646</v>
      </c>
      <c r="C924" s="1">
        <v>0</v>
      </c>
      <c r="D924" s="1">
        <v>130</v>
      </c>
      <c r="E924" s="1" t="s">
        <v>837</v>
      </c>
      <c r="F924" s="1" t="s">
        <v>4647</v>
      </c>
      <c r="G924" s="3" t="s">
        <v>4648</v>
      </c>
      <c r="H924" s="11">
        <f t="shared" si="31"/>
        <v>606.22</v>
      </c>
      <c r="I924" s="9">
        <f>($K$2+0.02)*Tabla1[[#This Row],[PRECIO $]]*1.18</f>
        <v>533.83199999999999</v>
      </c>
      <c r="J924" s="7">
        <f>+Tabla1[[#This Row],[PRECIO EN SOLES]]-Tabla1[[#This Row],[PC]]</f>
        <v>72.388000000000034</v>
      </c>
      <c r="K924" s="15"/>
      <c r="L924" s="15" t="str">
        <f t="shared" si="30"/>
        <v>GANCHO</v>
      </c>
    </row>
    <row r="925" spans="1:12" x14ac:dyDescent="0.25">
      <c r="A925" s="3" t="s">
        <v>6789</v>
      </c>
      <c r="B925" s="3" t="s">
        <v>6790</v>
      </c>
      <c r="C925" s="1">
        <v>18</v>
      </c>
      <c r="D925" s="1">
        <v>108.1</v>
      </c>
      <c r="E925" s="1" t="s">
        <v>74</v>
      </c>
      <c r="F925" s="1" t="s">
        <v>6791</v>
      </c>
      <c r="G925" s="3" t="s">
        <v>6792</v>
      </c>
      <c r="H925" s="11">
        <f t="shared" si="31"/>
        <v>507.29</v>
      </c>
      <c r="I925" s="9">
        <f>($K$2+0.02)*Tabla1[[#This Row],[PRECIO $]]*1.18</f>
        <v>443.90183999999994</v>
      </c>
      <c r="J925" s="7">
        <f>+Tabla1[[#This Row],[PRECIO EN SOLES]]-Tabla1[[#This Row],[PC]]</f>
        <v>63.388160000000084</v>
      </c>
      <c r="K925" s="15"/>
      <c r="L925" s="15" t="str">
        <f t="shared" si="30"/>
        <v>NORMAL</v>
      </c>
    </row>
    <row r="926" spans="1:12" x14ac:dyDescent="0.25">
      <c r="A926" s="3" t="s">
        <v>6793</v>
      </c>
      <c r="B926" s="3" t="s">
        <v>6794</v>
      </c>
      <c r="C926" s="1">
        <v>20</v>
      </c>
      <c r="D926" s="1">
        <v>92</v>
      </c>
      <c r="E926" s="1" t="s">
        <v>74</v>
      </c>
      <c r="F926" s="1" t="s">
        <v>6795</v>
      </c>
      <c r="G926" s="3" t="s">
        <v>6796</v>
      </c>
      <c r="H926" s="11">
        <f t="shared" si="31"/>
        <v>434.57</v>
      </c>
      <c r="I926" s="9">
        <f>($K$2+0.02)*Tabla1[[#This Row],[PRECIO $]]*1.18</f>
        <v>377.78880000000004</v>
      </c>
      <c r="J926" s="7">
        <f>+Tabla1[[#This Row],[PRECIO EN SOLES]]-Tabla1[[#This Row],[PC]]</f>
        <v>56.781199999999956</v>
      </c>
      <c r="K926" s="15"/>
      <c r="L926" s="15" t="str">
        <f t="shared" si="30"/>
        <v>GANCHO</v>
      </c>
    </row>
    <row r="927" spans="1:12" x14ac:dyDescent="0.25">
      <c r="A927" s="3" t="s">
        <v>1651</v>
      </c>
      <c r="B927" s="3" t="s">
        <v>1652</v>
      </c>
      <c r="C927" s="1">
        <v>3</v>
      </c>
      <c r="D927" s="1">
        <v>580</v>
      </c>
      <c r="E927" s="1" t="s">
        <v>121</v>
      </c>
      <c r="F927" s="1" t="s">
        <v>3586</v>
      </c>
      <c r="G927" s="3" t="s">
        <v>1653</v>
      </c>
      <c r="H927" s="11">
        <f t="shared" si="31"/>
        <v>2746.97</v>
      </c>
      <c r="I927" s="9">
        <f>($K$2+0.02)*Tabla1[[#This Row],[PRECIO $]]*1.18</f>
        <v>2381.712</v>
      </c>
      <c r="J927" s="7">
        <f>+Tabla1[[#This Row],[PRECIO EN SOLES]]-Tabla1[[#This Row],[PC]]</f>
        <v>365.25799999999981</v>
      </c>
      <c r="K927" s="15"/>
      <c r="L927" s="15" t="str">
        <f t="shared" si="30"/>
        <v>GANCHO</v>
      </c>
    </row>
    <row r="928" spans="1:12" x14ac:dyDescent="0.25">
      <c r="A928" s="3" t="s">
        <v>1654</v>
      </c>
      <c r="B928" s="3" t="s">
        <v>1655</v>
      </c>
      <c r="C928" s="1">
        <v>20</v>
      </c>
      <c r="D928" s="1">
        <v>97</v>
      </c>
      <c r="E928" s="1" t="s">
        <v>54</v>
      </c>
      <c r="F928" s="1" t="s">
        <v>3587</v>
      </c>
      <c r="G928" s="3" t="s">
        <v>1656</v>
      </c>
      <c r="H928" s="11">
        <f t="shared" si="31"/>
        <v>457.15</v>
      </c>
      <c r="I928" s="9">
        <f>($K$2+0.02)*Tabla1[[#This Row],[PRECIO $]]*1.18</f>
        <v>398.32079999999996</v>
      </c>
      <c r="J928" s="7">
        <f>+Tabla1[[#This Row],[PRECIO EN SOLES]]-Tabla1[[#This Row],[PC]]</f>
        <v>58.829200000000014</v>
      </c>
      <c r="K928" s="15"/>
      <c r="L928" s="15" t="str">
        <f t="shared" si="30"/>
        <v>GANCHO</v>
      </c>
    </row>
    <row r="929" spans="1:12" x14ac:dyDescent="0.25">
      <c r="A929" s="3" t="s">
        <v>6542</v>
      </c>
      <c r="B929" s="3" t="s">
        <v>6543</v>
      </c>
      <c r="C929" s="1">
        <v>20</v>
      </c>
      <c r="D929" s="1">
        <v>101</v>
      </c>
      <c r="E929" s="1" t="s">
        <v>52</v>
      </c>
      <c r="F929" s="1" t="s">
        <v>6544</v>
      </c>
      <c r="G929" s="3" t="s">
        <v>6545</v>
      </c>
      <c r="H929" s="11">
        <f t="shared" si="31"/>
        <v>475.22</v>
      </c>
      <c r="I929" s="9">
        <f>($K$2+0.02)*Tabla1[[#This Row],[PRECIO $]]*1.18</f>
        <v>414.74639999999999</v>
      </c>
      <c r="J929" s="7">
        <f>+Tabla1[[#This Row],[PRECIO EN SOLES]]-Tabla1[[#This Row],[PC]]</f>
        <v>60.473600000000033</v>
      </c>
      <c r="K929" s="15"/>
      <c r="L929" s="15" t="str">
        <f t="shared" si="30"/>
        <v>GANCHO</v>
      </c>
    </row>
    <row r="930" spans="1:12" x14ac:dyDescent="0.25">
      <c r="A930" s="3" t="s">
        <v>6333</v>
      </c>
      <c r="B930" s="3" t="s">
        <v>6334</v>
      </c>
      <c r="C930" s="1">
        <v>3</v>
      </c>
      <c r="D930" s="1">
        <v>240</v>
      </c>
      <c r="E930" s="1" t="s">
        <v>52</v>
      </c>
      <c r="F930" s="1" t="s">
        <v>6335</v>
      </c>
      <c r="G930" s="3" t="s">
        <v>6336</v>
      </c>
      <c r="H930" s="11">
        <f t="shared" si="31"/>
        <v>1103.0899999999999</v>
      </c>
      <c r="I930" s="9">
        <f>($K$2+0.02)*Tabla1[[#This Row],[PRECIO $]]*1.18</f>
        <v>985.53600000000006</v>
      </c>
      <c r="J930" s="7">
        <f>+Tabla1[[#This Row],[PRECIO EN SOLES]]-Tabla1[[#This Row],[PC]]</f>
        <v>117.55399999999986</v>
      </c>
      <c r="K930" s="15"/>
      <c r="L930" s="15" t="str">
        <f t="shared" si="30"/>
        <v>GANCHO</v>
      </c>
    </row>
    <row r="931" spans="1:12" x14ac:dyDescent="0.25">
      <c r="A931" s="3" t="s">
        <v>5000</v>
      </c>
      <c r="B931" s="3" t="s">
        <v>5001</v>
      </c>
      <c r="C931" s="1">
        <v>20</v>
      </c>
      <c r="D931" s="1">
        <v>107</v>
      </c>
      <c r="E931" s="1" t="s">
        <v>219</v>
      </c>
      <c r="F931" s="1" t="s">
        <v>5002</v>
      </c>
      <c r="G931" s="3" t="s">
        <v>5003</v>
      </c>
      <c r="H931" s="11">
        <f t="shared" si="31"/>
        <v>502.32</v>
      </c>
      <c r="I931" s="9">
        <f>($K$2+0.02)*Tabla1[[#This Row],[PRECIO $]]*1.18</f>
        <v>439.38479999999998</v>
      </c>
      <c r="J931" s="7">
        <f>+Tabla1[[#This Row],[PRECIO EN SOLES]]-Tabla1[[#This Row],[PC]]</f>
        <v>62.935200000000009</v>
      </c>
      <c r="K931" s="15"/>
      <c r="L931" s="15" t="str">
        <f t="shared" si="30"/>
        <v>GANCHO</v>
      </c>
    </row>
    <row r="932" spans="1:12" x14ac:dyDescent="0.25">
      <c r="A932" s="3" t="s">
        <v>6040</v>
      </c>
      <c r="B932" s="3" t="s">
        <v>6041</v>
      </c>
      <c r="C932" s="1">
        <v>18</v>
      </c>
      <c r="D932" s="1">
        <v>144.4</v>
      </c>
      <c r="E932" s="1" t="s">
        <v>219</v>
      </c>
      <c r="F932" s="1" t="s">
        <v>6042</v>
      </c>
      <c r="G932" s="3" t="s">
        <v>6043</v>
      </c>
      <c r="H932" s="11">
        <f t="shared" si="31"/>
        <v>671.26</v>
      </c>
      <c r="I932" s="9">
        <f>($K$2+0.02)*Tabla1[[#This Row],[PRECIO $]]*1.18</f>
        <v>592.96415999999999</v>
      </c>
      <c r="J932" s="7">
        <f>+Tabla1[[#This Row],[PRECIO EN SOLES]]-Tabla1[[#This Row],[PC]]</f>
        <v>78.295839999999998</v>
      </c>
      <c r="K932" s="15"/>
      <c r="L932" s="15" t="str">
        <f t="shared" si="30"/>
        <v>GANCHO</v>
      </c>
    </row>
    <row r="933" spans="1:12" x14ac:dyDescent="0.25">
      <c r="A933" s="3" t="s">
        <v>1657</v>
      </c>
      <c r="B933" s="3" t="s">
        <v>1658</v>
      </c>
      <c r="C933" s="1">
        <v>20</v>
      </c>
      <c r="D933" s="1">
        <v>170.5</v>
      </c>
      <c r="E933" s="1" t="s">
        <v>56</v>
      </c>
      <c r="F933" s="1" t="s">
        <v>3588</v>
      </c>
      <c r="G933" s="3"/>
      <c r="H933" s="11">
        <f t="shared" si="31"/>
        <v>789.16</v>
      </c>
      <c r="I933" s="9">
        <f>($K$2+0.02)*Tabla1[[#This Row],[PRECIO $]]*1.18</f>
        <v>700.14120000000003</v>
      </c>
      <c r="J933" s="7">
        <f>+Tabla1[[#This Row],[PRECIO EN SOLES]]-Tabla1[[#This Row],[PC]]</f>
        <v>89.018799999999942</v>
      </c>
      <c r="K933" s="15"/>
      <c r="L933" s="15" t="str">
        <f t="shared" si="30"/>
        <v>GANCHO</v>
      </c>
    </row>
    <row r="934" spans="1:12" x14ac:dyDescent="0.25">
      <c r="A934" s="3" t="s">
        <v>1659</v>
      </c>
      <c r="B934" s="3" t="s">
        <v>1660</v>
      </c>
      <c r="C934" s="1">
        <v>20</v>
      </c>
      <c r="D934" s="1">
        <v>211</v>
      </c>
      <c r="E934" s="1" t="s">
        <v>837</v>
      </c>
      <c r="F934" s="1" t="s">
        <v>3589</v>
      </c>
      <c r="G934" s="3" t="s">
        <v>1661</v>
      </c>
      <c r="H934" s="11">
        <f t="shared" si="31"/>
        <v>972.1</v>
      </c>
      <c r="I934" s="9">
        <f>($K$2+0.02)*Tabla1[[#This Row],[PRECIO $]]*1.18</f>
        <v>866.45039999999995</v>
      </c>
      <c r="J934" s="7">
        <f>+Tabla1[[#This Row],[PRECIO EN SOLES]]-Tabla1[[#This Row],[PC]]</f>
        <v>105.64960000000008</v>
      </c>
      <c r="K934" s="15"/>
      <c r="L934" s="15" t="str">
        <f t="shared" si="30"/>
        <v>COMPLEMENTO</v>
      </c>
    </row>
    <row r="935" spans="1:12" x14ac:dyDescent="0.25">
      <c r="A935" s="3" t="s">
        <v>6044</v>
      </c>
      <c r="B935" s="3" t="s">
        <v>6045</v>
      </c>
      <c r="C935" s="1">
        <v>0</v>
      </c>
      <c r="D935" s="1">
        <v>267</v>
      </c>
      <c r="E935" s="1" t="s">
        <v>837</v>
      </c>
      <c r="F935" s="1" t="s">
        <v>6046</v>
      </c>
      <c r="G935" s="3" t="s">
        <v>6047</v>
      </c>
      <c r="H935" s="11">
        <f t="shared" si="31"/>
        <v>1225.05</v>
      </c>
      <c r="I935" s="9">
        <f>($K$2+0.02)*Tabla1[[#This Row],[PRECIO $]]*1.18</f>
        <v>1096.4087999999999</v>
      </c>
      <c r="J935" s="7">
        <f>+Tabla1[[#This Row],[PRECIO EN SOLES]]-Tabla1[[#This Row],[PC]]</f>
        <v>128.64120000000003</v>
      </c>
      <c r="K935" s="15"/>
      <c r="L935" s="15" t="str">
        <f t="shared" si="30"/>
        <v>GANCHO</v>
      </c>
    </row>
    <row r="936" spans="1:12" x14ac:dyDescent="0.25">
      <c r="A936" s="3" t="s">
        <v>1662</v>
      </c>
      <c r="B936" s="3" t="s">
        <v>1663</v>
      </c>
      <c r="C936" s="1">
        <v>20</v>
      </c>
      <c r="D936" s="1">
        <v>347</v>
      </c>
      <c r="E936" s="1" t="s">
        <v>837</v>
      </c>
      <c r="F936" s="1" t="s">
        <v>3590</v>
      </c>
      <c r="G936" s="3" t="s">
        <v>1664</v>
      </c>
      <c r="H936" s="11">
        <f t="shared" si="31"/>
        <v>1786.15</v>
      </c>
      <c r="I936" s="9">
        <f>($K$2+0.02)*Tabla1[[#This Row],[PRECIO $]]*1.18</f>
        <v>1424.9207999999999</v>
      </c>
      <c r="J936" s="7">
        <f>+Tabla1[[#This Row],[PRECIO EN SOLES]]-Tabla1[[#This Row],[PC]]</f>
        <v>361.22920000000022</v>
      </c>
      <c r="K936" s="15"/>
      <c r="L936" s="15" t="str">
        <f t="shared" si="30"/>
        <v>GANCHO</v>
      </c>
    </row>
    <row r="937" spans="1:12" x14ac:dyDescent="0.25">
      <c r="A937" s="3" t="s">
        <v>6048</v>
      </c>
      <c r="B937" s="3" t="s">
        <v>6049</v>
      </c>
      <c r="C937" s="1">
        <v>20</v>
      </c>
      <c r="D937" s="1">
        <v>139</v>
      </c>
      <c r="E937" s="1" t="s">
        <v>837</v>
      </c>
      <c r="F937" s="1" t="s">
        <v>6050</v>
      </c>
      <c r="G937" s="3" t="s">
        <v>6051</v>
      </c>
      <c r="H937" s="11">
        <f t="shared" si="31"/>
        <v>646.87</v>
      </c>
      <c r="I937" s="9">
        <f>($K$2+0.02)*Tabla1[[#This Row],[PRECIO $]]*1.18</f>
        <v>570.78959999999995</v>
      </c>
      <c r="J937" s="7">
        <f>+Tabla1[[#This Row],[PRECIO EN SOLES]]-Tabla1[[#This Row],[PC]]</f>
        <v>76.080400000000054</v>
      </c>
      <c r="K937" s="15"/>
      <c r="L937" s="15" t="str">
        <f t="shared" si="30"/>
        <v>GANCHO</v>
      </c>
    </row>
    <row r="938" spans="1:12" x14ac:dyDescent="0.25">
      <c r="A938" s="3" t="s">
        <v>1665</v>
      </c>
      <c r="B938" s="3" t="s">
        <v>1666</v>
      </c>
      <c r="C938" s="1">
        <v>20</v>
      </c>
      <c r="D938" s="1">
        <v>133.30000000000001</v>
      </c>
      <c r="E938" s="1" t="s">
        <v>837</v>
      </c>
      <c r="F938" s="1" t="s">
        <v>3591</v>
      </c>
      <c r="G938" s="3" t="s">
        <v>1667</v>
      </c>
      <c r="H938" s="11">
        <f t="shared" si="31"/>
        <v>621.12</v>
      </c>
      <c r="I938" s="9">
        <f>($K$2+0.02)*Tabla1[[#This Row],[PRECIO $]]*1.18</f>
        <v>547.38311999999996</v>
      </c>
      <c r="J938" s="7">
        <f>+Tabla1[[#This Row],[PRECIO EN SOLES]]-Tabla1[[#This Row],[PC]]</f>
        <v>73.736880000000042</v>
      </c>
      <c r="K938" s="15"/>
      <c r="L938" s="15" t="str">
        <f t="shared" si="30"/>
        <v>GANCHO</v>
      </c>
    </row>
    <row r="939" spans="1:12" x14ac:dyDescent="0.25">
      <c r="A939" s="3" t="s">
        <v>6052</v>
      </c>
      <c r="B939" s="3" t="s">
        <v>6053</v>
      </c>
      <c r="C939" s="1">
        <v>20</v>
      </c>
      <c r="D939" s="1">
        <v>131.9</v>
      </c>
      <c r="E939" s="1" t="s">
        <v>74</v>
      </c>
      <c r="F939" s="1" t="s">
        <v>6054</v>
      </c>
      <c r="G939" s="3" t="s">
        <v>6055</v>
      </c>
      <c r="H939" s="11">
        <f t="shared" si="31"/>
        <v>614.79999999999995</v>
      </c>
      <c r="I939" s="9">
        <f>($K$2+0.02)*Tabla1[[#This Row],[PRECIO $]]*1.18</f>
        <v>541.63415999999995</v>
      </c>
      <c r="J939" s="7">
        <f>+Tabla1[[#This Row],[PRECIO EN SOLES]]-Tabla1[[#This Row],[PC]]</f>
        <v>73.165840000000003</v>
      </c>
      <c r="K939" s="15"/>
      <c r="L939" s="15" t="str">
        <f t="shared" si="30"/>
        <v>GANCHO</v>
      </c>
    </row>
    <row r="940" spans="1:12" x14ac:dyDescent="0.25">
      <c r="A940" s="3" t="s">
        <v>6546</v>
      </c>
      <c r="B940" s="3" t="s">
        <v>6547</v>
      </c>
      <c r="C940" s="1">
        <v>20</v>
      </c>
      <c r="D940" s="1">
        <v>105.3</v>
      </c>
      <c r="E940" s="1" t="s">
        <v>74</v>
      </c>
      <c r="F940" s="1" t="s">
        <v>6548</v>
      </c>
      <c r="G940" s="3" t="s">
        <v>6549</v>
      </c>
      <c r="H940" s="11">
        <f t="shared" si="31"/>
        <v>494.64</v>
      </c>
      <c r="I940" s="9">
        <f>($K$2+0.02)*Tabla1[[#This Row],[PRECIO $]]*1.18</f>
        <v>432.40391999999991</v>
      </c>
      <c r="J940" s="7">
        <f>+Tabla1[[#This Row],[PRECIO EN SOLES]]-Tabla1[[#This Row],[PC]]</f>
        <v>62.236080000000072</v>
      </c>
      <c r="K940" s="15"/>
      <c r="L940" s="15" t="str">
        <f t="shared" si="30"/>
        <v>NORMAL</v>
      </c>
    </row>
    <row r="941" spans="1:12" x14ac:dyDescent="0.25">
      <c r="A941" s="3" t="s">
        <v>6056</v>
      </c>
      <c r="B941" s="3" t="s">
        <v>6057</v>
      </c>
      <c r="C941" s="1">
        <v>20</v>
      </c>
      <c r="D941" s="1">
        <v>158</v>
      </c>
      <c r="E941" s="1" t="s">
        <v>837</v>
      </c>
      <c r="F941" s="1" t="s">
        <v>6058</v>
      </c>
      <c r="G941" s="3" t="s">
        <v>6059</v>
      </c>
      <c r="H941" s="11">
        <f t="shared" si="31"/>
        <v>732.69</v>
      </c>
      <c r="I941" s="9">
        <f>($K$2+0.02)*Tabla1[[#This Row],[PRECIO $]]*1.18</f>
        <v>648.81119999999999</v>
      </c>
      <c r="J941" s="7">
        <f>+Tabla1[[#This Row],[PRECIO EN SOLES]]-Tabla1[[#This Row],[PC]]</f>
        <v>83.878800000000069</v>
      </c>
      <c r="K941" s="15"/>
      <c r="L941" s="15" t="str">
        <f t="shared" si="30"/>
        <v>GANCHO</v>
      </c>
    </row>
    <row r="942" spans="1:12" x14ac:dyDescent="0.25">
      <c r="A942" s="3" t="s">
        <v>1668</v>
      </c>
      <c r="B942" s="3" t="s">
        <v>1669</v>
      </c>
      <c r="C942" s="1">
        <v>20</v>
      </c>
      <c r="D942" s="1">
        <v>209.5</v>
      </c>
      <c r="E942" s="1" t="s">
        <v>219</v>
      </c>
      <c r="F942" s="1" t="s">
        <v>3592</v>
      </c>
      <c r="G942" s="3" t="s">
        <v>1670</v>
      </c>
      <c r="H942" s="11">
        <f t="shared" si="31"/>
        <v>997.33</v>
      </c>
      <c r="I942" s="9">
        <f>($K$2+0.02)*Tabla1[[#This Row],[PRECIO $]]*1.18</f>
        <v>860.29079999999988</v>
      </c>
      <c r="J942" s="7">
        <f>+Tabla1[[#This Row],[PRECIO EN SOLES]]-Tabla1[[#This Row],[PC]]</f>
        <v>137.03920000000016</v>
      </c>
      <c r="K942" s="15"/>
      <c r="L942" s="15" t="str">
        <f t="shared" si="30"/>
        <v>GANCHO</v>
      </c>
    </row>
    <row r="943" spans="1:12" x14ac:dyDescent="0.25">
      <c r="A943" s="3" t="s">
        <v>4314</v>
      </c>
      <c r="B943" s="3" t="s">
        <v>4315</v>
      </c>
      <c r="C943" s="1">
        <v>19</v>
      </c>
      <c r="D943" s="1">
        <v>199.9</v>
      </c>
      <c r="E943" s="1" t="s">
        <v>219</v>
      </c>
      <c r="F943" s="1" t="s">
        <v>4316</v>
      </c>
      <c r="G943" s="3" t="s">
        <v>4317</v>
      </c>
      <c r="H943" s="11">
        <f t="shared" si="31"/>
        <v>921.96</v>
      </c>
      <c r="I943" s="9">
        <f>($K$2+0.02)*Tabla1[[#This Row],[PRECIO $]]*1.18</f>
        <v>820.86936000000003</v>
      </c>
      <c r="J943" s="7">
        <f>+Tabla1[[#This Row],[PRECIO EN SOLES]]-Tabla1[[#This Row],[PC]]</f>
        <v>101.09064000000001</v>
      </c>
      <c r="K943" s="15"/>
      <c r="L943" s="15" t="str">
        <f t="shared" si="30"/>
        <v>GANCHO</v>
      </c>
    </row>
    <row r="944" spans="1:12" x14ac:dyDescent="0.25">
      <c r="A944" s="3" t="s">
        <v>6060</v>
      </c>
      <c r="B944" s="3" t="s">
        <v>6061</v>
      </c>
      <c r="C944" s="1">
        <v>9</v>
      </c>
      <c r="D944" s="1">
        <v>183.5</v>
      </c>
      <c r="E944" s="1" t="s">
        <v>219</v>
      </c>
      <c r="F944" s="1" t="s">
        <v>6062</v>
      </c>
      <c r="G944" s="3" t="s">
        <v>6063</v>
      </c>
      <c r="H944" s="11">
        <f t="shared" si="31"/>
        <v>847.88</v>
      </c>
      <c r="I944" s="9">
        <f>($K$2+0.02)*Tabla1[[#This Row],[PRECIO $]]*1.18</f>
        <v>753.52440000000001</v>
      </c>
      <c r="J944" s="7">
        <f>+Tabla1[[#This Row],[PRECIO EN SOLES]]-Tabla1[[#This Row],[PC]]</f>
        <v>94.355599999999981</v>
      </c>
      <c r="K944" s="15"/>
      <c r="L944" s="15" t="str">
        <f t="shared" si="30"/>
        <v>NORMAL</v>
      </c>
    </row>
    <row r="945" spans="1:12" x14ac:dyDescent="0.25">
      <c r="A945" s="3" t="s">
        <v>1671</v>
      </c>
      <c r="B945" s="3" t="s">
        <v>1672</v>
      </c>
      <c r="C945" s="1">
        <v>8</v>
      </c>
      <c r="D945" s="1">
        <v>370</v>
      </c>
      <c r="E945" s="1" t="s">
        <v>837</v>
      </c>
      <c r="F945" s="1" t="s">
        <v>3593</v>
      </c>
      <c r="G945" s="3" t="s">
        <v>1673</v>
      </c>
      <c r="H945" s="11">
        <f t="shared" si="31"/>
        <v>1690.3</v>
      </c>
      <c r="I945" s="9">
        <f>($K$2+0.02)*Tabla1[[#This Row],[PRECIO $]]*1.18</f>
        <v>1519.3679999999997</v>
      </c>
      <c r="J945" s="7">
        <f>+Tabla1[[#This Row],[PRECIO EN SOLES]]-Tabla1[[#This Row],[PC]]</f>
        <v>170.93200000000024</v>
      </c>
      <c r="K945" s="15"/>
      <c r="L945" s="15" t="str">
        <f t="shared" si="30"/>
        <v>GANCHO</v>
      </c>
    </row>
    <row r="946" spans="1:12" x14ac:dyDescent="0.25">
      <c r="A946" s="3" t="s">
        <v>6064</v>
      </c>
      <c r="B946" s="3" t="s">
        <v>6065</v>
      </c>
      <c r="C946" s="1">
        <v>6</v>
      </c>
      <c r="D946" s="1">
        <v>284</v>
      </c>
      <c r="E946" s="1" t="s">
        <v>219</v>
      </c>
      <c r="F946" s="1" t="s">
        <v>6066</v>
      </c>
      <c r="G946" s="3" t="s">
        <v>6067</v>
      </c>
      <c r="H946" s="11">
        <f t="shared" si="31"/>
        <v>1349.15</v>
      </c>
      <c r="I946" s="9">
        <f>($K$2+0.02)*Tabla1[[#This Row],[PRECIO $]]*1.18</f>
        <v>1166.2175999999999</v>
      </c>
      <c r="J946" s="7">
        <f>+Tabla1[[#This Row],[PRECIO EN SOLES]]-Tabla1[[#This Row],[PC]]</f>
        <v>182.93240000000014</v>
      </c>
      <c r="K946" s="15"/>
      <c r="L946" s="15" t="str">
        <f t="shared" si="30"/>
        <v>GANCHO</v>
      </c>
    </row>
    <row r="947" spans="1:12" x14ac:dyDescent="0.25">
      <c r="A947" s="3" t="s">
        <v>2891</v>
      </c>
      <c r="B947" s="3" t="s">
        <v>2892</v>
      </c>
      <c r="C947" s="1">
        <v>3</v>
      </c>
      <c r="D947" s="1">
        <v>231</v>
      </c>
      <c r="E947" s="1" t="s">
        <v>219</v>
      </c>
      <c r="F947" s="1" t="s">
        <v>3594</v>
      </c>
      <c r="G947" s="3" t="s">
        <v>2893</v>
      </c>
      <c r="H947" s="11">
        <f t="shared" si="31"/>
        <v>1062.44</v>
      </c>
      <c r="I947" s="9">
        <f>($K$2+0.02)*Tabla1[[#This Row],[PRECIO $]]*1.18</f>
        <v>948.57839999999999</v>
      </c>
      <c r="J947" s="7">
        <f>+Tabla1[[#This Row],[PRECIO EN SOLES]]-Tabla1[[#This Row],[PC]]</f>
        <v>113.86160000000007</v>
      </c>
      <c r="K947" s="15"/>
      <c r="L947" s="15" t="str">
        <f t="shared" si="30"/>
        <v>GANCHO</v>
      </c>
    </row>
    <row r="948" spans="1:12" x14ac:dyDescent="0.25">
      <c r="A948" s="3" t="s">
        <v>4649</v>
      </c>
      <c r="B948" s="3" t="s">
        <v>4650</v>
      </c>
      <c r="C948" s="1">
        <v>20</v>
      </c>
      <c r="D948" s="1">
        <v>177</v>
      </c>
      <c r="E948" s="1" t="s">
        <v>837</v>
      </c>
      <c r="F948" s="1" t="s">
        <v>4651</v>
      </c>
      <c r="G948" s="3" t="s">
        <v>4652</v>
      </c>
      <c r="H948" s="11">
        <f t="shared" si="31"/>
        <v>818.52</v>
      </c>
      <c r="I948" s="9">
        <f>($K$2+0.02)*Tabla1[[#This Row],[PRECIO $]]*1.18</f>
        <v>726.83280000000002</v>
      </c>
      <c r="J948" s="7">
        <f>+Tabla1[[#This Row],[PRECIO EN SOLES]]-Tabla1[[#This Row],[PC]]</f>
        <v>91.687199999999962</v>
      </c>
      <c r="K948" s="15"/>
      <c r="L948" s="15" t="str">
        <f t="shared" si="30"/>
        <v>NORMAL</v>
      </c>
    </row>
    <row r="949" spans="1:12" x14ac:dyDescent="0.25">
      <c r="A949" s="3" t="s">
        <v>6337</v>
      </c>
      <c r="B949" s="3" t="s">
        <v>6338</v>
      </c>
      <c r="C949" s="1">
        <v>20</v>
      </c>
      <c r="D949" s="1">
        <v>85.5</v>
      </c>
      <c r="E949" s="1" t="s">
        <v>52</v>
      </c>
      <c r="F949" s="1" t="s">
        <v>6339</v>
      </c>
      <c r="G949" s="3" t="s">
        <v>6340</v>
      </c>
      <c r="H949" s="11">
        <f t="shared" si="31"/>
        <v>405.21</v>
      </c>
      <c r="I949" s="9">
        <f>($K$2+0.02)*Tabla1[[#This Row],[PRECIO $]]*1.18</f>
        <v>351.09719999999999</v>
      </c>
      <c r="J949" s="7">
        <f>+Tabla1[[#This Row],[PRECIO EN SOLES]]-Tabla1[[#This Row],[PC]]</f>
        <v>54.112799999999993</v>
      </c>
      <c r="K949" s="15"/>
      <c r="L949" s="15" t="str">
        <f t="shared" si="30"/>
        <v>NORMAL</v>
      </c>
    </row>
    <row r="950" spans="1:12" x14ac:dyDescent="0.25">
      <c r="A950" s="3" t="s">
        <v>2790</v>
      </c>
      <c r="B950" s="3" t="s">
        <v>2791</v>
      </c>
      <c r="C950" s="1">
        <v>2</v>
      </c>
      <c r="D950" s="1">
        <v>711</v>
      </c>
      <c r="E950" s="1" t="s">
        <v>838</v>
      </c>
      <c r="F950" s="1" t="s">
        <v>3595</v>
      </c>
      <c r="G950" s="3" t="s">
        <v>2792</v>
      </c>
      <c r="H950" s="11">
        <f t="shared" si="31"/>
        <v>3365.6</v>
      </c>
      <c r="I950" s="9">
        <f>($K$2+0.02)*Tabla1[[#This Row],[PRECIO $]]*1.18</f>
        <v>2919.6504</v>
      </c>
      <c r="J950" s="7">
        <f>+Tabla1[[#This Row],[PRECIO EN SOLES]]-Tabla1[[#This Row],[PC]]</f>
        <v>445.94959999999992</v>
      </c>
      <c r="K950" s="15"/>
      <c r="L950" s="15" t="str">
        <f t="shared" si="30"/>
        <v>NORMAL</v>
      </c>
    </row>
    <row r="951" spans="1:12" x14ac:dyDescent="0.25">
      <c r="A951" s="3" t="s">
        <v>6341</v>
      </c>
      <c r="B951" s="3" t="s">
        <v>6342</v>
      </c>
      <c r="C951" s="1">
        <v>1</v>
      </c>
      <c r="D951" s="1">
        <v>317.5</v>
      </c>
      <c r="E951" s="1" t="s">
        <v>115</v>
      </c>
      <c r="F951" s="1" t="s">
        <v>6343</v>
      </c>
      <c r="G951" s="3"/>
      <c r="H951" s="11">
        <f t="shared" si="31"/>
        <v>1507.35</v>
      </c>
      <c r="I951" s="9">
        <f>($K$2+0.02)*Tabla1[[#This Row],[PRECIO $]]*1.18</f>
        <v>1303.7819999999999</v>
      </c>
      <c r="J951" s="7">
        <f>+Tabla1[[#This Row],[PRECIO EN SOLES]]-Tabla1[[#This Row],[PC]]</f>
        <v>203.56799999999998</v>
      </c>
      <c r="K951" s="15"/>
      <c r="L951" s="15" t="str">
        <f t="shared" si="30"/>
        <v>COMPLEMENTO</v>
      </c>
    </row>
    <row r="952" spans="1:12" x14ac:dyDescent="0.25">
      <c r="A952" s="3" t="s">
        <v>6797</v>
      </c>
      <c r="B952" s="3" t="s">
        <v>6798</v>
      </c>
      <c r="C952" s="1">
        <v>20</v>
      </c>
      <c r="D952" s="1">
        <v>53</v>
      </c>
      <c r="E952" s="1" t="s">
        <v>6799</v>
      </c>
      <c r="F952" s="1" t="s">
        <v>6800</v>
      </c>
      <c r="G952" s="3" t="s">
        <v>6801</v>
      </c>
      <c r="H952" s="11">
        <f t="shared" si="31"/>
        <v>258.29000000000002</v>
      </c>
      <c r="I952" s="9">
        <f>($K$2+0.02)*Tabla1[[#This Row],[PRECIO $]]*1.18</f>
        <v>217.63919999999999</v>
      </c>
      <c r="J952" s="7">
        <f>+Tabla1[[#This Row],[PRECIO EN SOLES]]-Tabla1[[#This Row],[PC]]</f>
        <v>40.650800000000032</v>
      </c>
      <c r="K952" s="15"/>
      <c r="L952" s="15" t="str">
        <f t="shared" si="30"/>
        <v>COMPLEMENTO</v>
      </c>
    </row>
    <row r="953" spans="1:12" x14ac:dyDescent="0.25">
      <c r="A953" s="3" t="s">
        <v>1674</v>
      </c>
      <c r="B953" s="3" t="s">
        <v>1675</v>
      </c>
      <c r="C953" s="1">
        <v>20</v>
      </c>
      <c r="D953" s="1">
        <v>16.2</v>
      </c>
      <c r="E953" s="1" t="s">
        <v>58</v>
      </c>
      <c r="F953" s="1" t="s">
        <v>3596</v>
      </c>
      <c r="G953" s="3" t="s">
        <v>1676</v>
      </c>
      <c r="H953" s="11">
        <f t="shared" si="31"/>
        <v>87.15</v>
      </c>
      <c r="I953" s="9">
        <f>($K$2+0.02)*Tabla1[[#This Row],[PRECIO $]]*1.18</f>
        <v>66.523679999999999</v>
      </c>
      <c r="J953" s="7">
        <f>+Tabla1[[#This Row],[PRECIO EN SOLES]]-Tabla1[[#This Row],[PC]]</f>
        <v>20.626320000000007</v>
      </c>
      <c r="K953" s="15"/>
      <c r="L953" s="15" t="str">
        <f t="shared" si="30"/>
        <v>COMPLEMENTO</v>
      </c>
    </row>
    <row r="954" spans="1:12" x14ac:dyDescent="0.25">
      <c r="A954" s="3" t="s">
        <v>1677</v>
      </c>
      <c r="B954" s="3" t="s">
        <v>1678</v>
      </c>
      <c r="C954" s="1">
        <v>4</v>
      </c>
      <c r="D954" s="1">
        <v>9</v>
      </c>
      <c r="E954" s="1" t="s">
        <v>58</v>
      </c>
      <c r="F954" s="1" t="s">
        <v>3597</v>
      </c>
      <c r="G954" s="3" t="s">
        <v>1679</v>
      </c>
      <c r="H954" s="11">
        <f t="shared" si="31"/>
        <v>49.2</v>
      </c>
      <c r="I954" s="9">
        <f>($K$2+0.02)*Tabla1[[#This Row],[PRECIO $]]*1.18</f>
        <v>36.957599999999999</v>
      </c>
      <c r="J954" s="7">
        <f>+Tabla1[[#This Row],[PRECIO EN SOLES]]-Tabla1[[#This Row],[PC]]</f>
        <v>12.242400000000004</v>
      </c>
      <c r="K954" s="15"/>
      <c r="L954" s="15" t="str">
        <f t="shared" si="30"/>
        <v>COMPLEMENTO</v>
      </c>
    </row>
    <row r="955" spans="1:12" x14ac:dyDescent="0.25">
      <c r="A955" s="3" t="s">
        <v>2974</v>
      </c>
      <c r="B955" s="3" t="s">
        <v>2975</v>
      </c>
      <c r="C955" s="1">
        <v>20</v>
      </c>
      <c r="D955" s="1">
        <v>51.3</v>
      </c>
      <c r="E955" s="1" t="s">
        <v>121</v>
      </c>
      <c r="F955" s="1" t="s">
        <v>3598</v>
      </c>
      <c r="G955" s="3" t="s">
        <v>2976</v>
      </c>
      <c r="H955" s="11">
        <f t="shared" si="31"/>
        <v>268.32</v>
      </c>
      <c r="I955" s="9">
        <f>($K$2+0.02)*Tabla1[[#This Row],[PRECIO $]]*1.18</f>
        <v>210.65832</v>
      </c>
      <c r="J955" s="7">
        <f>+Tabla1[[#This Row],[PRECIO EN SOLES]]-Tabla1[[#This Row],[PC]]</f>
        <v>57.66167999999999</v>
      </c>
      <c r="K955" s="15"/>
      <c r="L955" s="15" t="str">
        <f t="shared" si="30"/>
        <v>NORMAL</v>
      </c>
    </row>
    <row r="956" spans="1:12" x14ac:dyDescent="0.25">
      <c r="A956" s="3" t="s">
        <v>2977</v>
      </c>
      <c r="B956" s="3" t="s">
        <v>2978</v>
      </c>
      <c r="C956" s="1">
        <v>20</v>
      </c>
      <c r="D956" s="1">
        <v>62.35</v>
      </c>
      <c r="E956" s="1" t="s">
        <v>121</v>
      </c>
      <c r="F956" s="1" t="s">
        <v>3599</v>
      </c>
      <c r="G956" s="3" t="s">
        <v>2979</v>
      </c>
      <c r="H956" s="11">
        <f t="shared" si="31"/>
        <v>325.04000000000002</v>
      </c>
      <c r="I956" s="9">
        <f>($K$2+0.02)*Tabla1[[#This Row],[PRECIO $]]*1.18</f>
        <v>256.03404</v>
      </c>
      <c r="J956" s="7">
        <f>+Tabla1[[#This Row],[PRECIO EN SOLES]]-Tabla1[[#This Row],[PC]]</f>
        <v>69.005960000000016</v>
      </c>
      <c r="K956" s="15"/>
      <c r="L956" s="15" t="str">
        <f t="shared" si="30"/>
        <v>NORMAL</v>
      </c>
    </row>
    <row r="957" spans="1:12" x14ac:dyDescent="0.25">
      <c r="A957" s="3" t="s">
        <v>301</v>
      </c>
      <c r="B957" s="3" t="s">
        <v>302</v>
      </c>
      <c r="C957" s="1">
        <v>20</v>
      </c>
      <c r="D957" s="1">
        <v>28.5</v>
      </c>
      <c r="E957" s="1" t="s">
        <v>52</v>
      </c>
      <c r="F957" s="1" t="s">
        <v>3600</v>
      </c>
      <c r="G957" s="3" t="s">
        <v>303</v>
      </c>
      <c r="H957" s="11">
        <f t="shared" si="31"/>
        <v>140.59</v>
      </c>
      <c r="I957" s="9">
        <f>($K$2+0.02)*Tabla1[[#This Row],[PRECIO $]]*1.18</f>
        <v>117.03239999999998</v>
      </c>
      <c r="J957" s="7">
        <f>+Tabla1[[#This Row],[PRECIO EN SOLES]]-Tabla1[[#This Row],[PC]]</f>
        <v>23.557600000000022</v>
      </c>
      <c r="K957" s="15"/>
      <c r="L957" s="15" t="str">
        <f t="shared" si="30"/>
        <v>NORMAL</v>
      </c>
    </row>
    <row r="958" spans="1:12" x14ac:dyDescent="0.25">
      <c r="A958" s="3" t="s">
        <v>1680</v>
      </c>
      <c r="B958" s="3" t="s">
        <v>1681</v>
      </c>
      <c r="C958" s="1">
        <v>20</v>
      </c>
      <c r="D958" s="1">
        <v>43.5</v>
      </c>
      <c r="E958" s="1" t="s">
        <v>52</v>
      </c>
      <c r="F958" s="1" t="s">
        <v>3601</v>
      </c>
      <c r="G958" s="3" t="s">
        <v>1682</v>
      </c>
      <c r="H958" s="11">
        <f t="shared" si="31"/>
        <v>213.42</v>
      </c>
      <c r="I958" s="9">
        <f>($K$2+0.02)*Tabla1[[#This Row],[PRECIO $]]*1.18</f>
        <v>178.6284</v>
      </c>
      <c r="J958" s="7">
        <f>+Tabla1[[#This Row],[PRECIO EN SOLES]]-Tabla1[[#This Row],[PC]]</f>
        <v>34.791599999999988</v>
      </c>
      <c r="K958" s="15"/>
      <c r="L958" s="15" t="str">
        <f t="shared" si="30"/>
        <v>NORMAL</v>
      </c>
    </row>
    <row r="959" spans="1:12" x14ac:dyDescent="0.25">
      <c r="A959" s="3" t="s">
        <v>6802</v>
      </c>
      <c r="B959" s="3" t="s">
        <v>6803</v>
      </c>
      <c r="C959" s="1">
        <v>20</v>
      </c>
      <c r="D959" s="1">
        <v>68</v>
      </c>
      <c r="E959" s="1" t="s">
        <v>6799</v>
      </c>
      <c r="F959" s="1" t="s">
        <v>6804</v>
      </c>
      <c r="G959" s="3" t="s">
        <v>6805</v>
      </c>
      <c r="H959" s="11">
        <f t="shared" si="31"/>
        <v>329.12</v>
      </c>
      <c r="I959" s="9">
        <f>($K$2+0.02)*Tabla1[[#This Row],[PRECIO $]]*1.18</f>
        <v>279.23519999999996</v>
      </c>
      <c r="J959" s="7">
        <f>+Tabla1[[#This Row],[PRECIO EN SOLES]]-Tabla1[[#This Row],[PC]]</f>
        <v>49.884800000000041</v>
      </c>
      <c r="K959" s="15"/>
      <c r="L959" s="15" t="str">
        <f t="shared" si="30"/>
        <v>NORMAL</v>
      </c>
    </row>
    <row r="960" spans="1:12" x14ac:dyDescent="0.25">
      <c r="A960" s="3" t="s">
        <v>6806</v>
      </c>
      <c r="B960" s="3" t="s">
        <v>6807</v>
      </c>
      <c r="C960" s="1">
        <v>20</v>
      </c>
      <c r="D960" s="1">
        <v>58</v>
      </c>
      <c r="E960" s="1" t="s">
        <v>6799</v>
      </c>
      <c r="F960" s="1" t="s">
        <v>6808</v>
      </c>
      <c r="G960" s="3" t="s">
        <v>6809</v>
      </c>
      <c r="H960" s="11">
        <f t="shared" si="31"/>
        <v>281.89999999999998</v>
      </c>
      <c r="I960" s="9">
        <f>($K$2+0.02)*Tabla1[[#This Row],[PRECIO $]]*1.18</f>
        <v>238.1712</v>
      </c>
      <c r="J960" s="7">
        <f>+Tabla1[[#This Row],[PRECIO EN SOLES]]-Tabla1[[#This Row],[PC]]</f>
        <v>43.728799999999978</v>
      </c>
      <c r="K960" s="15"/>
      <c r="L960" s="15" t="str">
        <f t="shared" si="30"/>
        <v>NORMAL</v>
      </c>
    </row>
    <row r="961" spans="1:12" x14ac:dyDescent="0.25">
      <c r="A961" s="3" t="s">
        <v>6810</v>
      </c>
      <c r="B961" s="3" t="s">
        <v>6811</v>
      </c>
      <c r="C961" s="1">
        <v>20</v>
      </c>
      <c r="D961" s="1">
        <v>55</v>
      </c>
      <c r="E961" s="1" t="s">
        <v>6799</v>
      </c>
      <c r="F961" s="1" t="s">
        <v>6812</v>
      </c>
      <c r="G961" s="3" t="s">
        <v>6813</v>
      </c>
      <c r="H961" s="11">
        <f t="shared" si="31"/>
        <v>267.73</v>
      </c>
      <c r="I961" s="9">
        <f>($K$2+0.02)*Tabla1[[#This Row],[PRECIO $]]*1.18</f>
        <v>225.852</v>
      </c>
      <c r="J961" s="7">
        <f>+Tabla1[[#This Row],[PRECIO EN SOLES]]-Tabla1[[#This Row],[PC]]</f>
        <v>41.878000000000014</v>
      </c>
      <c r="K961" s="15"/>
      <c r="L961" s="15" t="str">
        <f t="shared" si="30"/>
        <v>NORMAL</v>
      </c>
    </row>
    <row r="962" spans="1:12" x14ac:dyDescent="0.25">
      <c r="A962" s="3" t="s">
        <v>3056</v>
      </c>
      <c r="B962" s="3" t="s">
        <v>3057</v>
      </c>
      <c r="C962" s="1">
        <v>3</v>
      </c>
      <c r="D962" s="1">
        <v>177</v>
      </c>
      <c r="E962" s="1" t="s">
        <v>52</v>
      </c>
      <c r="F962" s="1" t="s">
        <v>3602</v>
      </c>
      <c r="G962" s="3" t="s">
        <v>3058</v>
      </c>
      <c r="H962" s="11">
        <f t="shared" si="31"/>
        <v>843.86</v>
      </c>
      <c r="I962" s="9">
        <f>($K$2+0.02)*Tabla1[[#This Row],[PRECIO $]]*1.18</f>
        <v>726.83280000000002</v>
      </c>
      <c r="J962" s="7">
        <f>+Tabla1[[#This Row],[PRECIO EN SOLES]]-Tabla1[[#This Row],[PC]]</f>
        <v>117.02719999999999</v>
      </c>
      <c r="K962" s="15"/>
      <c r="L962" s="15" t="str">
        <f t="shared" si="30"/>
        <v>NORMAL</v>
      </c>
    </row>
    <row r="963" spans="1:12" x14ac:dyDescent="0.25">
      <c r="A963" s="3" t="s">
        <v>1683</v>
      </c>
      <c r="B963" s="3" t="s">
        <v>1684</v>
      </c>
      <c r="C963" s="1">
        <v>18</v>
      </c>
      <c r="D963" s="1">
        <v>86</v>
      </c>
      <c r="E963" s="1" t="s">
        <v>52</v>
      </c>
      <c r="F963" s="1" t="s">
        <v>3603</v>
      </c>
      <c r="G963" s="3" t="s">
        <v>1685</v>
      </c>
      <c r="H963" s="11">
        <f t="shared" si="31"/>
        <v>414.12</v>
      </c>
      <c r="I963" s="9">
        <f>($K$2+0.02)*Tabla1[[#This Row],[PRECIO $]]*1.18</f>
        <v>353.15039999999993</v>
      </c>
      <c r="J963" s="7">
        <f>+Tabla1[[#This Row],[PRECIO EN SOLES]]-Tabla1[[#This Row],[PC]]</f>
        <v>60.969600000000071</v>
      </c>
      <c r="K963" s="15"/>
      <c r="L963" s="15" t="str">
        <f t="shared" si="30"/>
        <v>NORMAL</v>
      </c>
    </row>
    <row r="964" spans="1:12" x14ac:dyDescent="0.25">
      <c r="A964" s="3" t="s">
        <v>1686</v>
      </c>
      <c r="B964" s="3" t="s">
        <v>1687</v>
      </c>
      <c r="C964" s="1">
        <v>20</v>
      </c>
      <c r="D964" s="1">
        <v>349</v>
      </c>
      <c r="E964" s="1" t="s">
        <v>52</v>
      </c>
      <c r="F964" s="1" t="s">
        <v>3604</v>
      </c>
      <c r="G964" s="3" t="s">
        <v>1688</v>
      </c>
      <c r="H964" s="11">
        <f t="shared" si="31"/>
        <v>1656.1</v>
      </c>
      <c r="I964" s="9">
        <f>($K$2+0.02)*Tabla1[[#This Row],[PRECIO $]]*1.18</f>
        <v>1433.1335999999999</v>
      </c>
      <c r="J964" s="7">
        <f>+Tabla1[[#This Row],[PRECIO EN SOLES]]-Tabla1[[#This Row],[PC]]</f>
        <v>222.96640000000002</v>
      </c>
      <c r="K964" s="15"/>
      <c r="L964" s="15" t="str">
        <f t="shared" si="30"/>
        <v>NORMAL</v>
      </c>
    </row>
    <row r="965" spans="1:12" x14ac:dyDescent="0.25">
      <c r="A965" s="3" t="s">
        <v>1689</v>
      </c>
      <c r="B965" s="3" t="s">
        <v>1690</v>
      </c>
      <c r="C965" s="1">
        <v>20</v>
      </c>
      <c r="D965" s="1">
        <v>449</v>
      </c>
      <c r="E965" s="1" t="s">
        <v>52</v>
      </c>
      <c r="F965" s="1" t="s">
        <v>3605</v>
      </c>
      <c r="G965" s="3" t="s">
        <v>1691</v>
      </c>
      <c r="H965" s="11">
        <f t="shared" si="31"/>
        <v>2128.34</v>
      </c>
      <c r="I965" s="9">
        <f>($K$2+0.02)*Tabla1[[#This Row],[PRECIO $]]*1.18</f>
        <v>1843.7736</v>
      </c>
      <c r="J965" s="7">
        <f>+Tabla1[[#This Row],[PRECIO EN SOLES]]-Tabla1[[#This Row],[PC]]</f>
        <v>284.56640000000016</v>
      </c>
      <c r="K965" s="15"/>
      <c r="L965" s="15" t="str">
        <f t="shared" si="30"/>
        <v>NORMAL</v>
      </c>
    </row>
    <row r="966" spans="1:12" x14ac:dyDescent="0.25">
      <c r="A966" s="3" t="s">
        <v>1692</v>
      </c>
      <c r="B966" s="3" t="s">
        <v>1693</v>
      </c>
      <c r="C966" s="1">
        <v>1</v>
      </c>
      <c r="D966" s="1">
        <v>695</v>
      </c>
      <c r="E966" s="1" t="s">
        <v>52</v>
      </c>
      <c r="F966" s="1" t="s">
        <v>3606</v>
      </c>
      <c r="G966" s="3" t="s">
        <v>1694</v>
      </c>
      <c r="H966" s="11">
        <f t="shared" si="31"/>
        <v>3290.04</v>
      </c>
      <c r="I966" s="9">
        <f>($K$2+0.02)*Tabla1[[#This Row],[PRECIO $]]*1.18</f>
        <v>2853.9479999999999</v>
      </c>
      <c r="J966" s="7">
        <f>+Tabla1[[#This Row],[PRECIO EN SOLES]]-Tabla1[[#This Row],[PC]]</f>
        <v>436.0920000000001</v>
      </c>
      <c r="K966" s="15"/>
      <c r="L966" s="15" t="str">
        <f t="shared" si="30"/>
        <v>NORMAL</v>
      </c>
    </row>
    <row r="967" spans="1:12" x14ac:dyDescent="0.25">
      <c r="A967" s="3" t="s">
        <v>1695</v>
      </c>
      <c r="B967" s="3" t="s">
        <v>1696</v>
      </c>
      <c r="C967" s="1">
        <v>7</v>
      </c>
      <c r="D967" s="1">
        <v>90.5</v>
      </c>
      <c r="E967" s="1" t="s">
        <v>1697</v>
      </c>
      <c r="F967" s="1" t="s">
        <v>3607</v>
      </c>
      <c r="G967" s="3" t="s">
        <v>1698</v>
      </c>
      <c r="H967" s="11">
        <f t="shared" si="31"/>
        <v>435.37</v>
      </c>
      <c r="I967" s="9">
        <f>($K$2+0.02)*Tabla1[[#This Row],[PRECIO $]]*1.18</f>
        <v>371.62919999999997</v>
      </c>
      <c r="J967" s="7">
        <f>+Tabla1[[#This Row],[PRECIO EN SOLES]]-Tabla1[[#This Row],[PC]]</f>
        <v>63.740800000000036</v>
      </c>
      <c r="K967" s="15"/>
      <c r="L967" s="15" t="str">
        <f t="shared" si="30"/>
        <v>NORMAL</v>
      </c>
    </row>
    <row r="968" spans="1:12" x14ac:dyDescent="0.25">
      <c r="A968" s="3" t="s">
        <v>1699</v>
      </c>
      <c r="B968" s="3" t="s">
        <v>1700</v>
      </c>
      <c r="C968" s="1">
        <v>1</v>
      </c>
      <c r="D968" s="1">
        <v>216.3</v>
      </c>
      <c r="E968" s="1" t="s">
        <v>1697</v>
      </c>
      <c r="F968" s="1" t="s">
        <v>3608</v>
      </c>
      <c r="G968" s="3" t="s">
        <v>1701</v>
      </c>
      <c r="H968" s="11">
        <f t="shared" si="31"/>
        <v>1029.45</v>
      </c>
      <c r="I968" s="9">
        <f>($K$2+0.02)*Tabla1[[#This Row],[PRECIO $]]*1.18</f>
        <v>888.21432000000004</v>
      </c>
      <c r="J968" s="7">
        <f>+Tabla1[[#This Row],[PRECIO EN SOLES]]-Tabla1[[#This Row],[PC]]</f>
        <v>141.23568</v>
      </c>
      <c r="K968" s="15"/>
      <c r="L968" s="15" t="str">
        <f t="shared" si="30"/>
        <v>COMPLEMENTO</v>
      </c>
    </row>
    <row r="969" spans="1:12" x14ac:dyDescent="0.25">
      <c r="A969" s="3" t="s">
        <v>1702</v>
      </c>
      <c r="B969" s="3" t="s">
        <v>1703</v>
      </c>
      <c r="C969" s="1">
        <v>2</v>
      </c>
      <c r="D969" s="1">
        <v>456</v>
      </c>
      <c r="E969" s="1" t="s">
        <v>838</v>
      </c>
      <c r="F969" s="1" t="s">
        <v>3609</v>
      </c>
      <c r="G969" s="3" t="s">
        <v>1704</v>
      </c>
      <c r="H969" s="11">
        <f t="shared" si="31"/>
        <v>2161.4</v>
      </c>
      <c r="I969" s="9">
        <f>($K$2+0.02)*Tabla1[[#This Row],[PRECIO $]]*1.18</f>
        <v>1872.5183999999997</v>
      </c>
      <c r="J969" s="7">
        <f>+Tabla1[[#This Row],[PRECIO EN SOLES]]-Tabla1[[#This Row],[PC]]</f>
        <v>288.88160000000039</v>
      </c>
      <c r="K969" s="15"/>
      <c r="L969" s="15" t="str">
        <f t="shared" si="30"/>
        <v>COMPLEMENTO</v>
      </c>
    </row>
    <row r="970" spans="1:12" x14ac:dyDescent="0.25">
      <c r="A970" s="3" t="s">
        <v>1705</v>
      </c>
      <c r="B970" s="3" t="s">
        <v>1706</v>
      </c>
      <c r="C970" s="1">
        <v>20</v>
      </c>
      <c r="D970" s="1">
        <v>19.600000000000001</v>
      </c>
      <c r="E970" s="1" t="s">
        <v>837</v>
      </c>
      <c r="F970" s="1" t="s">
        <v>3610</v>
      </c>
      <c r="G970" s="3" t="s">
        <v>1707</v>
      </c>
      <c r="H970" s="11">
        <f t="shared" si="31"/>
        <v>104.61</v>
      </c>
      <c r="I970" s="9">
        <f>($K$2+0.02)*Tabla1[[#This Row],[PRECIO $]]*1.18</f>
        <v>80.485439999999997</v>
      </c>
      <c r="J970" s="7">
        <f>+Tabla1[[#This Row],[PRECIO EN SOLES]]-Tabla1[[#This Row],[PC]]</f>
        <v>24.124560000000002</v>
      </c>
      <c r="K970" s="15"/>
      <c r="L970" s="15" t="str">
        <f t="shared" si="30"/>
        <v>COMPLEMENTO</v>
      </c>
    </row>
    <row r="971" spans="1:12" x14ac:dyDescent="0.25">
      <c r="A971" s="3" t="s">
        <v>1708</v>
      </c>
      <c r="B971" s="3" t="s">
        <v>1709</v>
      </c>
      <c r="C971" s="1">
        <v>3</v>
      </c>
      <c r="D971" s="1">
        <v>12.1</v>
      </c>
      <c r="E971" s="1" t="s">
        <v>56</v>
      </c>
      <c r="F971" s="1" t="s">
        <v>3611</v>
      </c>
      <c r="G971" s="3"/>
      <c r="H971" s="11">
        <f t="shared" si="31"/>
        <v>65.11</v>
      </c>
      <c r="I971" s="9">
        <f>($K$2+0.02)*Tabla1[[#This Row],[PRECIO $]]*1.18</f>
        <v>49.687439999999995</v>
      </c>
      <c r="J971" s="7">
        <f>+Tabla1[[#This Row],[PRECIO EN SOLES]]-Tabla1[[#This Row],[PC]]</f>
        <v>15.422560000000004</v>
      </c>
      <c r="K971" s="15"/>
      <c r="L971" s="15" t="str">
        <f t="shared" si="30"/>
        <v>COMPLEMENTO</v>
      </c>
    </row>
    <row r="972" spans="1:12" x14ac:dyDescent="0.25">
      <c r="A972" s="3" t="s">
        <v>1710</v>
      </c>
      <c r="B972" s="3" t="s">
        <v>2793</v>
      </c>
      <c r="C972" s="1">
        <v>20</v>
      </c>
      <c r="D972" s="1">
        <v>12.7</v>
      </c>
      <c r="E972" s="1" t="s">
        <v>837</v>
      </c>
      <c r="F972" s="1" t="s">
        <v>3612</v>
      </c>
      <c r="G972" s="3" t="s">
        <v>2794</v>
      </c>
      <c r="H972" s="11">
        <f t="shared" si="31"/>
        <v>68.19</v>
      </c>
      <c r="I972" s="9">
        <f>($K$2+0.02)*Tabla1[[#This Row],[PRECIO $]]*1.18</f>
        <v>52.151279999999993</v>
      </c>
      <c r="J972" s="7">
        <f>+Tabla1[[#This Row],[PRECIO EN SOLES]]-Tabla1[[#This Row],[PC]]</f>
        <v>16.038720000000005</v>
      </c>
      <c r="K972" s="15"/>
      <c r="L972" s="15" t="str">
        <f t="shared" si="30"/>
        <v>NORMAL</v>
      </c>
    </row>
    <row r="973" spans="1:12" x14ac:dyDescent="0.25">
      <c r="A973" s="3" t="s">
        <v>1711</v>
      </c>
      <c r="B973" s="3" t="s">
        <v>1712</v>
      </c>
      <c r="C973" s="1">
        <v>5</v>
      </c>
      <c r="D973" s="1">
        <v>20.3</v>
      </c>
      <c r="E973" s="1" t="s">
        <v>74</v>
      </c>
      <c r="F973" s="1" t="s">
        <v>3613</v>
      </c>
      <c r="G973" s="3" t="s">
        <v>1713</v>
      </c>
      <c r="H973" s="11">
        <f t="shared" si="31"/>
        <v>108.2</v>
      </c>
      <c r="I973" s="9">
        <f>($K$2+0.02)*Tabla1[[#This Row],[PRECIO $]]*1.18</f>
        <v>83.359920000000002</v>
      </c>
      <c r="J973" s="7">
        <f>+Tabla1[[#This Row],[PRECIO EN SOLES]]-Tabla1[[#This Row],[PC]]</f>
        <v>24.84008</v>
      </c>
      <c r="K973" s="15"/>
      <c r="L973" s="15" t="str">
        <f t="shared" si="30"/>
        <v>NORMAL</v>
      </c>
    </row>
    <row r="974" spans="1:12" x14ac:dyDescent="0.25">
      <c r="A974" s="3" t="s">
        <v>1714</v>
      </c>
      <c r="B974" s="3" t="s">
        <v>1715</v>
      </c>
      <c r="C974" s="1">
        <v>6</v>
      </c>
      <c r="D974" s="1">
        <v>20</v>
      </c>
      <c r="E974" s="1" t="s">
        <v>95</v>
      </c>
      <c r="F974" s="1" t="s">
        <v>3614</v>
      </c>
      <c r="G974" s="3" t="s">
        <v>1716</v>
      </c>
      <c r="H974" s="11">
        <f t="shared" si="31"/>
        <v>100.45</v>
      </c>
      <c r="I974" s="9">
        <f>($K$2+0.02)*Tabla1[[#This Row],[PRECIO $]]*1.18</f>
        <v>82.127999999999986</v>
      </c>
      <c r="J974" s="7">
        <f>+Tabla1[[#This Row],[PRECIO EN SOLES]]-Tabla1[[#This Row],[PC]]</f>
        <v>18.322000000000017</v>
      </c>
      <c r="K974" s="15"/>
      <c r="L974" s="15" t="str">
        <f t="shared" si="30"/>
        <v>COMPLEMENTO</v>
      </c>
    </row>
    <row r="975" spans="1:12" x14ac:dyDescent="0.25">
      <c r="A975" s="3" t="s">
        <v>1717</v>
      </c>
      <c r="B975" s="3" t="s">
        <v>1718</v>
      </c>
      <c r="C975" s="1">
        <v>20</v>
      </c>
      <c r="D975" s="1">
        <v>18.100000000000001</v>
      </c>
      <c r="E975" s="1" t="s">
        <v>95</v>
      </c>
      <c r="F975" s="1" t="s">
        <v>3615</v>
      </c>
      <c r="G975" s="3" t="s">
        <v>2980</v>
      </c>
      <c r="H975" s="11">
        <f t="shared" si="31"/>
        <v>89.47</v>
      </c>
      <c r="I975" s="9">
        <f>($K$2+0.02)*Tabla1[[#This Row],[PRECIO $]]*1.18</f>
        <v>74.325839999999999</v>
      </c>
      <c r="J975" s="7">
        <f>+Tabla1[[#This Row],[PRECIO EN SOLES]]-Tabla1[[#This Row],[PC]]</f>
        <v>15.144159999999999</v>
      </c>
      <c r="K975" s="15"/>
      <c r="L975" s="15" t="str">
        <f t="shared" si="30"/>
        <v>COMPLEMENTO</v>
      </c>
    </row>
    <row r="976" spans="1:12" x14ac:dyDescent="0.25">
      <c r="A976" s="3" t="s">
        <v>1719</v>
      </c>
      <c r="B976" s="3" t="s">
        <v>1720</v>
      </c>
      <c r="C976" s="1">
        <v>20</v>
      </c>
      <c r="D976" s="1">
        <v>39.700000000000003</v>
      </c>
      <c r="E976" s="1" t="s">
        <v>837</v>
      </c>
      <c r="F976" s="1" t="s">
        <v>3616</v>
      </c>
      <c r="G976" s="3" t="s">
        <v>1721</v>
      </c>
      <c r="H976" s="11">
        <f t="shared" si="31"/>
        <v>208.78</v>
      </c>
      <c r="I976" s="9">
        <f>($K$2+0.02)*Tabla1[[#This Row],[PRECIO $]]*1.18</f>
        <v>163.02408</v>
      </c>
      <c r="J976" s="7">
        <f>+Tabla1[[#This Row],[PRECIO EN SOLES]]-Tabla1[[#This Row],[PC]]</f>
        <v>45.755920000000003</v>
      </c>
      <c r="K976" s="15"/>
      <c r="L976" s="15" t="str">
        <f t="shared" ref="L976:L1039" si="32"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COMPLEMENTO</v>
      </c>
    </row>
    <row r="977" spans="1:12" x14ac:dyDescent="0.25">
      <c r="A977" s="3" t="s">
        <v>6344</v>
      </c>
      <c r="B977" s="3" t="s">
        <v>6345</v>
      </c>
      <c r="C977" s="1">
        <v>20</v>
      </c>
      <c r="D977" s="1">
        <v>3.6</v>
      </c>
      <c r="E977" s="1" t="s">
        <v>52</v>
      </c>
      <c r="F977" s="1" t="s">
        <v>6346</v>
      </c>
      <c r="G977" s="3" t="s">
        <v>6347</v>
      </c>
      <c r="H977" s="11">
        <f t="shared" si="31"/>
        <v>19.98</v>
      </c>
      <c r="I977" s="9">
        <f>($K$2+0.02)*Tabla1[[#This Row],[PRECIO $]]*1.18</f>
        <v>14.78304</v>
      </c>
      <c r="J977" s="7">
        <f>+Tabla1[[#This Row],[PRECIO EN SOLES]]-Tabla1[[#This Row],[PC]]</f>
        <v>5.1969600000000007</v>
      </c>
      <c r="K977" s="15"/>
      <c r="L977" s="15" t="str">
        <f t="shared" si="32"/>
        <v>COMPLEMENTO</v>
      </c>
    </row>
    <row r="978" spans="1:12" x14ac:dyDescent="0.25">
      <c r="A978" s="3" t="s">
        <v>304</v>
      </c>
      <c r="B978" s="3" t="s">
        <v>305</v>
      </c>
      <c r="C978" s="1">
        <v>20</v>
      </c>
      <c r="D978" s="1">
        <v>5.4</v>
      </c>
      <c r="E978" s="1" t="s">
        <v>52</v>
      </c>
      <c r="F978" s="1" t="s">
        <v>3617</v>
      </c>
      <c r="G978" s="3" t="s">
        <v>306</v>
      </c>
      <c r="H978" s="11">
        <f t="shared" ref="H978:H1041" si="33">ROUND(
IF(L976="GANCHO",
   IF(I978&lt;=50,I978*1.1+4,IF(I978&lt;=120,I978*1.1+7,IF(I978&lt;=250,I978*1.1+11,I978*1.1+19))),
IF(L976="NORMAL",
   IF(I978&lt;=30,I978*1.15+2,IF(I978&lt;=80,I978*1.15+4,IF(I978&lt;=150,I978*1.15+6,I978*1.15+8))),
IF(L976="COMPLEMENTO",
   IF(I978&lt;=25,I978*1.25+1.5,IF(I978&lt;=60,I978*1.25+3,IF(I978&lt;=120,I978*1.25+4,I978*1.25+5))),
""))),2)</f>
        <v>29.22</v>
      </c>
      <c r="I978" s="9">
        <f>($K$2+0.02)*Tabla1[[#This Row],[PRECIO $]]*1.18</f>
        <v>22.17456</v>
      </c>
      <c r="J978" s="7">
        <f>+Tabla1[[#This Row],[PRECIO EN SOLES]]-Tabla1[[#This Row],[PC]]</f>
        <v>7.0454399999999993</v>
      </c>
      <c r="K978" s="15"/>
      <c r="L978" s="15" t="str">
        <f t="shared" si="32"/>
        <v>COMPLEMENTO</v>
      </c>
    </row>
    <row r="979" spans="1:12" x14ac:dyDescent="0.25">
      <c r="A979" s="3" t="s">
        <v>307</v>
      </c>
      <c r="B979" s="3" t="s">
        <v>308</v>
      </c>
      <c r="C979" s="1">
        <v>20</v>
      </c>
      <c r="D979" s="1">
        <v>5.4</v>
      </c>
      <c r="E979" s="1" t="s">
        <v>52</v>
      </c>
      <c r="F979" s="1" t="s">
        <v>3618</v>
      </c>
      <c r="G979" s="3" t="s">
        <v>309</v>
      </c>
      <c r="H979" s="11">
        <f t="shared" si="33"/>
        <v>29.22</v>
      </c>
      <c r="I979" s="9">
        <f>($K$2+0.02)*Tabla1[[#This Row],[PRECIO $]]*1.18</f>
        <v>22.17456</v>
      </c>
      <c r="J979" s="7">
        <f>+Tabla1[[#This Row],[PRECIO EN SOLES]]-Tabla1[[#This Row],[PC]]</f>
        <v>7.0454399999999993</v>
      </c>
      <c r="K979" s="15"/>
      <c r="L979" s="15" t="str">
        <f t="shared" si="32"/>
        <v>COMPLEMENTO</v>
      </c>
    </row>
    <row r="980" spans="1:12" x14ac:dyDescent="0.25">
      <c r="A980" s="3" t="s">
        <v>310</v>
      </c>
      <c r="B980" s="3" t="s">
        <v>4408</v>
      </c>
      <c r="C980" s="1">
        <v>20</v>
      </c>
      <c r="D980" s="1">
        <v>9.3000000000000007</v>
      </c>
      <c r="E980" s="1" t="s">
        <v>52</v>
      </c>
      <c r="F980" s="1" t="s">
        <v>3619</v>
      </c>
      <c r="G980" s="3" t="s">
        <v>311</v>
      </c>
      <c r="H980" s="11">
        <f t="shared" si="33"/>
        <v>50.74</v>
      </c>
      <c r="I980" s="9">
        <f>($K$2+0.02)*Tabla1[[#This Row],[PRECIO $]]*1.18</f>
        <v>38.189520000000002</v>
      </c>
      <c r="J980" s="7">
        <f>+Tabla1[[#This Row],[PRECIO EN SOLES]]-Tabla1[[#This Row],[PC]]</f>
        <v>12.55048</v>
      </c>
      <c r="K980" s="15"/>
      <c r="L980" s="15" t="str">
        <f t="shared" si="32"/>
        <v>COMPLEMENTO</v>
      </c>
    </row>
    <row r="981" spans="1:12" x14ac:dyDescent="0.25">
      <c r="A981" s="3" t="s">
        <v>312</v>
      </c>
      <c r="B981" s="3" t="s">
        <v>313</v>
      </c>
      <c r="C981" s="1">
        <v>20</v>
      </c>
      <c r="D981" s="1">
        <v>4.3</v>
      </c>
      <c r="E981" s="1" t="s">
        <v>54</v>
      </c>
      <c r="F981" s="1" t="s">
        <v>3620</v>
      </c>
      <c r="G981" s="3" t="s">
        <v>314</v>
      </c>
      <c r="H981" s="11">
        <f t="shared" si="33"/>
        <v>23.57</v>
      </c>
      <c r="I981" s="9">
        <f>($K$2+0.02)*Tabla1[[#This Row],[PRECIO $]]*1.18</f>
        <v>17.657519999999998</v>
      </c>
      <c r="J981" s="7">
        <f>+Tabla1[[#This Row],[PRECIO EN SOLES]]-Tabla1[[#This Row],[PC]]</f>
        <v>5.9124800000000022</v>
      </c>
      <c r="K981" s="15"/>
      <c r="L981" s="15" t="str">
        <f t="shared" si="32"/>
        <v>COMPLEMENTO</v>
      </c>
    </row>
    <row r="982" spans="1:12" x14ac:dyDescent="0.25">
      <c r="A982" s="3" t="s">
        <v>315</v>
      </c>
      <c r="B982" s="3" t="s">
        <v>316</v>
      </c>
      <c r="C982" s="1">
        <v>0</v>
      </c>
      <c r="D982" s="1">
        <v>3.6</v>
      </c>
      <c r="E982" s="1" t="s">
        <v>52</v>
      </c>
      <c r="F982" s="1" t="s">
        <v>3621</v>
      </c>
      <c r="G982" s="3" t="s">
        <v>672</v>
      </c>
      <c r="H982" s="11">
        <f t="shared" si="33"/>
        <v>19.98</v>
      </c>
      <c r="I982" s="9">
        <f>($K$2+0.02)*Tabla1[[#This Row],[PRECIO $]]*1.18</f>
        <v>14.78304</v>
      </c>
      <c r="J982" s="7">
        <f>+Tabla1[[#This Row],[PRECIO EN SOLES]]-Tabla1[[#This Row],[PC]]</f>
        <v>5.1969600000000007</v>
      </c>
      <c r="K982" s="15"/>
      <c r="L982" s="15" t="str">
        <f t="shared" si="32"/>
        <v>COMPLEMENTO</v>
      </c>
    </row>
    <row r="983" spans="1:12" x14ac:dyDescent="0.25">
      <c r="A983" s="3" t="s">
        <v>317</v>
      </c>
      <c r="B983" s="3" t="s">
        <v>318</v>
      </c>
      <c r="C983" s="1">
        <v>0</v>
      </c>
      <c r="D983" s="1">
        <v>5.4</v>
      </c>
      <c r="E983" s="1" t="s">
        <v>52</v>
      </c>
      <c r="F983" s="1" t="s">
        <v>3622</v>
      </c>
      <c r="G983" s="3" t="s">
        <v>673</v>
      </c>
      <c r="H983" s="11">
        <f t="shared" si="33"/>
        <v>29.22</v>
      </c>
      <c r="I983" s="9">
        <f>($K$2+0.02)*Tabla1[[#This Row],[PRECIO $]]*1.18</f>
        <v>22.17456</v>
      </c>
      <c r="J983" s="7">
        <f>+Tabla1[[#This Row],[PRECIO EN SOLES]]-Tabla1[[#This Row],[PC]]</f>
        <v>7.0454399999999993</v>
      </c>
      <c r="K983" s="15"/>
      <c r="L983" s="15" t="str">
        <f t="shared" si="32"/>
        <v>COMPLEMENTO</v>
      </c>
    </row>
    <row r="984" spans="1:12" x14ac:dyDescent="0.25">
      <c r="A984" s="3" t="s">
        <v>319</v>
      </c>
      <c r="B984" s="3" t="s">
        <v>320</v>
      </c>
      <c r="C984" s="1">
        <v>20</v>
      </c>
      <c r="D984" s="1">
        <v>5.4</v>
      </c>
      <c r="E984" s="1" t="s">
        <v>52</v>
      </c>
      <c r="F984" s="1" t="s">
        <v>3623</v>
      </c>
      <c r="G984" s="3" t="s">
        <v>674</v>
      </c>
      <c r="H984" s="11">
        <f t="shared" si="33"/>
        <v>29.22</v>
      </c>
      <c r="I984" s="9">
        <f>($K$2+0.02)*Tabla1[[#This Row],[PRECIO $]]*1.18</f>
        <v>22.17456</v>
      </c>
      <c r="J984" s="7">
        <f>+Tabla1[[#This Row],[PRECIO EN SOLES]]-Tabla1[[#This Row],[PC]]</f>
        <v>7.0454399999999993</v>
      </c>
      <c r="K984" s="15"/>
      <c r="L984" s="15" t="str">
        <f t="shared" si="32"/>
        <v>COMPLEMENTO</v>
      </c>
    </row>
    <row r="985" spans="1:12" x14ac:dyDescent="0.25">
      <c r="A985" s="3" t="s">
        <v>321</v>
      </c>
      <c r="B985" s="3" t="s">
        <v>322</v>
      </c>
      <c r="C985" s="1">
        <v>20</v>
      </c>
      <c r="D985" s="1">
        <v>5.4</v>
      </c>
      <c r="E985" s="1" t="s">
        <v>52</v>
      </c>
      <c r="F985" s="1" t="s">
        <v>3624</v>
      </c>
      <c r="G985" s="3" t="s">
        <v>675</v>
      </c>
      <c r="H985" s="11">
        <f t="shared" si="33"/>
        <v>29.22</v>
      </c>
      <c r="I985" s="9">
        <f>($K$2+0.02)*Tabla1[[#This Row],[PRECIO $]]*1.18</f>
        <v>22.17456</v>
      </c>
      <c r="J985" s="7">
        <f>+Tabla1[[#This Row],[PRECIO EN SOLES]]-Tabla1[[#This Row],[PC]]</f>
        <v>7.0454399999999993</v>
      </c>
      <c r="K985" s="15"/>
      <c r="L985" s="15" t="str">
        <f t="shared" si="32"/>
        <v>COMPLEMENTO</v>
      </c>
    </row>
    <row r="986" spans="1:12" x14ac:dyDescent="0.25">
      <c r="A986" s="3" t="s">
        <v>323</v>
      </c>
      <c r="B986" s="3" t="s">
        <v>324</v>
      </c>
      <c r="C986" s="1">
        <v>20</v>
      </c>
      <c r="D986" s="1">
        <v>3.6</v>
      </c>
      <c r="E986" s="1" t="s">
        <v>52</v>
      </c>
      <c r="F986" s="1" t="s">
        <v>3625</v>
      </c>
      <c r="G986" s="3" t="s">
        <v>325</v>
      </c>
      <c r="H986" s="11">
        <f t="shared" si="33"/>
        <v>19.98</v>
      </c>
      <c r="I986" s="9">
        <f>($K$2+0.02)*Tabla1[[#This Row],[PRECIO $]]*1.18</f>
        <v>14.78304</v>
      </c>
      <c r="J986" s="7">
        <f>+Tabla1[[#This Row],[PRECIO EN SOLES]]-Tabla1[[#This Row],[PC]]</f>
        <v>5.1969600000000007</v>
      </c>
      <c r="K986" s="15"/>
      <c r="L986" s="15" t="str">
        <f t="shared" si="32"/>
        <v>COMPLEMENTO</v>
      </c>
    </row>
    <row r="987" spans="1:12" x14ac:dyDescent="0.25">
      <c r="A987" s="3" t="s">
        <v>1723</v>
      </c>
      <c r="B987" s="3" t="s">
        <v>1724</v>
      </c>
      <c r="C987" s="1">
        <v>20</v>
      </c>
      <c r="D987" s="1">
        <v>4</v>
      </c>
      <c r="E987" s="1" t="s">
        <v>52</v>
      </c>
      <c r="F987" s="1" t="s">
        <v>3626</v>
      </c>
      <c r="G987" s="3" t="s">
        <v>1725</v>
      </c>
      <c r="H987" s="11">
        <f t="shared" si="33"/>
        <v>22.03</v>
      </c>
      <c r="I987" s="9">
        <f>($K$2+0.02)*Tabla1[[#This Row],[PRECIO $]]*1.18</f>
        <v>16.425599999999999</v>
      </c>
      <c r="J987" s="7">
        <f>+Tabla1[[#This Row],[PRECIO EN SOLES]]-Tabla1[[#This Row],[PC]]</f>
        <v>5.6044000000000018</v>
      </c>
      <c r="K987" s="15"/>
      <c r="L987" s="15" t="str">
        <f t="shared" si="32"/>
        <v>COMPLEMENTO</v>
      </c>
    </row>
    <row r="988" spans="1:12" x14ac:dyDescent="0.25">
      <c r="A988" s="3" t="s">
        <v>1726</v>
      </c>
      <c r="B988" s="3" t="s">
        <v>1727</v>
      </c>
      <c r="C988" s="1">
        <v>15</v>
      </c>
      <c r="D988" s="1">
        <v>4</v>
      </c>
      <c r="E988" s="1" t="s">
        <v>52</v>
      </c>
      <c r="F988" s="1" t="s">
        <v>3627</v>
      </c>
      <c r="G988" s="3" t="s">
        <v>1728</v>
      </c>
      <c r="H988" s="11">
        <f t="shared" si="33"/>
        <v>22.03</v>
      </c>
      <c r="I988" s="9">
        <f>($K$2+0.02)*Tabla1[[#This Row],[PRECIO $]]*1.18</f>
        <v>16.425599999999999</v>
      </c>
      <c r="J988" s="7">
        <f>+Tabla1[[#This Row],[PRECIO EN SOLES]]-Tabla1[[#This Row],[PC]]</f>
        <v>5.6044000000000018</v>
      </c>
      <c r="K988" s="15"/>
      <c r="L988" s="15" t="str">
        <f t="shared" si="32"/>
        <v>COMPLEMENTO</v>
      </c>
    </row>
    <row r="989" spans="1:12" x14ac:dyDescent="0.25">
      <c r="A989" s="3" t="s">
        <v>1729</v>
      </c>
      <c r="B989" s="3" t="s">
        <v>1730</v>
      </c>
      <c r="C989" s="1">
        <v>0</v>
      </c>
      <c r="D989" s="1">
        <v>999</v>
      </c>
      <c r="E989" s="1" t="s">
        <v>154</v>
      </c>
      <c r="F989" s="1" t="s">
        <v>3628</v>
      </c>
      <c r="G989" s="3"/>
      <c r="H989" s="11">
        <f t="shared" si="33"/>
        <v>5132.87</v>
      </c>
      <c r="I989" s="9">
        <f>($K$2+0.02)*Tabla1[[#This Row],[PRECIO $]]*1.18</f>
        <v>4102.2936</v>
      </c>
      <c r="J989" s="7">
        <f>+Tabla1[[#This Row],[PRECIO EN SOLES]]-Tabla1[[#This Row],[PC]]</f>
        <v>1030.5763999999999</v>
      </c>
      <c r="K989" s="15"/>
      <c r="L989" s="15" t="str">
        <f t="shared" si="32"/>
        <v>COMPLEMENTO</v>
      </c>
    </row>
    <row r="990" spans="1:12" x14ac:dyDescent="0.25">
      <c r="A990" s="3" t="s">
        <v>1731</v>
      </c>
      <c r="B990" s="3" t="s">
        <v>1722</v>
      </c>
      <c r="C990" s="1">
        <v>1</v>
      </c>
      <c r="D990" s="1">
        <v>50</v>
      </c>
      <c r="E990" s="1" t="s">
        <v>148</v>
      </c>
      <c r="F990" s="1" t="s">
        <v>3629</v>
      </c>
      <c r="G990" s="3"/>
      <c r="H990" s="11">
        <f t="shared" si="33"/>
        <v>261.64999999999998</v>
      </c>
      <c r="I990" s="9">
        <f>($K$2+0.02)*Tabla1[[#This Row],[PRECIO $]]*1.18</f>
        <v>205.32</v>
      </c>
      <c r="J990" s="7">
        <f>+Tabla1[[#This Row],[PRECIO EN SOLES]]-Tabla1[[#This Row],[PC]]</f>
        <v>56.329999999999984</v>
      </c>
      <c r="K990" s="15"/>
      <c r="L990" s="15" t="str">
        <f t="shared" si="32"/>
        <v>COMPLEMENTO</v>
      </c>
    </row>
    <row r="991" spans="1:12" x14ac:dyDescent="0.25">
      <c r="A991" s="3" t="s">
        <v>1732</v>
      </c>
      <c r="B991" s="3" t="s">
        <v>318</v>
      </c>
      <c r="C991" s="1">
        <v>0</v>
      </c>
      <c r="D991" s="1">
        <v>999</v>
      </c>
      <c r="E991" s="1" t="s">
        <v>187</v>
      </c>
      <c r="F991" s="1" t="s">
        <v>3630</v>
      </c>
      <c r="G991" s="3"/>
      <c r="H991" s="11">
        <f t="shared" si="33"/>
        <v>5132.87</v>
      </c>
      <c r="I991" s="9">
        <f>($K$2+0.02)*Tabla1[[#This Row],[PRECIO $]]*1.18</f>
        <v>4102.2936</v>
      </c>
      <c r="J991" s="7">
        <f>+Tabla1[[#This Row],[PRECIO EN SOLES]]-Tabla1[[#This Row],[PC]]</f>
        <v>1030.5763999999999</v>
      </c>
      <c r="K991" s="15"/>
      <c r="L991" s="15" t="str">
        <f t="shared" si="32"/>
        <v>COMPLEMENTO</v>
      </c>
    </row>
    <row r="992" spans="1:12" x14ac:dyDescent="0.25">
      <c r="A992" s="3" t="s">
        <v>326</v>
      </c>
      <c r="B992" s="3" t="s">
        <v>327</v>
      </c>
      <c r="C992" s="1">
        <v>20</v>
      </c>
      <c r="D992" s="1">
        <v>5.0999999999999996</v>
      </c>
      <c r="E992" s="1" t="s">
        <v>52</v>
      </c>
      <c r="F992" s="1" t="s">
        <v>3631</v>
      </c>
      <c r="G992" s="3" t="s">
        <v>328</v>
      </c>
      <c r="H992" s="11">
        <f t="shared" si="33"/>
        <v>27.68</v>
      </c>
      <c r="I992" s="9">
        <f>($K$2+0.02)*Tabla1[[#This Row],[PRECIO $]]*1.18</f>
        <v>20.942639999999997</v>
      </c>
      <c r="J992" s="7">
        <f>+Tabla1[[#This Row],[PRECIO EN SOLES]]-Tabla1[[#This Row],[PC]]</f>
        <v>6.7373600000000025</v>
      </c>
      <c r="K992" s="15"/>
      <c r="L992" s="15" t="str">
        <f t="shared" si="32"/>
        <v>COMPLEMENTO</v>
      </c>
    </row>
    <row r="993" spans="1:12" x14ac:dyDescent="0.25">
      <c r="A993" s="3" t="s">
        <v>329</v>
      </c>
      <c r="B993" s="3" t="s">
        <v>330</v>
      </c>
      <c r="C993" s="1">
        <v>20</v>
      </c>
      <c r="D993" s="1">
        <v>2.85</v>
      </c>
      <c r="E993" s="1" t="s">
        <v>52</v>
      </c>
      <c r="F993" s="1" t="s">
        <v>3632</v>
      </c>
      <c r="G993" s="3" t="s">
        <v>331</v>
      </c>
      <c r="H993" s="11">
        <f t="shared" si="33"/>
        <v>16.13</v>
      </c>
      <c r="I993" s="9">
        <f>($K$2+0.02)*Tabla1[[#This Row],[PRECIO $]]*1.18</f>
        <v>11.703240000000001</v>
      </c>
      <c r="J993" s="7">
        <f>+Tabla1[[#This Row],[PRECIO EN SOLES]]-Tabla1[[#This Row],[PC]]</f>
        <v>4.426759999999998</v>
      </c>
      <c r="K993" s="15"/>
      <c r="L993" s="15" t="str">
        <f t="shared" si="32"/>
        <v>COMPLEMENTO</v>
      </c>
    </row>
    <row r="994" spans="1:12" x14ac:dyDescent="0.25">
      <c r="A994" s="3" t="s">
        <v>332</v>
      </c>
      <c r="B994" s="3" t="s">
        <v>333</v>
      </c>
      <c r="C994" s="1">
        <v>20</v>
      </c>
      <c r="D994" s="1">
        <v>2.15</v>
      </c>
      <c r="E994" s="1" t="s">
        <v>52</v>
      </c>
      <c r="F994" s="1" t="s">
        <v>3633</v>
      </c>
      <c r="G994" s="3" t="s">
        <v>334</v>
      </c>
      <c r="H994" s="11">
        <f t="shared" si="33"/>
        <v>12.54</v>
      </c>
      <c r="I994" s="9">
        <f>($K$2+0.02)*Tabla1[[#This Row],[PRECIO $]]*1.18</f>
        <v>8.8287599999999991</v>
      </c>
      <c r="J994" s="7">
        <f>+Tabla1[[#This Row],[PRECIO EN SOLES]]-Tabla1[[#This Row],[PC]]</f>
        <v>3.7112400000000001</v>
      </c>
      <c r="K994" s="15"/>
      <c r="L994" s="15" t="str">
        <f t="shared" si="32"/>
        <v>COMPLEMENTO</v>
      </c>
    </row>
    <row r="995" spans="1:12" x14ac:dyDescent="0.25">
      <c r="A995" s="3" t="s">
        <v>4318</v>
      </c>
      <c r="B995" s="3" t="s">
        <v>4319</v>
      </c>
      <c r="C995" s="1">
        <v>20</v>
      </c>
      <c r="D995" s="1">
        <v>2.15</v>
      </c>
      <c r="E995" s="1" t="s">
        <v>52</v>
      </c>
      <c r="F995" s="1" t="s">
        <v>4320</v>
      </c>
      <c r="G995" s="3" t="s">
        <v>4321</v>
      </c>
      <c r="H995" s="11">
        <f t="shared" si="33"/>
        <v>12.54</v>
      </c>
      <c r="I995" s="9">
        <f>($K$2+0.02)*Tabla1[[#This Row],[PRECIO $]]*1.18</f>
        <v>8.8287599999999991</v>
      </c>
      <c r="J995" s="7">
        <f>+Tabla1[[#This Row],[PRECIO EN SOLES]]-Tabla1[[#This Row],[PC]]</f>
        <v>3.7112400000000001</v>
      </c>
      <c r="K995" s="15"/>
      <c r="L995" s="15" t="str">
        <f t="shared" si="32"/>
        <v>COMPLEMENTO</v>
      </c>
    </row>
    <row r="996" spans="1:12" x14ac:dyDescent="0.25">
      <c r="A996" s="3" t="s">
        <v>335</v>
      </c>
      <c r="B996" s="3" t="s">
        <v>336</v>
      </c>
      <c r="C996" s="1">
        <v>20</v>
      </c>
      <c r="D996" s="1">
        <v>2.15</v>
      </c>
      <c r="E996" s="1" t="s">
        <v>52</v>
      </c>
      <c r="F996" s="1" t="s">
        <v>3634</v>
      </c>
      <c r="G996" s="3" t="s">
        <v>337</v>
      </c>
      <c r="H996" s="11">
        <f t="shared" si="33"/>
        <v>12.54</v>
      </c>
      <c r="I996" s="9">
        <f>($K$2+0.02)*Tabla1[[#This Row],[PRECIO $]]*1.18</f>
        <v>8.8287599999999991</v>
      </c>
      <c r="J996" s="7">
        <f>+Tabla1[[#This Row],[PRECIO EN SOLES]]-Tabla1[[#This Row],[PC]]</f>
        <v>3.7112400000000001</v>
      </c>
      <c r="K996" s="15"/>
      <c r="L996" s="15" t="str">
        <f t="shared" si="32"/>
        <v>COMPLEMENTO</v>
      </c>
    </row>
    <row r="997" spans="1:12" x14ac:dyDescent="0.25">
      <c r="A997" s="3" t="s">
        <v>1734</v>
      </c>
      <c r="B997" s="3" t="s">
        <v>1733</v>
      </c>
      <c r="C997" s="1">
        <v>0</v>
      </c>
      <c r="D997" s="1">
        <v>9999999.9900000002</v>
      </c>
      <c r="E997" s="1" t="s">
        <v>187</v>
      </c>
      <c r="F997" s="1" t="s">
        <v>3635</v>
      </c>
      <c r="G997" s="3"/>
      <c r="H997" s="11">
        <f t="shared" si="33"/>
        <v>51330004.950000003</v>
      </c>
      <c r="I997" s="9">
        <f>($K$2+0.02)*Tabla1[[#This Row],[PRECIO $]]*1.18</f>
        <v>41063999.958935998</v>
      </c>
      <c r="J997" s="7">
        <f>+Tabla1[[#This Row],[PRECIO EN SOLES]]-Tabla1[[#This Row],[PC]]</f>
        <v>10266004.991064005</v>
      </c>
      <c r="K997" s="15"/>
      <c r="L997" s="15" t="str">
        <f t="shared" si="32"/>
        <v>COMPLEMENTO</v>
      </c>
    </row>
    <row r="998" spans="1:12" x14ac:dyDescent="0.25">
      <c r="A998" s="3" t="s">
        <v>338</v>
      </c>
      <c r="B998" s="3" t="s">
        <v>339</v>
      </c>
      <c r="C998" s="1">
        <v>20</v>
      </c>
      <c r="D998" s="1">
        <v>5.4</v>
      </c>
      <c r="E998" s="1" t="s">
        <v>52</v>
      </c>
      <c r="F998" s="1" t="s">
        <v>3636</v>
      </c>
      <c r="G998" s="3" t="s">
        <v>340</v>
      </c>
      <c r="H998" s="11">
        <f t="shared" si="33"/>
        <v>29.22</v>
      </c>
      <c r="I998" s="9">
        <f>($K$2+0.02)*Tabla1[[#This Row],[PRECIO $]]*1.18</f>
        <v>22.17456</v>
      </c>
      <c r="J998" s="7">
        <f>+Tabla1[[#This Row],[PRECIO EN SOLES]]-Tabla1[[#This Row],[PC]]</f>
        <v>7.0454399999999993</v>
      </c>
      <c r="K998" s="15"/>
      <c r="L998" s="15" t="str">
        <f t="shared" si="32"/>
        <v>COMPLEMENTO</v>
      </c>
    </row>
    <row r="999" spans="1:12" x14ac:dyDescent="0.25">
      <c r="A999" s="3" t="s">
        <v>341</v>
      </c>
      <c r="B999" s="3" t="s">
        <v>342</v>
      </c>
      <c r="C999" s="1">
        <v>20</v>
      </c>
      <c r="D999" s="1">
        <v>5.4</v>
      </c>
      <c r="E999" s="1" t="s">
        <v>52</v>
      </c>
      <c r="F999" s="1" t="s">
        <v>3637</v>
      </c>
      <c r="G999" s="3" t="s">
        <v>676</v>
      </c>
      <c r="H999" s="11">
        <f t="shared" si="33"/>
        <v>29.22</v>
      </c>
      <c r="I999" s="9">
        <f>($K$2+0.02)*Tabla1[[#This Row],[PRECIO $]]*1.18</f>
        <v>22.17456</v>
      </c>
      <c r="J999" s="7">
        <f>+Tabla1[[#This Row],[PRECIO EN SOLES]]-Tabla1[[#This Row],[PC]]</f>
        <v>7.0454399999999993</v>
      </c>
      <c r="K999" s="15"/>
      <c r="L999" s="15" t="str">
        <f t="shared" si="32"/>
        <v>COMPLEMENTO</v>
      </c>
    </row>
    <row r="1000" spans="1:12" x14ac:dyDescent="0.25">
      <c r="A1000" s="3" t="s">
        <v>1735</v>
      </c>
      <c r="B1000" s="3" t="s">
        <v>1736</v>
      </c>
      <c r="C1000" s="1">
        <v>20</v>
      </c>
      <c r="D1000" s="1">
        <v>15.9</v>
      </c>
      <c r="E1000" s="1" t="s">
        <v>74</v>
      </c>
      <c r="F1000" s="1" t="s">
        <v>3638</v>
      </c>
      <c r="G1000" s="3" t="s">
        <v>1737</v>
      </c>
      <c r="H1000" s="11">
        <f t="shared" si="33"/>
        <v>85.61</v>
      </c>
      <c r="I1000" s="9">
        <f>($K$2+0.02)*Tabla1[[#This Row],[PRECIO $]]*1.18</f>
        <v>65.291759999999996</v>
      </c>
      <c r="J1000" s="7">
        <f>+Tabla1[[#This Row],[PRECIO EN SOLES]]-Tabla1[[#This Row],[PC]]</f>
        <v>20.318240000000003</v>
      </c>
      <c r="K1000" s="15"/>
      <c r="L1000" s="15" t="str">
        <f t="shared" si="32"/>
        <v>COMPLEMENTO</v>
      </c>
    </row>
    <row r="1001" spans="1:12" x14ac:dyDescent="0.25">
      <c r="A1001" s="3" t="s">
        <v>1738</v>
      </c>
      <c r="B1001" s="3" t="s">
        <v>1739</v>
      </c>
      <c r="C1001" s="1">
        <v>20</v>
      </c>
      <c r="D1001" s="1">
        <v>12.1</v>
      </c>
      <c r="E1001" s="1" t="s">
        <v>837</v>
      </c>
      <c r="F1001" s="1" t="s">
        <v>3639</v>
      </c>
      <c r="G1001" s="3" t="s">
        <v>1740</v>
      </c>
      <c r="H1001" s="11">
        <f t="shared" si="33"/>
        <v>65.11</v>
      </c>
      <c r="I1001" s="9">
        <f>($K$2+0.02)*Tabla1[[#This Row],[PRECIO $]]*1.18</f>
        <v>49.687439999999995</v>
      </c>
      <c r="J1001" s="7">
        <f>+Tabla1[[#This Row],[PRECIO EN SOLES]]-Tabla1[[#This Row],[PC]]</f>
        <v>15.422560000000004</v>
      </c>
      <c r="K1001" s="15"/>
      <c r="L1001" s="15" t="str">
        <f t="shared" si="32"/>
        <v>COMPLEMENTO</v>
      </c>
    </row>
    <row r="1002" spans="1:12" x14ac:dyDescent="0.25">
      <c r="A1002" s="3" t="s">
        <v>6814</v>
      </c>
      <c r="B1002" s="3" t="s">
        <v>6815</v>
      </c>
      <c r="C1002" s="1">
        <v>20</v>
      </c>
      <c r="D1002" s="1">
        <v>2.5</v>
      </c>
      <c r="E1002" s="1" t="s">
        <v>52</v>
      </c>
      <c r="F1002" s="1" t="s">
        <v>6816</v>
      </c>
      <c r="G1002" s="3" t="s">
        <v>6817</v>
      </c>
      <c r="H1002" s="11">
        <f t="shared" si="33"/>
        <v>14.33</v>
      </c>
      <c r="I1002" s="9">
        <f>($K$2+0.02)*Tabla1[[#This Row],[PRECIO $]]*1.18</f>
        <v>10.265999999999998</v>
      </c>
      <c r="J1002" s="7">
        <f>+Tabla1[[#This Row],[PRECIO EN SOLES]]-Tabla1[[#This Row],[PC]]</f>
        <v>4.0640000000000018</v>
      </c>
      <c r="K1002" s="15"/>
      <c r="L1002" s="15" t="str">
        <f t="shared" si="32"/>
        <v>COMPLEMENTO</v>
      </c>
    </row>
    <row r="1003" spans="1:12" x14ac:dyDescent="0.25">
      <c r="A1003" s="3" t="s">
        <v>6348</v>
      </c>
      <c r="B1003" s="3" t="s">
        <v>6349</v>
      </c>
      <c r="C1003" s="1">
        <v>20</v>
      </c>
      <c r="D1003" s="1">
        <v>2.5</v>
      </c>
      <c r="E1003" s="1" t="s">
        <v>52</v>
      </c>
      <c r="F1003" s="1" t="s">
        <v>6350</v>
      </c>
      <c r="G1003" s="3" t="s">
        <v>6351</v>
      </c>
      <c r="H1003" s="11">
        <f t="shared" si="33"/>
        <v>14.33</v>
      </c>
      <c r="I1003" s="9">
        <f>($K$2+0.02)*Tabla1[[#This Row],[PRECIO $]]*1.18</f>
        <v>10.265999999999998</v>
      </c>
      <c r="J1003" s="7">
        <f>+Tabla1[[#This Row],[PRECIO EN SOLES]]-Tabla1[[#This Row],[PC]]</f>
        <v>4.0640000000000018</v>
      </c>
      <c r="K1003" s="15"/>
      <c r="L1003" s="15" t="str">
        <f t="shared" si="32"/>
        <v>COMPLEMENTO</v>
      </c>
    </row>
    <row r="1004" spans="1:12" x14ac:dyDescent="0.25">
      <c r="A1004" s="3" t="s">
        <v>6604</v>
      </c>
      <c r="B1004" s="3" t="s">
        <v>6605</v>
      </c>
      <c r="C1004" s="1">
        <v>20</v>
      </c>
      <c r="D1004" s="1">
        <v>2.5</v>
      </c>
      <c r="E1004" s="1" t="s">
        <v>52</v>
      </c>
      <c r="F1004" s="1" t="s">
        <v>6606</v>
      </c>
      <c r="G1004" s="3" t="s">
        <v>6607</v>
      </c>
      <c r="H1004" s="11">
        <f t="shared" si="33"/>
        <v>14.33</v>
      </c>
      <c r="I1004" s="9">
        <f>($K$2+0.02)*Tabla1[[#This Row],[PRECIO $]]*1.18</f>
        <v>10.265999999999998</v>
      </c>
      <c r="J1004" s="7">
        <f>+Tabla1[[#This Row],[PRECIO EN SOLES]]-Tabla1[[#This Row],[PC]]</f>
        <v>4.0640000000000018</v>
      </c>
      <c r="K1004" s="15"/>
      <c r="L1004" s="15" t="str">
        <f t="shared" si="32"/>
        <v>COMPLEMENTO</v>
      </c>
    </row>
    <row r="1005" spans="1:12" x14ac:dyDescent="0.25">
      <c r="A1005" s="3" t="s">
        <v>343</v>
      </c>
      <c r="B1005" s="3" t="s">
        <v>344</v>
      </c>
      <c r="C1005" s="1">
        <v>20</v>
      </c>
      <c r="D1005" s="1">
        <v>2.5</v>
      </c>
      <c r="E1005" s="1" t="s">
        <v>52</v>
      </c>
      <c r="F1005" s="1" t="s">
        <v>3640</v>
      </c>
      <c r="G1005" s="3" t="s">
        <v>677</v>
      </c>
      <c r="H1005" s="11">
        <f t="shared" si="33"/>
        <v>14.33</v>
      </c>
      <c r="I1005" s="9">
        <f>($K$2+0.02)*Tabla1[[#This Row],[PRECIO $]]*1.18</f>
        <v>10.265999999999998</v>
      </c>
      <c r="J1005" s="7">
        <f>+Tabla1[[#This Row],[PRECIO EN SOLES]]-Tabla1[[#This Row],[PC]]</f>
        <v>4.0640000000000018</v>
      </c>
      <c r="K1005" s="15"/>
      <c r="L1005" s="15" t="str">
        <f t="shared" si="32"/>
        <v>COMPLEMENTO</v>
      </c>
    </row>
    <row r="1006" spans="1:12" x14ac:dyDescent="0.25">
      <c r="A1006" s="3" t="s">
        <v>345</v>
      </c>
      <c r="B1006" s="3" t="s">
        <v>346</v>
      </c>
      <c r="C1006" s="1">
        <v>20</v>
      </c>
      <c r="D1006" s="1">
        <v>2.5</v>
      </c>
      <c r="E1006" s="1" t="s">
        <v>52</v>
      </c>
      <c r="F1006" s="1" t="s">
        <v>3641</v>
      </c>
      <c r="G1006" s="3" t="s">
        <v>347</v>
      </c>
      <c r="H1006" s="11">
        <f t="shared" si="33"/>
        <v>14.33</v>
      </c>
      <c r="I1006" s="9">
        <f>($K$2+0.02)*Tabla1[[#This Row],[PRECIO $]]*1.18</f>
        <v>10.265999999999998</v>
      </c>
      <c r="J1006" s="7">
        <f>+Tabla1[[#This Row],[PRECIO EN SOLES]]-Tabla1[[#This Row],[PC]]</f>
        <v>4.0640000000000018</v>
      </c>
      <c r="K1006" s="15"/>
      <c r="L1006" s="15" t="str">
        <f t="shared" si="32"/>
        <v>COMPLEMENTO</v>
      </c>
    </row>
    <row r="1007" spans="1:12" x14ac:dyDescent="0.25">
      <c r="A1007" s="3" t="s">
        <v>1741</v>
      </c>
      <c r="B1007" s="3" t="s">
        <v>1742</v>
      </c>
      <c r="C1007" s="1">
        <v>20</v>
      </c>
      <c r="D1007" s="1">
        <v>12.3</v>
      </c>
      <c r="E1007" s="1" t="s">
        <v>837</v>
      </c>
      <c r="F1007" s="1" t="s">
        <v>3642</v>
      </c>
      <c r="G1007" s="3" t="s">
        <v>1743</v>
      </c>
      <c r="H1007" s="11">
        <f t="shared" si="33"/>
        <v>66.14</v>
      </c>
      <c r="I1007" s="9">
        <f>($K$2+0.02)*Tabla1[[#This Row],[PRECIO $]]*1.18</f>
        <v>50.508719999999997</v>
      </c>
      <c r="J1007" s="7">
        <f>+Tabla1[[#This Row],[PRECIO EN SOLES]]-Tabla1[[#This Row],[PC]]</f>
        <v>15.631280000000004</v>
      </c>
      <c r="K1007" s="15"/>
      <c r="L1007" s="15" t="str">
        <f t="shared" si="32"/>
        <v>NORMAL</v>
      </c>
    </row>
    <row r="1008" spans="1:12" x14ac:dyDescent="0.25">
      <c r="A1008" s="3" t="s">
        <v>4517</v>
      </c>
      <c r="B1008" s="3" t="s">
        <v>4518</v>
      </c>
      <c r="C1008" s="1">
        <v>20</v>
      </c>
      <c r="D1008" s="1">
        <v>1.3</v>
      </c>
      <c r="E1008" s="1" t="s">
        <v>52</v>
      </c>
      <c r="F1008" s="1" t="s">
        <v>4519</v>
      </c>
      <c r="G1008" s="3" t="s">
        <v>4520</v>
      </c>
      <c r="H1008" s="11">
        <f t="shared" si="33"/>
        <v>8.17</v>
      </c>
      <c r="I1008" s="9">
        <f>($K$2+0.02)*Tabla1[[#This Row],[PRECIO $]]*1.18</f>
        <v>5.3383199999999995</v>
      </c>
      <c r="J1008" s="7">
        <f>+Tabla1[[#This Row],[PRECIO EN SOLES]]-Tabla1[[#This Row],[PC]]</f>
        <v>2.8316800000000004</v>
      </c>
      <c r="K1008" s="15"/>
      <c r="L1008" s="15" t="str">
        <f t="shared" si="32"/>
        <v>COMPLEMENTO</v>
      </c>
    </row>
    <row r="1009" spans="1:12" x14ac:dyDescent="0.25">
      <c r="A1009" s="3" t="s">
        <v>348</v>
      </c>
      <c r="B1009" s="3" t="s">
        <v>349</v>
      </c>
      <c r="C1009" s="1">
        <v>0</v>
      </c>
      <c r="D1009" s="1">
        <v>1072.6199999999999</v>
      </c>
      <c r="E1009" s="1" t="s">
        <v>249</v>
      </c>
      <c r="F1009" s="1" t="s">
        <v>3643</v>
      </c>
      <c r="G1009" s="3"/>
      <c r="H1009" s="11">
        <f t="shared" si="33"/>
        <v>5073.3</v>
      </c>
      <c r="I1009" s="9">
        <f>($K$2+0.02)*Tabla1[[#This Row],[PRECIO $]]*1.18</f>
        <v>4404.6067679999987</v>
      </c>
      <c r="J1009" s="7">
        <f>+Tabla1[[#This Row],[PRECIO EN SOLES]]-Tabla1[[#This Row],[PC]]</f>
        <v>668.69323200000144</v>
      </c>
      <c r="K1009" s="15"/>
      <c r="L1009" s="15" t="str">
        <f t="shared" si="32"/>
        <v>NORMAL</v>
      </c>
    </row>
    <row r="1010" spans="1:12" x14ac:dyDescent="0.25">
      <c r="A1010" s="3" t="s">
        <v>744</v>
      </c>
      <c r="B1010" s="3" t="s">
        <v>745</v>
      </c>
      <c r="C1010" s="1">
        <v>0</v>
      </c>
      <c r="D1010" s="1">
        <v>633.1</v>
      </c>
      <c r="E1010" s="1" t="s">
        <v>249</v>
      </c>
      <c r="F1010" s="1" t="s">
        <v>3644</v>
      </c>
      <c r="G1010" s="3"/>
      <c r="H1010" s="11">
        <f t="shared" si="33"/>
        <v>3254.7</v>
      </c>
      <c r="I1010" s="9">
        <f>($K$2+0.02)*Tabla1[[#This Row],[PRECIO $]]*1.18</f>
        <v>2599.7618400000001</v>
      </c>
      <c r="J1010" s="7">
        <f>+Tabla1[[#This Row],[PRECIO EN SOLES]]-Tabla1[[#This Row],[PC]]</f>
        <v>654.9381599999997</v>
      </c>
      <c r="K1010" s="15"/>
      <c r="L1010" s="15" t="str">
        <f t="shared" si="32"/>
        <v>NORMAL</v>
      </c>
    </row>
    <row r="1011" spans="1:12" x14ac:dyDescent="0.25">
      <c r="A1011" s="3" t="s">
        <v>746</v>
      </c>
      <c r="B1011" s="3" t="s">
        <v>747</v>
      </c>
      <c r="C1011" s="1">
        <v>0</v>
      </c>
      <c r="D1011" s="1">
        <v>650</v>
      </c>
      <c r="E1011" s="1" t="s">
        <v>249</v>
      </c>
      <c r="F1011" s="1" t="s">
        <v>3645</v>
      </c>
      <c r="G1011" s="3"/>
      <c r="H1011" s="11">
        <f t="shared" si="33"/>
        <v>3077.53</v>
      </c>
      <c r="I1011" s="9">
        <f>($K$2+0.02)*Tabla1[[#This Row],[PRECIO $]]*1.18</f>
        <v>2669.16</v>
      </c>
      <c r="J1011" s="7">
        <f>+Tabla1[[#This Row],[PRECIO EN SOLES]]-Tabla1[[#This Row],[PC]]</f>
        <v>408.37000000000035</v>
      </c>
      <c r="K1011" s="15"/>
      <c r="L1011" s="15" t="str">
        <f t="shared" si="32"/>
        <v>NORMAL</v>
      </c>
    </row>
    <row r="1012" spans="1:12" x14ac:dyDescent="0.25">
      <c r="A1012" s="3" t="s">
        <v>748</v>
      </c>
      <c r="B1012" s="3" t="s">
        <v>749</v>
      </c>
      <c r="C1012" s="1">
        <v>0</v>
      </c>
      <c r="D1012" s="1">
        <v>316</v>
      </c>
      <c r="E1012" s="1" t="s">
        <v>249</v>
      </c>
      <c r="F1012" s="1" t="s">
        <v>3646</v>
      </c>
      <c r="G1012" s="3"/>
      <c r="H1012" s="11">
        <f t="shared" si="33"/>
        <v>1500.27</v>
      </c>
      <c r="I1012" s="9">
        <f>($K$2+0.02)*Tabla1[[#This Row],[PRECIO $]]*1.18</f>
        <v>1297.6224</v>
      </c>
      <c r="J1012" s="7">
        <f>+Tabla1[[#This Row],[PRECIO EN SOLES]]-Tabla1[[#This Row],[PC]]</f>
        <v>202.64760000000001</v>
      </c>
      <c r="K1012" s="15"/>
      <c r="L1012" s="15" t="str">
        <f t="shared" si="32"/>
        <v>NORMAL</v>
      </c>
    </row>
    <row r="1013" spans="1:12" x14ac:dyDescent="0.25">
      <c r="A1013" s="3" t="s">
        <v>350</v>
      </c>
      <c r="B1013" s="3" t="s">
        <v>351</v>
      </c>
      <c r="C1013" s="1">
        <v>0</v>
      </c>
      <c r="D1013" s="1">
        <v>194.66</v>
      </c>
      <c r="E1013" s="1" t="s">
        <v>249</v>
      </c>
      <c r="F1013" s="1" t="s">
        <v>3647</v>
      </c>
      <c r="G1013" s="3"/>
      <c r="H1013" s="11">
        <f t="shared" si="33"/>
        <v>927.25</v>
      </c>
      <c r="I1013" s="9">
        <f>($K$2+0.02)*Tabla1[[#This Row],[PRECIO $]]*1.18</f>
        <v>799.35182399999997</v>
      </c>
      <c r="J1013" s="7">
        <f>+Tabla1[[#This Row],[PRECIO EN SOLES]]-Tabla1[[#This Row],[PC]]</f>
        <v>127.89817600000003</v>
      </c>
      <c r="K1013" s="15"/>
      <c r="L1013" s="15" t="str">
        <f t="shared" si="32"/>
        <v>NORMAL</v>
      </c>
    </row>
    <row r="1014" spans="1:12" x14ac:dyDescent="0.25">
      <c r="A1014" s="3" t="s">
        <v>5677</v>
      </c>
      <c r="B1014" s="3" t="s">
        <v>351</v>
      </c>
      <c r="C1014" s="1">
        <v>0</v>
      </c>
      <c r="D1014" s="1">
        <v>182.99</v>
      </c>
      <c r="E1014" s="1" t="s">
        <v>249</v>
      </c>
      <c r="F1014" s="1" t="s">
        <v>5678</v>
      </c>
      <c r="G1014" s="3"/>
      <c r="H1014" s="11">
        <f t="shared" si="33"/>
        <v>872.14</v>
      </c>
      <c r="I1014" s="9">
        <f>($K$2+0.02)*Tabla1[[#This Row],[PRECIO $]]*1.18</f>
        <v>751.43013599999995</v>
      </c>
      <c r="J1014" s="7">
        <f>+Tabla1[[#This Row],[PRECIO EN SOLES]]-Tabla1[[#This Row],[PC]]</f>
        <v>120.70986400000004</v>
      </c>
      <c r="K1014" s="15"/>
      <c r="L1014" s="15" t="str">
        <f t="shared" si="32"/>
        <v>NORMAL</v>
      </c>
    </row>
    <row r="1015" spans="1:12" x14ac:dyDescent="0.25">
      <c r="A1015" s="3" t="s">
        <v>750</v>
      </c>
      <c r="B1015" s="3" t="s">
        <v>751</v>
      </c>
      <c r="C1015" s="1">
        <v>0</v>
      </c>
      <c r="D1015" s="1">
        <v>107.1</v>
      </c>
      <c r="E1015" s="1" t="s">
        <v>249</v>
      </c>
      <c r="F1015" s="1" t="s">
        <v>3648</v>
      </c>
      <c r="G1015" s="3"/>
      <c r="H1015" s="11">
        <f t="shared" si="33"/>
        <v>513.76</v>
      </c>
      <c r="I1015" s="9">
        <f>($K$2+0.02)*Tabla1[[#This Row],[PRECIO $]]*1.18</f>
        <v>439.79543999999993</v>
      </c>
      <c r="J1015" s="7">
        <f>+Tabla1[[#This Row],[PRECIO EN SOLES]]-Tabla1[[#This Row],[PC]]</f>
        <v>73.964560000000063</v>
      </c>
      <c r="K1015" s="15"/>
      <c r="L1015" s="15" t="str">
        <f t="shared" si="32"/>
        <v>NORMAL</v>
      </c>
    </row>
    <row r="1016" spans="1:12" x14ac:dyDescent="0.25">
      <c r="A1016" s="3" t="s">
        <v>752</v>
      </c>
      <c r="B1016" s="3" t="s">
        <v>753</v>
      </c>
      <c r="C1016" s="1">
        <v>0</v>
      </c>
      <c r="D1016" s="1">
        <v>70.099999999999994</v>
      </c>
      <c r="E1016" s="1" t="s">
        <v>249</v>
      </c>
      <c r="F1016" s="1" t="s">
        <v>3649</v>
      </c>
      <c r="G1016" s="3" t="s">
        <v>754</v>
      </c>
      <c r="H1016" s="11">
        <f t="shared" si="33"/>
        <v>339.04</v>
      </c>
      <c r="I1016" s="9">
        <f>($K$2+0.02)*Tabla1[[#This Row],[PRECIO $]]*1.18</f>
        <v>287.85863999999998</v>
      </c>
      <c r="J1016" s="7">
        <f>+Tabla1[[#This Row],[PRECIO EN SOLES]]-Tabla1[[#This Row],[PC]]</f>
        <v>51.181360000000041</v>
      </c>
      <c r="K1016" s="15"/>
      <c r="L1016" s="15" t="str">
        <f t="shared" si="32"/>
        <v>NORMAL</v>
      </c>
    </row>
    <row r="1017" spans="1:12" x14ac:dyDescent="0.25">
      <c r="A1017" s="3" t="s">
        <v>5679</v>
      </c>
      <c r="B1017" s="3" t="s">
        <v>753</v>
      </c>
      <c r="C1017" s="1">
        <v>5</v>
      </c>
      <c r="D1017" s="1">
        <v>71.2</v>
      </c>
      <c r="E1017" s="1" t="s">
        <v>249</v>
      </c>
      <c r="F1017" s="1" t="s">
        <v>5680</v>
      </c>
      <c r="G1017" s="3"/>
      <c r="H1017" s="11">
        <f t="shared" si="33"/>
        <v>344.23</v>
      </c>
      <c r="I1017" s="9">
        <f>($K$2+0.02)*Tabla1[[#This Row],[PRECIO $]]*1.18</f>
        <v>292.37567999999999</v>
      </c>
      <c r="J1017" s="7">
        <f>+Tabla1[[#This Row],[PRECIO EN SOLES]]-Tabla1[[#This Row],[PC]]</f>
        <v>51.85432000000003</v>
      </c>
      <c r="K1017" s="15"/>
      <c r="L1017" s="15" t="str">
        <f t="shared" si="32"/>
        <v>NORMAL</v>
      </c>
    </row>
    <row r="1018" spans="1:12" x14ac:dyDescent="0.25">
      <c r="A1018" s="3" t="s">
        <v>352</v>
      </c>
      <c r="B1018" s="3" t="s">
        <v>353</v>
      </c>
      <c r="C1018" s="1">
        <v>0</v>
      </c>
      <c r="D1018" s="1">
        <v>56.9</v>
      </c>
      <c r="E1018" s="1" t="s">
        <v>249</v>
      </c>
      <c r="F1018" s="1" t="s">
        <v>3650</v>
      </c>
      <c r="G1018" s="3" t="s">
        <v>354</v>
      </c>
      <c r="H1018" s="11">
        <f t="shared" si="33"/>
        <v>276.7</v>
      </c>
      <c r="I1018" s="9">
        <f>($K$2+0.02)*Tabla1[[#This Row],[PRECIO $]]*1.18</f>
        <v>233.65415999999999</v>
      </c>
      <c r="J1018" s="7">
        <f>+Tabla1[[#This Row],[PRECIO EN SOLES]]-Tabla1[[#This Row],[PC]]</f>
        <v>43.045839999999998</v>
      </c>
      <c r="K1018" s="15"/>
      <c r="L1018" s="15" t="str">
        <f t="shared" si="32"/>
        <v>NORMAL</v>
      </c>
    </row>
    <row r="1019" spans="1:12" x14ac:dyDescent="0.25">
      <c r="A1019" s="3" t="s">
        <v>5681</v>
      </c>
      <c r="B1019" s="3" t="s">
        <v>353</v>
      </c>
      <c r="C1019" s="1">
        <v>1</v>
      </c>
      <c r="D1019" s="1">
        <v>57.69</v>
      </c>
      <c r="E1019" s="1" t="s">
        <v>249</v>
      </c>
      <c r="F1019" s="1" t="s">
        <v>5682</v>
      </c>
      <c r="G1019" s="3"/>
      <c r="H1019" s="11">
        <f t="shared" si="33"/>
        <v>280.43</v>
      </c>
      <c r="I1019" s="9">
        <f>($K$2+0.02)*Tabla1[[#This Row],[PRECIO $]]*1.18</f>
        <v>236.89821599999999</v>
      </c>
      <c r="J1019" s="7">
        <f>+Tabla1[[#This Row],[PRECIO EN SOLES]]-Tabla1[[#This Row],[PC]]</f>
        <v>43.531784000000016</v>
      </c>
      <c r="K1019" s="15"/>
      <c r="L1019" s="15" t="str">
        <f t="shared" si="32"/>
        <v>NORMAL</v>
      </c>
    </row>
    <row r="1020" spans="1:12" x14ac:dyDescent="0.25">
      <c r="A1020" s="3" t="s">
        <v>355</v>
      </c>
      <c r="B1020" s="3" t="s">
        <v>356</v>
      </c>
      <c r="C1020" s="1">
        <v>0</v>
      </c>
      <c r="D1020" s="1">
        <v>125.65</v>
      </c>
      <c r="E1020" s="1" t="s">
        <v>249</v>
      </c>
      <c r="F1020" s="1" t="s">
        <v>3651</v>
      </c>
      <c r="G1020" s="3" t="s">
        <v>357</v>
      </c>
      <c r="H1020" s="11">
        <f t="shared" si="33"/>
        <v>601.36</v>
      </c>
      <c r="I1020" s="9">
        <f>($K$2+0.02)*Tabla1[[#This Row],[PRECIO $]]*1.18</f>
        <v>515.96915999999999</v>
      </c>
      <c r="J1020" s="7">
        <f>+Tabla1[[#This Row],[PRECIO EN SOLES]]-Tabla1[[#This Row],[PC]]</f>
        <v>85.390840000000026</v>
      </c>
      <c r="K1020" s="15"/>
      <c r="L1020" s="15" t="str">
        <f t="shared" si="32"/>
        <v>NORMAL</v>
      </c>
    </row>
    <row r="1021" spans="1:12" x14ac:dyDescent="0.25">
      <c r="A1021" s="3" t="s">
        <v>6550</v>
      </c>
      <c r="B1021" s="3" t="s">
        <v>356</v>
      </c>
      <c r="C1021" s="1">
        <v>20</v>
      </c>
      <c r="D1021" s="1">
        <v>113.68</v>
      </c>
      <c r="E1021" s="1" t="s">
        <v>249</v>
      </c>
      <c r="F1021" s="1" t="s">
        <v>6551</v>
      </c>
      <c r="G1021" s="3"/>
      <c r="H1021" s="11">
        <f t="shared" si="33"/>
        <v>544.84</v>
      </c>
      <c r="I1021" s="9">
        <f>($K$2+0.02)*Tabla1[[#This Row],[PRECIO $]]*1.18</f>
        <v>466.81555199999997</v>
      </c>
      <c r="J1021" s="7">
        <f>+Tabla1[[#This Row],[PRECIO EN SOLES]]-Tabla1[[#This Row],[PC]]</f>
        <v>78.024448000000064</v>
      </c>
      <c r="K1021" s="15"/>
      <c r="L1021" s="15" t="str">
        <f t="shared" si="32"/>
        <v>NORMAL</v>
      </c>
    </row>
    <row r="1022" spans="1:12" x14ac:dyDescent="0.25">
      <c r="A1022" s="3" t="s">
        <v>755</v>
      </c>
      <c r="B1022" s="3" t="s">
        <v>756</v>
      </c>
      <c r="C1022" s="1">
        <v>0</v>
      </c>
      <c r="D1022" s="1">
        <v>82.93</v>
      </c>
      <c r="E1022" s="1" t="s">
        <v>249</v>
      </c>
      <c r="F1022" s="1" t="s">
        <v>3652</v>
      </c>
      <c r="G1022" s="3" t="s">
        <v>757</v>
      </c>
      <c r="H1022" s="11">
        <f t="shared" si="33"/>
        <v>399.63</v>
      </c>
      <c r="I1022" s="9">
        <f>($K$2+0.02)*Tabla1[[#This Row],[PRECIO $]]*1.18</f>
        <v>340.54375199999998</v>
      </c>
      <c r="J1022" s="7">
        <f>+Tabla1[[#This Row],[PRECIO EN SOLES]]-Tabla1[[#This Row],[PC]]</f>
        <v>59.086248000000012</v>
      </c>
      <c r="K1022" s="15"/>
      <c r="L1022" s="15" t="str">
        <f t="shared" si="32"/>
        <v>NORMAL</v>
      </c>
    </row>
    <row r="1023" spans="1:12" x14ac:dyDescent="0.25">
      <c r="A1023" s="3" t="s">
        <v>5683</v>
      </c>
      <c r="B1023" s="3" t="s">
        <v>756</v>
      </c>
      <c r="C1023" s="1">
        <v>20</v>
      </c>
      <c r="D1023" s="1">
        <v>70</v>
      </c>
      <c r="E1023" s="1" t="s">
        <v>249</v>
      </c>
      <c r="F1023" s="1" t="s">
        <v>5684</v>
      </c>
      <c r="G1023" s="3"/>
      <c r="H1023" s="11">
        <f t="shared" si="33"/>
        <v>338.57</v>
      </c>
      <c r="I1023" s="9">
        <f>($K$2+0.02)*Tabla1[[#This Row],[PRECIO $]]*1.18</f>
        <v>287.44799999999998</v>
      </c>
      <c r="J1023" s="7">
        <f>+Tabla1[[#This Row],[PRECIO EN SOLES]]-Tabla1[[#This Row],[PC]]</f>
        <v>51.122000000000014</v>
      </c>
      <c r="K1023" s="15"/>
      <c r="L1023" s="15" t="str">
        <f t="shared" si="32"/>
        <v>NORMAL</v>
      </c>
    </row>
    <row r="1024" spans="1:12" x14ac:dyDescent="0.25">
      <c r="A1024" s="3" t="s">
        <v>758</v>
      </c>
      <c r="B1024" s="3" t="s">
        <v>759</v>
      </c>
      <c r="C1024" s="1">
        <v>0</v>
      </c>
      <c r="D1024" s="1">
        <v>185.44</v>
      </c>
      <c r="E1024" s="1" t="s">
        <v>249</v>
      </c>
      <c r="F1024" s="1" t="s">
        <v>3653</v>
      </c>
      <c r="G1024" s="3" t="s">
        <v>760</v>
      </c>
      <c r="H1024" s="11">
        <f t="shared" si="33"/>
        <v>883.71</v>
      </c>
      <c r="I1024" s="9">
        <f>($K$2+0.02)*Tabla1[[#This Row],[PRECIO $]]*1.18</f>
        <v>761.49081599999988</v>
      </c>
      <c r="J1024" s="7">
        <f>+Tabla1[[#This Row],[PRECIO EN SOLES]]-Tabla1[[#This Row],[PC]]</f>
        <v>122.21918400000015</v>
      </c>
      <c r="K1024" s="15"/>
      <c r="L1024" s="15" t="str">
        <f t="shared" si="32"/>
        <v>NORMAL</v>
      </c>
    </row>
    <row r="1025" spans="1:12" x14ac:dyDescent="0.25">
      <c r="A1025" s="3" t="s">
        <v>6552</v>
      </c>
      <c r="B1025" s="3" t="s">
        <v>759</v>
      </c>
      <c r="C1025" s="1">
        <v>5</v>
      </c>
      <c r="D1025" s="1">
        <v>187</v>
      </c>
      <c r="E1025" s="1" t="s">
        <v>249</v>
      </c>
      <c r="F1025" s="1" t="s">
        <v>6553</v>
      </c>
      <c r="G1025" s="3"/>
      <c r="H1025" s="11">
        <f t="shared" si="33"/>
        <v>891.08</v>
      </c>
      <c r="I1025" s="9">
        <f>($K$2+0.02)*Tabla1[[#This Row],[PRECIO $]]*1.18</f>
        <v>767.89679999999998</v>
      </c>
      <c r="J1025" s="7">
        <f>+Tabla1[[#This Row],[PRECIO EN SOLES]]-Tabla1[[#This Row],[PC]]</f>
        <v>123.18320000000006</v>
      </c>
      <c r="K1025" s="15"/>
      <c r="L1025" s="15" t="str">
        <f t="shared" si="32"/>
        <v>NORMAL</v>
      </c>
    </row>
    <row r="1026" spans="1:12" x14ac:dyDescent="0.25">
      <c r="A1026" s="3" t="s">
        <v>761</v>
      </c>
      <c r="B1026" s="3" t="s">
        <v>762</v>
      </c>
      <c r="C1026" s="1">
        <v>0</v>
      </c>
      <c r="D1026" s="1">
        <v>121.47</v>
      </c>
      <c r="E1026" s="1" t="s">
        <v>249</v>
      </c>
      <c r="F1026" s="1" t="s">
        <v>3654</v>
      </c>
      <c r="G1026" s="3" t="s">
        <v>763</v>
      </c>
      <c r="H1026" s="11">
        <f t="shared" si="33"/>
        <v>581.63</v>
      </c>
      <c r="I1026" s="9">
        <f>($K$2+0.02)*Tabla1[[#This Row],[PRECIO $]]*1.18</f>
        <v>498.80440799999997</v>
      </c>
      <c r="J1026" s="7">
        <f>+Tabla1[[#This Row],[PRECIO EN SOLES]]-Tabla1[[#This Row],[PC]]</f>
        <v>82.825592000000029</v>
      </c>
      <c r="K1026" s="15"/>
      <c r="L1026" s="15" t="str">
        <f t="shared" si="32"/>
        <v>NORMAL</v>
      </c>
    </row>
    <row r="1027" spans="1:12" x14ac:dyDescent="0.25">
      <c r="A1027" s="3" t="s">
        <v>1744</v>
      </c>
      <c r="B1027" s="3" t="s">
        <v>1745</v>
      </c>
      <c r="C1027" s="1">
        <v>10</v>
      </c>
      <c r="D1027" s="1">
        <v>500</v>
      </c>
      <c r="E1027" s="1" t="s">
        <v>249</v>
      </c>
      <c r="F1027" s="1" t="s">
        <v>3655</v>
      </c>
      <c r="G1027" s="3" t="s">
        <v>1746</v>
      </c>
      <c r="H1027" s="11">
        <f t="shared" si="33"/>
        <v>2369.1799999999998</v>
      </c>
      <c r="I1027" s="9">
        <f>($K$2+0.02)*Tabla1[[#This Row],[PRECIO $]]*1.18</f>
        <v>2053.1999999999998</v>
      </c>
      <c r="J1027" s="7">
        <f>+Tabla1[[#This Row],[PRECIO EN SOLES]]-Tabla1[[#This Row],[PC]]</f>
        <v>315.98</v>
      </c>
      <c r="K1027" s="15"/>
      <c r="L1027" s="15" t="str">
        <f t="shared" si="32"/>
        <v>NORMAL</v>
      </c>
    </row>
    <row r="1028" spans="1:12" x14ac:dyDescent="0.25">
      <c r="A1028" s="3" t="s">
        <v>1747</v>
      </c>
      <c r="B1028" s="3" t="s">
        <v>1748</v>
      </c>
      <c r="C1028" s="1">
        <v>1</v>
      </c>
      <c r="D1028" s="1">
        <v>3198</v>
      </c>
      <c r="E1028" s="1" t="s">
        <v>249</v>
      </c>
      <c r="F1028" s="1" t="s">
        <v>3656</v>
      </c>
      <c r="G1028" s="3" t="s">
        <v>1749</v>
      </c>
      <c r="H1028" s="11">
        <f t="shared" si="33"/>
        <v>15110.11</v>
      </c>
      <c r="I1028" s="9">
        <f>($K$2+0.02)*Tabla1[[#This Row],[PRECIO $]]*1.18</f>
        <v>13132.267199999998</v>
      </c>
      <c r="J1028" s="7">
        <f>+Tabla1[[#This Row],[PRECIO EN SOLES]]-Tabla1[[#This Row],[PC]]</f>
        <v>1977.8428000000022</v>
      </c>
      <c r="K1028" s="15"/>
      <c r="L1028" s="15" t="str">
        <f t="shared" si="32"/>
        <v>NORMAL</v>
      </c>
    </row>
    <row r="1029" spans="1:12" x14ac:dyDescent="0.25">
      <c r="A1029" s="3" t="s">
        <v>1750</v>
      </c>
      <c r="B1029" s="3" t="s">
        <v>1751</v>
      </c>
      <c r="C1029" s="1">
        <v>1</v>
      </c>
      <c r="D1029" s="1">
        <v>1039</v>
      </c>
      <c r="E1029" s="1" t="s">
        <v>249</v>
      </c>
      <c r="F1029" s="1" t="s">
        <v>3657</v>
      </c>
      <c r="G1029" s="3" t="s">
        <v>1752</v>
      </c>
      <c r="H1029" s="11">
        <f t="shared" si="33"/>
        <v>4914.53</v>
      </c>
      <c r="I1029" s="9">
        <f>($K$2+0.02)*Tabla1[[#This Row],[PRECIO $]]*1.18</f>
        <v>4266.5495999999994</v>
      </c>
      <c r="J1029" s="7">
        <f>+Tabla1[[#This Row],[PRECIO EN SOLES]]-Tabla1[[#This Row],[PC]]</f>
        <v>647.98040000000037</v>
      </c>
      <c r="K1029" s="15"/>
      <c r="L1029" s="15" t="str">
        <f t="shared" si="32"/>
        <v>NORMAL</v>
      </c>
    </row>
    <row r="1030" spans="1:12" x14ac:dyDescent="0.25">
      <c r="A1030" s="3" t="s">
        <v>1753</v>
      </c>
      <c r="B1030" s="3" t="s">
        <v>1754</v>
      </c>
      <c r="C1030" s="1">
        <v>20</v>
      </c>
      <c r="D1030" s="1">
        <v>33.4</v>
      </c>
      <c r="E1030" s="1" t="s">
        <v>249</v>
      </c>
      <c r="F1030" s="1" t="s">
        <v>3658</v>
      </c>
      <c r="G1030" s="3" t="s">
        <v>1755</v>
      </c>
      <c r="H1030" s="11">
        <f t="shared" si="33"/>
        <v>163.72999999999999</v>
      </c>
      <c r="I1030" s="9">
        <f>($K$2+0.02)*Tabla1[[#This Row],[PRECIO $]]*1.18</f>
        <v>137.15376000000001</v>
      </c>
      <c r="J1030" s="7">
        <f>+Tabla1[[#This Row],[PRECIO EN SOLES]]-Tabla1[[#This Row],[PC]]</f>
        <v>26.576239999999984</v>
      </c>
      <c r="K1030" s="15"/>
      <c r="L1030" s="15" t="str">
        <f t="shared" si="32"/>
        <v>NORMAL</v>
      </c>
    </row>
    <row r="1031" spans="1:12" x14ac:dyDescent="0.25">
      <c r="A1031" s="3" t="s">
        <v>1756</v>
      </c>
      <c r="B1031" s="3" t="s">
        <v>1757</v>
      </c>
      <c r="C1031" s="1">
        <v>0</v>
      </c>
      <c r="D1031" s="1">
        <v>9999999.9900000002</v>
      </c>
      <c r="E1031" s="1" t="s">
        <v>1758</v>
      </c>
      <c r="F1031" s="1" t="s">
        <v>3659</v>
      </c>
      <c r="G1031" s="3" t="s">
        <v>1759</v>
      </c>
      <c r="H1031" s="11">
        <f t="shared" si="33"/>
        <v>47223607.950000003</v>
      </c>
      <c r="I1031" s="9">
        <f>($K$2+0.02)*Tabla1[[#This Row],[PRECIO $]]*1.18</f>
        <v>41063999.958935998</v>
      </c>
      <c r="J1031" s="7">
        <f>+Tabla1[[#This Row],[PRECIO EN SOLES]]-Tabla1[[#This Row],[PC]]</f>
        <v>6159607.9910640046</v>
      </c>
      <c r="K1031" s="15"/>
      <c r="L1031" s="15" t="str">
        <f t="shared" si="32"/>
        <v>NORMAL</v>
      </c>
    </row>
    <row r="1032" spans="1:12" x14ac:dyDescent="0.25">
      <c r="A1032" s="3" t="s">
        <v>1760</v>
      </c>
      <c r="B1032" s="3" t="s">
        <v>1761</v>
      </c>
      <c r="C1032" s="1">
        <v>0</v>
      </c>
      <c r="D1032" s="1">
        <v>999</v>
      </c>
      <c r="E1032" s="1" t="s">
        <v>249</v>
      </c>
      <c r="F1032" s="1" t="s">
        <v>3660</v>
      </c>
      <c r="G1032" s="3" t="s">
        <v>1762</v>
      </c>
      <c r="H1032" s="11">
        <f t="shared" si="33"/>
        <v>4725.6400000000003</v>
      </c>
      <c r="I1032" s="9">
        <f>($K$2+0.02)*Tabla1[[#This Row],[PRECIO $]]*1.18</f>
        <v>4102.2936</v>
      </c>
      <c r="J1032" s="7">
        <f>+Tabla1[[#This Row],[PRECIO EN SOLES]]-Tabla1[[#This Row],[PC]]</f>
        <v>623.34640000000036</v>
      </c>
      <c r="K1032" s="15"/>
      <c r="L1032" s="15" t="str">
        <f t="shared" si="32"/>
        <v>NORMAL</v>
      </c>
    </row>
    <row r="1033" spans="1:12" x14ac:dyDescent="0.25">
      <c r="A1033" s="3" t="s">
        <v>6818</v>
      </c>
      <c r="B1033" s="3" t="s">
        <v>6819</v>
      </c>
      <c r="C1033" s="1">
        <v>0</v>
      </c>
      <c r="D1033" s="1">
        <v>9999999.9900000002</v>
      </c>
      <c r="E1033" s="1" t="s">
        <v>6820</v>
      </c>
      <c r="F1033" s="1" t="s">
        <v>6821</v>
      </c>
      <c r="G1033" s="3"/>
      <c r="H1033" s="11">
        <f t="shared" si="33"/>
        <v>47223607.950000003</v>
      </c>
      <c r="I1033" s="9">
        <f>($K$2+0.02)*Tabla1[[#This Row],[PRECIO $]]*1.18</f>
        <v>41063999.958935998</v>
      </c>
      <c r="J1033" s="7">
        <f>+Tabla1[[#This Row],[PRECIO EN SOLES]]-Tabla1[[#This Row],[PC]]</f>
        <v>6159607.9910640046</v>
      </c>
      <c r="K1033" s="15"/>
      <c r="L1033" s="15" t="str">
        <f t="shared" si="32"/>
        <v>NORMAL</v>
      </c>
    </row>
    <row r="1034" spans="1:12" x14ac:dyDescent="0.25">
      <c r="A1034" s="3" t="s">
        <v>1763</v>
      </c>
      <c r="B1034" s="3" t="s">
        <v>1764</v>
      </c>
      <c r="C1034" s="1">
        <v>20</v>
      </c>
      <c r="D1034" s="1">
        <v>148.19999999999999</v>
      </c>
      <c r="E1034" s="1" t="s">
        <v>54</v>
      </c>
      <c r="F1034" s="1" t="s">
        <v>3661</v>
      </c>
      <c r="G1034" s="3" t="s">
        <v>1765</v>
      </c>
      <c r="H1034" s="11">
        <f t="shared" si="33"/>
        <v>707.85</v>
      </c>
      <c r="I1034" s="9">
        <f>($K$2+0.02)*Tabla1[[#This Row],[PRECIO $]]*1.18</f>
        <v>608.56847999999991</v>
      </c>
      <c r="J1034" s="7">
        <f>+Tabla1[[#This Row],[PRECIO EN SOLES]]-Tabla1[[#This Row],[PC]]</f>
        <v>99.281520000000114</v>
      </c>
      <c r="K1034" s="15"/>
      <c r="L1034" s="15" t="str">
        <f t="shared" si="32"/>
        <v>NORMAL</v>
      </c>
    </row>
    <row r="1035" spans="1:12" x14ac:dyDescent="0.25">
      <c r="A1035" s="3" t="s">
        <v>358</v>
      </c>
      <c r="B1035" s="3" t="s">
        <v>359</v>
      </c>
      <c r="C1035" s="1">
        <v>20</v>
      </c>
      <c r="D1035" s="1">
        <v>139.5</v>
      </c>
      <c r="E1035" s="1" t="s">
        <v>249</v>
      </c>
      <c r="F1035" s="1" t="s">
        <v>3662</v>
      </c>
      <c r="G1035" s="3" t="s">
        <v>360</v>
      </c>
      <c r="H1035" s="11">
        <f t="shared" si="33"/>
        <v>666.77</v>
      </c>
      <c r="I1035" s="9">
        <f>($K$2+0.02)*Tabla1[[#This Row],[PRECIO $]]*1.18</f>
        <v>572.8427999999999</v>
      </c>
      <c r="J1035" s="7">
        <f>+Tabla1[[#This Row],[PRECIO EN SOLES]]-Tabla1[[#This Row],[PC]]</f>
        <v>93.927200000000084</v>
      </c>
      <c r="K1035" s="15"/>
      <c r="L1035" s="15" t="str">
        <f t="shared" si="32"/>
        <v>NORMAL</v>
      </c>
    </row>
    <row r="1036" spans="1:12" x14ac:dyDescent="0.25">
      <c r="A1036" s="3" t="s">
        <v>1766</v>
      </c>
      <c r="B1036" s="3" t="s">
        <v>1767</v>
      </c>
      <c r="C1036" s="1">
        <v>8</v>
      </c>
      <c r="D1036" s="1">
        <v>115</v>
      </c>
      <c r="E1036" s="1" t="s">
        <v>54</v>
      </c>
      <c r="F1036" s="1" t="s">
        <v>3663</v>
      </c>
      <c r="G1036" s="3" t="s">
        <v>1768</v>
      </c>
      <c r="H1036" s="11">
        <f t="shared" si="33"/>
        <v>551.07000000000005</v>
      </c>
      <c r="I1036" s="9">
        <f>($K$2+0.02)*Tabla1[[#This Row],[PRECIO $]]*1.18</f>
        <v>472.23599999999999</v>
      </c>
      <c r="J1036" s="7">
        <f>+Tabla1[[#This Row],[PRECIO EN SOLES]]-Tabla1[[#This Row],[PC]]</f>
        <v>78.83400000000006</v>
      </c>
      <c r="K1036" s="15"/>
      <c r="L1036" s="15" t="str">
        <f t="shared" si="32"/>
        <v>NORMAL</v>
      </c>
    </row>
    <row r="1037" spans="1:12" x14ac:dyDescent="0.25">
      <c r="A1037" s="3" t="s">
        <v>6822</v>
      </c>
      <c r="B1037" s="3" t="s">
        <v>6823</v>
      </c>
      <c r="C1037" s="1">
        <v>20</v>
      </c>
      <c r="D1037" s="1">
        <v>108.58</v>
      </c>
      <c r="E1037" s="1" t="s">
        <v>249</v>
      </c>
      <c r="F1037" s="1" t="s">
        <v>6824</v>
      </c>
      <c r="G1037" s="3" t="s">
        <v>6825</v>
      </c>
      <c r="H1037" s="11">
        <f t="shared" si="33"/>
        <v>520.75</v>
      </c>
      <c r="I1037" s="9">
        <f>($K$2+0.02)*Tabla1[[#This Row],[PRECIO $]]*1.18</f>
        <v>445.87291199999999</v>
      </c>
      <c r="J1037" s="7">
        <f>+Tabla1[[#This Row],[PRECIO EN SOLES]]-Tabla1[[#This Row],[PC]]</f>
        <v>74.877088000000015</v>
      </c>
      <c r="K1037" s="15"/>
      <c r="L1037" s="15" t="str">
        <f t="shared" si="32"/>
        <v>NORMAL</v>
      </c>
    </row>
    <row r="1038" spans="1:12" x14ac:dyDescent="0.25">
      <c r="A1038" s="3" t="s">
        <v>6826</v>
      </c>
      <c r="B1038" s="3" t="s">
        <v>6827</v>
      </c>
      <c r="C1038" s="1">
        <v>0</v>
      </c>
      <c r="D1038" s="1">
        <v>5836</v>
      </c>
      <c r="E1038" s="1" t="s">
        <v>249</v>
      </c>
      <c r="F1038" s="1" t="s">
        <v>6828</v>
      </c>
      <c r="G1038" s="3" t="s">
        <v>6829</v>
      </c>
      <c r="H1038" s="11">
        <f t="shared" si="33"/>
        <v>27567.69</v>
      </c>
      <c r="I1038" s="9">
        <f>($K$2+0.02)*Tabla1[[#This Row],[PRECIO $]]*1.18</f>
        <v>23964.950399999998</v>
      </c>
      <c r="J1038" s="7">
        <f>+Tabla1[[#This Row],[PRECIO EN SOLES]]-Tabla1[[#This Row],[PC]]</f>
        <v>3602.7396000000008</v>
      </c>
      <c r="K1038" s="15"/>
      <c r="L1038" s="15" t="str">
        <f t="shared" si="32"/>
        <v>NORMAL</v>
      </c>
    </row>
    <row r="1039" spans="1:12" x14ac:dyDescent="0.25">
      <c r="A1039" s="3" t="s">
        <v>6068</v>
      </c>
      <c r="B1039" s="3" t="s">
        <v>6069</v>
      </c>
      <c r="C1039" s="1">
        <v>5</v>
      </c>
      <c r="D1039" s="1">
        <v>929.79</v>
      </c>
      <c r="E1039" s="1" t="s">
        <v>249</v>
      </c>
      <c r="F1039" s="1" t="s">
        <v>6070</v>
      </c>
      <c r="G1039" s="3" t="s">
        <v>6071</v>
      </c>
      <c r="H1039" s="11">
        <f t="shared" si="33"/>
        <v>4398.8</v>
      </c>
      <c r="I1039" s="9">
        <f>($K$2+0.02)*Tabla1[[#This Row],[PRECIO $]]*1.18</f>
        <v>3818.0896559999996</v>
      </c>
      <c r="J1039" s="7">
        <f>+Tabla1[[#This Row],[PRECIO EN SOLES]]-Tabla1[[#This Row],[PC]]</f>
        <v>580.71034400000053</v>
      </c>
      <c r="K1039" s="15"/>
      <c r="L1039" s="15" t="str">
        <f t="shared" si="32"/>
        <v>NORMAL</v>
      </c>
    </row>
    <row r="1040" spans="1:12" x14ac:dyDescent="0.25">
      <c r="A1040" s="3" t="s">
        <v>361</v>
      </c>
      <c r="B1040" s="3" t="s">
        <v>362</v>
      </c>
      <c r="C1040" s="1">
        <v>20</v>
      </c>
      <c r="D1040" s="1">
        <v>38.299999999999997</v>
      </c>
      <c r="E1040" s="1" t="s">
        <v>249</v>
      </c>
      <c r="F1040" s="1" t="s">
        <v>3664</v>
      </c>
      <c r="G1040" s="3" t="s">
        <v>363</v>
      </c>
      <c r="H1040" s="11">
        <f t="shared" si="33"/>
        <v>188.87</v>
      </c>
      <c r="I1040" s="9">
        <f>($K$2+0.02)*Tabla1[[#This Row],[PRECIO $]]*1.18</f>
        <v>157.27511999999999</v>
      </c>
      <c r="J1040" s="7">
        <f>+Tabla1[[#This Row],[PRECIO EN SOLES]]-Tabla1[[#This Row],[PC]]</f>
        <v>31.594880000000018</v>
      </c>
      <c r="K1040" s="15"/>
      <c r="L1040" s="15" t="str">
        <f t="shared" ref="L1040:L1103" si="34"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NORMAL</v>
      </c>
    </row>
    <row r="1041" spans="1:12" x14ac:dyDescent="0.25">
      <c r="A1041" s="3" t="s">
        <v>364</v>
      </c>
      <c r="B1041" s="3" t="s">
        <v>365</v>
      </c>
      <c r="C1041" s="1">
        <v>20</v>
      </c>
      <c r="D1041" s="1">
        <v>47.18</v>
      </c>
      <c r="E1041" s="1" t="s">
        <v>249</v>
      </c>
      <c r="F1041" s="1" t="s">
        <v>3665</v>
      </c>
      <c r="G1041" s="3" t="s">
        <v>366</v>
      </c>
      <c r="H1041" s="11">
        <f t="shared" si="33"/>
        <v>230.8</v>
      </c>
      <c r="I1041" s="9">
        <f>($K$2+0.02)*Tabla1[[#This Row],[PRECIO $]]*1.18</f>
        <v>193.73995199999999</v>
      </c>
      <c r="J1041" s="7">
        <f>+Tabla1[[#This Row],[PRECIO EN SOLES]]-Tabla1[[#This Row],[PC]]</f>
        <v>37.060048000000023</v>
      </c>
      <c r="K1041" s="15"/>
      <c r="L1041" s="15" t="str">
        <f t="shared" si="34"/>
        <v>NORMAL</v>
      </c>
    </row>
    <row r="1042" spans="1:12" x14ac:dyDescent="0.25">
      <c r="A1042" s="3" t="s">
        <v>1769</v>
      </c>
      <c r="B1042" s="3" t="s">
        <v>1770</v>
      </c>
      <c r="C1042" s="1">
        <v>13</v>
      </c>
      <c r="D1042" s="1">
        <v>119.2</v>
      </c>
      <c r="E1042" s="1" t="s">
        <v>249</v>
      </c>
      <c r="F1042" s="1" t="s">
        <v>3666</v>
      </c>
      <c r="G1042" s="3" t="s">
        <v>1771</v>
      </c>
      <c r="H1042" s="11">
        <f t="shared" ref="H1042:H1105" si="35">ROUND(
IF(L1040="GANCHO",
   IF(I1042&lt;=50,I1042*1.1+4,IF(I1042&lt;=120,I1042*1.1+7,IF(I1042&lt;=250,I1042*1.1+11,I1042*1.1+19))),
IF(L1040="NORMAL",
   IF(I1042&lt;=30,I1042*1.15+2,IF(I1042&lt;=80,I1042*1.15+4,IF(I1042&lt;=150,I1042*1.15+6,I1042*1.15+8))),
IF(L1040="COMPLEMENTO",
   IF(I1042&lt;=25,I1042*1.25+1.5,IF(I1042&lt;=60,I1042*1.25+3,IF(I1042&lt;=120,I1042*1.25+4,I1042*1.25+5))),
""))),2)</f>
        <v>570.91</v>
      </c>
      <c r="I1042" s="9">
        <f>($K$2+0.02)*Tabla1[[#This Row],[PRECIO $]]*1.18</f>
        <v>489.48288000000002</v>
      </c>
      <c r="J1042" s="7">
        <f>+Tabla1[[#This Row],[PRECIO EN SOLES]]-Tabla1[[#This Row],[PC]]</f>
        <v>81.427119999999945</v>
      </c>
      <c r="K1042" s="15"/>
      <c r="L1042" s="15" t="str">
        <f t="shared" si="34"/>
        <v>NORMAL</v>
      </c>
    </row>
    <row r="1043" spans="1:12" x14ac:dyDescent="0.25">
      <c r="A1043" s="3" t="s">
        <v>1772</v>
      </c>
      <c r="B1043" s="3" t="s">
        <v>1773</v>
      </c>
      <c r="C1043" s="1">
        <v>1</v>
      </c>
      <c r="D1043" s="1">
        <v>10000</v>
      </c>
      <c r="E1043" s="1" t="s">
        <v>54</v>
      </c>
      <c r="F1043" s="1" t="s">
        <v>3667</v>
      </c>
      <c r="G1043" s="3"/>
      <c r="H1043" s="11">
        <f t="shared" si="35"/>
        <v>47231.6</v>
      </c>
      <c r="I1043" s="9">
        <f>($K$2+0.02)*Tabla1[[#This Row],[PRECIO $]]*1.18</f>
        <v>41064</v>
      </c>
      <c r="J1043" s="7">
        <f>+Tabla1[[#This Row],[PRECIO EN SOLES]]-Tabla1[[#This Row],[PC]]</f>
        <v>6167.5999999999985</v>
      </c>
      <c r="K1043" s="15"/>
      <c r="L1043" s="15" t="str">
        <f t="shared" si="34"/>
        <v>NORMAL</v>
      </c>
    </row>
    <row r="1044" spans="1:12" x14ac:dyDescent="0.25">
      <c r="A1044" s="3" t="s">
        <v>6830</v>
      </c>
      <c r="B1044" s="3" t="s">
        <v>6831</v>
      </c>
      <c r="C1044" s="1">
        <v>20</v>
      </c>
      <c r="D1044" s="1">
        <v>50</v>
      </c>
      <c r="E1044" s="1" t="s">
        <v>6718</v>
      </c>
      <c r="F1044" s="1" t="s">
        <v>6832</v>
      </c>
      <c r="G1044" s="3" t="s">
        <v>6833</v>
      </c>
      <c r="H1044" s="11">
        <f t="shared" si="35"/>
        <v>244.12</v>
      </c>
      <c r="I1044" s="9">
        <f>($K$2+0.02)*Tabla1[[#This Row],[PRECIO $]]*1.18</f>
        <v>205.32</v>
      </c>
      <c r="J1044" s="7">
        <f>+Tabla1[[#This Row],[PRECIO EN SOLES]]-Tabla1[[#This Row],[PC]]</f>
        <v>38.800000000000011</v>
      </c>
      <c r="K1044" s="15"/>
      <c r="L1044" s="15" t="str">
        <f t="shared" si="34"/>
        <v>GANCHO</v>
      </c>
    </row>
    <row r="1045" spans="1:12" x14ac:dyDescent="0.25">
      <c r="A1045" s="3" t="s">
        <v>6834</v>
      </c>
      <c r="B1045" s="3" t="s">
        <v>6835</v>
      </c>
      <c r="C1045" s="1">
        <v>19</v>
      </c>
      <c r="D1045" s="1">
        <v>84</v>
      </c>
      <c r="E1045" s="1" t="s">
        <v>6718</v>
      </c>
      <c r="F1045" s="1" t="s">
        <v>6836</v>
      </c>
      <c r="G1045" s="3" t="s">
        <v>6837</v>
      </c>
      <c r="H1045" s="11">
        <f t="shared" si="35"/>
        <v>404.68</v>
      </c>
      <c r="I1045" s="9">
        <f>($K$2+0.02)*Tabla1[[#This Row],[PRECIO $]]*1.18</f>
        <v>344.93759999999997</v>
      </c>
      <c r="J1045" s="7">
        <f>+Tabla1[[#This Row],[PRECIO EN SOLES]]-Tabla1[[#This Row],[PC]]</f>
        <v>59.742400000000032</v>
      </c>
      <c r="K1045" s="15"/>
      <c r="L1045" s="15" t="str">
        <f t="shared" si="34"/>
        <v>GANCHO</v>
      </c>
    </row>
    <row r="1046" spans="1:12" x14ac:dyDescent="0.25">
      <c r="A1046" s="3" t="s">
        <v>6352</v>
      </c>
      <c r="B1046" s="3" t="s">
        <v>6353</v>
      </c>
      <c r="C1046" s="1">
        <v>20</v>
      </c>
      <c r="D1046" s="1">
        <v>185</v>
      </c>
      <c r="E1046" s="1" t="s">
        <v>54</v>
      </c>
      <c r="F1046" s="1" t="s">
        <v>6554</v>
      </c>
      <c r="G1046" s="3" t="s">
        <v>6354</v>
      </c>
      <c r="H1046" s="11">
        <f t="shared" si="35"/>
        <v>854.65</v>
      </c>
      <c r="I1046" s="9">
        <f>($K$2+0.02)*Tabla1[[#This Row],[PRECIO $]]*1.18</f>
        <v>759.68399999999986</v>
      </c>
      <c r="J1046" s="7">
        <f>+Tabla1[[#This Row],[PRECIO EN SOLES]]-Tabla1[[#This Row],[PC]]</f>
        <v>94.966000000000122</v>
      </c>
      <c r="K1046" s="15"/>
      <c r="L1046" s="15" t="str">
        <f t="shared" si="34"/>
        <v>GANCHO</v>
      </c>
    </row>
    <row r="1047" spans="1:12" x14ac:dyDescent="0.25">
      <c r="A1047" s="3" t="s">
        <v>3059</v>
      </c>
      <c r="B1047" s="3" t="s">
        <v>3060</v>
      </c>
      <c r="C1047" s="1">
        <v>20</v>
      </c>
      <c r="D1047" s="1">
        <v>271</v>
      </c>
      <c r="E1047" s="1" t="s">
        <v>56</v>
      </c>
      <c r="F1047" s="1" t="s">
        <v>3669</v>
      </c>
      <c r="G1047" s="3" t="s">
        <v>3061</v>
      </c>
      <c r="H1047" s="11">
        <f t="shared" si="35"/>
        <v>1243.1199999999999</v>
      </c>
      <c r="I1047" s="9">
        <f>($K$2+0.02)*Tabla1[[#This Row],[PRECIO $]]*1.18</f>
        <v>1112.8344</v>
      </c>
      <c r="J1047" s="7">
        <f>+Tabla1[[#This Row],[PRECIO EN SOLES]]-Tabla1[[#This Row],[PC]]</f>
        <v>130.28559999999993</v>
      </c>
      <c r="K1047" s="15"/>
      <c r="L1047" s="15" t="str">
        <f t="shared" si="34"/>
        <v>GANCHO</v>
      </c>
    </row>
    <row r="1048" spans="1:12" x14ac:dyDescent="0.25">
      <c r="A1048" s="3" t="s">
        <v>1776</v>
      </c>
      <c r="B1048" s="3" t="s">
        <v>1777</v>
      </c>
      <c r="C1048" s="1">
        <v>20</v>
      </c>
      <c r="D1048" s="1">
        <v>289</v>
      </c>
      <c r="E1048" s="1" t="s">
        <v>56</v>
      </c>
      <c r="F1048" s="1" t="s">
        <v>3670</v>
      </c>
      <c r="G1048" s="3" t="s">
        <v>1778</v>
      </c>
      <c r="H1048" s="11">
        <f t="shared" si="35"/>
        <v>1324.42</v>
      </c>
      <c r="I1048" s="9">
        <f>($K$2+0.02)*Tabla1[[#This Row],[PRECIO $]]*1.18</f>
        <v>1186.7495999999999</v>
      </c>
      <c r="J1048" s="7">
        <f>+Tabla1[[#This Row],[PRECIO EN SOLES]]-Tabla1[[#This Row],[PC]]</f>
        <v>137.6704000000002</v>
      </c>
      <c r="K1048" s="15"/>
      <c r="L1048" s="15" t="str">
        <f t="shared" si="34"/>
        <v>GANCHO</v>
      </c>
    </row>
    <row r="1049" spans="1:12" x14ac:dyDescent="0.25">
      <c r="A1049" s="3" t="s">
        <v>1779</v>
      </c>
      <c r="B1049" s="3" t="s">
        <v>1780</v>
      </c>
      <c r="C1049" s="1">
        <v>20</v>
      </c>
      <c r="D1049" s="1">
        <v>331</v>
      </c>
      <c r="E1049" s="1" t="s">
        <v>276</v>
      </c>
      <c r="F1049" s="1" t="s">
        <v>3671</v>
      </c>
      <c r="G1049" s="3" t="s">
        <v>1781</v>
      </c>
      <c r="H1049" s="11">
        <f t="shared" si="35"/>
        <v>1514.14</v>
      </c>
      <c r="I1049" s="9">
        <f>($K$2+0.02)*Tabla1[[#This Row],[PRECIO $]]*1.18</f>
        <v>1359.2183999999997</v>
      </c>
      <c r="J1049" s="7">
        <f>+Tabla1[[#This Row],[PRECIO EN SOLES]]-Tabla1[[#This Row],[PC]]</f>
        <v>154.92160000000035</v>
      </c>
      <c r="K1049" s="15"/>
      <c r="L1049" s="15" t="str">
        <f t="shared" si="34"/>
        <v>GANCHO</v>
      </c>
    </row>
    <row r="1050" spans="1:12" x14ac:dyDescent="0.25">
      <c r="A1050" s="3" t="s">
        <v>1782</v>
      </c>
      <c r="B1050" s="3" t="s">
        <v>5004</v>
      </c>
      <c r="C1050" s="1">
        <v>20</v>
      </c>
      <c r="D1050" s="1">
        <v>479</v>
      </c>
      <c r="E1050" s="1" t="s">
        <v>910</v>
      </c>
      <c r="F1050" s="1" t="s">
        <v>3672</v>
      </c>
      <c r="G1050" s="3" t="s">
        <v>5005</v>
      </c>
      <c r="H1050" s="11">
        <f t="shared" si="35"/>
        <v>2182.66</v>
      </c>
      <c r="I1050" s="9">
        <f>($K$2+0.02)*Tabla1[[#This Row],[PRECIO $]]*1.18</f>
        <v>1966.9656</v>
      </c>
      <c r="J1050" s="7">
        <f>+Tabla1[[#This Row],[PRECIO EN SOLES]]-Tabla1[[#This Row],[PC]]</f>
        <v>215.69439999999986</v>
      </c>
      <c r="K1050" s="15"/>
      <c r="L1050" s="15" t="str">
        <f t="shared" si="34"/>
        <v>COMPLEMENTO</v>
      </c>
    </row>
    <row r="1051" spans="1:12" x14ac:dyDescent="0.25">
      <c r="A1051" s="3" t="s">
        <v>368</v>
      </c>
      <c r="B1051" s="3" t="s">
        <v>369</v>
      </c>
      <c r="C1051" s="1">
        <v>20</v>
      </c>
      <c r="D1051" s="1">
        <v>457</v>
      </c>
      <c r="E1051" s="1" t="s">
        <v>56</v>
      </c>
      <c r="F1051" s="1" t="s">
        <v>3673</v>
      </c>
      <c r="G1051" s="3" t="s">
        <v>370</v>
      </c>
      <c r="H1051" s="11">
        <f t="shared" si="35"/>
        <v>2083.29</v>
      </c>
      <c r="I1051" s="9">
        <f>($K$2+0.02)*Tabla1[[#This Row],[PRECIO $]]*1.18</f>
        <v>1876.6247999999998</v>
      </c>
      <c r="J1051" s="7">
        <f>+Tabla1[[#This Row],[PRECIO EN SOLES]]-Tabla1[[#This Row],[PC]]</f>
        <v>206.66520000000014</v>
      </c>
      <c r="K1051" s="15"/>
      <c r="L1051" s="15" t="str">
        <f t="shared" si="34"/>
        <v>GANCHO</v>
      </c>
    </row>
    <row r="1052" spans="1:12" x14ac:dyDescent="0.25">
      <c r="A1052" s="3" t="s">
        <v>4409</v>
      </c>
      <c r="B1052" s="3" t="s">
        <v>4410</v>
      </c>
      <c r="C1052" s="1">
        <v>5</v>
      </c>
      <c r="D1052" s="1">
        <v>450</v>
      </c>
      <c r="E1052" s="1" t="s">
        <v>74</v>
      </c>
      <c r="F1052" s="1" t="s">
        <v>4411</v>
      </c>
      <c r="G1052" s="3" t="s">
        <v>4412</v>
      </c>
      <c r="H1052" s="11">
        <f t="shared" si="35"/>
        <v>2314.85</v>
      </c>
      <c r="I1052" s="9">
        <f>($K$2+0.02)*Tabla1[[#This Row],[PRECIO $]]*1.18</f>
        <v>1847.8799999999999</v>
      </c>
      <c r="J1052" s="7">
        <f>+Tabla1[[#This Row],[PRECIO EN SOLES]]-Tabla1[[#This Row],[PC]]</f>
        <v>466.97</v>
      </c>
      <c r="K1052" s="15"/>
      <c r="L1052" s="15" t="str">
        <f t="shared" si="34"/>
        <v>GANCHO</v>
      </c>
    </row>
    <row r="1053" spans="1:12" x14ac:dyDescent="0.25">
      <c r="A1053" s="3" t="s">
        <v>371</v>
      </c>
      <c r="B1053" s="3" t="s">
        <v>372</v>
      </c>
      <c r="C1053" s="1">
        <v>20</v>
      </c>
      <c r="D1053" s="1">
        <v>387</v>
      </c>
      <c r="E1053" s="1" t="s">
        <v>276</v>
      </c>
      <c r="F1053" s="1" t="s">
        <v>3674</v>
      </c>
      <c r="G1053" s="3" t="s">
        <v>373</v>
      </c>
      <c r="H1053" s="11">
        <f t="shared" si="35"/>
        <v>1767.09</v>
      </c>
      <c r="I1053" s="9">
        <f>($K$2+0.02)*Tabla1[[#This Row],[PRECIO $]]*1.18</f>
        <v>1589.1768</v>
      </c>
      <c r="J1053" s="7">
        <f>+Tabla1[[#This Row],[PRECIO EN SOLES]]-Tabla1[[#This Row],[PC]]</f>
        <v>177.91319999999996</v>
      </c>
      <c r="K1053" s="15"/>
      <c r="L1053" s="15" t="str">
        <f t="shared" si="34"/>
        <v>GANCHO</v>
      </c>
    </row>
    <row r="1054" spans="1:12" x14ac:dyDescent="0.25">
      <c r="A1054" s="3" t="s">
        <v>374</v>
      </c>
      <c r="B1054" s="3" t="s">
        <v>375</v>
      </c>
      <c r="C1054" s="1">
        <v>20</v>
      </c>
      <c r="D1054" s="1">
        <v>468</v>
      </c>
      <c r="E1054" s="1" t="s">
        <v>276</v>
      </c>
      <c r="F1054" s="1" t="s">
        <v>3675</v>
      </c>
      <c r="G1054" s="3" t="s">
        <v>376</v>
      </c>
      <c r="H1054" s="11">
        <f t="shared" si="35"/>
        <v>2132.9699999999998</v>
      </c>
      <c r="I1054" s="9">
        <f>($K$2+0.02)*Tabla1[[#This Row],[PRECIO $]]*1.18</f>
        <v>1921.7952</v>
      </c>
      <c r="J1054" s="7">
        <f>+Tabla1[[#This Row],[PRECIO EN SOLES]]-Tabla1[[#This Row],[PC]]</f>
        <v>211.17479999999978</v>
      </c>
      <c r="K1054" s="15"/>
      <c r="L1054" s="15" t="str">
        <f t="shared" si="34"/>
        <v>GANCHO</v>
      </c>
    </row>
    <row r="1055" spans="1:12" x14ac:dyDescent="0.25">
      <c r="A1055" s="3" t="s">
        <v>5455</v>
      </c>
      <c r="B1055" s="3" t="s">
        <v>6838</v>
      </c>
      <c r="C1055" s="1">
        <v>20</v>
      </c>
      <c r="D1055" s="1">
        <v>590</v>
      </c>
      <c r="E1055" s="1" t="s">
        <v>910</v>
      </c>
      <c r="F1055" s="1" t="s">
        <v>5456</v>
      </c>
      <c r="G1055" s="3" t="s">
        <v>6072</v>
      </c>
      <c r="H1055" s="11">
        <f t="shared" si="35"/>
        <v>2684.05</v>
      </c>
      <c r="I1055" s="9">
        <f>($K$2+0.02)*Tabla1[[#This Row],[PRECIO $]]*1.18</f>
        <v>2422.7759999999998</v>
      </c>
      <c r="J1055" s="7">
        <f>+Tabla1[[#This Row],[PRECIO EN SOLES]]-Tabla1[[#This Row],[PC]]</f>
        <v>261.27400000000034</v>
      </c>
      <c r="K1055" s="15"/>
      <c r="L1055" s="15" t="str">
        <f t="shared" si="34"/>
        <v>GANCHO</v>
      </c>
    </row>
    <row r="1056" spans="1:12" x14ac:dyDescent="0.25">
      <c r="A1056" s="3" t="s">
        <v>5457</v>
      </c>
      <c r="B1056" s="3" t="s">
        <v>5458</v>
      </c>
      <c r="C1056" s="1">
        <v>20</v>
      </c>
      <c r="D1056" s="1">
        <v>500</v>
      </c>
      <c r="E1056" s="1" t="s">
        <v>367</v>
      </c>
      <c r="F1056" s="1" t="s">
        <v>5459</v>
      </c>
      <c r="G1056" s="3" t="s">
        <v>5460</v>
      </c>
      <c r="H1056" s="11">
        <f t="shared" si="35"/>
        <v>2277.52</v>
      </c>
      <c r="I1056" s="9">
        <f>($K$2+0.02)*Tabla1[[#This Row],[PRECIO $]]*1.18</f>
        <v>2053.1999999999998</v>
      </c>
      <c r="J1056" s="7">
        <f>+Tabla1[[#This Row],[PRECIO EN SOLES]]-Tabla1[[#This Row],[PC]]</f>
        <v>224.32000000000016</v>
      </c>
      <c r="K1056" s="15"/>
      <c r="L1056" s="15" t="str">
        <f t="shared" si="34"/>
        <v>GANCHO</v>
      </c>
    </row>
    <row r="1057" spans="1:12" x14ac:dyDescent="0.25">
      <c r="A1057" s="3" t="s">
        <v>6839</v>
      </c>
      <c r="B1057" s="3" t="s">
        <v>6840</v>
      </c>
      <c r="C1057" s="1">
        <v>20</v>
      </c>
      <c r="D1057" s="1">
        <v>487</v>
      </c>
      <c r="E1057" s="1" t="s">
        <v>148</v>
      </c>
      <c r="F1057" s="1" t="s">
        <v>6841</v>
      </c>
      <c r="G1057" s="3" t="s">
        <v>6842</v>
      </c>
      <c r="H1057" s="11">
        <f t="shared" si="35"/>
        <v>2218.8000000000002</v>
      </c>
      <c r="I1057" s="9">
        <f>($K$2+0.02)*Tabla1[[#This Row],[PRECIO $]]*1.18</f>
        <v>1999.8167999999998</v>
      </c>
      <c r="J1057" s="7">
        <f>+Tabla1[[#This Row],[PRECIO EN SOLES]]-Tabla1[[#This Row],[PC]]</f>
        <v>218.98320000000035</v>
      </c>
      <c r="K1057" s="15"/>
      <c r="L1057" s="15" t="str">
        <f t="shared" si="34"/>
        <v>GANCHO</v>
      </c>
    </row>
    <row r="1058" spans="1:12" x14ac:dyDescent="0.25">
      <c r="A1058" s="3" t="s">
        <v>4413</v>
      </c>
      <c r="B1058" s="3" t="s">
        <v>4414</v>
      </c>
      <c r="C1058" s="1">
        <v>20</v>
      </c>
      <c r="D1058" s="1">
        <v>532</v>
      </c>
      <c r="E1058" s="1" t="s">
        <v>276</v>
      </c>
      <c r="F1058" s="1" t="s">
        <v>4415</v>
      </c>
      <c r="G1058" s="3" t="s">
        <v>4416</v>
      </c>
      <c r="H1058" s="11">
        <f t="shared" si="35"/>
        <v>2422.0700000000002</v>
      </c>
      <c r="I1058" s="9">
        <f>($K$2+0.02)*Tabla1[[#This Row],[PRECIO $]]*1.18</f>
        <v>2184.6047999999996</v>
      </c>
      <c r="J1058" s="7">
        <f>+Tabla1[[#This Row],[PRECIO EN SOLES]]-Tabla1[[#This Row],[PC]]</f>
        <v>237.46520000000055</v>
      </c>
      <c r="K1058" s="15"/>
      <c r="L1058" s="15" t="str">
        <f t="shared" si="34"/>
        <v>NORMAL</v>
      </c>
    </row>
    <row r="1059" spans="1:12" x14ac:dyDescent="0.25">
      <c r="A1059" s="3" t="s">
        <v>6073</v>
      </c>
      <c r="B1059" s="3" t="s">
        <v>6074</v>
      </c>
      <c r="C1059" s="1">
        <v>0</v>
      </c>
      <c r="D1059" s="1">
        <v>807</v>
      </c>
      <c r="E1059" s="1" t="s">
        <v>74</v>
      </c>
      <c r="F1059" s="1" t="s">
        <v>6075</v>
      </c>
      <c r="G1059" s="3" t="s">
        <v>6076</v>
      </c>
      <c r="H1059" s="11">
        <f t="shared" si="35"/>
        <v>3664.25</v>
      </c>
      <c r="I1059" s="9">
        <f>($K$2+0.02)*Tabla1[[#This Row],[PRECIO $]]*1.18</f>
        <v>3313.8647999999998</v>
      </c>
      <c r="J1059" s="7">
        <f>+Tabla1[[#This Row],[PRECIO EN SOLES]]-Tabla1[[#This Row],[PC]]</f>
        <v>350.38520000000017</v>
      </c>
      <c r="K1059" s="15"/>
      <c r="L1059" s="15" t="str">
        <f t="shared" si="34"/>
        <v>GANCHO</v>
      </c>
    </row>
    <row r="1060" spans="1:12" x14ac:dyDescent="0.25">
      <c r="A1060" s="3" t="s">
        <v>1783</v>
      </c>
      <c r="B1060" s="3" t="s">
        <v>1784</v>
      </c>
      <c r="C1060" s="1">
        <v>1</v>
      </c>
      <c r="D1060" s="1">
        <v>160</v>
      </c>
      <c r="E1060" s="1" t="s">
        <v>57</v>
      </c>
      <c r="F1060" s="1" t="s">
        <v>3676</v>
      </c>
      <c r="G1060" s="3"/>
      <c r="H1060" s="11">
        <f t="shared" si="35"/>
        <v>763.58</v>
      </c>
      <c r="I1060" s="9">
        <f>($K$2+0.02)*Tabla1[[#This Row],[PRECIO $]]*1.18</f>
        <v>657.02399999999989</v>
      </c>
      <c r="J1060" s="7">
        <f>+Tabla1[[#This Row],[PRECIO EN SOLES]]-Tabla1[[#This Row],[PC]]</f>
        <v>106.55600000000015</v>
      </c>
      <c r="K1060" s="15"/>
      <c r="L1060" s="15" t="str">
        <f t="shared" si="34"/>
        <v>GANCHO</v>
      </c>
    </row>
    <row r="1061" spans="1:12" x14ac:dyDescent="0.25">
      <c r="A1061" s="3" t="s">
        <v>6608</v>
      </c>
      <c r="B1061" s="3" t="s">
        <v>6609</v>
      </c>
      <c r="C1061" s="1">
        <v>20</v>
      </c>
      <c r="D1061" s="1">
        <v>206</v>
      </c>
      <c r="E1061" s="1" t="s">
        <v>54</v>
      </c>
      <c r="F1061" s="1" t="s">
        <v>6610</v>
      </c>
      <c r="G1061" s="3" t="s">
        <v>6611</v>
      </c>
      <c r="H1061" s="11">
        <f t="shared" si="35"/>
        <v>949.51</v>
      </c>
      <c r="I1061" s="9">
        <f>($K$2+0.02)*Tabla1[[#This Row],[PRECIO $]]*1.18</f>
        <v>845.91839999999991</v>
      </c>
      <c r="J1061" s="7">
        <f>+Tabla1[[#This Row],[PRECIO EN SOLES]]-Tabla1[[#This Row],[PC]]</f>
        <v>103.59160000000008</v>
      </c>
      <c r="K1061" s="15"/>
      <c r="L1061" s="15" t="str">
        <f t="shared" si="34"/>
        <v>GANCHO</v>
      </c>
    </row>
    <row r="1062" spans="1:12" x14ac:dyDescent="0.25">
      <c r="A1062" s="3" t="s">
        <v>6612</v>
      </c>
      <c r="B1062" s="3" t="s">
        <v>6613</v>
      </c>
      <c r="C1062" s="1">
        <v>20</v>
      </c>
      <c r="D1062" s="1">
        <v>240</v>
      </c>
      <c r="E1062" s="1" t="s">
        <v>276</v>
      </c>
      <c r="F1062" s="1" t="s">
        <v>6614</v>
      </c>
      <c r="G1062" s="3" t="s">
        <v>6615</v>
      </c>
      <c r="H1062" s="11">
        <f t="shared" si="35"/>
        <v>1103.0899999999999</v>
      </c>
      <c r="I1062" s="9">
        <f>($K$2+0.02)*Tabla1[[#This Row],[PRECIO $]]*1.18</f>
        <v>985.53600000000006</v>
      </c>
      <c r="J1062" s="7">
        <f>+Tabla1[[#This Row],[PRECIO EN SOLES]]-Tabla1[[#This Row],[PC]]</f>
        <v>117.55399999999986</v>
      </c>
      <c r="K1062" s="15"/>
      <c r="L1062" s="15" t="str">
        <f t="shared" si="34"/>
        <v>GANCHO</v>
      </c>
    </row>
    <row r="1063" spans="1:12" x14ac:dyDescent="0.25">
      <c r="A1063" s="3" t="s">
        <v>6077</v>
      </c>
      <c r="B1063" s="3" t="s">
        <v>6078</v>
      </c>
      <c r="C1063" s="1">
        <v>20</v>
      </c>
      <c r="D1063" s="1">
        <v>523</v>
      </c>
      <c r="E1063" s="1" t="s">
        <v>910</v>
      </c>
      <c r="F1063" s="1" t="s">
        <v>6079</v>
      </c>
      <c r="G1063" s="3" t="s">
        <v>6616</v>
      </c>
      <c r="H1063" s="11">
        <f t="shared" si="35"/>
        <v>2381.41</v>
      </c>
      <c r="I1063" s="9">
        <f>($K$2+0.02)*Tabla1[[#This Row],[PRECIO $]]*1.18</f>
        <v>2147.6471999999999</v>
      </c>
      <c r="J1063" s="7">
        <f>+Tabla1[[#This Row],[PRECIO EN SOLES]]-Tabla1[[#This Row],[PC]]</f>
        <v>233.76279999999997</v>
      </c>
      <c r="K1063" s="15"/>
      <c r="L1063" s="15" t="str">
        <f t="shared" si="34"/>
        <v>GANCHO</v>
      </c>
    </row>
    <row r="1064" spans="1:12" x14ac:dyDescent="0.25">
      <c r="A1064" s="3" t="s">
        <v>6080</v>
      </c>
      <c r="B1064" s="3" t="s">
        <v>6081</v>
      </c>
      <c r="C1064" s="1">
        <v>20</v>
      </c>
      <c r="D1064" s="1">
        <v>535</v>
      </c>
      <c r="E1064" s="1" t="s">
        <v>367</v>
      </c>
      <c r="F1064" s="1" t="s">
        <v>6082</v>
      </c>
      <c r="G1064" s="3" t="s">
        <v>6083</v>
      </c>
      <c r="H1064" s="11">
        <f t="shared" si="35"/>
        <v>2435.62</v>
      </c>
      <c r="I1064" s="9">
        <f>($K$2+0.02)*Tabla1[[#This Row],[PRECIO $]]*1.18</f>
        <v>2196.924</v>
      </c>
      <c r="J1064" s="7">
        <f>+Tabla1[[#This Row],[PRECIO EN SOLES]]-Tabla1[[#This Row],[PC]]</f>
        <v>238.69599999999991</v>
      </c>
      <c r="K1064" s="15"/>
      <c r="L1064" s="15" t="str">
        <f t="shared" si="34"/>
        <v>GANCHO</v>
      </c>
    </row>
    <row r="1065" spans="1:12" x14ac:dyDescent="0.25">
      <c r="A1065" s="3" t="s">
        <v>389</v>
      </c>
      <c r="B1065" s="3" t="s">
        <v>388</v>
      </c>
      <c r="C1065" s="1">
        <v>0</v>
      </c>
      <c r="D1065" s="1">
        <v>410.5</v>
      </c>
      <c r="E1065" s="1" t="s">
        <v>148</v>
      </c>
      <c r="F1065" s="1" t="s">
        <v>3677</v>
      </c>
      <c r="G1065" s="3" t="s">
        <v>390</v>
      </c>
      <c r="H1065" s="11">
        <f t="shared" si="35"/>
        <v>1873.24</v>
      </c>
      <c r="I1065" s="9">
        <f>($K$2+0.02)*Tabla1[[#This Row],[PRECIO $]]*1.18</f>
        <v>1685.6771999999999</v>
      </c>
      <c r="J1065" s="7">
        <f>+Tabla1[[#This Row],[PRECIO EN SOLES]]-Tabla1[[#This Row],[PC]]</f>
        <v>187.56280000000015</v>
      </c>
      <c r="K1065" s="15"/>
      <c r="L1065" s="15" t="str">
        <f t="shared" si="34"/>
        <v>GANCHO</v>
      </c>
    </row>
    <row r="1066" spans="1:12" x14ac:dyDescent="0.25">
      <c r="A1066" s="3" t="s">
        <v>4837</v>
      </c>
      <c r="B1066" s="3" t="s">
        <v>4838</v>
      </c>
      <c r="C1066" s="1">
        <v>20</v>
      </c>
      <c r="D1066" s="1">
        <v>493.5</v>
      </c>
      <c r="E1066" s="1" t="s">
        <v>56</v>
      </c>
      <c r="F1066" s="1" t="s">
        <v>4839</v>
      </c>
      <c r="G1066" s="3" t="s">
        <v>4840</v>
      </c>
      <c r="H1066" s="11">
        <f t="shared" si="35"/>
        <v>2248.16</v>
      </c>
      <c r="I1066" s="9">
        <f>($K$2+0.02)*Tabla1[[#This Row],[PRECIO $]]*1.18</f>
        <v>2026.5083999999997</v>
      </c>
      <c r="J1066" s="7">
        <f>+Tabla1[[#This Row],[PRECIO EN SOLES]]-Tabla1[[#This Row],[PC]]</f>
        <v>221.65160000000014</v>
      </c>
      <c r="K1066" s="15"/>
      <c r="L1066" s="15" t="str">
        <f t="shared" si="34"/>
        <v>GANCHO</v>
      </c>
    </row>
    <row r="1067" spans="1:12" x14ac:dyDescent="0.25">
      <c r="A1067" s="3" t="s">
        <v>1785</v>
      </c>
      <c r="B1067" s="3" t="s">
        <v>1786</v>
      </c>
      <c r="C1067" s="1">
        <v>15</v>
      </c>
      <c r="D1067" s="1">
        <v>677</v>
      </c>
      <c r="E1067" s="1" t="s">
        <v>837</v>
      </c>
      <c r="F1067" s="1" t="s">
        <v>3678</v>
      </c>
      <c r="G1067" s="3" t="s">
        <v>1787</v>
      </c>
      <c r="H1067" s="11">
        <f t="shared" si="35"/>
        <v>3077.04</v>
      </c>
      <c r="I1067" s="9">
        <f>($K$2+0.02)*Tabla1[[#This Row],[PRECIO $]]*1.18</f>
        <v>2780.0328</v>
      </c>
      <c r="J1067" s="7">
        <f>+Tabla1[[#This Row],[PRECIO EN SOLES]]-Tabla1[[#This Row],[PC]]</f>
        <v>297.00720000000001</v>
      </c>
      <c r="K1067" s="15"/>
      <c r="L1067" s="15" t="str">
        <f t="shared" si="34"/>
        <v>GANCHO</v>
      </c>
    </row>
    <row r="1068" spans="1:12" x14ac:dyDescent="0.25">
      <c r="A1068" s="3" t="s">
        <v>1788</v>
      </c>
      <c r="B1068" s="3" t="s">
        <v>1789</v>
      </c>
      <c r="C1068" s="1">
        <v>20</v>
      </c>
      <c r="D1068" s="1">
        <v>527</v>
      </c>
      <c r="E1068" s="1" t="s">
        <v>276</v>
      </c>
      <c r="F1068" s="1" t="s">
        <v>3679</v>
      </c>
      <c r="G1068" s="3" t="s">
        <v>1790</v>
      </c>
      <c r="H1068" s="11">
        <f t="shared" si="35"/>
        <v>2399.48</v>
      </c>
      <c r="I1068" s="9">
        <f>($K$2+0.02)*Tabla1[[#This Row],[PRECIO $]]*1.18</f>
        <v>2164.0727999999999</v>
      </c>
      <c r="J1068" s="7">
        <f>+Tabla1[[#This Row],[PRECIO EN SOLES]]-Tabla1[[#This Row],[PC]]</f>
        <v>235.4072000000001</v>
      </c>
      <c r="K1068" s="15"/>
      <c r="L1068" s="15" t="str">
        <f t="shared" si="34"/>
        <v>GANCHO</v>
      </c>
    </row>
    <row r="1069" spans="1:12" x14ac:dyDescent="0.25">
      <c r="A1069" s="3" t="s">
        <v>4322</v>
      </c>
      <c r="B1069" s="3" t="s">
        <v>1789</v>
      </c>
      <c r="C1069" s="1">
        <v>20</v>
      </c>
      <c r="D1069" s="1">
        <v>540</v>
      </c>
      <c r="E1069" s="1" t="s">
        <v>276</v>
      </c>
      <c r="F1069" s="1" t="s">
        <v>4323</v>
      </c>
      <c r="G1069" s="3" t="s">
        <v>1790</v>
      </c>
      <c r="H1069" s="11">
        <f t="shared" si="35"/>
        <v>2458.1999999999998</v>
      </c>
      <c r="I1069" s="9">
        <f>($K$2+0.02)*Tabla1[[#This Row],[PRECIO $]]*1.18</f>
        <v>2217.4560000000001</v>
      </c>
      <c r="J1069" s="7">
        <f>+Tabla1[[#This Row],[PRECIO EN SOLES]]-Tabla1[[#This Row],[PC]]</f>
        <v>240.74399999999969</v>
      </c>
      <c r="K1069" s="15"/>
      <c r="L1069" s="15" t="str">
        <f t="shared" si="34"/>
        <v>GANCHO</v>
      </c>
    </row>
    <row r="1070" spans="1:12" x14ac:dyDescent="0.25">
      <c r="A1070" s="3" t="s">
        <v>6084</v>
      </c>
      <c r="B1070" s="3" t="s">
        <v>6085</v>
      </c>
      <c r="C1070" s="1">
        <v>20</v>
      </c>
      <c r="D1070" s="1">
        <v>685</v>
      </c>
      <c r="E1070" s="1" t="s">
        <v>910</v>
      </c>
      <c r="F1070" s="1" t="s">
        <v>6086</v>
      </c>
      <c r="G1070" s="3" t="s">
        <v>6087</v>
      </c>
      <c r="H1070" s="11">
        <f t="shared" si="35"/>
        <v>3113.17</v>
      </c>
      <c r="I1070" s="9">
        <f>($K$2+0.02)*Tabla1[[#This Row],[PRECIO $]]*1.18</f>
        <v>2812.884</v>
      </c>
      <c r="J1070" s="7">
        <f>+Tabla1[[#This Row],[PRECIO EN SOLES]]-Tabla1[[#This Row],[PC]]</f>
        <v>300.28600000000006</v>
      </c>
      <c r="K1070" s="15"/>
      <c r="L1070" s="15" t="str">
        <f t="shared" si="34"/>
        <v>GANCHO</v>
      </c>
    </row>
    <row r="1071" spans="1:12" x14ac:dyDescent="0.25">
      <c r="A1071" s="3" t="s">
        <v>5163</v>
      </c>
      <c r="B1071" s="3" t="s">
        <v>5164</v>
      </c>
      <c r="C1071" s="1">
        <v>10</v>
      </c>
      <c r="D1071" s="1">
        <v>339</v>
      </c>
      <c r="E1071" s="1" t="s">
        <v>56</v>
      </c>
      <c r="F1071" s="1" t="s">
        <v>5165</v>
      </c>
      <c r="G1071" s="3" t="s">
        <v>5166</v>
      </c>
      <c r="H1071" s="11">
        <f t="shared" si="35"/>
        <v>1550.28</v>
      </c>
      <c r="I1071" s="9">
        <f>($K$2+0.02)*Tabla1[[#This Row],[PRECIO $]]*1.18</f>
        <v>1392.0696</v>
      </c>
      <c r="J1071" s="7">
        <f>+Tabla1[[#This Row],[PRECIO EN SOLES]]-Tabla1[[#This Row],[PC]]</f>
        <v>158.21039999999994</v>
      </c>
      <c r="K1071" s="15"/>
      <c r="L1071" s="15" t="str">
        <f t="shared" si="34"/>
        <v>GANCHO</v>
      </c>
    </row>
    <row r="1072" spans="1:12" x14ac:dyDescent="0.25">
      <c r="A1072" s="3" t="s">
        <v>4324</v>
      </c>
      <c r="B1072" s="3" t="s">
        <v>4325</v>
      </c>
      <c r="C1072" s="1">
        <v>1</v>
      </c>
      <c r="D1072" s="1">
        <v>393</v>
      </c>
      <c r="E1072" s="1" t="s">
        <v>74</v>
      </c>
      <c r="F1072" s="1" t="s">
        <v>4326</v>
      </c>
      <c r="G1072" s="3" t="s">
        <v>379</v>
      </c>
      <c r="H1072" s="11">
        <f t="shared" si="35"/>
        <v>1794.2</v>
      </c>
      <c r="I1072" s="9">
        <f>($K$2+0.02)*Tabla1[[#This Row],[PRECIO $]]*1.18</f>
        <v>1613.8152</v>
      </c>
      <c r="J1072" s="7">
        <f>+Tabla1[[#This Row],[PRECIO EN SOLES]]-Tabla1[[#This Row],[PC]]</f>
        <v>180.38480000000004</v>
      </c>
      <c r="K1072" s="15"/>
      <c r="L1072" s="15" t="str">
        <f t="shared" si="34"/>
        <v>GANCHO</v>
      </c>
    </row>
    <row r="1073" spans="1:12" x14ac:dyDescent="0.25">
      <c r="A1073" s="3" t="s">
        <v>377</v>
      </c>
      <c r="B1073" s="3" t="s">
        <v>378</v>
      </c>
      <c r="C1073" s="1">
        <v>20</v>
      </c>
      <c r="D1073" s="1">
        <v>338.6</v>
      </c>
      <c r="E1073" s="1" t="s">
        <v>74</v>
      </c>
      <c r="F1073" s="1" t="s">
        <v>3680</v>
      </c>
      <c r="G1073" s="3" t="s">
        <v>379</v>
      </c>
      <c r="H1073" s="11">
        <f t="shared" si="35"/>
        <v>1548.47</v>
      </c>
      <c r="I1073" s="9">
        <f>($K$2+0.02)*Tabla1[[#This Row],[PRECIO $]]*1.18</f>
        <v>1390.4270399999998</v>
      </c>
      <c r="J1073" s="7">
        <f>+Tabla1[[#This Row],[PRECIO EN SOLES]]-Tabla1[[#This Row],[PC]]</f>
        <v>158.04296000000022</v>
      </c>
      <c r="K1073" s="15"/>
      <c r="L1073" s="15" t="str">
        <f t="shared" si="34"/>
        <v>GANCHO</v>
      </c>
    </row>
    <row r="1074" spans="1:12" x14ac:dyDescent="0.25">
      <c r="A1074" s="3" t="s">
        <v>380</v>
      </c>
      <c r="B1074" s="3" t="s">
        <v>381</v>
      </c>
      <c r="C1074" s="1">
        <v>20</v>
      </c>
      <c r="D1074" s="1">
        <v>316</v>
      </c>
      <c r="E1074" s="1" t="s">
        <v>276</v>
      </c>
      <c r="F1074" s="1" t="s">
        <v>3681</v>
      </c>
      <c r="G1074" s="3" t="s">
        <v>382</v>
      </c>
      <c r="H1074" s="11">
        <f t="shared" si="35"/>
        <v>1446.38</v>
      </c>
      <c r="I1074" s="9">
        <f>($K$2+0.02)*Tabla1[[#This Row],[PRECIO $]]*1.18</f>
        <v>1297.6224</v>
      </c>
      <c r="J1074" s="7">
        <f>+Tabla1[[#This Row],[PRECIO EN SOLES]]-Tabla1[[#This Row],[PC]]</f>
        <v>148.75760000000014</v>
      </c>
      <c r="K1074" s="15"/>
      <c r="L1074" s="15" t="str">
        <f t="shared" si="34"/>
        <v>GANCHO</v>
      </c>
    </row>
    <row r="1075" spans="1:12" x14ac:dyDescent="0.25">
      <c r="A1075" s="3" t="s">
        <v>383</v>
      </c>
      <c r="B1075" s="3" t="s">
        <v>384</v>
      </c>
      <c r="C1075" s="1">
        <v>20</v>
      </c>
      <c r="D1075" s="1">
        <v>335</v>
      </c>
      <c r="E1075" s="1" t="s">
        <v>276</v>
      </c>
      <c r="F1075" s="1" t="s">
        <v>3682</v>
      </c>
      <c r="G1075" s="3" t="s">
        <v>382</v>
      </c>
      <c r="H1075" s="11">
        <f t="shared" si="35"/>
        <v>1532.21</v>
      </c>
      <c r="I1075" s="9">
        <f>($K$2+0.02)*Tabla1[[#This Row],[PRECIO $]]*1.18</f>
        <v>1375.6439999999998</v>
      </c>
      <c r="J1075" s="7">
        <f>+Tabla1[[#This Row],[PRECIO EN SOLES]]-Tabla1[[#This Row],[PC]]</f>
        <v>156.56600000000026</v>
      </c>
      <c r="K1075" s="15"/>
      <c r="L1075" s="15" t="str">
        <f t="shared" si="34"/>
        <v>GANCHO</v>
      </c>
    </row>
    <row r="1076" spans="1:12" x14ac:dyDescent="0.25">
      <c r="A1076" s="3" t="s">
        <v>1791</v>
      </c>
      <c r="B1076" s="3" t="s">
        <v>384</v>
      </c>
      <c r="C1076" s="1">
        <v>20</v>
      </c>
      <c r="D1076" s="1">
        <v>407.5</v>
      </c>
      <c r="E1076" s="1" t="s">
        <v>276</v>
      </c>
      <c r="F1076" s="1" t="s">
        <v>3683</v>
      </c>
      <c r="G1076" s="3" t="s">
        <v>1792</v>
      </c>
      <c r="H1076" s="11">
        <f t="shared" si="35"/>
        <v>1859.69</v>
      </c>
      <c r="I1076" s="9">
        <f>($K$2+0.02)*Tabla1[[#This Row],[PRECIO $]]*1.18</f>
        <v>1673.3579999999997</v>
      </c>
      <c r="J1076" s="7">
        <f>+Tabla1[[#This Row],[PRECIO EN SOLES]]-Tabla1[[#This Row],[PC]]</f>
        <v>186.33200000000033</v>
      </c>
      <c r="K1076" s="15"/>
      <c r="L1076" s="15" t="str">
        <f t="shared" si="34"/>
        <v>GANCHO</v>
      </c>
    </row>
    <row r="1077" spans="1:12" x14ac:dyDescent="0.25">
      <c r="A1077" s="3" t="s">
        <v>1793</v>
      </c>
      <c r="B1077" s="3" t="s">
        <v>381</v>
      </c>
      <c r="C1077" s="1">
        <v>20</v>
      </c>
      <c r="D1077" s="1">
        <v>378</v>
      </c>
      <c r="E1077" s="1" t="s">
        <v>276</v>
      </c>
      <c r="F1077" s="1" t="s">
        <v>3684</v>
      </c>
      <c r="G1077" s="3" t="s">
        <v>1792</v>
      </c>
      <c r="H1077" s="11">
        <f t="shared" si="35"/>
        <v>1726.44</v>
      </c>
      <c r="I1077" s="9">
        <f>($K$2+0.02)*Tabla1[[#This Row],[PRECIO $]]*1.18</f>
        <v>1552.2192</v>
      </c>
      <c r="J1077" s="7">
        <f>+Tabla1[[#This Row],[PRECIO EN SOLES]]-Tabla1[[#This Row],[PC]]</f>
        <v>174.22080000000005</v>
      </c>
      <c r="K1077" s="15"/>
      <c r="L1077" s="15" t="str">
        <f t="shared" si="34"/>
        <v>GANCHO</v>
      </c>
    </row>
    <row r="1078" spans="1:12" x14ac:dyDescent="0.25">
      <c r="A1078" s="3" t="s">
        <v>6088</v>
      </c>
      <c r="B1078" s="3" t="s">
        <v>6089</v>
      </c>
      <c r="C1078" s="1">
        <v>20</v>
      </c>
      <c r="D1078" s="1">
        <v>565</v>
      </c>
      <c r="E1078" s="1" t="s">
        <v>910</v>
      </c>
      <c r="F1078" s="1" t="s">
        <v>6090</v>
      </c>
      <c r="G1078" s="3" t="s">
        <v>6091</v>
      </c>
      <c r="H1078" s="11">
        <f t="shared" si="35"/>
        <v>2571.13</v>
      </c>
      <c r="I1078" s="9">
        <f>($K$2+0.02)*Tabla1[[#This Row],[PRECIO $]]*1.18</f>
        <v>2320.116</v>
      </c>
      <c r="J1078" s="7">
        <f>+Tabla1[[#This Row],[PRECIO EN SOLES]]-Tabla1[[#This Row],[PC]]</f>
        <v>251.01400000000012</v>
      </c>
      <c r="K1078" s="15"/>
      <c r="L1078" s="15" t="str">
        <f t="shared" si="34"/>
        <v>GANCHO</v>
      </c>
    </row>
    <row r="1079" spans="1:12" x14ac:dyDescent="0.25">
      <c r="A1079" s="3" t="s">
        <v>1794</v>
      </c>
      <c r="B1079" s="3" t="s">
        <v>1795</v>
      </c>
      <c r="C1079" s="1">
        <v>0</v>
      </c>
      <c r="D1079" s="1">
        <v>522</v>
      </c>
      <c r="E1079" s="1" t="s">
        <v>910</v>
      </c>
      <c r="F1079" s="1" t="s">
        <v>3685</v>
      </c>
      <c r="G1079" s="3" t="s">
        <v>1796</v>
      </c>
      <c r="H1079" s="11">
        <f t="shared" si="35"/>
        <v>2376.89</v>
      </c>
      <c r="I1079" s="9">
        <f>($K$2+0.02)*Tabla1[[#This Row],[PRECIO $]]*1.18</f>
        <v>2143.5407999999998</v>
      </c>
      <c r="J1079" s="7">
        <f>+Tabla1[[#This Row],[PRECIO EN SOLES]]-Tabla1[[#This Row],[PC]]</f>
        <v>233.34920000000011</v>
      </c>
      <c r="K1079" s="15"/>
      <c r="L1079" s="15" t="str">
        <f t="shared" si="34"/>
        <v>GANCHO</v>
      </c>
    </row>
    <row r="1080" spans="1:12" x14ac:dyDescent="0.25">
      <c r="A1080" s="3" t="s">
        <v>1797</v>
      </c>
      <c r="B1080" s="3" t="s">
        <v>1798</v>
      </c>
      <c r="C1080" s="1">
        <v>3</v>
      </c>
      <c r="D1080" s="1">
        <v>548</v>
      </c>
      <c r="E1080" s="1" t="s">
        <v>367</v>
      </c>
      <c r="F1080" s="1" t="s">
        <v>3686</v>
      </c>
      <c r="G1080" s="3" t="s">
        <v>1799</v>
      </c>
      <c r="H1080" s="11">
        <f t="shared" si="35"/>
        <v>2494.34</v>
      </c>
      <c r="I1080" s="9">
        <f>($K$2+0.02)*Tabla1[[#This Row],[PRECIO $]]*1.18</f>
        <v>2250.3071999999997</v>
      </c>
      <c r="J1080" s="7">
        <f>+Tabla1[[#This Row],[PRECIO EN SOLES]]-Tabla1[[#This Row],[PC]]</f>
        <v>244.03280000000041</v>
      </c>
      <c r="K1080" s="15"/>
      <c r="L1080" s="15" t="str">
        <f t="shared" si="34"/>
        <v>GANCHO</v>
      </c>
    </row>
    <row r="1081" spans="1:12" x14ac:dyDescent="0.25">
      <c r="A1081" s="3" t="s">
        <v>385</v>
      </c>
      <c r="B1081" s="3" t="s">
        <v>386</v>
      </c>
      <c r="C1081" s="1">
        <v>20</v>
      </c>
      <c r="D1081" s="1">
        <v>434</v>
      </c>
      <c r="E1081" s="1" t="s">
        <v>56</v>
      </c>
      <c r="F1081" s="1" t="s">
        <v>3687</v>
      </c>
      <c r="G1081" s="3" t="s">
        <v>387</v>
      </c>
      <c r="H1081" s="11">
        <f t="shared" si="35"/>
        <v>1979.4</v>
      </c>
      <c r="I1081" s="9">
        <f>($K$2+0.02)*Tabla1[[#This Row],[PRECIO $]]*1.18</f>
        <v>1782.1775999999998</v>
      </c>
      <c r="J1081" s="7">
        <f>+Tabla1[[#This Row],[PRECIO EN SOLES]]-Tabla1[[#This Row],[PC]]</f>
        <v>197.22240000000033</v>
      </c>
      <c r="K1081" s="15"/>
      <c r="L1081" s="15" t="str">
        <f t="shared" si="34"/>
        <v>GANCHO</v>
      </c>
    </row>
    <row r="1082" spans="1:12" x14ac:dyDescent="0.25">
      <c r="A1082" s="3" t="s">
        <v>5006</v>
      </c>
      <c r="B1082" s="3" t="s">
        <v>5007</v>
      </c>
      <c r="C1082" s="1">
        <v>20</v>
      </c>
      <c r="D1082" s="1">
        <v>468</v>
      </c>
      <c r="E1082" s="1" t="s">
        <v>56</v>
      </c>
      <c r="F1082" s="1" t="s">
        <v>5008</v>
      </c>
      <c r="G1082" s="3" t="s">
        <v>5009</v>
      </c>
      <c r="H1082" s="11">
        <f t="shared" si="35"/>
        <v>2132.9699999999998</v>
      </c>
      <c r="I1082" s="9">
        <f>($K$2+0.02)*Tabla1[[#This Row],[PRECIO $]]*1.18</f>
        <v>1921.7952</v>
      </c>
      <c r="J1082" s="7">
        <f>+Tabla1[[#This Row],[PRECIO EN SOLES]]-Tabla1[[#This Row],[PC]]</f>
        <v>211.17479999999978</v>
      </c>
      <c r="K1082" s="15"/>
      <c r="L1082" s="15" t="str">
        <f t="shared" si="34"/>
        <v>GANCHO</v>
      </c>
    </row>
    <row r="1083" spans="1:12" x14ac:dyDescent="0.25">
      <c r="A1083" s="3" t="s">
        <v>4327</v>
      </c>
      <c r="B1083" s="3" t="s">
        <v>4328</v>
      </c>
      <c r="C1083" s="1">
        <v>0</v>
      </c>
      <c r="D1083" s="1">
        <v>453.5</v>
      </c>
      <c r="E1083" s="1" t="s">
        <v>148</v>
      </c>
      <c r="F1083" s="1" t="s">
        <v>4329</v>
      </c>
      <c r="G1083" s="3" t="s">
        <v>4330</v>
      </c>
      <c r="H1083" s="11">
        <f t="shared" si="35"/>
        <v>2067.48</v>
      </c>
      <c r="I1083" s="9">
        <f>($K$2+0.02)*Tabla1[[#This Row],[PRECIO $]]*1.18</f>
        <v>1862.2524000000001</v>
      </c>
      <c r="J1083" s="7">
        <f>+Tabla1[[#This Row],[PRECIO EN SOLES]]-Tabla1[[#This Row],[PC]]</f>
        <v>205.22759999999994</v>
      </c>
      <c r="K1083" s="15"/>
      <c r="L1083" s="15" t="str">
        <f t="shared" si="34"/>
        <v>GANCHO</v>
      </c>
    </row>
    <row r="1084" spans="1:12" x14ac:dyDescent="0.25">
      <c r="A1084" s="3" t="s">
        <v>1800</v>
      </c>
      <c r="B1084" s="3" t="s">
        <v>1801</v>
      </c>
      <c r="C1084" s="1">
        <v>20</v>
      </c>
      <c r="D1084" s="1">
        <v>445</v>
      </c>
      <c r="E1084" s="1" t="s">
        <v>276</v>
      </c>
      <c r="F1084" s="1" t="s">
        <v>3688</v>
      </c>
      <c r="G1084" s="3" t="s">
        <v>1802</v>
      </c>
      <c r="H1084" s="11">
        <f t="shared" si="35"/>
        <v>2029.08</v>
      </c>
      <c r="I1084" s="9">
        <f>($K$2+0.02)*Tabla1[[#This Row],[PRECIO $]]*1.18</f>
        <v>1827.3479999999997</v>
      </c>
      <c r="J1084" s="7">
        <f>+Tabla1[[#This Row],[PRECIO EN SOLES]]-Tabla1[[#This Row],[PC]]</f>
        <v>201.7320000000002</v>
      </c>
      <c r="K1084" s="15"/>
      <c r="L1084" s="15" t="str">
        <f t="shared" si="34"/>
        <v>GANCHO</v>
      </c>
    </row>
    <row r="1085" spans="1:12" x14ac:dyDescent="0.25">
      <c r="A1085" s="3" t="s">
        <v>2795</v>
      </c>
      <c r="B1085" s="3" t="s">
        <v>392</v>
      </c>
      <c r="C1085" s="1">
        <v>20</v>
      </c>
      <c r="D1085" s="1">
        <v>462</v>
      </c>
      <c r="E1085" s="1" t="s">
        <v>74</v>
      </c>
      <c r="F1085" s="1" t="s">
        <v>3689</v>
      </c>
      <c r="G1085" s="3" t="s">
        <v>393</v>
      </c>
      <c r="H1085" s="11">
        <f t="shared" si="35"/>
        <v>2105.87</v>
      </c>
      <c r="I1085" s="9">
        <f>($K$2+0.02)*Tabla1[[#This Row],[PRECIO $]]*1.18</f>
        <v>1897.1568</v>
      </c>
      <c r="J1085" s="7">
        <f>+Tabla1[[#This Row],[PRECIO EN SOLES]]-Tabla1[[#This Row],[PC]]</f>
        <v>208.71319999999992</v>
      </c>
      <c r="K1085" s="15"/>
      <c r="L1085" s="15" t="str">
        <f t="shared" si="34"/>
        <v>GANCHO</v>
      </c>
    </row>
    <row r="1086" spans="1:12" x14ac:dyDescent="0.25">
      <c r="A1086" s="3" t="s">
        <v>394</v>
      </c>
      <c r="B1086" s="3" t="s">
        <v>392</v>
      </c>
      <c r="C1086" s="1">
        <v>20</v>
      </c>
      <c r="D1086" s="1">
        <v>462</v>
      </c>
      <c r="E1086" s="1" t="s">
        <v>74</v>
      </c>
      <c r="F1086" s="1" t="s">
        <v>3690</v>
      </c>
      <c r="G1086" s="3" t="s">
        <v>395</v>
      </c>
      <c r="H1086" s="11">
        <f t="shared" si="35"/>
        <v>2105.87</v>
      </c>
      <c r="I1086" s="9">
        <f>($K$2+0.02)*Tabla1[[#This Row],[PRECIO $]]*1.18</f>
        <v>1897.1568</v>
      </c>
      <c r="J1086" s="7">
        <f>+Tabla1[[#This Row],[PRECIO EN SOLES]]-Tabla1[[#This Row],[PC]]</f>
        <v>208.71319999999992</v>
      </c>
      <c r="K1086" s="15"/>
      <c r="L1086" s="15" t="str">
        <f t="shared" si="34"/>
        <v>GANCHO</v>
      </c>
    </row>
    <row r="1087" spans="1:12" x14ac:dyDescent="0.25">
      <c r="A1087" s="3" t="s">
        <v>4417</v>
      </c>
      <c r="B1087" s="3" t="s">
        <v>4418</v>
      </c>
      <c r="C1087" s="1">
        <v>20</v>
      </c>
      <c r="D1087" s="1">
        <v>460</v>
      </c>
      <c r="E1087" s="1" t="s">
        <v>74</v>
      </c>
      <c r="F1087" s="1" t="s">
        <v>4419</v>
      </c>
      <c r="G1087" s="3" t="s">
        <v>4420</v>
      </c>
      <c r="H1087" s="11">
        <f t="shared" si="35"/>
        <v>2096.84</v>
      </c>
      <c r="I1087" s="9">
        <f>($K$2+0.02)*Tabla1[[#This Row],[PRECIO $]]*1.18</f>
        <v>1888.944</v>
      </c>
      <c r="J1087" s="7">
        <f>+Tabla1[[#This Row],[PRECIO EN SOLES]]-Tabla1[[#This Row],[PC]]</f>
        <v>207.89600000000019</v>
      </c>
      <c r="K1087" s="15"/>
      <c r="L1087" s="15" t="str">
        <f t="shared" si="34"/>
        <v>GANCHO</v>
      </c>
    </row>
    <row r="1088" spans="1:12" x14ac:dyDescent="0.25">
      <c r="A1088" s="3" t="s">
        <v>1803</v>
      </c>
      <c r="B1088" s="3" t="s">
        <v>396</v>
      </c>
      <c r="C1088" s="1">
        <v>20</v>
      </c>
      <c r="D1088" s="1">
        <v>525</v>
      </c>
      <c r="E1088" s="1" t="s">
        <v>276</v>
      </c>
      <c r="F1088" s="1" t="s">
        <v>3691</v>
      </c>
      <c r="G1088" s="3" t="s">
        <v>1804</v>
      </c>
      <c r="H1088" s="11">
        <f t="shared" si="35"/>
        <v>2390.4499999999998</v>
      </c>
      <c r="I1088" s="9">
        <f>($K$2+0.02)*Tabla1[[#This Row],[PRECIO $]]*1.18</f>
        <v>2155.8599999999997</v>
      </c>
      <c r="J1088" s="7">
        <f>+Tabla1[[#This Row],[PRECIO EN SOLES]]-Tabla1[[#This Row],[PC]]</f>
        <v>234.59000000000015</v>
      </c>
      <c r="K1088" s="15"/>
      <c r="L1088" s="15" t="str">
        <f t="shared" si="34"/>
        <v>GANCHO</v>
      </c>
    </row>
    <row r="1089" spans="1:12" x14ac:dyDescent="0.25">
      <c r="A1089" s="3" t="s">
        <v>397</v>
      </c>
      <c r="B1089" s="3" t="s">
        <v>391</v>
      </c>
      <c r="C1089" s="1">
        <v>20</v>
      </c>
      <c r="D1089" s="1">
        <v>490</v>
      </c>
      <c r="E1089" s="1" t="s">
        <v>276</v>
      </c>
      <c r="F1089" s="1" t="s">
        <v>3692</v>
      </c>
      <c r="G1089" s="3" t="s">
        <v>398</v>
      </c>
      <c r="H1089" s="11">
        <f t="shared" si="35"/>
        <v>2232.35</v>
      </c>
      <c r="I1089" s="9">
        <f>($K$2+0.02)*Tabla1[[#This Row],[PRECIO $]]*1.18</f>
        <v>2012.136</v>
      </c>
      <c r="J1089" s="7">
        <f>+Tabla1[[#This Row],[PRECIO EN SOLES]]-Tabla1[[#This Row],[PC]]</f>
        <v>220.21399999999994</v>
      </c>
      <c r="K1089" s="15"/>
      <c r="L1089" s="15" t="str">
        <f t="shared" si="34"/>
        <v>GANCHO</v>
      </c>
    </row>
    <row r="1090" spans="1:12" x14ac:dyDescent="0.25">
      <c r="A1090" s="3" t="s">
        <v>399</v>
      </c>
      <c r="B1090" s="3" t="s">
        <v>400</v>
      </c>
      <c r="C1090" s="1">
        <v>20</v>
      </c>
      <c r="D1090" s="1">
        <v>444</v>
      </c>
      <c r="E1090" s="1" t="s">
        <v>74</v>
      </c>
      <c r="F1090" s="1" t="s">
        <v>3693</v>
      </c>
      <c r="G1090" s="3" t="s">
        <v>401</v>
      </c>
      <c r="H1090" s="11">
        <f t="shared" si="35"/>
        <v>2024.57</v>
      </c>
      <c r="I1090" s="9">
        <f>($K$2+0.02)*Tabla1[[#This Row],[PRECIO $]]*1.18</f>
        <v>1823.2415999999998</v>
      </c>
      <c r="J1090" s="7">
        <f>+Tabla1[[#This Row],[PRECIO EN SOLES]]-Tabla1[[#This Row],[PC]]</f>
        <v>201.3284000000001</v>
      </c>
      <c r="K1090" s="15"/>
      <c r="L1090" s="15" t="str">
        <f t="shared" si="34"/>
        <v>GANCHO</v>
      </c>
    </row>
    <row r="1091" spans="1:12" x14ac:dyDescent="0.25">
      <c r="A1091" s="3" t="s">
        <v>6843</v>
      </c>
      <c r="B1091" s="3" t="s">
        <v>6844</v>
      </c>
      <c r="C1091" s="1">
        <v>9</v>
      </c>
      <c r="D1091" s="1">
        <v>575</v>
      </c>
      <c r="E1091" s="1" t="s">
        <v>74</v>
      </c>
      <c r="F1091" s="1" t="s">
        <v>6845</v>
      </c>
      <c r="G1091" s="3" t="s">
        <v>6846</v>
      </c>
      <c r="H1091" s="11">
        <f t="shared" si="35"/>
        <v>2616.3000000000002</v>
      </c>
      <c r="I1091" s="9">
        <f>($K$2+0.02)*Tabla1[[#This Row],[PRECIO $]]*1.18</f>
        <v>2361.1799999999998</v>
      </c>
      <c r="J1091" s="7">
        <f>+Tabla1[[#This Row],[PRECIO EN SOLES]]-Tabla1[[#This Row],[PC]]</f>
        <v>255.12000000000035</v>
      </c>
      <c r="K1091" s="15"/>
      <c r="L1091" s="15" t="str">
        <f t="shared" si="34"/>
        <v>GANCHO</v>
      </c>
    </row>
    <row r="1092" spans="1:12" x14ac:dyDescent="0.25">
      <c r="A1092" s="3" t="s">
        <v>6847</v>
      </c>
      <c r="B1092" s="3" t="s">
        <v>6848</v>
      </c>
      <c r="C1092" s="1">
        <v>5</v>
      </c>
      <c r="D1092" s="1">
        <v>525</v>
      </c>
      <c r="E1092" s="1" t="s">
        <v>74</v>
      </c>
      <c r="F1092" s="1" t="s">
        <v>6849</v>
      </c>
      <c r="G1092" s="3"/>
      <c r="H1092" s="11">
        <f t="shared" si="35"/>
        <v>2390.4499999999998</v>
      </c>
      <c r="I1092" s="9">
        <f>($K$2+0.02)*Tabla1[[#This Row],[PRECIO $]]*1.18</f>
        <v>2155.8599999999997</v>
      </c>
      <c r="J1092" s="7">
        <f>+Tabla1[[#This Row],[PRECIO EN SOLES]]-Tabla1[[#This Row],[PC]]</f>
        <v>234.59000000000015</v>
      </c>
      <c r="K1092" s="15"/>
      <c r="L1092" s="15" t="str">
        <f t="shared" si="34"/>
        <v>GANCHO</v>
      </c>
    </row>
    <row r="1093" spans="1:12" x14ac:dyDescent="0.25">
      <c r="A1093" s="3" t="s">
        <v>6617</v>
      </c>
      <c r="B1093" s="3" t="s">
        <v>6618</v>
      </c>
      <c r="C1093" s="1">
        <v>5</v>
      </c>
      <c r="D1093" s="1">
        <v>970</v>
      </c>
      <c r="E1093" s="1" t="s">
        <v>910</v>
      </c>
      <c r="F1093" s="1" t="s">
        <v>6619</v>
      </c>
      <c r="G1093" s="3" t="s">
        <v>6620</v>
      </c>
      <c r="H1093" s="11">
        <f t="shared" si="35"/>
        <v>4400.53</v>
      </c>
      <c r="I1093" s="9">
        <f>($K$2+0.02)*Tabla1[[#This Row],[PRECIO $]]*1.18</f>
        <v>3983.2079999999996</v>
      </c>
      <c r="J1093" s="7">
        <f>+Tabla1[[#This Row],[PRECIO EN SOLES]]-Tabla1[[#This Row],[PC]]</f>
        <v>417.32200000000012</v>
      </c>
      <c r="K1093" s="15"/>
      <c r="L1093" s="15" t="str">
        <f t="shared" si="34"/>
        <v>GANCHO</v>
      </c>
    </row>
    <row r="1094" spans="1:12" x14ac:dyDescent="0.25">
      <c r="A1094" s="3" t="s">
        <v>1805</v>
      </c>
      <c r="B1094" s="3" t="s">
        <v>1806</v>
      </c>
      <c r="C1094" s="1">
        <v>20</v>
      </c>
      <c r="D1094" s="1">
        <v>684</v>
      </c>
      <c r="E1094" s="1" t="s">
        <v>910</v>
      </c>
      <c r="F1094" s="1" t="s">
        <v>3694</v>
      </c>
      <c r="G1094" s="3" t="s">
        <v>5010</v>
      </c>
      <c r="H1094" s="11">
        <f t="shared" si="35"/>
        <v>3108.66</v>
      </c>
      <c r="I1094" s="9">
        <f>($K$2+0.02)*Tabla1[[#This Row],[PRECIO $]]*1.18</f>
        <v>2808.7775999999999</v>
      </c>
      <c r="J1094" s="7">
        <f>+Tabla1[[#This Row],[PRECIO EN SOLES]]-Tabla1[[#This Row],[PC]]</f>
        <v>299.88239999999996</v>
      </c>
      <c r="K1094" s="15"/>
      <c r="L1094" s="15" t="str">
        <f t="shared" si="34"/>
        <v>GANCHO</v>
      </c>
    </row>
    <row r="1095" spans="1:12" x14ac:dyDescent="0.25">
      <c r="A1095" s="3" t="s">
        <v>4653</v>
      </c>
      <c r="B1095" s="3" t="s">
        <v>4654</v>
      </c>
      <c r="C1095" s="1">
        <v>20</v>
      </c>
      <c r="D1095" s="1">
        <v>627</v>
      </c>
      <c r="E1095" s="1" t="s">
        <v>367</v>
      </c>
      <c r="F1095" s="1" t="s">
        <v>4655</v>
      </c>
      <c r="G1095" s="3" t="s">
        <v>4656</v>
      </c>
      <c r="H1095" s="11">
        <f t="shared" si="35"/>
        <v>2851.18</v>
      </c>
      <c r="I1095" s="9">
        <f>($K$2+0.02)*Tabla1[[#This Row],[PRECIO $]]*1.18</f>
        <v>2574.7127999999998</v>
      </c>
      <c r="J1095" s="7">
        <f>+Tabla1[[#This Row],[PRECIO EN SOLES]]-Tabla1[[#This Row],[PC]]</f>
        <v>276.46720000000005</v>
      </c>
      <c r="K1095" s="15"/>
      <c r="L1095" s="15" t="str">
        <f t="shared" si="34"/>
        <v>GANCHO</v>
      </c>
    </row>
    <row r="1096" spans="1:12" x14ac:dyDescent="0.25">
      <c r="A1096" s="3" t="s">
        <v>402</v>
      </c>
      <c r="B1096" s="3" t="s">
        <v>403</v>
      </c>
      <c r="C1096" s="1">
        <v>20</v>
      </c>
      <c r="D1096" s="1">
        <v>647</v>
      </c>
      <c r="E1096" s="1" t="s">
        <v>56</v>
      </c>
      <c r="F1096" s="1" t="s">
        <v>3695</v>
      </c>
      <c r="G1096" s="3" t="s">
        <v>404</v>
      </c>
      <c r="H1096" s="11">
        <f t="shared" si="35"/>
        <v>2941.52</v>
      </c>
      <c r="I1096" s="9">
        <f>($K$2+0.02)*Tabla1[[#This Row],[PRECIO $]]*1.18</f>
        <v>2656.8407999999999</v>
      </c>
      <c r="J1096" s="7">
        <f>+Tabla1[[#This Row],[PRECIO EN SOLES]]-Tabla1[[#This Row],[PC]]</f>
        <v>284.67920000000004</v>
      </c>
      <c r="K1096" s="15"/>
      <c r="L1096" s="15" t="str">
        <f t="shared" si="34"/>
        <v>GANCHO</v>
      </c>
    </row>
    <row r="1097" spans="1:12" x14ac:dyDescent="0.25">
      <c r="A1097" s="3" t="s">
        <v>1807</v>
      </c>
      <c r="B1097" s="3" t="s">
        <v>1808</v>
      </c>
      <c r="C1097" s="1">
        <v>20</v>
      </c>
      <c r="D1097" s="1">
        <v>931</v>
      </c>
      <c r="E1097" s="1" t="s">
        <v>276</v>
      </c>
      <c r="F1097" s="1" t="s">
        <v>3696</v>
      </c>
      <c r="G1097" s="3" t="s">
        <v>405</v>
      </c>
      <c r="H1097" s="11">
        <f t="shared" si="35"/>
        <v>4224.3599999999997</v>
      </c>
      <c r="I1097" s="9">
        <f>($K$2+0.02)*Tabla1[[#This Row],[PRECIO $]]*1.18</f>
        <v>3823.0583999999999</v>
      </c>
      <c r="J1097" s="7">
        <f>+Tabla1[[#This Row],[PRECIO EN SOLES]]-Tabla1[[#This Row],[PC]]</f>
        <v>401.30159999999978</v>
      </c>
      <c r="K1097" s="15"/>
      <c r="L1097" s="15" t="str">
        <f t="shared" si="34"/>
        <v>GANCHO</v>
      </c>
    </row>
    <row r="1098" spans="1:12" x14ac:dyDescent="0.25">
      <c r="A1098" s="3" t="s">
        <v>1809</v>
      </c>
      <c r="B1098" s="3" t="s">
        <v>1810</v>
      </c>
      <c r="C1098" s="1">
        <v>20</v>
      </c>
      <c r="D1098" s="1">
        <v>695</v>
      </c>
      <c r="E1098" s="1" t="s">
        <v>276</v>
      </c>
      <c r="F1098" s="1" t="s">
        <v>3697</v>
      </c>
      <c r="G1098" s="3" t="s">
        <v>405</v>
      </c>
      <c r="H1098" s="11">
        <f t="shared" si="35"/>
        <v>3158.34</v>
      </c>
      <c r="I1098" s="9">
        <f>($K$2+0.02)*Tabla1[[#This Row],[PRECIO $]]*1.18</f>
        <v>2853.9479999999999</v>
      </c>
      <c r="J1098" s="7">
        <f>+Tabla1[[#This Row],[PRECIO EN SOLES]]-Tabla1[[#This Row],[PC]]</f>
        <v>304.39200000000028</v>
      </c>
      <c r="K1098" s="15"/>
      <c r="L1098" s="15" t="str">
        <f t="shared" si="34"/>
        <v>GANCHO</v>
      </c>
    </row>
    <row r="1099" spans="1:12" x14ac:dyDescent="0.25">
      <c r="A1099" s="3" t="s">
        <v>1811</v>
      </c>
      <c r="B1099" s="3" t="s">
        <v>1812</v>
      </c>
      <c r="C1099" s="1">
        <v>20</v>
      </c>
      <c r="D1099" s="1">
        <v>654</v>
      </c>
      <c r="E1099" s="1" t="s">
        <v>276</v>
      </c>
      <c r="F1099" s="1" t="s">
        <v>3698</v>
      </c>
      <c r="G1099" s="3" t="s">
        <v>1813</v>
      </c>
      <c r="H1099" s="11">
        <f t="shared" si="35"/>
        <v>2973.14</v>
      </c>
      <c r="I1099" s="9">
        <f>($K$2+0.02)*Tabla1[[#This Row],[PRECIO $]]*1.18</f>
        <v>2685.5855999999999</v>
      </c>
      <c r="J1099" s="7">
        <f>+Tabla1[[#This Row],[PRECIO EN SOLES]]-Tabla1[[#This Row],[PC]]</f>
        <v>287.55439999999999</v>
      </c>
      <c r="K1099" s="15"/>
      <c r="L1099" s="15" t="str">
        <f t="shared" si="34"/>
        <v>GANCHO</v>
      </c>
    </row>
    <row r="1100" spans="1:12" x14ac:dyDescent="0.25">
      <c r="A1100" s="3" t="s">
        <v>406</v>
      </c>
      <c r="B1100" s="3" t="s">
        <v>407</v>
      </c>
      <c r="C1100" s="1">
        <v>20</v>
      </c>
      <c r="D1100" s="1">
        <v>662</v>
      </c>
      <c r="E1100" s="1" t="s">
        <v>276</v>
      </c>
      <c r="F1100" s="1" t="s">
        <v>3699</v>
      </c>
      <c r="G1100" s="3" t="s">
        <v>405</v>
      </c>
      <c r="H1100" s="11">
        <f t="shared" si="35"/>
        <v>3009.28</v>
      </c>
      <c r="I1100" s="9">
        <f>($K$2+0.02)*Tabla1[[#This Row],[PRECIO $]]*1.18</f>
        <v>2718.4367999999995</v>
      </c>
      <c r="J1100" s="7">
        <f>+Tabla1[[#This Row],[PRECIO EN SOLES]]-Tabla1[[#This Row],[PC]]</f>
        <v>290.84320000000071</v>
      </c>
      <c r="K1100" s="15"/>
      <c r="L1100" s="15" t="str">
        <f t="shared" si="34"/>
        <v>GANCHO</v>
      </c>
    </row>
    <row r="1101" spans="1:12" x14ac:dyDescent="0.25">
      <c r="A1101" s="3" t="s">
        <v>6850</v>
      </c>
      <c r="B1101" s="3" t="s">
        <v>6851</v>
      </c>
      <c r="C1101" s="1">
        <v>0</v>
      </c>
      <c r="D1101" s="1">
        <v>690</v>
      </c>
      <c r="E1101" s="1" t="s">
        <v>74</v>
      </c>
      <c r="F1101" s="1" t="s">
        <v>6852</v>
      </c>
      <c r="G1101" s="3" t="s">
        <v>6853</v>
      </c>
      <c r="H1101" s="11">
        <f t="shared" si="35"/>
        <v>3135.76</v>
      </c>
      <c r="I1101" s="9">
        <f>($K$2+0.02)*Tabla1[[#This Row],[PRECIO $]]*1.18</f>
        <v>2833.4159999999997</v>
      </c>
      <c r="J1101" s="7">
        <f>+Tabla1[[#This Row],[PRECIO EN SOLES]]-Tabla1[[#This Row],[PC]]</f>
        <v>302.34400000000051</v>
      </c>
      <c r="K1101" s="15"/>
      <c r="L1101" s="15" t="str">
        <f t="shared" si="34"/>
        <v>GANCHO</v>
      </c>
    </row>
    <row r="1102" spans="1:12" x14ac:dyDescent="0.25">
      <c r="A1102" s="3" t="s">
        <v>4657</v>
      </c>
      <c r="B1102" s="3" t="s">
        <v>4658</v>
      </c>
      <c r="C1102" s="1">
        <v>20</v>
      </c>
      <c r="D1102" s="1">
        <v>639</v>
      </c>
      <c r="E1102" s="1" t="s">
        <v>74</v>
      </c>
      <c r="F1102" s="1" t="s">
        <v>4659</v>
      </c>
      <c r="G1102" s="3" t="s">
        <v>6355</v>
      </c>
      <c r="H1102" s="11">
        <f t="shared" si="35"/>
        <v>2905.39</v>
      </c>
      <c r="I1102" s="9">
        <f>($K$2+0.02)*Tabla1[[#This Row],[PRECIO $]]*1.18</f>
        <v>2623.9895999999994</v>
      </c>
      <c r="J1102" s="7">
        <f>+Tabla1[[#This Row],[PRECIO EN SOLES]]-Tabla1[[#This Row],[PC]]</f>
        <v>281.40040000000045</v>
      </c>
      <c r="K1102" s="15"/>
      <c r="L1102" s="15" t="str">
        <f t="shared" si="34"/>
        <v>GANCHO</v>
      </c>
    </row>
    <row r="1103" spans="1:12" x14ac:dyDescent="0.25">
      <c r="A1103" s="3" t="s">
        <v>1814</v>
      </c>
      <c r="B1103" s="3" t="s">
        <v>1815</v>
      </c>
      <c r="C1103" s="1">
        <v>20</v>
      </c>
      <c r="D1103" s="1">
        <v>1355</v>
      </c>
      <c r="E1103" s="1" t="s">
        <v>837</v>
      </c>
      <c r="F1103" s="1" t="s">
        <v>3700</v>
      </c>
      <c r="G1103" s="3" t="s">
        <v>1816</v>
      </c>
      <c r="H1103" s="11">
        <f t="shared" si="35"/>
        <v>6139.59</v>
      </c>
      <c r="I1103" s="9">
        <f>($K$2+0.02)*Tabla1[[#This Row],[PRECIO $]]*1.18</f>
        <v>5564.1719999999996</v>
      </c>
      <c r="J1103" s="7">
        <f>+Tabla1[[#This Row],[PRECIO EN SOLES]]-Tabla1[[#This Row],[PC]]</f>
        <v>575.41800000000057</v>
      </c>
      <c r="K1103" s="15"/>
      <c r="L1103" s="15" t="str">
        <f t="shared" si="34"/>
        <v>GANCHO</v>
      </c>
    </row>
    <row r="1104" spans="1:12" x14ac:dyDescent="0.25">
      <c r="A1104" s="3" t="s">
        <v>1817</v>
      </c>
      <c r="B1104" s="3" t="s">
        <v>1818</v>
      </c>
      <c r="C1104" s="1">
        <v>20</v>
      </c>
      <c r="D1104" s="1">
        <v>1149</v>
      </c>
      <c r="E1104" s="1" t="s">
        <v>837</v>
      </c>
      <c r="F1104" s="1" t="s">
        <v>3701</v>
      </c>
      <c r="G1104" s="3" t="s">
        <v>1819</v>
      </c>
      <c r="H1104" s="11">
        <f t="shared" si="35"/>
        <v>5209.08</v>
      </c>
      <c r="I1104" s="9">
        <f>($K$2+0.02)*Tabla1[[#This Row],[PRECIO $]]*1.18</f>
        <v>4718.2536</v>
      </c>
      <c r="J1104" s="7">
        <f>+Tabla1[[#This Row],[PRECIO EN SOLES]]-Tabla1[[#This Row],[PC]]</f>
        <v>490.82639999999992</v>
      </c>
      <c r="K1104" s="15"/>
      <c r="L1104" s="15" t="str">
        <f t="shared" ref="L1104:L1167" si="36"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5" spans="1:12" x14ac:dyDescent="0.25">
      <c r="A1105" s="3" t="s">
        <v>1820</v>
      </c>
      <c r="B1105" s="3" t="s">
        <v>1821</v>
      </c>
      <c r="C1105" s="1">
        <v>1</v>
      </c>
      <c r="D1105" s="1">
        <v>1647</v>
      </c>
      <c r="E1105" s="1" t="s">
        <v>837</v>
      </c>
      <c r="F1105" s="1" t="s">
        <v>3702</v>
      </c>
      <c r="G1105" s="3" t="s">
        <v>1822</v>
      </c>
      <c r="H1105" s="11">
        <f t="shared" si="35"/>
        <v>7458.56</v>
      </c>
      <c r="I1105" s="9">
        <f>($K$2+0.02)*Tabla1[[#This Row],[PRECIO $]]*1.18</f>
        <v>6763.2408000000005</v>
      </c>
      <c r="J1105" s="7">
        <f>+Tabla1[[#This Row],[PRECIO EN SOLES]]-Tabla1[[#This Row],[PC]]</f>
        <v>695.31919999999991</v>
      </c>
      <c r="K1105" s="15"/>
      <c r="L1105" s="15" t="str">
        <f t="shared" si="36"/>
        <v>GANCHO</v>
      </c>
    </row>
    <row r="1106" spans="1:12" x14ac:dyDescent="0.25">
      <c r="A1106" s="3" t="s">
        <v>1823</v>
      </c>
      <c r="B1106" s="3" t="s">
        <v>1824</v>
      </c>
      <c r="C1106" s="1">
        <v>20</v>
      </c>
      <c r="D1106" s="1">
        <v>1385</v>
      </c>
      <c r="E1106" s="1" t="s">
        <v>837</v>
      </c>
      <c r="F1106" s="1" t="s">
        <v>3703</v>
      </c>
      <c r="G1106" s="3"/>
      <c r="H1106" s="11">
        <f t="shared" ref="H1106:H1169" si="37">ROUND(
IF(L1104="GANCHO",
   IF(I1106&lt;=50,I1106*1.1+4,IF(I1106&lt;=120,I1106*1.1+7,IF(I1106&lt;=250,I1106*1.1+11,I1106*1.1+19))),
IF(L1104="NORMAL",
   IF(I1106&lt;=30,I1106*1.15+2,IF(I1106&lt;=80,I1106*1.15+4,IF(I1106&lt;=150,I1106*1.15+6,I1106*1.15+8))),
IF(L1104="COMPLEMENTO",
   IF(I1106&lt;=25,I1106*1.25+1.5,IF(I1106&lt;=60,I1106*1.25+3,IF(I1106&lt;=120,I1106*1.25+4,I1106*1.25+5))),
""))),2)</f>
        <v>6275.1</v>
      </c>
      <c r="I1106" s="9">
        <f>($K$2+0.02)*Tabla1[[#This Row],[PRECIO $]]*1.18</f>
        <v>5687.3639999999996</v>
      </c>
      <c r="J1106" s="7">
        <f>+Tabla1[[#This Row],[PRECIO EN SOLES]]-Tabla1[[#This Row],[PC]]</f>
        <v>587.73600000000079</v>
      </c>
      <c r="K1106" s="15"/>
      <c r="L1106" s="15" t="str">
        <f t="shared" si="36"/>
        <v>GANCHO</v>
      </c>
    </row>
    <row r="1107" spans="1:12" x14ac:dyDescent="0.25">
      <c r="A1107" s="3" t="s">
        <v>1825</v>
      </c>
      <c r="B1107" s="3" t="s">
        <v>1826</v>
      </c>
      <c r="C1107" s="1">
        <v>20</v>
      </c>
      <c r="D1107" s="1">
        <v>1437</v>
      </c>
      <c r="E1107" s="1" t="s">
        <v>837</v>
      </c>
      <c r="F1107" s="1" t="s">
        <v>3704</v>
      </c>
      <c r="G1107" s="3"/>
      <c r="H1107" s="11">
        <f t="shared" si="37"/>
        <v>6509.99</v>
      </c>
      <c r="I1107" s="9">
        <f>($K$2+0.02)*Tabla1[[#This Row],[PRECIO $]]*1.18</f>
        <v>5900.8967999999995</v>
      </c>
      <c r="J1107" s="7">
        <f>+Tabla1[[#This Row],[PRECIO EN SOLES]]-Tabla1[[#This Row],[PC]]</f>
        <v>609.09320000000025</v>
      </c>
      <c r="K1107" s="15"/>
      <c r="L1107" s="15" t="str">
        <f t="shared" si="36"/>
        <v>GANCHO</v>
      </c>
    </row>
    <row r="1108" spans="1:12" x14ac:dyDescent="0.25">
      <c r="A1108" s="3" t="s">
        <v>1827</v>
      </c>
      <c r="B1108" s="3" t="s">
        <v>1828</v>
      </c>
      <c r="C1108" s="1">
        <v>20</v>
      </c>
      <c r="D1108" s="1">
        <v>1457</v>
      </c>
      <c r="E1108" s="1" t="s">
        <v>837</v>
      </c>
      <c r="F1108" s="1" t="s">
        <v>3705</v>
      </c>
      <c r="G1108" s="3"/>
      <c r="H1108" s="11">
        <f t="shared" si="37"/>
        <v>6600.33</v>
      </c>
      <c r="I1108" s="9">
        <f>($K$2+0.02)*Tabla1[[#This Row],[PRECIO $]]*1.18</f>
        <v>5983.0247999999992</v>
      </c>
      <c r="J1108" s="7">
        <f>+Tabla1[[#This Row],[PRECIO EN SOLES]]-Tabla1[[#This Row],[PC]]</f>
        <v>617.3052000000007</v>
      </c>
      <c r="K1108" s="15"/>
      <c r="L1108" s="15" t="str">
        <f t="shared" si="36"/>
        <v>GANCHO</v>
      </c>
    </row>
    <row r="1109" spans="1:12" x14ac:dyDescent="0.25">
      <c r="A1109" s="3" t="s">
        <v>6854</v>
      </c>
      <c r="B1109" s="3" t="s">
        <v>6855</v>
      </c>
      <c r="C1109" s="1">
        <v>20</v>
      </c>
      <c r="D1109" s="1">
        <v>1265</v>
      </c>
      <c r="E1109" s="1" t="s">
        <v>910</v>
      </c>
      <c r="F1109" s="1" t="s">
        <v>6856</v>
      </c>
      <c r="G1109" s="3" t="s">
        <v>6857</v>
      </c>
      <c r="H1109" s="11">
        <f t="shared" si="37"/>
        <v>5733.06</v>
      </c>
      <c r="I1109" s="9">
        <f>($K$2+0.02)*Tabla1[[#This Row],[PRECIO $]]*1.18</f>
        <v>5194.5959999999995</v>
      </c>
      <c r="J1109" s="7">
        <f>+Tabla1[[#This Row],[PRECIO EN SOLES]]-Tabla1[[#This Row],[PC]]</f>
        <v>538.46400000000085</v>
      </c>
      <c r="K1109" s="15"/>
      <c r="L1109" s="15" t="str">
        <f t="shared" si="36"/>
        <v>GANCHO</v>
      </c>
    </row>
    <row r="1110" spans="1:12" x14ac:dyDescent="0.25">
      <c r="A1110" s="3" t="s">
        <v>6858</v>
      </c>
      <c r="B1110" s="3" t="s">
        <v>6859</v>
      </c>
      <c r="C1110" s="1">
        <v>20</v>
      </c>
      <c r="D1110" s="1">
        <v>1279</v>
      </c>
      <c r="E1110" s="1" t="s">
        <v>910</v>
      </c>
      <c r="F1110" s="1" t="s">
        <v>6860</v>
      </c>
      <c r="G1110" s="3" t="s">
        <v>6861</v>
      </c>
      <c r="H1110" s="11">
        <f t="shared" si="37"/>
        <v>5796.29</v>
      </c>
      <c r="I1110" s="9">
        <f>($K$2+0.02)*Tabla1[[#This Row],[PRECIO $]]*1.18</f>
        <v>5252.0855999999994</v>
      </c>
      <c r="J1110" s="7">
        <f>+Tabla1[[#This Row],[PRECIO EN SOLES]]-Tabla1[[#This Row],[PC]]</f>
        <v>544.20440000000053</v>
      </c>
      <c r="K1110" s="15"/>
      <c r="L1110" s="15" t="str">
        <f t="shared" si="36"/>
        <v>GANCHO</v>
      </c>
    </row>
    <row r="1111" spans="1:12" x14ac:dyDescent="0.25">
      <c r="A1111" s="3" t="s">
        <v>6555</v>
      </c>
      <c r="B1111" s="3" t="s">
        <v>6556</v>
      </c>
      <c r="C1111" s="1">
        <v>20</v>
      </c>
      <c r="D1111" s="1">
        <v>1694</v>
      </c>
      <c r="E1111" s="1" t="s">
        <v>56</v>
      </c>
      <c r="F1111" s="1" t="s">
        <v>6557</v>
      </c>
      <c r="G1111" s="3" t="s">
        <v>6558</v>
      </c>
      <c r="H1111" s="11">
        <f t="shared" si="37"/>
        <v>7670.87</v>
      </c>
      <c r="I1111" s="9">
        <f>($K$2+0.02)*Tabla1[[#This Row],[PRECIO $]]*1.18</f>
        <v>6956.2415999999994</v>
      </c>
      <c r="J1111" s="7">
        <f>+Tabla1[[#This Row],[PRECIO EN SOLES]]-Tabla1[[#This Row],[PC]]</f>
        <v>714.62840000000051</v>
      </c>
      <c r="K1111" s="15"/>
      <c r="L1111" s="15" t="str">
        <f t="shared" si="36"/>
        <v>GANCHO</v>
      </c>
    </row>
    <row r="1112" spans="1:12" x14ac:dyDescent="0.25">
      <c r="A1112" s="3" t="s">
        <v>2754</v>
      </c>
      <c r="B1112" s="3" t="s">
        <v>6092</v>
      </c>
      <c r="C1112" s="1">
        <v>0</v>
      </c>
      <c r="D1112" s="1">
        <v>1122</v>
      </c>
      <c r="E1112" s="1" t="s">
        <v>56</v>
      </c>
      <c r="F1112" s="1" t="s">
        <v>3706</v>
      </c>
      <c r="G1112" s="3" t="s">
        <v>2766</v>
      </c>
      <c r="H1112" s="11">
        <f t="shared" si="37"/>
        <v>5087.12</v>
      </c>
      <c r="I1112" s="9">
        <f>($K$2+0.02)*Tabla1[[#This Row],[PRECIO $]]*1.18</f>
        <v>4607.3807999999999</v>
      </c>
      <c r="J1112" s="7">
        <f>+Tabla1[[#This Row],[PRECIO EN SOLES]]-Tabla1[[#This Row],[PC]]</f>
        <v>479.73919999999998</v>
      </c>
      <c r="K1112" s="15"/>
      <c r="L1112" s="15" t="str">
        <f t="shared" si="36"/>
        <v>GANCHO</v>
      </c>
    </row>
    <row r="1113" spans="1:12" x14ac:dyDescent="0.25">
      <c r="A1113" s="3" t="s">
        <v>1829</v>
      </c>
      <c r="B1113" s="3" t="s">
        <v>1830</v>
      </c>
      <c r="C1113" s="1">
        <v>0</v>
      </c>
      <c r="D1113" s="1">
        <v>1895</v>
      </c>
      <c r="E1113" s="1" t="s">
        <v>56</v>
      </c>
      <c r="F1113" s="1" t="s">
        <v>3707</v>
      </c>
      <c r="G1113" s="3" t="s">
        <v>1831</v>
      </c>
      <c r="H1113" s="11">
        <f t="shared" si="37"/>
        <v>8578.7900000000009</v>
      </c>
      <c r="I1113" s="9">
        <f>($K$2+0.02)*Tabla1[[#This Row],[PRECIO $]]*1.18</f>
        <v>7781.6279999999997</v>
      </c>
      <c r="J1113" s="7">
        <f>+Tabla1[[#This Row],[PRECIO EN SOLES]]-Tabla1[[#This Row],[PC]]</f>
        <v>797.16200000000117</v>
      </c>
      <c r="K1113" s="15"/>
      <c r="L1113" s="15" t="str">
        <f t="shared" si="36"/>
        <v>GANCHO</v>
      </c>
    </row>
    <row r="1114" spans="1:12" x14ac:dyDescent="0.25">
      <c r="A1114" s="3" t="s">
        <v>1832</v>
      </c>
      <c r="B1114" s="3" t="s">
        <v>1833</v>
      </c>
      <c r="C1114" s="1">
        <v>2</v>
      </c>
      <c r="D1114" s="1">
        <v>2095</v>
      </c>
      <c r="E1114" s="1" t="s">
        <v>56</v>
      </c>
      <c r="F1114" s="1" t="s">
        <v>3708</v>
      </c>
      <c r="G1114" s="3" t="s">
        <v>1834</v>
      </c>
      <c r="H1114" s="11">
        <f t="shared" si="37"/>
        <v>9482.2000000000007</v>
      </c>
      <c r="I1114" s="9">
        <f>($K$2+0.02)*Tabla1[[#This Row],[PRECIO $]]*1.18</f>
        <v>8602.9079999999994</v>
      </c>
      <c r="J1114" s="7">
        <f>+Tabla1[[#This Row],[PRECIO EN SOLES]]-Tabla1[[#This Row],[PC]]</f>
        <v>879.29200000000128</v>
      </c>
      <c r="K1114" s="15"/>
      <c r="L1114" s="15" t="str">
        <f t="shared" si="36"/>
        <v>GANCHO</v>
      </c>
    </row>
    <row r="1115" spans="1:12" x14ac:dyDescent="0.25">
      <c r="A1115" s="3" t="s">
        <v>6862</v>
      </c>
      <c r="B1115" s="3" t="s">
        <v>6863</v>
      </c>
      <c r="C1115" s="1">
        <v>1</v>
      </c>
      <c r="D1115" s="1">
        <v>2593</v>
      </c>
      <c r="E1115" s="1" t="s">
        <v>837</v>
      </c>
      <c r="F1115" s="1" t="s">
        <v>6864</v>
      </c>
      <c r="G1115" s="3" t="s">
        <v>6865</v>
      </c>
      <c r="H1115" s="11">
        <f t="shared" si="37"/>
        <v>11731.68</v>
      </c>
      <c r="I1115" s="9">
        <f>($K$2+0.02)*Tabla1[[#This Row],[PRECIO $]]*1.18</f>
        <v>10647.895199999999</v>
      </c>
      <c r="J1115" s="7">
        <f>+Tabla1[[#This Row],[PRECIO EN SOLES]]-Tabla1[[#This Row],[PC]]</f>
        <v>1083.7848000000013</v>
      </c>
      <c r="K1115" s="15"/>
      <c r="L1115" s="15" t="str">
        <f t="shared" si="36"/>
        <v>GANCHO</v>
      </c>
    </row>
    <row r="1116" spans="1:12" x14ac:dyDescent="0.25">
      <c r="A1116" s="3" t="s">
        <v>2981</v>
      </c>
      <c r="B1116" s="3" t="s">
        <v>2982</v>
      </c>
      <c r="C1116" s="1">
        <v>4</v>
      </c>
      <c r="D1116" s="1">
        <v>2835</v>
      </c>
      <c r="E1116" s="1" t="s">
        <v>837</v>
      </c>
      <c r="F1116" s="1" t="s">
        <v>3709</v>
      </c>
      <c r="G1116" s="3" t="s">
        <v>5011</v>
      </c>
      <c r="H1116" s="11">
        <f t="shared" si="37"/>
        <v>12824.81</v>
      </c>
      <c r="I1116" s="9">
        <f>($K$2+0.02)*Tabla1[[#This Row],[PRECIO $]]*1.18</f>
        <v>11641.643999999998</v>
      </c>
      <c r="J1116" s="7">
        <f>+Tabla1[[#This Row],[PRECIO EN SOLES]]-Tabla1[[#This Row],[PC]]</f>
        <v>1183.1660000000011</v>
      </c>
      <c r="K1116" s="15"/>
      <c r="L1116" s="15" t="str">
        <f t="shared" si="36"/>
        <v>GANCHO</v>
      </c>
    </row>
    <row r="1117" spans="1:12" x14ac:dyDescent="0.25">
      <c r="A1117" s="3" t="s">
        <v>1835</v>
      </c>
      <c r="B1117" s="3" t="s">
        <v>1836</v>
      </c>
      <c r="C1117" s="1">
        <v>0</v>
      </c>
      <c r="D1117" s="1">
        <v>1787</v>
      </c>
      <c r="E1117" s="1" t="s">
        <v>837</v>
      </c>
      <c r="F1117" s="1" t="s">
        <v>3710</v>
      </c>
      <c r="G1117" s="3" t="s">
        <v>1837</v>
      </c>
      <c r="H1117" s="11">
        <f t="shared" si="37"/>
        <v>8090.95</v>
      </c>
      <c r="I1117" s="9">
        <f>($K$2+0.02)*Tabla1[[#This Row],[PRECIO $]]*1.18</f>
        <v>7338.1368000000002</v>
      </c>
      <c r="J1117" s="7">
        <f>+Tabla1[[#This Row],[PRECIO EN SOLES]]-Tabla1[[#This Row],[PC]]</f>
        <v>752.8131999999996</v>
      </c>
      <c r="K1117" s="15"/>
      <c r="L1117" s="15" t="str">
        <f t="shared" si="36"/>
        <v>GANCHO</v>
      </c>
    </row>
    <row r="1118" spans="1:12" x14ac:dyDescent="0.25">
      <c r="A1118" s="3" t="s">
        <v>6621</v>
      </c>
      <c r="B1118" s="3" t="s">
        <v>6622</v>
      </c>
      <c r="C1118" s="1">
        <v>20</v>
      </c>
      <c r="D1118" s="1">
        <v>1947</v>
      </c>
      <c r="E1118" s="1" t="s">
        <v>837</v>
      </c>
      <c r="F1118" s="1" t="s">
        <v>6623</v>
      </c>
      <c r="G1118" s="3" t="s">
        <v>1837</v>
      </c>
      <c r="H1118" s="11">
        <f t="shared" si="37"/>
        <v>8813.68</v>
      </c>
      <c r="I1118" s="9">
        <f>($K$2+0.02)*Tabla1[[#This Row],[PRECIO $]]*1.18</f>
        <v>7995.1607999999997</v>
      </c>
      <c r="J1118" s="7">
        <f>+Tabla1[[#This Row],[PRECIO EN SOLES]]-Tabla1[[#This Row],[PC]]</f>
        <v>818.51920000000064</v>
      </c>
      <c r="K1118" s="15"/>
      <c r="L1118" s="15" t="str">
        <f t="shared" si="36"/>
        <v>GANCHO</v>
      </c>
    </row>
    <row r="1119" spans="1:12" x14ac:dyDescent="0.25">
      <c r="A1119" s="3" t="s">
        <v>6624</v>
      </c>
      <c r="B1119" s="3" t="s">
        <v>6625</v>
      </c>
      <c r="C1119" s="1">
        <v>20</v>
      </c>
      <c r="D1119" s="1">
        <v>2172</v>
      </c>
      <c r="E1119" s="1" t="s">
        <v>837</v>
      </c>
      <c r="F1119" s="1" t="s">
        <v>6626</v>
      </c>
      <c r="G1119" s="3"/>
      <c r="H1119" s="11">
        <f t="shared" si="37"/>
        <v>9830.01</v>
      </c>
      <c r="I1119" s="9">
        <f>($K$2+0.02)*Tabla1[[#This Row],[PRECIO $]]*1.18</f>
        <v>8919.1008000000002</v>
      </c>
      <c r="J1119" s="7">
        <f>+Tabla1[[#This Row],[PRECIO EN SOLES]]-Tabla1[[#This Row],[PC]]</f>
        <v>910.90920000000006</v>
      </c>
      <c r="K1119" s="15"/>
      <c r="L1119" s="15" t="str">
        <f t="shared" si="36"/>
        <v>GANCHO</v>
      </c>
    </row>
    <row r="1120" spans="1:12" x14ac:dyDescent="0.25">
      <c r="A1120" s="3" t="s">
        <v>6627</v>
      </c>
      <c r="B1120" s="3" t="s">
        <v>6628</v>
      </c>
      <c r="C1120" s="1">
        <v>20</v>
      </c>
      <c r="D1120" s="1">
        <v>1992</v>
      </c>
      <c r="E1120" s="1" t="s">
        <v>837</v>
      </c>
      <c r="F1120" s="1" t="s">
        <v>6629</v>
      </c>
      <c r="G1120" s="3"/>
      <c r="H1120" s="11">
        <f t="shared" si="37"/>
        <v>9016.94</v>
      </c>
      <c r="I1120" s="9">
        <f>($K$2+0.02)*Tabla1[[#This Row],[PRECIO $]]*1.18</f>
        <v>8179.9487999999992</v>
      </c>
      <c r="J1120" s="7">
        <f>+Tabla1[[#This Row],[PRECIO EN SOLES]]-Tabla1[[#This Row],[PC]]</f>
        <v>836.9912000000013</v>
      </c>
      <c r="K1120" s="15"/>
      <c r="L1120" s="15" t="str">
        <f t="shared" si="36"/>
        <v>GANCHO</v>
      </c>
    </row>
    <row r="1121" spans="1:12" x14ac:dyDescent="0.25">
      <c r="A1121" s="3" t="s">
        <v>4521</v>
      </c>
      <c r="B1121" s="3" t="s">
        <v>4522</v>
      </c>
      <c r="C1121" s="1">
        <v>20</v>
      </c>
      <c r="D1121" s="1">
        <v>2092</v>
      </c>
      <c r="E1121" s="1" t="s">
        <v>837</v>
      </c>
      <c r="F1121" s="1" t="s">
        <v>4523</v>
      </c>
      <c r="G1121" s="3" t="s">
        <v>5012</v>
      </c>
      <c r="H1121" s="11">
        <f t="shared" si="37"/>
        <v>9468.65</v>
      </c>
      <c r="I1121" s="9">
        <f>($K$2+0.02)*Tabla1[[#This Row],[PRECIO $]]*1.18</f>
        <v>8590.5887999999995</v>
      </c>
      <c r="J1121" s="7">
        <f>+Tabla1[[#This Row],[PRECIO EN SOLES]]-Tabla1[[#This Row],[PC]]</f>
        <v>878.0612000000001</v>
      </c>
      <c r="K1121" s="15"/>
      <c r="L1121" s="15" t="str">
        <f t="shared" si="36"/>
        <v>GANCHO</v>
      </c>
    </row>
    <row r="1122" spans="1:12" x14ac:dyDescent="0.25">
      <c r="A1122" s="3" t="s">
        <v>1838</v>
      </c>
      <c r="B1122" s="3" t="s">
        <v>1839</v>
      </c>
      <c r="C1122" s="1">
        <v>20</v>
      </c>
      <c r="D1122" s="1">
        <v>1860</v>
      </c>
      <c r="E1122" s="1" t="s">
        <v>367</v>
      </c>
      <c r="F1122" s="1" t="s">
        <v>3711</v>
      </c>
      <c r="G1122" s="3" t="s">
        <v>1840</v>
      </c>
      <c r="H1122" s="11">
        <f t="shared" si="37"/>
        <v>8420.69</v>
      </c>
      <c r="I1122" s="9">
        <f>($K$2+0.02)*Tabla1[[#This Row],[PRECIO $]]*1.18</f>
        <v>7637.9039999999995</v>
      </c>
      <c r="J1122" s="7">
        <f>+Tabla1[[#This Row],[PRECIO EN SOLES]]-Tabla1[[#This Row],[PC]]</f>
        <v>782.78600000000097</v>
      </c>
      <c r="K1122" s="15"/>
      <c r="L1122" s="15" t="str">
        <f t="shared" si="36"/>
        <v>GANCHO</v>
      </c>
    </row>
    <row r="1123" spans="1:12" x14ac:dyDescent="0.25">
      <c r="A1123" s="3" t="s">
        <v>1841</v>
      </c>
      <c r="B1123" s="3" t="s">
        <v>1842</v>
      </c>
      <c r="C1123" s="1">
        <v>1</v>
      </c>
      <c r="D1123" s="1">
        <v>1939</v>
      </c>
      <c r="E1123" s="1" t="s">
        <v>1843</v>
      </c>
      <c r="F1123" s="1" t="s">
        <v>3712</v>
      </c>
      <c r="G1123" s="3" t="s">
        <v>1844</v>
      </c>
      <c r="H1123" s="11">
        <f t="shared" si="37"/>
        <v>8777.5400000000009</v>
      </c>
      <c r="I1123" s="9">
        <f>($K$2+0.02)*Tabla1[[#This Row],[PRECIO $]]*1.18</f>
        <v>7962.3095999999996</v>
      </c>
      <c r="J1123" s="7">
        <f>+Tabla1[[#This Row],[PRECIO EN SOLES]]-Tabla1[[#This Row],[PC]]</f>
        <v>815.23040000000128</v>
      </c>
      <c r="K1123" s="15"/>
      <c r="L1123" s="15" t="str">
        <f t="shared" si="36"/>
        <v>GANCHO</v>
      </c>
    </row>
    <row r="1124" spans="1:12" x14ac:dyDescent="0.25">
      <c r="A1124" s="3" t="s">
        <v>1845</v>
      </c>
      <c r="B1124" s="3" t="s">
        <v>1846</v>
      </c>
      <c r="C1124" s="1">
        <v>8</v>
      </c>
      <c r="D1124" s="1">
        <v>2075</v>
      </c>
      <c r="E1124" s="1" t="s">
        <v>367</v>
      </c>
      <c r="F1124" s="1" t="s">
        <v>3713</v>
      </c>
      <c r="G1124" s="3" t="s">
        <v>1847</v>
      </c>
      <c r="H1124" s="11">
        <f t="shared" si="37"/>
        <v>9391.86</v>
      </c>
      <c r="I1124" s="9">
        <f>($K$2+0.02)*Tabla1[[#This Row],[PRECIO $]]*1.18</f>
        <v>8520.7799999999988</v>
      </c>
      <c r="J1124" s="7">
        <f>+Tabla1[[#This Row],[PRECIO EN SOLES]]-Tabla1[[#This Row],[PC]]</f>
        <v>871.08000000000175</v>
      </c>
      <c r="K1124" s="15"/>
      <c r="L1124" s="15" t="str">
        <f t="shared" si="36"/>
        <v>GANCHO</v>
      </c>
    </row>
    <row r="1125" spans="1:12" x14ac:dyDescent="0.25">
      <c r="A1125" s="3" t="s">
        <v>1848</v>
      </c>
      <c r="B1125" s="3" t="s">
        <v>1849</v>
      </c>
      <c r="C1125" s="1">
        <v>15</v>
      </c>
      <c r="D1125" s="1">
        <v>1920</v>
      </c>
      <c r="E1125" s="1" t="s">
        <v>367</v>
      </c>
      <c r="F1125" s="1" t="s">
        <v>3714</v>
      </c>
      <c r="G1125" s="3" t="s">
        <v>1850</v>
      </c>
      <c r="H1125" s="11">
        <f t="shared" si="37"/>
        <v>8691.7199999999993</v>
      </c>
      <c r="I1125" s="9">
        <f>($K$2+0.02)*Tabla1[[#This Row],[PRECIO $]]*1.18</f>
        <v>7884.2880000000005</v>
      </c>
      <c r="J1125" s="7">
        <f>+Tabla1[[#This Row],[PRECIO EN SOLES]]-Tabla1[[#This Row],[PC]]</f>
        <v>807.43199999999888</v>
      </c>
      <c r="K1125" s="15"/>
      <c r="L1125" s="15" t="str">
        <f t="shared" si="36"/>
        <v>GANCHO</v>
      </c>
    </row>
    <row r="1126" spans="1:12" x14ac:dyDescent="0.25">
      <c r="A1126" s="3" t="s">
        <v>1851</v>
      </c>
      <c r="B1126" s="3" t="s">
        <v>1852</v>
      </c>
      <c r="C1126" s="1">
        <v>20</v>
      </c>
      <c r="D1126" s="1">
        <v>4650</v>
      </c>
      <c r="E1126" s="1" t="s">
        <v>367</v>
      </c>
      <c r="F1126" s="1" t="s">
        <v>3715</v>
      </c>
      <c r="G1126" s="3" t="s">
        <v>1853</v>
      </c>
      <c r="H1126" s="11">
        <f t="shared" si="37"/>
        <v>21023.24</v>
      </c>
      <c r="I1126" s="9">
        <f>($K$2+0.02)*Tabla1[[#This Row],[PRECIO $]]*1.18</f>
        <v>19094.759999999998</v>
      </c>
      <c r="J1126" s="7">
        <f>+Tabla1[[#This Row],[PRECIO EN SOLES]]-Tabla1[[#This Row],[PC]]</f>
        <v>1928.4800000000032</v>
      </c>
      <c r="K1126" s="15"/>
      <c r="L1126" s="15" t="str">
        <f t="shared" si="36"/>
        <v>GANCHO</v>
      </c>
    </row>
    <row r="1127" spans="1:12" x14ac:dyDescent="0.25">
      <c r="A1127" s="3" t="s">
        <v>1854</v>
      </c>
      <c r="B1127" s="3" t="s">
        <v>1855</v>
      </c>
      <c r="C1127" s="1">
        <v>20</v>
      </c>
      <c r="D1127" s="1">
        <v>4285.75</v>
      </c>
      <c r="E1127" s="1" t="s">
        <v>74</v>
      </c>
      <c r="F1127" s="1" t="s">
        <v>3716</v>
      </c>
      <c r="G1127" s="3" t="s">
        <v>1856</v>
      </c>
      <c r="H1127" s="11">
        <f t="shared" si="37"/>
        <v>19377.900000000001</v>
      </c>
      <c r="I1127" s="9">
        <f>($K$2+0.02)*Tabla1[[#This Row],[PRECIO $]]*1.18</f>
        <v>17599.003799999999</v>
      </c>
      <c r="J1127" s="7">
        <f>+Tabla1[[#This Row],[PRECIO EN SOLES]]-Tabla1[[#This Row],[PC]]</f>
        <v>1778.8962000000029</v>
      </c>
      <c r="K1127" s="15"/>
      <c r="L1127" s="15" t="str">
        <f t="shared" si="36"/>
        <v>GANCHO</v>
      </c>
    </row>
    <row r="1128" spans="1:12" x14ac:dyDescent="0.25">
      <c r="A1128" s="3" t="s">
        <v>1857</v>
      </c>
      <c r="B1128" s="3" t="s">
        <v>1858</v>
      </c>
      <c r="C1128" s="1">
        <v>20</v>
      </c>
      <c r="D1128" s="1">
        <v>4398.45</v>
      </c>
      <c r="E1128" s="1" t="s">
        <v>74</v>
      </c>
      <c r="F1128" s="1" t="s">
        <v>3717</v>
      </c>
      <c r="G1128" s="3" t="s">
        <v>1856</v>
      </c>
      <c r="H1128" s="11">
        <f t="shared" si="37"/>
        <v>19886.97</v>
      </c>
      <c r="I1128" s="9">
        <f>($K$2+0.02)*Tabla1[[#This Row],[PRECIO $]]*1.18</f>
        <v>18061.79508</v>
      </c>
      <c r="J1128" s="7">
        <f>+Tabla1[[#This Row],[PRECIO EN SOLES]]-Tabla1[[#This Row],[PC]]</f>
        <v>1825.1749200000013</v>
      </c>
      <c r="K1128" s="15"/>
      <c r="L1128" s="15" t="str">
        <f t="shared" si="36"/>
        <v>GANCHO</v>
      </c>
    </row>
    <row r="1129" spans="1:12" x14ac:dyDescent="0.25">
      <c r="A1129" s="3" t="s">
        <v>1859</v>
      </c>
      <c r="B1129" s="3" t="s">
        <v>1860</v>
      </c>
      <c r="C1129" s="1">
        <v>7</v>
      </c>
      <c r="D1129" s="1">
        <v>2554</v>
      </c>
      <c r="E1129" s="1" t="s">
        <v>1843</v>
      </c>
      <c r="F1129" s="1" t="s">
        <v>3718</v>
      </c>
      <c r="G1129" s="3" t="s">
        <v>1861</v>
      </c>
      <c r="H1129" s="11">
        <f t="shared" si="37"/>
        <v>11555.52</v>
      </c>
      <c r="I1129" s="9">
        <f>($K$2+0.02)*Tabla1[[#This Row],[PRECIO $]]*1.18</f>
        <v>10487.7456</v>
      </c>
      <c r="J1129" s="7">
        <f>+Tabla1[[#This Row],[PRECIO EN SOLES]]-Tabla1[[#This Row],[PC]]</f>
        <v>1067.7744000000002</v>
      </c>
      <c r="K1129" s="15"/>
      <c r="L1129" s="15" t="str">
        <f t="shared" si="36"/>
        <v>GANCHO</v>
      </c>
    </row>
    <row r="1130" spans="1:12" x14ac:dyDescent="0.25">
      <c r="A1130" s="3" t="s">
        <v>6093</v>
      </c>
      <c r="B1130" s="3" t="s">
        <v>6094</v>
      </c>
      <c r="C1130" s="1">
        <v>20</v>
      </c>
      <c r="D1130" s="1">
        <v>769</v>
      </c>
      <c r="E1130" s="1" t="s">
        <v>367</v>
      </c>
      <c r="F1130" s="1" t="s">
        <v>6095</v>
      </c>
      <c r="G1130" s="3" t="s">
        <v>6096</v>
      </c>
      <c r="H1130" s="11">
        <f t="shared" si="37"/>
        <v>3492.6</v>
      </c>
      <c r="I1130" s="9">
        <f>($K$2+0.02)*Tabla1[[#This Row],[PRECIO $]]*1.18</f>
        <v>3157.8215999999998</v>
      </c>
      <c r="J1130" s="7">
        <f>+Tabla1[[#This Row],[PRECIO EN SOLES]]-Tabla1[[#This Row],[PC]]</f>
        <v>334.77840000000015</v>
      </c>
      <c r="K1130" s="15"/>
      <c r="L1130" s="15" t="str">
        <f t="shared" si="36"/>
        <v>GANCHO</v>
      </c>
    </row>
    <row r="1131" spans="1:12" x14ac:dyDescent="0.25">
      <c r="A1131" s="3" t="s">
        <v>5461</v>
      </c>
      <c r="B1131" s="3" t="s">
        <v>5462</v>
      </c>
      <c r="C1131" s="1">
        <v>20</v>
      </c>
      <c r="D1131" s="1">
        <v>770.8</v>
      </c>
      <c r="E1131" s="1" t="s">
        <v>367</v>
      </c>
      <c r="F1131" s="1" t="s">
        <v>5463</v>
      </c>
      <c r="G1131" s="3" t="s">
        <v>5464</v>
      </c>
      <c r="H1131" s="11">
        <f t="shared" si="37"/>
        <v>3500.73</v>
      </c>
      <c r="I1131" s="9">
        <f>($K$2+0.02)*Tabla1[[#This Row],[PRECIO $]]*1.18</f>
        <v>3165.2131199999999</v>
      </c>
      <c r="J1131" s="7">
        <f>+Tabla1[[#This Row],[PRECIO EN SOLES]]-Tabla1[[#This Row],[PC]]</f>
        <v>335.51688000000013</v>
      </c>
      <c r="K1131" s="15"/>
      <c r="L1131" s="15" t="str">
        <f t="shared" si="36"/>
        <v>GANCHO</v>
      </c>
    </row>
    <row r="1132" spans="1:12" x14ac:dyDescent="0.25">
      <c r="A1132" s="3" t="s">
        <v>1862</v>
      </c>
      <c r="B1132" s="3" t="s">
        <v>1863</v>
      </c>
      <c r="C1132" s="1">
        <v>20</v>
      </c>
      <c r="D1132" s="1">
        <v>1241</v>
      </c>
      <c r="E1132" s="1" t="s">
        <v>1843</v>
      </c>
      <c r="F1132" s="1" t="s">
        <v>3719</v>
      </c>
      <c r="G1132" s="3" t="s">
        <v>1864</v>
      </c>
      <c r="H1132" s="11">
        <f t="shared" si="37"/>
        <v>5624.65</v>
      </c>
      <c r="I1132" s="9">
        <f>($K$2+0.02)*Tabla1[[#This Row],[PRECIO $]]*1.18</f>
        <v>5096.0424000000003</v>
      </c>
      <c r="J1132" s="7">
        <f>+Tabla1[[#This Row],[PRECIO EN SOLES]]-Tabla1[[#This Row],[PC]]</f>
        <v>528.60759999999937</v>
      </c>
      <c r="K1132" s="15"/>
      <c r="L1132" s="15" t="str">
        <f t="shared" si="36"/>
        <v>GANCHO</v>
      </c>
    </row>
    <row r="1133" spans="1:12" x14ac:dyDescent="0.25">
      <c r="A1133" s="3" t="s">
        <v>1865</v>
      </c>
      <c r="B1133" s="3" t="s">
        <v>1866</v>
      </c>
      <c r="C1133" s="1">
        <v>20</v>
      </c>
      <c r="D1133" s="1">
        <v>675</v>
      </c>
      <c r="E1133" s="1" t="s">
        <v>367</v>
      </c>
      <c r="F1133" s="1" t="s">
        <v>3720</v>
      </c>
      <c r="G1133" s="3" t="s">
        <v>1867</v>
      </c>
      <c r="H1133" s="11">
        <f t="shared" si="37"/>
        <v>3068</v>
      </c>
      <c r="I1133" s="9">
        <f>($K$2+0.02)*Tabla1[[#This Row],[PRECIO $]]*1.18</f>
        <v>2771.8199999999997</v>
      </c>
      <c r="J1133" s="7">
        <f>+Tabla1[[#This Row],[PRECIO EN SOLES]]-Tabla1[[#This Row],[PC]]</f>
        <v>296.18000000000029</v>
      </c>
      <c r="K1133" s="15"/>
      <c r="L1133" s="15" t="str">
        <f t="shared" si="36"/>
        <v>GANCHO</v>
      </c>
    </row>
    <row r="1134" spans="1:12" x14ac:dyDescent="0.25">
      <c r="A1134" s="3" t="s">
        <v>408</v>
      </c>
      <c r="B1134" s="3" t="s">
        <v>409</v>
      </c>
      <c r="C1134" s="1">
        <v>20</v>
      </c>
      <c r="D1134" s="1">
        <v>664</v>
      </c>
      <c r="E1134" s="1" t="s">
        <v>74</v>
      </c>
      <c r="F1134" s="1" t="s">
        <v>3721</v>
      </c>
      <c r="G1134" s="3" t="s">
        <v>410</v>
      </c>
      <c r="H1134" s="11">
        <f t="shared" si="37"/>
        <v>3018.31</v>
      </c>
      <c r="I1134" s="9">
        <f>($K$2+0.02)*Tabla1[[#This Row],[PRECIO $]]*1.18</f>
        <v>2726.6495999999997</v>
      </c>
      <c r="J1134" s="7">
        <f>+Tabla1[[#This Row],[PRECIO EN SOLES]]-Tabla1[[#This Row],[PC]]</f>
        <v>291.66040000000021</v>
      </c>
      <c r="K1134" s="15"/>
      <c r="L1134" s="15" t="str">
        <f t="shared" si="36"/>
        <v>GANCHO</v>
      </c>
    </row>
    <row r="1135" spans="1:12" x14ac:dyDescent="0.25">
      <c r="A1135" s="3" t="s">
        <v>6097</v>
      </c>
      <c r="B1135" s="3" t="s">
        <v>6098</v>
      </c>
      <c r="C1135" s="1">
        <v>13</v>
      </c>
      <c r="D1135" s="1">
        <v>910</v>
      </c>
      <c r="E1135" s="1" t="s">
        <v>74</v>
      </c>
      <c r="F1135" s="1" t="s">
        <v>6099</v>
      </c>
      <c r="G1135" s="3" t="s">
        <v>6100</v>
      </c>
      <c r="H1135" s="11">
        <f t="shared" si="37"/>
        <v>4129.51</v>
      </c>
      <c r="I1135" s="9">
        <f>($K$2+0.02)*Tabla1[[#This Row],[PRECIO $]]*1.18</f>
        <v>3736.8240000000001</v>
      </c>
      <c r="J1135" s="7">
        <f>+Tabla1[[#This Row],[PRECIO EN SOLES]]-Tabla1[[#This Row],[PC]]</f>
        <v>392.68600000000015</v>
      </c>
      <c r="K1135" s="15"/>
      <c r="L1135" s="15" t="str">
        <f t="shared" si="36"/>
        <v>GANCHO</v>
      </c>
    </row>
    <row r="1136" spans="1:12" x14ac:dyDescent="0.25">
      <c r="A1136" s="3" t="s">
        <v>6101</v>
      </c>
      <c r="B1136" s="3" t="s">
        <v>6102</v>
      </c>
      <c r="C1136" s="1">
        <v>0</v>
      </c>
      <c r="D1136" s="1">
        <v>774</v>
      </c>
      <c r="E1136" s="1" t="s">
        <v>74</v>
      </c>
      <c r="F1136" s="1" t="s">
        <v>6103</v>
      </c>
      <c r="G1136" s="3" t="s">
        <v>6104</v>
      </c>
      <c r="H1136" s="11">
        <f t="shared" si="37"/>
        <v>3515.19</v>
      </c>
      <c r="I1136" s="9">
        <f>($K$2+0.02)*Tabla1[[#This Row],[PRECIO $]]*1.18</f>
        <v>3178.3535999999999</v>
      </c>
      <c r="J1136" s="7">
        <f>+Tabla1[[#This Row],[PRECIO EN SOLES]]-Tabla1[[#This Row],[PC]]</f>
        <v>336.83640000000014</v>
      </c>
      <c r="K1136" s="15"/>
      <c r="L1136" s="15" t="str">
        <f t="shared" si="36"/>
        <v>GANCHO</v>
      </c>
    </row>
    <row r="1137" spans="1:12" x14ac:dyDescent="0.25">
      <c r="A1137" s="3" t="s">
        <v>613</v>
      </c>
      <c r="B1137" s="3" t="s">
        <v>614</v>
      </c>
      <c r="C1137" s="1">
        <v>20</v>
      </c>
      <c r="D1137" s="1">
        <v>718</v>
      </c>
      <c r="E1137" s="1" t="s">
        <v>74</v>
      </c>
      <c r="F1137" s="1" t="s">
        <v>3722</v>
      </c>
      <c r="G1137" s="3" t="s">
        <v>678</v>
      </c>
      <c r="H1137" s="11">
        <f t="shared" si="37"/>
        <v>3262.23</v>
      </c>
      <c r="I1137" s="9">
        <f>($K$2+0.02)*Tabla1[[#This Row],[PRECIO $]]*1.18</f>
        <v>2948.3951999999995</v>
      </c>
      <c r="J1137" s="7">
        <f>+Tabla1[[#This Row],[PRECIO EN SOLES]]-Tabla1[[#This Row],[PC]]</f>
        <v>313.83480000000054</v>
      </c>
      <c r="K1137" s="15"/>
      <c r="L1137" s="15" t="str">
        <f t="shared" si="36"/>
        <v>GANCHO</v>
      </c>
    </row>
    <row r="1138" spans="1:12" x14ac:dyDescent="0.25">
      <c r="A1138" s="3" t="s">
        <v>1868</v>
      </c>
      <c r="B1138" s="3" t="s">
        <v>1869</v>
      </c>
      <c r="C1138" s="1">
        <v>20</v>
      </c>
      <c r="D1138" s="1">
        <v>696</v>
      </c>
      <c r="E1138" s="1" t="s">
        <v>1843</v>
      </c>
      <c r="F1138" s="1" t="s">
        <v>3723</v>
      </c>
      <c r="G1138" s="3" t="s">
        <v>1870</v>
      </c>
      <c r="H1138" s="11">
        <f t="shared" si="37"/>
        <v>3162.86</v>
      </c>
      <c r="I1138" s="9">
        <f>($K$2+0.02)*Tabla1[[#This Row],[PRECIO $]]*1.18</f>
        <v>2858.0544</v>
      </c>
      <c r="J1138" s="7">
        <f>+Tabla1[[#This Row],[PRECIO EN SOLES]]-Tabla1[[#This Row],[PC]]</f>
        <v>304.80560000000014</v>
      </c>
      <c r="K1138" s="15"/>
      <c r="L1138" s="15" t="str">
        <f t="shared" si="36"/>
        <v>GANCHO</v>
      </c>
    </row>
    <row r="1139" spans="1:12" x14ac:dyDescent="0.25">
      <c r="A1139" s="3" t="s">
        <v>1871</v>
      </c>
      <c r="B1139" s="3" t="s">
        <v>1872</v>
      </c>
      <c r="C1139" s="1">
        <v>2</v>
      </c>
      <c r="D1139" s="1">
        <v>750</v>
      </c>
      <c r="E1139" s="1" t="s">
        <v>1843</v>
      </c>
      <c r="F1139" s="1" t="s">
        <v>3724</v>
      </c>
      <c r="G1139" s="3"/>
      <c r="H1139" s="11">
        <f t="shared" si="37"/>
        <v>3406.78</v>
      </c>
      <c r="I1139" s="9">
        <f>($K$2+0.02)*Tabla1[[#This Row],[PRECIO $]]*1.18</f>
        <v>3079.7999999999997</v>
      </c>
      <c r="J1139" s="7">
        <f>+Tabla1[[#This Row],[PRECIO EN SOLES]]-Tabla1[[#This Row],[PC]]</f>
        <v>326.98000000000047</v>
      </c>
      <c r="K1139" s="15"/>
      <c r="L1139" s="15" t="str">
        <f t="shared" si="36"/>
        <v>GANCHO</v>
      </c>
    </row>
    <row r="1140" spans="1:12" x14ac:dyDescent="0.25">
      <c r="A1140" s="3" t="s">
        <v>6105</v>
      </c>
      <c r="B1140" s="3" t="s">
        <v>6106</v>
      </c>
      <c r="C1140" s="1">
        <v>14</v>
      </c>
      <c r="D1140" s="1">
        <v>1148</v>
      </c>
      <c r="E1140" s="1" t="s">
        <v>367</v>
      </c>
      <c r="F1140" s="1" t="s">
        <v>6107</v>
      </c>
      <c r="G1140" s="3" t="s">
        <v>6108</v>
      </c>
      <c r="H1140" s="11">
        <f t="shared" si="37"/>
        <v>5204.5600000000004</v>
      </c>
      <c r="I1140" s="9">
        <f>($K$2+0.02)*Tabla1[[#This Row],[PRECIO $]]*1.18</f>
        <v>4714.1471999999994</v>
      </c>
      <c r="J1140" s="7">
        <f>+Tabla1[[#This Row],[PRECIO EN SOLES]]-Tabla1[[#This Row],[PC]]</f>
        <v>490.41280000000097</v>
      </c>
      <c r="K1140" s="15"/>
      <c r="L1140" s="15" t="str">
        <f t="shared" si="36"/>
        <v>GANCHO</v>
      </c>
    </row>
    <row r="1141" spans="1:12" x14ac:dyDescent="0.25">
      <c r="A1141" s="3" t="s">
        <v>4421</v>
      </c>
      <c r="B1141" s="3" t="s">
        <v>4422</v>
      </c>
      <c r="C1141" s="1">
        <v>10</v>
      </c>
      <c r="D1141" s="1">
        <v>1347</v>
      </c>
      <c r="E1141" s="1" t="s">
        <v>367</v>
      </c>
      <c r="F1141" s="1" t="s">
        <v>4423</v>
      </c>
      <c r="G1141" s="3" t="s">
        <v>4660</v>
      </c>
      <c r="H1141" s="11">
        <f t="shared" si="37"/>
        <v>6103.45</v>
      </c>
      <c r="I1141" s="9">
        <f>($K$2+0.02)*Tabla1[[#This Row],[PRECIO $]]*1.18</f>
        <v>5531.3208000000004</v>
      </c>
      <c r="J1141" s="7">
        <f>+Tabla1[[#This Row],[PRECIO EN SOLES]]-Tabla1[[#This Row],[PC]]</f>
        <v>572.1291999999994</v>
      </c>
      <c r="K1141" s="15"/>
      <c r="L1141" s="15" t="str">
        <f t="shared" si="36"/>
        <v>GANCHO</v>
      </c>
    </row>
    <row r="1142" spans="1:12" x14ac:dyDescent="0.25">
      <c r="A1142" s="3" t="s">
        <v>2755</v>
      </c>
      <c r="B1142" s="3" t="s">
        <v>2756</v>
      </c>
      <c r="C1142" s="1">
        <v>20</v>
      </c>
      <c r="D1142" s="1">
        <v>1282</v>
      </c>
      <c r="E1142" s="1" t="s">
        <v>1843</v>
      </c>
      <c r="F1142" s="1" t="s">
        <v>3725</v>
      </c>
      <c r="G1142" s="3" t="s">
        <v>2767</v>
      </c>
      <c r="H1142" s="11">
        <f t="shared" si="37"/>
        <v>5809.85</v>
      </c>
      <c r="I1142" s="9">
        <f>($K$2+0.02)*Tabla1[[#This Row],[PRECIO $]]*1.18</f>
        <v>5264.4047999999993</v>
      </c>
      <c r="J1142" s="7">
        <f>+Tabla1[[#This Row],[PRECIO EN SOLES]]-Tabla1[[#This Row],[PC]]</f>
        <v>545.44520000000102</v>
      </c>
      <c r="K1142" s="15"/>
      <c r="L1142" s="15" t="str">
        <f t="shared" si="36"/>
        <v>GANCHO</v>
      </c>
    </row>
    <row r="1143" spans="1:12" x14ac:dyDescent="0.25">
      <c r="A1143" s="3" t="s">
        <v>2757</v>
      </c>
      <c r="B1143" s="3" t="s">
        <v>2756</v>
      </c>
      <c r="C1143" s="1">
        <v>20</v>
      </c>
      <c r="D1143" s="1">
        <v>1241</v>
      </c>
      <c r="E1143" s="1" t="s">
        <v>1843</v>
      </c>
      <c r="F1143" s="1" t="s">
        <v>3726</v>
      </c>
      <c r="G1143" s="3" t="s">
        <v>2768</v>
      </c>
      <c r="H1143" s="11">
        <f t="shared" si="37"/>
        <v>5624.65</v>
      </c>
      <c r="I1143" s="9">
        <f>($K$2+0.02)*Tabla1[[#This Row],[PRECIO $]]*1.18</f>
        <v>5096.0424000000003</v>
      </c>
      <c r="J1143" s="7">
        <f>+Tabla1[[#This Row],[PRECIO EN SOLES]]-Tabla1[[#This Row],[PC]]</f>
        <v>528.60759999999937</v>
      </c>
      <c r="K1143" s="15"/>
      <c r="L1143" s="15" t="str">
        <f t="shared" si="36"/>
        <v>GANCHO</v>
      </c>
    </row>
    <row r="1144" spans="1:12" x14ac:dyDescent="0.25">
      <c r="A1144" s="3" t="s">
        <v>6630</v>
      </c>
      <c r="B1144" s="3" t="s">
        <v>6631</v>
      </c>
      <c r="C1144" s="1">
        <v>20</v>
      </c>
      <c r="D1144" s="1">
        <v>1629</v>
      </c>
      <c r="E1144" s="1" t="s">
        <v>74</v>
      </c>
      <c r="F1144" s="1" t="s">
        <v>6632</v>
      </c>
      <c r="G1144" s="3" t="s">
        <v>6633</v>
      </c>
      <c r="H1144" s="11">
        <f t="shared" si="37"/>
        <v>7377.26</v>
      </c>
      <c r="I1144" s="9">
        <f>($K$2+0.02)*Tabla1[[#This Row],[PRECIO $]]*1.18</f>
        <v>6689.3256000000001</v>
      </c>
      <c r="J1144" s="7">
        <f>+Tabla1[[#This Row],[PRECIO EN SOLES]]-Tabla1[[#This Row],[PC]]</f>
        <v>687.9344000000001</v>
      </c>
      <c r="K1144" s="15"/>
      <c r="L1144" s="15" t="str">
        <f t="shared" si="36"/>
        <v>GANCHO</v>
      </c>
    </row>
    <row r="1145" spans="1:12" x14ac:dyDescent="0.25">
      <c r="A1145" s="3" t="s">
        <v>679</v>
      </c>
      <c r="B1145" s="3" t="s">
        <v>680</v>
      </c>
      <c r="C1145" s="1">
        <v>0</v>
      </c>
      <c r="D1145" s="1">
        <v>639</v>
      </c>
      <c r="E1145" s="1" t="s">
        <v>74</v>
      </c>
      <c r="F1145" s="1" t="s">
        <v>3727</v>
      </c>
      <c r="G1145" s="3" t="s">
        <v>681</v>
      </c>
      <c r="H1145" s="11">
        <f t="shared" si="37"/>
        <v>2905.39</v>
      </c>
      <c r="I1145" s="9">
        <f>($K$2+0.02)*Tabla1[[#This Row],[PRECIO $]]*1.18</f>
        <v>2623.9895999999994</v>
      </c>
      <c r="J1145" s="7">
        <f>+Tabla1[[#This Row],[PRECIO EN SOLES]]-Tabla1[[#This Row],[PC]]</f>
        <v>281.40040000000045</v>
      </c>
      <c r="K1145" s="15"/>
      <c r="L1145" s="15" t="str">
        <f t="shared" si="36"/>
        <v>GANCHO</v>
      </c>
    </row>
    <row r="1146" spans="1:12" x14ac:dyDescent="0.25">
      <c r="A1146" s="3" t="s">
        <v>5465</v>
      </c>
      <c r="B1146" s="3" t="s">
        <v>4525</v>
      </c>
      <c r="C1146" s="1">
        <v>20</v>
      </c>
      <c r="D1146" s="1">
        <v>980</v>
      </c>
      <c r="E1146" s="1" t="s">
        <v>367</v>
      </c>
      <c r="F1146" s="1" t="s">
        <v>5466</v>
      </c>
      <c r="G1146" s="3" t="s">
        <v>5467</v>
      </c>
      <c r="H1146" s="11">
        <f t="shared" si="37"/>
        <v>4445.7</v>
      </c>
      <c r="I1146" s="9">
        <f>($K$2+0.02)*Tabla1[[#This Row],[PRECIO $]]*1.18</f>
        <v>4024.2719999999999</v>
      </c>
      <c r="J1146" s="7">
        <f>+Tabla1[[#This Row],[PRECIO EN SOLES]]-Tabla1[[#This Row],[PC]]</f>
        <v>421.42799999999988</v>
      </c>
      <c r="K1146" s="15"/>
      <c r="L1146" s="15" t="str">
        <f t="shared" si="36"/>
        <v>GANCHO</v>
      </c>
    </row>
    <row r="1147" spans="1:12" x14ac:dyDescent="0.25">
      <c r="A1147" s="3" t="s">
        <v>1873</v>
      </c>
      <c r="B1147" s="3" t="s">
        <v>1874</v>
      </c>
      <c r="C1147" s="1">
        <v>20</v>
      </c>
      <c r="D1147" s="1">
        <v>785</v>
      </c>
      <c r="E1147" s="1" t="s">
        <v>367</v>
      </c>
      <c r="F1147" s="1" t="s">
        <v>3728</v>
      </c>
      <c r="G1147" s="3" t="s">
        <v>1875</v>
      </c>
      <c r="H1147" s="11">
        <f t="shared" si="37"/>
        <v>3564.88</v>
      </c>
      <c r="I1147" s="9">
        <f>($K$2+0.02)*Tabla1[[#This Row],[PRECIO $]]*1.18</f>
        <v>3223.5239999999999</v>
      </c>
      <c r="J1147" s="7">
        <f>+Tabla1[[#This Row],[PRECIO EN SOLES]]-Tabla1[[#This Row],[PC]]</f>
        <v>341.35600000000022</v>
      </c>
      <c r="K1147" s="15"/>
      <c r="L1147" s="15" t="str">
        <f t="shared" si="36"/>
        <v>GANCHO</v>
      </c>
    </row>
    <row r="1148" spans="1:12" x14ac:dyDescent="0.25">
      <c r="A1148" s="3" t="s">
        <v>6109</v>
      </c>
      <c r="B1148" s="3" t="s">
        <v>6110</v>
      </c>
      <c r="C1148" s="1">
        <v>1</v>
      </c>
      <c r="D1148" s="1">
        <v>1027</v>
      </c>
      <c r="E1148" s="1" t="s">
        <v>367</v>
      </c>
      <c r="F1148" s="1" t="s">
        <v>6111</v>
      </c>
      <c r="G1148" s="3" t="s">
        <v>6112</v>
      </c>
      <c r="H1148" s="11">
        <f t="shared" si="37"/>
        <v>4658</v>
      </c>
      <c r="I1148" s="9">
        <f>($K$2+0.02)*Tabla1[[#This Row],[PRECIO $]]*1.18</f>
        <v>4217.2727999999997</v>
      </c>
      <c r="J1148" s="7">
        <f>+Tabla1[[#This Row],[PRECIO EN SOLES]]-Tabla1[[#This Row],[PC]]</f>
        <v>440.72720000000027</v>
      </c>
      <c r="K1148" s="15"/>
      <c r="L1148" s="15" t="str">
        <f t="shared" si="36"/>
        <v>GANCHO</v>
      </c>
    </row>
    <row r="1149" spans="1:12" x14ac:dyDescent="0.25">
      <c r="A1149" s="3" t="s">
        <v>4524</v>
      </c>
      <c r="B1149" s="3" t="s">
        <v>4525</v>
      </c>
      <c r="C1149" s="1">
        <v>20</v>
      </c>
      <c r="D1149" s="1">
        <v>980</v>
      </c>
      <c r="E1149" s="1" t="s">
        <v>367</v>
      </c>
      <c r="F1149" s="1" t="s">
        <v>4526</v>
      </c>
      <c r="G1149" s="3" t="s">
        <v>4527</v>
      </c>
      <c r="H1149" s="11">
        <f t="shared" si="37"/>
        <v>4445.7</v>
      </c>
      <c r="I1149" s="9">
        <f>($K$2+0.02)*Tabla1[[#This Row],[PRECIO $]]*1.18</f>
        <v>4024.2719999999999</v>
      </c>
      <c r="J1149" s="7">
        <f>+Tabla1[[#This Row],[PRECIO EN SOLES]]-Tabla1[[#This Row],[PC]]</f>
        <v>421.42799999999988</v>
      </c>
      <c r="K1149" s="15"/>
      <c r="L1149" s="15" t="str">
        <f t="shared" si="36"/>
        <v>GANCHO</v>
      </c>
    </row>
    <row r="1150" spans="1:12" x14ac:dyDescent="0.25">
      <c r="A1150" s="3" t="s">
        <v>1876</v>
      </c>
      <c r="B1150" s="3" t="s">
        <v>1877</v>
      </c>
      <c r="C1150" s="1">
        <v>20</v>
      </c>
      <c r="D1150" s="1">
        <v>687</v>
      </c>
      <c r="E1150" s="1" t="s">
        <v>148</v>
      </c>
      <c r="F1150" s="1" t="s">
        <v>3729</v>
      </c>
      <c r="G1150" s="3" t="s">
        <v>1878</v>
      </c>
      <c r="H1150" s="11">
        <f t="shared" si="37"/>
        <v>3122.21</v>
      </c>
      <c r="I1150" s="9">
        <f>($K$2+0.02)*Tabla1[[#This Row],[PRECIO $]]*1.18</f>
        <v>2821.0967999999993</v>
      </c>
      <c r="J1150" s="7">
        <f>+Tabla1[[#This Row],[PRECIO EN SOLES]]-Tabla1[[#This Row],[PC]]</f>
        <v>301.11320000000069</v>
      </c>
      <c r="K1150" s="15"/>
      <c r="L1150" s="15" t="str">
        <f t="shared" si="36"/>
        <v>GANCHO</v>
      </c>
    </row>
    <row r="1151" spans="1:12" x14ac:dyDescent="0.25">
      <c r="A1151" s="3" t="s">
        <v>6113</v>
      </c>
      <c r="B1151" s="3" t="s">
        <v>6559</v>
      </c>
      <c r="C1151" s="1">
        <v>20</v>
      </c>
      <c r="D1151" s="1">
        <v>1577</v>
      </c>
      <c r="E1151" s="1" t="s">
        <v>148</v>
      </c>
      <c r="F1151" s="1" t="s">
        <v>6114</v>
      </c>
      <c r="G1151" s="3" t="s">
        <v>6866</v>
      </c>
      <c r="H1151" s="11">
        <f t="shared" si="37"/>
        <v>7142.37</v>
      </c>
      <c r="I1151" s="9">
        <f>($K$2+0.02)*Tabla1[[#This Row],[PRECIO $]]*1.18</f>
        <v>6475.7927999999993</v>
      </c>
      <c r="J1151" s="7">
        <f>+Tabla1[[#This Row],[PRECIO EN SOLES]]-Tabla1[[#This Row],[PC]]</f>
        <v>666.57720000000063</v>
      </c>
      <c r="K1151" s="15"/>
      <c r="L1151" s="15" t="str">
        <f t="shared" si="36"/>
        <v>GANCHO</v>
      </c>
    </row>
    <row r="1152" spans="1:12" x14ac:dyDescent="0.25">
      <c r="A1152" s="3" t="s">
        <v>411</v>
      </c>
      <c r="B1152" s="3" t="s">
        <v>412</v>
      </c>
      <c r="C1152" s="1">
        <v>20</v>
      </c>
      <c r="D1152" s="1">
        <v>848</v>
      </c>
      <c r="E1152" s="1" t="s">
        <v>74</v>
      </c>
      <c r="F1152" s="1" t="s">
        <v>3730</v>
      </c>
      <c r="G1152" s="3" t="s">
        <v>413</v>
      </c>
      <c r="H1152" s="11">
        <f t="shared" si="37"/>
        <v>3849.45</v>
      </c>
      <c r="I1152" s="9">
        <f>($K$2+0.02)*Tabla1[[#This Row],[PRECIO $]]*1.18</f>
        <v>3482.2271999999998</v>
      </c>
      <c r="J1152" s="7">
        <f>+Tabla1[[#This Row],[PRECIO EN SOLES]]-Tabla1[[#This Row],[PC]]</f>
        <v>367.22280000000001</v>
      </c>
      <c r="K1152" s="15"/>
      <c r="L1152" s="15" t="str">
        <f t="shared" si="36"/>
        <v>GANCHO</v>
      </c>
    </row>
    <row r="1153" spans="1:12" x14ac:dyDescent="0.25">
      <c r="A1153" s="3" t="s">
        <v>1879</v>
      </c>
      <c r="B1153" s="3" t="s">
        <v>1880</v>
      </c>
      <c r="C1153" s="1">
        <v>20</v>
      </c>
      <c r="D1153" s="1">
        <v>992</v>
      </c>
      <c r="E1153" s="1" t="s">
        <v>74</v>
      </c>
      <c r="F1153" s="1" t="s">
        <v>3731</v>
      </c>
      <c r="G1153" s="3" t="s">
        <v>1881</v>
      </c>
      <c r="H1153" s="11">
        <f t="shared" si="37"/>
        <v>4499.8999999999996</v>
      </c>
      <c r="I1153" s="9">
        <f>($K$2+0.02)*Tabla1[[#This Row],[PRECIO $]]*1.18</f>
        <v>4073.5487999999996</v>
      </c>
      <c r="J1153" s="7">
        <f>+Tabla1[[#This Row],[PRECIO EN SOLES]]-Tabla1[[#This Row],[PC]]</f>
        <v>426.35120000000006</v>
      </c>
      <c r="K1153" s="15"/>
      <c r="L1153" s="15" t="str">
        <f t="shared" si="36"/>
        <v>GANCHO</v>
      </c>
    </row>
    <row r="1154" spans="1:12" x14ac:dyDescent="0.25">
      <c r="A1154" s="3" t="s">
        <v>4424</v>
      </c>
      <c r="B1154" s="3" t="s">
        <v>4425</v>
      </c>
      <c r="C1154" s="1">
        <v>18</v>
      </c>
      <c r="D1154" s="1">
        <v>1871</v>
      </c>
      <c r="E1154" s="1" t="s">
        <v>367</v>
      </c>
      <c r="F1154" s="1" t="s">
        <v>4426</v>
      </c>
      <c r="G1154" s="3" t="s">
        <v>4427</v>
      </c>
      <c r="H1154" s="11">
        <f t="shared" si="37"/>
        <v>8470.3799999999992</v>
      </c>
      <c r="I1154" s="9">
        <f>($K$2+0.02)*Tabla1[[#This Row],[PRECIO $]]*1.18</f>
        <v>7683.0743999999995</v>
      </c>
      <c r="J1154" s="7">
        <f>+Tabla1[[#This Row],[PRECIO EN SOLES]]-Tabla1[[#This Row],[PC]]</f>
        <v>787.30559999999969</v>
      </c>
      <c r="K1154" s="15"/>
      <c r="L1154" s="15" t="str">
        <f t="shared" si="36"/>
        <v>GANCHO</v>
      </c>
    </row>
    <row r="1155" spans="1:12" x14ac:dyDescent="0.25">
      <c r="A1155" s="3" t="s">
        <v>6115</v>
      </c>
      <c r="B1155" s="3" t="s">
        <v>6116</v>
      </c>
      <c r="C1155" s="1">
        <v>8</v>
      </c>
      <c r="D1155" s="1">
        <v>2715</v>
      </c>
      <c r="E1155" s="1" t="s">
        <v>367</v>
      </c>
      <c r="F1155" s="1" t="s">
        <v>6117</v>
      </c>
      <c r="G1155" s="3" t="s">
        <v>6118</v>
      </c>
      <c r="H1155" s="11">
        <f t="shared" si="37"/>
        <v>12282.76</v>
      </c>
      <c r="I1155" s="9">
        <f>($K$2+0.02)*Tabla1[[#This Row],[PRECIO $]]*1.18</f>
        <v>11148.876</v>
      </c>
      <c r="J1155" s="7">
        <f>+Tabla1[[#This Row],[PRECIO EN SOLES]]-Tabla1[[#This Row],[PC]]</f>
        <v>1133.884</v>
      </c>
      <c r="K1155" s="15"/>
      <c r="L1155" s="15" t="str">
        <f t="shared" si="36"/>
        <v>GANCHO</v>
      </c>
    </row>
    <row r="1156" spans="1:12" x14ac:dyDescent="0.25">
      <c r="A1156" s="3" t="s">
        <v>1882</v>
      </c>
      <c r="B1156" s="3" t="s">
        <v>1883</v>
      </c>
      <c r="C1156" s="1">
        <v>0</v>
      </c>
      <c r="D1156" s="1">
        <v>1470</v>
      </c>
      <c r="E1156" s="1" t="s">
        <v>910</v>
      </c>
      <c r="F1156" s="1" t="s">
        <v>3732</v>
      </c>
      <c r="G1156" s="3" t="s">
        <v>1884</v>
      </c>
      <c r="H1156" s="11">
        <f t="shared" si="37"/>
        <v>6659.05</v>
      </c>
      <c r="I1156" s="9">
        <f>($K$2+0.02)*Tabla1[[#This Row],[PRECIO $]]*1.18</f>
        <v>6036.4080000000004</v>
      </c>
      <c r="J1156" s="7">
        <f>+Tabla1[[#This Row],[PRECIO EN SOLES]]-Tabla1[[#This Row],[PC]]</f>
        <v>622.64199999999983</v>
      </c>
      <c r="K1156" s="15"/>
      <c r="L1156" s="15" t="str">
        <f t="shared" si="36"/>
        <v>GANCHO</v>
      </c>
    </row>
    <row r="1157" spans="1:12" x14ac:dyDescent="0.25">
      <c r="A1157" s="3" t="s">
        <v>1885</v>
      </c>
      <c r="B1157" s="3" t="s">
        <v>1886</v>
      </c>
      <c r="C1157" s="1">
        <v>9</v>
      </c>
      <c r="D1157" s="1">
        <v>2425</v>
      </c>
      <c r="E1157" s="1" t="s">
        <v>56</v>
      </c>
      <c r="F1157" s="1" t="s">
        <v>3733</v>
      </c>
      <c r="G1157" s="3" t="s">
        <v>1887</v>
      </c>
      <c r="H1157" s="11">
        <f t="shared" si="37"/>
        <v>10972.82</v>
      </c>
      <c r="I1157" s="9">
        <f>($K$2+0.02)*Tabla1[[#This Row],[PRECIO $]]*1.18</f>
        <v>9958.0199999999986</v>
      </c>
      <c r="J1157" s="7">
        <f>+Tabla1[[#This Row],[PRECIO EN SOLES]]-Tabla1[[#This Row],[PC]]</f>
        <v>1014.8000000000011</v>
      </c>
      <c r="K1157" s="15"/>
      <c r="L1157" s="15" t="str">
        <f t="shared" si="36"/>
        <v>GANCHO</v>
      </c>
    </row>
    <row r="1158" spans="1:12" x14ac:dyDescent="0.25">
      <c r="A1158" s="3" t="s">
        <v>1888</v>
      </c>
      <c r="B1158" s="3" t="s">
        <v>1889</v>
      </c>
      <c r="C1158" s="1">
        <v>19</v>
      </c>
      <c r="D1158" s="1">
        <v>2351</v>
      </c>
      <c r="E1158" s="1" t="s">
        <v>56</v>
      </c>
      <c r="F1158" s="1" t="s">
        <v>3734</v>
      </c>
      <c r="G1158" s="3" t="s">
        <v>1890</v>
      </c>
      <c r="H1158" s="11">
        <f t="shared" si="37"/>
        <v>10638.56</v>
      </c>
      <c r="I1158" s="9">
        <f>($K$2+0.02)*Tabla1[[#This Row],[PRECIO $]]*1.18</f>
        <v>9654.1463999999996</v>
      </c>
      <c r="J1158" s="7">
        <f>+Tabla1[[#This Row],[PRECIO EN SOLES]]-Tabla1[[#This Row],[PC]]</f>
        <v>984.41359999999986</v>
      </c>
      <c r="K1158" s="15"/>
      <c r="L1158" s="15" t="str">
        <f t="shared" si="36"/>
        <v>GANCHO</v>
      </c>
    </row>
    <row r="1159" spans="1:12" x14ac:dyDescent="0.25">
      <c r="A1159" s="3" t="s">
        <v>1891</v>
      </c>
      <c r="B1159" s="3" t="s">
        <v>1892</v>
      </c>
      <c r="C1159" s="1">
        <v>6</v>
      </c>
      <c r="D1159" s="1">
        <v>1912</v>
      </c>
      <c r="E1159" s="1" t="s">
        <v>56</v>
      </c>
      <c r="F1159" s="1" t="s">
        <v>3735</v>
      </c>
      <c r="G1159" s="3" t="s">
        <v>1893</v>
      </c>
      <c r="H1159" s="11">
        <f t="shared" si="37"/>
        <v>8655.58</v>
      </c>
      <c r="I1159" s="9">
        <f>($K$2+0.02)*Tabla1[[#This Row],[PRECIO $]]*1.18</f>
        <v>7851.4367999999995</v>
      </c>
      <c r="J1159" s="7">
        <f>+Tabla1[[#This Row],[PRECIO EN SOLES]]-Tabla1[[#This Row],[PC]]</f>
        <v>804.14320000000043</v>
      </c>
      <c r="K1159" s="15"/>
      <c r="L1159" s="15" t="str">
        <f t="shared" si="36"/>
        <v>GANCHO</v>
      </c>
    </row>
    <row r="1160" spans="1:12" x14ac:dyDescent="0.25">
      <c r="A1160" s="3" t="s">
        <v>1894</v>
      </c>
      <c r="B1160" s="3" t="s">
        <v>1895</v>
      </c>
      <c r="C1160" s="1">
        <v>19</v>
      </c>
      <c r="D1160" s="1">
        <v>2541</v>
      </c>
      <c r="E1160" s="1" t="s">
        <v>56</v>
      </c>
      <c r="F1160" s="1" t="s">
        <v>3736</v>
      </c>
      <c r="G1160" s="3" t="s">
        <v>1896</v>
      </c>
      <c r="H1160" s="11">
        <f t="shared" si="37"/>
        <v>11496.8</v>
      </c>
      <c r="I1160" s="9">
        <f>($K$2+0.02)*Tabla1[[#This Row],[PRECIO $]]*1.18</f>
        <v>10434.3624</v>
      </c>
      <c r="J1160" s="7">
        <f>+Tabla1[[#This Row],[PRECIO EN SOLES]]-Tabla1[[#This Row],[PC]]</f>
        <v>1062.4375999999993</v>
      </c>
      <c r="K1160" s="15"/>
      <c r="L1160" s="15" t="str">
        <f t="shared" si="36"/>
        <v>GANCHO</v>
      </c>
    </row>
    <row r="1161" spans="1:12" x14ac:dyDescent="0.25">
      <c r="A1161" s="3" t="s">
        <v>1897</v>
      </c>
      <c r="B1161" s="3" t="s">
        <v>1898</v>
      </c>
      <c r="C1161" s="1">
        <v>0</v>
      </c>
      <c r="D1161" s="1">
        <v>2095</v>
      </c>
      <c r="E1161" s="1" t="s">
        <v>56</v>
      </c>
      <c r="F1161" s="1" t="s">
        <v>3737</v>
      </c>
      <c r="G1161" s="3" t="s">
        <v>1899</v>
      </c>
      <c r="H1161" s="11">
        <f t="shared" si="37"/>
        <v>9482.2000000000007</v>
      </c>
      <c r="I1161" s="9">
        <f>($K$2+0.02)*Tabla1[[#This Row],[PRECIO $]]*1.18</f>
        <v>8602.9079999999994</v>
      </c>
      <c r="J1161" s="7">
        <f>+Tabla1[[#This Row],[PRECIO EN SOLES]]-Tabla1[[#This Row],[PC]]</f>
        <v>879.29200000000128</v>
      </c>
      <c r="K1161" s="15"/>
      <c r="L1161" s="15" t="str">
        <f t="shared" si="36"/>
        <v>GANCHO</v>
      </c>
    </row>
    <row r="1162" spans="1:12" x14ac:dyDescent="0.25">
      <c r="A1162" s="3" t="s">
        <v>1900</v>
      </c>
      <c r="B1162" s="3" t="s">
        <v>1901</v>
      </c>
      <c r="C1162" s="1">
        <v>16</v>
      </c>
      <c r="D1162" s="1">
        <v>2475</v>
      </c>
      <c r="E1162" s="1" t="s">
        <v>56</v>
      </c>
      <c r="F1162" s="1" t="s">
        <v>3738</v>
      </c>
      <c r="G1162" s="3" t="s">
        <v>1902</v>
      </c>
      <c r="H1162" s="11">
        <f t="shared" si="37"/>
        <v>11198.67</v>
      </c>
      <c r="I1162" s="9">
        <f>($K$2+0.02)*Tabla1[[#This Row],[PRECIO $]]*1.18</f>
        <v>10163.34</v>
      </c>
      <c r="J1162" s="7">
        <f>+Tabla1[[#This Row],[PRECIO EN SOLES]]-Tabla1[[#This Row],[PC]]</f>
        <v>1035.33</v>
      </c>
      <c r="K1162" s="15"/>
      <c r="L1162" s="15" t="str">
        <f t="shared" si="36"/>
        <v>GANCHO</v>
      </c>
    </row>
    <row r="1163" spans="1:12" x14ac:dyDescent="0.25">
      <c r="A1163" s="3" t="s">
        <v>2895</v>
      </c>
      <c r="B1163" s="3" t="s">
        <v>6867</v>
      </c>
      <c r="C1163" s="1">
        <v>2</v>
      </c>
      <c r="D1163" s="1">
        <v>1817</v>
      </c>
      <c r="E1163" s="1" t="s">
        <v>56</v>
      </c>
      <c r="F1163" s="1" t="s">
        <v>3739</v>
      </c>
      <c r="G1163" s="3" t="s">
        <v>2896</v>
      </c>
      <c r="H1163" s="11">
        <f t="shared" si="37"/>
        <v>8226.4599999999991</v>
      </c>
      <c r="I1163" s="9">
        <f>($K$2+0.02)*Tabla1[[#This Row],[PRECIO $]]*1.18</f>
        <v>7461.3287999999993</v>
      </c>
      <c r="J1163" s="7">
        <f>+Tabla1[[#This Row],[PRECIO EN SOLES]]-Tabla1[[#This Row],[PC]]</f>
        <v>765.13119999999981</v>
      </c>
      <c r="K1163" s="15"/>
      <c r="L1163" s="15" t="str">
        <f t="shared" si="36"/>
        <v>GANCHO</v>
      </c>
    </row>
    <row r="1164" spans="1:12" x14ac:dyDescent="0.25">
      <c r="A1164" s="3" t="s">
        <v>1903</v>
      </c>
      <c r="B1164" s="3" t="s">
        <v>1904</v>
      </c>
      <c r="C1164" s="1">
        <v>9</v>
      </c>
      <c r="D1164" s="1">
        <v>2025</v>
      </c>
      <c r="E1164" s="1" t="s">
        <v>56</v>
      </c>
      <c r="F1164" s="1" t="s">
        <v>3740</v>
      </c>
      <c r="G1164" s="3" t="s">
        <v>1905</v>
      </c>
      <c r="H1164" s="11">
        <f t="shared" si="37"/>
        <v>9166.01</v>
      </c>
      <c r="I1164" s="9">
        <f>($K$2+0.02)*Tabla1[[#This Row],[PRECIO $]]*1.18</f>
        <v>8315.4599999999991</v>
      </c>
      <c r="J1164" s="7">
        <f>+Tabla1[[#This Row],[PRECIO EN SOLES]]-Tabla1[[#This Row],[PC]]</f>
        <v>850.55000000000109</v>
      </c>
      <c r="K1164" s="15"/>
      <c r="L1164" s="15" t="str">
        <f t="shared" si="36"/>
        <v>GANCHO</v>
      </c>
    </row>
    <row r="1165" spans="1:12" x14ac:dyDescent="0.25">
      <c r="A1165" s="3" t="s">
        <v>1906</v>
      </c>
      <c r="B1165" s="3" t="s">
        <v>1907</v>
      </c>
      <c r="C1165" s="1">
        <v>8</v>
      </c>
      <c r="D1165" s="1">
        <v>2685</v>
      </c>
      <c r="E1165" s="1" t="s">
        <v>56</v>
      </c>
      <c r="F1165" s="1" t="s">
        <v>3741</v>
      </c>
      <c r="G1165" s="3" t="s">
        <v>1908</v>
      </c>
      <c r="H1165" s="11">
        <f t="shared" si="37"/>
        <v>12147.25</v>
      </c>
      <c r="I1165" s="9">
        <f>($K$2+0.02)*Tabla1[[#This Row],[PRECIO $]]*1.18</f>
        <v>11025.683999999999</v>
      </c>
      <c r="J1165" s="7">
        <f>+Tabla1[[#This Row],[PRECIO EN SOLES]]-Tabla1[[#This Row],[PC]]</f>
        <v>1121.5660000000007</v>
      </c>
      <c r="K1165" s="15"/>
      <c r="L1165" s="15" t="str">
        <f t="shared" si="36"/>
        <v>GANCHO</v>
      </c>
    </row>
    <row r="1166" spans="1:12" x14ac:dyDescent="0.25">
      <c r="A1166" s="3" t="s">
        <v>4428</v>
      </c>
      <c r="B1166" s="3" t="s">
        <v>4429</v>
      </c>
      <c r="C1166" s="1">
        <v>0</v>
      </c>
      <c r="D1166" s="1">
        <v>2205</v>
      </c>
      <c r="E1166" s="1" t="s">
        <v>837</v>
      </c>
      <c r="F1166" s="1" t="s">
        <v>4430</v>
      </c>
      <c r="G1166" s="3" t="s">
        <v>5013</v>
      </c>
      <c r="H1166" s="11">
        <f t="shared" si="37"/>
        <v>9979.07</v>
      </c>
      <c r="I1166" s="9">
        <f>($K$2+0.02)*Tabla1[[#This Row],[PRECIO $]]*1.18</f>
        <v>9054.6119999999992</v>
      </c>
      <c r="J1166" s="7">
        <f>+Tabla1[[#This Row],[PRECIO EN SOLES]]-Tabla1[[#This Row],[PC]]</f>
        <v>924.45800000000054</v>
      </c>
      <c r="K1166" s="15"/>
      <c r="L1166" s="15" t="str">
        <f t="shared" si="36"/>
        <v>GANCHO</v>
      </c>
    </row>
    <row r="1167" spans="1:12" x14ac:dyDescent="0.25">
      <c r="A1167" s="3" t="s">
        <v>4431</v>
      </c>
      <c r="B1167" s="3" t="s">
        <v>4432</v>
      </c>
      <c r="C1167" s="1">
        <v>20</v>
      </c>
      <c r="D1167" s="1">
        <v>2465</v>
      </c>
      <c r="E1167" s="1" t="s">
        <v>837</v>
      </c>
      <c r="F1167" s="1" t="s">
        <v>4433</v>
      </c>
      <c r="G1167" s="3" t="s">
        <v>5014</v>
      </c>
      <c r="H1167" s="11">
        <f t="shared" si="37"/>
        <v>11153.5</v>
      </c>
      <c r="I1167" s="9">
        <f>($K$2+0.02)*Tabla1[[#This Row],[PRECIO $]]*1.18</f>
        <v>10122.276</v>
      </c>
      <c r="J1167" s="7">
        <f>+Tabla1[[#This Row],[PRECIO EN SOLES]]-Tabla1[[#This Row],[PC]]</f>
        <v>1031.2240000000002</v>
      </c>
      <c r="K1167" s="15"/>
      <c r="L1167" s="15" t="str">
        <f t="shared" si="36"/>
        <v>GANCHO</v>
      </c>
    </row>
    <row r="1168" spans="1:12" x14ac:dyDescent="0.25">
      <c r="A1168" s="3" t="s">
        <v>4434</v>
      </c>
      <c r="B1168" s="3" t="s">
        <v>4435</v>
      </c>
      <c r="C1168" s="1">
        <v>20</v>
      </c>
      <c r="D1168" s="1">
        <v>3435</v>
      </c>
      <c r="E1168" s="1" t="s">
        <v>837</v>
      </c>
      <c r="F1168" s="1" t="s">
        <v>4436</v>
      </c>
      <c r="G1168" s="3" t="s">
        <v>5015</v>
      </c>
      <c r="H1168" s="11">
        <f t="shared" si="37"/>
        <v>15535.03</v>
      </c>
      <c r="I1168" s="9">
        <f>($K$2+0.02)*Tabla1[[#This Row],[PRECIO $]]*1.18</f>
        <v>14105.483999999999</v>
      </c>
      <c r="J1168" s="7">
        <f>+Tabla1[[#This Row],[PRECIO EN SOLES]]-Tabla1[[#This Row],[PC]]</f>
        <v>1429.5460000000021</v>
      </c>
      <c r="K1168" s="15"/>
      <c r="L1168" s="15" t="str">
        <f t="shared" ref="L1168:L1231" si="38"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69" spans="1:12" x14ac:dyDescent="0.25">
      <c r="A1169" s="3" t="s">
        <v>4437</v>
      </c>
      <c r="B1169" s="3" t="s">
        <v>4438</v>
      </c>
      <c r="C1169" s="1">
        <v>8</v>
      </c>
      <c r="D1169" s="1">
        <v>3955</v>
      </c>
      <c r="E1169" s="1" t="s">
        <v>837</v>
      </c>
      <c r="F1169" s="1" t="s">
        <v>4439</v>
      </c>
      <c r="G1169" s="3" t="s">
        <v>5015</v>
      </c>
      <c r="H1169" s="11">
        <f t="shared" si="37"/>
        <v>17883.89</v>
      </c>
      <c r="I1169" s="9">
        <f>($K$2+0.02)*Tabla1[[#This Row],[PRECIO $]]*1.18</f>
        <v>16240.811999999998</v>
      </c>
      <c r="J1169" s="7">
        <f>+Tabla1[[#This Row],[PRECIO EN SOLES]]-Tabla1[[#This Row],[PC]]</f>
        <v>1643.0780000000013</v>
      </c>
      <c r="K1169" s="15"/>
      <c r="L1169" s="15" t="str">
        <f t="shared" si="38"/>
        <v>GANCHO</v>
      </c>
    </row>
    <row r="1170" spans="1:12" x14ac:dyDescent="0.25">
      <c r="A1170" s="3" t="s">
        <v>4440</v>
      </c>
      <c r="B1170" s="3" t="s">
        <v>4441</v>
      </c>
      <c r="C1170" s="1">
        <v>12</v>
      </c>
      <c r="D1170" s="1">
        <v>3565</v>
      </c>
      <c r="E1170" s="1" t="s">
        <v>837</v>
      </c>
      <c r="F1170" s="1" t="s">
        <v>4442</v>
      </c>
      <c r="G1170" s="3" t="s">
        <v>5016</v>
      </c>
      <c r="H1170" s="11">
        <f t="shared" ref="H1170:H1233" si="39">ROUND(
IF(L1168="GANCHO",
   IF(I1170&lt;=50,I1170*1.1+4,IF(I1170&lt;=120,I1170*1.1+7,IF(I1170&lt;=250,I1170*1.1+11,I1170*1.1+19))),
IF(L1168="NORMAL",
   IF(I1170&lt;=30,I1170*1.15+2,IF(I1170&lt;=80,I1170*1.15+4,IF(I1170&lt;=150,I1170*1.15+6,I1170*1.15+8))),
IF(L1168="COMPLEMENTO",
   IF(I1170&lt;=25,I1170*1.25+1.5,IF(I1170&lt;=60,I1170*1.25+3,IF(I1170&lt;=120,I1170*1.25+4,I1170*1.25+5))),
""))),2)</f>
        <v>16122.25</v>
      </c>
      <c r="I1170" s="9">
        <f>($K$2+0.02)*Tabla1[[#This Row],[PRECIO $]]*1.18</f>
        <v>14639.316000000001</v>
      </c>
      <c r="J1170" s="7">
        <f>+Tabla1[[#This Row],[PRECIO EN SOLES]]-Tabla1[[#This Row],[PC]]</f>
        <v>1482.9339999999993</v>
      </c>
      <c r="K1170" s="15"/>
      <c r="L1170" s="15" t="str">
        <f t="shared" si="38"/>
        <v>GANCHO</v>
      </c>
    </row>
    <row r="1171" spans="1:12" x14ac:dyDescent="0.25">
      <c r="A1171" s="3" t="s">
        <v>4443</v>
      </c>
      <c r="B1171" s="3" t="s">
        <v>4444</v>
      </c>
      <c r="C1171" s="1">
        <v>7</v>
      </c>
      <c r="D1171" s="1">
        <v>4115</v>
      </c>
      <c r="E1171" s="1" t="s">
        <v>837</v>
      </c>
      <c r="F1171" s="1" t="s">
        <v>4445</v>
      </c>
      <c r="G1171" s="3" t="s">
        <v>5016</v>
      </c>
      <c r="H1171" s="11">
        <f t="shared" si="39"/>
        <v>18606.62</v>
      </c>
      <c r="I1171" s="9">
        <f>($K$2+0.02)*Tabla1[[#This Row],[PRECIO $]]*1.18</f>
        <v>16897.835999999999</v>
      </c>
      <c r="J1171" s="7">
        <f>+Tabla1[[#This Row],[PRECIO EN SOLES]]-Tabla1[[#This Row],[PC]]</f>
        <v>1708.7839999999997</v>
      </c>
      <c r="K1171" s="15"/>
      <c r="L1171" s="15" t="str">
        <f t="shared" si="38"/>
        <v>COMPLEMENTO</v>
      </c>
    </row>
    <row r="1172" spans="1:12" x14ac:dyDescent="0.25">
      <c r="A1172" s="3" t="s">
        <v>4446</v>
      </c>
      <c r="B1172" s="3" t="s">
        <v>4447</v>
      </c>
      <c r="C1172" s="1">
        <v>20</v>
      </c>
      <c r="D1172" s="1">
        <v>2955</v>
      </c>
      <c r="E1172" s="1" t="s">
        <v>837</v>
      </c>
      <c r="F1172" s="1" t="s">
        <v>4448</v>
      </c>
      <c r="G1172" s="3" t="s">
        <v>5017</v>
      </c>
      <c r="H1172" s="11">
        <f t="shared" si="39"/>
        <v>13366.85</v>
      </c>
      <c r="I1172" s="9">
        <f>($K$2+0.02)*Tabla1[[#This Row],[PRECIO $]]*1.18</f>
        <v>12134.411999999998</v>
      </c>
      <c r="J1172" s="7">
        <f>+Tabla1[[#This Row],[PRECIO EN SOLES]]-Tabla1[[#This Row],[PC]]</f>
        <v>1232.4380000000019</v>
      </c>
      <c r="K1172" s="15"/>
      <c r="L1172" s="15" t="str">
        <f t="shared" si="38"/>
        <v>NORMAL</v>
      </c>
    </row>
    <row r="1173" spans="1:12" x14ac:dyDescent="0.25">
      <c r="A1173" s="3" t="s">
        <v>1909</v>
      </c>
      <c r="B1173" s="3" t="s">
        <v>1910</v>
      </c>
      <c r="C1173" s="1">
        <v>20</v>
      </c>
      <c r="D1173" s="1">
        <v>19</v>
      </c>
      <c r="E1173" s="1" t="s">
        <v>837</v>
      </c>
      <c r="F1173" s="1" t="s">
        <v>3742</v>
      </c>
      <c r="G1173" s="3" t="s">
        <v>1911</v>
      </c>
      <c r="H1173" s="11">
        <f t="shared" si="39"/>
        <v>101.53</v>
      </c>
      <c r="I1173" s="9">
        <f>($K$2+0.02)*Tabla1[[#This Row],[PRECIO $]]*1.18</f>
        <v>78.021600000000007</v>
      </c>
      <c r="J1173" s="7">
        <f>+Tabla1[[#This Row],[PRECIO EN SOLES]]-Tabla1[[#This Row],[PC]]</f>
        <v>23.508399999999995</v>
      </c>
      <c r="K1173" s="15"/>
      <c r="L1173" s="15" t="str">
        <f t="shared" si="38"/>
        <v>COMPLEMENTO</v>
      </c>
    </row>
    <row r="1174" spans="1:12" x14ac:dyDescent="0.25">
      <c r="A1174" s="3" t="s">
        <v>1912</v>
      </c>
      <c r="B1174" s="3" t="s">
        <v>1913</v>
      </c>
      <c r="C1174" s="1">
        <v>20</v>
      </c>
      <c r="D1174" s="1">
        <v>28.3</v>
      </c>
      <c r="E1174" s="1" t="s">
        <v>837</v>
      </c>
      <c r="F1174" s="1" t="s">
        <v>3743</v>
      </c>
      <c r="G1174" s="3" t="s">
        <v>1914</v>
      </c>
      <c r="H1174" s="11">
        <f t="shared" si="39"/>
        <v>139.63999999999999</v>
      </c>
      <c r="I1174" s="9">
        <f>($K$2+0.02)*Tabla1[[#This Row],[PRECIO $]]*1.18</f>
        <v>116.21112000000001</v>
      </c>
      <c r="J1174" s="7">
        <f>+Tabla1[[#This Row],[PRECIO EN SOLES]]-Tabla1[[#This Row],[PC]]</f>
        <v>23.428879999999978</v>
      </c>
      <c r="K1174" s="15"/>
      <c r="L1174" s="15" t="str">
        <f t="shared" si="38"/>
        <v>COMPLEMENTO</v>
      </c>
    </row>
    <row r="1175" spans="1:12" x14ac:dyDescent="0.25">
      <c r="A1175" s="3" t="s">
        <v>1915</v>
      </c>
      <c r="B1175" s="3" t="s">
        <v>1916</v>
      </c>
      <c r="C1175" s="1">
        <v>20</v>
      </c>
      <c r="D1175" s="1">
        <v>35.799999999999997</v>
      </c>
      <c r="E1175" s="1" t="s">
        <v>837</v>
      </c>
      <c r="F1175" s="1" t="s">
        <v>3744</v>
      </c>
      <c r="G1175" s="3" t="s">
        <v>1917</v>
      </c>
      <c r="H1175" s="11">
        <f t="shared" si="39"/>
        <v>188.76</v>
      </c>
      <c r="I1175" s="9">
        <f>($K$2+0.02)*Tabla1[[#This Row],[PRECIO $]]*1.18</f>
        <v>147.00911999999997</v>
      </c>
      <c r="J1175" s="7">
        <f>+Tabla1[[#This Row],[PRECIO EN SOLES]]-Tabla1[[#This Row],[PC]]</f>
        <v>41.750880000000024</v>
      </c>
      <c r="K1175" s="15"/>
      <c r="L1175" s="15" t="str">
        <f t="shared" si="38"/>
        <v>COMPLEMENTO</v>
      </c>
    </row>
    <row r="1176" spans="1:12" x14ac:dyDescent="0.25">
      <c r="A1176" s="3" t="s">
        <v>1918</v>
      </c>
      <c r="B1176" s="3" t="s">
        <v>1919</v>
      </c>
      <c r="C1176" s="1">
        <v>1</v>
      </c>
      <c r="D1176" s="1">
        <v>50.75</v>
      </c>
      <c r="E1176" s="1" t="s">
        <v>74</v>
      </c>
      <c r="F1176" s="1" t="s">
        <v>3745</v>
      </c>
      <c r="G1176" s="3" t="s">
        <v>1920</v>
      </c>
      <c r="H1176" s="11">
        <f t="shared" si="39"/>
        <v>265.5</v>
      </c>
      <c r="I1176" s="9">
        <f>($K$2+0.02)*Tabla1[[#This Row],[PRECIO $]]*1.18</f>
        <v>208.39979999999997</v>
      </c>
      <c r="J1176" s="7">
        <f>+Tabla1[[#This Row],[PRECIO EN SOLES]]-Tabla1[[#This Row],[PC]]</f>
        <v>57.100200000000029</v>
      </c>
      <c r="K1176" s="15"/>
      <c r="L1176" s="15" t="str">
        <f t="shared" si="38"/>
        <v>COMPLEMENTO</v>
      </c>
    </row>
    <row r="1177" spans="1:12" x14ac:dyDescent="0.25">
      <c r="A1177" s="3" t="s">
        <v>1921</v>
      </c>
      <c r="B1177" s="3" t="s">
        <v>1922</v>
      </c>
      <c r="C1177" s="1">
        <v>1</v>
      </c>
      <c r="D1177" s="1">
        <v>22.2</v>
      </c>
      <c r="E1177" s="1" t="s">
        <v>837</v>
      </c>
      <c r="F1177" s="1" t="s">
        <v>3746</v>
      </c>
      <c r="G1177" s="3" t="s">
        <v>1923</v>
      </c>
      <c r="H1177" s="11">
        <f t="shared" si="39"/>
        <v>117.95</v>
      </c>
      <c r="I1177" s="9">
        <f>($K$2+0.02)*Tabla1[[#This Row],[PRECIO $]]*1.18</f>
        <v>91.162079999999989</v>
      </c>
      <c r="J1177" s="7">
        <f>+Tabla1[[#This Row],[PRECIO EN SOLES]]-Tabla1[[#This Row],[PC]]</f>
        <v>26.787920000000014</v>
      </c>
      <c r="K1177" s="15"/>
      <c r="L1177" s="15" t="str">
        <f t="shared" si="38"/>
        <v>COMPLEMENTO</v>
      </c>
    </row>
    <row r="1178" spans="1:12" x14ac:dyDescent="0.25">
      <c r="A1178" s="3" t="s">
        <v>1924</v>
      </c>
      <c r="B1178" s="3" t="s">
        <v>1925</v>
      </c>
      <c r="C1178" s="1">
        <v>0</v>
      </c>
      <c r="D1178" s="1">
        <v>174.2</v>
      </c>
      <c r="E1178" s="1" t="s">
        <v>56</v>
      </c>
      <c r="F1178" s="1" t="s">
        <v>3747</v>
      </c>
      <c r="G1178" s="3" t="s">
        <v>1926</v>
      </c>
      <c r="H1178" s="11">
        <f t="shared" si="39"/>
        <v>899.17</v>
      </c>
      <c r="I1178" s="9">
        <f>($K$2+0.02)*Tabla1[[#This Row],[PRECIO $]]*1.18</f>
        <v>715.33488</v>
      </c>
      <c r="J1178" s="7">
        <f>+Tabla1[[#This Row],[PRECIO EN SOLES]]-Tabla1[[#This Row],[PC]]</f>
        <v>183.83511999999996</v>
      </c>
      <c r="K1178" s="15"/>
      <c r="L1178" s="15" t="str">
        <f t="shared" si="38"/>
        <v>COMPLEMENTO</v>
      </c>
    </row>
    <row r="1179" spans="1:12" x14ac:dyDescent="0.25">
      <c r="A1179" s="3" t="s">
        <v>1927</v>
      </c>
      <c r="B1179" s="3" t="s">
        <v>1928</v>
      </c>
      <c r="C1179" s="1">
        <v>1</v>
      </c>
      <c r="D1179" s="1">
        <v>659</v>
      </c>
      <c r="E1179" s="1" t="s">
        <v>837</v>
      </c>
      <c r="F1179" s="1" t="s">
        <v>3748</v>
      </c>
      <c r="G1179" s="3" t="s">
        <v>1929</v>
      </c>
      <c r="H1179" s="11">
        <f t="shared" si="39"/>
        <v>3387.65</v>
      </c>
      <c r="I1179" s="9">
        <f>($K$2+0.02)*Tabla1[[#This Row],[PRECIO $]]*1.18</f>
        <v>2706.1176</v>
      </c>
      <c r="J1179" s="7">
        <f>+Tabla1[[#This Row],[PRECIO EN SOLES]]-Tabla1[[#This Row],[PC]]</f>
        <v>681.53240000000005</v>
      </c>
      <c r="K1179" s="15"/>
      <c r="L1179" s="15" t="str">
        <f t="shared" si="38"/>
        <v>COMPLEMENTO</v>
      </c>
    </row>
    <row r="1180" spans="1:12" x14ac:dyDescent="0.25">
      <c r="A1180" s="3" t="s">
        <v>1930</v>
      </c>
      <c r="B1180" s="3" t="s">
        <v>1931</v>
      </c>
      <c r="C1180" s="1">
        <v>17</v>
      </c>
      <c r="D1180" s="1">
        <v>165.3</v>
      </c>
      <c r="E1180" s="1" t="s">
        <v>837</v>
      </c>
      <c r="F1180" s="1" t="s">
        <v>3749</v>
      </c>
      <c r="G1180" s="3" t="s">
        <v>1932</v>
      </c>
      <c r="H1180" s="11">
        <f t="shared" si="39"/>
        <v>853.48</v>
      </c>
      <c r="I1180" s="9">
        <f>($K$2+0.02)*Tabla1[[#This Row],[PRECIO $]]*1.18</f>
        <v>678.78791999999999</v>
      </c>
      <c r="J1180" s="7">
        <f>+Tabla1[[#This Row],[PRECIO EN SOLES]]-Tabla1[[#This Row],[PC]]</f>
        <v>174.69208000000003</v>
      </c>
      <c r="K1180" s="15"/>
      <c r="L1180" s="15" t="str">
        <f t="shared" si="38"/>
        <v>GANCHO</v>
      </c>
    </row>
    <row r="1181" spans="1:12" x14ac:dyDescent="0.25">
      <c r="A1181" s="3" t="s">
        <v>1933</v>
      </c>
      <c r="B1181" s="3" t="s">
        <v>1934</v>
      </c>
      <c r="C1181" s="1">
        <v>20</v>
      </c>
      <c r="D1181" s="1">
        <v>22.7</v>
      </c>
      <c r="E1181" s="1" t="s">
        <v>837</v>
      </c>
      <c r="F1181" s="1" t="s">
        <v>3750</v>
      </c>
      <c r="G1181" s="3" t="s">
        <v>1935</v>
      </c>
      <c r="H1181" s="11">
        <f t="shared" si="39"/>
        <v>120.52</v>
      </c>
      <c r="I1181" s="9">
        <f>($K$2+0.02)*Tabla1[[#This Row],[PRECIO $]]*1.18</f>
        <v>93.215279999999993</v>
      </c>
      <c r="J1181" s="7">
        <f>+Tabla1[[#This Row],[PRECIO EN SOLES]]-Tabla1[[#This Row],[PC]]</f>
        <v>27.304720000000003</v>
      </c>
      <c r="K1181" s="15"/>
      <c r="L1181" s="15" t="str">
        <f t="shared" si="38"/>
        <v>NORMAL</v>
      </c>
    </row>
    <row r="1182" spans="1:12" x14ac:dyDescent="0.25">
      <c r="A1182" s="3" t="s">
        <v>1936</v>
      </c>
      <c r="B1182" s="3" t="s">
        <v>1937</v>
      </c>
      <c r="C1182" s="1">
        <v>0</v>
      </c>
      <c r="D1182" s="1">
        <v>55</v>
      </c>
      <c r="E1182" s="1" t="s">
        <v>56</v>
      </c>
      <c r="F1182" s="1" t="s">
        <v>3751</v>
      </c>
      <c r="G1182" s="3" t="s">
        <v>1938</v>
      </c>
      <c r="H1182" s="11">
        <f t="shared" si="39"/>
        <v>259.44</v>
      </c>
      <c r="I1182" s="9">
        <f>($K$2+0.02)*Tabla1[[#This Row],[PRECIO $]]*1.18</f>
        <v>225.852</v>
      </c>
      <c r="J1182" s="7">
        <f>+Tabla1[[#This Row],[PRECIO EN SOLES]]-Tabla1[[#This Row],[PC]]</f>
        <v>33.587999999999994</v>
      </c>
      <c r="K1182" s="15"/>
      <c r="L1182" s="15" t="str">
        <f t="shared" si="38"/>
        <v>GANCHO</v>
      </c>
    </row>
    <row r="1183" spans="1:12" x14ac:dyDescent="0.25">
      <c r="A1183" s="3" t="s">
        <v>1939</v>
      </c>
      <c r="B1183" s="3" t="s">
        <v>1940</v>
      </c>
      <c r="C1183" s="1">
        <v>0</v>
      </c>
      <c r="D1183" s="1">
        <v>12.97</v>
      </c>
      <c r="E1183" s="1" t="s">
        <v>56</v>
      </c>
      <c r="F1183" s="1" t="s">
        <v>3752</v>
      </c>
      <c r="G1183" s="3" t="s">
        <v>1941</v>
      </c>
      <c r="H1183" s="11">
        <f t="shared" si="39"/>
        <v>65.25</v>
      </c>
      <c r="I1183" s="9">
        <f>($K$2+0.02)*Tabla1[[#This Row],[PRECIO $]]*1.18</f>
        <v>53.260007999999999</v>
      </c>
      <c r="J1183" s="7">
        <f>+Tabla1[[#This Row],[PRECIO EN SOLES]]-Tabla1[[#This Row],[PC]]</f>
        <v>11.989992000000001</v>
      </c>
      <c r="K1183" s="15"/>
      <c r="L1183" s="15" t="str">
        <f t="shared" si="38"/>
        <v>NORMAL</v>
      </c>
    </row>
    <row r="1184" spans="1:12" x14ac:dyDescent="0.25">
      <c r="A1184" s="3" t="s">
        <v>1942</v>
      </c>
      <c r="B1184" s="3" t="s">
        <v>1943</v>
      </c>
      <c r="C1184" s="1">
        <v>0</v>
      </c>
      <c r="D1184" s="1">
        <v>55</v>
      </c>
      <c r="E1184" s="1" t="s">
        <v>56</v>
      </c>
      <c r="F1184" s="1" t="s">
        <v>3753</v>
      </c>
      <c r="G1184" s="3" t="s">
        <v>1944</v>
      </c>
      <c r="H1184" s="11">
        <f t="shared" si="39"/>
        <v>259.44</v>
      </c>
      <c r="I1184" s="9">
        <f>($K$2+0.02)*Tabla1[[#This Row],[PRECIO $]]*1.18</f>
        <v>225.852</v>
      </c>
      <c r="J1184" s="7">
        <f>+Tabla1[[#This Row],[PRECIO EN SOLES]]-Tabla1[[#This Row],[PC]]</f>
        <v>33.587999999999994</v>
      </c>
      <c r="K1184" s="15"/>
      <c r="L1184" s="15" t="str">
        <f t="shared" si="38"/>
        <v>COMPLEMENTO</v>
      </c>
    </row>
    <row r="1185" spans="1:12" x14ac:dyDescent="0.25">
      <c r="A1185" s="3" t="s">
        <v>1945</v>
      </c>
      <c r="B1185" s="3" t="s">
        <v>1946</v>
      </c>
      <c r="C1185" s="1">
        <v>16</v>
      </c>
      <c r="D1185" s="1">
        <v>48.9</v>
      </c>
      <c r="E1185" s="1" t="s">
        <v>837</v>
      </c>
      <c r="F1185" s="1" t="s">
        <v>3754</v>
      </c>
      <c r="G1185" s="3" t="s">
        <v>2796</v>
      </c>
      <c r="H1185" s="11">
        <f t="shared" si="39"/>
        <v>238.92</v>
      </c>
      <c r="I1185" s="9">
        <f>($K$2+0.02)*Tabla1[[#This Row],[PRECIO $]]*1.18</f>
        <v>200.80295999999998</v>
      </c>
      <c r="J1185" s="7">
        <f>+Tabla1[[#This Row],[PRECIO EN SOLES]]-Tabla1[[#This Row],[PC]]</f>
        <v>38.117040000000003</v>
      </c>
      <c r="K1185" s="15"/>
      <c r="L1185" s="15" t="str">
        <f t="shared" si="38"/>
        <v>COMPLEMENTO</v>
      </c>
    </row>
    <row r="1186" spans="1:12" x14ac:dyDescent="0.25">
      <c r="A1186" s="3" t="s">
        <v>1947</v>
      </c>
      <c r="B1186" s="3" t="s">
        <v>1948</v>
      </c>
      <c r="C1186" s="1">
        <v>20</v>
      </c>
      <c r="D1186" s="1">
        <v>54.1</v>
      </c>
      <c r="E1186" s="1" t="s">
        <v>837</v>
      </c>
      <c r="F1186" s="1" t="s">
        <v>3755</v>
      </c>
      <c r="G1186" s="3" t="s">
        <v>2897</v>
      </c>
      <c r="H1186" s="11">
        <f t="shared" si="39"/>
        <v>282.7</v>
      </c>
      <c r="I1186" s="9">
        <f>($K$2+0.02)*Tabla1[[#This Row],[PRECIO $]]*1.18</f>
        <v>222.15624</v>
      </c>
      <c r="J1186" s="7">
        <f>+Tabla1[[#This Row],[PRECIO EN SOLES]]-Tabla1[[#This Row],[PC]]</f>
        <v>60.543759999999992</v>
      </c>
      <c r="K1186" s="15"/>
      <c r="L1186" s="15" t="str">
        <f t="shared" si="38"/>
        <v>COMPLEMENTO</v>
      </c>
    </row>
    <row r="1187" spans="1:12" x14ac:dyDescent="0.25">
      <c r="A1187" s="3" t="s">
        <v>6868</v>
      </c>
      <c r="B1187" s="3" t="s">
        <v>6869</v>
      </c>
      <c r="C1187" s="1">
        <v>20</v>
      </c>
      <c r="D1187" s="1">
        <v>7.1</v>
      </c>
      <c r="E1187" s="1" t="s">
        <v>52</v>
      </c>
      <c r="F1187" s="1" t="s">
        <v>6870</v>
      </c>
      <c r="G1187" s="3" t="s">
        <v>6871</v>
      </c>
      <c r="H1187" s="11">
        <f t="shared" si="39"/>
        <v>39.44</v>
      </c>
      <c r="I1187" s="9">
        <f>($K$2+0.02)*Tabla1[[#This Row],[PRECIO $]]*1.18</f>
        <v>29.155439999999995</v>
      </c>
      <c r="J1187" s="7">
        <f>+Tabla1[[#This Row],[PRECIO EN SOLES]]-Tabla1[[#This Row],[PC]]</f>
        <v>10.284560000000003</v>
      </c>
      <c r="K1187" s="15"/>
      <c r="L1187" s="15" t="str">
        <f t="shared" si="38"/>
        <v>COMPLEMENTO</v>
      </c>
    </row>
    <row r="1188" spans="1:12" x14ac:dyDescent="0.25">
      <c r="A1188" s="3" t="s">
        <v>6872</v>
      </c>
      <c r="B1188" s="3" t="s">
        <v>6873</v>
      </c>
      <c r="C1188" s="1">
        <v>0</v>
      </c>
      <c r="D1188" s="1">
        <v>8</v>
      </c>
      <c r="E1188" s="1" t="s">
        <v>52</v>
      </c>
      <c r="F1188" s="1" t="s">
        <v>6874</v>
      </c>
      <c r="G1188" s="3" t="s">
        <v>6875</v>
      </c>
      <c r="H1188" s="11">
        <f t="shared" si="39"/>
        <v>44.06</v>
      </c>
      <c r="I1188" s="9">
        <f>($K$2+0.02)*Tabla1[[#This Row],[PRECIO $]]*1.18</f>
        <v>32.851199999999999</v>
      </c>
      <c r="J1188" s="7">
        <f>+Tabla1[[#This Row],[PRECIO EN SOLES]]-Tabla1[[#This Row],[PC]]</f>
        <v>11.208800000000004</v>
      </c>
      <c r="K1188" s="15"/>
      <c r="L1188" s="15" t="str">
        <f t="shared" si="38"/>
        <v>COMPLEMENTO</v>
      </c>
    </row>
    <row r="1189" spans="1:12" x14ac:dyDescent="0.25">
      <c r="A1189" s="3" t="s">
        <v>414</v>
      </c>
      <c r="B1189" s="3" t="s">
        <v>6876</v>
      </c>
      <c r="C1189" s="1">
        <v>20</v>
      </c>
      <c r="D1189" s="1">
        <v>12.6</v>
      </c>
      <c r="E1189" s="1" t="s">
        <v>52</v>
      </c>
      <c r="F1189" s="1" t="s">
        <v>6877</v>
      </c>
      <c r="G1189" s="3" t="s">
        <v>6878</v>
      </c>
      <c r="H1189" s="11">
        <f t="shared" si="39"/>
        <v>67.680000000000007</v>
      </c>
      <c r="I1189" s="9">
        <f>($K$2+0.02)*Tabla1[[#This Row],[PRECIO $]]*1.18</f>
        <v>51.740639999999999</v>
      </c>
      <c r="J1189" s="7">
        <f>+Tabla1[[#This Row],[PRECIO EN SOLES]]-Tabla1[[#This Row],[PC]]</f>
        <v>15.939360000000008</v>
      </c>
      <c r="K1189" s="15"/>
      <c r="L1189" s="15" t="str">
        <f t="shared" si="38"/>
        <v>COMPLEMENTO</v>
      </c>
    </row>
    <row r="1190" spans="1:12" x14ac:dyDescent="0.25">
      <c r="A1190" s="3" t="s">
        <v>1949</v>
      </c>
      <c r="B1190" s="3" t="s">
        <v>1950</v>
      </c>
      <c r="C1190" s="1">
        <v>0</v>
      </c>
      <c r="D1190" s="1">
        <v>13.7</v>
      </c>
      <c r="E1190" s="1" t="s">
        <v>52</v>
      </c>
      <c r="F1190" s="1" t="s">
        <v>3756</v>
      </c>
      <c r="G1190" s="3" t="s">
        <v>1951</v>
      </c>
      <c r="H1190" s="11">
        <f t="shared" si="39"/>
        <v>73.319999999999993</v>
      </c>
      <c r="I1190" s="9">
        <f>($K$2+0.02)*Tabla1[[#This Row],[PRECIO $]]*1.18</f>
        <v>56.257679999999993</v>
      </c>
      <c r="J1190" s="7">
        <f>+Tabla1[[#This Row],[PRECIO EN SOLES]]-Tabla1[[#This Row],[PC]]</f>
        <v>17.06232</v>
      </c>
      <c r="K1190" s="15"/>
      <c r="L1190" s="15" t="str">
        <f t="shared" si="38"/>
        <v>COMPLEMENTO</v>
      </c>
    </row>
    <row r="1191" spans="1:12" x14ac:dyDescent="0.25">
      <c r="A1191" s="3" t="s">
        <v>415</v>
      </c>
      <c r="B1191" s="3" t="s">
        <v>416</v>
      </c>
      <c r="C1191" s="1">
        <v>20</v>
      </c>
      <c r="D1191" s="1">
        <v>20.7</v>
      </c>
      <c r="E1191" s="1" t="s">
        <v>52</v>
      </c>
      <c r="F1191" s="1" t="s">
        <v>3757</v>
      </c>
      <c r="G1191" s="3" t="s">
        <v>417</v>
      </c>
      <c r="H1191" s="11">
        <f t="shared" si="39"/>
        <v>110.25</v>
      </c>
      <c r="I1191" s="9">
        <f>($K$2+0.02)*Tabla1[[#This Row],[PRECIO $]]*1.18</f>
        <v>85.002479999999991</v>
      </c>
      <c r="J1191" s="7">
        <f>+Tabla1[[#This Row],[PRECIO EN SOLES]]-Tabla1[[#This Row],[PC]]</f>
        <v>25.247520000000009</v>
      </c>
      <c r="K1191" s="15"/>
      <c r="L1191" s="15" t="str">
        <f t="shared" si="38"/>
        <v>COMPLEMENTO</v>
      </c>
    </row>
    <row r="1192" spans="1:12" x14ac:dyDescent="0.25">
      <c r="A1192" s="3" t="s">
        <v>418</v>
      </c>
      <c r="B1192" s="3" t="s">
        <v>419</v>
      </c>
      <c r="C1192" s="1">
        <v>20</v>
      </c>
      <c r="D1192" s="1">
        <v>14</v>
      </c>
      <c r="E1192" s="1" t="s">
        <v>52</v>
      </c>
      <c r="F1192" s="1" t="s">
        <v>3758</v>
      </c>
      <c r="G1192" s="3" t="s">
        <v>420</v>
      </c>
      <c r="H1192" s="11">
        <f t="shared" si="39"/>
        <v>74.86</v>
      </c>
      <c r="I1192" s="9">
        <f>($K$2+0.02)*Tabla1[[#This Row],[PRECIO $]]*1.18</f>
        <v>57.489599999999996</v>
      </c>
      <c r="J1192" s="7">
        <f>+Tabla1[[#This Row],[PRECIO EN SOLES]]-Tabla1[[#This Row],[PC]]</f>
        <v>17.370400000000004</v>
      </c>
      <c r="K1192" s="15"/>
      <c r="L1192" s="15" t="str">
        <f t="shared" si="38"/>
        <v>COMPLEMENTO</v>
      </c>
    </row>
    <row r="1193" spans="1:12" x14ac:dyDescent="0.25">
      <c r="A1193" s="3" t="s">
        <v>1952</v>
      </c>
      <c r="B1193" s="3" t="s">
        <v>1953</v>
      </c>
      <c r="C1193" s="1">
        <v>20</v>
      </c>
      <c r="D1193" s="1">
        <v>11.3</v>
      </c>
      <c r="E1193" s="1" t="s">
        <v>58</v>
      </c>
      <c r="F1193" s="1" t="s">
        <v>3759</v>
      </c>
      <c r="G1193" s="3" t="s">
        <v>1954</v>
      </c>
      <c r="H1193" s="11">
        <f t="shared" si="39"/>
        <v>61</v>
      </c>
      <c r="I1193" s="9">
        <f>($K$2+0.02)*Tabla1[[#This Row],[PRECIO $]]*1.18</f>
        <v>46.402320000000003</v>
      </c>
      <c r="J1193" s="7">
        <f>+Tabla1[[#This Row],[PRECIO EN SOLES]]-Tabla1[[#This Row],[PC]]</f>
        <v>14.597679999999997</v>
      </c>
      <c r="K1193" s="15"/>
      <c r="L1193" s="15" t="str">
        <f t="shared" si="38"/>
        <v>COMPLEMENTO</v>
      </c>
    </row>
    <row r="1194" spans="1:12" x14ac:dyDescent="0.25">
      <c r="A1194" s="3" t="s">
        <v>1955</v>
      </c>
      <c r="B1194" s="3" t="s">
        <v>1956</v>
      </c>
      <c r="C1194" s="1">
        <v>20</v>
      </c>
      <c r="D1194" s="1">
        <v>9</v>
      </c>
      <c r="E1194" s="1" t="s">
        <v>58</v>
      </c>
      <c r="F1194" s="1" t="s">
        <v>3760</v>
      </c>
      <c r="G1194" s="3" t="s">
        <v>1957</v>
      </c>
      <c r="H1194" s="11">
        <f t="shared" si="39"/>
        <v>49.2</v>
      </c>
      <c r="I1194" s="9">
        <f>($K$2+0.02)*Tabla1[[#This Row],[PRECIO $]]*1.18</f>
        <v>36.957599999999999</v>
      </c>
      <c r="J1194" s="7">
        <f>+Tabla1[[#This Row],[PRECIO EN SOLES]]-Tabla1[[#This Row],[PC]]</f>
        <v>12.242400000000004</v>
      </c>
      <c r="K1194" s="15"/>
      <c r="L1194" s="15" t="str">
        <f t="shared" si="38"/>
        <v>COMPLEMENTO</v>
      </c>
    </row>
    <row r="1195" spans="1:12" x14ac:dyDescent="0.25">
      <c r="A1195" s="3" t="s">
        <v>1958</v>
      </c>
      <c r="B1195" s="3" t="s">
        <v>1956</v>
      </c>
      <c r="C1195" s="1">
        <v>20</v>
      </c>
      <c r="D1195" s="1">
        <v>11.3</v>
      </c>
      <c r="E1195" s="1" t="s">
        <v>58</v>
      </c>
      <c r="F1195" s="1" t="s">
        <v>3761</v>
      </c>
      <c r="G1195" s="3" t="s">
        <v>1959</v>
      </c>
      <c r="H1195" s="11">
        <f t="shared" si="39"/>
        <v>61</v>
      </c>
      <c r="I1195" s="9">
        <f>($K$2+0.02)*Tabla1[[#This Row],[PRECIO $]]*1.18</f>
        <v>46.402320000000003</v>
      </c>
      <c r="J1195" s="7">
        <f>+Tabla1[[#This Row],[PRECIO EN SOLES]]-Tabla1[[#This Row],[PC]]</f>
        <v>14.597679999999997</v>
      </c>
      <c r="K1195" s="15"/>
      <c r="L1195" s="15" t="str">
        <f t="shared" si="38"/>
        <v>COMPLEMENTO</v>
      </c>
    </row>
    <row r="1196" spans="1:12" x14ac:dyDescent="0.25">
      <c r="A1196" s="3" t="s">
        <v>1960</v>
      </c>
      <c r="B1196" s="3" t="s">
        <v>1961</v>
      </c>
      <c r="C1196" s="1">
        <v>3</v>
      </c>
      <c r="D1196" s="1">
        <v>13.5</v>
      </c>
      <c r="E1196" s="1" t="s">
        <v>58</v>
      </c>
      <c r="F1196" s="1" t="s">
        <v>3762</v>
      </c>
      <c r="G1196" s="3" t="s">
        <v>1962</v>
      </c>
      <c r="H1196" s="11">
        <f t="shared" si="39"/>
        <v>72.3</v>
      </c>
      <c r="I1196" s="9">
        <f>($K$2+0.02)*Tabla1[[#This Row],[PRECIO $]]*1.18</f>
        <v>55.436399999999992</v>
      </c>
      <c r="J1196" s="7">
        <f>+Tabla1[[#This Row],[PRECIO EN SOLES]]-Tabla1[[#This Row],[PC]]</f>
        <v>16.863600000000005</v>
      </c>
      <c r="K1196" s="15"/>
      <c r="L1196" s="15" t="str">
        <f t="shared" si="38"/>
        <v>NORMAL</v>
      </c>
    </row>
    <row r="1197" spans="1:12" x14ac:dyDescent="0.25">
      <c r="A1197" s="3" t="s">
        <v>1963</v>
      </c>
      <c r="B1197" s="3" t="s">
        <v>1964</v>
      </c>
      <c r="C1197" s="1">
        <v>2</v>
      </c>
      <c r="D1197" s="1">
        <v>11.7</v>
      </c>
      <c r="E1197" s="1" t="s">
        <v>58</v>
      </c>
      <c r="F1197" s="1" t="s">
        <v>3763</v>
      </c>
      <c r="G1197" s="3" t="s">
        <v>1965</v>
      </c>
      <c r="H1197" s="11">
        <f t="shared" si="39"/>
        <v>63.06</v>
      </c>
      <c r="I1197" s="9">
        <f>($K$2+0.02)*Tabla1[[#This Row],[PRECIO $]]*1.18</f>
        <v>48.044879999999992</v>
      </c>
      <c r="J1197" s="7">
        <f>+Tabla1[[#This Row],[PRECIO EN SOLES]]-Tabla1[[#This Row],[PC]]</f>
        <v>15.01512000000001</v>
      </c>
      <c r="K1197" s="15"/>
      <c r="L1197" s="15" t="str">
        <f t="shared" si="38"/>
        <v>COMPLEMENTO</v>
      </c>
    </row>
    <row r="1198" spans="1:12" x14ac:dyDescent="0.25">
      <c r="A1198" s="3" t="s">
        <v>1966</v>
      </c>
      <c r="B1198" s="3" t="s">
        <v>1967</v>
      </c>
      <c r="C1198" s="1">
        <v>10</v>
      </c>
      <c r="D1198" s="1">
        <v>92.2</v>
      </c>
      <c r="E1198" s="1" t="s">
        <v>58</v>
      </c>
      <c r="F1198" s="1" t="s">
        <v>3764</v>
      </c>
      <c r="G1198" s="3" t="s">
        <v>1968</v>
      </c>
      <c r="H1198" s="11">
        <f t="shared" si="39"/>
        <v>443.4</v>
      </c>
      <c r="I1198" s="9">
        <f>($K$2+0.02)*Tabla1[[#This Row],[PRECIO $]]*1.18</f>
        <v>378.61007999999998</v>
      </c>
      <c r="J1198" s="7">
        <f>+Tabla1[[#This Row],[PRECIO EN SOLES]]-Tabla1[[#This Row],[PC]]</f>
        <v>64.789919999999995</v>
      </c>
      <c r="K1198" s="15"/>
      <c r="L1198" s="15" t="str">
        <f t="shared" si="38"/>
        <v>COMPLEMENTO</v>
      </c>
    </row>
    <row r="1199" spans="1:12" x14ac:dyDescent="0.25">
      <c r="A1199" s="3" t="s">
        <v>1969</v>
      </c>
      <c r="B1199" s="3" t="s">
        <v>1970</v>
      </c>
      <c r="C1199" s="1">
        <v>5</v>
      </c>
      <c r="D1199" s="1">
        <v>58.2</v>
      </c>
      <c r="E1199" s="1" t="s">
        <v>58</v>
      </c>
      <c r="F1199" s="1" t="s">
        <v>3765</v>
      </c>
      <c r="G1199" s="3" t="s">
        <v>1971</v>
      </c>
      <c r="H1199" s="11">
        <f t="shared" si="39"/>
        <v>303.74</v>
      </c>
      <c r="I1199" s="9">
        <f>($K$2+0.02)*Tabla1[[#This Row],[PRECIO $]]*1.18</f>
        <v>238.99248</v>
      </c>
      <c r="J1199" s="7">
        <f>+Tabla1[[#This Row],[PRECIO EN SOLES]]-Tabla1[[#This Row],[PC]]</f>
        <v>64.747520000000009</v>
      </c>
      <c r="K1199" s="15"/>
      <c r="L1199" s="15" t="str">
        <f t="shared" si="38"/>
        <v>COMPLEMENTO</v>
      </c>
    </row>
    <row r="1200" spans="1:12" x14ac:dyDescent="0.25">
      <c r="A1200" s="3" t="s">
        <v>1972</v>
      </c>
      <c r="B1200" s="3" t="s">
        <v>1973</v>
      </c>
      <c r="C1200" s="1">
        <v>20</v>
      </c>
      <c r="D1200" s="1">
        <v>20</v>
      </c>
      <c r="E1200" s="1" t="s">
        <v>170</v>
      </c>
      <c r="F1200" s="1" t="s">
        <v>3766</v>
      </c>
      <c r="G1200" s="3"/>
      <c r="H1200" s="11">
        <f t="shared" si="39"/>
        <v>106.66</v>
      </c>
      <c r="I1200" s="9">
        <f>($K$2+0.02)*Tabla1[[#This Row],[PRECIO $]]*1.18</f>
        <v>82.127999999999986</v>
      </c>
      <c r="J1200" s="7">
        <f>+Tabla1[[#This Row],[PRECIO EN SOLES]]-Tabla1[[#This Row],[PC]]</f>
        <v>24.532000000000011</v>
      </c>
      <c r="K1200" s="15"/>
      <c r="L1200" s="15" t="str">
        <f t="shared" si="38"/>
        <v>NORMAL</v>
      </c>
    </row>
    <row r="1201" spans="1:12" x14ac:dyDescent="0.25">
      <c r="A1201" s="3" t="s">
        <v>1974</v>
      </c>
      <c r="B1201" s="3" t="s">
        <v>1975</v>
      </c>
      <c r="C1201" s="1">
        <v>20</v>
      </c>
      <c r="D1201" s="1">
        <v>23.7</v>
      </c>
      <c r="E1201" s="1" t="s">
        <v>837</v>
      </c>
      <c r="F1201" s="1" t="s">
        <v>3768</v>
      </c>
      <c r="G1201" s="3" t="s">
        <v>1976</v>
      </c>
      <c r="H1201" s="11">
        <f t="shared" si="39"/>
        <v>125.65</v>
      </c>
      <c r="I1201" s="9">
        <f>($K$2+0.02)*Tabla1[[#This Row],[PRECIO $]]*1.18</f>
        <v>97.321680000000001</v>
      </c>
      <c r="J1201" s="7">
        <f>+Tabla1[[#This Row],[PRECIO EN SOLES]]-Tabla1[[#This Row],[PC]]</f>
        <v>28.328320000000005</v>
      </c>
      <c r="K1201" s="15"/>
      <c r="L1201" s="15" t="str">
        <f t="shared" si="38"/>
        <v>COMPLEMENTO</v>
      </c>
    </row>
    <row r="1202" spans="1:12" x14ac:dyDescent="0.25">
      <c r="A1202" s="3" t="s">
        <v>1977</v>
      </c>
      <c r="B1202" s="3" t="s">
        <v>1978</v>
      </c>
      <c r="C1202" s="1">
        <v>20</v>
      </c>
      <c r="D1202" s="1">
        <v>44.1</v>
      </c>
      <c r="E1202" s="1" t="s">
        <v>74</v>
      </c>
      <c r="F1202" s="1" t="s">
        <v>3769</v>
      </c>
      <c r="G1202" s="3" t="s">
        <v>1979</v>
      </c>
      <c r="H1202" s="11">
        <f t="shared" si="39"/>
        <v>216.26</v>
      </c>
      <c r="I1202" s="9">
        <f>($K$2+0.02)*Tabla1[[#This Row],[PRECIO $]]*1.18</f>
        <v>181.09224</v>
      </c>
      <c r="J1202" s="7">
        <f>+Tabla1[[#This Row],[PRECIO EN SOLES]]-Tabla1[[#This Row],[PC]]</f>
        <v>35.167759999999987</v>
      </c>
      <c r="K1202" s="15"/>
      <c r="L1202" s="15" t="str">
        <f t="shared" si="38"/>
        <v>COMPLEMENTO</v>
      </c>
    </row>
    <row r="1203" spans="1:12" x14ac:dyDescent="0.25">
      <c r="A1203" s="3" t="s">
        <v>1980</v>
      </c>
      <c r="B1203" s="3" t="s">
        <v>1981</v>
      </c>
      <c r="C1203" s="1">
        <v>0</v>
      </c>
      <c r="D1203" s="1">
        <v>9999</v>
      </c>
      <c r="E1203" s="1" t="s">
        <v>910</v>
      </c>
      <c r="F1203" s="1" t="s">
        <v>3770</v>
      </c>
      <c r="G1203" s="3"/>
      <c r="H1203" s="11">
        <f t="shared" si="39"/>
        <v>51329.87</v>
      </c>
      <c r="I1203" s="9">
        <f>($K$2+0.02)*Tabla1[[#This Row],[PRECIO $]]*1.18</f>
        <v>41059.893599999996</v>
      </c>
      <c r="J1203" s="7">
        <f>+Tabla1[[#This Row],[PRECIO EN SOLES]]-Tabla1[[#This Row],[PC]]</f>
        <v>10269.976400000007</v>
      </c>
      <c r="K1203" s="15"/>
      <c r="L1203" s="15" t="str">
        <f t="shared" si="38"/>
        <v>COMPLEMENTO</v>
      </c>
    </row>
    <row r="1204" spans="1:12" x14ac:dyDescent="0.25">
      <c r="A1204" s="3" t="s">
        <v>1982</v>
      </c>
      <c r="B1204" s="3" t="s">
        <v>1983</v>
      </c>
      <c r="C1204" s="1">
        <v>0</v>
      </c>
      <c r="D1204" s="1">
        <v>99</v>
      </c>
      <c r="E1204" s="1" t="s">
        <v>148</v>
      </c>
      <c r="F1204" s="1" t="s">
        <v>3771</v>
      </c>
      <c r="G1204" s="3"/>
      <c r="H1204" s="11">
        <f t="shared" si="39"/>
        <v>513.16999999999996</v>
      </c>
      <c r="I1204" s="9">
        <f>($K$2+0.02)*Tabla1[[#This Row],[PRECIO $]]*1.18</f>
        <v>406.53359999999998</v>
      </c>
      <c r="J1204" s="7">
        <f>+Tabla1[[#This Row],[PRECIO EN SOLES]]-Tabla1[[#This Row],[PC]]</f>
        <v>106.63639999999998</v>
      </c>
      <c r="K1204" s="15"/>
      <c r="L1204" s="15" t="str">
        <f t="shared" si="38"/>
        <v>COMPLEMENTO</v>
      </c>
    </row>
    <row r="1205" spans="1:12" x14ac:dyDescent="0.25">
      <c r="A1205" s="3" t="s">
        <v>1984</v>
      </c>
      <c r="B1205" s="3" t="s">
        <v>1981</v>
      </c>
      <c r="C1205" s="1">
        <v>0</v>
      </c>
      <c r="D1205" s="1">
        <v>9999</v>
      </c>
      <c r="E1205" s="1" t="s">
        <v>56</v>
      </c>
      <c r="F1205" s="1" t="s">
        <v>3772</v>
      </c>
      <c r="G1205" s="3"/>
      <c r="H1205" s="11">
        <f t="shared" si="39"/>
        <v>51329.87</v>
      </c>
      <c r="I1205" s="9">
        <f>($K$2+0.02)*Tabla1[[#This Row],[PRECIO $]]*1.18</f>
        <v>41059.893599999996</v>
      </c>
      <c r="J1205" s="7">
        <f>+Tabla1[[#This Row],[PRECIO EN SOLES]]-Tabla1[[#This Row],[PC]]</f>
        <v>10269.976400000007</v>
      </c>
      <c r="K1205" s="15"/>
      <c r="L1205" s="15" t="str">
        <f t="shared" si="38"/>
        <v>GANCHO</v>
      </c>
    </row>
    <row r="1206" spans="1:12" x14ac:dyDescent="0.25">
      <c r="A1206" s="3" t="s">
        <v>4661</v>
      </c>
      <c r="B1206" s="3" t="s">
        <v>4662</v>
      </c>
      <c r="C1206" s="1">
        <v>0</v>
      </c>
      <c r="D1206" s="1">
        <v>999</v>
      </c>
      <c r="E1206" s="1" t="s">
        <v>186</v>
      </c>
      <c r="F1206" s="1" t="s">
        <v>4663</v>
      </c>
      <c r="G1206" s="3"/>
      <c r="H1206" s="11">
        <f t="shared" si="39"/>
        <v>5132.87</v>
      </c>
      <c r="I1206" s="9">
        <f>($K$2+0.02)*Tabla1[[#This Row],[PRECIO $]]*1.18</f>
        <v>4102.2936</v>
      </c>
      <c r="J1206" s="7">
        <f>+Tabla1[[#This Row],[PRECIO EN SOLES]]-Tabla1[[#This Row],[PC]]</f>
        <v>1030.5763999999999</v>
      </c>
      <c r="K1206" s="15"/>
      <c r="L1206" s="15" t="str">
        <f t="shared" si="38"/>
        <v>NORMAL</v>
      </c>
    </row>
    <row r="1207" spans="1:12" x14ac:dyDescent="0.25">
      <c r="A1207" s="3" t="s">
        <v>4449</v>
      </c>
      <c r="B1207" s="3" t="s">
        <v>4450</v>
      </c>
      <c r="C1207" s="1">
        <v>8</v>
      </c>
      <c r="D1207" s="1">
        <v>485</v>
      </c>
      <c r="E1207" s="1" t="s">
        <v>52</v>
      </c>
      <c r="F1207" s="1" t="s">
        <v>4451</v>
      </c>
      <c r="G1207" s="3" t="s">
        <v>4452</v>
      </c>
      <c r="H1207" s="11">
        <f t="shared" si="39"/>
        <v>2209.7600000000002</v>
      </c>
      <c r="I1207" s="9">
        <f>($K$2+0.02)*Tabla1[[#This Row],[PRECIO $]]*1.18</f>
        <v>1991.6039999999998</v>
      </c>
      <c r="J1207" s="7">
        <f>+Tabla1[[#This Row],[PRECIO EN SOLES]]-Tabla1[[#This Row],[PC]]</f>
        <v>218.1560000000004</v>
      </c>
      <c r="K1207" s="15"/>
      <c r="L1207" s="15" t="str">
        <f t="shared" si="38"/>
        <v>NORMAL</v>
      </c>
    </row>
    <row r="1208" spans="1:12" x14ac:dyDescent="0.25">
      <c r="A1208" s="3" t="s">
        <v>5018</v>
      </c>
      <c r="B1208" s="3" t="s">
        <v>5019</v>
      </c>
      <c r="C1208" s="1">
        <v>1</v>
      </c>
      <c r="D1208" s="1">
        <v>1629</v>
      </c>
      <c r="E1208" s="1" t="s">
        <v>52</v>
      </c>
      <c r="F1208" s="1" t="s">
        <v>5020</v>
      </c>
      <c r="G1208" s="3" t="s">
        <v>5021</v>
      </c>
      <c r="H1208" s="11">
        <f t="shared" si="39"/>
        <v>7700.72</v>
      </c>
      <c r="I1208" s="9">
        <f>($K$2+0.02)*Tabla1[[#This Row],[PRECIO $]]*1.18</f>
        <v>6689.3256000000001</v>
      </c>
      <c r="J1208" s="7">
        <f>+Tabla1[[#This Row],[PRECIO EN SOLES]]-Tabla1[[#This Row],[PC]]</f>
        <v>1011.3944000000001</v>
      </c>
      <c r="K1208" s="15"/>
      <c r="L1208" s="15" t="str">
        <f t="shared" si="38"/>
        <v>GANCHO</v>
      </c>
    </row>
    <row r="1209" spans="1:12" x14ac:dyDescent="0.25">
      <c r="A1209" s="3" t="s">
        <v>6634</v>
      </c>
      <c r="B1209" s="3" t="s">
        <v>6635</v>
      </c>
      <c r="C1209" s="1">
        <v>4</v>
      </c>
      <c r="D1209" s="1">
        <v>2242</v>
      </c>
      <c r="E1209" s="1" t="s">
        <v>52</v>
      </c>
      <c r="F1209" s="1" t="s">
        <v>6636</v>
      </c>
      <c r="G1209" s="3" t="s">
        <v>6637</v>
      </c>
      <c r="H1209" s="11">
        <f t="shared" si="39"/>
        <v>10595.53</v>
      </c>
      <c r="I1209" s="9">
        <f>($K$2+0.02)*Tabla1[[#This Row],[PRECIO $]]*1.18</f>
        <v>9206.5487999999987</v>
      </c>
      <c r="J1209" s="7">
        <f>+Tabla1[[#This Row],[PRECIO EN SOLES]]-Tabla1[[#This Row],[PC]]</f>
        <v>1388.981200000002</v>
      </c>
      <c r="K1209" s="15"/>
      <c r="L1209" s="15" t="str">
        <f t="shared" si="38"/>
        <v>NORMAL</v>
      </c>
    </row>
    <row r="1210" spans="1:12" x14ac:dyDescent="0.25">
      <c r="A1210" s="3" t="s">
        <v>1985</v>
      </c>
      <c r="B1210" s="3" t="s">
        <v>1986</v>
      </c>
      <c r="C1210" s="1">
        <v>4</v>
      </c>
      <c r="D1210" s="1">
        <v>2140</v>
      </c>
      <c r="E1210" s="1" t="s">
        <v>52</v>
      </c>
      <c r="F1210" s="1" t="s">
        <v>3773</v>
      </c>
      <c r="G1210" s="3" t="s">
        <v>1987</v>
      </c>
      <c r="H1210" s="11">
        <f t="shared" si="39"/>
        <v>9685.4699999999993</v>
      </c>
      <c r="I1210" s="9">
        <f>($K$2+0.02)*Tabla1[[#This Row],[PRECIO $]]*1.18</f>
        <v>8787.6959999999999</v>
      </c>
      <c r="J1210" s="7">
        <f>+Tabla1[[#This Row],[PRECIO EN SOLES]]-Tabla1[[#This Row],[PC]]</f>
        <v>897.77399999999943</v>
      </c>
      <c r="K1210" s="15"/>
      <c r="L1210" s="15" t="str">
        <f t="shared" si="38"/>
        <v>NORMAL</v>
      </c>
    </row>
    <row r="1211" spans="1:12" x14ac:dyDescent="0.25">
      <c r="A1211" s="3" t="s">
        <v>6879</v>
      </c>
      <c r="B1211" s="3" t="s">
        <v>6880</v>
      </c>
      <c r="C1211" s="1">
        <v>20</v>
      </c>
      <c r="D1211" s="1">
        <v>56</v>
      </c>
      <c r="E1211" s="1" t="s">
        <v>6718</v>
      </c>
      <c r="F1211" s="1" t="s">
        <v>6881</v>
      </c>
      <c r="G1211" s="3" t="s">
        <v>6882</v>
      </c>
      <c r="H1211" s="11">
        <f t="shared" si="39"/>
        <v>272.45</v>
      </c>
      <c r="I1211" s="9">
        <f>($K$2+0.02)*Tabla1[[#This Row],[PRECIO $]]*1.18</f>
        <v>229.95839999999998</v>
      </c>
      <c r="J1211" s="7">
        <f>+Tabla1[[#This Row],[PRECIO EN SOLES]]-Tabla1[[#This Row],[PC]]</f>
        <v>42.491600000000005</v>
      </c>
      <c r="K1211" s="15"/>
      <c r="L1211" s="15" t="str">
        <f t="shared" si="38"/>
        <v>NORMAL</v>
      </c>
    </row>
    <row r="1212" spans="1:12" x14ac:dyDescent="0.25">
      <c r="A1212" s="3" t="s">
        <v>6883</v>
      </c>
      <c r="B1212" s="3" t="s">
        <v>6884</v>
      </c>
      <c r="C1212" s="1">
        <v>20</v>
      </c>
      <c r="D1212" s="1">
        <v>51</v>
      </c>
      <c r="E1212" s="1" t="s">
        <v>6718</v>
      </c>
      <c r="F1212" s="1" t="s">
        <v>6885</v>
      </c>
      <c r="G1212" s="3" t="s">
        <v>6886</v>
      </c>
      <c r="H1212" s="11">
        <f t="shared" si="39"/>
        <v>248.84</v>
      </c>
      <c r="I1212" s="9">
        <f>($K$2+0.02)*Tabla1[[#This Row],[PRECIO $]]*1.18</f>
        <v>209.42639999999997</v>
      </c>
      <c r="J1212" s="7">
        <f>+Tabla1[[#This Row],[PRECIO EN SOLES]]-Tabla1[[#This Row],[PC]]</f>
        <v>39.413600000000031</v>
      </c>
      <c r="K1212" s="15"/>
      <c r="L1212" s="15" t="str">
        <f t="shared" si="38"/>
        <v>NORMAL</v>
      </c>
    </row>
    <row r="1213" spans="1:12" x14ac:dyDescent="0.25">
      <c r="A1213" s="3" t="s">
        <v>1988</v>
      </c>
      <c r="B1213" s="3" t="s">
        <v>1989</v>
      </c>
      <c r="C1213" s="1">
        <v>2</v>
      </c>
      <c r="D1213" s="1">
        <v>13</v>
      </c>
      <c r="E1213" s="1" t="s">
        <v>1990</v>
      </c>
      <c r="F1213" s="1" t="s">
        <v>3774</v>
      </c>
      <c r="G1213" s="3"/>
      <c r="H1213" s="11">
        <f t="shared" si="39"/>
        <v>65.39</v>
      </c>
      <c r="I1213" s="9">
        <f>($K$2+0.02)*Tabla1[[#This Row],[PRECIO $]]*1.18</f>
        <v>53.383200000000002</v>
      </c>
      <c r="J1213" s="7">
        <f>+Tabla1[[#This Row],[PRECIO EN SOLES]]-Tabla1[[#This Row],[PC]]</f>
        <v>12.006799999999998</v>
      </c>
      <c r="K1213" s="15"/>
      <c r="L1213" s="15" t="str">
        <f t="shared" si="38"/>
        <v>NORMAL</v>
      </c>
    </row>
    <row r="1214" spans="1:12" x14ac:dyDescent="0.25">
      <c r="A1214" s="3" t="s">
        <v>1991</v>
      </c>
      <c r="B1214" s="3" t="s">
        <v>1992</v>
      </c>
      <c r="C1214" s="1">
        <v>12</v>
      </c>
      <c r="D1214" s="1">
        <v>500</v>
      </c>
      <c r="E1214" s="1" t="s">
        <v>57</v>
      </c>
      <c r="F1214" s="1" t="s">
        <v>3775</v>
      </c>
      <c r="G1214" s="3"/>
      <c r="H1214" s="11">
        <f t="shared" si="39"/>
        <v>2369.1799999999998</v>
      </c>
      <c r="I1214" s="9">
        <f>($K$2+0.02)*Tabla1[[#This Row],[PRECIO $]]*1.18</f>
        <v>2053.1999999999998</v>
      </c>
      <c r="J1214" s="7">
        <f>+Tabla1[[#This Row],[PRECIO EN SOLES]]-Tabla1[[#This Row],[PC]]</f>
        <v>315.98</v>
      </c>
      <c r="K1214" s="15"/>
      <c r="L1214" s="15" t="str">
        <f t="shared" si="38"/>
        <v>NORMAL</v>
      </c>
    </row>
    <row r="1215" spans="1:12" x14ac:dyDescent="0.25">
      <c r="A1215" s="3" t="s">
        <v>1993</v>
      </c>
      <c r="B1215" s="3" t="s">
        <v>1994</v>
      </c>
      <c r="C1215" s="1">
        <v>12</v>
      </c>
      <c r="D1215" s="1">
        <v>500</v>
      </c>
      <c r="E1215" s="1" t="s">
        <v>57</v>
      </c>
      <c r="F1215" s="1" t="s">
        <v>3776</v>
      </c>
      <c r="G1215" s="3"/>
      <c r="H1215" s="11">
        <f t="shared" si="39"/>
        <v>2369.1799999999998</v>
      </c>
      <c r="I1215" s="9">
        <f>($K$2+0.02)*Tabla1[[#This Row],[PRECIO $]]*1.18</f>
        <v>2053.1999999999998</v>
      </c>
      <c r="J1215" s="7">
        <f>+Tabla1[[#This Row],[PRECIO EN SOLES]]-Tabla1[[#This Row],[PC]]</f>
        <v>315.98</v>
      </c>
      <c r="K1215" s="15"/>
      <c r="L1215" s="15" t="str">
        <f t="shared" si="38"/>
        <v>NORMAL</v>
      </c>
    </row>
    <row r="1216" spans="1:12" x14ac:dyDescent="0.25">
      <c r="A1216" s="3" t="s">
        <v>1995</v>
      </c>
      <c r="B1216" s="3" t="s">
        <v>1996</v>
      </c>
      <c r="C1216" s="1">
        <v>20</v>
      </c>
      <c r="D1216" s="1">
        <v>1</v>
      </c>
      <c r="E1216" s="1" t="s">
        <v>54</v>
      </c>
      <c r="F1216" s="1" t="s">
        <v>3777</v>
      </c>
      <c r="G1216" s="3"/>
      <c r="H1216" s="11">
        <f t="shared" si="39"/>
        <v>6.72</v>
      </c>
      <c r="I1216" s="9">
        <f>($K$2+0.02)*Tabla1[[#This Row],[PRECIO $]]*1.18</f>
        <v>4.1063999999999998</v>
      </c>
      <c r="J1216" s="7">
        <f>+Tabla1[[#This Row],[PRECIO EN SOLES]]-Tabla1[[#This Row],[PC]]</f>
        <v>2.6135999999999999</v>
      </c>
      <c r="K1216" s="15"/>
      <c r="L1216" s="15" t="str">
        <f t="shared" si="38"/>
        <v>NORMAL</v>
      </c>
    </row>
    <row r="1217" spans="1:12" x14ac:dyDescent="0.25">
      <c r="A1217" s="3" t="s">
        <v>1997</v>
      </c>
      <c r="B1217" s="3" t="s">
        <v>1998</v>
      </c>
      <c r="C1217" s="1">
        <v>12</v>
      </c>
      <c r="D1217" s="1">
        <v>500</v>
      </c>
      <c r="E1217" s="1" t="s">
        <v>57</v>
      </c>
      <c r="F1217" s="1" t="s">
        <v>3778</v>
      </c>
      <c r="G1217" s="3"/>
      <c r="H1217" s="11">
        <f t="shared" si="39"/>
        <v>2369.1799999999998</v>
      </c>
      <c r="I1217" s="9">
        <f>($K$2+0.02)*Tabla1[[#This Row],[PRECIO $]]*1.18</f>
        <v>2053.1999999999998</v>
      </c>
      <c r="J1217" s="7">
        <f>+Tabla1[[#This Row],[PRECIO EN SOLES]]-Tabla1[[#This Row],[PC]]</f>
        <v>315.98</v>
      </c>
      <c r="K1217" s="15"/>
      <c r="L1217" s="15" t="str">
        <f t="shared" si="38"/>
        <v>NORMAL</v>
      </c>
    </row>
    <row r="1218" spans="1:12" x14ac:dyDescent="0.25">
      <c r="A1218" s="3" t="s">
        <v>1999</v>
      </c>
      <c r="B1218" s="3" t="s">
        <v>2000</v>
      </c>
      <c r="C1218" s="1">
        <v>9</v>
      </c>
      <c r="D1218" s="1">
        <v>16.8</v>
      </c>
      <c r="E1218" s="1" t="s">
        <v>57</v>
      </c>
      <c r="F1218" s="1" t="s">
        <v>3779</v>
      </c>
      <c r="G1218" s="3" t="s">
        <v>2001</v>
      </c>
      <c r="H1218" s="11">
        <f t="shared" si="39"/>
        <v>83.34</v>
      </c>
      <c r="I1218" s="9">
        <f>($K$2+0.02)*Tabla1[[#This Row],[PRECIO $]]*1.18</f>
        <v>68.987519999999989</v>
      </c>
      <c r="J1218" s="7">
        <f>+Tabla1[[#This Row],[PRECIO EN SOLES]]-Tabla1[[#This Row],[PC]]</f>
        <v>14.352480000000014</v>
      </c>
      <c r="K1218" s="15"/>
      <c r="L1218" s="15" t="str">
        <f t="shared" si="38"/>
        <v>NORMAL</v>
      </c>
    </row>
    <row r="1219" spans="1:12" x14ac:dyDescent="0.25">
      <c r="A1219" s="3" t="s">
        <v>2003</v>
      </c>
      <c r="B1219" s="3" t="s">
        <v>2004</v>
      </c>
      <c r="C1219" s="1">
        <v>18</v>
      </c>
      <c r="D1219" s="1">
        <v>70.91</v>
      </c>
      <c r="E1219" s="1" t="s">
        <v>2002</v>
      </c>
      <c r="F1219" s="1" t="s">
        <v>3780</v>
      </c>
      <c r="G1219" s="3"/>
      <c r="H1219" s="11">
        <f t="shared" si="39"/>
        <v>342.86</v>
      </c>
      <c r="I1219" s="9">
        <f>($K$2+0.02)*Tabla1[[#This Row],[PRECIO $]]*1.18</f>
        <v>291.18482399999999</v>
      </c>
      <c r="J1219" s="7">
        <f>+Tabla1[[#This Row],[PRECIO EN SOLES]]-Tabla1[[#This Row],[PC]]</f>
        <v>51.675176000000022</v>
      </c>
      <c r="K1219" s="15"/>
      <c r="L1219" s="15" t="str">
        <f t="shared" si="38"/>
        <v>NORMAL</v>
      </c>
    </row>
    <row r="1220" spans="1:12" x14ac:dyDescent="0.25">
      <c r="A1220" s="3" t="s">
        <v>2005</v>
      </c>
      <c r="B1220" s="3" t="s">
        <v>2006</v>
      </c>
      <c r="C1220" s="1">
        <v>20</v>
      </c>
      <c r="D1220" s="1">
        <v>55</v>
      </c>
      <c r="E1220" s="1" t="s">
        <v>2002</v>
      </c>
      <c r="F1220" s="1" t="s">
        <v>3781</v>
      </c>
      <c r="G1220" s="3"/>
      <c r="H1220" s="11">
        <f t="shared" si="39"/>
        <v>267.73</v>
      </c>
      <c r="I1220" s="9">
        <f>($K$2+0.02)*Tabla1[[#This Row],[PRECIO $]]*1.18</f>
        <v>225.852</v>
      </c>
      <c r="J1220" s="7">
        <f>+Tabla1[[#This Row],[PRECIO EN SOLES]]-Tabla1[[#This Row],[PC]]</f>
        <v>41.878000000000014</v>
      </c>
      <c r="K1220" s="15"/>
      <c r="L1220" s="15" t="str">
        <f t="shared" si="38"/>
        <v>NORMAL</v>
      </c>
    </row>
    <row r="1221" spans="1:12" x14ac:dyDescent="0.25">
      <c r="A1221" s="3" t="s">
        <v>2007</v>
      </c>
      <c r="B1221" s="3" t="s">
        <v>2008</v>
      </c>
      <c r="C1221" s="1">
        <v>1</v>
      </c>
      <c r="D1221" s="1">
        <v>268</v>
      </c>
      <c r="E1221" s="1" t="s">
        <v>1123</v>
      </c>
      <c r="F1221" s="1" t="s">
        <v>3782</v>
      </c>
      <c r="G1221" s="3" t="s">
        <v>2009</v>
      </c>
      <c r="H1221" s="11">
        <f t="shared" si="39"/>
        <v>1273.5899999999999</v>
      </c>
      <c r="I1221" s="9">
        <f>($K$2+0.02)*Tabla1[[#This Row],[PRECIO $]]*1.18</f>
        <v>1100.5151999999998</v>
      </c>
      <c r="J1221" s="7">
        <f>+Tabla1[[#This Row],[PRECIO EN SOLES]]-Tabla1[[#This Row],[PC]]</f>
        <v>173.0748000000001</v>
      </c>
      <c r="K1221" s="15"/>
      <c r="L1221" s="15" t="str">
        <f t="shared" si="38"/>
        <v>NORMAL</v>
      </c>
    </row>
    <row r="1222" spans="1:12" x14ac:dyDescent="0.25">
      <c r="A1222" s="3" t="s">
        <v>2010</v>
      </c>
      <c r="B1222" s="3" t="s">
        <v>2011</v>
      </c>
      <c r="C1222" s="1">
        <v>1</v>
      </c>
      <c r="D1222" s="1">
        <v>283</v>
      </c>
      <c r="E1222" s="1" t="s">
        <v>1123</v>
      </c>
      <c r="F1222" s="1" t="s">
        <v>3783</v>
      </c>
      <c r="G1222" s="3" t="s">
        <v>2012</v>
      </c>
      <c r="H1222" s="11">
        <f t="shared" si="39"/>
        <v>1344.43</v>
      </c>
      <c r="I1222" s="9">
        <f>($K$2+0.02)*Tabla1[[#This Row],[PRECIO $]]*1.18</f>
        <v>1162.1112000000001</v>
      </c>
      <c r="J1222" s="7">
        <f>+Tabla1[[#This Row],[PRECIO EN SOLES]]-Tabla1[[#This Row],[PC]]</f>
        <v>182.31880000000001</v>
      </c>
      <c r="K1222" s="15"/>
      <c r="L1222" s="15" t="str">
        <f t="shared" si="38"/>
        <v>NORMAL</v>
      </c>
    </row>
    <row r="1223" spans="1:12" x14ac:dyDescent="0.25">
      <c r="A1223" s="3" t="s">
        <v>2013</v>
      </c>
      <c r="B1223" s="3" t="s">
        <v>2014</v>
      </c>
      <c r="C1223" s="1">
        <v>3</v>
      </c>
      <c r="D1223" s="1">
        <v>686</v>
      </c>
      <c r="E1223" s="1" t="s">
        <v>1123</v>
      </c>
      <c r="F1223" s="1" t="s">
        <v>3784</v>
      </c>
      <c r="G1223" s="3" t="s">
        <v>2015</v>
      </c>
      <c r="H1223" s="11">
        <f t="shared" si="39"/>
        <v>3247.54</v>
      </c>
      <c r="I1223" s="9">
        <f>($K$2+0.02)*Tabla1[[#This Row],[PRECIO $]]*1.18</f>
        <v>2816.9904000000001</v>
      </c>
      <c r="J1223" s="7">
        <f>+Tabla1[[#This Row],[PRECIO EN SOLES]]-Tabla1[[#This Row],[PC]]</f>
        <v>430.54959999999983</v>
      </c>
      <c r="K1223" s="15"/>
      <c r="L1223" s="15" t="str">
        <f t="shared" si="38"/>
        <v>NORMAL</v>
      </c>
    </row>
    <row r="1224" spans="1:12" x14ac:dyDescent="0.25">
      <c r="A1224" s="3" t="s">
        <v>2016</v>
      </c>
      <c r="B1224" s="3" t="s">
        <v>2017</v>
      </c>
      <c r="C1224" s="1">
        <v>1</v>
      </c>
      <c r="D1224" s="1">
        <v>948</v>
      </c>
      <c r="E1224" s="1" t="s">
        <v>1123</v>
      </c>
      <c r="F1224" s="1" t="s">
        <v>3785</v>
      </c>
      <c r="G1224" s="3" t="s">
        <v>2018</v>
      </c>
      <c r="H1224" s="11">
        <f t="shared" si="39"/>
        <v>4484.8</v>
      </c>
      <c r="I1224" s="9">
        <f>($K$2+0.02)*Tabla1[[#This Row],[PRECIO $]]*1.18</f>
        <v>3892.8671999999997</v>
      </c>
      <c r="J1224" s="7">
        <f>+Tabla1[[#This Row],[PRECIO EN SOLES]]-Tabla1[[#This Row],[PC]]</f>
        <v>591.9328000000005</v>
      </c>
      <c r="K1224" s="15"/>
      <c r="L1224" s="15" t="str">
        <f t="shared" si="38"/>
        <v>NORMAL</v>
      </c>
    </row>
    <row r="1225" spans="1:12" x14ac:dyDescent="0.25">
      <c r="A1225" s="3" t="s">
        <v>2019</v>
      </c>
      <c r="B1225" s="3" t="s">
        <v>2020</v>
      </c>
      <c r="C1225" s="1">
        <v>1</v>
      </c>
      <c r="D1225" s="1">
        <v>320</v>
      </c>
      <c r="E1225" s="1" t="s">
        <v>1123</v>
      </c>
      <c r="F1225" s="1" t="s">
        <v>3786</v>
      </c>
      <c r="G1225" s="3" t="s">
        <v>2021</v>
      </c>
      <c r="H1225" s="11">
        <f t="shared" si="39"/>
        <v>1519.16</v>
      </c>
      <c r="I1225" s="9">
        <f>($K$2+0.02)*Tabla1[[#This Row],[PRECIO $]]*1.18</f>
        <v>1314.0479999999998</v>
      </c>
      <c r="J1225" s="7">
        <f>+Tabla1[[#This Row],[PRECIO EN SOLES]]-Tabla1[[#This Row],[PC]]</f>
        <v>205.11200000000031</v>
      </c>
      <c r="K1225" s="15"/>
      <c r="L1225" s="15" t="str">
        <f t="shared" si="38"/>
        <v>COMPLEMENTO</v>
      </c>
    </row>
    <row r="1226" spans="1:12" x14ac:dyDescent="0.25">
      <c r="A1226" s="3" t="s">
        <v>2022</v>
      </c>
      <c r="B1226" s="3" t="s">
        <v>2023</v>
      </c>
      <c r="C1226" s="1">
        <v>1</v>
      </c>
      <c r="D1226" s="1">
        <v>38.6</v>
      </c>
      <c r="E1226" s="1" t="s">
        <v>1123</v>
      </c>
      <c r="F1226" s="1" t="s">
        <v>3787</v>
      </c>
      <c r="G1226" s="3" t="s">
        <v>2024</v>
      </c>
      <c r="H1226" s="11">
        <f t="shared" si="39"/>
        <v>190.28</v>
      </c>
      <c r="I1226" s="9">
        <f>($K$2+0.02)*Tabla1[[#This Row],[PRECIO $]]*1.18</f>
        <v>158.50703999999999</v>
      </c>
      <c r="J1226" s="7">
        <f>+Tabla1[[#This Row],[PRECIO EN SOLES]]-Tabla1[[#This Row],[PC]]</f>
        <v>31.772960000000012</v>
      </c>
      <c r="K1226" s="15"/>
      <c r="L1226" s="15" t="str">
        <f t="shared" si="38"/>
        <v>COMPLEMENTO</v>
      </c>
    </row>
    <row r="1227" spans="1:12" x14ac:dyDescent="0.25">
      <c r="A1227" s="3" t="s">
        <v>2025</v>
      </c>
      <c r="B1227" s="3" t="s">
        <v>2026</v>
      </c>
      <c r="C1227" s="1">
        <v>20</v>
      </c>
      <c r="D1227" s="1">
        <v>12.35</v>
      </c>
      <c r="E1227" s="1" t="s">
        <v>424</v>
      </c>
      <c r="F1227" s="1" t="s">
        <v>3788</v>
      </c>
      <c r="G1227" s="3" t="s">
        <v>2027</v>
      </c>
      <c r="H1227" s="11">
        <f t="shared" si="39"/>
        <v>66.39</v>
      </c>
      <c r="I1227" s="9">
        <f>($K$2+0.02)*Tabla1[[#This Row],[PRECIO $]]*1.18</f>
        <v>50.714039999999997</v>
      </c>
      <c r="J1227" s="7">
        <f>+Tabla1[[#This Row],[PRECIO EN SOLES]]-Tabla1[[#This Row],[PC]]</f>
        <v>15.675960000000003</v>
      </c>
      <c r="K1227" s="15"/>
      <c r="L1227" s="15" t="str">
        <f t="shared" si="38"/>
        <v>COMPLEMENTO</v>
      </c>
    </row>
    <row r="1228" spans="1:12" x14ac:dyDescent="0.25">
      <c r="A1228" s="3" t="s">
        <v>4664</v>
      </c>
      <c r="B1228" s="3" t="s">
        <v>4665</v>
      </c>
      <c r="C1228" s="1">
        <v>20</v>
      </c>
      <c r="D1228" s="1">
        <v>6.2</v>
      </c>
      <c r="E1228" s="1" t="s">
        <v>424</v>
      </c>
      <c r="F1228" s="1" t="s">
        <v>4666</v>
      </c>
      <c r="G1228" s="3" t="s">
        <v>4667</v>
      </c>
      <c r="H1228" s="11">
        <f t="shared" si="39"/>
        <v>34.82</v>
      </c>
      <c r="I1228" s="9">
        <f>($K$2+0.02)*Tabla1[[#This Row],[PRECIO $]]*1.18</f>
        <v>25.459679999999999</v>
      </c>
      <c r="J1228" s="7">
        <f>+Tabla1[[#This Row],[PRECIO EN SOLES]]-Tabla1[[#This Row],[PC]]</f>
        <v>9.3603200000000015</v>
      </c>
      <c r="K1228" s="15"/>
      <c r="L1228" s="15" t="str">
        <f t="shared" si="38"/>
        <v>NORMAL</v>
      </c>
    </row>
    <row r="1229" spans="1:12" x14ac:dyDescent="0.25">
      <c r="A1229" s="3" t="s">
        <v>425</v>
      </c>
      <c r="B1229" s="3" t="s">
        <v>426</v>
      </c>
      <c r="C1229" s="1">
        <v>20</v>
      </c>
      <c r="D1229" s="1">
        <v>12.41</v>
      </c>
      <c r="E1229" s="1" t="s">
        <v>424</v>
      </c>
      <c r="F1229" s="1" t="s">
        <v>3789</v>
      </c>
      <c r="G1229" s="3" t="s">
        <v>427</v>
      </c>
      <c r="H1229" s="11">
        <f t="shared" si="39"/>
        <v>66.7</v>
      </c>
      <c r="I1229" s="9">
        <f>($K$2+0.02)*Tabla1[[#This Row],[PRECIO $]]*1.18</f>
        <v>50.960423999999996</v>
      </c>
      <c r="J1229" s="7">
        <f>+Tabla1[[#This Row],[PRECIO EN SOLES]]-Tabla1[[#This Row],[PC]]</f>
        <v>15.739576000000007</v>
      </c>
      <c r="K1229" s="15"/>
      <c r="L1229" s="15" t="str">
        <f t="shared" si="38"/>
        <v>NORMAL</v>
      </c>
    </row>
    <row r="1230" spans="1:12" x14ac:dyDescent="0.25">
      <c r="A1230" s="3" t="s">
        <v>428</v>
      </c>
      <c r="B1230" s="3" t="s">
        <v>429</v>
      </c>
      <c r="C1230" s="1">
        <v>20</v>
      </c>
      <c r="D1230" s="1">
        <v>15.78</v>
      </c>
      <c r="E1230" s="1" t="s">
        <v>424</v>
      </c>
      <c r="F1230" s="1" t="s">
        <v>3790</v>
      </c>
      <c r="G1230" s="3" t="s">
        <v>430</v>
      </c>
      <c r="H1230" s="11">
        <f t="shared" si="39"/>
        <v>78.52</v>
      </c>
      <c r="I1230" s="9">
        <f>($K$2+0.02)*Tabla1[[#This Row],[PRECIO $]]*1.18</f>
        <v>64.798991999999998</v>
      </c>
      <c r="J1230" s="7">
        <f>+Tabla1[[#This Row],[PRECIO EN SOLES]]-Tabla1[[#This Row],[PC]]</f>
        <v>13.721007999999998</v>
      </c>
      <c r="K1230" s="15"/>
      <c r="L1230" s="15" t="str">
        <f t="shared" si="38"/>
        <v>NORMAL</v>
      </c>
    </row>
    <row r="1231" spans="1:12" x14ac:dyDescent="0.25">
      <c r="A1231" s="3" t="s">
        <v>4668</v>
      </c>
      <c r="B1231" s="3" t="s">
        <v>4669</v>
      </c>
      <c r="C1231" s="1">
        <v>13</v>
      </c>
      <c r="D1231" s="1">
        <v>178.29</v>
      </c>
      <c r="E1231" s="1" t="s">
        <v>424</v>
      </c>
      <c r="F1231" s="1" t="s">
        <v>4670</v>
      </c>
      <c r="G1231" s="3" t="s">
        <v>4671</v>
      </c>
      <c r="H1231" s="11">
        <f t="shared" si="39"/>
        <v>849.95</v>
      </c>
      <c r="I1231" s="9">
        <f>($K$2+0.02)*Tabla1[[#This Row],[PRECIO $]]*1.18</f>
        <v>732.13005599999997</v>
      </c>
      <c r="J1231" s="7">
        <f>+Tabla1[[#This Row],[PRECIO EN SOLES]]-Tabla1[[#This Row],[PC]]</f>
        <v>117.81994400000008</v>
      </c>
      <c r="K1231" s="15"/>
      <c r="L1231" s="15" t="str">
        <f t="shared" si="38"/>
        <v>NORMAL</v>
      </c>
    </row>
    <row r="1232" spans="1:12" x14ac:dyDescent="0.25">
      <c r="A1232" s="3" t="s">
        <v>2028</v>
      </c>
      <c r="B1232" s="3" t="s">
        <v>2029</v>
      </c>
      <c r="C1232" s="1">
        <v>1</v>
      </c>
      <c r="D1232" s="1">
        <v>162.4</v>
      </c>
      <c r="E1232" s="1" t="s">
        <v>424</v>
      </c>
      <c r="F1232" s="1" t="s">
        <v>3791</v>
      </c>
      <c r="G1232" s="3" t="s">
        <v>2030</v>
      </c>
      <c r="H1232" s="11">
        <f t="shared" si="39"/>
        <v>774.91</v>
      </c>
      <c r="I1232" s="9">
        <f>($K$2+0.02)*Tabla1[[#This Row],[PRECIO $]]*1.18</f>
        <v>666.87936000000002</v>
      </c>
      <c r="J1232" s="7">
        <f>+Tabla1[[#This Row],[PRECIO EN SOLES]]-Tabla1[[#This Row],[PC]]</f>
        <v>108.03063999999995</v>
      </c>
      <c r="K1232" s="15"/>
      <c r="L1232" s="15" t="str">
        <f t="shared" ref="L1232:L1295" si="40"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3" spans="1:12" x14ac:dyDescent="0.25">
      <c r="A1233" s="3" t="s">
        <v>2031</v>
      </c>
      <c r="B1233" s="3" t="s">
        <v>2032</v>
      </c>
      <c r="C1233" s="1">
        <v>3</v>
      </c>
      <c r="D1233" s="1">
        <v>857</v>
      </c>
      <c r="E1233" s="1" t="s">
        <v>2002</v>
      </c>
      <c r="F1233" s="1" t="s">
        <v>3792</v>
      </c>
      <c r="G1233" s="3"/>
      <c r="H1233" s="11">
        <f t="shared" si="39"/>
        <v>4055.06</v>
      </c>
      <c r="I1233" s="9">
        <f>($K$2+0.02)*Tabla1[[#This Row],[PRECIO $]]*1.18</f>
        <v>3519.1848</v>
      </c>
      <c r="J1233" s="7">
        <f>+Tabla1[[#This Row],[PRECIO EN SOLES]]-Tabla1[[#This Row],[PC]]</f>
        <v>535.87519999999995</v>
      </c>
      <c r="K1233" s="15"/>
      <c r="L1233" s="15" t="str">
        <f t="shared" si="40"/>
        <v>NORMAL</v>
      </c>
    </row>
    <row r="1234" spans="1:12" x14ac:dyDescent="0.25">
      <c r="A1234" s="3" t="s">
        <v>2033</v>
      </c>
      <c r="B1234" s="3" t="s">
        <v>2034</v>
      </c>
      <c r="C1234" s="1">
        <v>9</v>
      </c>
      <c r="D1234" s="1">
        <v>527.66</v>
      </c>
      <c r="E1234" s="1" t="s">
        <v>2002</v>
      </c>
      <c r="F1234" s="1" t="s">
        <v>3793</v>
      </c>
      <c r="G1234" s="3" t="s">
        <v>2035</v>
      </c>
      <c r="H1234" s="11">
        <f t="shared" ref="H1234:H1297" si="41">ROUND(
IF(L1232="GANCHO",
   IF(I1234&lt;=50,I1234*1.1+4,IF(I1234&lt;=120,I1234*1.1+7,IF(I1234&lt;=250,I1234*1.1+11,I1234*1.1+19))),
IF(L1232="NORMAL",
   IF(I1234&lt;=30,I1234*1.15+2,IF(I1234&lt;=80,I1234*1.15+4,IF(I1234&lt;=150,I1234*1.15+6,I1234*1.15+8))),
IF(L1232="COMPLEMENTO",
   IF(I1234&lt;=25,I1234*1.25+1.5,IF(I1234&lt;=60,I1234*1.25+3,IF(I1234&lt;=120,I1234*1.25+4,I1234*1.25+5))),
""))),2)</f>
        <v>2499.8000000000002</v>
      </c>
      <c r="I1234" s="9">
        <f>($K$2+0.02)*Tabla1[[#This Row],[PRECIO $]]*1.18</f>
        <v>2166.7830239999998</v>
      </c>
      <c r="J1234" s="7">
        <f>+Tabla1[[#This Row],[PRECIO EN SOLES]]-Tabla1[[#This Row],[PC]]</f>
        <v>333.01697600000034</v>
      </c>
      <c r="K1234" s="15"/>
      <c r="L1234" s="15" t="str">
        <f t="shared" si="40"/>
        <v>NORMAL</v>
      </c>
    </row>
    <row r="1235" spans="1:12" x14ac:dyDescent="0.25">
      <c r="A1235" s="3" t="s">
        <v>2036</v>
      </c>
      <c r="B1235" s="3" t="s">
        <v>2037</v>
      </c>
      <c r="C1235" s="1">
        <v>3</v>
      </c>
      <c r="D1235" s="1">
        <v>122.92</v>
      </c>
      <c r="E1235" s="1" t="s">
        <v>424</v>
      </c>
      <c r="F1235" s="1" t="s">
        <v>3794</v>
      </c>
      <c r="G1235" s="3" t="s">
        <v>2038</v>
      </c>
      <c r="H1235" s="11">
        <f t="shared" si="41"/>
        <v>588.47</v>
      </c>
      <c r="I1235" s="9">
        <f>($K$2+0.02)*Tabla1[[#This Row],[PRECIO $]]*1.18</f>
        <v>504.75868799999995</v>
      </c>
      <c r="J1235" s="7">
        <f>+Tabla1[[#This Row],[PRECIO EN SOLES]]-Tabla1[[#This Row],[PC]]</f>
        <v>83.711312000000078</v>
      </c>
      <c r="K1235" s="15"/>
      <c r="L1235" s="15" t="str">
        <f t="shared" si="40"/>
        <v>NORMAL</v>
      </c>
    </row>
    <row r="1236" spans="1:12" x14ac:dyDescent="0.25">
      <c r="A1236" s="3" t="s">
        <v>2039</v>
      </c>
      <c r="B1236" s="3" t="s">
        <v>2040</v>
      </c>
      <c r="C1236" s="1">
        <v>20</v>
      </c>
      <c r="D1236" s="1">
        <v>137.01</v>
      </c>
      <c r="E1236" s="1" t="s">
        <v>424</v>
      </c>
      <c r="F1236" s="1" t="s">
        <v>3795</v>
      </c>
      <c r="G1236" s="3" t="s">
        <v>6119</v>
      </c>
      <c r="H1236" s="11">
        <f t="shared" si="41"/>
        <v>655.01</v>
      </c>
      <c r="I1236" s="9">
        <f>($K$2+0.02)*Tabla1[[#This Row],[PRECIO $]]*1.18</f>
        <v>562.61786399999994</v>
      </c>
      <c r="J1236" s="7">
        <f>+Tabla1[[#This Row],[PRECIO EN SOLES]]-Tabla1[[#This Row],[PC]]</f>
        <v>92.39213600000005</v>
      </c>
      <c r="K1236" s="15"/>
      <c r="L1236" s="15" t="str">
        <f t="shared" si="40"/>
        <v>NORMAL</v>
      </c>
    </row>
    <row r="1237" spans="1:12" x14ac:dyDescent="0.25">
      <c r="A1237" s="3" t="s">
        <v>5468</v>
      </c>
      <c r="B1237" s="3" t="s">
        <v>5469</v>
      </c>
      <c r="C1237" s="1">
        <v>14</v>
      </c>
      <c r="D1237" s="1">
        <v>82.7</v>
      </c>
      <c r="E1237" s="1" t="s">
        <v>2002</v>
      </c>
      <c r="F1237" s="1" t="s">
        <v>5470</v>
      </c>
      <c r="G1237" s="3"/>
      <c r="H1237" s="11">
        <f t="shared" si="41"/>
        <v>398.54</v>
      </c>
      <c r="I1237" s="9">
        <f>($K$2+0.02)*Tabla1[[#This Row],[PRECIO $]]*1.18</f>
        <v>339.59927999999996</v>
      </c>
      <c r="J1237" s="7">
        <f>+Tabla1[[#This Row],[PRECIO EN SOLES]]-Tabla1[[#This Row],[PC]]</f>
        <v>58.940720000000056</v>
      </c>
      <c r="K1237" s="15"/>
      <c r="L1237" s="15" t="str">
        <f t="shared" si="40"/>
        <v>NORMAL</v>
      </c>
    </row>
    <row r="1238" spans="1:12" x14ac:dyDescent="0.25">
      <c r="A1238" s="3" t="s">
        <v>4672</v>
      </c>
      <c r="B1238" s="3" t="s">
        <v>4673</v>
      </c>
      <c r="C1238" s="1">
        <v>20</v>
      </c>
      <c r="D1238" s="1">
        <v>19.86</v>
      </c>
      <c r="E1238" s="1" t="s">
        <v>424</v>
      </c>
      <c r="F1238" s="1" t="s">
        <v>4674</v>
      </c>
      <c r="G1238" s="3" t="s">
        <v>4675</v>
      </c>
      <c r="H1238" s="11">
        <f t="shared" si="41"/>
        <v>99.79</v>
      </c>
      <c r="I1238" s="9">
        <f>($K$2+0.02)*Tabla1[[#This Row],[PRECIO $]]*1.18</f>
        <v>81.55310399999999</v>
      </c>
      <c r="J1238" s="7">
        <f>+Tabla1[[#This Row],[PRECIO EN SOLES]]-Tabla1[[#This Row],[PC]]</f>
        <v>18.236896000000016</v>
      </c>
      <c r="K1238" s="15"/>
      <c r="L1238" s="15" t="str">
        <f t="shared" si="40"/>
        <v>NORMAL</v>
      </c>
    </row>
    <row r="1239" spans="1:12" x14ac:dyDescent="0.25">
      <c r="A1239" s="3" t="s">
        <v>2041</v>
      </c>
      <c r="B1239" s="3" t="s">
        <v>2042</v>
      </c>
      <c r="C1239" s="1">
        <v>20</v>
      </c>
      <c r="D1239" s="1">
        <v>39.15</v>
      </c>
      <c r="E1239" s="1" t="s">
        <v>424</v>
      </c>
      <c r="F1239" s="1" t="s">
        <v>3796</v>
      </c>
      <c r="G1239" s="3" t="s">
        <v>2043</v>
      </c>
      <c r="H1239" s="11">
        <f t="shared" si="41"/>
        <v>192.88</v>
      </c>
      <c r="I1239" s="9">
        <f>($K$2+0.02)*Tabla1[[#This Row],[PRECIO $]]*1.18</f>
        <v>160.76555999999999</v>
      </c>
      <c r="J1239" s="7">
        <f>+Tabla1[[#This Row],[PRECIO EN SOLES]]-Tabla1[[#This Row],[PC]]</f>
        <v>32.114440000000002</v>
      </c>
      <c r="K1239" s="15"/>
      <c r="L1239" s="15" t="str">
        <f t="shared" si="40"/>
        <v>NORMAL</v>
      </c>
    </row>
    <row r="1240" spans="1:12" x14ac:dyDescent="0.25">
      <c r="A1240" s="3" t="s">
        <v>2044</v>
      </c>
      <c r="B1240" s="3" t="s">
        <v>2045</v>
      </c>
      <c r="C1240" s="1">
        <v>2</v>
      </c>
      <c r="D1240" s="1">
        <v>5387</v>
      </c>
      <c r="E1240" s="1" t="s">
        <v>2002</v>
      </c>
      <c r="F1240" s="1" t="s">
        <v>3797</v>
      </c>
      <c r="G1240" s="3"/>
      <c r="H1240" s="11">
        <f t="shared" si="41"/>
        <v>25447.35</v>
      </c>
      <c r="I1240" s="9">
        <f>($K$2+0.02)*Tabla1[[#This Row],[PRECIO $]]*1.18</f>
        <v>22121.176799999997</v>
      </c>
      <c r="J1240" s="7">
        <f>+Tabla1[[#This Row],[PRECIO EN SOLES]]-Tabla1[[#This Row],[PC]]</f>
        <v>3326.1732000000011</v>
      </c>
      <c r="K1240" s="15"/>
      <c r="L1240" s="15" t="str">
        <f t="shared" si="40"/>
        <v>NORMAL</v>
      </c>
    </row>
    <row r="1241" spans="1:12" x14ac:dyDescent="0.25">
      <c r="A1241" s="3" t="s">
        <v>2046</v>
      </c>
      <c r="B1241" s="3" t="s">
        <v>2047</v>
      </c>
      <c r="C1241" s="1">
        <v>1</v>
      </c>
      <c r="D1241" s="1">
        <v>2340</v>
      </c>
      <c r="E1241" s="1" t="s">
        <v>2002</v>
      </c>
      <c r="F1241" s="1" t="s">
        <v>3798</v>
      </c>
      <c r="G1241" s="3"/>
      <c r="H1241" s="11">
        <f t="shared" si="41"/>
        <v>11058.32</v>
      </c>
      <c r="I1241" s="9">
        <f>($K$2+0.02)*Tabla1[[#This Row],[PRECIO $]]*1.18</f>
        <v>9608.9759999999987</v>
      </c>
      <c r="J1241" s="7">
        <f>+Tabla1[[#This Row],[PRECIO EN SOLES]]-Tabla1[[#This Row],[PC]]</f>
        <v>1449.344000000001</v>
      </c>
      <c r="K1241" s="15"/>
      <c r="L1241" s="15" t="str">
        <f t="shared" si="40"/>
        <v>NORMAL</v>
      </c>
    </row>
    <row r="1242" spans="1:12" x14ac:dyDescent="0.25">
      <c r="A1242" s="3" t="s">
        <v>4676</v>
      </c>
      <c r="B1242" s="3" t="s">
        <v>4677</v>
      </c>
      <c r="C1242" s="1">
        <v>20</v>
      </c>
      <c r="D1242" s="1">
        <v>27.24</v>
      </c>
      <c r="E1242" s="1" t="s">
        <v>424</v>
      </c>
      <c r="F1242" s="1" t="s">
        <v>4678</v>
      </c>
      <c r="G1242" s="3"/>
      <c r="H1242" s="11">
        <f t="shared" si="41"/>
        <v>134.63999999999999</v>
      </c>
      <c r="I1242" s="9">
        <f>($K$2+0.02)*Tabla1[[#This Row],[PRECIO $]]*1.18</f>
        <v>111.85833599999999</v>
      </c>
      <c r="J1242" s="7">
        <f>+Tabla1[[#This Row],[PRECIO EN SOLES]]-Tabla1[[#This Row],[PC]]</f>
        <v>22.781663999999992</v>
      </c>
      <c r="K1242" s="15"/>
      <c r="L1242" s="15" t="str">
        <f t="shared" si="40"/>
        <v>NORMAL</v>
      </c>
    </row>
    <row r="1243" spans="1:12" x14ac:dyDescent="0.25">
      <c r="A1243" s="3" t="s">
        <v>4331</v>
      </c>
      <c r="B1243" s="3" t="s">
        <v>4332</v>
      </c>
      <c r="C1243" s="1">
        <v>20</v>
      </c>
      <c r="D1243" s="1">
        <v>51.24</v>
      </c>
      <c r="E1243" s="1" t="s">
        <v>424</v>
      </c>
      <c r="F1243" s="1" t="s">
        <v>4333</v>
      </c>
      <c r="G1243" s="3" t="s">
        <v>4334</v>
      </c>
      <c r="H1243" s="11">
        <f t="shared" si="41"/>
        <v>249.97</v>
      </c>
      <c r="I1243" s="9">
        <f>($K$2+0.02)*Tabla1[[#This Row],[PRECIO $]]*1.18</f>
        <v>210.411936</v>
      </c>
      <c r="J1243" s="7">
        <f>+Tabla1[[#This Row],[PRECIO EN SOLES]]-Tabla1[[#This Row],[PC]]</f>
        <v>39.558064000000002</v>
      </c>
      <c r="K1243" s="15"/>
      <c r="L1243" s="15" t="str">
        <f t="shared" si="40"/>
        <v>NORMAL</v>
      </c>
    </row>
    <row r="1244" spans="1:12" x14ac:dyDescent="0.25">
      <c r="A1244" s="3" t="s">
        <v>2048</v>
      </c>
      <c r="B1244" s="3" t="s">
        <v>2049</v>
      </c>
      <c r="C1244" s="1">
        <v>20</v>
      </c>
      <c r="D1244" s="1">
        <v>63.79</v>
      </c>
      <c r="E1244" s="1" t="s">
        <v>424</v>
      </c>
      <c r="F1244" s="1" t="s">
        <v>3799</v>
      </c>
      <c r="G1244" s="3" t="s">
        <v>2050</v>
      </c>
      <c r="H1244" s="11">
        <f t="shared" si="41"/>
        <v>309.24</v>
      </c>
      <c r="I1244" s="9">
        <f>($K$2+0.02)*Tabla1[[#This Row],[PRECIO $]]*1.18</f>
        <v>261.94725599999998</v>
      </c>
      <c r="J1244" s="7">
        <f>+Tabla1[[#This Row],[PRECIO EN SOLES]]-Tabla1[[#This Row],[PC]]</f>
        <v>47.292744000000027</v>
      </c>
      <c r="K1244" s="15"/>
      <c r="L1244" s="15" t="str">
        <f t="shared" si="40"/>
        <v>NORMAL</v>
      </c>
    </row>
    <row r="1245" spans="1:12" x14ac:dyDescent="0.25">
      <c r="A1245" s="3" t="s">
        <v>2051</v>
      </c>
      <c r="B1245" s="3" t="s">
        <v>2052</v>
      </c>
      <c r="C1245" s="1">
        <v>0</v>
      </c>
      <c r="D1245" s="1">
        <v>36.39</v>
      </c>
      <c r="E1245" s="1" t="s">
        <v>424</v>
      </c>
      <c r="F1245" s="1" t="s">
        <v>3800</v>
      </c>
      <c r="G1245" s="3" t="s">
        <v>2050</v>
      </c>
      <c r="H1245" s="11">
        <f t="shared" si="41"/>
        <v>177.85</v>
      </c>
      <c r="I1245" s="9">
        <f>($K$2+0.02)*Tabla1[[#This Row],[PRECIO $]]*1.18</f>
        <v>149.43189599999999</v>
      </c>
      <c r="J1245" s="7">
        <f>+Tabla1[[#This Row],[PRECIO EN SOLES]]-Tabla1[[#This Row],[PC]]</f>
        <v>28.418104</v>
      </c>
      <c r="K1245" s="15"/>
      <c r="L1245" s="15" t="str">
        <f t="shared" si="40"/>
        <v>NORMAL</v>
      </c>
    </row>
    <row r="1246" spans="1:12" x14ac:dyDescent="0.25">
      <c r="A1246" s="3" t="s">
        <v>4679</v>
      </c>
      <c r="B1246" s="3" t="s">
        <v>4680</v>
      </c>
      <c r="C1246" s="1">
        <v>20</v>
      </c>
      <c r="D1246" s="1">
        <v>93.17</v>
      </c>
      <c r="E1246" s="1" t="s">
        <v>424</v>
      </c>
      <c r="F1246" s="1" t="s">
        <v>4681</v>
      </c>
      <c r="G1246" s="3" t="s">
        <v>2050</v>
      </c>
      <c r="H1246" s="11">
        <f t="shared" si="41"/>
        <v>447.98</v>
      </c>
      <c r="I1246" s="9">
        <f>($K$2+0.02)*Tabla1[[#This Row],[PRECIO $]]*1.18</f>
        <v>382.59328799999997</v>
      </c>
      <c r="J1246" s="7">
        <f>+Tabla1[[#This Row],[PRECIO EN SOLES]]-Tabla1[[#This Row],[PC]]</f>
        <v>65.386712000000045</v>
      </c>
      <c r="K1246" s="15"/>
      <c r="L1246" s="15" t="str">
        <f t="shared" si="40"/>
        <v>NORMAL</v>
      </c>
    </row>
    <row r="1247" spans="1:12" x14ac:dyDescent="0.25">
      <c r="A1247" s="3" t="s">
        <v>2053</v>
      </c>
      <c r="B1247" s="3" t="s">
        <v>2054</v>
      </c>
      <c r="C1247" s="1">
        <v>12</v>
      </c>
      <c r="D1247" s="1">
        <v>47.04</v>
      </c>
      <c r="E1247" s="1" t="s">
        <v>424</v>
      </c>
      <c r="F1247" s="1" t="s">
        <v>3801</v>
      </c>
      <c r="G1247" s="3" t="s">
        <v>6120</v>
      </c>
      <c r="H1247" s="11">
        <f t="shared" si="41"/>
        <v>230.14</v>
      </c>
      <c r="I1247" s="9">
        <f>($K$2+0.02)*Tabla1[[#This Row],[PRECIO $]]*1.18</f>
        <v>193.16505599999999</v>
      </c>
      <c r="J1247" s="7">
        <f>+Tabla1[[#This Row],[PRECIO EN SOLES]]-Tabla1[[#This Row],[PC]]</f>
        <v>36.974943999999994</v>
      </c>
      <c r="K1247" s="15"/>
      <c r="L1247" s="15" t="str">
        <f t="shared" si="40"/>
        <v>NORMAL</v>
      </c>
    </row>
    <row r="1248" spans="1:12" x14ac:dyDescent="0.25">
      <c r="A1248" s="3" t="s">
        <v>2055</v>
      </c>
      <c r="B1248" s="3" t="s">
        <v>2056</v>
      </c>
      <c r="C1248" s="1">
        <v>16</v>
      </c>
      <c r="D1248" s="1">
        <v>124.12</v>
      </c>
      <c r="E1248" s="1" t="s">
        <v>424</v>
      </c>
      <c r="F1248" s="1" t="s">
        <v>3802</v>
      </c>
      <c r="G1248" s="3" t="s">
        <v>2057</v>
      </c>
      <c r="H1248" s="11">
        <f t="shared" si="41"/>
        <v>594.14</v>
      </c>
      <c r="I1248" s="9">
        <f>($K$2+0.02)*Tabla1[[#This Row],[PRECIO $]]*1.18</f>
        <v>509.68636800000002</v>
      </c>
      <c r="J1248" s="7">
        <f>+Tabla1[[#This Row],[PRECIO EN SOLES]]-Tabla1[[#This Row],[PC]]</f>
        <v>84.453631999999971</v>
      </c>
      <c r="K1248" s="15"/>
      <c r="L1248" s="15" t="str">
        <f t="shared" si="40"/>
        <v>NORMAL</v>
      </c>
    </row>
    <row r="1249" spans="1:12" x14ac:dyDescent="0.25">
      <c r="A1249" s="3" t="s">
        <v>2058</v>
      </c>
      <c r="B1249" s="3" t="s">
        <v>2059</v>
      </c>
      <c r="C1249" s="1">
        <v>20</v>
      </c>
      <c r="D1249" s="1">
        <v>26.15</v>
      </c>
      <c r="E1249" s="1" t="s">
        <v>424</v>
      </c>
      <c r="F1249" s="1" t="s">
        <v>3803</v>
      </c>
      <c r="G1249" s="3" t="s">
        <v>2060</v>
      </c>
      <c r="H1249" s="11">
        <f t="shared" si="41"/>
        <v>129.49</v>
      </c>
      <c r="I1249" s="9">
        <f>($K$2+0.02)*Tabla1[[#This Row],[PRECIO $]]*1.18</f>
        <v>107.38235999999999</v>
      </c>
      <c r="J1249" s="7">
        <f>+Tabla1[[#This Row],[PRECIO EN SOLES]]-Tabla1[[#This Row],[PC]]</f>
        <v>22.107640000000018</v>
      </c>
      <c r="K1249" s="15"/>
      <c r="L1249" s="15" t="str">
        <f t="shared" si="40"/>
        <v>NORMAL</v>
      </c>
    </row>
    <row r="1250" spans="1:12" x14ac:dyDescent="0.25">
      <c r="A1250" s="3" t="s">
        <v>2061</v>
      </c>
      <c r="B1250" s="3" t="s">
        <v>2062</v>
      </c>
      <c r="C1250" s="1">
        <v>20</v>
      </c>
      <c r="D1250" s="1">
        <v>32.6</v>
      </c>
      <c r="E1250" s="1" t="s">
        <v>424</v>
      </c>
      <c r="F1250" s="1" t="s">
        <v>3804</v>
      </c>
      <c r="G1250" s="3" t="s">
        <v>2063</v>
      </c>
      <c r="H1250" s="11">
        <f t="shared" si="41"/>
        <v>159.94999999999999</v>
      </c>
      <c r="I1250" s="9">
        <f>($K$2+0.02)*Tabla1[[#This Row],[PRECIO $]]*1.18</f>
        <v>133.86864</v>
      </c>
      <c r="J1250" s="7">
        <f>+Tabla1[[#This Row],[PRECIO EN SOLES]]-Tabla1[[#This Row],[PC]]</f>
        <v>26.081359999999989</v>
      </c>
      <c r="K1250" s="15"/>
      <c r="L1250" s="15" t="str">
        <f t="shared" si="40"/>
        <v>NORMAL</v>
      </c>
    </row>
    <row r="1251" spans="1:12" x14ac:dyDescent="0.25">
      <c r="A1251" s="3" t="s">
        <v>2064</v>
      </c>
      <c r="B1251" s="3" t="s">
        <v>2065</v>
      </c>
      <c r="C1251" s="1">
        <v>20</v>
      </c>
      <c r="D1251" s="1">
        <v>44.98</v>
      </c>
      <c r="E1251" s="1" t="s">
        <v>424</v>
      </c>
      <c r="F1251" s="1" t="s">
        <v>3805</v>
      </c>
      <c r="G1251" s="3" t="s">
        <v>2066</v>
      </c>
      <c r="H1251" s="11">
        <f t="shared" si="41"/>
        <v>220.41</v>
      </c>
      <c r="I1251" s="9">
        <f>($K$2+0.02)*Tabla1[[#This Row],[PRECIO $]]*1.18</f>
        <v>184.70587199999997</v>
      </c>
      <c r="J1251" s="7">
        <f>+Tabla1[[#This Row],[PRECIO EN SOLES]]-Tabla1[[#This Row],[PC]]</f>
        <v>35.704128000000026</v>
      </c>
      <c r="K1251" s="15"/>
      <c r="L1251" s="15" t="str">
        <f t="shared" si="40"/>
        <v>NORMAL</v>
      </c>
    </row>
    <row r="1252" spans="1:12" x14ac:dyDescent="0.25">
      <c r="A1252" s="3" t="s">
        <v>2067</v>
      </c>
      <c r="B1252" s="3" t="s">
        <v>2068</v>
      </c>
      <c r="C1252" s="1">
        <v>20</v>
      </c>
      <c r="D1252" s="1">
        <v>33.57</v>
      </c>
      <c r="E1252" s="1" t="s">
        <v>424</v>
      </c>
      <c r="F1252" s="1" t="s">
        <v>3806</v>
      </c>
      <c r="G1252" s="3" t="s">
        <v>2069</v>
      </c>
      <c r="H1252" s="11">
        <f t="shared" si="41"/>
        <v>164.53</v>
      </c>
      <c r="I1252" s="9">
        <f>($K$2+0.02)*Tabla1[[#This Row],[PRECIO $]]*1.18</f>
        <v>137.85184799999999</v>
      </c>
      <c r="J1252" s="7">
        <f>+Tabla1[[#This Row],[PRECIO EN SOLES]]-Tabla1[[#This Row],[PC]]</f>
        <v>26.678152000000011</v>
      </c>
      <c r="K1252" s="15"/>
      <c r="L1252" s="15" t="str">
        <f t="shared" si="40"/>
        <v>NORMAL</v>
      </c>
    </row>
    <row r="1253" spans="1:12" x14ac:dyDescent="0.25">
      <c r="A1253" s="3" t="s">
        <v>2070</v>
      </c>
      <c r="B1253" s="3" t="s">
        <v>2071</v>
      </c>
      <c r="C1253" s="1">
        <v>20</v>
      </c>
      <c r="D1253" s="1">
        <v>185.77</v>
      </c>
      <c r="E1253" s="1" t="s">
        <v>424</v>
      </c>
      <c r="F1253" s="1" t="s">
        <v>3807</v>
      </c>
      <c r="G1253" s="3" t="s">
        <v>2072</v>
      </c>
      <c r="H1253" s="11">
        <f t="shared" si="41"/>
        <v>885.27</v>
      </c>
      <c r="I1253" s="9">
        <f>($K$2+0.02)*Tabla1[[#This Row],[PRECIO $]]*1.18</f>
        <v>762.84592799999996</v>
      </c>
      <c r="J1253" s="7">
        <f>+Tabla1[[#This Row],[PRECIO EN SOLES]]-Tabla1[[#This Row],[PC]]</f>
        <v>122.42407200000002</v>
      </c>
      <c r="K1253" s="15"/>
      <c r="L1253" s="15" t="str">
        <f t="shared" si="40"/>
        <v>NORMAL</v>
      </c>
    </row>
    <row r="1254" spans="1:12" x14ac:dyDescent="0.25">
      <c r="A1254" s="3" t="s">
        <v>4682</v>
      </c>
      <c r="B1254" s="3" t="s">
        <v>4683</v>
      </c>
      <c r="C1254" s="1">
        <v>20</v>
      </c>
      <c r="D1254" s="1">
        <v>10.77</v>
      </c>
      <c r="E1254" s="1" t="s">
        <v>424</v>
      </c>
      <c r="F1254" s="1" t="s">
        <v>4684</v>
      </c>
      <c r="G1254" s="3" t="s">
        <v>4685</v>
      </c>
      <c r="H1254" s="11">
        <f t="shared" si="41"/>
        <v>54.86</v>
      </c>
      <c r="I1254" s="9">
        <f>($K$2+0.02)*Tabla1[[#This Row],[PRECIO $]]*1.18</f>
        <v>44.225927999999996</v>
      </c>
      <c r="J1254" s="7">
        <f>+Tabla1[[#This Row],[PRECIO EN SOLES]]-Tabla1[[#This Row],[PC]]</f>
        <v>10.634072000000003</v>
      </c>
      <c r="K1254" s="15"/>
      <c r="L1254" s="15" t="str">
        <f t="shared" si="40"/>
        <v>NORMAL</v>
      </c>
    </row>
    <row r="1255" spans="1:12" x14ac:dyDescent="0.25">
      <c r="A1255" s="3" t="s">
        <v>431</v>
      </c>
      <c r="B1255" s="3" t="s">
        <v>432</v>
      </c>
      <c r="C1255" s="1">
        <v>20</v>
      </c>
      <c r="D1255" s="1">
        <v>22.08</v>
      </c>
      <c r="E1255" s="1" t="s">
        <v>424</v>
      </c>
      <c r="F1255" s="1" t="s">
        <v>3808</v>
      </c>
      <c r="G1255" s="3" t="s">
        <v>433</v>
      </c>
      <c r="H1255" s="11">
        <f t="shared" si="41"/>
        <v>110.27</v>
      </c>
      <c r="I1255" s="9">
        <f>($K$2+0.02)*Tabla1[[#This Row],[PRECIO $]]*1.18</f>
        <v>90.669311999999991</v>
      </c>
      <c r="J1255" s="7">
        <f>+Tabla1[[#This Row],[PRECIO EN SOLES]]-Tabla1[[#This Row],[PC]]</f>
        <v>19.600688000000005</v>
      </c>
      <c r="K1255" s="15"/>
      <c r="L1255" s="15" t="str">
        <f t="shared" si="40"/>
        <v>COMPLEMENTO</v>
      </c>
    </row>
    <row r="1256" spans="1:12" x14ac:dyDescent="0.25">
      <c r="A1256" s="3" t="s">
        <v>2073</v>
      </c>
      <c r="B1256" s="3" t="s">
        <v>2074</v>
      </c>
      <c r="C1256" s="1">
        <v>1</v>
      </c>
      <c r="D1256" s="1">
        <v>100</v>
      </c>
      <c r="E1256" s="1" t="s">
        <v>57</v>
      </c>
      <c r="F1256" s="1" t="s">
        <v>3809</v>
      </c>
      <c r="G1256" s="3"/>
      <c r="H1256" s="11">
        <f t="shared" si="41"/>
        <v>480.24</v>
      </c>
      <c r="I1256" s="9">
        <f>($K$2+0.02)*Tabla1[[#This Row],[PRECIO $]]*1.18</f>
        <v>410.64</v>
      </c>
      <c r="J1256" s="7">
        <f>+Tabla1[[#This Row],[PRECIO EN SOLES]]-Tabla1[[#This Row],[PC]]</f>
        <v>69.600000000000023</v>
      </c>
      <c r="K1256" s="15"/>
      <c r="L1256" s="15" t="str">
        <f t="shared" si="40"/>
        <v>COMPLEMENTO</v>
      </c>
    </row>
    <row r="1257" spans="1:12" x14ac:dyDescent="0.25">
      <c r="A1257" s="3" t="s">
        <v>4686</v>
      </c>
      <c r="B1257" s="3" t="s">
        <v>4687</v>
      </c>
      <c r="C1257" s="1">
        <v>11</v>
      </c>
      <c r="D1257" s="1">
        <v>10.119999999999999</v>
      </c>
      <c r="E1257" s="1" t="s">
        <v>424</v>
      </c>
      <c r="F1257" s="1" t="s">
        <v>4688</v>
      </c>
      <c r="G1257" s="3" t="s">
        <v>4689</v>
      </c>
      <c r="H1257" s="11">
        <f t="shared" si="41"/>
        <v>54.95</v>
      </c>
      <c r="I1257" s="9">
        <f>($K$2+0.02)*Tabla1[[#This Row],[PRECIO $]]*1.18</f>
        <v>41.556767999999998</v>
      </c>
      <c r="J1257" s="7">
        <f>+Tabla1[[#This Row],[PRECIO EN SOLES]]-Tabla1[[#This Row],[PC]]</f>
        <v>13.393232000000005</v>
      </c>
      <c r="K1257" s="15"/>
      <c r="L1257" s="15" t="str">
        <f t="shared" si="40"/>
        <v>NORMAL</v>
      </c>
    </row>
    <row r="1258" spans="1:12" x14ac:dyDescent="0.25">
      <c r="A1258" s="3" t="s">
        <v>4690</v>
      </c>
      <c r="B1258" s="3" t="s">
        <v>4691</v>
      </c>
      <c r="C1258" s="1">
        <v>20</v>
      </c>
      <c r="D1258" s="1">
        <v>11.18</v>
      </c>
      <c r="E1258" s="1" t="s">
        <v>424</v>
      </c>
      <c r="F1258" s="1" t="s">
        <v>4692</v>
      </c>
      <c r="G1258" s="3" t="s">
        <v>4693</v>
      </c>
      <c r="H1258" s="11">
        <f t="shared" si="41"/>
        <v>60.39</v>
      </c>
      <c r="I1258" s="9">
        <f>($K$2+0.02)*Tabla1[[#This Row],[PRECIO $]]*1.18</f>
        <v>45.909551999999998</v>
      </c>
      <c r="J1258" s="7">
        <f>+Tabla1[[#This Row],[PRECIO EN SOLES]]-Tabla1[[#This Row],[PC]]</f>
        <v>14.480448000000003</v>
      </c>
      <c r="K1258" s="15"/>
      <c r="L1258" s="15" t="str">
        <f t="shared" si="40"/>
        <v>NORMAL</v>
      </c>
    </row>
    <row r="1259" spans="1:12" x14ac:dyDescent="0.25">
      <c r="A1259" s="3" t="s">
        <v>2075</v>
      </c>
      <c r="B1259" s="3" t="s">
        <v>2076</v>
      </c>
      <c r="C1259" s="1">
        <v>4</v>
      </c>
      <c r="D1259" s="1">
        <v>984.43</v>
      </c>
      <c r="E1259" s="1" t="s">
        <v>2002</v>
      </c>
      <c r="F1259" s="1" t="s">
        <v>3810</v>
      </c>
      <c r="G1259" s="3"/>
      <c r="H1259" s="11">
        <f t="shared" si="41"/>
        <v>4656.83</v>
      </c>
      <c r="I1259" s="9">
        <f>($K$2+0.02)*Tabla1[[#This Row],[PRECIO $]]*1.18</f>
        <v>4042.4633519999993</v>
      </c>
      <c r="J1259" s="7">
        <f>+Tabla1[[#This Row],[PRECIO EN SOLES]]-Tabla1[[#This Row],[PC]]</f>
        <v>614.36664800000062</v>
      </c>
      <c r="K1259" s="15"/>
      <c r="L1259" s="15" t="str">
        <f t="shared" si="40"/>
        <v>NORMAL</v>
      </c>
    </row>
    <row r="1260" spans="1:12" x14ac:dyDescent="0.25">
      <c r="A1260" s="3" t="s">
        <v>2077</v>
      </c>
      <c r="B1260" s="3" t="s">
        <v>2078</v>
      </c>
      <c r="C1260" s="1">
        <v>1</v>
      </c>
      <c r="D1260" s="1">
        <v>35.299999999999997</v>
      </c>
      <c r="E1260" s="1" t="s">
        <v>2002</v>
      </c>
      <c r="F1260" s="1" t="s">
        <v>3811</v>
      </c>
      <c r="G1260" s="3"/>
      <c r="H1260" s="11">
        <f t="shared" si="41"/>
        <v>172.7</v>
      </c>
      <c r="I1260" s="9">
        <f>($K$2+0.02)*Tabla1[[#This Row],[PRECIO $]]*1.18</f>
        <v>144.95591999999999</v>
      </c>
      <c r="J1260" s="7">
        <f>+Tabla1[[#This Row],[PRECIO EN SOLES]]-Tabla1[[#This Row],[PC]]</f>
        <v>27.744079999999997</v>
      </c>
      <c r="K1260" s="15"/>
      <c r="L1260" s="15" t="str">
        <f t="shared" si="40"/>
        <v>NORMAL</v>
      </c>
    </row>
    <row r="1261" spans="1:12" x14ac:dyDescent="0.25">
      <c r="A1261" s="3" t="s">
        <v>2079</v>
      </c>
      <c r="B1261" s="3" t="s">
        <v>2080</v>
      </c>
      <c r="C1261" s="1">
        <v>6</v>
      </c>
      <c r="D1261" s="1">
        <v>890</v>
      </c>
      <c r="E1261" s="1" t="s">
        <v>2002</v>
      </c>
      <c r="F1261" s="1" t="s">
        <v>3812</v>
      </c>
      <c r="G1261" s="3"/>
      <c r="H1261" s="11">
        <f t="shared" si="41"/>
        <v>4210.8999999999996</v>
      </c>
      <c r="I1261" s="9">
        <f>($K$2+0.02)*Tabla1[[#This Row],[PRECIO $]]*1.18</f>
        <v>3654.6959999999995</v>
      </c>
      <c r="J1261" s="7">
        <f>+Tabla1[[#This Row],[PRECIO EN SOLES]]-Tabla1[[#This Row],[PC]]</f>
        <v>556.20400000000018</v>
      </c>
      <c r="K1261" s="15"/>
      <c r="L1261" s="15" t="str">
        <f t="shared" si="40"/>
        <v>NORMAL</v>
      </c>
    </row>
    <row r="1262" spans="1:12" x14ac:dyDescent="0.25">
      <c r="A1262" s="3" t="s">
        <v>2081</v>
      </c>
      <c r="B1262" s="3" t="s">
        <v>2082</v>
      </c>
      <c r="C1262" s="1">
        <v>15</v>
      </c>
      <c r="D1262" s="1">
        <v>56</v>
      </c>
      <c r="E1262" s="1" t="s">
        <v>1123</v>
      </c>
      <c r="F1262" s="1" t="s">
        <v>3813</v>
      </c>
      <c r="G1262" s="3" t="s">
        <v>2083</v>
      </c>
      <c r="H1262" s="11">
        <f t="shared" si="41"/>
        <v>272.45</v>
      </c>
      <c r="I1262" s="9">
        <f>($K$2+0.02)*Tabla1[[#This Row],[PRECIO $]]*1.18</f>
        <v>229.95839999999998</v>
      </c>
      <c r="J1262" s="7">
        <f>+Tabla1[[#This Row],[PRECIO EN SOLES]]-Tabla1[[#This Row],[PC]]</f>
        <v>42.491600000000005</v>
      </c>
      <c r="K1262" s="15"/>
      <c r="L1262" s="15" t="str">
        <f t="shared" si="40"/>
        <v>NORMAL</v>
      </c>
    </row>
    <row r="1263" spans="1:12" x14ac:dyDescent="0.25">
      <c r="A1263" s="3" t="s">
        <v>2084</v>
      </c>
      <c r="B1263" s="3" t="s">
        <v>2085</v>
      </c>
      <c r="C1263" s="1">
        <v>1</v>
      </c>
      <c r="D1263" s="1">
        <v>101</v>
      </c>
      <c r="E1263" s="1" t="s">
        <v>424</v>
      </c>
      <c r="F1263" s="1" t="s">
        <v>3814</v>
      </c>
      <c r="G1263" s="3" t="s">
        <v>2086</v>
      </c>
      <c r="H1263" s="11">
        <f t="shared" si="41"/>
        <v>484.96</v>
      </c>
      <c r="I1263" s="9">
        <f>($K$2+0.02)*Tabla1[[#This Row],[PRECIO $]]*1.18</f>
        <v>414.74639999999999</v>
      </c>
      <c r="J1263" s="7">
        <f>+Tabla1[[#This Row],[PRECIO EN SOLES]]-Tabla1[[#This Row],[PC]]</f>
        <v>70.213599999999985</v>
      </c>
      <c r="K1263" s="15"/>
      <c r="L1263" s="15" t="str">
        <f t="shared" si="40"/>
        <v>NORMAL</v>
      </c>
    </row>
    <row r="1264" spans="1:12" x14ac:dyDescent="0.25">
      <c r="A1264" s="3" t="s">
        <v>2087</v>
      </c>
      <c r="B1264" s="3" t="s">
        <v>2088</v>
      </c>
      <c r="C1264" s="1">
        <v>1</v>
      </c>
      <c r="D1264" s="1">
        <v>494.44</v>
      </c>
      <c r="E1264" s="1" t="s">
        <v>424</v>
      </c>
      <c r="F1264" s="1" t="s">
        <v>3815</v>
      </c>
      <c r="G1264" s="3" t="s">
        <v>2089</v>
      </c>
      <c r="H1264" s="11">
        <f t="shared" si="41"/>
        <v>2342.92</v>
      </c>
      <c r="I1264" s="9">
        <f>($K$2+0.02)*Tabla1[[#This Row],[PRECIO $]]*1.18</f>
        <v>2030.368416</v>
      </c>
      <c r="J1264" s="7">
        <f>+Tabla1[[#This Row],[PRECIO EN SOLES]]-Tabla1[[#This Row],[PC]]</f>
        <v>312.55158400000005</v>
      </c>
      <c r="K1264" s="15"/>
      <c r="L1264" s="15" t="str">
        <f t="shared" si="40"/>
        <v>NORMAL</v>
      </c>
    </row>
    <row r="1265" spans="1:12" x14ac:dyDescent="0.25">
      <c r="A1265" s="3" t="s">
        <v>2090</v>
      </c>
      <c r="B1265" s="3" t="s">
        <v>2091</v>
      </c>
      <c r="C1265" s="1">
        <v>3</v>
      </c>
      <c r="D1265" s="1">
        <v>941.62</v>
      </c>
      <c r="E1265" s="1" t="s">
        <v>2002</v>
      </c>
      <c r="F1265" s="1" t="s">
        <v>3816</v>
      </c>
      <c r="G1265" s="3" t="s">
        <v>2092</v>
      </c>
      <c r="H1265" s="11">
        <f t="shared" si="41"/>
        <v>4454.67</v>
      </c>
      <c r="I1265" s="9">
        <f>($K$2+0.02)*Tabla1[[#This Row],[PRECIO $]]*1.18</f>
        <v>3866.6683679999996</v>
      </c>
      <c r="J1265" s="7">
        <f>+Tabla1[[#This Row],[PRECIO EN SOLES]]-Tabla1[[#This Row],[PC]]</f>
        <v>588.00163200000043</v>
      </c>
      <c r="K1265" s="15"/>
      <c r="L1265" s="15" t="str">
        <f t="shared" si="40"/>
        <v>COMPLEMENTO</v>
      </c>
    </row>
    <row r="1266" spans="1:12" x14ac:dyDescent="0.25">
      <c r="A1266" s="3" t="s">
        <v>2093</v>
      </c>
      <c r="B1266" s="3" t="s">
        <v>2094</v>
      </c>
      <c r="C1266" s="1">
        <v>20</v>
      </c>
      <c r="D1266" s="1">
        <v>561.24</v>
      </c>
      <c r="E1266" s="1" t="s">
        <v>2002</v>
      </c>
      <c r="F1266" s="1" t="s">
        <v>3817</v>
      </c>
      <c r="G1266" s="3" t="s">
        <v>2095</v>
      </c>
      <c r="H1266" s="11">
        <f t="shared" si="41"/>
        <v>2658.38</v>
      </c>
      <c r="I1266" s="9">
        <f>($K$2+0.02)*Tabla1[[#This Row],[PRECIO $]]*1.18</f>
        <v>2304.6759359999996</v>
      </c>
      <c r="J1266" s="7">
        <f>+Tabla1[[#This Row],[PRECIO EN SOLES]]-Tabla1[[#This Row],[PC]]</f>
        <v>353.70406400000047</v>
      </c>
      <c r="K1266" s="15"/>
      <c r="L1266" s="15" t="str">
        <f t="shared" si="40"/>
        <v>NORMAL</v>
      </c>
    </row>
    <row r="1267" spans="1:12" x14ac:dyDescent="0.25">
      <c r="A1267" s="3" t="s">
        <v>2096</v>
      </c>
      <c r="B1267" s="3" t="s">
        <v>2097</v>
      </c>
      <c r="C1267" s="1">
        <v>20</v>
      </c>
      <c r="D1267" s="1">
        <v>16.7</v>
      </c>
      <c r="E1267" s="1" t="s">
        <v>2002</v>
      </c>
      <c r="F1267" s="1" t="s">
        <v>3818</v>
      </c>
      <c r="G1267" s="3" t="s">
        <v>2098</v>
      </c>
      <c r="H1267" s="11">
        <f t="shared" si="41"/>
        <v>89.72</v>
      </c>
      <c r="I1267" s="9">
        <f>($K$2+0.02)*Tabla1[[#This Row],[PRECIO $]]*1.18</f>
        <v>68.576880000000003</v>
      </c>
      <c r="J1267" s="7">
        <f>+Tabla1[[#This Row],[PRECIO EN SOLES]]-Tabla1[[#This Row],[PC]]</f>
        <v>21.143119999999996</v>
      </c>
      <c r="K1267" s="15"/>
      <c r="L1267" s="15" t="str">
        <f t="shared" si="40"/>
        <v>NORMAL</v>
      </c>
    </row>
    <row r="1268" spans="1:12" x14ac:dyDescent="0.25">
      <c r="A1268" s="3" t="s">
        <v>2099</v>
      </c>
      <c r="B1268" s="3" t="s">
        <v>2100</v>
      </c>
      <c r="C1268" s="1">
        <v>1</v>
      </c>
      <c r="D1268" s="1">
        <v>118</v>
      </c>
      <c r="E1268" s="1" t="s">
        <v>2002</v>
      </c>
      <c r="F1268" s="1" t="s">
        <v>3819</v>
      </c>
      <c r="G1268" s="3"/>
      <c r="H1268" s="11">
        <f t="shared" si="41"/>
        <v>565.24</v>
      </c>
      <c r="I1268" s="9">
        <f>($K$2+0.02)*Tabla1[[#This Row],[PRECIO $]]*1.18</f>
        <v>484.55519999999996</v>
      </c>
      <c r="J1268" s="7">
        <f>+Tabla1[[#This Row],[PRECIO EN SOLES]]-Tabla1[[#This Row],[PC]]</f>
        <v>80.684800000000052</v>
      </c>
      <c r="K1268" s="15"/>
      <c r="L1268" s="15" t="str">
        <f t="shared" si="40"/>
        <v>NORMAL</v>
      </c>
    </row>
    <row r="1269" spans="1:12" x14ac:dyDescent="0.25">
      <c r="A1269" s="3" t="s">
        <v>2101</v>
      </c>
      <c r="B1269" s="3" t="s">
        <v>2102</v>
      </c>
      <c r="C1269" s="1">
        <v>19</v>
      </c>
      <c r="D1269" s="1">
        <v>93</v>
      </c>
      <c r="E1269" s="1" t="s">
        <v>2002</v>
      </c>
      <c r="F1269" s="1" t="s">
        <v>3820</v>
      </c>
      <c r="G1269" s="3" t="s">
        <v>2103</v>
      </c>
      <c r="H1269" s="11">
        <f t="shared" si="41"/>
        <v>447.18</v>
      </c>
      <c r="I1269" s="9">
        <f>($K$2+0.02)*Tabla1[[#This Row],[PRECIO $]]*1.18</f>
        <v>381.89519999999999</v>
      </c>
      <c r="J1269" s="7">
        <f>+Tabla1[[#This Row],[PRECIO EN SOLES]]-Tabla1[[#This Row],[PC]]</f>
        <v>65.284800000000018</v>
      </c>
      <c r="K1269" s="15"/>
      <c r="L1269" s="15" t="str">
        <f t="shared" si="40"/>
        <v>NORMAL</v>
      </c>
    </row>
    <row r="1270" spans="1:12" x14ac:dyDescent="0.25">
      <c r="A1270" s="3" t="s">
        <v>2104</v>
      </c>
      <c r="B1270" s="3" t="s">
        <v>2105</v>
      </c>
      <c r="C1270" s="1">
        <v>3</v>
      </c>
      <c r="D1270" s="1">
        <v>409.71</v>
      </c>
      <c r="E1270" s="1" t="s">
        <v>2002</v>
      </c>
      <c r="F1270" s="1" t="s">
        <v>3821</v>
      </c>
      <c r="G1270" s="3" t="s">
        <v>2106</v>
      </c>
      <c r="H1270" s="11">
        <f t="shared" si="41"/>
        <v>1942.8</v>
      </c>
      <c r="I1270" s="9">
        <f>($K$2+0.02)*Tabla1[[#This Row],[PRECIO $]]*1.18</f>
        <v>1682.4331439999999</v>
      </c>
      <c r="J1270" s="7">
        <f>+Tabla1[[#This Row],[PRECIO EN SOLES]]-Tabla1[[#This Row],[PC]]</f>
        <v>260.3668560000001</v>
      </c>
      <c r="K1270" s="15"/>
      <c r="L1270" s="15" t="str">
        <f t="shared" si="40"/>
        <v>NORMAL</v>
      </c>
    </row>
    <row r="1271" spans="1:12" x14ac:dyDescent="0.25">
      <c r="A1271" s="3" t="s">
        <v>6121</v>
      </c>
      <c r="B1271" s="3" t="s">
        <v>6122</v>
      </c>
      <c r="C1271" s="1">
        <v>3</v>
      </c>
      <c r="D1271" s="1">
        <v>500</v>
      </c>
      <c r="E1271" s="1" t="s">
        <v>2002</v>
      </c>
      <c r="F1271" s="1" t="s">
        <v>6123</v>
      </c>
      <c r="G1271" s="3"/>
      <c r="H1271" s="11">
        <f t="shared" si="41"/>
        <v>2369.1799999999998</v>
      </c>
      <c r="I1271" s="9">
        <f>($K$2+0.02)*Tabla1[[#This Row],[PRECIO $]]*1.18</f>
        <v>2053.1999999999998</v>
      </c>
      <c r="J1271" s="7">
        <f>+Tabla1[[#This Row],[PRECIO EN SOLES]]-Tabla1[[#This Row],[PC]]</f>
        <v>315.98</v>
      </c>
      <c r="K1271" s="15"/>
      <c r="L1271" s="15" t="str">
        <f t="shared" si="40"/>
        <v>NORMAL</v>
      </c>
    </row>
    <row r="1272" spans="1:12" x14ac:dyDescent="0.25">
      <c r="A1272" s="3" t="s">
        <v>2107</v>
      </c>
      <c r="B1272" s="3" t="s">
        <v>2108</v>
      </c>
      <c r="C1272" s="1">
        <v>3</v>
      </c>
      <c r="D1272" s="1">
        <v>228</v>
      </c>
      <c r="E1272" s="1" t="s">
        <v>1123</v>
      </c>
      <c r="F1272" s="1" t="s">
        <v>3822</v>
      </c>
      <c r="G1272" s="3" t="s">
        <v>2109</v>
      </c>
      <c r="H1272" s="11">
        <f t="shared" si="41"/>
        <v>1084.7</v>
      </c>
      <c r="I1272" s="9">
        <f>($K$2+0.02)*Tabla1[[#This Row],[PRECIO $]]*1.18</f>
        <v>936.25919999999985</v>
      </c>
      <c r="J1272" s="7">
        <f>+Tabla1[[#This Row],[PRECIO EN SOLES]]-Tabla1[[#This Row],[PC]]</f>
        <v>148.44080000000019</v>
      </c>
      <c r="K1272" s="15"/>
      <c r="L1272" s="15" t="str">
        <f t="shared" si="40"/>
        <v>NORMAL</v>
      </c>
    </row>
    <row r="1273" spans="1:12" x14ac:dyDescent="0.25">
      <c r="A1273" s="3" t="s">
        <v>437</v>
      </c>
      <c r="B1273" s="3" t="s">
        <v>438</v>
      </c>
      <c r="C1273" s="1">
        <v>20</v>
      </c>
      <c r="D1273" s="1">
        <v>18.59</v>
      </c>
      <c r="E1273" s="1" t="s">
        <v>424</v>
      </c>
      <c r="F1273" s="1" t="s">
        <v>3935</v>
      </c>
      <c r="G1273" s="3" t="s">
        <v>439</v>
      </c>
      <c r="H1273" s="11">
        <f t="shared" si="41"/>
        <v>91.79</v>
      </c>
      <c r="I1273" s="9">
        <f>($K$2+0.02)*Tabla1[[#This Row],[PRECIO $]]*1.18</f>
        <v>76.337975999999998</v>
      </c>
      <c r="J1273" s="7">
        <f>+Tabla1[[#This Row],[PRECIO EN SOLES]]-Tabla1[[#This Row],[PC]]</f>
        <v>15.452024000000009</v>
      </c>
      <c r="K1273" s="15"/>
      <c r="L1273" s="15" t="str">
        <f t="shared" si="40"/>
        <v>NORMAL</v>
      </c>
    </row>
    <row r="1274" spans="1:12" x14ac:dyDescent="0.25">
      <c r="A1274" s="3" t="s">
        <v>4694</v>
      </c>
      <c r="B1274" s="3" t="s">
        <v>4695</v>
      </c>
      <c r="C1274" s="1">
        <v>20</v>
      </c>
      <c r="D1274" s="1">
        <v>11.48</v>
      </c>
      <c r="E1274" s="1" t="s">
        <v>424</v>
      </c>
      <c r="F1274" s="1" t="s">
        <v>4696</v>
      </c>
      <c r="G1274" s="3" t="s">
        <v>6124</v>
      </c>
      <c r="H1274" s="11">
        <f t="shared" si="41"/>
        <v>58.21</v>
      </c>
      <c r="I1274" s="9">
        <f>($K$2+0.02)*Tabla1[[#This Row],[PRECIO $]]*1.18</f>
        <v>47.141472</v>
      </c>
      <c r="J1274" s="7">
        <f>+Tabla1[[#This Row],[PRECIO EN SOLES]]-Tabla1[[#This Row],[PC]]</f>
        <v>11.068528000000001</v>
      </c>
      <c r="K1274" s="15"/>
      <c r="L1274" s="15" t="str">
        <f t="shared" si="40"/>
        <v>NORMAL</v>
      </c>
    </row>
    <row r="1275" spans="1:12" x14ac:dyDescent="0.25">
      <c r="A1275" s="3" t="s">
        <v>2110</v>
      </c>
      <c r="B1275" s="3" t="s">
        <v>2111</v>
      </c>
      <c r="C1275" s="1">
        <v>2</v>
      </c>
      <c r="D1275" s="1">
        <v>3370</v>
      </c>
      <c r="E1275" s="1" t="s">
        <v>1123</v>
      </c>
      <c r="F1275" s="1" t="s">
        <v>3823</v>
      </c>
      <c r="G1275" s="3" t="s">
        <v>2112</v>
      </c>
      <c r="H1275" s="11">
        <f t="shared" si="41"/>
        <v>15922.35</v>
      </c>
      <c r="I1275" s="9">
        <f>($K$2+0.02)*Tabla1[[#This Row],[PRECIO $]]*1.18</f>
        <v>13838.567999999999</v>
      </c>
      <c r="J1275" s="7">
        <f>+Tabla1[[#This Row],[PRECIO EN SOLES]]-Tabla1[[#This Row],[PC]]</f>
        <v>2083.7820000000011</v>
      </c>
      <c r="K1275" s="15"/>
      <c r="L1275" s="15" t="str">
        <f t="shared" si="40"/>
        <v>NORMAL</v>
      </c>
    </row>
    <row r="1276" spans="1:12" x14ac:dyDescent="0.25">
      <c r="A1276" s="3" t="s">
        <v>2113</v>
      </c>
      <c r="B1276" s="3" t="s">
        <v>2114</v>
      </c>
      <c r="C1276" s="1">
        <v>1</v>
      </c>
      <c r="D1276" s="1">
        <v>138</v>
      </c>
      <c r="E1276" s="1" t="s">
        <v>1123</v>
      </c>
      <c r="F1276" s="1" t="s">
        <v>3824</v>
      </c>
      <c r="G1276" s="3" t="s">
        <v>2115</v>
      </c>
      <c r="H1276" s="11">
        <f t="shared" si="41"/>
        <v>659.69</v>
      </c>
      <c r="I1276" s="9">
        <f>($K$2+0.02)*Tabla1[[#This Row],[PRECIO $]]*1.18</f>
        <v>566.68319999999994</v>
      </c>
      <c r="J1276" s="7">
        <f>+Tabla1[[#This Row],[PRECIO EN SOLES]]-Tabla1[[#This Row],[PC]]</f>
        <v>93.006800000000112</v>
      </c>
      <c r="K1276" s="15"/>
      <c r="L1276" s="15" t="str">
        <f t="shared" si="40"/>
        <v>NORMAL</v>
      </c>
    </row>
    <row r="1277" spans="1:12" x14ac:dyDescent="0.25">
      <c r="A1277" s="3" t="s">
        <v>2116</v>
      </c>
      <c r="B1277" s="3" t="s">
        <v>2117</v>
      </c>
      <c r="C1277" s="1">
        <v>2</v>
      </c>
      <c r="D1277" s="1">
        <v>418</v>
      </c>
      <c r="E1277" s="1" t="s">
        <v>1123</v>
      </c>
      <c r="F1277" s="1" t="s">
        <v>3825</v>
      </c>
      <c r="G1277" s="3" t="s">
        <v>2118</v>
      </c>
      <c r="H1277" s="11">
        <f t="shared" si="41"/>
        <v>1981.95</v>
      </c>
      <c r="I1277" s="9">
        <f>($K$2+0.02)*Tabla1[[#This Row],[PRECIO $]]*1.18</f>
        <v>1716.4752000000001</v>
      </c>
      <c r="J1277" s="7">
        <f>+Tabla1[[#This Row],[PRECIO EN SOLES]]-Tabla1[[#This Row],[PC]]</f>
        <v>265.47479999999996</v>
      </c>
      <c r="K1277" s="15"/>
      <c r="L1277" s="15" t="str">
        <f t="shared" si="40"/>
        <v>NORMAL</v>
      </c>
    </row>
    <row r="1278" spans="1:12" x14ac:dyDescent="0.25">
      <c r="A1278" s="3" t="s">
        <v>2119</v>
      </c>
      <c r="B1278" s="3" t="s">
        <v>2120</v>
      </c>
      <c r="C1278" s="1">
        <v>2</v>
      </c>
      <c r="D1278" s="1">
        <v>4398</v>
      </c>
      <c r="E1278" s="1" t="s">
        <v>1123</v>
      </c>
      <c r="F1278" s="1" t="s">
        <v>3826</v>
      </c>
      <c r="G1278" s="3" t="s">
        <v>2121</v>
      </c>
      <c r="H1278" s="11">
        <f t="shared" si="41"/>
        <v>20776.939999999999</v>
      </c>
      <c r="I1278" s="9">
        <f>($K$2+0.02)*Tabla1[[#This Row],[PRECIO $]]*1.18</f>
        <v>18059.947199999999</v>
      </c>
      <c r="J1278" s="7">
        <f>+Tabla1[[#This Row],[PRECIO EN SOLES]]-Tabla1[[#This Row],[PC]]</f>
        <v>2716.9928</v>
      </c>
      <c r="K1278" s="15"/>
      <c r="L1278" s="15" t="str">
        <f t="shared" si="40"/>
        <v>NORMAL</v>
      </c>
    </row>
    <row r="1279" spans="1:12" x14ac:dyDescent="0.25">
      <c r="A1279" s="3" t="s">
        <v>2122</v>
      </c>
      <c r="B1279" s="3" t="s">
        <v>2123</v>
      </c>
      <c r="C1279" s="1">
        <v>20</v>
      </c>
      <c r="D1279" s="1">
        <v>197</v>
      </c>
      <c r="E1279" s="1" t="s">
        <v>1123</v>
      </c>
      <c r="F1279" s="1" t="s">
        <v>3827</v>
      </c>
      <c r="G1279" s="3" t="s">
        <v>2124</v>
      </c>
      <c r="H1279" s="11">
        <f t="shared" si="41"/>
        <v>938.3</v>
      </c>
      <c r="I1279" s="9">
        <f>($K$2+0.02)*Tabla1[[#This Row],[PRECIO $]]*1.18</f>
        <v>808.96079999999995</v>
      </c>
      <c r="J1279" s="7">
        <f>+Tabla1[[#This Row],[PRECIO EN SOLES]]-Tabla1[[#This Row],[PC]]</f>
        <v>129.33920000000001</v>
      </c>
      <c r="K1279" s="15"/>
      <c r="L1279" s="15" t="str">
        <f t="shared" si="40"/>
        <v>NORMAL</v>
      </c>
    </row>
    <row r="1280" spans="1:12" x14ac:dyDescent="0.25">
      <c r="A1280" s="3" t="s">
        <v>2125</v>
      </c>
      <c r="B1280" s="3" t="s">
        <v>2023</v>
      </c>
      <c r="C1280" s="1">
        <v>20</v>
      </c>
      <c r="D1280" s="1">
        <v>40</v>
      </c>
      <c r="E1280" s="1" t="s">
        <v>1123</v>
      </c>
      <c r="F1280" s="1" t="s">
        <v>3828</v>
      </c>
      <c r="G1280" s="3" t="s">
        <v>2126</v>
      </c>
      <c r="H1280" s="11">
        <f t="shared" si="41"/>
        <v>196.89</v>
      </c>
      <c r="I1280" s="9">
        <f>($K$2+0.02)*Tabla1[[#This Row],[PRECIO $]]*1.18</f>
        <v>164.25599999999997</v>
      </c>
      <c r="J1280" s="7">
        <f>+Tabla1[[#This Row],[PRECIO EN SOLES]]-Tabla1[[#This Row],[PC]]</f>
        <v>32.634000000000015</v>
      </c>
      <c r="K1280" s="15"/>
      <c r="L1280" s="15" t="str">
        <f t="shared" si="40"/>
        <v>NORMAL</v>
      </c>
    </row>
    <row r="1281" spans="1:12" x14ac:dyDescent="0.25">
      <c r="A1281" s="3" t="s">
        <v>2127</v>
      </c>
      <c r="B1281" s="3" t="s">
        <v>2128</v>
      </c>
      <c r="C1281" s="1">
        <v>2</v>
      </c>
      <c r="D1281" s="1">
        <v>1798</v>
      </c>
      <c r="E1281" s="1" t="s">
        <v>1123</v>
      </c>
      <c r="F1281" s="1" t="s">
        <v>3829</v>
      </c>
      <c r="G1281" s="3" t="s">
        <v>2129</v>
      </c>
      <c r="H1281" s="11">
        <f t="shared" si="41"/>
        <v>8498.7999999999993</v>
      </c>
      <c r="I1281" s="9">
        <f>($K$2+0.02)*Tabla1[[#This Row],[PRECIO $]]*1.18</f>
        <v>7383.3071999999993</v>
      </c>
      <c r="J1281" s="7">
        <f>+Tabla1[[#This Row],[PRECIO EN SOLES]]-Tabla1[[#This Row],[PC]]</f>
        <v>1115.4928</v>
      </c>
      <c r="K1281" s="15"/>
      <c r="L1281" s="15" t="str">
        <f t="shared" si="40"/>
        <v>NORMAL</v>
      </c>
    </row>
    <row r="1282" spans="1:12" x14ac:dyDescent="0.25">
      <c r="A1282" s="3" t="s">
        <v>2130</v>
      </c>
      <c r="B1282" s="3" t="s">
        <v>2131</v>
      </c>
      <c r="C1282" s="1">
        <v>20</v>
      </c>
      <c r="D1282" s="1">
        <v>45</v>
      </c>
      <c r="E1282" s="1" t="s">
        <v>1123</v>
      </c>
      <c r="F1282" s="1" t="s">
        <v>3830</v>
      </c>
      <c r="G1282" s="3" t="s">
        <v>2132</v>
      </c>
      <c r="H1282" s="11">
        <f t="shared" si="41"/>
        <v>220.51</v>
      </c>
      <c r="I1282" s="9">
        <f>($K$2+0.02)*Tabla1[[#This Row],[PRECIO $]]*1.18</f>
        <v>184.78799999999998</v>
      </c>
      <c r="J1282" s="7">
        <f>+Tabla1[[#This Row],[PRECIO EN SOLES]]-Tabla1[[#This Row],[PC]]</f>
        <v>35.722000000000008</v>
      </c>
      <c r="K1282" s="15"/>
      <c r="L1282" s="15" t="str">
        <f t="shared" si="40"/>
        <v>NORMAL</v>
      </c>
    </row>
    <row r="1283" spans="1:12" x14ac:dyDescent="0.25">
      <c r="A1283" s="3" t="s">
        <v>2133</v>
      </c>
      <c r="B1283" s="3" t="s">
        <v>2134</v>
      </c>
      <c r="C1283" s="1">
        <v>1</v>
      </c>
      <c r="D1283" s="1">
        <v>2228</v>
      </c>
      <c r="E1283" s="1" t="s">
        <v>1123</v>
      </c>
      <c r="F1283" s="1" t="s">
        <v>3831</v>
      </c>
      <c r="G1283" s="3" t="s">
        <v>2135</v>
      </c>
      <c r="H1283" s="11">
        <f t="shared" si="41"/>
        <v>10529.42</v>
      </c>
      <c r="I1283" s="9">
        <f>($K$2+0.02)*Tabla1[[#This Row],[PRECIO $]]*1.18</f>
        <v>9149.0591999999997</v>
      </c>
      <c r="J1283" s="7">
        <f>+Tabla1[[#This Row],[PRECIO EN SOLES]]-Tabla1[[#This Row],[PC]]</f>
        <v>1380.3608000000004</v>
      </c>
      <c r="K1283" s="15"/>
      <c r="L1283" s="15" t="str">
        <f t="shared" si="40"/>
        <v>NORMAL</v>
      </c>
    </row>
    <row r="1284" spans="1:12" x14ac:dyDescent="0.25">
      <c r="A1284" s="3" t="s">
        <v>2136</v>
      </c>
      <c r="B1284" s="3" t="s">
        <v>2137</v>
      </c>
      <c r="C1284" s="1">
        <v>20</v>
      </c>
      <c r="D1284" s="1">
        <v>329</v>
      </c>
      <c r="E1284" s="1" t="s">
        <v>2002</v>
      </c>
      <c r="F1284" s="1" t="s">
        <v>3832</v>
      </c>
      <c r="G1284" s="3"/>
      <c r="H1284" s="11">
        <f t="shared" si="41"/>
        <v>1561.66</v>
      </c>
      <c r="I1284" s="9">
        <f>($K$2+0.02)*Tabla1[[#This Row],[PRECIO $]]*1.18</f>
        <v>1351.0056</v>
      </c>
      <c r="J1284" s="7">
        <f>+Tabla1[[#This Row],[PRECIO EN SOLES]]-Tabla1[[#This Row],[PC]]</f>
        <v>210.65440000000012</v>
      </c>
      <c r="K1284" s="15"/>
      <c r="L1284" s="15" t="str">
        <f t="shared" si="40"/>
        <v>NORMAL</v>
      </c>
    </row>
    <row r="1285" spans="1:12" x14ac:dyDescent="0.25">
      <c r="A1285" s="3" t="s">
        <v>2138</v>
      </c>
      <c r="B1285" s="3" t="s">
        <v>2139</v>
      </c>
      <c r="C1285" s="1">
        <v>20</v>
      </c>
      <c r="D1285" s="1">
        <v>478.67</v>
      </c>
      <c r="E1285" s="1" t="s">
        <v>2002</v>
      </c>
      <c r="F1285" s="1" t="s">
        <v>3833</v>
      </c>
      <c r="G1285" s="3"/>
      <c r="H1285" s="11">
        <f t="shared" si="41"/>
        <v>2268.4499999999998</v>
      </c>
      <c r="I1285" s="9">
        <f>($K$2+0.02)*Tabla1[[#This Row],[PRECIO $]]*1.18</f>
        <v>1965.610488</v>
      </c>
      <c r="J1285" s="7">
        <f>+Tabla1[[#This Row],[PRECIO EN SOLES]]-Tabla1[[#This Row],[PC]]</f>
        <v>302.83951199999979</v>
      </c>
      <c r="K1285" s="15"/>
      <c r="L1285" s="15" t="str">
        <f t="shared" si="40"/>
        <v>NORMAL</v>
      </c>
    </row>
    <row r="1286" spans="1:12" x14ac:dyDescent="0.25">
      <c r="A1286" s="3" t="s">
        <v>2140</v>
      </c>
      <c r="B1286" s="3" t="s">
        <v>2139</v>
      </c>
      <c r="C1286" s="1">
        <v>1</v>
      </c>
      <c r="D1286" s="1">
        <v>428.3</v>
      </c>
      <c r="E1286" s="1" t="s">
        <v>2002</v>
      </c>
      <c r="F1286" s="1" t="s">
        <v>3834</v>
      </c>
      <c r="G1286" s="3"/>
      <c r="H1286" s="11">
        <f t="shared" si="41"/>
        <v>2030.59</v>
      </c>
      <c r="I1286" s="9">
        <f>($K$2+0.02)*Tabla1[[#This Row],[PRECIO $]]*1.18</f>
        <v>1758.7711199999999</v>
      </c>
      <c r="J1286" s="7">
        <f>+Tabla1[[#This Row],[PRECIO EN SOLES]]-Tabla1[[#This Row],[PC]]</f>
        <v>271.81888000000004</v>
      </c>
      <c r="K1286" s="15"/>
      <c r="L1286" s="15" t="str">
        <f t="shared" si="40"/>
        <v>NORMAL</v>
      </c>
    </row>
    <row r="1287" spans="1:12" x14ac:dyDescent="0.25">
      <c r="A1287" s="3" t="s">
        <v>4697</v>
      </c>
      <c r="B1287" s="3" t="s">
        <v>4698</v>
      </c>
      <c r="C1287" s="1">
        <v>1</v>
      </c>
      <c r="D1287" s="1">
        <v>108.08</v>
      </c>
      <c r="E1287" s="1" t="s">
        <v>424</v>
      </c>
      <c r="F1287" s="1" t="s">
        <v>4699</v>
      </c>
      <c r="G1287" s="3" t="s">
        <v>4700</v>
      </c>
      <c r="H1287" s="11">
        <f t="shared" si="41"/>
        <v>518.39</v>
      </c>
      <c r="I1287" s="9">
        <f>($K$2+0.02)*Tabla1[[#This Row],[PRECIO $]]*1.18</f>
        <v>443.81971199999998</v>
      </c>
      <c r="J1287" s="7">
        <f>+Tabla1[[#This Row],[PRECIO EN SOLES]]-Tabla1[[#This Row],[PC]]</f>
        <v>74.570288000000005</v>
      </c>
      <c r="K1287" s="15"/>
      <c r="L1287" s="15" t="str">
        <f t="shared" si="40"/>
        <v>NORMAL</v>
      </c>
    </row>
    <row r="1288" spans="1:12" x14ac:dyDescent="0.25">
      <c r="A1288" s="3" t="s">
        <v>4701</v>
      </c>
      <c r="B1288" s="3" t="s">
        <v>4702</v>
      </c>
      <c r="C1288" s="1">
        <v>2</v>
      </c>
      <c r="D1288" s="1">
        <v>405.01</v>
      </c>
      <c r="E1288" s="1" t="s">
        <v>424</v>
      </c>
      <c r="F1288" s="1" t="s">
        <v>4703</v>
      </c>
      <c r="G1288" s="3" t="s">
        <v>4704</v>
      </c>
      <c r="H1288" s="11">
        <f t="shared" si="41"/>
        <v>1920.6</v>
      </c>
      <c r="I1288" s="9">
        <f>($K$2+0.02)*Tabla1[[#This Row],[PRECIO $]]*1.18</f>
        <v>1663.1330639999999</v>
      </c>
      <c r="J1288" s="7">
        <f>+Tabla1[[#This Row],[PRECIO EN SOLES]]-Tabla1[[#This Row],[PC]]</f>
        <v>257.46693600000003</v>
      </c>
      <c r="K1288" s="15"/>
      <c r="L1288" s="15" t="str">
        <f t="shared" si="40"/>
        <v>NORMAL</v>
      </c>
    </row>
    <row r="1289" spans="1:12" x14ac:dyDescent="0.25">
      <c r="A1289" s="3" t="s">
        <v>4705</v>
      </c>
      <c r="B1289" s="3" t="s">
        <v>4706</v>
      </c>
      <c r="C1289" s="1">
        <v>7</v>
      </c>
      <c r="D1289" s="1">
        <v>67.13</v>
      </c>
      <c r="E1289" s="1" t="s">
        <v>424</v>
      </c>
      <c r="F1289" s="1" t="s">
        <v>4707</v>
      </c>
      <c r="G1289" s="3" t="s">
        <v>4708</v>
      </c>
      <c r="H1289" s="11">
        <f t="shared" si="41"/>
        <v>325.01</v>
      </c>
      <c r="I1289" s="9">
        <f>($K$2+0.02)*Tabla1[[#This Row],[PRECIO $]]*1.18</f>
        <v>275.66263199999997</v>
      </c>
      <c r="J1289" s="7">
        <f>+Tabla1[[#This Row],[PRECIO EN SOLES]]-Tabla1[[#This Row],[PC]]</f>
        <v>49.347368000000017</v>
      </c>
      <c r="K1289" s="15"/>
      <c r="L1289" s="15" t="str">
        <f t="shared" si="40"/>
        <v>NORMAL</v>
      </c>
    </row>
    <row r="1290" spans="1:12" x14ac:dyDescent="0.25">
      <c r="A1290" s="3" t="s">
        <v>4335</v>
      </c>
      <c r="B1290" s="3" t="s">
        <v>4336</v>
      </c>
      <c r="C1290" s="1">
        <v>20</v>
      </c>
      <c r="D1290" s="1">
        <v>32.99</v>
      </c>
      <c r="E1290" s="1" t="s">
        <v>424</v>
      </c>
      <c r="F1290" s="1" t="s">
        <v>4337</v>
      </c>
      <c r="G1290" s="3"/>
      <c r="H1290" s="11">
        <f t="shared" si="41"/>
        <v>161.79</v>
      </c>
      <c r="I1290" s="9">
        <f>($K$2+0.02)*Tabla1[[#This Row],[PRECIO $]]*1.18</f>
        <v>135.470136</v>
      </c>
      <c r="J1290" s="7">
        <f>+Tabla1[[#This Row],[PRECIO EN SOLES]]-Tabla1[[#This Row],[PC]]</f>
        <v>26.319863999999995</v>
      </c>
      <c r="K1290" s="15"/>
      <c r="L1290" s="15" t="str">
        <f t="shared" si="40"/>
        <v>NORMAL</v>
      </c>
    </row>
    <row r="1291" spans="1:12" x14ac:dyDescent="0.25">
      <c r="A1291" s="3" t="s">
        <v>2141</v>
      </c>
      <c r="B1291" s="3" t="s">
        <v>2142</v>
      </c>
      <c r="C1291" s="1">
        <v>15</v>
      </c>
      <c r="D1291" s="1">
        <v>114.41</v>
      </c>
      <c r="E1291" s="1" t="s">
        <v>424</v>
      </c>
      <c r="F1291" s="1" t="s">
        <v>3835</v>
      </c>
      <c r="G1291" s="3" t="s">
        <v>2143</v>
      </c>
      <c r="H1291" s="11">
        <f t="shared" si="41"/>
        <v>548.29</v>
      </c>
      <c r="I1291" s="9">
        <f>($K$2+0.02)*Tabla1[[#This Row],[PRECIO $]]*1.18</f>
        <v>469.81322399999993</v>
      </c>
      <c r="J1291" s="7">
        <f>+Tabla1[[#This Row],[PRECIO EN SOLES]]-Tabla1[[#This Row],[PC]]</f>
        <v>78.476776000000029</v>
      </c>
      <c r="K1291" s="15"/>
      <c r="L1291" s="15" t="str">
        <f t="shared" si="40"/>
        <v>NORMAL</v>
      </c>
    </row>
    <row r="1292" spans="1:12" x14ac:dyDescent="0.25">
      <c r="A1292" s="3" t="s">
        <v>4709</v>
      </c>
      <c r="B1292" s="3" t="s">
        <v>4710</v>
      </c>
      <c r="C1292" s="1">
        <v>5</v>
      </c>
      <c r="D1292" s="1">
        <v>118.12</v>
      </c>
      <c r="E1292" s="1" t="s">
        <v>424</v>
      </c>
      <c r="F1292" s="1" t="s">
        <v>4711</v>
      </c>
      <c r="G1292" s="3" t="s">
        <v>4712</v>
      </c>
      <c r="H1292" s="11">
        <f t="shared" si="41"/>
        <v>565.80999999999995</v>
      </c>
      <c r="I1292" s="9">
        <f>($K$2+0.02)*Tabla1[[#This Row],[PRECIO $]]*1.18</f>
        <v>485.04796800000003</v>
      </c>
      <c r="J1292" s="7">
        <f>+Tabla1[[#This Row],[PRECIO EN SOLES]]-Tabla1[[#This Row],[PC]]</f>
        <v>80.76203199999992</v>
      </c>
      <c r="K1292" s="15"/>
      <c r="L1292" s="15" t="str">
        <f t="shared" si="40"/>
        <v>NORMAL</v>
      </c>
    </row>
    <row r="1293" spans="1:12" x14ac:dyDescent="0.25">
      <c r="A1293" s="3" t="s">
        <v>4713</v>
      </c>
      <c r="B1293" s="3" t="s">
        <v>4714</v>
      </c>
      <c r="C1293" s="1">
        <v>5</v>
      </c>
      <c r="D1293" s="1">
        <v>349.61</v>
      </c>
      <c r="E1293" s="1" t="s">
        <v>424</v>
      </c>
      <c r="F1293" s="1" t="s">
        <v>4715</v>
      </c>
      <c r="G1293" s="3" t="s">
        <v>4716</v>
      </c>
      <c r="H1293" s="11">
        <f t="shared" si="41"/>
        <v>1658.98</v>
      </c>
      <c r="I1293" s="9">
        <f>($K$2+0.02)*Tabla1[[#This Row],[PRECIO $]]*1.18</f>
        <v>1435.638504</v>
      </c>
      <c r="J1293" s="7">
        <f>+Tabla1[[#This Row],[PRECIO EN SOLES]]-Tabla1[[#This Row],[PC]]</f>
        <v>223.34149600000001</v>
      </c>
      <c r="K1293" s="15"/>
      <c r="L1293" s="15" t="str">
        <f t="shared" si="40"/>
        <v>NORMAL</v>
      </c>
    </row>
    <row r="1294" spans="1:12" x14ac:dyDescent="0.25">
      <c r="A1294" s="3" t="s">
        <v>2144</v>
      </c>
      <c r="B1294" s="3" t="s">
        <v>2145</v>
      </c>
      <c r="C1294" s="1">
        <v>20</v>
      </c>
      <c r="D1294" s="1">
        <v>108.59</v>
      </c>
      <c r="E1294" s="1" t="s">
        <v>2002</v>
      </c>
      <c r="F1294" s="1" t="s">
        <v>3836</v>
      </c>
      <c r="G1294" s="3"/>
      <c r="H1294" s="11">
        <f t="shared" si="41"/>
        <v>520.79999999999995</v>
      </c>
      <c r="I1294" s="9">
        <f>($K$2+0.02)*Tabla1[[#This Row],[PRECIO $]]*1.18</f>
        <v>445.91397599999999</v>
      </c>
      <c r="J1294" s="7">
        <f>+Tabla1[[#This Row],[PRECIO EN SOLES]]-Tabla1[[#This Row],[PC]]</f>
        <v>74.886023999999964</v>
      </c>
      <c r="K1294" s="15"/>
      <c r="L1294" s="15" t="str">
        <f t="shared" si="40"/>
        <v>NORMAL</v>
      </c>
    </row>
    <row r="1295" spans="1:12" x14ac:dyDescent="0.25">
      <c r="A1295" s="3" t="s">
        <v>2983</v>
      </c>
      <c r="B1295" s="3" t="s">
        <v>2984</v>
      </c>
      <c r="C1295" s="1">
        <v>4</v>
      </c>
      <c r="D1295" s="1">
        <v>192.19</v>
      </c>
      <c r="E1295" s="1" t="s">
        <v>2002</v>
      </c>
      <c r="F1295" s="1" t="s">
        <v>3837</v>
      </c>
      <c r="G1295" s="3" t="s">
        <v>2985</v>
      </c>
      <c r="H1295" s="11">
        <f t="shared" si="41"/>
        <v>915.59</v>
      </c>
      <c r="I1295" s="9">
        <f>($K$2+0.02)*Tabla1[[#This Row],[PRECIO $]]*1.18</f>
        <v>789.20901599999991</v>
      </c>
      <c r="J1295" s="7">
        <f>+Tabla1[[#This Row],[PRECIO EN SOLES]]-Tabla1[[#This Row],[PC]]</f>
        <v>126.38098400000013</v>
      </c>
      <c r="K1295" s="15"/>
      <c r="L1295" s="15" t="str">
        <f t="shared" si="40"/>
        <v>NORMAL</v>
      </c>
    </row>
    <row r="1296" spans="1:12" x14ac:dyDescent="0.25">
      <c r="A1296" s="3" t="s">
        <v>4717</v>
      </c>
      <c r="B1296" s="3" t="s">
        <v>4718</v>
      </c>
      <c r="C1296" s="1">
        <v>5</v>
      </c>
      <c r="D1296" s="1">
        <v>532.46</v>
      </c>
      <c r="E1296" s="1" t="s">
        <v>424</v>
      </c>
      <c r="F1296" s="1" t="s">
        <v>4719</v>
      </c>
      <c r="G1296" s="3"/>
      <c r="H1296" s="11">
        <f t="shared" si="41"/>
        <v>2522.4699999999998</v>
      </c>
      <c r="I1296" s="9">
        <f>($K$2+0.02)*Tabla1[[#This Row],[PRECIO $]]*1.18</f>
        <v>2186.4937439999999</v>
      </c>
      <c r="J1296" s="7">
        <f>+Tabla1[[#This Row],[PRECIO EN SOLES]]-Tabla1[[#This Row],[PC]]</f>
        <v>335.97625599999992</v>
      </c>
      <c r="K1296" s="15"/>
      <c r="L1296" s="15" t="str">
        <f t="shared" ref="L1296:L1359" si="42"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7" spans="1:12" x14ac:dyDescent="0.25">
      <c r="A1297" s="3" t="s">
        <v>2146</v>
      </c>
      <c r="B1297" s="3" t="s">
        <v>2147</v>
      </c>
      <c r="C1297" s="1">
        <v>1</v>
      </c>
      <c r="D1297" s="1">
        <v>48.49</v>
      </c>
      <c r="E1297" s="1" t="s">
        <v>424</v>
      </c>
      <c r="F1297" s="1" t="s">
        <v>3838</v>
      </c>
      <c r="G1297" s="3" t="s">
        <v>2148</v>
      </c>
      <c r="H1297" s="11">
        <f t="shared" si="41"/>
        <v>236.99</v>
      </c>
      <c r="I1297" s="9">
        <f>($K$2+0.02)*Tabla1[[#This Row],[PRECIO $]]*1.18</f>
        <v>199.119336</v>
      </c>
      <c r="J1297" s="7">
        <f>+Tabla1[[#This Row],[PRECIO EN SOLES]]-Tabla1[[#This Row],[PC]]</f>
        <v>37.870664000000005</v>
      </c>
      <c r="K1297" s="15"/>
      <c r="L1297" s="15" t="str">
        <f t="shared" si="42"/>
        <v>NORMAL</v>
      </c>
    </row>
    <row r="1298" spans="1:12" x14ac:dyDescent="0.25">
      <c r="A1298" s="3" t="s">
        <v>2149</v>
      </c>
      <c r="B1298" s="3" t="s">
        <v>2150</v>
      </c>
      <c r="C1298" s="1">
        <v>0</v>
      </c>
      <c r="D1298" s="1">
        <v>1960</v>
      </c>
      <c r="E1298" s="1" t="s">
        <v>2002</v>
      </c>
      <c r="F1298" s="1" t="s">
        <v>3839</v>
      </c>
      <c r="G1298" s="3"/>
      <c r="H1298" s="11">
        <f t="shared" ref="H1298:H1361" si="43">ROUND(
IF(L1296="GANCHO",
   IF(I1298&lt;=50,I1298*1.1+4,IF(I1298&lt;=120,I1298*1.1+7,IF(I1298&lt;=250,I1298*1.1+11,I1298*1.1+19))),
IF(L1296="NORMAL",
   IF(I1298&lt;=30,I1298*1.15+2,IF(I1298&lt;=80,I1298*1.15+4,IF(I1298&lt;=150,I1298*1.15+6,I1298*1.15+8))),
IF(L1296="COMPLEMENTO",
   IF(I1298&lt;=25,I1298*1.25+1.5,IF(I1298&lt;=60,I1298*1.25+3,IF(I1298&lt;=120,I1298*1.25+4,I1298*1.25+5))),
""))),2)</f>
        <v>9263.83</v>
      </c>
      <c r="I1298" s="9">
        <f>($K$2+0.02)*Tabla1[[#This Row],[PRECIO $]]*1.18</f>
        <v>8048.5439999999999</v>
      </c>
      <c r="J1298" s="7">
        <f>+Tabla1[[#This Row],[PRECIO EN SOLES]]-Tabla1[[#This Row],[PC]]</f>
        <v>1215.2860000000001</v>
      </c>
      <c r="K1298" s="15"/>
      <c r="L1298" s="15" t="str">
        <f t="shared" si="42"/>
        <v>NORMAL</v>
      </c>
    </row>
    <row r="1299" spans="1:12" x14ac:dyDescent="0.25">
      <c r="A1299" s="3" t="s">
        <v>2151</v>
      </c>
      <c r="B1299" s="3" t="s">
        <v>2152</v>
      </c>
      <c r="C1299" s="1">
        <v>1</v>
      </c>
      <c r="D1299" s="1">
        <v>1548.68</v>
      </c>
      <c r="E1299" s="1" t="s">
        <v>2002</v>
      </c>
      <c r="F1299" s="1" t="s">
        <v>3840</v>
      </c>
      <c r="G1299" s="3"/>
      <c r="H1299" s="11">
        <f t="shared" si="43"/>
        <v>7321.42</v>
      </c>
      <c r="I1299" s="9">
        <f>($K$2+0.02)*Tabla1[[#This Row],[PRECIO $]]*1.18</f>
        <v>6359.4995519999993</v>
      </c>
      <c r="J1299" s="7">
        <f>+Tabla1[[#This Row],[PRECIO EN SOLES]]-Tabla1[[#This Row],[PC]]</f>
        <v>961.92044800000076</v>
      </c>
      <c r="K1299" s="15"/>
      <c r="L1299" s="15" t="str">
        <f t="shared" si="42"/>
        <v>NORMAL</v>
      </c>
    </row>
    <row r="1300" spans="1:12" x14ac:dyDescent="0.25">
      <c r="A1300" s="3" t="s">
        <v>2153</v>
      </c>
      <c r="B1300" s="3" t="s">
        <v>2154</v>
      </c>
      <c r="C1300" s="1">
        <v>0</v>
      </c>
      <c r="D1300" s="1">
        <v>1382.24</v>
      </c>
      <c r="E1300" s="1" t="s">
        <v>2002</v>
      </c>
      <c r="F1300" s="1" t="s">
        <v>3841</v>
      </c>
      <c r="G1300" s="3"/>
      <c r="H1300" s="11">
        <f t="shared" si="43"/>
        <v>6535.43</v>
      </c>
      <c r="I1300" s="9">
        <f>($K$2+0.02)*Tabla1[[#This Row],[PRECIO $]]*1.18</f>
        <v>5676.0303359999998</v>
      </c>
      <c r="J1300" s="7">
        <f>+Tabla1[[#This Row],[PRECIO EN SOLES]]-Tabla1[[#This Row],[PC]]</f>
        <v>859.39966400000048</v>
      </c>
      <c r="K1300" s="15"/>
      <c r="L1300" s="15" t="str">
        <f t="shared" si="42"/>
        <v>NORMAL</v>
      </c>
    </row>
    <row r="1301" spans="1:12" x14ac:dyDescent="0.25">
      <c r="A1301" s="3" t="s">
        <v>2155</v>
      </c>
      <c r="B1301" s="3" t="s">
        <v>2156</v>
      </c>
      <c r="C1301" s="1">
        <v>1</v>
      </c>
      <c r="D1301" s="1">
        <v>1086.1199999999999</v>
      </c>
      <c r="E1301" s="1" t="s">
        <v>2002</v>
      </c>
      <c r="F1301" s="1" t="s">
        <v>3842</v>
      </c>
      <c r="G1301" s="3" t="s">
        <v>2157</v>
      </c>
      <c r="H1301" s="11">
        <f t="shared" si="43"/>
        <v>5137.05</v>
      </c>
      <c r="I1301" s="9">
        <f>($K$2+0.02)*Tabla1[[#This Row],[PRECIO $]]*1.18</f>
        <v>4460.0431679999992</v>
      </c>
      <c r="J1301" s="7">
        <f>+Tabla1[[#This Row],[PRECIO EN SOLES]]-Tabla1[[#This Row],[PC]]</f>
        <v>677.00683200000094</v>
      </c>
      <c r="K1301" s="15"/>
      <c r="L1301" s="15" t="str">
        <f t="shared" si="42"/>
        <v>NORMAL</v>
      </c>
    </row>
    <row r="1302" spans="1:12" x14ac:dyDescent="0.25">
      <c r="A1302" s="3" t="s">
        <v>2158</v>
      </c>
      <c r="B1302" s="3" t="s">
        <v>2159</v>
      </c>
      <c r="C1302" s="1">
        <v>16</v>
      </c>
      <c r="D1302" s="1">
        <v>1361.69</v>
      </c>
      <c r="E1302" s="1" t="s">
        <v>2002</v>
      </c>
      <c r="F1302" s="1" t="s">
        <v>3843</v>
      </c>
      <c r="G1302" s="3"/>
      <c r="H1302" s="11">
        <f t="shared" si="43"/>
        <v>6438.39</v>
      </c>
      <c r="I1302" s="9">
        <f>($K$2+0.02)*Tabla1[[#This Row],[PRECIO $]]*1.18</f>
        <v>5591.6438159999998</v>
      </c>
      <c r="J1302" s="7">
        <f>+Tabla1[[#This Row],[PRECIO EN SOLES]]-Tabla1[[#This Row],[PC]]</f>
        <v>846.74618400000054</v>
      </c>
      <c r="K1302" s="15"/>
      <c r="L1302" s="15" t="str">
        <f t="shared" si="42"/>
        <v>NORMAL</v>
      </c>
    </row>
    <row r="1303" spans="1:12" x14ac:dyDescent="0.25">
      <c r="A1303" s="3" t="s">
        <v>2160</v>
      </c>
      <c r="B1303" s="3" t="s">
        <v>2161</v>
      </c>
      <c r="C1303" s="1">
        <v>8</v>
      </c>
      <c r="D1303" s="1">
        <v>810</v>
      </c>
      <c r="E1303" s="1" t="s">
        <v>2002</v>
      </c>
      <c r="F1303" s="1" t="s">
        <v>3844</v>
      </c>
      <c r="G1303" s="3"/>
      <c r="H1303" s="11">
        <f t="shared" si="43"/>
        <v>3833.11</v>
      </c>
      <c r="I1303" s="9">
        <f>($K$2+0.02)*Tabla1[[#This Row],[PRECIO $]]*1.18</f>
        <v>3326.1840000000002</v>
      </c>
      <c r="J1303" s="7">
        <f>+Tabla1[[#This Row],[PRECIO EN SOLES]]-Tabla1[[#This Row],[PC]]</f>
        <v>506.92599999999993</v>
      </c>
      <c r="K1303" s="15"/>
      <c r="L1303" s="15" t="str">
        <f t="shared" si="42"/>
        <v>NORMAL</v>
      </c>
    </row>
    <row r="1304" spans="1:12" x14ac:dyDescent="0.25">
      <c r="A1304" s="3" t="s">
        <v>2162</v>
      </c>
      <c r="B1304" s="3" t="s">
        <v>2163</v>
      </c>
      <c r="C1304" s="1">
        <v>2</v>
      </c>
      <c r="D1304" s="1">
        <v>970</v>
      </c>
      <c r="E1304" s="1" t="s">
        <v>2002</v>
      </c>
      <c r="F1304" s="1" t="s">
        <v>3845</v>
      </c>
      <c r="G1304" s="3" t="s">
        <v>2164</v>
      </c>
      <c r="H1304" s="11">
        <f t="shared" si="43"/>
        <v>4588.6899999999996</v>
      </c>
      <c r="I1304" s="9">
        <f>($K$2+0.02)*Tabla1[[#This Row],[PRECIO $]]*1.18</f>
        <v>3983.2079999999996</v>
      </c>
      <c r="J1304" s="7">
        <f>+Tabla1[[#This Row],[PRECIO EN SOLES]]-Tabla1[[#This Row],[PC]]</f>
        <v>605.48199999999997</v>
      </c>
      <c r="K1304" s="15"/>
      <c r="L1304" s="15" t="str">
        <f t="shared" si="42"/>
        <v>NORMAL</v>
      </c>
    </row>
    <row r="1305" spans="1:12" x14ac:dyDescent="0.25">
      <c r="A1305" s="3" t="s">
        <v>2165</v>
      </c>
      <c r="B1305" s="3" t="s">
        <v>2166</v>
      </c>
      <c r="C1305" s="1">
        <v>17</v>
      </c>
      <c r="D1305" s="1">
        <v>750</v>
      </c>
      <c r="E1305" s="1" t="s">
        <v>2002</v>
      </c>
      <c r="F1305" s="1" t="s">
        <v>3846</v>
      </c>
      <c r="G1305" s="3"/>
      <c r="H1305" s="11">
        <f t="shared" si="43"/>
        <v>3549.77</v>
      </c>
      <c r="I1305" s="9">
        <f>($K$2+0.02)*Tabla1[[#This Row],[PRECIO $]]*1.18</f>
        <v>3079.7999999999997</v>
      </c>
      <c r="J1305" s="7">
        <f>+Tabla1[[#This Row],[PRECIO EN SOLES]]-Tabla1[[#This Row],[PC]]</f>
        <v>469.97000000000025</v>
      </c>
      <c r="K1305" s="15"/>
      <c r="L1305" s="15" t="str">
        <f t="shared" si="42"/>
        <v>NORMAL</v>
      </c>
    </row>
    <row r="1306" spans="1:12" x14ac:dyDescent="0.25">
      <c r="A1306" s="3" t="s">
        <v>2167</v>
      </c>
      <c r="B1306" s="3" t="s">
        <v>2168</v>
      </c>
      <c r="C1306" s="1">
        <v>12</v>
      </c>
      <c r="D1306" s="1">
        <v>542.54</v>
      </c>
      <c r="E1306" s="1" t="s">
        <v>2002</v>
      </c>
      <c r="F1306" s="1" t="s">
        <v>3847</v>
      </c>
      <c r="G1306" s="3"/>
      <c r="H1306" s="11">
        <f t="shared" si="43"/>
        <v>2570.0700000000002</v>
      </c>
      <c r="I1306" s="9">
        <f>($K$2+0.02)*Tabla1[[#This Row],[PRECIO $]]*1.18</f>
        <v>2227.8862559999998</v>
      </c>
      <c r="J1306" s="7">
        <f>+Tabla1[[#This Row],[PRECIO EN SOLES]]-Tabla1[[#This Row],[PC]]</f>
        <v>342.18374400000039</v>
      </c>
      <c r="K1306" s="15"/>
      <c r="L1306" s="15" t="str">
        <f t="shared" si="42"/>
        <v>NORMAL</v>
      </c>
    </row>
    <row r="1307" spans="1:12" x14ac:dyDescent="0.25">
      <c r="A1307" s="3" t="s">
        <v>6887</v>
      </c>
      <c r="B1307" s="3" t="s">
        <v>6888</v>
      </c>
      <c r="C1307" s="1">
        <v>20</v>
      </c>
      <c r="D1307" s="1">
        <v>17</v>
      </c>
      <c r="E1307" s="1" t="s">
        <v>6889</v>
      </c>
      <c r="F1307" s="1" t="s">
        <v>6890</v>
      </c>
      <c r="G1307" s="3" t="s">
        <v>6891</v>
      </c>
      <c r="H1307" s="11">
        <f t="shared" si="43"/>
        <v>84.28</v>
      </c>
      <c r="I1307" s="9">
        <f>($K$2+0.02)*Tabla1[[#This Row],[PRECIO $]]*1.18</f>
        <v>69.808799999999991</v>
      </c>
      <c r="J1307" s="7">
        <f>+Tabla1[[#This Row],[PRECIO EN SOLES]]-Tabla1[[#This Row],[PC]]</f>
        <v>14.47120000000001</v>
      </c>
      <c r="K1307" s="15"/>
      <c r="L1307" s="15" t="str">
        <f t="shared" si="42"/>
        <v>NORMAL</v>
      </c>
    </row>
    <row r="1308" spans="1:12" x14ac:dyDescent="0.25">
      <c r="A1308" s="3" t="s">
        <v>6892</v>
      </c>
      <c r="B1308" s="3" t="s">
        <v>6893</v>
      </c>
      <c r="C1308" s="1">
        <v>20</v>
      </c>
      <c r="D1308" s="1">
        <v>19</v>
      </c>
      <c r="E1308" s="1" t="s">
        <v>6889</v>
      </c>
      <c r="F1308" s="1" t="s">
        <v>6894</v>
      </c>
      <c r="G1308" s="3" t="s">
        <v>6895</v>
      </c>
      <c r="H1308" s="11">
        <f t="shared" si="43"/>
        <v>93.72</v>
      </c>
      <c r="I1308" s="9">
        <f>($K$2+0.02)*Tabla1[[#This Row],[PRECIO $]]*1.18</f>
        <v>78.021600000000007</v>
      </c>
      <c r="J1308" s="7">
        <f>+Tabla1[[#This Row],[PRECIO EN SOLES]]-Tabla1[[#This Row],[PC]]</f>
        <v>15.698399999999992</v>
      </c>
      <c r="K1308" s="15"/>
      <c r="L1308" s="15" t="str">
        <f t="shared" si="42"/>
        <v>NORMAL</v>
      </c>
    </row>
    <row r="1309" spans="1:12" x14ac:dyDescent="0.25">
      <c r="A1309" s="3" t="s">
        <v>6896</v>
      </c>
      <c r="B1309" s="3" t="s">
        <v>6897</v>
      </c>
      <c r="C1309" s="1">
        <v>20</v>
      </c>
      <c r="D1309" s="1">
        <v>23.5</v>
      </c>
      <c r="E1309" s="1" t="s">
        <v>6889</v>
      </c>
      <c r="F1309" s="1" t="s">
        <v>6898</v>
      </c>
      <c r="G1309" s="3" t="s">
        <v>6899</v>
      </c>
      <c r="H1309" s="11">
        <f t="shared" si="43"/>
        <v>116.98</v>
      </c>
      <c r="I1309" s="9">
        <f>($K$2+0.02)*Tabla1[[#This Row],[PRECIO $]]*1.18</f>
        <v>96.500399999999999</v>
      </c>
      <c r="J1309" s="7">
        <f>+Tabla1[[#This Row],[PRECIO EN SOLES]]-Tabla1[[#This Row],[PC]]</f>
        <v>20.479600000000005</v>
      </c>
      <c r="K1309" s="15"/>
      <c r="L1309" s="15" t="str">
        <f t="shared" si="42"/>
        <v>NORMAL</v>
      </c>
    </row>
    <row r="1310" spans="1:12" x14ac:dyDescent="0.25">
      <c r="A1310" s="3" t="s">
        <v>434</v>
      </c>
      <c r="B1310" s="3" t="s">
        <v>435</v>
      </c>
      <c r="C1310" s="1">
        <v>20</v>
      </c>
      <c r="D1310" s="1">
        <v>7.04</v>
      </c>
      <c r="E1310" s="1" t="s">
        <v>424</v>
      </c>
      <c r="F1310" s="1" t="s">
        <v>3848</v>
      </c>
      <c r="G1310" s="3" t="s">
        <v>436</v>
      </c>
      <c r="H1310" s="11">
        <f t="shared" si="43"/>
        <v>35.25</v>
      </c>
      <c r="I1310" s="9">
        <f>($K$2+0.02)*Tabla1[[#This Row],[PRECIO $]]*1.18</f>
        <v>28.909055999999996</v>
      </c>
      <c r="J1310" s="7">
        <f>+Tabla1[[#This Row],[PRECIO EN SOLES]]-Tabla1[[#This Row],[PC]]</f>
        <v>6.3409440000000039</v>
      </c>
      <c r="K1310" s="15"/>
      <c r="L1310" s="15" t="str">
        <f t="shared" si="42"/>
        <v>NORMAL</v>
      </c>
    </row>
    <row r="1311" spans="1:12" x14ac:dyDescent="0.25">
      <c r="A1311" s="3" t="s">
        <v>4338</v>
      </c>
      <c r="B1311" s="3" t="s">
        <v>4339</v>
      </c>
      <c r="C1311" s="1">
        <v>20</v>
      </c>
      <c r="D1311" s="1">
        <v>5.2</v>
      </c>
      <c r="E1311" s="1" t="s">
        <v>424</v>
      </c>
      <c r="F1311" s="1" t="s">
        <v>4340</v>
      </c>
      <c r="G1311" s="3" t="s">
        <v>4341</v>
      </c>
      <c r="H1311" s="11">
        <f t="shared" si="43"/>
        <v>26.56</v>
      </c>
      <c r="I1311" s="9">
        <f>($K$2+0.02)*Tabla1[[#This Row],[PRECIO $]]*1.18</f>
        <v>21.353279999999998</v>
      </c>
      <c r="J1311" s="7">
        <f>+Tabla1[[#This Row],[PRECIO EN SOLES]]-Tabla1[[#This Row],[PC]]</f>
        <v>5.2067200000000007</v>
      </c>
      <c r="K1311" s="15"/>
      <c r="L1311" s="15" t="str">
        <f t="shared" si="42"/>
        <v>NORMAL</v>
      </c>
    </row>
    <row r="1312" spans="1:12" x14ac:dyDescent="0.25">
      <c r="A1312" s="3" t="s">
        <v>4720</v>
      </c>
      <c r="B1312" s="3" t="s">
        <v>4721</v>
      </c>
      <c r="C1312" s="1">
        <v>20</v>
      </c>
      <c r="D1312" s="1">
        <v>9.7899999999999991</v>
      </c>
      <c r="E1312" s="1" t="s">
        <v>424</v>
      </c>
      <c r="F1312" s="1" t="s">
        <v>4722</v>
      </c>
      <c r="G1312" s="3" t="s">
        <v>4723</v>
      </c>
      <c r="H1312" s="11">
        <f t="shared" si="43"/>
        <v>50.23</v>
      </c>
      <c r="I1312" s="9">
        <f>($K$2+0.02)*Tabla1[[#This Row],[PRECIO $]]*1.18</f>
        <v>40.201655999999993</v>
      </c>
      <c r="J1312" s="7">
        <f>+Tabla1[[#This Row],[PRECIO EN SOLES]]-Tabla1[[#This Row],[PC]]</f>
        <v>10.028344000000004</v>
      </c>
      <c r="K1312" s="15"/>
      <c r="L1312" s="15" t="str">
        <f t="shared" si="42"/>
        <v>NORMAL</v>
      </c>
    </row>
    <row r="1313" spans="1:12" x14ac:dyDescent="0.25">
      <c r="A1313" s="3" t="s">
        <v>4724</v>
      </c>
      <c r="B1313" s="3" t="s">
        <v>4725</v>
      </c>
      <c r="C1313" s="1">
        <v>20</v>
      </c>
      <c r="D1313" s="1">
        <v>14.97</v>
      </c>
      <c r="E1313" s="1" t="s">
        <v>424</v>
      </c>
      <c r="F1313" s="1" t="s">
        <v>4726</v>
      </c>
      <c r="G1313" s="3" t="s">
        <v>4727</v>
      </c>
      <c r="H1313" s="11">
        <f t="shared" si="43"/>
        <v>74.69</v>
      </c>
      <c r="I1313" s="9">
        <f>($K$2+0.02)*Tabla1[[#This Row],[PRECIO $]]*1.18</f>
        <v>61.472808000000001</v>
      </c>
      <c r="J1313" s="7">
        <f>+Tabla1[[#This Row],[PRECIO EN SOLES]]-Tabla1[[#This Row],[PC]]</f>
        <v>13.217191999999997</v>
      </c>
      <c r="K1313" s="15"/>
      <c r="L1313" s="15" t="str">
        <f t="shared" si="42"/>
        <v>NORMAL</v>
      </c>
    </row>
    <row r="1314" spans="1:12" x14ac:dyDescent="0.25">
      <c r="A1314" s="3" t="s">
        <v>2169</v>
      </c>
      <c r="B1314" s="3" t="s">
        <v>2170</v>
      </c>
      <c r="C1314" s="1">
        <v>12</v>
      </c>
      <c r="D1314" s="1">
        <v>74.27</v>
      </c>
      <c r="E1314" s="1" t="s">
        <v>424</v>
      </c>
      <c r="F1314" s="1" t="s">
        <v>3849</v>
      </c>
      <c r="G1314" s="3" t="s">
        <v>2171</v>
      </c>
      <c r="H1314" s="11">
        <f t="shared" si="43"/>
        <v>358.73</v>
      </c>
      <c r="I1314" s="9">
        <f>($K$2+0.02)*Tabla1[[#This Row],[PRECIO $]]*1.18</f>
        <v>304.98232799999994</v>
      </c>
      <c r="J1314" s="7">
        <f>+Tabla1[[#This Row],[PRECIO EN SOLES]]-Tabla1[[#This Row],[PC]]</f>
        <v>53.74767200000008</v>
      </c>
      <c r="K1314" s="15"/>
      <c r="L1314" s="15" t="str">
        <f t="shared" si="42"/>
        <v>NORMAL</v>
      </c>
    </row>
    <row r="1315" spans="1:12" x14ac:dyDescent="0.25">
      <c r="A1315" s="3" t="s">
        <v>4728</v>
      </c>
      <c r="B1315" s="3" t="s">
        <v>4729</v>
      </c>
      <c r="C1315" s="1">
        <v>20</v>
      </c>
      <c r="D1315" s="1">
        <v>81</v>
      </c>
      <c r="E1315" s="1" t="s">
        <v>424</v>
      </c>
      <c r="F1315" s="1" t="s">
        <v>4730</v>
      </c>
      <c r="G1315" s="3" t="s">
        <v>4731</v>
      </c>
      <c r="H1315" s="11">
        <f t="shared" si="43"/>
        <v>390.51</v>
      </c>
      <c r="I1315" s="9">
        <f>($K$2+0.02)*Tabla1[[#This Row],[PRECIO $]]*1.18</f>
        <v>332.61839999999995</v>
      </c>
      <c r="J1315" s="7">
        <f>+Tabla1[[#This Row],[PRECIO EN SOLES]]-Tabla1[[#This Row],[PC]]</f>
        <v>57.891600000000039</v>
      </c>
      <c r="K1315" s="15"/>
      <c r="L1315" s="15" t="str">
        <f t="shared" si="42"/>
        <v>NORMAL</v>
      </c>
    </row>
    <row r="1316" spans="1:12" x14ac:dyDescent="0.25">
      <c r="A1316" s="3" t="s">
        <v>4732</v>
      </c>
      <c r="B1316" s="3" t="s">
        <v>4733</v>
      </c>
      <c r="C1316" s="1">
        <v>20</v>
      </c>
      <c r="D1316" s="1">
        <v>14.07</v>
      </c>
      <c r="E1316" s="1" t="s">
        <v>424</v>
      </c>
      <c r="F1316" s="1" t="s">
        <v>4734</v>
      </c>
      <c r="G1316" s="3"/>
      <c r="H1316" s="11">
        <f t="shared" si="43"/>
        <v>70.44</v>
      </c>
      <c r="I1316" s="9">
        <f>($K$2+0.02)*Tabla1[[#This Row],[PRECIO $]]*1.18</f>
        <v>57.777047999999994</v>
      </c>
      <c r="J1316" s="7">
        <f>+Tabla1[[#This Row],[PRECIO EN SOLES]]-Tabla1[[#This Row],[PC]]</f>
        <v>12.662952000000004</v>
      </c>
      <c r="K1316" s="15"/>
      <c r="L1316" s="15" t="str">
        <f t="shared" si="42"/>
        <v>NORMAL</v>
      </c>
    </row>
    <row r="1317" spans="1:12" x14ac:dyDescent="0.25">
      <c r="A1317" s="3" t="s">
        <v>4735</v>
      </c>
      <c r="B1317" s="3" t="s">
        <v>4736</v>
      </c>
      <c r="C1317" s="1">
        <v>20</v>
      </c>
      <c r="D1317" s="1">
        <v>18</v>
      </c>
      <c r="E1317" s="1" t="s">
        <v>424</v>
      </c>
      <c r="F1317" s="1" t="s">
        <v>4737</v>
      </c>
      <c r="G1317" s="3"/>
      <c r="H1317" s="11">
        <f t="shared" si="43"/>
        <v>89</v>
      </c>
      <c r="I1317" s="9">
        <f>($K$2+0.02)*Tabla1[[#This Row],[PRECIO $]]*1.18</f>
        <v>73.915199999999999</v>
      </c>
      <c r="J1317" s="7">
        <f>+Tabla1[[#This Row],[PRECIO EN SOLES]]-Tabla1[[#This Row],[PC]]</f>
        <v>15.084800000000001</v>
      </c>
      <c r="K1317" s="15"/>
      <c r="L1317" s="15" t="str">
        <f t="shared" si="42"/>
        <v>NORMAL</v>
      </c>
    </row>
    <row r="1318" spans="1:12" x14ac:dyDescent="0.25">
      <c r="A1318" s="3" t="s">
        <v>4738</v>
      </c>
      <c r="B1318" s="3" t="s">
        <v>4739</v>
      </c>
      <c r="C1318" s="1">
        <v>20</v>
      </c>
      <c r="D1318" s="1">
        <v>45.51</v>
      </c>
      <c r="E1318" s="1" t="s">
        <v>424</v>
      </c>
      <c r="F1318" s="1" t="s">
        <v>4740</v>
      </c>
      <c r="G1318" s="3" t="s">
        <v>4741</v>
      </c>
      <c r="H1318" s="11">
        <f t="shared" si="43"/>
        <v>222.91</v>
      </c>
      <c r="I1318" s="9">
        <f>($K$2+0.02)*Tabla1[[#This Row],[PRECIO $]]*1.18</f>
        <v>186.88226399999999</v>
      </c>
      <c r="J1318" s="7">
        <f>+Tabla1[[#This Row],[PRECIO EN SOLES]]-Tabla1[[#This Row],[PC]]</f>
        <v>36.027736000000004</v>
      </c>
      <c r="K1318" s="15"/>
      <c r="L1318" s="15" t="str">
        <f t="shared" si="42"/>
        <v>NORMAL</v>
      </c>
    </row>
    <row r="1319" spans="1:12" x14ac:dyDescent="0.25">
      <c r="A1319" s="3" t="s">
        <v>2172</v>
      </c>
      <c r="B1319" s="3" t="s">
        <v>2173</v>
      </c>
      <c r="C1319" s="1">
        <v>20</v>
      </c>
      <c r="D1319" s="1">
        <v>85.5</v>
      </c>
      <c r="E1319" s="1" t="s">
        <v>54</v>
      </c>
      <c r="F1319" s="1" t="s">
        <v>3850</v>
      </c>
      <c r="G1319" s="3" t="s">
        <v>2174</v>
      </c>
      <c r="H1319" s="11">
        <f t="shared" si="43"/>
        <v>411.76</v>
      </c>
      <c r="I1319" s="9">
        <f>($K$2+0.02)*Tabla1[[#This Row],[PRECIO $]]*1.18</f>
        <v>351.09719999999999</v>
      </c>
      <c r="J1319" s="7">
        <f>+Tabla1[[#This Row],[PRECIO EN SOLES]]-Tabla1[[#This Row],[PC]]</f>
        <v>60.662800000000004</v>
      </c>
      <c r="K1319" s="15"/>
      <c r="L1319" s="15" t="str">
        <f t="shared" si="42"/>
        <v>NORMAL</v>
      </c>
    </row>
    <row r="1320" spans="1:12" x14ac:dyDescent="0.25">
      <c r="A1320" s="3" t="s">
        <v>2175</v>
      </c>
      <c r="B1320" s="3" t="s">
        <v>2176</v>
      </c>
      <c r="C1320" s="1">
        <v>4</v>
      </c>
      <c r="D1320" s="1">
        <v>3480</v>
      </c>
      <c r="E1320" s="1" t="s">
        <v>2002</v>
      </c>
      <c r="F1320" s="1" t="s">
        <v>3851</v>
      </c>
      <c r="G1320" s="3"/>
      <c r="H1320" s="11">
        <f t="shared" si="43"/>
        <v>16441.810000000001</v>
      </c>
      <c r="I1320" s="9">
        <f>($K$2+0.02)*Tabla1[[#This Row],[PRECIO $]]*1.18</f>
        <v>14290.271999999999</v>
      </c>
      <c r="J1320" s="7">
        <f>+Tabla1[[#This Row],[PRECIO EN SOLES]]-Tabla1[[#This Row],[PC]]</f>
        <v>2151.5380000000023</v>
      </c>
      <c r="K1320" s="15"/>
      <c r="L1320" s="15" t="str">
        <f t="shared" si="42"/>
        <v>NORMAL</v>
      </c>
    </row>
    <row r="1321" spans="1:12" x14ac:dyDescent="0.25">
      <c r="A1321" s="3" t="s">
        <v>2177</v>
      </c>
      <c r="B1321" s="3" t="s">
        <v>2178</v>
      </c>
      <c r="C1321" s="1">
        <v>2</v>
      </c>
      <c r="D1321" s="1">
        <v>6343.56</v>
      </c>
      <c r="E1321" s="1" t="s">
        <v>2002</v>
      </c>
      <c r="F1321" s="1" t="s">
        <v>3852</v>
      </c>
      <c r="G1321" s="3"/>
      <c r="H1321" s="11">
        <f t="shared" si="43"/>
        <v>29964.57</v>
      </c>
      <c r="I1321" s="9">
        <f>($K$2+0.02)*Tabla1[[#This Row],[PRECIO $]]*1.18</f>
        <v>26049.194783999999</v>
      </c>
      <c r="J1321" s="7">
        <f>+Tabla1[[#This Row],[PRECIO EN SOLES]]-Tabla1[[#This Row],[PC]]</f>
        <v>3915.3752160000004</v>
      </c>
      <c r="K1321" s="15"/>
      <c r="L1321" s="15" t="str">
        <f t="shared" si="42"/>
        <v>NORMAL</v>
      </c>
    </row>
    <row r="1322" spans="1:12" x14ac:dyDescent="0.25">
      <c r="A1322" s="3" t="s">
        <v>2986</v>
      </c>
      <c r="B1322" s="3" t="s">
        <v>2987</v>
      </c>
      <c r="C1322" s="1">
        <v>1</v>
      </c>
      <c r="D1322" s="1">
        <v>2900</v>
      </c>
      <c r="E1322" s="1" t="s">
        <v>2002</v>
      </c>
      <c r="F1322" s="1" t="s">
        <v>3853</v>
      </c>
      <c r="G1322" s="3" t="s">
        <v>2988</v>
      </c>
      <c r="H1322" s="11">
        <f t="shared" si="43"/>
        <v>13702.84</v>
      </c>
      <c r="I1322" s="9">
        <f>($K$2+0.02)*Tabla1[[#This Row],[PRECIO $]]*1.18</f>
        <v>11908.56</v>
      </c>
      <c r="J1322" s="7">
        <f>+Tabla1[[#This Row],[PRECIO EN SOLES]]-Tabla1[[#This Row],[PC]]</f>
        <v>1794.2800000000007</v>
      </c>
      <c r="K1322" s="15"/>
      <c r="L1322" s="15" t="str">
        <f t="shared" si="42"/>
        <v>NORMAL</v>
      </c>
    </row>
    <row r="1323" spans="1:12" x14ac:dyDescent="0.25">
      <c r="A1323" s="3" t="s">
        <v>6125</v>
      </c>
      <c r="B1323" s="3" t="s">
        <v>6126</v>
      </c>
      <c r="C1323" s="1">
        <v>3</v>
      </c>
      <c r="D1323" s="1">
        <v>4744.43</v>
      </c>
      <c r="E1323" s="1" t="s">
        <v>2002</v>
      </c>
      <c r="F1323" s="1" t="s">
        <v>6127</v>
      </c>
      <c r="G1323" s="3"/>
      <c r="H1323" s="11">
        <f t="shared" si="43"/>
        <v>22412.91</v>
      </c>
      <c r="I1323" s="9">
        <f>($K$2+0.02)*Tabla1[[#This Row],[PRECIO $]]*1.18</f>
        <v>19482.527352000001</v>
      </c>
      <c r="J1323" s="7">
        <f>+Tabla1[[#This Row],[PRECIO EN SOLES]]-Tabla1[[#This Row],[PC]]</f>
        <v>2930.3826479999989</v>
      </c>
      <c r="K1323" s="15"/>
      <c r="L1323" s="15" t="str">
        <f t="shared" si="42"/>
        <v>NORMAL</v>
      </c>
    </row>
    <row r="1324" spans="1:12" x14ac:dyDescent="0.25">
      <c r="A1324" s="3" t="s">
        <v>2179</v>
      </c>
      <c r="B1324" s="3" t="s">
        <v>2180</v>
      </c>
      <c r="C1324" s="1">
        <v>1</v>
      </c>
      <c r="D1324" s="1">
        <v>2090</v>
      </c>
      <c r="E1324" s="1" t="s">
        <v>2002</v>
      </c>
      <c r="F1324" s="1" t="s">
        <v>3854</v>
      </c>
      <c r="G1324" s="3"/>
      <c r="H1324" s="11">
        <f t="shared" si="43"/>
        <v>9877.73</v>
      </c>
      <c r="I1324" s="9">
        <f>($K$2+0.02)*Tabla1[[#This Row],[PRECIO $]]*1.18</f>
        <v>8582.3760000000002</v>
      </c>
      <c r="J1324" s="7">
        <f>+Tabla1[[#This Row],[PRECIO EN SOLES]]-Tabla1[[#This Row],[PC]]</f>
        <v>1295.3539999999994</v>
      </c>
      <c r="K1324" s="15"/>
      <c r="L1324" s="15" t="str">
        <f t="shared" si="42"/>
        <v>NORMAL</v>
      </c>
    </row>
    <row r="1325" spans="1:12" x14ac:dyDescent="0.25">
      <c r="A1325" s="3" t="s">
        <v>2181</v>
      </c>
      <c r="B1325" s="3" t="s">
        <v>2182</v>
      </c>
      <c r="C1325" s="1">
        <v>5</v>
      </c>
      <c r="D1325" s="1">
        <v>1440.4</v>
      </c>
      <c r="E1325" s="1" t="s">
        <v>2002</v>
      </c>
      <c r="F1325" s="1" t="s">
        <v>3855</v>
      </c>
      <c r="G1325" s="3" t="s">
        <v>2183</v>
      </c>
      <c r="H1325" s="11">
        <f t="shared" si="43"/>
        <v>6810.09</v>
      </c>
      <c r="I1325" s="9">
        <f>($K$2+0.02)*Tabla1[[#This Row],[PRECIO $]]*1.18</f>
        <v>5914.8585600000006</v>
      </c>
      <c r="J1325" s="7">
        <f>+Tabla1[[#This Row],[PRECIO EN SOLES]]-Tabla1[[#This Row],[PC]]</f>
        <v>895.23143999999957</v>
      </c>
      <c r="K1325" s="15"/>
      <c r="L1325" s="15" t="str">
        <f t="shared" si="42"/>
        <v>NORMAL</v>
      </c>
    </row>
    <row r="1326" spans="1:12" x14ac:dyDescent="0.25">
      <c r="A1326" s="3" t="s">
        <v>2184</v>
      </c>
      <c r="B1326" s="3" t="s">
        <v>2182</v>
      </c>
      <c r="C1326" s="1">
        <v>1</v>
      </c>
      <c r="D1326" s="1">
        <v>1396</v>
      </c>
      <c r="E1326" s="1" t="s">
        <v>2002</v>
      </c>
      <c r="F1326" s="1" t="s">
        <v>3856</v>
      </c>
      <c r="G1326" s="3"/>
      <c r="H1326" s="11">
        <f t="shared" si="43"/>
        <v>6600.41</v>
      </c>
      <c r="I1326" s="9">
        <f>($K$2+0.02)*Tabla1[[#This Row],[PRECIO $]]*1.18</f>
        <v>5732.5343999999996</v>
      </c>
      <c r="J1326" s="7">
        <f>+Tabla1[[#This Row],[PRECIO EN SOLES]]-Tabla1[[#This Row],[PC]]</f>
        <v>867.8756000000003</v>
      </c>
      <c r="K1326" s="15"/>
      <c r="L1326" s="15" t="str">
        <f t="shared" si="42"/>
        <v>NORMAL</v>
      </c>
    </row>
    <row r="1327" spans="1:12" x14ac:dyDescent="0.25">
      <c r="A1327" s="3" t="s">
        <v>2758</v>
      </c>
      <c r="B1327" s="3" t="s">
        <v>2186</v>
      </c>
      <c r="C1327" s="1">
        <v>3</v>
      </c>
      <c r="D1327" s="1">
        <v>957.36</v>
      </c>
      <c r="E1327" s="1" t="s">
        <v>2002</v>
      </c>
      <c r="F1327" s="1" t="s">
        <v>3857</v>
      </c>
      <c r="G1327" s="3" t="s">
        <v>2187</v>
      </c>
      <c r="H1327" s="11">
        <f t="shared" si="43"/>
        <v>4529</v>
      </c>
      <c r="I1327" s="9">
        <f>($K$2+0.02)*Tabla1[[#This Row],[PRECIO $]]*1.18</f>
        <v>3931.3031039999996</v>
      </c>
      <c r="J1327" s="7">
        <f>+Tabla1[[#This Row],[PRECIO EN SOLES]]-Tabla1[[#This Row],[PC]]</f>
        <v>597.69689600000038</v>
      </c>
      <c r="K1327" s="15"/>
      <c r="L1327" s="15" t="str">
        <f t="shared" si="42"/>
        <v>NORMAL</v>
      </c>
    </row>
    <row r="1328" spans="1:12" x14ac:dyDescent="0.25">
      <c r="A1328" s="3" t="s">
        <v>2185</v>
      </c>
      <c r="B1328" s="3" t="s">
        <v>2186</v>
      </c>
      <c r="C1328" s="1">
        <v>1</v>
      </c>
      <c r="D1328" s="1">
        <v>951.02</v>
      </c>
      <c r="E1328" s="1" t="s">
        <v>2002</v>
      </c>
      <c r="F1328" s="1" t="s">
        <v>3858</v>
      </c>
      <c r="G1328" s="3" t="s">
        <v>2187</v>
      </c>
      <c r="H1328" s="11">
        <f t="shared" si="43"/>
        <v>4499.0600000000004</v>
      </c>
      <c r="I1328" s="9">
        <f>($K$2+0.02)*Tabla1[[#This Row],[PRECIO $]]*1.18</f>
        <v>3905.2685279999996</v>
      </c>
      <c r="J1328" s="7">
        <f>+Tabla1[[#This Row],[PRECIO EN SOLES]]-Tabla1[[#This Row],[PC]]</f>
        <v>593.79147200000079</v>
      </c>
      <c r="K1328" s="15"/>
      <c r="L1328" s="15" t="str">
        <f t="shared" si="42"/>
        <v>NORMAL</v>
      </c>
    </row>
    <row r="1329" spans="1:12" x14ac:dyDescent="0.25">
      <c r="A1329" s="3" t="s">
        <v>2188</v>
      </c>
      <c r="B1329" s="3" t="s">
        <v>2189</v>
      </c>
      <c r="C1329" s="1">
        <v>7</v>
      </c>
      <c r="D1329" s="1">
        <v>1844.5</v>
      </c>
      <c r="E1329" s="1" t="s">
        <v>2002</v>
      </c>
      <c r="F1329" s="1" t="s">
        <v>3859</v>
      </c>
      <c r="G1329" s="3" t="s">
        <v>2190</v>
      </c>
      <c r="H1329" s="11">
        <f t="shared" si="43"/>
        <v>8718.39</v>
      </c>
      <c r="I1329" s="9">
        <f>($K$2+0.02)*Tabla1[[#This Row],[PRECIO $]]*1.18</f>
        <v>7574.2547999999988</v>
      </c>
      <c r="J1329" s="7">
        <f>+Tabla1[[#This Row],[PRECIO EN SOLES]]-Tabla1[[#This Row],[PC]]</f>
        <v>1144.1352000000006</v>
      </c>
      <c r="K1329" s="15"/>
      <c r="L1329" s="15" t="str">
        <f t="shared" si="42"/>
        <v>NORMAL</v>
      </c>
    </row>
    <row r="1330" spans="1:12" x14ac:dyDescent="0.25">
      <c r="A1330" s="3" t="s">
        <v>2191</v>
      </c>
      <c r="B1330" s="3" t="s">
        <v>2192</v>
      </c>
      <c r="C1330" s="1">
        <v>2</v>
      </c>
      <c r="D1330" s="1">
        <v>1300</v>
      </c>
      <c r="E1330" s="1" t="s">
        <v>2002</v>
      </c>
      <c r="F1330" s="1" t="s">
        <v>3860</v>
      </c>
      <c r="G1330" s="3" t="s">
        <v>2193</v>
      </c>
      <c r="H1330" s="11">
        <f t="shared" si="43"/>
        <v>6147.07</v>
      </c>
      <c r="I1330" s="9">
        <f>($K$2+0.02)*Tabla1[[#This Row],[PRECIO $]]*1.18</f>
        <v>5338.32</v>
      </c>
      <c r="J1330" s="7">
        <f>+Tabla1[[#This Row],[PRECIO EN SOLES]]-Tabla1[[#This Row],[PC]]</f>
        <v>808.75</v>
      </c>
      <c r="K1330" s="15"/>
      <c r="L1330" s="15" t="str">
        <f t="shared" si="42"/>
        <v>NORMAL</v>
      </c>
    </row>
    <row r="1331" spans="1:12" x14ac:dyDescent="0.25">
      <c r="A1331" s="3" t="s">
        <v>2194</v>
      </c>
      <c r="B1331" s="3" t="s">
        <v>2195</v>
      </c>
      <c r="C1331" s="1">
        <v>0</v>
      </c>
      <c r="D1331" s="1">
        <v>4361.43</v>
      </c>
      <c r="E1331" s="1" t="s">
        <v>2002</v>
      </c>
      <c r="F1331" s="1" t="s">
        <v>3861</v>
      </c>
      <c r="G1331" s="3"/>
      <c r="H1331" s="11">
        <f t="shared" si="43"/>
        <v>20604.240000000002</v>
      </c>
      <c r="I1331" s="9">
        <f>($K$2+0.02)*Tabla1[[#This Row],[PRECIO $]]*1.18</f>
        <v>17909.776151999999</v>
      </c>
      <c r="J1331" s="7">
        <f>+Tabla1[[#This Row],[PRECIO EN SOLES]]-Tabla1[[#This Row],[PC]]</f>
        <v>2694.4638480000031</v>
      </c>
      <c r="K1331" s="15"/>
      <c r="L1331" s="15" t="str">
        <f t="shared" si="42"/>
        <v>NORMAL</v>
      </c>
    </row>
    <row r="1332" spans="1:12" x14ac:dyDescent="0.25">
      <c r="A1332" s="3" t="s">
        <v>2196</v>
      </c>
      <c r="B1332" s="3" t="s">
        <v>2197</v>
      </c>
      <c r="C1332" s="1">
        <v>1</v>
      </c>
      <c r="D1332" s="1">
        <v>30000</v>
      </c>
      <c r="E1332" s="1" t="s">
        <v>2002</v>
      </c>
      <c r="F1332" s="1" t="s">
        <v>3862</v>
      </c>
      <c r="G1332" s="3"/>
      <c r="H1332" s="11">
        <f t="shared" si="43"/>
        <v>141678.79999999999</v>
      </c>
      <c r="I1332" s="9">
        <f>($K$2+0.02)*Tabla1[[#This Row],[PRECIO $]]*1.18</f>
        <v>123192</v>
      </c>
      <c r="J1332" s="7">
        <f>+Tabla1[[#This Row],[PRECIO EN SOLES]]-Tabla1[[#This Row],[PC]]</f>
        <v>18486.799999999988</v>
      </c>
      <c r="K1332" s="15"/>
      <c r="L1332" s="15" t="str">
        <f t="shared" si="42"/>
        <v>NORMAL</v>
      </c>
    </row>
    <row r="1333" spans="1:12" x14ac:dyDescent="0.25">
      <c r="A1333" s="3" t="s">
        <v>2198</v>
      </c>
      <c r="B1333" s="3" t="s">
        <v>2199</v>
      </c>
      <c r="C1333" s="1">
        <v>5</v>
      </c>
      <c r="D1333" s="1">
        <v>130.05000000000001</v>
      </c>
      <c r="E1333" s="1" t="s">
        <v>424</v>
      </c>
      <c r="F1333" s="1" t="s">
        <v>3863</v>
      </c>
      <c r="G1333" s="3" t="s">
        <v>2200</v>
      </c>
      <c r="H1333" s="11">
        <f t="shared" si="43"/>
        <v>622.14</v>
      </c>
      <c r="I1333" s="9">
        <f>($K$2+0.02)*Tabla1[[#This Row],[PRECIO $]]*1.18</f>
        <v>534.03732000000002</v>
      </c>
      <c r="J1333" s="7">
        <f>+Tabla1[[#This Row],[PRECIO EN SOLES]]-Tabla1[[#This Row],[PC]]</f>
        <v>88.102679999999964</v>
      </c>
      <c r="K1333" s="15"/>
      <c r="L1333" s="15" t="str">
        <f t="shared" si="42"/>
        <v>NORMAL</v>
      </c>
    </row>
    <row r="1334" spans="1:12" x14ac:dyDescent="0.25">
      <c r="A1334" s="3" t="s">
        <v>2201</v>
      </c>
      <c r="B1334" s="3" t="s">
        <v>2202</v>
      </c>
      <c r="C1334" s="1">
        <v>3</v>
      </c>
      <c r="D1334" s="1">
        <v>566.42999999999995</v>
      </c>
      <c r="E1334" s="1" t="s">
        <v>2002</v>
      </c>
      <c r="F1334" s="1" t="s">
        <v>3864</v>
      </c>
      <c r="G1334" s="3" t="s">
        <v>2203</v>
      </c>
      <c r="H1334" s="11">
        <f t="shared" si="43"/>
        <v>2682.89</v>
      </c>
      <c r="I1334" s="9">
        <f>($K$2+0.02)*Tabla1[[#This Row],[PRECIO $]]*1.18</f>
        <v>2325.9881519999999</v>
      </c>
      <c r="J1334" s="7">
        <f>+Tabla1[[#This Row],[PRECIO EN SOLES]]-Tabla1[[#This Row],[PC]]</f>
        <v>356.90184799999997</v>
      </c>
      <c r="K1334" s="15"/>
      <c r="L1334" s="15" t="str">
        <f t="shared" si="42"/>
        <v>NORMAL</v>
      </c>
    </row>
    <row r="1335" spans="1:12" x14ac:dyDescent="0.25">
      <c r="A1335" s="3" t="s">
        <v>2204</v>
      </c>
      <c r="B1335" s="3" t="s">
        <v>2205</v>
      </c>
      <c r="C1335" s="1">
        <v>1</v>
      </c>
      <c r="D1335" s="1">
        <v>19</v>
      </c>
      <c r="E1335" s="1" t="s">
        <v>54</v>
      </c>
      <c r="F1335" s="1" t="s">
        <v>3865</v>
      </c>
      <c r="G1335" s="3"/>
      <c r="H1335" s="11">
        <f t="shared" si="43"/>
        <v>93.72</v>
      </c>
      <c r="I1335" s="9">
        <f>($K$2+0.02)*Tabla1[[#This Row],[PRECIO $]]*1.18</f>
        <v>78.021600000000007</v>
      </c>
      <c r="J1335" s="7">
        <f>+Tabla1[[#This Row],[PRECIO EN SOLES]]-Tabla1[[#This Row],[PC]]</f>
        <v>15.698399999999992</v>
      </c>
      <c r="K1335" s="15"/>
      <c r="L1335" s="15" t="str">
        <f t="shared" si="42"/>
        <v>NORMAL</v>
      </c>
    </row>
    <row r="1336" spans="1:12" x14ac:dyDescent="0.25">
      <c r="A1336" s="3" t="s">
        <v>2206</v>
      </c>
      <c r="B1336" s="3" t="s">
        <v>2207</v>
      </c>
      <c r="C1336" s="1">
        <v>20</v>
      </c>
      <c r="D1336" s="1">
        <v>1.1000000000000001</v>
      </c>
      <c r="E1336" s="1" t="s">
        <v>54</v>
      </c>
      <c r="F1336" s="1" t="s">
        <v>3866</v>
      </c>
      <c r="G1336" s="3" t="s">
        <v>2208</v>
      </c>
      <c r="H1336" s="11">
        <f t="shared" si="43"/>
        <v>7.19</v>
      </c>
      <c r="I1336" s="9">
        <f>($K$2+0.02)*Tabla1[[#This Row],[PRECIO $]]*1.18</f>
        <v>4.5170399999999997</v>
      </c>
      <c r="J1336" s="7">
        <f>+Tabla1[[#This Row],[PRECIO EN SOLES]]-Tabla1[[#This Row],[PC]]</f>
        <v>2.6729600000000007</v>
      </c>
      <c r="K1336" s="15"/>
      <c r="L1336" s="15" t="str">
        <f t="shared" si="42"/>
        <v>NORMAL</v>
      </c>
    </row>
    <row r="1337" spans="1:12" x14ac:dyDescent="0.25">
      <c r="A1337" s="3" t="s">
        <v>2209</v>
      </c>
      <c r="B1337" s="3" t="s">
        <v>2210</v>
      </c>
      <c r="C1337" s="1">
        <v>0</v>
      </c>
      <c r="D1337" s="1">
        <v>9999999.9900000002</v>
      </c>
      <c r="E1337" s="1" t="s">
        <v>54</v>
      </c>
      <c r="F1337" s="1" t="s">
        <v>3867</v>
      </c>
      <c r="G1337" s="3"/>
      <c r="H1337" s="11">
        <f t="shared" si="43"/>
        <v>47223607.950000003</v>
      </c>
      <c r="I1337" s="9">
        <f>($K$2+0.02)*Tabla1[[#This Row],[PRECIO $]]*1.18</f>
        <v>41063999.958935998</v>
      </c>
      <c r="J1337" s="7">
        <f>+Tabla1[[#This Row],[PRECIO EN SOLES]]-Tabla1[[#This Row],[PC]]</f>
        <v>6159607.9910640046</v>
      </c>
      <c r="K1337" s="15"/>
      <c r="L1337" s="15" t="str">
        <f t="shared" si="42"/>
        <v>NORMAL</v>
      </c>
    </row>
    <row r="1338" spans="1:12" x14ac:dyDescent="0.25">
      <c r="A1338" s="3" t="s">
        <v>2211</v>
      </c>
      <c r="B1338" s="3" t="s">
        <v>2212</v>
      </c>
      <c r="C1338" s="1">
        <v>1</v>
      </c>
      <c r="D1338" s="1">
        <v>15</v>
      </c>
      <c r="E1338" s="1" t="s">
        <v>54</v>
      </c>
      <c r="F1338" s="1" t="s">
        <v>3868</v>
      </c>
      <c r="G1338" s="3"/>
      <c r="H1338" s="11">
        <f t="shared" si="43"/>
        <v>74.84</v>
      </c>
      <c r="I1338" s="9">
        <f>($K$2+0.02)*Tabla1[[#This Row],[PRECIO $]]*1.18</f>
        <v>61.596000000000004</v>
      </c>
      <c r="J1338" s="7">
        <f>+Tabla1[[#This Row],[PRECIO EN SOLES]]-Tabla1[[#This Row],[PC]]</f>
        <v>13.244</v>
      </c>
      <c r="K1338" s="15"/>
      <c r="L1338" s="15" t="str">
        <f t="shared" si="42"/>
        <v>COMPLEMENTO</v>
      </c>
    </row>
    <row r="1339" spans="1:12" x14ac:dyDescent="0.25">
      <c r="A1339" s="3" t="s">
        <v>2213</v>
      </c>
      <c r="B1339" s="3" t="s">
        <v>2214</v>
      </c>
      <c r="C1339" s="1">
        <v>1</v>
      </c>
      <c r="D1339" s="1">
        <v>23</v>
      </c>
      <c r="E1339" s="1" t="s">
        <v>54</v>
      </c>
      <c r="F1339" s="1" t="s">
        <v>3869</v>
      </c>
      <c r="G1339" s="3" t="s">
        <v>2215</v>
      </c>
      <c r="H1339" s="11">
        <f t="shared" si="43"/>
        <v>114.61</v>
      </c>
      <c r="I1339" s="9">
        <f>($K$2+0.02)*Tabla1[[#This Row],[PRECIO $]]*1.18</f>
        <v>94.447200000000009</v>
      </c>
      <c r="J1339" s="7">
        <f>+Tabla1[[#This Row],[PRECIO EN SOLES]]-Tabla1[[#This Row],[PC]]</f>
        <v>20.16279999999999</v>
      </c>
      <c r="K1339" s="15"/>
      <c r="L1339" s="15" t="str">
        <f t="shared" si="42"/>
        <v>NORMAL</v>
      </c>
    </row>
    <row r="1340" spans="1:12" x14ac:dyDescent="0.25">
      <c r="A1340" s="3" t="s">
        <v>2216</v>
      </c>
      <c r="B1340" s="3" t="s">
        <v>2217</v>
      </c>
      <c r="C1340" s="1">
        <v>0</v>
      </c>
      <c r="D1340" s="1">
        <v>30</v>
      </c>
      <c r="E1340" s="1" t="s">
        <v>54</v>
      </c>
      <c r="F1340" s="1" t="s">
        <v>3870</v>
      </c>
      <c r="G1340" s="3"/>
      <c r="H1340" s="11">
        <f t="shared" si="43"/>
        <v>158.99</v>
      </c>
      <c r="I1340" s="9">
        <f>($K$2+0.02)*Tabla1[[#This Row],[PRECIO $]]*1.18</f>
        <v>123.19200000000001</v>
      </c>
      <c r="J1340" s="7">
        <f>+Tabla1[[#This Row],[PRECIO EN SOLES]]-Tabla1[[#This Row],[PC]]</f>
        <v>35.798000000000002</v>
      </c>
      <c r="K1340" s="15"/>
      <c r="L1340" s="15" t="str">
        <f t="shared" si="42"/>
        <v>NORMAL</v>
      </c>
    </row>
    <row r="1341" spans="1:12" x14ac:dyDescent="0.25">
      <c r="A1341" s="3" t="s">
        <v>2218</v>
      </c>
      <c r="B1341" s="3" t="s">
        <v>2219</v>
      </c>
      <c r="C1341" s="1">
        <v>1</v>
      </c>
      <c r="D1341" s="1">
        <v>85</v>
      </c>
      <c r="E1341" s="1" t="s">
        <v>837</v>
      </c>
      <c r="F1341" s="1" t="s">
        <v>3871</v>
      </c>
      <c r="G1341" s="3" t="s">
        <v>2220</v>
      </c>
      <c r="H1341" s="11">
        <f t="shared" si="43"/>
        <v>409.4</v>
      </c>
      <c r="I1341" s="9">
        <f>($K$2+0.02)*Tabla1[[#This Row],[PRECIO $]]*1.18</f>
        <v>349.04399999999998</v>
      </c>
      <c r="J1341" s="7">
        <f>+Tabla1[[#This Row],[PRECIO EN SOLES]]-Tabla1[[#This Row],[PC]]</f>
        <v>60.355999999999995</v>
      </c>
      <c r="K1341" s="15"/>
      <c r="L1341" s="15" t="str">
        <f t="shared" si="42"/>
        <v>NORMAL</v>
      </c>
    </row>
    <row r="1342" spans="1:12" x14ac:dyDescent="0.25">
      <c r="A1342" s="3" t="s">
        <v>2221</v>
      </c>
      <c r="B1342" s="3" t="s">
        <v>2222</v>
      </c>
      <c r="C1342" s="1">
        <v>0</v>
      </c>
      <c r="D1342" s="1">
        <v>48</v>
      </c>
      <c r="E1342" s="1" t="s">
        <v>1102</v>
      </c>
      <c r="F1342" s="1" t="s">
        <v>3872</v>
      </c>
      <c r="G1342" s="3" t="s">
        <v>2223</v>
      </c>
      <c r="H1342" s="11">
        <f t="shared" si="43"/>
        <v>234.67</v>
      </c>
      <c r="I1342" s="9">
        <f>($K$2+0.02)*Tabla1[[#This Row],[PRECIO $]]*1.18</f>
        <v>197.10719999999998</v>
      </c>
      <c r="J1342" s="7">
        <f>+Tabla1[[#This Row],[PRECIO EN SOLES]]-Tabla1[[#This Row],[PC]]</f>
        <v>37.56280000000001</v>
      </c>
      <c r="K1342" s="15"/>
      <c r="L1342" s="15" t="str">
        <f t="shared" si="42"/>
        <v>NORMAL</v>
      </c>
    </row>
    <row r="1343" spans="1:12" x14ac:dyDescent="0.25">
      <c r="A1343" s="3" t="s">
        <v>2224</v>
      </c>
      <c r="B1343" s="3" t="s">
        <v>2225</v>
      </c>
      <c r="C1343" s="1">
        <v>19</v>
      </c>
      <c r="D1343" s="1">
        <v>427.22</v>
      </c>
      <c r="E1343" s="1" t="s">
        <v>1102</v>
      </c>
      <c r="F1343" s="1" t="s">
        <v>3873</v>
      </c>
      <c r="G1343" s="3" t="s">
        <v>2226</v>
      </c>
      <c r="H1343" s="11">
        <f t="shared" si="43"/>
        <v>2025.49</v>
      </c>
      <c r="I1343" s="9">
        <f>($K$2+0.02)*Tabla1[[#This Row],[PRECIO $]]*1.18</f>
        <v>1754.3362079999999</v>
      </c>
      <c r="J1343" s="7">
        <f>+Tabla1[[#This Row],[PRECIO EN SOLES]]-Tabla1[[#This Row],[PC]]</f>
        <v>271.15379200000007</v>
      </c>
      <c r="K1343" s="15"/>
      <c r="L1343" s="15" t="str">
        <f t="shared" si="42"/>
        <v>NORMAL</v>
      </c>
    </row>
    <row r="1344" spans="1:12" x14ac:dyDescent="0.25">
      <c r="A1344" s="3" t="s">
        <v>2227</v>
      </c>
      <c r="B1344" s="3" t="s">
        <v>2228</v>
      </c>
      <c r="C1344" s="1">
        <v>1</v>
      </c>
      <c r="D1344" s="1">
        <v>728.07</v>
      </c>
      <c r="E1344" s="1" t="s">
        <v>1102</v>
      </c>
      <c r="F1344" s="1" t="s">
        <v>3874</v>
      </c>
      <c r="G1344" s="3" t="s">
        <v>2229</v>
      </c>
      <c r="H1344" s="11">
        <f t="shared" si="43"/>
        <v>3446.21</v>
      </c>
      <c r="I1344" s="9">
        <f>($K$2+0.02)*Tabla1[[#This Row],[PRECIO $]]*1.18</f>
        <v>2989.7466480000003</v>
      </c>
      <c r="J1344" s="7">
        <f>+Tabla1[[#This Row],[PRECIO EN SOLES]]-Tabla1[[#This Row],[PC]]</f>
        <v>456.46335199999976</v>
      </c>
      <c r="K1344" s="15"/>
      <c r="L1344" s="15" t="str">
        <f t="shared" si="42"/>
        <v>NORMAL</v>
      </c>
    </row>
    <row r="1345" spans="1:12" x14ac:dyDescent="0.25">
      <c r="A1345" s="3" t="s">
        <v>2230</v>
      </c>
      <c r="B1345" s="3" t="s">
        <v>2228</v>
      </c>
      <c r="C1345" s="1">
        <v>20</v>
      </c>
      <c r="D1345" s="1">
        <v>788.86</v>
      </c>
      <c r="E1345" s="1" t="s">
        <v>1102</v>
      </c>
      <c r="F1345" s="1" t="s">
        <v>3875</v>
      </c>
      <c r="G1345" s="3" t="s">
        <v>2229</v>
      </c>
      <c r="H1345" s="11">
        <f t="shared" si="43"/>
        <v>3733.28</v>
      </c>
      <c r="I1345" s="9">
        <f>($K$2+0.02)*Tabla1[[#This Row],[PRECIO $]]*1.18</f>
        <v>3239.3747040000003</v>
      </c>
      <c r="J1345" s="7">
        <f>+Tabla1[[#This Row],[PRECIO EN SOLES]]-Tabla1[[#This Row],[PC]]</f>
        <v>493.90529599999991</v>
      </c>
      <c r="K1345" s="15"/>
      <c r="L1345" s="15" t="str">
        <f t="shared" si="42"/>
        <v>NORMAL</v>
      </c>
    </row>
    <row r="1346" spans="1:12" x14ac:dyDescent="0.25">
      <c r="A1346" s="3" t="s">
        <v>2231</v>
      </c>
      <c r="B1346" s="3" t="s">
        <v>2232</v>
      </c>
      <c r="C1346" s="1">
        <v>4</v>
      </c>
      <c r="D1346" s="1">
        <v>433.17</v>
      </c>
      <c r="E1346" s="1" t="s">
        <v>1102</v>
      </c>
      <c r="F1346" s="1" t="s">
        <v>3876</v>
      </c>
      <c r="G1346" s="3"/>
      <c r="H1346" s="11">
        <f t="shared" si="43"/>
        <v>2053.58</v>
      </c>
      <c r="I1346" s="9">
        <f>($K$2+0.02)*Tabla1[[#This Row],[PRECIO $]]*1.18</f>
        <v>1778.769288</v>
      </c>
      <c r="J1346" s="7">
        <f>+Tabla1[[#This Row],[PRECIO EN SOLES]]-Tabla1[[#This Row],[PC]]</f>
        <v>274.81071199999997</v>
      </c>
      <c r="K1346" s="15"/>
      <c r="L1346" s="15" t="str">
        <f t="shared" si="42"/>
        <v>NORMAL</v>
      </c>
    </row>
    <row r="1347" spans="1:12" x14ac:dyDescent="0.25">
      <c r="A1347" s="3" t="s">
        <v>2233</v>
      </c>
      <c r="B1347" s="3" t="s">
        <v>2234</v>
      </c>
      <c r="C1347" s="1">
        <v>19</v>
      </c>
      <c r="D1347" s="1">
        <v>491.66</v>
      </c>
      <c r="E1347" s="1" t="s">
        <v>1102</v>
      </c>
      <c r="F1347" s="1" t="s">
        <v>3877</v>
      </c>
      <c r="G1347" s="3"/>
      <c r="H1347" s="11">
        <f t="shared" si="43"/>
        <v>2329.8000000000002</v>
      </c>
      <c r="I1347" s="9">
        <f>($K$2+0.02)*Tabla1[[#This Row],[PRECIO $]]*1.18</f>
        <v>2018.952624</v>
      </c>
      <c r="J1347" s="7">
        <f>+Tabla1[[#This Row],[PRECIO EN SOLES]]-Tabla1[[#This Row],[PC]]</f>
        <v>310.84737600000017</v>
      </c>
      <c r="K1347" s="15"/>
      <c r="L1347" s="15" t="str">
        <f t="shared" si="42"/>
        <v>NORMAL</v>
      </c>
    </row>
    <row r="1348" spans="1:12" x14ac:dyDescent="0.25">
      <c r="A1348" s="3" t="s">
        <v>2235</v>
      </c>
      <c r="B1348" s="3" t="s">
        <v>2236</v>
      </c>
      <c r="C1348" s="1">
        <v>3</v>
      </c>
      <c r="D1348" s="1">
        <v>748.15</v>
      </c>
      <c r="E1348" s="1" t="s">
        <v>1102</v>
      </c>
      <c r="F1348" s="1" t="s">
        <v>3878</v>
      </c>
      <c r="G1348" s="3" t="s">
        <v>2237</v>
      </c>
      <c r="H1348" s="11">
        <f t="shared" si="43"/>
        <v>3541.03</v>
      </c>
      <c r="I1348" s="9">
        <f>($K$2+0.02)*Tabla1[[#This Row],[PRECIO $]]*1.18</f>
        <v>3072.2031599999996</v>
      </c>
      <c r="J1348" s="7">
        <f>+Tabla1[[#This Row],[PRECIO EN SOLES]]-Tabla1[[#This Row],[PC]]</f>
        <v>468.82684000000063</v>
      </c>
      <c r="K1348" s="15"/>
      <c r="L1348" s="15" t="str">
        <f t="shared" si="42"/>
        <v>NORMAL</v>
      </c>
    </row>
    <row r="1349" spans="1:12" x14ac:dyDescent="0.25">
      <c r="A1349" s="3" t="s">
        <v>2238</v>
      </c>
      <c r="B1349" s="3" t="s">
        <v>2239</v>
      </c>
      <c r="C1349" s="1">
        <v>3</v>
      </c>
      <c r="D1349" s="1">
        <v>434.04</v>
      </c>
      <c r="E1349" s="1" t="s">
        <v>1166</v>
      </c>
      <c r="F1349" s="1" t="s">
        <v>3879</v>
      </c>
      <c r="G1349" s="3" t="s">
        <v>2240</v>
      </c>
      <c r="H1349" s="11">
        <f t="shared" si="43"/>
        <v>2057.69</v>
      </c>
      <c r="I1349" s="9">
        <f>($K$2+0.02)*Tabla1[[#This Row],[PRECIO $]]*1.18</f>
        <v>1782.341856</v>
      </c>
      <c r="J1349" s="7">
        <f>+Tabla1[[#This Row],[PRECIO EN SOLES]]-Tabla1[[#This Row],[PC]]</f>
        <v>275.34814400000005</v>
      </c>
      <c r="K1349" s="15"/>
      <c r="L1349" s="15" t="str">
        <f t="shared" si="42"/>
        <v>NORMAL</v>
      </c>
    </row>
    <row r="1350" spans="1:12" x14ac:dyDescent="0.25">
      <c r="A1350" s="3" t="s">
        <v>2241</v>
      </c>
      <c r="B1350" s="3" t="s">
        <v>2242</v>
      </c>
      <c r="C1350" s="1">
        <v>2</v>
      </c>
      <c r="D1350" s="1">
        <v>631.65</v>
      </c>
      <c r="E1350" s="1" t="s">
        <v>1166</v>
      </c>
      <c r="F1350" s="1" t="s">
        <v>3880</v>
      </c>
      <c r="G1350" s="3" t="s">
        <v>2243</v>
      </c>
      <c r="H1350" s="11">
        <f t="shared" si="43"/>
        <v>2990.88</v>
      </c>
      <c r="I1350" s="9">
        <f>($K$2+0.02)*Tabla1[[#This Row],[PRECIO $]]*1.18</f>
        <v>2593.8075599999997</v>
      </c>
      <c r="J1350" s="7">
        <f>+Tabla1[[#This Row],[PRECIO EN SOLES]]-Tabla1[[#This Row],[PC]]</f>
        <v>397.07244000000037</v>
      </c>
      <c r="K1350" s="15"/>
      <c r="L1350" s="15" t="str">
        <f t="shared" si="42"/>
        <v>NORMAL</v>
      </c>
    </row>
    <row r="1351" spans="1:12" x14ac:dyDescent="0.25">
      <c r="A1351" s="3" t="s">
        <v>2244</v>
      </c>
      <c r="B1351" s="3" t="s">
        <v>2245</v>
      </c>
      <c r="C1351" s="1">
        <v>20</v>
      </c>
      <c r="D1351" s="1">
        <v>2311.17</v>
      </c>
      <c r="E1351" s="1" t="s">
        <v>1102</v>
      </c>
      <c r="F1351" s="1" t="s">
        <v>3881</v>
      </c>
      <c r="G1351" s="3"/>
      <c r="H1351" s="11">
        <f t="shared" si="43"/>
        <v>10922.18</v>
      </c>
      <c r="I1351" s="9">
        <f>($K$2+0.02)*Tabla1[[#This Row],[PRECIO $]]*1.18</f>
        <v>9490.5884879999994</v>
      </c>
      <c r="J1351" s="7">
        <f>+Tabla1[[#This Row],[PRECIO EN SOLES]]-Tabla1[[#This Row],[PC]]</f>
        <v>1431.5915120000009</v>
      </c>
      <c r="K1351" s="15"/>
      <c r="L1351" s="15" t="str">
        <f t="shared" si="42"/>
        <v>NORMAL</v>
      </c>
    </row>
    <row r="1352" spans="1:12" x14ac:dyDescent="0.25">
      <c r="A1352" s="3" t="s">
        <v>2246</v>
      </c>
      <c r="B1352" s="3" t="s">
        <v>2247</v>
      </c>
      <c r="C1352" s="1">
        <v>19</v>
      </c>
      <c r="D1352" s="1">
        <v>3827.13</v>
      </c>
      <c r="E1352" s="1" t="s">
        <v>1102</v>
      </c>
      <c r="F1352" s="1" t="s">
        <v>3882</v>
      </c>
      <c r="G1352" s="3"/>
      <c r="H1352" s="11">
        <f t="shared" si="43"/>
        <v>18081.09</v>
      </c>
      <c r="I1352" s="9">
        <f>($K$2+0.02)*Tabla1[[#This Row],[PRECIO $]]*1.18</f>
        <v>15715.726632</v>
      </c>
      <c r="J1352" s="7">
        <f>+Tabla1[[#This Row],[PRECIO EN SOLES]]-Tabla1[[#This Row],[PC]]</f>
        <v>2365.3633680000003</v>
      </c>
      <c r="K1352" s="15"/>
      <c r="L1352" s="15" t="str">
        <f t="shared" si="42"/>
        <v>NORMAL</v>
      </c>
    </row>
    <row r="1353" spans="1:12" x14ac:dyDescent="0.25">
      <c r="A1353" s="3" t="s">
        <v>2248</v>
      </c>
      <c r="B1353" s="3" t="s">
        <v>2249</v>
      </c>
      <c r="C1353" s="1">
        <v>14</v>
      </c>
      <c r="D1353" s="1">
        <v>6452.13</v>
      </c>
      <c r="E1353" s="1" t="s">
        <v>1102</v>
      </c>
      <c r="F1353" s="1" t="s">
        <v>3883</v>
      </c>
      <c r="G1353" s="3"/>
      <c r="H1353" s="11">
        <f t="shared" si="43"/>
        <v>30477.279999999999</v>
      </c>
      <c r="I1353" s="9">
        <f>($K$2+0.02)*Tabla1[[#This Row],[PRECIO $]]*1.18</f>
        <v>26495.026632000001</v>
      </c>
      <c r="J1353" s="7">
        <f>+Tabla1[[#This Row],[PRECIO EN SOLES]]-Tabla1[[#This Row],[PC]]</f>
        <v>3982.2533679999979</v>
      </c>
      <c r="K1353" s="15"/>
      <c r="L1353" s="15" t="str">
        <f t="shared" si="42"/>
        <v>NORMAL</v>
      </c>
    </row>
    <row r="1354" spans="1:12" x14ac:dyDescent="0.25">
      <c r="A1354" s="3" t="s">
        <v>2250</v>
      </c>
      <c r="B1354" s="3" t="s">
        <v>2251</v>
      </c>
      <c r="C1354" s="1">
        <v>5</v>
      </c>
      <c r="D1354" s="1">
        <v>2723.4</v>
      </c>
      <c r="E1354" s="1" t="s">
        <v>1102</v>
      </c>
      <c r="F1354" s="1" t="s">
        <v>3884</v>
      </c>
      <c r="G1354" s="3"/>
      <c r="H1354" s="11">
        <f t="shared" si="43"/>
        <v>12868.88</v>
      </c>
      <c r="I1354" s="9">
        <f>($K$2+0.02)*Tabla1[[#This Row],[PRECIO $]]*1.18</f>
        <v>11183.36976</v>
      </c>
      <c r="J1354" s="7">
        <f>+Tabla1[[#This Row],[PRECIO EN SOLES]]-Tabla1[[#This Row],[PC]]</f>
        <v>1685.5102399999996</v>
      </c>
      <c r="K1354" s="15"/>
      <c r="L1354" s="15" t="str">
        <f t="shared" si="42"/>
        <v>NORMAL</v>
      </c>
    </row>
    <row r="1355" spans="1:12" x14ac:dyDescent="0.25">
      <c r="A1355" s="3" t="s">
        <v>2252</v>
      </c>
      <c r="B1355" s="3" t="s">
        <v>2245</v>
      </c>
      <c r="C1355" s="1">
        <v>1</v>
      </c>
      <c r="D1355" s="1">
        <v>2311.17</v>
      </c>
      <c r="E1355" s="1" t="s">
        <v>1102</v>
      </c>
      <c r="F1355" s="1" t="s">
        <v>3885</v>
      </c>
      <c r="G1355" s="3"/>
      <c r="H1355" s="11">
        <f t="shared" si="43"/>
        <v>10922.18</v>
      </c>
      <c r="I1355" s="9">
        <f>($K$2+0.02)*Tabla1[[#This Row],[PRECIO $]]*1.18</f>
        <v>9490.5884879999994</v>
      </c>
      <c r="J1355" s="7">
        <f>+Tabla1[[#This Row],[PRECIO EN SOLES]]-Tabla1[[#This Row],[PC]]</f>
        <v>1431.5915120000009</v>
      </c>
      <c r="K1355" s="15"/>
      <c r="L1355" s="15" t="str">
        <f t="shared" si="42"/>
        <v>NORMAL</v>
      </c>
    </row>
    <row r="1356" spans="1:12" x14ac:dyDescent="0.25">
      <c r="A1356" s="3" t="s">
        <v>2253</v>
      </c>
      <c r="B1356" s="3" t="s">
        <v>2254</v>
      </c>
      <c r="C1356" s="1">
        <v>7</v>
      </c>
      <c r="D1356" s="1">
        <v>1800</v>
      </c>
      <c r="E1356" s="1" t="s">
        <v>1102</v>
      </c>
      <c r="F1356" s="1" t="s">
        <v>3886</v>
      </c>
      <c r="G1356" s="3"/>
      <c r="H1356" s="11">
        <f t="shared" si="43"/>
        <v>8508.25</v>
      </c>
      <c r="I1356" s="9">
        <f>($K$2+0.02)*Tabla1[[#This Row],[PRECIO $]]*1.18</f>
        <v>7391.5199999999995</v>
      </c>
      <c r="J1356" s="7">
        <f>+Tabla1[[#This Row],[PRECIO EN SOLES]]-Tabla1[[#This Row],[PC]]</f>
        <v>1116.7300000000005</v>
      </c>
      <c r="K1356" s="15"/>
      <c r="L1356" s="15" t="str">
        <f t="shared" si="42"/>
        <v>NORMAL</v>
      </c>
    </row>
    <row r="1357" spans="1:12" x14ac:dyDescent="0.25">
      <c r="A1357" s="3" t="s">
        <v>2255</v>
      </c>
      <c r="B1357" s="3" t="s">
        <v>2256</v>
      </c>
      <c r="C1357" s="1">
        <v>9</v>
      </c>
      <c r="D1357" s="1">
        <v>2388.3000000000002</v>
      </c>
      <c r="E1357" s="1" t="s">
        <v>1166</v>
      </c>
      <c r="F1357" s="1" t="s">
        <v>3887</v>
      </c>
      <c r="G1357" s="3" t="s">
        <v>2257</v>
      </c>
      <c r="H1357" s="11">
        <f t="shared" si="43"/>
        <v>11286.41</v>
      </c>
      <c r="I1357" s="9">
        <f>($K$2+0.02)*Tabla1[[#This Row],[PRECIO $]]*1.18</f>
        <v>9807.3151200000011</v>
      </c>
      <c r="J1357" s="7">
        <f>+Tabla1[[#This Row],[PRECIO EN SOLES]]-Tabla1[[#This Row],[PC]]</f>
        <v>1479.0948799999987</v>
      </c>
      <c r="K1357" s="15"/>
      <c r="L1357" s="15" t="str">
        <f t="shared" si="42"/>
        <v>NORMAL</v>
      </c>
    </row>
    <row r="1358" spans="1:12" x14ac:dyDescent="0.25">
      <c r="A1358" s="3" t="s">
        <v>2258</v>
      </c>
      <c r="B1358" s="3" t="s">
        <v>2259</v>
      </c>
      <c r="C1358" s="1">
        <v>1</v>
      </c>
      <c r="D1358" s="1">
        <v>500</v>
      </c>
      <c r="E1358" s="1" t="s">
        <v>1102</v>
      </c>
      <c r="F1358" s="1" t="s">
        <v>3888</v>
      </c>
      <c r="G1358" s="3" t="s">
        <v>2260</v>
      </c>
      <c r="H1358" s="11">
        <f t="shared" si="43"/>
        <v>2369.1799999999998</v>
      </c>
      <c r="I1358" s="9">
        <f>($K$2+0.02)*Tabla1[[#This Row],[PRECIO $]]*1.18</f>
        <v>2053.1999999999998</v>
      </c>
      <c r="J1358" s="7">
        <f>+Tabla1[[#This Row],[PRECIO EN SOLES]]-Tabla1[[#This Row],[PC]]</f>
        <v>315.98</v>
      </c>
      <c r="K1358" s="15"/>
      <c r="L1358" s="15" t="str">
        <f t="shared" si="42"/>
        <v>NORMAL</v>
      </c>
    </row>
    <row r="1359" spans="1:12" x14ac:dyDescent="0.25">
      <c r="A1359" s="3" t="s">
        <v>2261</v>
      </c>
      <c r="B1359" s="3" t="s">
        <v>2262</v>
      </c>
      <c r="C1359" s="1">
        <v>15</v>
      </c>
      <c r="D1359" s="1">
        <v>800.91</v>
      </c>
      <c r="E1359" s="1" t="s">
        <v>1102</v>
      </c>
      <c r="F1359" s="1" t="s">
        <v>3889</v>
      </c>
      <c r="G1359" s="3"/>
      <c r="H1359" s="11">
        <f t="shared" si="43"/>
        <v>3790.19</v>
      </c>
      <c r="I1359" s="9">
        <f>($K$2+0.02)*Tabla1[[#This Row],[PRECIO $]]*1.18</f>
        <v>3288.856824</v>
      </c>
      <c r="J1359" s="7">
        <f>+Tabla1[[#This Row],[PRECIO EN SOLES]]-Tabla1[[#This Row],[PC]]</f>
        <v>501.33317600000009</v>
      </c>
      <c r="K1359" s="15"/>
      <c r="L1359" s="15" t="str">
        <f t="shared" si="42"/>
        <v>NORMAL</v>
      </c>
    </row>
    <row r="1360" spans="1:12" x14ac:dyDescent="0.25">
      <c r="A1360" s="3" t="s">
        <v>2263</v>
      </c>
      <c r="B1360" s="3" t="s">
        <v>2264</v>
      </c>
      <c r="C1360" s="1">
        <v>15</v>
      </c>
      <c r="D1360" s="1">
        <v>4901.7</v>
      </c>
      <c r="E1360" s="1" t="s">
        <v>1102</v>
      </c>
      <c r="F1360" s="1" t="s">
        <v>3890</v>
      </c>
      <c r="G1360" s="3"/>
      <c r="H1360" s="11">
        <f t="shared" si="43"/>
        <v>23155.59</v>
      </c>
      <c r="I1360" s="9">
        <f>($K$2+0.02)*Tabla1[[#This Row],[PRECIO $]]*1.18</f>
        <v>20128.34088</v>
      </c>
      <c r="J1360" s="7">
        <f>+Tabla1[[#This Row],[PRECIO EN SOLES]]-Tabla1[[#This Row],[PC]]</f>
        <v>3027.2491200000004</v>
      </c>
      <c r="K1360" s="15"/>
      <c r="L1360" s="15" t="str">
        <f t="shared" ref="L1360:L1423" si="44"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61" spans="1:12" x14ac:dyDescent="0.25">
      <c r="A1361" s="3" t="s">
        <v>2265</v>
      </c>
      <c r="B1361" s="3" t="s">
        <v>2266</v>
      </c>
      <c r="C1361" s="1">
        <v>10</v>
      </c>
      <c r="D1361" s="1">
        <v>2587.23</v>
      </c>
      <c r="E1361" s="1" t="s">
        <v>1166</v>
      </c>
      <c r="F1361" s="1" t="s">
        <v>3891</v>
      </c>
      <c r="G1361" s="3" t="s">
        <v>2267</v>
      </c>
      <c r="H1361" s="11">
        <f t="shared" si="43"/>
        <v>12225.83</v>
      </c>
      <c r="I1361" s="9">
        <f>($K$2+0.02)*Tabla1[[#This Row],[PRECIO $]]*1.18</f>
        <v>10624.201272</v>
      </c>
      <c r="J1361" s="7">
        <f>+Tabla1[[#This Row],[PRECIO EN SOLES]]-Tabla1[[#This Row],[PC]]</f>
        <v>1601.6287279999997</v>
      </c>
      <c r="K1361" s="15"/>
      <c r="L1361" s="15" t="str">
        <f t="shared" si="44"/>
        <v>NORMAL</v>
      </c>
    </row>
    <row r="1362" spans="1:12" x14ac:dyDescent="0.25">
      <c r="A1362" s="3" t="s">
        <v>2268</v>
      </c>
      <c r="B1362" s="3" t="s">
        <v>2269</v>
      </c>
      <c r="C1362" s="1">
        <v>6</v>
      </c>
      <c r="D1362" s="1">
        <v>3404.26</v>
      </c>
      <c r="E1362" s="1" t="s">
        <v>1166</v>
      </c>
      <c r="F1362" s="1" t="s">
        <v>3892</v>
      </c>
      <c r="G1362" s="3" t="s">
        <v>6900</v>
      </c>
      <c r="H1362" s="11">
        <f t="shared" ref="H1362:H1425" si="45">ROUND(
IF(L1360="GANCHO",
   IF(I1362&lt;=50,I1362*1.1+4,IF(I1362&lt;=120,I1362*1.1+7,IF(I1362&lt;=250,I1362*1.1+11,I1362*1.1+19))),
IF(L1360="NORMAL",
   IF(I1362&lt;=30,I1362*1.15+2,IF(I1362&lt;=80,I1362*1.15+4,IF(I1362&lt;=150,I1362*1.15+6,I1362*1.15+8))),
IF(L1360="COMPLEMENTO",
   IF(I1362&lt;=25,I1362*1.25+1.5,IF(I1362&lt;=60,I1362*1.25+3,IF(I1362&lt;=120,I1362*1.25+4,I1362*1.25+5))),
""))),2)</f>
        <v>16084.14</v>
      </c>
      <c r="I1362" s="9">
        <f>($K$2+0.02)*Tabla1[[#This Row],[PRECIO $]]*1.18</f>
        <v>13979.253263999999</v>
      </c>
      <c r="J1362" s="7">
        <f>+Tabla1[[#This Row],[PRECIO EN SOLES]]-Tabla1[[#This Row],[PC]]</f>
        <v>2104.8867360000004</v>
      </c>
      <c r="K1362" s="15"/>
      <c r="L1362" s="15" t="str">
        <f t="shared" si="44"/>
        <v>NORMAL</v>
      </c>
    </row>
    <row r="1363" spans="1:12" x14ac:dyDescent="0.25">
      <c r="A1363" s="3" t="s">
        <v>2270</v>
      </c>
      <c r="B1363" s="3" t="s">
        <v>2271</v>
      </c>
      <c r="C1363" s="1">
        <v>8</v>
      </c>
      <c r="D1363" s="1">
        <v>3404.26</v>
      </c>
      <c r="E1363" s="1" t="s">
        <v>1166</v>
      </c>
      <c r="F1363" s="1" t="s">
        <v>3893</v>
      </c>
      <c r="G1363" s="3" t="s">
        <v>6901</v>
      </c>
      <c r="H1363" s="11">
        <f t="shared" si="45"/>
        <v>16084.14</v>
      </c>
      <c r="I1363" s="9">
        <f>($K$2+0.02)*Tabla1[[#This Row],[PRECIO $]]*1.18</f>
        <v>13979.253263999999</v>
      </c>
      <c r="J1363" s="7">
        <f>+Tabla1[[#This Row],[PRECIO EN SOLES]]-Tabla1[[#This Row],[PC]]</f>
        <v>2104.8867360000004</v>
      </c>
      <c r="K1363" s="15"/>
      <c r="L1363" s="15" t="str">
        <f t="shared" si="44"/>
        <v>NORMAL</v>
      </c>
    </row>
    <row r="1364" spans="1:12" x14ac:dyDescent="0.25">
      <c r="A1364" s="3" t="s">
        <v>2272</v>
      </c>
      <c r="B1364" s="3" t="s">
        <v>2273</v>
      </c>
      <c r="C1364" s="1">
        <v>12</v>
      </c>
      <c r="D1364" s="1">
        <v>1334.04</v>
      </c>
      <c r="E1364" s="1" t="s">
        <v>1166</v>
      </c>
      <c r="F1364" s="1" t="s">
        <v>3894</v>
      </c>
      <c r="G1364" s="3"/>
      <c r="H1364" s="11">
        <f t="shared" si="45"/>
        <v>6307.82</v>
      </c>
      <c r="I1364" s="9">
        <f>($K$2+0.02)*Tabla1[[#This Row],[PRECIO $]]*1.18</f>
        <v>5478.1018560000002</v>
      </c>
      <c r="J1364" s="7">
        <f>+Tabla1[[#This Row],[PRECIO EN SOLES]]-Tabla1[[#This Row],[PC]]</f>
        <v>829.71814399999948</v>
      </c>
      <c r="K1364" s="15"/>
      <c r="L1364" s="15" t="str">
        <f t="shared" si="44"/>
        <v>NORMAL</v>
      </c>
    </row>
    <row r="1365" spans="1:12" x14ac:dyDescent="0.25">
      <c r="A1365" s="3" t="s">
        <v>5471</v>
      </c>
      <c r="B1365" s="3" t="s">
        <v>5472</v>
      </c>
      <c r="C1365" s="1">
        <v>2</v>
      </c>
      <c r="D1365" s="1">
        <v>4901.7</v>
      </c>
      <c r="E1365" s="1" t="s">
        <v>1102</v>
      </c>
      <c r="F1365" s="1" t="s">
        <v>5473</v>
      </c>
      <c r="G1365" s="3" t="s">
        <v>6128</v>
      </c>
      <c r="H1365" s="11">
        <f t="shared" si="45"/>
        <v>23155.59</v>
      </c>
      <c r="I1365" s="9">
        <f>($K$2+0.02)*Tabla1[[#This Row],[PRECIO $]]*1.18</f>
        <v>20128.34088</v>
      </c>
      <c r="J1365" s="7">
        <f>+Tabla1[[#This Row],[PRECIO EN SOLES]]-Tabla1[[#This Row],[PC]]</f>
        <v>3027.2491200000004</v>
      </c>
      <c r="K1365" s="15"/>
      <c r="L1365" s="15" t="str">
        <f t="shared" si="44"/>
        <v>NORMAL</v>
      </c>
    </row>
    <row r="1366" spans="1:12" x14ac:dyDescent="0.25">
      <c r="A1366" s="3" t="s">
        <v>2274</v>
      </c>
      <c r="B1366" s="3" t="s">
        <v>2275</v>
      </c>
      <c r="C1366" s="1">
        <v>4</v>
      </c>
      <c r="D1366" s="1">
        <v>3329.79</v>
      </c>
      <c r="E1366" s="1" t="s">
        <v>1166</v>
      </c>
      <c r="F1366" s="1" t="s">
        <v>3895</v>
      </c>
      <c r="G1366" s="3"/>
      <c r="H1366" s="11">
        <f t="shared" si="45"/>
        <v>15732.47</v>
      </c>
      <c r="I1366" s="9">
        <f>($K$2+0.02)*Tabla1[[#This Row],[PRECIO $]]*1.18</f>
        <v>13673.449655999999</v>
      </c>
      <c r="J1366" s="7">
        <f>+Tabla1[[#This Row],[PRECIO EN SOLES]]-Tabla1[[#This Row],[PC]]</f>
        <v>2059.0203440000005</v>
      </c>
      <c r="K1366" s="15"/>
      <c r="L1366" s="15" t="str">
        <f t="shared" si="44"/>
        <v>NORMAL</v>
      </c>
    </row>
    <row r="1367" spans="1:12" x14ac:dyDescent="0.25">
      <c r="A1367" s="3" t="s">
        <v>2276</v>
      </c>
      <c r="B1367" s="3" t="s">
        <v>2277</v>
      </c>
      <c r="C1367" s="1">
        <v>6</v>
      </c>
      <c r="D1367" s="1">
        <v>1872.34</v>
      </c>
      <c r="E1367" s="1" t="s">
        <v>1166</v>
      </c>
      <c r="F1367" s="1" t="s">
        <v>3896</v>
      </c>
      <c r="G1367" s="3" t="s">
        <v>2278</v>
      </c>
      <c r="H1367" s="11">
        <f t="shared" si="45"/>
        <v>8849.86</v>
      </c>
      <c r="I1367" s="9">
        <f>($K$2+0.02)*Tabla1[[#This Row],[PRECIO $]]*1.18</f>
        <v>7688.5769759999994</v>
      </c>
      <c r="J1367" s="7">
        <f>+Tabla1[[#This Row],[PRECIO EN SOLES]]-Tabla1[[#This Row],[PC]]</f>
        <v>1161.2830240000012</v>
      </c>
      <c r="K1367" s="15"/>
      <c r="L1367" s="15" t="str">
        <f t="shared" si="44"/>
        <v>NORMAL</v>
      </c>
    </row>
    <row r="1368" spans="1:12" x14ac:dyDescent="0.25">
      <c r="A1368" s="3" t="s">
        <v>6560</v>
      </c>
      <c r="B1368" s="3" t="s">
        <v>6561</v>
      </c>
      <c r="C1368" s="1">
        <v>1</v>
      </c>
      <c r="D1368" s="1">
        <v>328.57</v>
      </c>
      <c r="E1368" s="1" t="s">
        <v>1166</v>
      </c>
      <c r="F1368" s="1" t="s">
        <v>6562</v>
      </c>
      <c r="G1368" s="3"/>
      <c r="H1368" s="11">
        <f t="shared" si="45"/>
        <v>1559.63</v>
      </c>
      <c r="I1368" s="9">
        <f>($K$2+0.02)*Tabla1[[#This Row],[PRECIO $]]*1.18</f>
        <v>1349.2398479999999</v>
      </c>
      <c r="J1368" s="7">
        <f>+Tabla1[[#This Row],[PRECIO EN SOLES]]-Tabla1[[#This Row],[PC]]</f>
        <v>210.39015200000017</v>
      </c>
      <c r="K1368" s="15"/>
      <c r="L1368" s="15" t="str">
        <f t="shared" si="44"/>
        <v>NORMAL</v>
      </c>
    </row>
    <row r="1369" spans="1:12" x14ac:dyDescent="0.25">
      <c r="A1369" s="3" t="s">
        <v>2279</v>
      </c>
      <c r="B1369" s="3" t="s">
        <v>2280</v>
      </c>
      <c r="C1369" s="1">
        <v>20</v>
      </c>
      <c r="D1369" s="1">
        <v>1</v>
      </c>
      <c r="E1369" s="1" t="s">
        <v>2281</v>
      </c>
      <c r="F1369" s="1" t="s">
        <v>3897</v>
      </c>
      <c r="G1369" s="3"/>
      <c r="H1369" s="11">
        <f t="shared" si="45"/>
        <v>6.72</v>
      </c>
      <c r="I1369" s="9">
        <f>($K$2+0.02)*Tabla1[[#This Row],[PRECIO $]]*1.18</f>
        <v>4.1063999999999998</v>
      </c>
      <c r="J1369" s="7">
        <f>+Tabla1[[#This Row],[PRECIO EN SOLES]]-Tabla1[[#This Row],[PC]]</f>
        <v>2.6135999999999999</v>
      </c>
      <c r="K1369" s="15"/>
      <c r="L1369" s="15" t="str">
        <f t="shared" si="44"/>
        <v>NORMAL</v>
      </c>
    </row>
    <row r="1370" spans="1:12" x14ac:dyDescent="0.25">
      <c r="A1370" s="3" t="s">
        <v>2282</v>
      </c>
      <c r="B1370" s="3" t="s">
        <v>2283</v>
      </c>
      <c r="C1370" s="1">
        <v>0</v>
      </c>
      <c r="D1370" s="1">
        <v>9999999.9900000002</v>
      </c>
      <c r="E1370" s="1" t="s">
        <v>57</v>
      </c>
      <c r="F1370" s="1" t="s">
        <v>3898</v>
      </c>
      <c r="G1370" s="3"/>
      <c r="H1370" s="11">
        <f t="shared" si="45"/>
        <v>47223607.950000003</v>
      </c>
      <c r="I1370" s="9">
        <f>($K$2+0.02)*Tabla1[[#This Row],[PRECIO $]]*1.18</f>
        <v>41063999.958935998</v>
      </c>
      <c r="J1370" s="7">
        <f>+Tabla1[[#This Row],[PRECIO EN SOLES]]-Tabla1[[#This Row],[PC]]</f>
        <v>6159607.9910640046</v>
      </c>
      <c r="K1370" s="15"/>
      <c r="L1370" s="15" t="str">
        <f t="shared" si="44"/>
        <v>NORMAL</v>
      </c>
    </row>
    <row r="1371" spans="1:12" x14ac:dyDescent="0.25">
      <c r="A1371" s="3" t="s">
        <v>2284</v>
      </c>
      <c r="B1371" s="3" t="s">
        <v>2285</v>
      </c>
      <c r="C1371" s="1">
        <v>20</v>
      </c>
      <c r="D1371" s="1">
        <v>72.94</v>
      </c>
      <c r="E1371" s="1" t="s">
        <v>2281</v>
      </c>
      <c r="F1371" s="1" t="s">
        <v>3899</v>
      </c>
      <c r="G1371" s="3"/>
      <c r="H1371" s="11">
        <f t="shared" si="45"/>
        <v>352.45</v>
      </c>
      <c r="I1371" s="9">
        <f>($K$2+0.02)*Tabla1[[#This Row],[PRECIO $]]*1.18</f>
        <v>299.52081599999997</v>
      </c>
      <c r="J1371" s="7">
        <f>+Tabla1[[#This Row],[PRECIO EN SOLES]]-Tabla1[[#This Row],[PC]]</f>
        <v>52.929184000000021</v>
      </c>
      <c r="K1371" s="15"/>
      <c r="L1371" s="15" t="str">
        <f t="shared" si="44"/>
        <v>NORMAL</v>
      </c>
    </row>
    <row r="1372" spans="1:12" x14ac:dyDescent="0.25">
      <c r="A1372" s="3" t="s">
        <v>2286</v>
      </c>
      <c r="B1372" s="3" t="s">
        <v>2287</v>
      </c>
      <c r="C1372" s="1">
        <v>20</v>
      </c>
      <c r="D1372" s="1">
        <v>663.13</v>
      </c>
      <c r="E1372" s="1" t="s">
        <v>2281</v>
      </c>
      <c r="F1372" s="1" t="s">
        <v>3900</v>
      </c>
      <c r="G1372" s="3"/>
      <c r="H1372" s="11">
        <f t="shared" si="45"/>
        <v>3139.54</v>
      </c>
      <c r="I1372" s="9">
        <f>($K$2+0.02)*Tabla1[[#This Row],[PRECIO $]]*1.18</f>
        <v>2723.0770319999997</v>
      </c>
      <c r="J1372" s="7">
        <f>+Tabla1[[#This Row],[PRECIO EN SOLES]]-Tabla1[[#This Row],[PC]]</f>
        <v>416.46296800000027</v>
      </c>
      <c r="K1372" s="15"/>
      <c r="L1372" s="15" t="str">
        <f t="shared" si="44"/>
        <v>NORMAL</v>
      </c>
    </row>
    <row r="1373" spans="1:12" x14ac:dyDescent="0.25">
      <c r="A1373" s="3" t="s">
        <v>2288</v>
      </c>
      <c r="B1373" s="3" t="s">
        <v>2289</v>
      </c>
      <c r="C1373" s="1">
        <v>20</v>
      </c>
      <c r="D1373" s="1">
        <v>352</v>
      </c>
      <c r="E1373" s="1" t="s">
        <v>2281</v>
      </c>
      <c r="F1373" s="1" t="s">
        <v>3901</v>
      </c>
      <c r="G1373" s="3"/>
      <c r="H1373" s="11">
        <f t="shared" si="45"/>
        <v>1670.27</v>
      </c>
      <c r="I1373" s="9">
        <f>($K$2+0.02)*Tabla1[[#This Row],[PRECIO $]]*1.18</f>
        <v>1445.4528</v>
      </c>
      <c r="J1373" s="7">
        <f>+Tabla1[[#This Row],[PRECIO EN SOLES]]-Tabla1[[#This Row],[PC]]</f>
        <v>224.81719999999996</v>
      </c>
      <c r="K1373" s="15"/>
      <c r="L1373" s="15" t="str">
        <f t="shared" si="44"/>
        <v>NORMAL</v>
      </c>
    </row>
    <row r="1374" spans="1:12" x14ac:dyDescent="0.25">
      <c r="A1374" s="3" t="s">
        <v>2290</v>
      </c>
      <c r="B1374" s="3" t="s">
        <v>2291</v>
      </c>
      <c r="C1374" s="1">
        <v>20</v>
      </c>
      <c r="D1374" s="1">
        <v>0.01</v>
      </c>
      <c r="E1374" s="1" t="s">
        <v>2281</v>
      </c>
      <c r="F1374" s="1" t="s">
        <v>3902</v>
      </c>
      <c r="G1374" s="3"/>
      <c r="H1374" s="11">
        <f t="shared" si="45"/>
        <v>2.0499999999999998</v>
      </c>
      <c r="I1374" s="9">
        <f>($K$2+0.02)*Tabla1[[#This Row],[PRECIO $]]*1.18</f>
        <v>4.1063999999999996E-2</v>
      </c>
      <c r="J1374" s="7">
        <f>+Tabla1[[#This Row],[PRECIO EN SOLES]]-Tabla1[[#This Row],[PC]]</f>
        <v>2.0089359999999998</v>
      </c>
      <c r="K1374" s="15"/>
      <c r="L1374" s="15" t="str">
        <f t="shared" si="44"/>
        <v>NORMAL</v>
      </c>
    </row>
    <row r="1375" spans="1:12" x14ac:dyDescent="0.25">
      <c r="A1375" s="3" t="s">
        <v>2292</v>
      </c>
      <c r="B1375" s="3" t="s">
        <v>2293</v>
      </c>
      <c r="C1375" s="1">
        <v>1</v>
      </c>
      <c r="D1375" s="1">
        <v>1025</v>
      </c>
      <c r="E1375" s="1" t="s">
        <v>2294</v>
      </c>
      <c r="F1375" s="1" t="s">
        <v>3903</v>
      </c>
      <c r="G1375" s="3"/>
      <c r="H1375" s="11">
        <f t="shared" si="45"/>
        <v>4848.42</v>
      </c>
      <c r="I1375" s="9">
        <f>($K$2+0.02)*Tabla1[[#This Row],[PRECIO $]]*1.18</f>
        <v>4209.0599999999995</v>
      </c>
      <c r="J1375" s="7">
        <f>+Tabla1[[#This Row],[PRECIO EN SOLES]]-Tabla1[[#This Row],[PC]]</f>
        <v>639.36000000000058</v>
      </c>
      <c r="K1375" s="15"/>
      <c r="L1375" s="15" t="str">
        <f t="shared" si="44"/>
        <v>NORMAL</v>
      </c>
    </row>
    <row r="1376" spans="1:12" x14ac:dyDescent="0.25">
      <c r="A1376" s="3" t="s">
        <v>2295</v>
      </c>
      <c r="B1376" s="3" t="s">
        <v>2296</v>
      </c>
      <c r="C1376" s="1">
        <v>1</v>
      </c>
      <c r="D1376" s="1">
        <v>309</v>
      </c>
      <c r="E1376" s="1" t="s">
        <v>2297</v>
      </c>
      <c r="F1376" s="1" t="s">
        <v>3904</v>
      </c>
      <c r="G1376" s="3"/>
      <c r="H1376" s="11">
        <f t="shared" si="45"/>
        <v>1467.21</v>
      </c>
      <c r="I1376" s="9">
        <f>($K$2+0.02)*Tabla1[[#This Row],[PRECIO $]]*1.18</f>
        <v>1268.8775999999998</v>
      </c>
      <c r="J1376" s="7">
        <f>+Tabla1[[#This Row],[PRECIO EN SOLES]]-Tabla1[[#This Row],[PC]]</f>
        <v>198.33240000000023</v>
      </c>
      <c r="K1376" s="15"/>
      <c r="L1376" s="15" t="str">
        <f t="shared" si="44"/>
        <v>NORMAL</v>
      </c>
    </row>
    <row r="1377" spans="1:12" x14ac:dyDescent="0.25">
      <c r="A1377" s="3" t="s">
        <v>2298</v>
      </c>
      <c r="B1377" s="3" t="s">
        <v>2299</v>
      </c>
      <c r="C1377" s="1">
        <v>1</v>
      </c>
      <c r="D1377" s="1">
        <v>288</v>
      </c>
      <c r="E1377" s="1" t="s">
        <v>2297</v>
      </c>
      <c r="F1377" s="1" t="s">
        <v>3905</v>
      </c>
      <c r="G1377" s="3"/>
      <c r="H1377" s="11">
        <f t="shared" si="45"/>
        <v>1368.04</v>
      </c>
      <c r="I1377" s="9">
        <f>($K$2+0.02)*Tabla1[[#This Row],[PRECIO $]]*1.18</f>
        <v>1182.6432</v>
      </c>
      <c r="J1377" s="7">
        <f>+Tabla1[[#This Row],[PRECIO EN SOLES]]-Tabla1[[#This Row],[PC]]</f>
        <v>185.39679999999998</v>
      </c>
      <c r="K1377" s="15"/>
      <c r="L1377" s="15" t="str">
        <f t="shared" si="44"/>
        <v>NORMAL</v>
      </c>
    </row>
    <row r="1378" spans="1:12" x14ac:dyDescent="0.25">
      <c r="A1378" s="3" t="s">
        <v>2300</v>
      </c>
      <c r="B1378" s="3" t="s">
        <v>2301</v>
      </c>
      <c r="C1378" s="1">
        <v>1</v>
      </c>
      <c r="D1378" s="1">
        <v>153</v>
      </c>
      <c r="E1378" s="1" t="s">
        <v>2297</v>
      </c>
      <c r="F1378" s="1" t="s">
        <v>3906</v>
      </c>
      <c r="G1378" s="3"/>
      <c r="H1378" s="11">
        <f t="shared" si="45"/>
        <v>730.52</v>
      </c>
      <c r="I1378" s="9">
        <f>($K$2+0.02)*Tabla1[[#This Row],[PRECIO $]]*1.18</f>
        <v>628.27919999999995</v>
      </c>
      <c r="J1378" s="7">
        <f>+Tabla1[[#This Row],[PRECIO EN SOLES]]-Tabla1[[#This Row],[PC]]</f>
        <v>102.24080000000004</v>
      </c>
      <c r="K1378" s="15"/>
      <c r="L1378" s="15" t="str">
        <f t="shared" si="44"/>
        <v>NORMAL</v>
      </c>
    </row>
    <row r="1379" spans="1:12" x14ac:dyDescent="0.25">
      <c r="A1379" s="3" t="s">
        <v>2302</v>
      </c>
      <c r="B1379" s="3" t="s">
        <v>2303</v>
      </c>
      <c r="C1379" s="1">
        <v>1</v>
      </c>
      <c r="D1379" s="1">
        <v>676</v>
      </c>
      <c r="E1379" s="1" t="s">
        <v>2294</v>
      </c>
      <c r="F1379" s="1" t="s">
        <v>3907</v>
      </c>
      <c r="G1379" s="3"/>
      <c r="H1379" s="11">
        <f t="shared" si="45"/>
        <v>3200.32</v>
      </c>
      <c r="I1379" s="9">
        <f>($K$2+0.02)*Tabla1[[#This Row],[PRECIO $]]*1.18</f>
        <v>2775.9263999999998</v>
      </c>
      <c r="J1379" s="7">
        <f>+Tabla1[[#This Row],[PRECIO EN SOLES]]-Tabla1[[#This Row],[PC]]</f>
        <v>424.39360000000033</v>
      </c>
      <c r="K1379" s="15"/>
      <c r="L1379" s="15" t="str">
        <f t="shared" si="44"/>
        <v>NORMAL</v>
      </c>
    </row>
    <row r="1380" spans="1:12" x14ac:dyDescent="0.25">
      <c r="A1380" s="3" t="s">
        <v>2304</v>
      </c>
      <c r="B1380" s="3" t="s">
        <v>2305</v>
      </c>
      <c r="C1380" s="1">
        <v>20</v>
      </c>
      <c r="D1380" s="1">
        <v>97</v>
      </c>
      <c r="E1380" s="1" t="s">
        <v>2281</v>
      </c>
      <c r="F1380" s="1" t="s">
        <v>3908</v>
      </c>
      <c r="G1380" s="3"/>
      <c r="H1380" s="11">
        <f t="shared" si="45"/>
        <v>466.07</v>
      </c>
      <c r="I1380" s="9">
        <f>($K$2+0.02)*Tabla1[[#This Row],[PRECIO $]]*1.18</f>
        <v>398.32079999999996</v>
      </c>
      <c r="J1380" s="7">
        <f>+Tabla1[[#This Row],[PRECIO EN SOLES]]-Tabla1[[#This Row],[PC]]</f>
        <v>67.74920000000003</v>
      </c>
      <c r="K1380" s="15"/>
      <c r="L1380" s="15" t="str">
        <f t="shared" si="44"/>
        <v>NORMAL</v>
      </c>
    </row>
    <row r="1381" spans="1:12" x14ac:dyDescent="0.25">
      <c r="A1381" s="3" t="s">
        <v>2306</v>
      </c>
      <c r="B1381" s="3" t="s">
        <v>2307</v>
      </c>
      <c r="C1381" s="1">
        <v>20</v>
      </c>
      <c r="D1381" s="1">
        <v>1380</v>
      </c>
      <c r="E1381" s="1" t="s">
        <v>2281</v>
      </c>
      <c r="F1381" s="1" t="s">
        <v>3909</v>
      </c>
      <c r="G1381" s="3"/>
      <c r="H1381" s="11">
        <f t="shared" si="45"/>
        <v>6524.86</v>
      </c>
      <c r="I1381" s="9">
        <f>($K$2+0.02)*Tabla1[[#This Row],[PRECIO $]]*1.18</f>
        <v>5666.8319999999994</v>
      </c>
      <c r="J1381" s="7">
        <f>+Tabla1[[#This Row],[PRECIO EN SOLES]]-Tabla1[[#This Row],[PC]]</f>
        <v>858.02800000000025</v>
      </c>
      <c r="K1381" s="15"/>
      <c r="L1381" s="15" t="str">
        <f t="shared" si="44"/>
        <v>NORMAL</v>
      </c>
    </row>
    <row r="1382" spans="1:12" x14ac:dyDescent="0.25">
      <c r="A1382" s="3" t="s">
        <v>2308</v>
      </c>
      <c r="B1382" s="3" t="s">
        <v>2309</v>
      </c>
      <c r="C1382" s="1">
        <v>20</v>
      </c>
      <c r="D1382" s="1">
        <v>10</v>
      </c>
      <c r="E1382" s="1" t="s">
        <v>2281</v>
      </c>
      <c r="F1382" s="1" t="s">
        <v>3910</v>
      </c>
      <c r="G1382" s="3"/>
      <c r="H1382" s="11">
        <f t="shared" si="45"/>
        <v>51.22</v>
      </c>
      <c r="I1382" s="9">
        <f>($K$2+0.02)*Tabla1[[#This Row],[PRECIO $]]*1.18</f>
        <v>41.063999999999993</v>
      </c>
      <c r="J1382" s="7">
        <f>+Tabla1[[#This Row],[PRECIO EN SOLES]]-Tabla1[[#This Row],[PC]]</f>
        <v>10.156000000000006</v>
      </c>
      <c r="K1382" s="15"/>
      <c r="L1382" s="15" t="str">
        <f t="shared" si="44"/>
        <v>NORMAL</v>
      </c>
    </row>
    <row r="1383" spans="1:12" x14ac:dyDescent="0.25">
      <c r="A1383" s="3" t="s">
        <v>2310</v>
      </c>
      <c r="B1383" s="3" t="s">
        <v>2311</v>
      </c>
      <c r="C1383" s="1">
        <v>1</v>
      </c>
      <c r="D1383" s="1">
        <v>8176.17</v>
      </c>
      <c r="E1383" s="1" t="s">
        <v>1102</v>
      </c>
      <c r="F1383" s="1" t="s">
        <v>3911</v>
      </c>
      <c r="G1383" s="3"/>
      <c r="H1383" s="11">
        <f t="shared" si="45"/>
        <v>38618.82</v>
      </c>
      <c r="I1383" s="9">
        <f>($K$2+0.02)*Tabla1[[#This Row],[PRECIO $]]*1.18</f>
        <v>33574.624487999994</v>
      </c>
      <c r="J1383" s="7">
        <f>+Tabla1[[#This Row],[PRECIO EN SOLES]]-Tabla1[[#This Row],[PC]]</f>
        <v>5044.1955120000057</v>
      </c>
      <c r="K1383" s="15"/>
      <c r="L1383" s="15" t="str">
        <f t="shared" si="44"/>
        <v>NORMAL</v>
      </c>
    </row>
    <row r="1384" spans="1:12" x14ac:dyDescent="0.25">
      <c r="A1384" s="3" t="s">
        <v>6129</v>
      </c>
      <c r="B1384" s="3" t="s">
        <v>6130</v>
      </c>
      <c r="C1384" s="1">
        <v>1</v>
      </c>
      <c r="D1384" s="1">
        <v>5178.72</v>
      </c>
      <c r="E1384" s="1" t="s">
        <v>1102</v>
      </c>
      <c r="F1384" s="1" t="s">
        <v>6131</v>
      </c>
      <c r="G1384" s="3"/>
      <c r="H1384" s="11">
        <f t="shared" si="45"/>
        <v>24463.78</v>
      </c>
      <c r="I1384" s="9">
        <f>($K$2+0.02)*Tabla1[[#This Row],[PRECIO $]]*1.18</f>
        <v>21265.895807999997</v>
      </c>
      <c r="J1384" s="7">
        <f>+Tabla1[[#This Row],[PRECIO EN SOLES]]-Tabla1[[#This Row],[PC]]</f>
        <v>3197.8841920000013</v>
      </c>
      <c r="K1384" s="15"/>
      <c r="L1384" s="15" t="str">
        <f t="shared" si="44"/>
        <v>NORMAL</v>
      </c>
    </row>
    <row r="1385" spans="1:12" x14ac:dyDescent="0.25">
      <c r="A1385" s="3" t="s">
        <v>5474</v>
      </c>
      <c r="B1385" s="3" t="s">
        <v>5475</v>
      </c>
      <c r="C1385" s="1">
        <v>8</v>
      </c>
      <c r="D1385" s="1">
        <v>3908.09</v>
      </c>
      <c r="E1385" s="1" t="s">
        <v>1102</v>
      </c>
      <c r="F1385" s="1" t="s">
        <v>5476</v>
      </c>
      <c r="G1385" s="3"/>
      <c r="H1385" s="11">
        <f t="shared" si="45"/>
        <v>18463.41</v>
      </c>
      <c r="I1385" s="9">
        <f>($K$2+0.02)*Tabla1[[#This Row],[PRECIO $]]*1.18</f>
        <v>16048.180775999999</v>
      </c>
      <c r="J1385" s="7">
        <f>+Tabla1[[#This Row],[PRECIO EN SOLES]]-Tabla1[[#This Row],[PC]]</f>
        <v>2415.2292240000006</v>
      </c>
      <c r="K1385" s="15"/>
      <c r="L1385" s="15" t="str">
        <f t="shared" si="44"/>
        <v>NORMAL</v>
      </c>
    </row>
    <row r="1386" spans="1:12" x14ac:dyDescent="0.25">
      <c r="A1386" s="3" t="s">
        <v>2312</v>
      </c>
      <c r="B1386" s="3" t="s">
        <v>2313</v>
      </c>
      <c r="C1386" s="1">
        <v>6</v>
      </c>
      <c r="D1386" s="1">
        <v>4254.46</v>
      </c>
      <c r="E1386" s="1" t="s">
        <v>1166</v>
      </c>
      <c r="F1386" s="1" t="s">
        <v>3912</v>
      </c>
      <c r="G1386" s="3"/>
      <c r="H1386" s="11">
        <f t="shared" si="45"/>
        <v>20099.09</v>
      </c>
      <c r="I1386" s="9">
        <f>($K$2+0.02)*Tabla1[[#This Row],[PRECIO $]]*1.18</f>
        <v>17470.514543999998</v>
      </c>
      <c r="J1386" s="7">
        <f>+Tabla1[[#This Row],[PRECIO EN SOLES]]-Tabla1[[#This Row],[PC]]</f>
        <v>2628.5754560000023</v>
      </c>
      <c r="K1386" s="15"/>
      <c r="L1386" s="15" t="str">
        <f t="shared" si="44"/>
        <v>NORMAL</v>
      </c>
    </row>
    <row r="1387" spans="1:12" x14ac:dyDescent="0.25">
      <c r="A1387" s="3" t="s">
        <v>2314</v>
      </c>
      <c r="B1387" s="3" t="s">
        <v>2315</v>
      </c>
      <c r="C1387" s="1">
        <v>20</v>
      </c>
      <c r="D1387" s="1">
        <v>1592.75</v>
      </c>
      <c r="E1387" s="1" t="s">
        <v>1166</v>
      </c>
      <c r="F1387" s="1" t="s">
        <v>3913</v>
      </c>
      <c r="G1387" s="3" t="s">
        <v>2316</v>
      </c>
      <c r="H1387" s="11">
        <f t="shared" si="45"/>
        <v>7529.54</v>
      </c>
      <c r="I1387" s="9">
        <f>($K$2+0.02)*Tabla1[[#This Row],[PRECIO $]]*1.18</f>
        <v>6540.4685999999992</v>
      </c>
      <c r="J1387" s="7">
        <f>+Tabla1[[#This Row],[PRECIO EN SOLES]]-Tabla1[[#This Row],[PC]]</f>
        <v>989.07140000000072</v>
      </c>
      <c r="K1387" s="15"/>
      <c r="L1387" s="15" t="str">
        <f t="shared" si="44"/>
        <v>NORMAL</v>
      </c>
    </row>
    <row r="1388" spans="1:12" x14ac:dyDescent="0.25">
      <c r="A1388" s="3" t="s">
        <v>2317</v>
      </c>
      <c r="B1388" s="3" t="s">
        <v>2318</v>
      </c>
      <c r="C1388" s="1">
        <v>5</v>
      </c>
      <c r="D1388" s="1">
        <v>6851.06</v>
      </c>
      <c r="E1388" s="1" t="s">
        <v>1166</v>
      </c>
      <c r="F1388" s="1" t="s">
        <v>3914</v>
      </c>
      <c r="G1388" s="3"/>
      <c r="H1388" s="11">
        <f t="shared" si="45"/>
        <v>32361.17</v>
      </c>
      <c r="I1388" s="9">
        <f>($K$2+0.02)*Tabla1[[#This Row],[PRECIO $]]*1.18</f>
        <v>28133.192783999999</v>
      </c>
      <c r="J1388" s="7">
        <f>+Tabla1[[#This Row],[PRECIO EN SOLES]]-Tabla1[[#This Row],[PC]]</f>
        <v>4227.9772159999993</v>
      </c>
      <c r="K1388" s="15"/>
      <c r="L1388" s="15" t="str">
        <f t="shared" si="44"/>
        <v>NORMAL</v>
      </c>
    </row>
    <row r="1389" spans="1:12" x14ac:dyDescent="0.25">
      <c r="A1389" s="3" t="s">
        <v>6902</v>
      </c>
      <c r="B1389" s="3" t="s">
        <v>6903</v>
      </c>
      <c r="C1389" s="1">
        <v>4</v>
      </c>
      <c r="D1389" s="1">
        <v>6622.58</v>
      </c>
      <c r="E1389" s="1" t="s">
        <v>1166</v>
      </c>
      <c r="F1389" s="1" t="s">
        <v>6904</v>
      </c>
      <c r="G1389" s="3"/>
      <c r="H1389" s="11">
        <f t="shared" si="45"/>
        <v>31282.21</v>
      </c>
      <c r="I1389" s="9">
        <f>($K$2+0.02)*Tabla1[[#This Row],[PRECIO $]]*1.18</f>
        <v>27194.962511999998</v>
      </c>
      <c r="J1389" s="7">
        <f>+Tabla1[[#This Row],[PRECIO EN SOLES]]-Tabla1[[#This Row],[PC]]</f>
        <v>4087.2474880000009</v>
      </c>
      <c r="K1389" s="15"/>
      <c r="L1389" s="15" t="str">
        <f t="shared" si="44"/>
        <v>COMPLEMENTO</v>
      </c>
    </row>
    <row r="1390" spans="1:12" x14ac:dyDescent="0.25">
      <c r="A1390" s="3" t="s">
        <v>2320</v>
      </c>
      <c r="B1390" s="3" t="s">
        <v>2319</v>
      </c>
      <c r="C1390" s="1">
        <v>20</v>
      </c>
      <c r="D1390" s="1">
        <v>1130</v>
      </c>
      <c r="E1390" s="1" t="s">
        <v>1166</v>
      </c>
      <c r="F1390" s="1" t="s">
        <v>3915</v>
      </c>
      <c r="G1390" s="3" t="s">
        <v>2321</v>
      </c>
      <c r="H1390" s="11">
        <f t="shared" si="45"/>
        <v>5344.27</v>
      </c>
      <c r="I1390" s="9">
        <f>($K$2+0.02)*Tabla1[[#This Row],[PRECIO $]]*1.18</f>
        <v>4640.232</v>
      </c>
      <c r="J1390" s="7">
        <f>+Tabla1[[#This Row],[PRECIO EN SOLES]]-Tabla1[[#This Row],[PC]]</f>
        <v>704.03800000000047</v>
      </c>
      <c r="K1390" s="15"/>
      <c r="L1390" s="15" t="str">
        <f t="shared" si="44"/>
        <v>NORMAL</v>
      </c>
    </row>
    <row r="1391" spans="1:12" x14ac:dyDescent="0.25">
      <c r="A1391" s="3" t="s">
        <v>2322</v>
      </c>
      <c r="B1391" s="3" t="s">
        <v>2323</v>
      </c>
      <c r="C1391" s="1">
        <v>7</v>
      </c>
      <c r="D1391" s="1">
        <v>15</v>
      </c>
      <c r="E1391" s="1" t="s">
        <v>1102</v>
      </c>
      <c r="F1391" s="1" t="s">
        <v>3916</v>
      </c>
      <c r="G1391" s="3" t="s">
        <v>2324</v>
      </c>
      <c r="H1391" s="11">
        <f t="shared" si="45"/>
        <v>81</v>
      </c>
      <c r="I1391" s="9">
        <f>($K$2+0.02)*Tabla1[[#This Row],[PRECIO $]]*1.18</f>
        <v>61.596000000000004</v>
      </c>
      <c r="J1391" s="7">
        <f>+Tabla1[[#This Row],[PRECIO EN SOLES]]-Tabla1[[#This Row],[PC]]</f>
        <v>19.403999999999996</v>
      </c>
      <c r="K1391" s="15"/>
      <c r="L1391" s="15" t="str">
        <f t="shared" si="44"/>
        <v>COMPLEMENTO</v>
      </c>
    </row>
    <row r="1392" spans="1:12" x14ac:dyDescent="0.25">
      <c r="A1392" s="3" t="s">
        <v>2325</v>
      </c>
      <c r="B1392" s="3" t="s">
        <v>2326</v>
      </c>
      <c r="C1392" s="1">
        <v>1</v>
      </c>
      <c r="D1392" s="1">
        <v>115.27</v>
      </c>
      <c r="E1392" s="1" t="s">
        <v>1166</v>
      </c>
      <c r="F1392" s="1" t="s">
        <v>3917</v>
      </c>
      <c r="G1392" s="3"/>
      <c r="H1392" s="11">
        <f t="shared" si="45"/>
        <v>552.35</v>
      </c>
      <c r="I1392" s="9">
        <f>($K$2+0.02)*Tabla1[[#This Row],[PRECIO $]]*1.18</f>
        <v>473.34472799999992</v>
      </c>
      <c r="J1392" s="7">
        <f>+Tabla1[[#This Row],[PRECIO EN SOLES]]-Tabla1[[#This Row],[PC]]</f>
        <v>79.005272000000105</v>
      </c>
      <c r="K1392" s="15"/>
      <c r="L1392" s="15" t="str">
        <f t="shared" si="44"/>
        <v>NORMAL</v>
      </c>
    </row>
    <row r="1393" spans="1:12" x14ac:dyDescent="0.25">
      <c r="A1393" s="3" t="s">
        <v>2327</v>
      </c>
      <c r="B1393" s="3" t="s">
        <v>2328</v>
      </c>
      <c r="C1393" s="1">
        <v>19</v>
      </c>
      <c r="D1393" s="1">
        <v>30.85</v>
      </c>
      <c r="E1393" s="1" t="s">
        <v>1166</v>
      </c>
      <c r="F1393" s="1" t="s">
        <v>3918</v>
      </c>
      <c r="G1393" s="3" t="s">
        <v>2329</v>
      </c>
      <c r="H1393" s="11">
        <f t="shared" si="45"/>
        <v>163.35</v>
      </c>
      <c r="I1393" s="9">
        <f>($K$2+0.02)*Tabla1[[#This Row],[PRECIO $]]*1.18</f>
        <v>126.68244</v>
      </c>
      <c r="J1393" s="7">
        <f>+Tabla1[[#This Row],[PRECIO EN SOLES]]-Tabla1[[#This Row],[PC]]</f>
        <v>36.667559999999995</v>
      </c>
      <c r="K1393" s="15"/>
      <c r="L1393" s="15" t="str">
        <f t="shared" si="44"/>
        <v>NORMAL</v>
      </c>
    </row>
    <row r="1394" spans="1:12" x14ac:dyDescent="0.25">
      <c r="A1394" s="3" t="s">
        <v>6563</v>
      </c>
      <c r="B1394" s="3" t="s">
        <v>6564</v>
      </c>
      <c r="C1394" s="1">
        <v>3</v>
      </c>
      <c r="D1394" s="1">
        <v>184.78</v>
      </c>
      <c r="E1394" s="1" t="s">
        <v>1166</v>
      </c>
      <c r="F1394" s="1" t="s">
        <v>6565</v>
      </c>
      <c r="G1394" s="3" t="s">
        <v>6566</v>
      </c>
      <c r="H1394" s="11">
        <f t="shared" si="45"/>
        <v>880.6</v>
      </c>
      <c r="I1394" s="9">
        <f>($K$2+0.02)*Tabla1[[#This Row],[PRECIO $]]*1.18</f>
        <v>758.78059199999996</v>
      </c>
      <c r="J1394" s="7">
        <f>+Tabla1[[#This Row],[PRECIO EN SOLES]]-Tabla1[[#This Row],[PC]]</f>
        <v>121.81940800000007</v>
      </c>
      <c r="K1394" s="15"/>
      <c r="L1394" s="15" t="str">
        <f t="shared" si="44"/>
        <v>NORMAL</v>
      </c>
    </row>
    <row r="1395" spans="1:12" x14ac:dyDescent="0.25">
      <c r="A1395" s="3" t="s">
        <v>2330</v>
      </c>
      <c r="B1395" s="3" t="s">
        <v>2331</v>
      </c>
      <c r="C1395" s="1">
        <v>0</v>
      </c>
      <c r="D1395" s="1">
        <v>72</v>
      </c>
      <c r="E1395" s="1" t="s">
        <v>1102</v>
      </c>
      <c r="F1395" s="1" t="s">
        <v>3919</v>
      </c>
      <c r="G1395" s="3" t="s">
        <v>2332</v>
      </c>
      <c r="H1395" s="11">
        <f t="shared" si="45"/>
        <v>348.01</v>
      </c>
      <c r="I1395" s="9">
        <f>($K$2+0.02)*Tabla1[[#This Row],[PRECIO $]]*1.18</f>
        <v>295.66079999999999</v>
      </c>
      <c r="J1395" s="7">
        <f>+Tabla1[[#This Row],[PRECIO EN SOLES]]-Tabla1[[#This Row],[PC]]</f>
        <v>52.349199999999996</v>
      </c>
      <c r="K1395" s="15"/>
      <c r="L1395" s="15" t="str">
        <f t="shared" si="44"/>
        <v>NORMAL</v>
      </c>
    </row>
    <row r="1396" spans="1:12" x14ac:dyDescent="0.25">
      <c r="A1396" s="3" t="s">
        <v>2333</v>
      </c>
      <c r="B1396" s="3" t="s">
        <v>2334</v>
      </c>
      <c r="C1396" s="1">
        <v>7</v>
      </c>
      <c r="D1396" s="1">
        <v>510</v>
      </c>
      <c r="E1396" s="1" t="s">
        <v>1102</v>
      </c>
      <c r="F1396" s="1" t="s">
        <v>3920</v>
      </c>
      <c r="G1396" s="3" t="s">
        <v>2335</v>
      </c>
      <c r="H1396" s="11">
        <f t="shared" si="45"/>
        <v>2416.4</v>
      </c>
      <c r="I1396" s="9">
        <f>($K$2+0.02)*Tabla1[[#This Row],[PRECIO $]]*1.18</f>
        <v>2094.2639999999997</v>
      </c>
      <c r="J1396" s="7">
        <f>+Tabla1[[#This Row],[PRECIO EN SOLES]]-Tabla1[[#This Row],[PC]]</f>
        <v>322.13600000000042</v>
      </c>
      <c r="K1396" s="15"/>
      <c r="L1396" s="15" t="str">
        <f t="shared" si="44"/>
        <v>NORMAL</v>
      </c>
    </row>
    <row r="1397" spans="1:12" x14ac:dyDescent="0.25">
      <c r="A1397" s="3" t="s">
        <v>2336</v>
      </c>
      <c r="B1397" s="3" t="s">
        <v>2337</v>
      </c>
      <c r="C1397" s="1">
        <v>4</v>
      </c>
      <c r="D1397" s="1">
        <v>41</v>
      </c>
      <c r="E1397" s="1" t="s">
        <v>1166</v>
      </c>
      <c r="F1397" s="1" t="s">
        <v>3921</v>
      </c>
      <c r="G1397" s="3"/>
      <c r="H1397" s="11">
        <f t="shared" si="45"/>
        <v>201.62</v>
      </c>
      <c r="I1397" s="9">
        <f>($K$2+0.02)*Tabla1[[#This Row],[PRECIO $]]*1.18</f>
        <v>168.36240000000001</v>
      </c>
      <c r="J1397" s="7">
        <f>+Tabla1[[#This Row],[PRECIO EN SOLES]]-Tabla1[[#This Row],[PC]]</f>
        <v>33.257599999999996</v>
      </c>
      <c r="K1397" s="15"/>
      <c r="L1397" s="15" t="str">
        <f t="shared" si="44"/>
        <v>NORMAL</v>
      </c>
    </row>
    <row r="1398" spans="1:12" x14ac:dyDescent="0.25">
      <c r="A1398" s="3" t="s">
        <v>2338</v>
      </c>
      <c r="B1398" s="3" t="s">
        <v>2339</v>
      </c>
      <c r="C1398" s="1">
        <v>1</v>
      </c>
      <c r="D1398" s="1">
        <v>163</v>
      </c>
      <c r="E1398" s="1" t="s">
        <v>1102</v>
      </c>
      <c r="F1398" s="1" t="s">
        <v>3922</v>
      </c>
      <c r="G1398" s="3"/>
      <c r="H1398" s="11">
        <f t="shared" si="45"/>
        <v>777.74</v>
      </c>
      <c r="I1398" s="9">
        <f>($K$2+0.02)*Tabla1[[#This Row],[PRECIO $]]*1.18</f>
        <v>669.34320000000002</v>
      </c>
      <c r="J1398" s="7">
        <f>+Tabla1[[#This Row],[PRECIO EN SOLES]]-Tabla1[[#This Row],[PC]]</f>
        <v>108.39679999999998</v>
      </c>
      <c r="K1398" s="15"/>
      <c r="L1398" s="15" t="str">
        <f t="shared" si="44"/>
        <v>NORMAL</v>
      </c>
    </row>
    <row r="1399" spans="1:12" x14ac:dyDescent="0.25">
      <c r="A1399" s="3" t="s">
        <v>2340</v>
      </c>
      <c r="B1399" s="3" t="s">
        <v>2339</v>
      </c>
      <c r="C1399" s="1">
        <v>20</v>
      </c>
      <c r="D1399" s="1">
        <v>284.77</v>
      </c>
      <c r="E1399" s="1" t="s">
        <v>1102</v>
      </c>
      <c r="F1399" s="1" t="s">
        <v>3923</v>
      </c>
      <c r="G1399" s="3" t="s">
        <v>2341</v>
      </c>
      <c r="H1399" s="11">
        <f t="shared" si="45"/>
        <v>1352.79</v>
      </c>
      <c r="I1399" s="9">
        <f>($K$2+0.02)*Tabla1[[#This Row],[PRECIO $]]*1.18</f>
        <v>1169.3795279999999</v>
      </c>
      <c r="J1399" s="7">
        <f>+Tabla1[[#This Row],[PRECIO EN SOLES]]-Tabla1[[#This Row],[PC]]</f>
        <v>183.41047200000003</v>
      </c>
      <c r="K1399" s="15"/>
      <c r="L1399" s="15" t="str">
        <f t="shared" si="44"/>
        <v>NORMAL</v>
      </c>
    </row>
    <row r="1400" spans="1:12" x14ac:dyDescent="0.25">
      <c r="A1400" s="3" t="s">
        <v>2342</v>
      </c>
      <c r="B1400" s="3" t="s">
        <v>2343</v>
      </c>
      <c r="C1400" s="1">
        <v>3</v>
      </c>
      <c r="D1400" s="1">
        <v>369</v>
      </c>
      <c r="E1400" s="1" t="s">
        <v>1102</v>
      </c>
      <c r="F1400" s="1" t="s">
        <v>3924</v>
      </c>
      <c r="G1400" s="3" t="s">
        <v>2344</v>
      </c>
      <c r="H1400" s="11">
        <f t="shared" si="45"/>
        <v>1750.55</v>
      </c>
      <c r="I1400" s="9">
        <f>($K$2+0.02)*Tabla1[[#This Row],[PRECIO $]]*1.18</f>
        <v>1515.2615999999998</v>
      </c>
      <c r="J1400" s="7">
        <f>+Tabla1[[#This Row],[PRECIO EN SOLES]]-Tabla1[[#This Row],[PC]]</f>
        <v>235.28840000000014</v>
      </c>
      <c r="K1400" s="15"/>
      <c r="L1400" s="15" t="str">
        <f t="shared" si="44"/>
        <v>NORMAL</v>
      </c>
    </row>
    <row r="1401" spans="1:12" x14ac:dyDescent="0.25">
      <c r="A1401" s="3" t="s">
        <v>2345</v>
      </c>
      <c r="B1401" s="3" t="s">
        <v>2343</v>
      </c>
      <c r="C1401" s="1">
        <v>20</v>
      </c>
      <c r="D1401" s="1">
        <v>311.06</v>
      </c>
      <c r="E1401" s="1" t="s">
        <v>1102</v>
      </c>
      <c r="F1401" s="1" t="s">
        <v>3925</v>
      </c>
      <c r="G1401" s="3"/>
      <c r="H1401" s="11">
        <f t="shared" si="45"/>
        <v>1476.94</v>
      </c>
      <c r="I1401" s="9">
        <f>($K$2+0.02)*Tabla1[[#This Row],[PRECIO $]]*1.18</f>
        <v>1277.3367840000001</v>
      </c>
      <c r="J1401" s="7">
        <f>+Tabla1[[#This Row],[PRECIO EN SOLES]]-Tabla1[[#This Row],[PC]]</f>
        <v>199.60321599999997</v>
      </c>
      <c r="K1401" s="15"/>
      <c r="L1401" s="15" t="str">
        <f t="shared" si="44"/>
        <v>NORMAL</v>
      </c>
    </row>
    <row r="1402" spans="1:12" x14ac:dyDescent="0.25">
      <c r="A1402" s="3" t="s">
        <v>2346</v>
      </c>
      <c r="B1402" s="3" t="s">
        <v>2347</v>
      </c>
      <c r="C1402" s="1">
        <v>9</v>
      </c>
      <c r="D1402" s="1">
        <v>172.93</v>
      </c>
      <c r="E1402" s="1" t="s">
        <v>1166</v>
      </c>
      <c r="F1402" s="1" t="s">
        <v>3926</v>
      </c>
      <c r="G1402" s="3" t="s">
        <v>2348</v>
      </c>
      <c r="H1402" s="11">
        <f t="shared" si="45"/>
        <v>824.64</v>
      </c>
      <c r="I1402" s="9">
        <f>($K$2+0.02)*Tabla1[[#This Row],[PRECIO $]]*1.18</f>
        <v>710.11975200000006</v>
      </c>
      <c r="J1402" s="7">
        <f>+Tabla1[[#This Row],[PRECIO EN SOLES]]-Tabla1[[#This Row],[PC]]</f>
        <v>114.52024799999992</v>
      </c>
      <c r="K1402" s="15"/>
      <c r="L1402" s="15" t="str">
        <f t="shared" si="44"/>
        <v>NORMAL</v>
      </c>
    </row>
    <row r="1403" spans="1:12" x14ac:dyDescent="0.25">
      <c r="A1403" s="3" t="s">
        <v>2352</v>
      </c>
      <c r="B1403" s="3" t="s">
        <v>2353</v>
      </c>
      <c r="C1403" s="1">
        <v>2</v>
      </c>
      <c r="D1403" s="1">
        <v>450</v>
      </c>
      <c r="E1403" s="1" t="s">
        <v>1102</v>
      </c>
      <c r="F1403" s="1" t="s">
        <v>3928</v>
      </c>
      <c r="G1403" s="3" t="s">
        <v>2354</v>
      </c>
      <c r="H1403" s="11">
        <f t="shared" si="45"/>
        <v>2133.06</v>
      </c>
      <c r="I1403" s="9">
        <f>($K$2+0.02)*Tabla1[[#This Row],[PRECIO $]]*1.18</f>
        <v>1847.8799999999999</v>
      </c>
      <c r="J1403" s="7">
        <f>+Tabla1[[#This Row],[PRECIO EN SOLES]]-Tabla1[[#This Row],[PC]]</f>
        <v>285.18000000000006</v>
      </c>
      <c r="K1403" s="15"/>
      <c r="L1403" s="15" t="str">
        <f t="shared" si="44"/>
        <v>NORMAL</v>
      </c>
    </row>
    <row r="1404" spans="1:12" x14ac:dyDescent="0.25">
      <c r="A1404" s="3" t="s">
        <v>2355</v>
      </c>
      <c r="B1404" s="3" t="s">
        <v>2356</v>
      </c>
      <c r="C1404" s="1">
        <v>7</v>
      </c>
      <c r="D1404" s="1">
        <v>350</v>
      </c>
      <c r="E1404" s="1" t="s">
        <v>1102</v>
      </c>
      <c r="F1404" s="1" t="s">
        <v>3929</v>
      </c>
      <c r="G1404" s="3"/>
      <c r="H1404" s="11">
        <f t="shared" si="45"/>
        <v>1660.83</v>
      </c>
      <c r="I1404" s="9">
        <f>($K$2+0.02)*Tabla1[[#This Row],[PRECIO $]]*1.18</f>
        <v>1437.24</v>
      </c>
      <c r="J1404" s="7">
        <f>+Tabla1[[#This Row],[PRECIO EN SOLES]]-Tabla1[[#This Row],[PC]]</f>
        <v>223.58999999999992</v>
      </c>
      <c r="K1404" s="15"/>
      <c r="L1404" s="15" t="str">
        <f t="shared" si="44"/>
        <v>NORMAL</v>
      </c>
    </row>
    <row r="1405" spans="1:12" x14ac:dyDescent="0.25">
      <c r="A1405" s="3" t="s">
        <v>2357</v>
      </c>
      <c r="B1405" s="3" t="s">
        <v>2358</v>
      </c>
      <c r="C1405" s="1">
        <v>1</v>
      </c>
      <c r="D1405" s="1">
        <v>168.42</v>
      </c>
      <c r="E1405" s="1" t="s">
        <v>1102</v>
      </c>
      <c r="F1405" s="1" t="s">
        <v>3930</v>
      </c>
      <c r="G1405" s="3"/>
      <c r="H1405" s="11">
        <f t="shared" si="45"/>
        <v>803.34</v>
      </c>
      <c r="I1405" s="9">
        <f>($K$2+0.02)*Tabla1[[#This Row],[PRECIO $]]*1.18</f>
        <v>691.59988799999996</v>
      </c>
      <c r="J1405" s="7">
        <f>+Tabla1[[#This Row],[PRECIO EN SOLES]]-Tabla1[[#This Row],[PC]]</f>
        <v>111.74011200000007</v>
      </c>
      <c r="K1405" s="15"/>
      <c r="L1405" s="15" t="str">
        <f t="shared" si="44"/>
        <v>NORMAL</v>
      </c>
    </row>
    <row r="1406" spans="1:12" x14ac:dyDescent="0.25">
      <c r="A1406" s="3" t="s">
        <v>2359</v>
      </c>
      <c r="B1406" s="3" t="s">
        <v>2360</v>
      </c>
      <c r="C1406" s="1">
        <v>1</v>
      </c>
      <c r="D1406" s="1">
        <v>678</v>
      </c>
      <c r="E1406" s="1" t="s">
        <v>1102</v>
      </c>
      <c r="F1406" s="1" t="s">
        <v>3931</v>
      </c>
      <c r="G1406" s="3" t="s">
        <v>2361</v>
      </c>
      <c r="H1406" s="11">
        <f t="shared" si="45"/>
        <v>3209.76</v>
      </c>
      <c r="I1406" s="9">
        <f>($K$2+0.02)*Tabla1[[#This Row],[PRECIO $]]*1.18</f>
        <v>2784.1392000000001</v>
      </c>
      <c r="J1406" s="7">
        <f>+Tabla1[[#This Row],[PRECIO EN SOLES]]-Tabla1[[#This Row],[PC]]</f>
        <v>425.62080000000014</v>
      </c>
      <c r="K1406" s="15"/>
      <c r="L1406" s="15" t="str">
        <f t="shared" si="44"/>
        <v>NORMAL</v>
      </c>
    </row>
    <row r="1407" spans="1:12" x14ac:dyDescent="0.25">
      <c r="A1407" s="3" t="s">
        <v>6567</v>
      </c>
      <c r="B1407" s="3" t="s">
        <v>6568</v>
      </c>
      <c r="C1407" s="1">
        <v>1</v>
      </c>
      <c r="D1407" s="1">
        <v>326</v>
      </c>
      <c r="E1407" s="1" t="s">
        <v>1166</v>
      </c>
      <c r="F1407" s="1" t="s">
        <v>6569</v>
      </c>
      <c r="G1407" s="3" t="s">
        <v>6570</v>
      </c>
      <c r="H1407" s="11">
        <f t="shared" si="45"/>
        <v>1547.49</v>
      </c>
      <c r="I1407" s="9">
        <f>($K$2+0.02)*Tabla1[[#This Row],[PRECIO $]]*1.18</f>
        <v>1338.6864</v>
      </c>
      <c r="J1407" s="7">
        <f>+Tabla1[[#This Row],[PRECIO EN SOLES]]-Tabla1[[#This Row],[PC]]</f>
        <v>208.80359999999996</v>
      </c>
      <c r="K1407" s="15"/>
      <c r="L1407" s="15" t="str">
        <f t="shared" si="44"/>
        <v>NORMAL</v>
      </c>
    </row>
    <row r="1408" spans="1:12" x14ac:dyDescent="0.25">
      <c r="A1408" s="3" t="s">
        <v>2362</v>
      </c>
      <c r="B1408" s="3" t="s">
        <v>2363</v>
      </c>
      <c r="C1408" s="1">
        <v>7</v>
      </c>
      <c r="D1408" s="1">
        <v>190.15</v>
      </c>
      <c r="E1408" s="1" t="s">
        <v>1166</v>
      </c>
      <c r="F1408" s="1" t="s">
        <v>3932</v>
      </c>
      <c r="G1408" s="3" t="s">
        <v>2364</v>
      </c>
      <c r="H1408" s="11">
        <f t="shared" si="45"/>
        <v>905.96</v>
      </c>
      <c r="I1408" s="9">
        <f>($K$2+0.02)*Tabla1[[#This Row],[PRECIO $]]*1.18</f>
        <v>780.83195999999998</v>
      </c>
      <c r="J1408" s="7">
        <f>+Tabla1[[#This Row],[PRECIO EN SOLES]]-Tabla1[[#This Row],[PC]]</f>
        <v>125.12804000000006</v>
      </c>
      <c r="K1408" s="15"/>
      <c r="L1408" s="15" t="str">
        <f t="shared" si="44"/>
        <v>NORMAL</v>
      </c>
    </row>
    <row r="1409" spans="1:12" x14ac:dyDescent="0.25">
      <c r="A1409" s="3" t="s">
        <v>764</v>
      </c>
      <c r="B1409" s="3" t="s">
        <v>682</v>
      </c>
      <c r="C1409" s="1">
        <v>9</v>
      </c>
      <c r="D1409" s="1">
        <v>106</v>
      </c>
      <c r="E1409" s="1" t="s">
        <v>52</v>
      </c>
      <c r="F1409" s="1" t="s">
        <v>3933</v>
      </c>
      <c r="G1409" s="3" t="s">
        <v>765</v>
      </c>
      <c r="H1409" s="11">
        <f t="shared" si="45"/>
        <v>508.57</v>
      </c>
      <c r="I1409" s="9">
        <f>($K$2+0.02)*Tabla1[[#This Row],[PRECIO $]]*1.18</f>
        <v>435.27839999999998</v>
      </c>
      <c r="J1409" s="7">
        <f>+Tabla1[[#This Row],[PRECIO EN SOLES]]-Tabla1[[#This Row],[PC]]</f>
        <v>73.291600000000017</v>
      </c>
      <c r="K1409" s="15"/>
      <c r="L1409" s="15" t="str">
        <f t="shared" si="44"/>
        <v>NORMAL</v>
      </c>
    </row>
    <row r="1410" spans="1:12" x14ac:dyDescent="0.25">
      <c r="A1410" s="3" t="s">
        <v>2365</v>
      </c>
      <c r="B1410" s="3" t="s">
        <v>682</v>
      </c>
      <c r="C1410" s="1">
        <v>0</v>
      </c>
      <c r="D1410" s="1">
        <v>9999999.9900000002</v>
      </c>
      <c r="E1410" s="1" t="s">
        <v>52</v>
      </c>
      <c r="F1410" s="1" t="s">
        <v>3934</v>
      </c>
      <c r="G1410" s="3"/>
      <c r="H1410" s="11">
        <f t="shared" si="45"/>
        <v>47223607.950000003</v>
      </c>
      <c r="I1410" s="9">
        <f>($K$2+0.02)*Tabla1[[#This Row],[PRECIO $]]*1.18</f>
        <v>41063999.958935998</v>
      </c>
      <c r="J1410" s="7">
        <f>+Tabla1[[#This Row],[PRECIO EN SOLES]]-Tabla1[[#This Row],[PC]]</f>
        <v>6159607.9910640046</v>
      </c>
      <c r="K1410" s="15"/>
      <c r="L1410" s="15" t="str">
        <f t="shared" si="44"/>
        <v>NORMAL</v>
      </c>
    </row>
    <row r="1411" spans="1:12" x14ac:dyDescent="0.25">
      <c r="A1411" s="3" t="s">
        <v>440</v>
      </c>
      <c r="B1411" s="3" t="s">
        <v>441</v>
      </c>
      <c r="C1411" s="1">
        <v>20</v>
      </c>
      <c r="D1411" s="1">
        <v>12.9</v>
      </c>
      <c r="E1411" s="1" t="s">
        <v>52</v>
      </c>
      <c r="F1411" s="1" t="s">
        <v>3936</v>
      </c>
      <c r="G1411" s="3" t="s">
        <v>442</v>
      </c>
      <c r="H1411" s="11">
        <f t="shared" si="45"/>
        <v>64.92</v>
      </c>
      <c r="I1411" s="9">
        <f>($K$2+0.02)*Tabla1[[#This Row],[PRECIO $]]*1.18</f>
        <v>52.972560000000001</v>
      </c>
      <c r="J1411" s="7">
        <f>+Tabla1[[#This Row],[PRECIO EN SOLES]]-Tabla1[[#This Row],[PC]]</f>
        <v>11.94744</v>
      </c>
      <c r="K1411" s="15"/>
      <c r="L1411" s="15" t="str">
        <f t="shared" si="44"/>
        <v>NORMAL</v>
      </c>
    </row>
    <row r="1412" spans="1:12" x14ac:dyDescent="0.25">
      <c r="A1412" s="3" t="s">
        <v>443</v>
      </c>
      <c r="B1412" s="3" t="s">
        <v>444</v>
      </c>
      <c r="C1412" s="1">
        <v>20</v>
      </c>
      <c r="D1412" s="1">
        <v>19.399999999999999</v>
      </c>
      <c r="E1412" s="1" t="s">
        <v>52</v>
      </c>
      <c r="F1412" s="1" t="s">
        <v>3937</v>
      </c>
      <c r="G1412" s="3" t="s">
        <v>445</v>
      </c>
      <c r="H1412" s="11">
        <f t="shared" si="45"/>
        <v>95.61</v>
      </c>
      <c r="I1412" s="9">
        <f>($K$2+0.02)*Tabla1[[#This Row],[PRECIO $]]*1.18</f>
        <v>79.664159999999995</v>
      </c>
      <c r="J1412" s="7">
        <f>+Tabla1[[#This Row],[PRECIO EN SOLES]]-Tabla1[[#This Row],[PC]]</f>
        <v>15.945840000000004</v>
      </c>
      <c r="K1412" s="15"/>
      <c r="L1412" s="15" t="str">
        <f t="shared" si="44"/>
        <v>NORMAL</v>
      </c>
    </row>
    <row r="1413" spans="1:12" x14ac:dyDescent="0.25">
      <c r="A1413" s="3" t="s">
        <v>2366</v>
      </c>
      <c r="B1413" s="3" t="s">
        <v>2367</v>
      </c>
      <c r="C1413" s="1">
        <v>8</v>
      </c>
      <c r="D1413" s="1">
        <v>93</v>
      </c>
      <c r="E1413" s="1" t="s">
        <v>54</v>
      </c>
      <c r="F1413" s="1" t="s">
        <v>3938</v>
      </c>
      <c r="G1413" s="3" t="s">
        <v>2368</v>
      </c>
      <c r="H1413" s="11">
        <f t="shared" si="45"/>
        <v>447.18</v>
      </c>
      <c r="I1413" s="9">
        <f>($K$2+0.02)*Tabla1[[#This Row],[PRECIO $]]*1.18</f>
        <v>381.89519999999999</v>
      </c>
      <c r="J1413" s="7">
        <f>+Tabla1[[#This Row],[PRECIO EN SOLES]]-Tabla1[[#This Row],[PC]]</f>
        <v>65.284800000000018</v>
      </c>
      <c r="K1413" s="15"/>
      <c r="L1413" s="15" t="str">
        <f t="shared" si="44"/>
        <v>NORMAL</v>
      </c>
    </row>
    <row r="1414" spans="1:12" x14ac:dyDescent="0.25">
      <c r="A1414" s="3" t="s">
        <v>446</v>
      </c>
      <c r="B1414" s="3" t="s">
        <v>447</v>
      </c>
      <c r="C1414" s="1">
        <v>0</v>
      </c>
      <c r="D1414" s="1">
        <v>999</v>
      </c>
      <c r="E1414" s="1" t="s">
        <v>448</v>
      </c>
      <c r="F1414" s="1" t="s">
        <v>3939</v>
      </c>
      <c r="G1414" s="3" t="s">
        <v>449</v>
      </c>
      <c r="H1414" s="11">
        <f t="shared" si="45"/>
        <v>4725.6400000000003</v>
      </c>
      <c r="I1414" s="9">
        <f>($K$2+0.02)*Tabla1[[#This Row],[PRECIO $]]*1.18</f>
        <v>4102.2936</v>
      </c>
      <c r="J1414" s="7">
        <f>+Tabla1[[#This Row],[PRECIO EN SOLES]]-Tabla1[[#This Row],[PC]]</f>
        <v>623.34640000000036</v>
      </c>
      <c r="K1414" s="15"/>
      <c r="L1414" s="15" t="str">
        <f t="shared" si="44"/>
        <v>NORMAL</v>
      </c>
    </row>
    <row r="1415" spans="1:12" x14ac:dyDescent="0.25">
      <c r="A1415" s="3" t="s">
        <v>2369</v>
      </c>
      <c r="B1415" s="3" t="s">
        <v>2370</v>
      </c>
      <c r="C1415" s="1">
        <v>0</v>
      </c>
      <c r="D1415" s="1">
        <v>999</v>
      </c>
      <c r="E1415" s="1" t="s">
        <v>448</v>
      </c>
      <c r="F1415" s="1" t="s">
        <v>3940</v>
      </c>
      <c r="G1415" s="3" t="s">
        <v>2371</v>
      </c>
      <c r="H1415" s="11">
        <f t="shared" si="45"/>
        <v>4725.6400000000003</v>
      </c>
      <c r="I1415" s="9">
        <f>($K$2+0.02)*Tabla1[[#This Row],[PRECIO $]]*1.18</f>
        <v>4102.2936</v>
      </c>
      <c r="J1415" s="7">
        <f>+Tabla1[[#This Row],[PRECIO EN SOLES]]-Tabla1[[#This Row],[PC]]</f>
        <v>623.34640000000036</v>
      </c>
      <c r="K1415" s="15"/>
      <c r="L1415" s="15" t="str">
        <f t="shared" si="44"/>
        <v>NORMAL</v>
      </c>
    </row>
    <row r="1416" spans="1:12" x14ac:dyDescent="0.25">
      <c r="A1416" s="3" t="s">
        <v>2372</v>
      </c>
      <c r="B1416" s="3" t="s">
        <v>2373</v>
      </c>
      <c r="C1416" s="1">
        <v>15</v>
      </c>
      <c r="D1416" s="1">
        <v>500</v>
      </c>
      <c r="E1416" s="1" t="s">
        <v>448</v>
      </c>
      <c r="F1416" s="1" t="s">
        <v>3941</v>
      </c>
      <c r="G1416" s="3"/>
      <c r="H1416" s="11">
        <f t="shared" si="45"/>
        <v>2369.1799999999998</v>
      </c>
      <c r="I1416" s="9">
        <f>($K$2+0.02)*Tabla1[[#This Row],[PRECIO $]]*1.18</f>
        <v>2053.1999999999998</v>
      </c>
      <c r="J1416" s="7">
        <f>+Tabla1[[#This Row],[PRECIO EN SOLES]]-Tabla1[[#This Row],[PC]]</f>
        <v>315.98</v>
      </c>
      <c r="K1416" s="15"/>
      <c r="L1416" s="15" t="str">
        <f t="shared" si="44"/>
        <v>NORMAL</v>
      </c>
    </row>
    <row r="1417" spans="1:12" x14ac:dyDescent="0.25">
      <c r="A1417" s="3" t="s">
        <v>2374</v>
      </c>
      <c r="B1417" s="3" t="s">
        <v>2370</v>
      </c>
      <c r="C1417" s="1">
        <v>20</v>
      </c>
      <c r="D1417" s="1">
        <v>200</v>
      </c>
      <c r="E1417" s="1" t="s">
        <v>448</v>
      </c>
      <c r="F1417" s="1" t="s">
        <v>3942</v>
      </c>
      <c r="G1417" s="3"/>
      <c r="H1417" s="11">
        <f t="shared" si="45"/>
        <v>952.47</v>
      </c>
      <c r="I1417" s="9">
        <f>($K$2+0.02)*Tabla1[[#This Row],[PRECIO $]]*1.18</f>
        <v>821.28</v>
      </c>
      <c r="J1417" s="7">
        <f>+Tabla1[[#This Row],[PRECIO EN SOLES]]-Tabla1[[#This Row],[PC]]</f>
        <v>131.19000000000005</v>
      </c>
      <c r="K1417" s="15"/>
      <c r="L1417" s="15" t="str">
        <f t="shared" si="44"/>
        <v>NORMAL</v>
      </c>
    </row>
    <row r="1418" spans="1:12" x14ac:dyDescent="0.25">
      <c r="A1418" s="3" t="s">
        <v>2375</v>
      </c>
      <c r="B1418" s="3" t="s">
        <v>2376</v>
      </c>
      <c r="C1418" s="1">
        <v>7</v>
      </c>
      <c r="D1418" s="1">
        <v>70</v>
      </c>
      <c r="E1418" s="1" t="s">
        <v>448</v>
      </c>
      <c r="F1418" s="1" t="s">
        <v>3943</v>
      </c>
      <c r="G1418" s="3"/>
      <c r="H1418" s="11">
        <f t="shared" si="45"/>
        <v>338.57</v>
      </c>
      <c r="I1418" s="9">
        <f>($K$2+0.02)*Tabla1[[#This Row],[PRECIO $]]*1.18</f>
        <v>287.44799999999998</v>
      </c>
      <c r="J1418" s="7">
        <f>+Tabla1[[#This Row],[PRECIO EN SOLES]]-Tabla1[[#This Row],[PC]]</f>
        <v>51.122000000000014</v>
      </c>
      <c r="K1418" s="15"/>
      <c r="L1418" s="15" t="str">
        <f t="shared" si="44"/>
        <v>NORMAL</v>
      </c>
    </row>
    <row r="1419" spans="1:12" x14ac:dyDescent="0.25">
      <c r="A1419" s="3" t="s">
        <v>6905</v>
      </c>
      <c r="B1419" s="3" t="s">
        <v>6906</v>
      </c>
      <c r="C1419" s="1">
        <v>0</v>
      </c>
      <c r="D1419" s="1">
        <v>9</v>
      </c>
      <c r="E1419" s="1" t="s">
        <v>452</v>
      </c>
      <c r="F1419" s="1" t="s">
        <v>6907</v>
      </c>
      <c r="G1419" s="3"/>
      <c r="H1419" s="11">
        <f t="shared" si="45"/>
        <v>46.5</v>
      </c>
      <c r="I1419" s="9">
        <f>($K$2+0.02)*Tabla1[[#This Row],[PRECIO $]]*1.18</f>
        <v>36.957599999999999</v>
      </c>
      <c r="J1419" s="7">
        <f>+Tabla1[[#This Row],[PRECIO EN SOLES]]-Tabla1[[#This Row],[PC]]</f>
        <v>9.5424000000000007</v>
      </c>
      <c r="K1419" s="15"/>
      <c r="L1419" s="15" t="str">
        <f t="shared" si="44"/>
        <v>NORMAL</v>
      </c>
    </row>
    <row r="1420" spans="1:12" x14ac:dyDescent="0.25">
      <c r="A1420" s="3" t="s">
        <v>450</v>
      </c>
      <c r="B1420" s="3" t="s">
        <v>451</v>
      </c>
      <c r="C1420" s="1">
        <v>20</v>
      </c>
      <c r="D1420" s="1">
        <v>3.5</v>
      </c>
      <c r="E1420" s="1" t="s">
        <v>452</v>
      </c>
      <c r="F1420" s="1" t="s">
        <v>3944</v>
      </c>
      <c r="G1420" s="3"/>
      <c r="H1420" s="11">
        <f t="shared" si="45"/>
        <v>18.53</v>
      </c>
      <c r="I1420" s="9">
        <f>($K$2+0.02)*Tabla1[[#This Row],[PRECIO $]]*1.18</f>
        <v>14.372399999999999</v>
      </c>
      <c r="J1420" s="7">
        <f>+Tabla1[[#This Row],[PRECIO EN SOLES]]-Tabla1[[#This Row],[PC]]</f>
        <v>4.1576000000000022</v>
      </c>
      <c r="K1420" s="15"/>
      <c r="L1420" s="15" t="str">
        <f t="shared" si="44"/>
        <v>NORMAL</v>
      </c>
    </row>
    <row r="1421" spans="1:12" x14ac:dyDescent="0.25">
      <c r="A1421" s="3" t="s">
        <v>2377</v>
      </c>
      <c r="B1421" s="3" t="s">
        <v>2378</v>
      </c>
      <c r="C1421" s="1">
        <v>20</v>
      </c>
      <c r="D1421" s="1">
        <v>10.32</v>
      </c>
      <c r="E1421" s="1" t="s">
        <v>452</v>
      </c>
      <c r="F1421" s="1" t="s">
        <v>3945</v>
      </c>
      <c r="G1421" s="3"/>
      <c r="H1421" s="11">
        <f t="shared" si="45"/>
        <v>52.73</v>
      </c>
      <c r="I1421" s="9">
        <f>($K$2+0.02)*Tabla1[[#This Row],[PRECIO $]]*1.18</f>
        <v>42.378048</v>
      </c>
      <c r="J1421" s="7">
        <f>+Tabla1[[#This Row],[PRECIO EN SOLES]]-Tabla1[[#This Row],[PC]]</f>
        <v>10.351951999999997</v>
      </c>
      <c r="K1421" s="15"/>
      <c r="L1421" s="15" t="str">
        <f t="shared" si="44"/>
        <v>NORMAL</v>
      </c>
    </row>
    <row r="1422" spans="1:12" x14ac:dyDescent="0.25">
      <c r="A1422" s="3" t="s">
        <v>2379</v>
      </c>
      <c r="B1422" s="3" t="s">
        <v>2380</v>
      </c>
      <c r="C1422" s="1">
        <v>20</v>
      </c>
      <c r="D1422" s="1">
        <v>16.8</v>
      </c>
      <c r="E1422" s="1" t="s">
        <v>452</v>
      </c>
      <c r="F1422" s="1" t="s">
        <v>3946</v>
      </c>
      <c r="G1422" s="3" t="s">
        <v>2381</v>
      </c>
      <c r="H1422" s="11">
        <f t="shared" si="45"/>
        <v>83.34</v>
      </c>
      <c r="I1422" s="9">
        <f>($K$2+0.02)*Tabla1[[#This Row],[PRECIO $]]*1.18</f>
        <v>68.987519999999989</v>
      </c>
      <c r="J1422" s="7">
        <f>+Tabla1[[#This Row],[PRECIO EN SOLES]]-Tabla1[[#This Row],[PC]]</f>
        <v>14.352480000000014</v>
      </c>
      <c r="K1422" s="15"/>
      <c r="L1422" s="15" t="str">
        <f t="shared" si="44"/>
        <v>NORMAL</v>
      </c>
    </row>
    <row r="1423" spans="1:12" x14ac:dyDescent="0.25">
      <c r="A1423" s="3" t="s">
        <v>6908</v>
      </c>
      <c r="B1423" s="3" t="s">
        <v>6909</v>
      </c>
      <c r="C1423" s="1">
        <v>20</v>
      </c>
      <c r="D1423" s="1">
        <v>12</v>
      </c>
      <c r="E1423" s="1" t="s">
        <v>452</v>
      </c>
      <c r="F1423" s="1" t="s">
        <v>6910</v>
      </c>
      <c r="G1423" s="3"/>
      <c r="H1423" s="11">
        <f t="shared" si="45"/>
        <v>60.67</v>
      </c>
      <c r="I1423" s="9">
        <f>($K$2+0.02)*Tabla1[[#This Row],[PRECIO $]]*1.18</f>
        <v>49.276799999999994</v>
      </c>
      <c r="J1423" s="7">
        <f>+Tabla1[[#This Row],[PRECIO EN SOLES]]-Tabla1[[#This Row],[PC]]</f>
        <v>11.393200000000007</v>
      </c>
      <c r="K1423" s="15"/>
      <c r="L1423" s="15" t="str">
        <f t="shared" si="44"/>
        <v>NORMAL</v>
      </c>
    </row>
    <row r="1424" spans="1:12" x14ac:dyDescent="0.25">
      <c r="A1424" s="3" t="s">
        <v>6911</v>
      </c>
      <c r="B1424" s="3" t="s">
        <v>6912</v>
      </c>
      <c r="C1424" s="1">
        <v>20</v>
      </c>
      <c r="D1424" s="1">
        <v>21.5</v>
      </c>
      <c r="E1424" s="1" t="s">
        <v>452</v>
      </c>
      <c r="F1424" s="1" t="s">
        <v>6913</v>
      </c>
      <c r="G1424" s="3"/>
      <c r="H1424" s="11">
        <f t="shared" si="45"/>
        <v>107.53</v>
      </c>
      <c r="I1424" s="9">
        <f>($K$2+0.02)*Tabla1[[#This Row],[PRECIO $]]*1.18</f>
        <v>88.287599999999983</v>
      </c>
      <c r="J1424" s="7">
        <f>+Tabla1[[#This Row],[PRECIO EN SOLES]]-Tabla1[[#This Row],[PC]]</f>
        <v>19.242400000000018</v>
      </c>
      <c r="K1424" s="15"/>
      <c r="L1424" s="15" t="str">
        <f t="shared" ref="L1424:L1487" si="46"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5" spans="1:12" x14ac:dyDescent="0.25">
      <c r="A1425" s="3" t="s">
        <v>453</v>
      </c>
      <c r="B1425" s="3" t="s">
        <v>454</v>
      </c>
      <c r="C1425" s="1">
        <v>20</v>
      </c>
      <c r="D1425" s="1">
        <v>15.1</v>
      </c>
      <c r="E1425" s="1" t="s">
        <v>452</v>
      </c>
      <c r="F1425" s="1" t="s">
        <v>3947</v>
      </c>
      <c r="G1425" s="3" t="s">
        <v>455</v>
      </c>
      <c r="H1425" s="11">
        <f t="shared" si="45"/>
        <v>75.31</v>
      </c>
      <c r="I1425" s="9">
        <f>($K$2+0.02)*Tabla1[[#This Row],[PRECIO $]]*1.18</f>
        <v>62.006639999999997</v>
      </c>
      <c r="J1425" s="7">
        <f>+Tabla1[[#This Row],[PRECIO EN SOLES]]-Tabla1[[#This Row],[PC]]</f>
        <v>13.303360000000005</v>
      </c>
      <c r="K1425" s="15"/>
      <c r="L1425" s="15" t="str">
        <f t="shared" si="46"/>
        <v>NORMAL</v>
      </c>
    </row>
    <row r="1426" spans="1:12" x14ac:dyDescent="0.25">
      <c r="A1426" s="3" t="s">
        <v>456</v>
      </c>
      <c r="B1426" s="3" t="s">
        <v>457</v>
      </c>
      <c r="C1426" s="1">
        <v>19</v>
      </c>
      <c r="D1426" s="1">
        <v>19.809999999999999</v>
      </c>
      <c r="E1426" s="1" t="s">
        <v>452</v>
      </c>
      <c r="F1426" s="1" t="s">
        <v>3948</v>
      </c>
      <c r="G1426" s="3" t="s">
        <v>458</v>
      </c>
      <c r="H1426" s="11">
        <f t="shared" ref="H1426:H1489" si="47">ROUND(
IF(L1424="GANCHO",
   IF(I1426&lt;=50,I1426*1.1+4,IF(I1426&lt;=120,I1426*1.1+7,IF(I1426&lt;=250,I1426*1.1+11,I1426*1.1+19))),
IF(L1424="NORMAL",
   IF(I1426&lt;=30,I1426*1.15+2,IF(I1426&lt;=80,I1426*1.15+4,IF(I1426&lt;=150,I1426*1.15+6,I1426*1.15+8))),
IF(L1424="COMPLEMENTO",
   IF(I1426&lt;=25,I1426*1.25+1.5,IF(I1426&lt;=60,I1426*1.25+3,IF(I1426&lt;=120,I1426*1.25+4,I1426*1.25+5))),
""))),2)</f>
        <v>99.55</v>
      </c>
      <c r="I1426" s="9">
        <f>($K$2+0.02)*Tabla1[[#This Row],[PRECIO $]]*1.18</f>
        <v>81.34778399999999</v>
      </c>
      <c r="J1426" s="7">
        <f>+Tabla1[[#This Row],[PRECIO EN SOLES]]-Tabla1[[#This Row],[PC]]</f>
        <v>18.202216000000007</v>
      </c>
      <c r="K1426" s="15"/>
      <c r="L1426" s="15" t="str">
        <f t="shared" si="46"/>
        <v>NORMAL</v>
      </c>
    </row>
    <row r="1427" spans="1:12" x14ac:dyDescent="0.25">
      <c r="A1427" s="3" t="s">
        <v>2382</v>
      </c>
      <c r="B1427" s="3" t="s">
        <v>2383</v>
      </c>
      <c r="C1427" s="1">
        <v>20</v>
      </c>
      <c r="D1427" s="1">
        <v>4.29</v>
      </c>
      <c r="E1427" s="1" t="s">
        <v>452</v>
      </c>
      <c r="F1427" s="1" t="s">
        <v>3949</v>
      </c>
      <c r="G1427" s="3"/>
      <c r="H1427" s="11">
        <f t="shared" si="47"/>
        <v>22.26</v>
      </c>
      <c r="I1427" s="9">
        <f>($K$2+0.02)*Tabla1[[#This Row],[PRECIO $]]*1.18</f>
        <v>17.616455999999999</v>
      </c>
      <c r="J1427" s="7">
        <f>+Tabla1[[#This Row],[PRECIO EN SOLES]]-Tabla1[[#This Row],[PC]]</f>
        <v>4.6435440000000021</v>
      </c>
      <c r="K1427" s="15"/>
      <c r="L1427" s="15" t="str">
        <f t="shared" si="46"/>
        <v>NORMAL</v>
      </c>
    </row>
    <row r="1428" spans="1:12" x14ac:dyDescent="0.25">
      <c r="A1428" s="3" t="s">
        <v>2384</v>
      </c>
      <c r="B1428" s="3" t="s">
        <v>2385</v>
      </c>
      <c r="C1428" s="1">
        <v>3</v>
      </c>
      <c r="D1428" s="1">
        <v>23.09</v>
      </c>
      <c r="E1428" s="1" t="s">
        <v>452</v>
      </c>
      <c r="F1428" s="1" t="s">
        <v>3950</v>
      </c>
      <c r="G1428" s="3" t="s">
        <v>2386</v>
      </c>
      <c r="H1428" s="11">
        <f t="shared" si="47"/>
        <v>115.04</v>
      </c>
      <c r="I1428" s="9">
        <f>($K$2+0.02)*Tabla1[[#This Row],[PRECIO $]]*1.18</f>
        <v>94.81677599999999</v>
      </c>
      <c r="J1428" s="7">
        <f>+Tabla1[[#This Row],[PRECIO EN SOLES]]-Tabla1[[#This Row],[PC]]</f>
        <v>20.223224000000016</v>
      </c>
      <c r="K1428" s="15"/>
      <c r="L1428" s="15" t="str">
        <f t="shared" si="46"/>
        <v>NORMAL</v>
      </c>
    </row>
    <row r="1429" spans="1:12" x14ac:dyDescent="0.25">
      <c r="A1429" s="3" t="s">
        <v>2387</v>
      </c>
      <c r="B1429" s="3" t="s">
        <v>2388</v>
      </c>
      <c r="C1429" s="1">
        <v>9</v>
      </c>
      <c r="D1429" s="1">
        <v>37.6</v>
      </c>
      <c r="E1429" s="1" t="s">
        <v>452</v>
      </c>
      <c r="F1429" s="1" t="s">
        <v>3951</v>
      </c>
      <c r="G1429" s="3"/>
      <c r="H1429" s="11">
        <f t="shared" si="47"/>
        <v>185.56</v>
      </c>
      <c r="I1429" s="9">
        <f>($K$2+0.02)*Tabla1[[#This Row],[PRECIO $]]*1.18</f>
        <v>154.40064000000001</v>
      </c>
      <c r="J1429" s="7">
        <f>+Tabla1[[#This Row],[PRECIO EN SOLES]]-Tabla1[[#This Row],[PC]]</f>
        <v>31.159359999999992</v>
      </c>
      <c r="K1429" s="15"/>
      <c r="L1429" s="15" t="str">
        <f t="shared" si="46"/>
        <v>NORMAL</v>
      </c>
    </row>
    <row r="1430" spans="1:12" x14ac:dyDescent="0.25">
      <c r="A1430" s="3" t="s">
        <v>6914</v>
      </c>
      <c r="B1430" s="3" t="s">
        <v>6915</v>
      </c>
      <c r="C1430" s="1">
        <v>20</v>
      </c>
      <c r="D1430" s="1">
        <v>29</v>
      </c>
      <c r="E1430" s="1" t="s">
        <v>452</v>
      </c>
      <c r="F1430" s="1" t="s">
        <v>6916</v>
      </c>
      <c r="G1430" s="3"/>
      <c r="H1430" s="11">
        <f t="shared" si="47"/>
        <v>142.94999999999999</v>
      </c>
      <c r="I1430" s="9">
        <f>($K$2+0.02)*Tabla1[[#This Row],[PRECIO $]]*1.18</f>
        <v>119.0856</v>
      </c>
      <c r="J1430" s="7">
        <f>+Tabla1[[#This Row],[PRECIO EN SOLES]]-Tabla1[[#This Row],[PC]]</f>
        <v>23.864399999999989</v>
      </c>
      <c r="K1430" s="15"/>
      <c r="L1430" s="15" t="str">
        <f t="shared" si="46"/>
        <v>COMPLEMENTO</v>
      </c>
    </row>
    <row r="1431" spans="1:12" x14ac:dyDescent="0.25">
      <c r="A1431" s="3" t="s">
        <v>6917</v>
      </c>
      <c r="B1431" s="3" t="s">
        <v>6918</v>
      </c>
      <c r="C1431" s="1">
        <v>20</v>
      </c>
      <c r="D1431" s="1">
        <v>30</v>
      </c>
      <c r="E1431" s="1" t="s">
        <v>452</v>
      </c>
      <c r="F1431" s="1" t="s">
        <v>6919</v>
      </c>
      <c r="G1431" s="3"/>
      <c r="H1431" s="11">
        <f t="shared" si="47"/>
        <v>147.66999999999999</v>
      </c>
      <c r="I1431" s="9">
        <f>($K$2+0.02)*Tabla1[[#This Row],[PRECIO $]]*1.18</f>
        <v>123.19200000000001</v>
      </c>
      <c r="J1431" s="7">
        <f>+Tabla1[[#This Row],[PRECIO EN SOLES]]-Tabla1[[#This Row],[PC]]</f>
        <v>24.47799999999998</v>
      </c>
      <c r="K1431" s="15"/>
      <c r="L1431" s="15" t="str">
        <f t="shared" si="46"/>
        <v>COMPLEMENTO</v>
      </c>
    </row>
    <row r="1432" spans="1:12" x14ac:dyDescent="0.25">
      <c r="A1432" s="3" t="s">
        <v>2389</v>
      </c>
      <c r="B1432" s="3" t="s">
        <v>2390</v>
      </c>
      <c r="C1432" s="1">
        <v>1</v>
      </c>
      <c r="D1432" s="1">
        <v>16.2</v>
      </c>
      <c r="E1432" s="1" t="s">
        <v>247</v>
      </c>
      <c r="F1432" s="1" t="s">
        <v>3952</v>
      </c>
      <c r="G1432" s="3"/>
      <c r="H1432" s="11">
        <f t="shared" si="47"/>
        <v>87.15</v>
      </c>
      <c r="I1432" s="9">
        <f>($K$2+0.02)*Tabla1[[#This Row],[PRECIO $]]*1.18</f>
        <v>66.523679999999999</v>
      </c>
      <c r="J1432" s="7">
        <f>+Tabla1[[#This Row],[PRECIO EN SOLES]]-Tabla1[[#This Row],[PC]]</f>
        <v>20.626320000000007</v>
      </c>
      <c r="K1432" s="15"/>
      <c r="L1432" s="15" t="str">
        <f t="shared" si="46"/>
        <v>COMPLEMENTO</v>
      </c>
    </row>
    <row r="1433" spans="1:12" x14ac:dyDescent="0.25">
      <c r="A1433" s="3" t="s">
        <v>2391</v>
      </c>
      <c r="B1433" s="3" t="s">
        <v>2392</v>
      </c>
      <c r="C1433" s="1">
        <v>4</v>
      </c>
      <c r="D1433" s="1">
        <v>20.9</v>
      </c>
      <c r="E1433" s="1" t="s">
        <v>247</v>
      </c>
      <c r="F1433" s="1" t="s">
        <v>3953</v>
      </c>
      <c r="G1433" s="3"/>
      <c r="H1433" s="11">
        <f t="shared" si="47"/>
        <v>111.28</v>
      </c>
      <c r="I1433" s="9">
        <f>($K$2+0.02)*Tabla1[[#This Row],[PRECIO $]]*1.18</f>
        <v>85.823759999999993</v>
      </c>
      <c r="J1433" s="7">
        <f>+Tabla1[[#This Row],[PRECIO EN SOLES]]-Tabla1[[#This Row],[PC]]</f>
        <v>25.456240000000008</v>
      </c>
      <c r="K1433" s="15"/>
      <c r="L1433" s="15" t="str">
        <f t="shared" si="46"/>
        <v>COMPLEMENTO</v>
      </c>
    </row>
    <row r="1434" spans="1:12" x14ac:dyDescent="0.25">
      <c r="A1434" s="3" t="s">
        <v>4342</v>
      </c>
      <c r="B1434" s="3" t="s">
        <v>4343</v>
      </c>
      <c r="C1434" s="1">
        <v>16</v>
      </c>
      <c r="D1434" s="1">
        <v>26.7</v>
      </c>
      <c r="E1434" s="1" t="s">
        <v>247</v>
      </c>
      <c r="F1434" s="1" t="s">
        <v>4344</v>
      </c>
      <c r="G1434" s="3"/>
      <c r="H1434" s="11">
        <f t="shared" si="47"/>
        <v>141.05000000000001</v>
      </c>
      <c r="I1434" s="9">
        <f>($K$2+0.02)*Tabla1[[#This Row],[PRECIO $]]*1.18</f>
        <v>109.64088</v>
      </c>
      <c r="J1434" s="7">
        <f>+Tabla1[[#This Row],[PRECIO EN SOLES]]-Tabla1[[#This Row],[PC]]</f>
        <v>31.409120000000016</v>
      </c>
      <c r="K1434" s="15"/>
      <c r="L1434" s="15" t="str">
        <f t="shared" si="46"/>
        <v>NORMAL</v>
      </c>
    </row>
    <row r="1435" spans="1:12" x14ac:dyDescent="0.25">
      <c r="A1435" s="3" t="s">
        <v>4345</v>
      </c>
      <c r="B1435" s="3" t="s">
        <v>4346</v>
      </c>
      <c r="C1435" s="1">
        <v>20</v>
      </c>
      <c r="D1435" s="1">
        <v>37.46</v>
      </c>
      <c r="E1435" s="1" t="s">
        <v>247</v>
      </c>
      <c r="F1435" s="1" t="s">
        <v>4347</v>
      </c>
      <c r="G1435" s="3"/>
      <c r="H1435" s="11">
        <f t="shared" si="47"/>
        <v>197.28</v>
      </c>
      <c r="I1435" s="9">
        <f>($K$2+0.02)*Tabla1[[#This Row],[PRECIO $]]*1.18</f>
        <v>153.82574400000001</v>
      </c>
      <c r="J1435" s="7">
        <f>+Tabla1[[#This Row],[PRECIO EN SOLES]]-Tabla1[[#This Row],[PC]]</f>
        <v>43.454255999999987</v>
      </c>
      <c r="K1435" s="15"/>
      <c r="L1435" s="15" t="str">
        <f t="shared" si="46"/>
        <v>NORMAL</v>
      </c>
    </row>
    <row r="1436" spans="1:12" x14ac:dyDescent="0.25">
      <c r="A1436" s="3" t="s">
        <v>2393</v>
      </c>
      <c r="B1436" s="3" t="s">
        <v>2394</v>
      </c>
      <c r="C1436" s="1">
        <v>14</v>
      </c>
      <c r="D1436" s="1">
        <v>24.2</v>
      </c>
      <c r="E1436" s="1" t="s">
        <v>247</v>
      </c>
      <c r="F1436" s="1" t="s">
        <v>3954</v>
      </c>
      <c r="G1436" s="3"/>
      <c r="H1436" s="11">
        <f t="shared" si="47"/>
        <v>120.28</v>
      </c>
      <c r="I1436" s="9">
        <f>($K$2+0.02)*Tabla1[[#This Row],[PRECIO $]]*1.18</f>
        <v>99.37487999999999</v>
      </c>
      <c r="J1436" s="7">
        <f>+Tabla1[[#This Row],[PRECIO EN SOLES]]-Tabla1[[#This Row],[PC]]</f>
        <v>20.905120000000011</v>
      </c>
      <c r="K1436" s="15"/>
      <c r="L1436" s="15" t="str">
        <f t="shared" si="46"/>
        <v>NORMAL</v>
      </c>
    </row>
    <row r="1437" spans="1:12" x14ac:dyDescent="0.25">
      <c r="A1437" s="3" t="s">
        <v>2395</v>
      </c>
      <c r="B1437" s="3" t="s">
        <v>2396</v>
      </c>
      <c r="C1437" s="1">
        <v>13</v>
      </c>
      <c r="D1437" s="1">
        <v>30.5</v>
      </c>
      <c r="E1437" s="1" t="s">
        <v>247</v>
      </c>
      <c r="F1437" s="1" t="s">
        <v>3955</v>
      </c>
      <c r="G1437" s="3" t="s">
        <v>2397</v>
      </c>
      <c r="H1437" s="11">
        <f t="shared" si="47"/>
        <v>150.03</v>
      </c>
      <c r="I1437" s="9">
        <f>($K$2+0.02)*Tabla1[[#This Row],[PRECIO $]]*1.18</f>
        <v>125.2452</v>
      </c>
      <c r="J1437" s="7">
        <f>+Tabla1[[#This Row],[PRECIO EN SOLES]]-Tabla1[[#This Row],[PC]]</f>
        <v>24.784800000000004</v>
      </c>
      <c r="K1437" s="15"/>
      <c r="L1437" s="15" t="str">
        <f t="shared" si="46"/>
        <v>NORMAL</v>
      </c>
    </row>
    <row r="1438" spans="1:12" x14ac:dyDescent="0.25">
      <c r="A1438" s="3" t="s">
        <v>2398</v>
      </c>
      <c r="B1438" s="3" t="s">
        <v>2399</v>
      </c>
      <c r="C1438" s="1">
        <v>13</v>
      </c>
      <c r="D1438" s="1">
        <v>28.1</v>
      </c>
      <c r="E1438" s="1" t="s">
        <v>247</v>
      </c>
      <c r="F1438" s="1" t="s">
        <v>3956</v>
      </c>
      <c r="G1438" s="3"/>
      <c r="H1438" s="11">
        <f t="shared" si="47"/>
        <v>138.69999999999999</v>
      </c>
      <c r="I1438" s="9">
        <f>($K$2+0.02)*Tabla1[[#This Row],[PRECIO $]]*1.18</f>
        <v>115.38984000000001</v>
      </c>
      <c r="J1438" s="7">
        <f>+Tabla1[[#This Row],[PRECIO EN SOLES]]-Tabla1[[#This Row],[PC]]</f>
        <v>23.310159999999982</v>
      </c>
      <c r="K1438" s="15"/>
      <c r="L1438" s="15" t="str">
        <f t="shared" si="46"/>
        <v>NORMAL</v>
      </c>
    </row>
    <row r="1439" spans="1:12" x14ac:dyDescent="0.25">
      <c r="A1439" s="3" t="s">
        <v>2400</v>
      </c>
      <c r="B1439" s="3" t="s">
        <v>2401</v>
      </c>
      <c r="C1439" s="1">
        <v>6</v>
      </c>
      <c r="D1439" s="1">
        <v>35.1</v>
      </c>
      <c r="E1439" s="1" t="s">
        <v>247</v>
      </c>
      <c r="F1439" s="1" t="s">
        <v>3957</v>
      </c>
      <c r="G1439" s="3"/>
      <c r="H1439" s="11">
        <f t="shared" si="47"/>
        <v>171.75</v>
      </c>
      <c r="I1439" s="9">
        <f>($K$2+0.02)*Tabla1[[#This Row],[PRECIO $]]*1.18</f>
        <v>144.13464000000002</v>
      </c>
      <c r="J1439" s="7">
        <f>+Tabla1[[#This Row],[PRECIO EN SOLES]]-Tabla1[[#This Row],[PC]]</f>
        <v>27.615359999999981</v>
      </c>
      <c r="K1439" s="15"/>
      <c r="L1439" s="15" t="str">
        <f t="shared" si="46"/>
        <v>NORMAL</v>
      </c>
    </row>
    <row r="1440" spans="1:12" x14ac:dyDescent="0.25">
      <c r="A1440" s="3" t="s">
        <v>2402</v>
      </c>
      <c r="B1440" s="3" t="s">
        <v>2403</v>
      </c>
      <c r="C1440" s="1">
        <v>7</v>
      </c>
      <c r="D1440" s="1">
        <v>25.1</v>
      </c>
      <c r="E1440" s="1" t="s">
        <v>247</v>
      </c>
      <c r="F1440" s="1" t="s">
        <v>3958</v>
      </c>
      <c r="G1440" s="3"/>
      <c r="H1440" s="11">
        <f t="shared" si="47"/>
        <v>124.53</v>
      </c>
      <c r="I1440" s="9">
        <f>($K$2+0.02)*Tabla1[[#This Row],[PRECIO $]]*1.18</f>
        <v>103.07064</v>
      </c>
      <c r="J1440" s="7">
        <f>+Tabla1[[#This Row],[PRECIO EN SOLES]]-Tabla1[[#This Row],[PC]]</f>
        <v>21.459360000000004</v>
      </c>
      <c r="K1440" s="15"/>
      <c r="L1440" s="15" t="str">
        <f t="shared" si="46"/>
        <v>NORMAL</v>
      </c>
    </row>
    <row r="1441" spans="1:12" x14ac:dyDescent="0.25">
      <c r="A1441" s="3" t="s">
        <v>4348</v>
      </c>
      <c r="B1441" s="3" t="s">
        <v>4349</v>
      </c>
      <c r="C1441" s="1">
        <v>20</v>
      </c>
      <c r="D1441" s="1">
        <v>30</v>
      </c>
      <c r="E1441" s="1" t="s">
        <v>247</v>
      </c>
      <c r="F1441" s="1" t="s">
        <v>4350</v>
      </c>
      <c r="G1441" s="3"/>
      <c r="H1441" s="11">
        <f t="shared" si="47"/>
        <v>147.66999999999999</v>
      </c>
      <c r="I1441" s="9">
        <f>($K$2+0.02)*Tabla1[[#This Row],[PRECIO $]]*1.18</f>
        <v>123.19200000000001</v>
      </c>
      <c r="J1441" s="7">
        <f>+Tabla1[[#This Row],[PRECIO EN SOLES]]-Tabla1[[#This Row],[PC]]</f>
        <v>24.47799999999998</v>
      </c>
      <c r="K1441" s="15"/>
      <c r="L1441" s="15" t="str">
        <f t="shared" si="46"/>
        <v>NORMAL</v>
      </c>
    </row>
    <row r="1442" spans="1:12" x14ac:dyDescent="0.25">
      <c r="A1442" s="3" t="s">
        <v>4351</v>
      </c>
      <c r="B1442" s="3" t="s">
        <v>4352</v>
      </c>
      <c r="C1442" s="1">
        <v>10</v>
      </c>
      <c r="D1442" s="1">
        <v>35.799999999999997</v>
      </c>
      <c r="E1442" s="1" t="s">
        <v>247</v>
      </c>
      <c r="F1442" s="1" t="s">
        <v>4353</v>
      </c>
      <c r="G1442" s="3"/>
      <c r="H1442" s="11">
        <f t="shared" si="47"/>
        <v>175.06</v>
      </c>
      <c r="I1442" s="9">
        <f>($K$2+0.02)*Tabla1[[#This Row],[PRECIO $]]*1.18</f>
        <v>147.00911999999997</v>
      </c>
      <c r="J1442" s="7">
        <f>+Tabla1[[#This Row],[PRECIO EN SOLES]]-Tabla1[[#This Row],[PC]]</f>
        <v>28.050880000000035</v>
      </c>
      <c r="K1442" s="15"/>
      <c r="L1442" s="15" t="str">
        <f t="shared" si="46"/>
        <v>NORMAL</v>
      </c>
    </row>
    <row r="1443" spans="1:12" x14ac:dyDescent="0.25">
      <c r="A1443" s="3" t="s">
        <v>2404</v>
      </c>
      <c r="B1443" s="3" t="s">
        <v>2405</v>
      </c>
      <c r="C1443" s="1">
        <v>4</v>
      </c>
      <c r="D1443" s="1">
        <v>26.6</v>
      </c>
      <c r="E1443" s="1" t="s">
        <v>448</v>
      </c>
      <c r="F1443" s="1" t="s">
        <v>3959</v>
      </c>
      <c r="G1443" s="3"/>
      <c r="H1443" s="11">
        <f t="shared" si="47"/>
        <v>131.61000000000001</v>
      </c>
      <c r="I1443" s="9">
        <f>($K$2+0.02)*Tabla1[[#This Row],[PRECIO $]]*1.18</f>
        <v>109.23023999999999</v>
      </c>
      <c r="J1443" s="7">
        <f>+Tabla1[[#This Row],[PRECIO EN SOLES]]-Tabla1[[#This Row],[PC]]</f>
        <v>22.379760000000019</v>
      </c>
      <c r="K1443" s="15"/>
      <c r="L1443" s="15" t="str">
        <f t="shared" si="46"/>
        <v>NORMAL</v>
      </c>
    </row>
    <row r="1444" spans="1:12" x14ac:dyDescent="0.25">
      <c r="A1444" s="3" t="s">
        <v>2406</v>
      </c>
      <c r="B1444" s="3" t="s">
        <v>2407</v>
      </c>
      <c r="C1444" s="1">
        <v>7</v>
      </c>
      <c r="D1444" s="1">
        <v>300</v>
      </c>
      <c r="E1444" s="1" t="s">
        <v>448</v>
      </c>
      <c r="F1444" s="1" t="s">
        <v>3960</v>
      </c>
      <c r="G1444" s="3"/>
      <c r="H1444" s="11">
        <f t="shared" si="47"/>
        <v>1424.71</v>
      </c>
      <c r="I1444" s="9">
        <f>($K$2+0.02)*Tabla1[[#This Row],[PRECIO $]]*1.18</f>
        <v>1231.9199999999998</v>
      </c>
      <c r="J1444" s="7">
        <f>+Tabla1[[#This Row],[PRECIO EN SOLES]]-Tabla1[[#This Row],[PC]]</f>
        <v>192.79000000000019</v>
      </c>
      <c r="K1444" s="15"/>
      <c r="L1444" s="15" t="str">
        <f t="shared" si="46"/>
        <v>NORMAL</v>
      </c>
    </row>
    <row r="1445" spans="1:12" x14ac:dyDescent="0.25">
      <c r="A1445" s="3" t="s">
        <v>2408</v>
      </c>
      <c r="B1445" s="3" t="s">
        <v>2409</v>
      </c>
      <c r="C1445" s="1">
        <v>1</v>
      </c>
      <c r="D1445" s="1">
        <v>20</v>
      </c>
      <c r="E1445" s="1" t="s">
        <v>448</v>
      </c>
      <c r="F1445" s="1" t="s">
        <v>3961</v>
      </c>
      <c r="G1445" s="3"/>
      <c r="H1445" s="11">
        <f t="shared" si="47"/>
        <v>100.45</v>
      </c>
      <c r="I1445" s="9">
        <f>($K$2+0.02)*Tabla1[[#This Row],[PRECIO $]]*1.18</f>
        <v>82.127999999999986</v>
      </c>
      <c r="J1445" s="7">
        <f>+Tabla1[[#This Row],[PRECIO EN SOLES]]-Tabla1[[#This Row],[PC]]</f>
        <v>18.322000000000017</v>
      </c>
      <c r="K1445" s="15"/>
      <c r="L1445" s="15" t="str">
        <f t="shared" si="46"/>
        <v>NORMAL</v>
      </c>
    </row>
    <row r="1446" spans="1:12" x14ac:dyDescent="0.25">
      <c r="A1446" s="3" t="s">
        <v>459</v>
      </c>
      <c r="B1446" s="3" t="s">
        <v>460</v>
      </c>
      <c r="C1446" s="1">
        <v>19</v>
      </c>
      <c r="D1446" s="1">
        <v>32.6</v>
      </c>
      <c r="E1446" s="1" t="s">
        <v>448</v>
      </c>
      <c r="F1446" s="1" t="s">
        <v>3962</v>
      </c>
      <c r="G1446" s="3"/>
      <c r="H1446" s="11">
        <f t="shared" si="47"/>
        <v>159.94999999999999</v>
      </c>
      <c r="I1446" s="9">
        <f>($K$2+0.02)*Tabla1[[#This Row],[PRECIO $]]*1.18</f>
        <v>133.86864</v>
      </c>
      <c r="J1446" s="7">
        <f>+Tabla1[[#This Row],[PRECIO EN SOLES]]-Tabla1[[#This Row],[PC]]</f>
        <v>26.081359999999989</v>
      </c>
      <c r="K1446" s="15"/>
      <c r="L1446" s="15" t="str">
        <f t="shared" si="46"/>
        <v>NORMAL</v>
      </c>
    </row>
    <row r="1447" spans="1:12" x14ac:dyDescent="0.25">
      <c r="A1447" s="3" t="s">
        <v>461</v>
      </c>
      <c r="B1447" s="3" t="s">
        <v>462</v>
      </c>
      <c r="C1447" s="1">
        <v>20</v>
      </c>
      <c r="D1447" s="1">
        <v>47.8</v>
      </c>
      <c r="E1447" s="1" t="s">
        <v>448</v>
      </c>
      <c r="F1447" s="1" t="s">
        <v>3963</v>
      </c>
      <c r="G1447" s="3"/>
      <c r="H1447" s="11">
        <f t="shared" si="47"/>
        <v>233.73</v>
      </c>
      <c r="I1447" s="9">
        <f>($K$2+0.02)*Tabla1[[#This Row],[PRECIO $]]*1.18</f>
        <v>196.28591999999998</v>
      </c>
      <c r="J1447" s="7">
        <f>+Tabla1[[#This Row],[PRECIO EN SOLES]]-Tabla1[[#This Row],[PC]]</f>
        <v>37.444080000000014</v>
      </c>
      <c r="K1447" s="15"/>
      <c r="L1447" s="15" t="str">
        <f t="shared" si="46"/>
        <v>NORMAL</v>
      </c>
    </row>
    <row r="1448" spans="1:12" x14ac:dyDescent="0.25">
      <c r="A1448" s="3" t="s">
        <v>6356</v>
      </c>
      <c r="B1448" s="3" t="s">
        <v>6357</v>
      </c>
      <c r="C1448" s="1">
        <v>2</v>
      </c>
      <c r="D1448" s="1">
        <v>24.1</v>
      </c>
      <c r="E1448" s="1" t="s">
        <v>448</v>
      </c>
      <c r="F1448" s="1" t="s">
        <v>6358</v>
      </c>
      <c r="G1448" s="3"/>
      <c r="H1448" s="11">
        <f t="shared" si="47"/>
        <v>119.81</v>
      </c>
      <c r="I1448" s="9">
        <f>($K$2+0.02)*Tabla1[[#This Row],[PRECIO $]]*1.18</f>
        <v>98.964240000000004</v>
      </c>
      <c r="J1448" s="7">
        <f>+Tabla1[[#This Row],[PRECIO EN SOLES]]-Tabla1[[#This Row],[PC]]</f>
        <v>20.845759999999999</v>
      </c>
      <c r="K1448" s="15"/>
      <c r="L1448" s="15" t="str">
        <f t="shared" si="46"/>
        <v>NORMAL</v>
      </c>
    </row>
    <row r="1449" spans="1:12" x14ac:dyDescent="0.25">
      <c r="A1449" s="3" t="s">
        <v>6638</v>
      </c>
      <c r="B1449" s="3" t="s">
        <v>6639</v>
      </c>
      <c r="C1449" s="1">
        <v>0</v>
      </c>
      <c r="D1449" s="1">
        <v>9999999.9900000002</v>
      </c>
      <c r="E1449" s="1" t="s">
        <v>448</v>
      </c>
      <c r="F1449" s="1" t="s">
        <v>6640</v>
      </c>
      <c r="G1449" s="3"/>
      <c r="H1449" s="11">
        <f t="shared" si="47"/>
        <v>47223607.950000003</v>
      </c>
      <c r="I1449" s="9">
        <f>($K$2+0.02)*Tabla1[[#This Row],[PRECIO $]]*1.18</f>
        <v>41063999.958935998</v>
      </c>
      <c r="J1449" s="7">
        <f>+Tabla1[[#This Row],[PRECIO EN SOLES]]-Tabla1[[#This Row],[PC]]</f>
        <v>6159607.9910640046</v>
      </c>
      <c r="K1449" s="15"/>
      <c r="L1449" s="15" t="str">
        <f t="shared" si="46"/>
        <v>NORMAL</v>
      </c>
    </row>
    <row r="1450" spans="1:12" x14ac:dyDescent="0.25">
      <c r="A1450" s="3" t="s">
        <v>6641</v>
      </c>
      <c r="B1450" s="3" t="s">
        <v>6920</v>
      </c>
      <c r="C1450" s="1">
        <v>20</v>
      </c>
      <c r="D1450" s="1">
        <v>26.4</v>
      </c>
      <c r="E1450" s="1" t="s">
        <v>448</v>
      </c>
      <c r="F1450" s="1" t="s">
        <v>6642</v>
      </c>
      <c r="G1450" s="3"/>
      <c r="H1450" s="11">
        <f t="shared" si="47"/>
        <v>130.66999999999999</v>
      </c>
      <c r="I1450" s="9">
        <f>($K$2+0.02)*Tabla1[[#This Row],[PRECIO $]]*1.18</f>
        <v>108.40895999999999</v>
      </c>
      <c r="J1450" s="7">
        <f>+Tabla1[[#This Row],[PRECIO EN SOLES]]-Tabla1[[#This Row],[PC]]</f>
        <v>22.261039999999994</v>
      </c>
      <c r="K1450" s="15"/>
      <c r="L1450" s="15" t="str">
        <f t="shared" si="46"/>
        <v>NORMAL</v>
      </c>
    </row>
    <row r="1451" spans="1:12" x14ac:dyDescent="0.25">
      <c r="A1451" s="3" t="s">
        <v>2410</v>
      </c>
      <c r="B1451" s="3" t="s">
        <v>2411</v>
      </c>
      <c r="C1451" s="1">
        <v>20</v>
      </c>
      <c r="D1451" s="1">
        <v>75.599999999999994</v>
      </c>
      <c r="E1451" s="1" t="s">
        <v>448</v>
      </c>
      <c r="F1451" s="1" t="s">
        <v>3964</v>
      </c>
      <c r="G1451" s="3" t="s">
        <v>2412</v>
      </c>
      <c r="H1451" s="11">
        <f t="shared" si="47"/>
        <v>365.01</v>
      </c>
      <c r="I1451" s="9">
        <f>($K$2+0.02)*Tabla1[[#This Row],[PRECIO $]]*1.18</f>
        <v>310.44383999999997</v>
      </c>
      <c r="J1451" s="7">
        <f>+Tabla1[[#This Row],[PRECIO EN SOLES]]-Tabla1[[#This Row],[PC]]</f>
        <v>54.566160000000025</v>
      </c>
      <c r="K1451" s="15"/>
      <c r="L1451" s="15" t="str">
        <f t="shared" si="46"/>
        <v>NORMAL</v>
      </c>
    </row>
    <row r="1452" spans="1:12" x14ac:dyDescent="0.25">
      <c r="A1452" s="3" t="s">
        <v>6359</v>
      </c>
      <c r="B1452" s="3" t="s">
        <v>6360</v>
      </c>
      <c r="C1452" s="1">
        <v>1</v>
      </c>
      <c r="D1452" s="1">
        <v>23.32</v>
      </c>
      <c r="E1452" s="1" t="s">
        <v>448</v>
      </c>
      <c r="F1452" s="1" t="s">
        <v>6361</v>
      </c>
      <c r="G1452" s="3"/>
      <c r="H1452" s="11">
        <f t="shared" si="47"/>
        <v>116.13</v>
      </c>
      <c r="I1452" s="9">
        <f>($K$2+0.02)*Tabla1[[#This Row],[PRECIO $]]*1.18</f>
        <v>95.761247999999995</v>
      </c>
      <c r="J1452" s="7">
        <f>+Tabla1[[#This Row],[PRECIO EN SOLES]]-Tabla1[[#This Row],[PC]]</f>
        <v>20.368752000000001</v>
      </c>
      <c r="K1452" s="15"/>
      <c r="L1452" s="15" t="str">
        <f t="shared" si="46"/>
        <v>NORMAL</v>
      </c>
    </row>
    <row r="1453" spans="1:12" x14ac:dyDescent="0.25">
      <c r="A1453" s="3" t="s">
        <v>2413</v>
      </c>
      <c r="B1453" s="3" t="s">
        <v>2414</v>
      </c>
      <c r="C1453" s="1">
        <v>20</v>
      </c>
      <c r="D1453" s="1">
        <v>87.5</v>
      </c>
      <c r="E1453" s="1" t="s">
        <v>448</v>
      </c>
      <c r="F1453" s="1" t="s">
        <v>3965</v>
      </c>
      <c r="G1453" s="3"/>
      <c r="H1453" s="11">
        <f t="shared" si="47"/>
        <v>421.21</v>
      </c>
      <c r="I1453" s="9">
        <f>($K$2+0.02)*Tabla1[[#This Row],[PRECIO $]]*1.18</f>
        <v>359.31</v>
      </c>
      <c r="J1453" s="7">
        <f>+Tabla1[[#This Row],[PRECIO EN SOLES]]-Tabla1[[#This Row],[PC]]</f>
        <v>61.899999999999977</v>
      </c>
      <c r="K1453" s="15"/>
      <c r="L1453" s="15" t="str">
        <f t="shared" si="46"/>
        <v>NORMAL</v>
      </c>
    </row>
    <row r="1454" spans="1:12" x14ac:dyDescent="0.25">
      <c r="A1454" s="3" t="s">
        <v>4810</v>
      </c>
      <c r="B1454" s="3" t="s">
        <v>4811</v>
      </c>
      <c r="C1454" s="1">
        <v>10</v>
      </c>
      <c r="D1454" s="1">
        <v>108.2</v>
      </c>
      <c r="E1454" s="1" t="s">
        <v>448</v>
      </c>
      <c r="F1454" s="1" t="s">
        <v>4812</v>
      </c>
      <c r="G1454" s="3"/>
      <c r="H1454" s="11">
        <f t="shared" si="47"/>
        <v>518.96</v>
      </c>
      <c r="I1454" s="9">
        <f>($K$2+0.02)*Tabla1[[#This Row],[PRECIO $]]*1.18</f>
        <v>444.31247999999999</v>
      </c>
      <c r="J1454" s="7">
        <f>+Tabla1[[#This Row],[PRECIO EN SOLES]]-Tabla1[[#This Row],[PC]]</f>
        <v>74.647520000000043</v>
      </c>
      <c r="K1454" s="15"/>
      <c r="L1454" s="15" t="str">
        <f t="shared" si="46"/>
        <v>NORMAL</v>
      </c>
    </row>
    <row r="1455" spans="1:12" x14ac:dyDescent="0.25">
      <c r="A1455" s="3" t="s">
        <v>2415</v>
      </c>
      <c r="B1455" s="3" t="s">
        <v>2416</v>
      </c>
      <c r="C1455" s="1">
        <v>10</v>
      </c>
      <c r="D1455" s="1">
        <v>150.80000000000001</v>
      </c>
      <c r="E1455" s="1" t="s">
        <v>448</v>
      </c>
      <c r="F1455" s="1" t="s">
        <v>3966</v>
      </c>
      <c r="G1455" s="3"/>
      <c r="H1455" s="11">
        <f t="shared" si="47"/>
        <v>720.13</v>
      </c>
      <c r="I1455" s="9">
        <f>($K$2+0.02)*Tabla1[[#This Row],[PRECIO $]]*1.18</f>
        <v>619.24511999999993</v>
      </c>
      <c r="J1455" s="7">
        <f>+Tabla1[[#This Row],[PRECIO EN SOLES]]-Tabla1[[#This Row],[PC]]</f>
        <v>100.88488000000007</v>
      </c>
      <c r="K1455" s="15"/>
      <c r="L1455" s="15" t="str">
        <f t="shared" si="46"/>
        <v>NORMAL</v>
      </c>
    </row>
    <row r="1456" spans="1:12" x14ac:dyDescent="0.25">
      <c r="A1456" s="3" t="s">
        <v>2417</v>
      </c>
      <c r="B1456" s="3" t="s">
        <v>2418</v>
      </c>
      <c r="C1456" s="1">
        <v>9</v>
      </c>
      <c r="D1456" s="1">
        <v>201.37</v>
      </c>
      <c r="E1456" s="1" t="s">
        <v>448</v>
      </c>
      <c r="F1456" s="1" t="s">
        <v>3967</v>
      </c>
      <c r="G1456" s="3"/>
      <c r="H1456" s="11">
        <f t="shared" si="47"/>
        <v>958.94</v>
      </c>
      <c r="I1456" s="9">
        <f>($K$2+0.02)*Tabla1[[#This Row],[PRECIO $]]*1.18</f>
        <v>826.90576799999997</v>
      </c>
      <c r="J1456" s="7">
        <f>+Tabla1[[#This Row],[PRECIO EN SOLES]]-Tabla1[[#This Row],[PC]]</f>
        <v>132.03423200000009</v>
      </c>
      <c r="K1456" s="15"/>
      <c r="L1456" s="15" t="str">
        <f t="shared" si="46"/>
        <v>NORMAL</v>
      </c>
    </row>
    <row r="1457" spans="1:12" x14ac:dyDescent="0.25">
      <c r="A1457" s="3" t="s">
        <v>4813</v>
      </c>
      <c r="B1457" s="3" t="s">
        <v>4814</v>
      </c>
      <c r="C1457" s="1">
        <v>5</v>
      </c>
      <c r="D1457" s="1">
        <v>251.5</v>
      </c>
      <c r="E1457" s="1" t="s">
        <v>448</v>
      </c>
      <c r="F1457" s="1" t="s">
        <v>4815</v>
      </c>
      <c r="G1457" s="3"/>
      <c r="H1457" s="11">
        <f t="shared" si="47"/>
        <v>1195.67</v>
      </c>
      <c r="I1457" s="9">
        <f>($K$2+0.02)*Tabla1[[#This Row],[PRECIO $]]*1.18</f>
        <v>1032.7596000000001</v>
      </c>
      <c r="J1457" s="7">
        <f>+Tabla1[[#This Row],[PRECIO EN SOLES]]-Tabla1[[#This Row],[PC]]</f>
        <v>162.91039999999998</v>
      </c>
      <c r="K1457" s="15"/>
      <c r="L1457" s="15" t="str">
        <f t="shared" si="46"/>
        <v>NORMAL</v>
      </c>
    </row>
    <row r="1458" spans="1:12" x14ac:dyDescent="0.25">
      <c r="A1458" s="3" t="s">
        <v>463</v>
      </c>
      <c r="B1458" s="3" t="s">
        <v>464</v>
      </c>
      <c r="C1458" s="1">
        <v>20</v>
      </c>
      <c r="D1458" s="1">
        <v>32.4</v>
      </c>
      <c r="E1458" s="1" t="s">
        <v>448</v>
      </c>
      <c r="F1458" s="1" t="s">
        <v>3968</v>
      </c>
      <c r="G1458" s="3"/>
      <c r="H1458" s="11">
        <f t="shared" si="47"/>
        <v>159</v>
      </c>
      <c r="I1458" s="9">
        <f>($K$2+0.02)*Tabla1[[#This Row],[PRECIO $]]*1.18</f>
        <v>133.04736</v>
      </c>
      <c r="J1458" s="7">
        <f>+Tabla1[[#This Row],[PRECIO EN SOLES]]-Tabla1[[#This Row],[PC]]</f>
        <v>25.952640000000002</v>
      </c>
      <c r="K1458" s="15"/>
      <c r="L1458" s="15" t="str">
        <f t="shared" si="46"/>
        <v>NORMAL</v>
      </c>
    </row>
    <row r="1459" spans="1:12" x14ac:dyDescent="0.25">
      <c r="A1459" s="3" t="s">
        <v>465</v>
      </c>
      <c r="B1459" s="3" t="s">
        <v>466</v>
      </c>
      <c r="C1459" s="1">
        <v>20</v>
      </c>
      <c r="D1459" s="1">
        <v>52.6</v>
      </c>
      <c r="E1459" s="1" t="s">
        <v>448</v>
      </c>
      <c r="F1459" s="1" t="s">
        <v>3969</v>
      </c>
      <c r="G1459" s="3"/>
      <c r="H1459" s="11">
        <f t="shared" si="47"/>
        <v>256.39999999999998</v>
      </c>
      <c r="I1459" s="9">
        <f>($K$2+0.02)*Tabla1[[#This Row],[PRECIO $]]*1.18</f>
        <v>215.99663999999999</v>
      </c>
      <c r="J1459" s="7">
        <f>+Tabla1[[#This Row],[PRECIO EN SOLES]]-Tabla1[[#This Row],[PC]]</f>
        <v>40.403359999999992</v>
      </c>
      <c r="K1459" s="15"/>
      <c r="L1459" s="15" t="str">
        <f t="shared" si="46"/>
        <v>NORMAL</v>
      </c>
    </row>
    <row r="1460" spans="1:12" x14ac:dyDescent="0.25">
      <c r="A1460" s="3" t="s">
        <v>2419</v>
      </c>
      <c r="B1460" s="3" t="s">
        <v>2420</v>
      </c>
      <c r="C1460" s="1">
        <v>20</v>
      </c>
      <c r="D1460" s="1">
        <v>49</v>
      </c>
      <c r="E1460" s="1" t="s">
        <v>448</v>
      </c>
      <c r="F1460" s="1" t="s">
        <v>3970</v>
      </c>
      <c r="G1460" s="3"/>
      <c r="H1460" s="11">
        <f t="shared" si="47"/>
        <v>239.4</v>
      </c>
      <c r="I1460" s="9">
        <f>($K$2+0.02)*Tabla1[[#This Row],[PRECIO $]]*1.18</f>
        <v>201.21360000000001</v>
      </c>
      <c r="J1460" s="7">
        <f>+Tabla1[[#This Row],[PRECIO EN SOLES]]-Tabla1[[#This Row],[PC]]</f>
        <v>38.186399999999992</v>
      </c>
      <c r="K1460" s="15"/>
      <c r="L1460" s="15" t="str">
        <f t="shared" si="46"/>
        <v>NORMAL</v>
      </c>
    </row>
    <row r="1461" spans="1:12" x14ac:dyDescent="0.25">
      <c r="A1461" s="3" t="s">
        <v>2421</v>
      </c>
      <c r="B1461" s="3" t="s">
        <v>2422</v>
      </c>
      <c r="C1461" s="1">
        <v>20</v>
      </c>
      <c r="D1461" s="1">
        <v>25.65</v>
      </c>
      <c r="E1461" s="1" t="s">
        <v>448</v>
      </c>
      <c r="F1461" s="1" t="s">
        <v>3971</v>
      </c>
      <c r="G1461" s="3"/>
      <c r="H1461" s="11">
        <f t="shared" si="47"/>
        <v>127.13</v>
      </c>
      <c r="I1461" s="9">
        <f>($K$2+0.02)*Tabla1[[#This Row],[PRECIO $]]*1.18</f>
        <v>105.32916</v>
      </c>
      <c r="J1461" s="7">
        <f>+Tabla1[[#This Row],[PRECIO EN SOLES]]-Tabla1[[#This Row],[PC]]</f>
        <v>21.800839999999994</v>
      </c>
      <c r="K1461" s="15"/>
      <c r="L1461" s="15" t="str">
        <f t="shared" si="46"/>
        <v>NORMAL</v>
      </c>
    </row>
    <row r="1462" spans="1:12" x14ac:dyDescent="0.25">
      <c r="A1462" s="3" t="s">
        <v>2423</v>
      </c>
      <c r="B1462" s="3" t="s">
        <v>2424</v>
      </c>
      <c r="C1462" s="1">
        <v>20</v>
      </c>
      <c r="D1462" s="1">
        <v>20.55</v>
      </c>
      <c r="E1462" s="1" t="s">
        <v>448</v>
      </c>
      <c r="F1462" s="1" t="s">
        <v>3972</v>
      </c>
      <c r="G1462" s="3"/>
      <c r="H1462" s="11">
        <f t="shared" si="47"/>
        <v>103.04</v>
      </c>
      <c r="I1462" s="9">
        <f>($K$2+0.02)*Tabla1[[#This Row],[PRECIO $]]*1.18</f>
        <v>84.38651999999999</v>
      </c>
      <c r="J1462" s="7">
        <f>+Tabla1[[#This Row],[PRECIO EN SOLES]]-Tabla1[[#This Row],[PC]]</f>
        <v>18.653480000000016</v>
      </c>
      <c r="K1462" s="15"/>
      <c r="L1462" s="15" t="str">
        <f t="shared" si="46"/>
        <v>NORMAL</v>
      </c>
    </row>
    <row r="1463" spans="1:12" x14ac:dyDescent="0.25">
      <c r="A1463" s="3" t="s">
        <v>2425</v>
      </c>
      <c r="B1463" s="3" t="s">
        <v>2426</v>
      </c>
      <c r="C1463" s="1">
        <v>20</v>
      </c>
      <c r="D1463" s="1">
        <v>20.3</v>
      </c>
      <c r="E1463" s="1" t="s">
        <v>448</v>
      </c>
      <c r="F1463" s="1" t="s">
        <v>3973</v>
      </c>
      <c r="G1463" s="3"/>
      <c r="H1463" s="11">
        <f t="shared" si="47"/>
        <v>101.86</v>
      </c>
      <c r="I1463" s="9">
        <f>($K$2+0.02)*Tabla1[[#This Row],[PRECIO $]]*1.18</f>
        <v>83.359920000000002</v>
      </c>
      <c r="J1463" s="7">
        <f>+Tabla1[[#This Row],[PRECIO EN SOLES]]-Tabla1[[#This Row],[PC]]</f>
        <v>18.500079999999997</v>
      </c>
      <c r="K1463" s="15"/>
      <c r="L1463" s="15" t="str">
        <f t="shared" si="46"/>
        <v>NORMAL</v>
      </c>
    </row>
    <row r="1464" spans="1:12" x14ac:dyDescent="0.25">
      <c r="A1464" s="3" t="s">
        <v>6643</v>
      </c>
      <c r="B1464" s="3" t="s">
        <v>6644</v>
      </c>
      <c r="C1464" s="1">
        <v>0</v>
      </c>
      <c r="D1464" s="1">
        <v>9999999.9900000002</v>
      </c>
      <c r="E1464" s="1" t="s">
        <v>448</v>
      </c>
      <c r="F1464" s="1" t="s">
        <v>6645</v>
      </c>
      <c r="G1464" s="3"/>
      <c r="H1464" s="11">
        <f t="shared" si="47"/>
        <v>47223607.950000003</v>
      </c>
      <c r="I1464" s="9">
        <f>($K$2+0.02)*Tabla1[[#This Row],[PRECIO $]]*1.18</f>
        <v>41063999.958935998</v>
      </c>
      <c r="J1464" s="7">
        <f>+Tabla1[[#This Row],[PRECIO EN SOLES]]-Tabla1[[#This Row],[PC]]</f>
        <v>6159607.9910640046</v>
      </c>
      <c r="K1464" s="15"/>
      <c r="L1464" s="15" t="str">
        <f t="shared" si="46"/>
        <v>NORMAL</v>
      </c>
    </row>
    <row r="1465" spans="1:12" x14ac:dyDescent="0.25">
      <c r="A1465" s="3" t="s">
        <v>4816</v>
      </c>
      <c r="B1465" s="3" t="s">
        <v>4817</v>
      </c>
      <c r="C1465" s="1">
        <v>20</v>
      </c>
      <c r="D1465" s="1">
        <v>65.3</v>
      </c>
      <c r="E1465" s="1" t="s">
        <v>448</v>
      </c>
      <c r="F1465" s="1" t="s">
        <v>4818</v>
      </c>
      <c r="G1465" s="3"/>
      <c r="H1465" s="11">
        <f t="shared" si="47"/>
        <v>316.37</v>
      </c>
      <c r="I1465" s="9">
        <f>($K$2+0.02)*Tabla1[[#This Row],[PRECIO $]]*1.18</f>
        <v>268.14792</v>
      </c>
      <c r="J1465" s="7">
        <f>+Tabla1[[#This Row],[PRECIO EN SOLES]]-Tabla1[[#This Row],[PC]]</f>
        <v>48.222080000000005</v>
      </c>
      <c r="K1465" s="15"/>
      <c r="L1465" s="15" t="str">
        <f t="shared" si="46"/>
        <v>NORMAL</v>
      </c>
    </row>
    <row r="1466" spans="1:12" x14ac:dyDescent="0.25">
      <c r="A1466" s="3" t="s">
        <v>6646</v>
      </c>
      <c r="B1466" s="3" t="s">
        <v>6921</v>
      </c>
      <c r="C1466" s="1">
        <v>20</v>
      </c>
      <c r="D1466" s="1">
        <v>29.5</v>
      </c>
      <c r="E1466" s="1" t="s">
        <v>448</v>
      </c>
      <c r="F1466" s="1" t="s">
        <v>6647</v>
      </c>
      <c r="G1466" s="3"/>
      <c r="H1466" s="11">
        <f t="shared" si="47"/>
        <v>145.31</v>
      </c>
      <c r="I1466" s="9">
        <f>($K$2+0.02)*Tabla1[[#This Row],[PRECIO $]]*1.18</f>
        <v>121.13879999999999</v>
      </c>
      <c r="J1466" s="7">
        <f>+Tabla1[[#This Row],[PRECIO EN SOLES]]-Tabla1[[#This Row],[PC]]</f>
        <v>24.171200000000013</v>
      </c>
      <c r="K1466" s="15"/>
      <c r="L1466" s="15" t="str">
        <f t="shared" si="46"/>
        <v>NORMAL</v>
      </c>
    </row>
    <row r="1467" spans="1:12" x14ac:dyDescent="0.25">
      <c r="A1467" s="3" t="s">
        <v>6648</v>
      </c>
      <c r="B1467" s="3" t="s">
        <v>6922</v>
      </c>
      <c r="C1467" s="1">
        <v>20</v>
      </c>
      <c r="D1467" s="1">
        <v>24.13</v>
      </c>
      <c r="E1467" s="1" t="s">
        <v>448</v>
      </c>
      <c r="F1467" s="1" t="s">
        <v>6649</v>
      </c>
      <c r="G1467" s="3"/>
      <c r="H1467" s="11">
        <f t="shared" si="47"/>
        <v>119.95</v>
      </c>
      <c r="I1467" s="9">
        <f>($K$2+0.02)*Tabla1[[#This Row],[PRECIO $]]*1.18</f>
        <v>99.087431999999993</v>
      </c>
      <c r="J1467" s="7">
        <f>+Tabla1[[#This Row],[PRECIO EN SOLES]]-Tabla1[[#This Row],[PC]]</f>
        <v>20.86256800000001</v>
      </c>
      <c r="K1467" s="15"/>
      <c r="L1467" s="15" t="str">
        <f t="shared" si="46"/>
        <v>NORMAL</v>
      </c>
    </row>
    <row r="1468" spans="1:12" x14ac:dyDescent="0.25">
      <c r="A1468" s="3" t="s">
        <v>6650</v>
      </c>
      <c r="B1468" s="3" t="s">
        <v>6651</v>
      </c>
      <c r="C1468" s="1">
        <v>0</v>
      </c>
      <c r="D1468" s="1">
        <v>9999999.9900000002</v>
      </c>
      <c r="E1468" s="1" t="s">
        <v>448</v>
      </c>
      <c r="F1468" s="1" t="s">
        <v>6652</v>
      </c>
      <c r="G1468" s="3"/>
      <c r="H1468" s="11">
        <f t="shared" si="47"/>
        <v>47223607.950000003</v>
      </c>
      <c r="I1468" s="9">
        <f>($K$2+0.02)*Tabla1[[#This Row],[PRECIO $]]*1.18</f>
        <v>41063999.958935998</v>
      </c>
      <c r="J1468" s="7">
        <f>+Tabla1[[#This Row],[PRECIO EN SOLES]]-Tabla1[[#This Row],[PC]]</f>
        <v>6159607.9910640046</v>
      </c>
      <c r="K1468" s="15"/>
      <c r="L1468" s="15" t="str">
        <f t="shared" si="46"/>
        <v>NORMAL</v>
      </c>
    </row>
    <row r="1469" spans="1:12" x14ac:dyDescent="0.25">
      <c r="A1469" s="3" t="s">
        <v>2427</v>
      </c>
      <c r="B1469" s="3" t="s">
        <v>451</v>
      </c>
      <c r="C1469" s="1">
        <v>0</v>
      </c>
      <c r="D1469" s="1">
        <v>999</v>
      </c>
      <c r="E1469" s="1" t="s">
        <v>187</v>
      </c>
      <c r="F1469" s="1" t="s">
        <v>3974</v>
      </c>
      <c r="G1469" s="3"/>
      <c r="H1469" s="11">
        <f t="shared" si="47"/>
        <v>4725.6400000000003</v>
      </c>
      <c r="I1469" s="9">
        <f>($K$2+0.02)*Tabla1[[#This Row],[PRECIO $]]*1.18</f>
        <v>4102.2936</v>
      </c>
      <c r="J1469" s="7">
        <f>+Tabla1[[#This Row],[PRECIO EN SOLES]]-Tabla1[[#This Row],[PC]]</f>
        <v>623.34640000000036</v>
      </c>
      <c r="K1469" s="15"/>
      <c r="L1469" s="15" t="str">
        <f t="shared" si="46"/>
        <v>NORMAL</v>
      </c>
    </row>
    <row r="1470" spans="1:12" x14ac:dyDescent="0.25">
      <c r="A1470" s="3" t="s">
        <v>2428</v>
      </c>
      <c r="B1470" s="3" t="s">
        <v>2383</v>
      </c>
      <c r="C1470" s="1">
        <v>0</v>
      </c>
      <c r="D1470" s="1">
        <v>999</v>
      </c>
      <c r="E1470" s="1" t="s">
        <v>187</v>
      </c>
      <c r="F1470" s="1" t="s">
        <v>3975</v>
      </c>
      <c r="G1470" s="3"/>
      <c r="H1470" s="11">
        <f t="shared" si="47"/>
        <v>4725.6400000000003</v>
      </c>
      <c r="I1470" s="9">
        <f>($K$2+0.02)*Tabla1[[#This Row],[PRECIO $]]*1.18</f>
        <v>4102.2936</v>
      </c>
      <c r="J1470" s="7">
        <f>+Tabla1[[#This Row],[PRECIO EN SOLES]]-Tabla1[[#This Row],[PC]]</f>
        <v>623.34640000000036</v>
      </c>
      <c r="K1470" s="15"/>
      <c r="L1470" s="15" t="str">
        <f t="shared" si="46"/>
        <v>NORMAL</v>
      </c>
    </row>
    <row r="1471" spans="1:12" x14ac:dyDescent="0.25">
      <c r="A1471" s="3" t="s">
        <v>2429</v>
      </c>
      <c r="B1471" s="3" t="s">
        <v>2385</v>
      </c>
      <c r="C1471" s="1">
        <v>0</v>
      </c>
      <c r="D1471" s="1">
        <v>9999999.9900000002</v>
      </c>
      <c r="E1471" s="1" t="s">
        <v>249</v>
      </c>
      <c r="F1471" s="1" t="s">
        <v>3976</v>
      </c>
      <c r="G1471" s="3"/>
      <c r="H1471" s="11">
        <f t="shared" si="47"/>
        <v>47223607.950000003</v>
      </c>
      <c r="I1471" s="9">
        <f>($K$2+0.02)*Tabla1[[#This Row],[PRECIO $]]*1.18</f>
        <v>41063999.958935998</v>
      </c>
      <c r="J1471" s="7">
        <f>+Tabla1[[#This Row],[PRECIO EN SOLES]]-Tabla1[[#This Row],[PC]]</f>
        <v>6159607.9910640046</v>
      </c>
      <c r="K1471" s="15"/>
      <c r="L1471" s="15" t="str">
        <f t="shared" si="46"/>
        <v>NORMAL</v>
      </c>
    </row>
    <row r="1472" spans="1:12" x14ac:dyDescent="0.25">
      <c r="A1472" s="3" t="s">
        <v>2430</v>
      </c>
      <c r="B1472" s="3" t="s">
        <v>2431</v>
      </c>
      <c r="C1472" s="1">
        <v>0</v>
      </c>
      <c r="D1472" s="1">
        <v>999</v>
      </c>
      <c r="E1472" s="1" t="s">
        <v>74</v>
      </c>
      <c r="F1472" s="1" t="s">
        <v>3977</v>
      </c>
      <c r="G1472" s="3"/>
      <c r="H1472" s="11">
        <f t="shared" si="47"/>
        <v>4725.6400000000003</v>
      </c>
      <c r="I1472" s="9">
        <f>($K$2+0.02)*Tabla1[[#This Row],[PRECIO $]]*1.18</f>
        <v>4102.2936</v>
      </c>
      <c r="J1472" s="7">
        <f>+Tabla1[[#This Row],[PRECIO EN SOLES]]-Tabla1[[#This Row],[PC]]</f>
        <v>623.34640000000036</v>
      </c>
      <c r="K1472" s="15"/>
      <c r="L1472" s="15" t="str">
        <f t="shared" si="46"/>
        <v>NORMAL</v>
      </c>
    </row>
    <row r="1473" spans="1:12" x14ac:dyDescent="0.25">
      <c r="A1473" s="3" t="s">
        <v>2432</v>
      </c>
      <c r="B1473" s="3" t="s">
        <v>2433</v>
      </c>
      <c r="C1473" s="1">
        <v>1</v>
      </c>
      <c r="D1473" s="1">
        <v>137</v>
      </c>
      <c r="E1473" s="1" t="s">
        <v>2002</v>
      </c>
      <c r="F1473" s="1" t="s">
        <v>3978</v>
      </c>
      <c r="G1473" s="3"/>
      <c r="H1473" s="11">
        <f t="shared" si="47"/>
        <v>654.96</v>
      </c>
      <c r="I1473" s="9">
        <f>($K$2+0.02)*Tabla1[[#This Row],[PRECIO $]]*1.18</f>
        <v>562.57679999999993</v>
      </c>
      <c r="J1473" s="7">
        <f>+Tabla1[[#This Row],[PRECIO EN SOLES]]-Tabla1[[#This Row],[PC]]</f>
        <v>92.383200000000102</v>
      </c>
      <c r="K1473" s="15"/>
      <c r="L1473" s="15" t="str">
        <f t="shared" si="46"/>
        <v>NORMAL</v>
      </c>
    </row>
    <row r="1474" spans="1:12" x14ac:dyDescent="0.25">
      <c r="A1474" s="3" t="s">
        <v>2434</v>
      </c>
      <c r="B1474" s="3" t="s">
        <v>2435</v>
      </c>
      <c r="C1474" s="1">
        <v>0</v>
      </c>
      <c r="D1474" s="1">
        <v>16.38</v>
      </c>
      <c r="E1474" s="1" t="s">
        <v>56</v>
      </c>
      <c r="F1474" s="1" t="s">
        <v>3979</v>
      </c>
      <c r="G1474" s="3" t="s">
        <v>2436</v>
      </c>
      <c r="H1474" s="11">
        <f t="shared" si="47"/>
        <v>81.349999999999994</v>
      </c>
      <c r="I1474" s="9">
        <f>($K$2+0.02)*Tabla1[[#This Row],[PRECIO $]]*1.18</f>
        <v>67.262831999999989</v>
      </c>
      <c r="J1474" s="7">
        <f>+Tabla1[[#This Row],[PRECIO EN SOLES]]-Tabla1[[#This Row],[PC]]</f>
        <v>14.087168000000005</v>
      </c>
      <c r="K1474" s="15"/>
      <c r="L1474" s="15" t="str">
        <f t="shared" si="46"/>
        <v>NORMAL</v>
      </c>
    </row>
    <row r="1475" spans="1:12" x14ac:dyDescent="0.25">
      <c r="A1475" s="3" t="s">
        <v>2437</v>
      </c>
      <c r="B1475" s="3" t="s">
        <v>2438</v>
      </c>
      <c r="C1475" s="1">
        <v>0</v>
      </c>
      <c r="D1475" s="1">
        <v>999</v>
      </c>
      <c r="E1475" s="1" t="s">
        <v>247</v>
      </c>
      <c r="F1475" s="1" t="s">
        <v>3980</v>
      </c>
      <c r="G1475" s="3"/>
      <c r="H1475" s="11">
        <f t="shared" si="47"/>
        <v>4725.6400000000003</v>
      </c>
      <c r="I1475" s="9">
        <f>($K$2+0.02)*Tabla1[[#This Row],[PRECIO $]]*1.18</f>
        <v>4102.2936</v>
      </c>
      <c r="J1475" s="7">
        <f>+Tabla1[[#This Row],[PRECIO EN SOLES]]-Tabla1[[#This Row],[PC]]</f>
        <v>623.34640000000036</v>
      </c>
      <c r="K1475" s="15"/>
      <c r="L1475" s="15" t="str">
        <f t="shared" si="46"/>
        <v>NORMAL</v>
      </c>
    </row>
    <row r="1476" spans="1:12" x14ac:dyDescent="0.25">
      <c r="A1476" s="3" t="s">
        <v>2439</v>
      </c>
      <c r="B1476" s="3" t="s">
        <v>2440</v>
      </c>
      <c r="C1476" s="1">
        <v>2</v>
      </c>
      <c r="D1476" s="1">
        <v>195</v>
      </c>
      <c r="E1476" s="1" t="s">
        <v>247</v>
      </c>
      <c r="F1476" s="1" t="s">
        <v>3981</v>
      </c>
      <c r="G1476" s="3"/>
      <c r="H1476" s="11">
        <f t="shared" si="47"/>
        <v>928.86</v>
      </c>
      <c r="I1476" s="9">
        <f>($K$2+0.02)*Tabla1[[#This Row],[PRECIO $]]*1.18</f>
        <v>800.74799999999993</v>
      </c>
      <c r="J1476" s="7">
        <f>+Tabla1[[#This Row],[PRECIO EN SOLES]]-Tabla1[[#This Row],[PC]]</f>
        <v>128.11200000000008</v>
      </c>
      <c r="K1476" s="15"/>
      <c r="L1476" s="15" t="str">
        <f t="shared" si="46"/>
        <v>NORMAL</v>
      </c>
    </row>
    <row r="1477" spans="1:12" x14ac:dyDescent="0.25">
      <c r="A1477" s="3" t="s">
        <v>2441</v>
      </c>
      <c r="B1477" s="3" t="s">
        <v>2442</v>
      </c>
      <c r="C1477" s="1">
        <v>2</v>
      </c>
      <c r="D1477" s="1">
        <v>185</v>
      </c>
      <c r="E1477" s="1" t="s">
        <v>247</v>
      </c>
      <c r="F1477" s="1" t="s">
        <v>3982</v>
      </c>
      <c r="G1477" s="3"/>
      <c r="H1477" s="11">
        <f t="shared" si="47"/>
        <v>881.64</v>
      </c>
      <c r="I1477" s="9">
        <f>($K$2+0.02)*Tabla1[[#This Row],[PRECIO $]]*1.18</f>
        <v>759.68399999999986</v>
      </c>
      <c r="J1477" s="7">
        <f>+Tabla1[[#This Row],[PRECIO EN SOLES]]-Tabla1[[#This Row],[PC]]</f>
        <v>121.95600000000013</v>
      </c>
      <c r="K1477" s="15"/>
      <c r="L1477" s="15" t="str">
        <f t="shared" si="46"/>
        <v>NORMAL</v>
      </c>
    </row>
    <row r="1478" spans="1:12" x14ac:dyDescent="0.25">
      <c r="A1478" s="3" t="s">
        <v>2443</v>
      </c>
      <c r="B1478" s="3" t="s">
        <v>2444</v>
      </c>
      <c r="C1478" s="1">
        <v>5</v>
      </c>
      <c r="D1478" s="1">
        <v>188</v>
      </c>
      <c r="E1478" s="1" t="s">
        <v>1166</v>
      </c>
      <c r="F1478" s="1" t="s">
        <v>3983</v>
      </c>
      <c r="G1478" s="3" t="s">
        <v>2445</v>
      </c>
      <c r="H1478" s="11">
        <f t="shared" si="47"/>
        <v>895.8</v>
      </c>
      <c r="I1478" s="9">
        <f>($K$2+0.02)*Tabla1[[#This Row],[PRECIO $]]*1.18</f>
        <v>772.00319999999999</v>
      </c>
      <c r="J1478" s="7">
        <f>+Tabla1[[#This Row],[PRECIO EN SOLES]]-Tabla1[[#This Row],[PC]]</f>
        <v>123.79679999999996</v>
      </c>
      <c r="K1478" s="15"/>
      <c r="L1478" s="15" t="str">
        <f t="shared" si="46"/>
        <v>NORMAL</v>
      </c>
    </row>
    <row r="1479" spans="1:12" x14ac:dyDescent="0.25">
      <c r="A1479" s="3" t="s">
        <v>2446</v>
      </c>
      <c r="B1479" s="3" t="s">
        <v>2447</v>
      </c>
      <c r="C1479" s="1">
        <v>1</v>
      </c>
      <c r="D1479" s="1">
        <v>897</v>
      </c>
      <c r="E1479" s="1" t="s">
        <v>57</v>
      </c>
      <c r="F1479" s="1" t="s">
        <v>3984</v>
      </c>
      <c r="G1479" s="3" t="s">
        <v>2448</v>
      </c>
      <c r="H1479" s="11">
        <f t="shared" si="47"/>
        <v>4243.96</v>
      </c>
      <c r="I1479" s="9">
        <f>($K$2+0.02)*Tabla1[[#This Row],[PRECIO $]]*1.18</f>
        <v>3683.4407999999999</v>
      </c>
      <c r="J1479" s="7">
        <f>+Tabla1[[#This Row],[PRECIO EN SOLES]]-Tabla1[[#This Row],[PC]]</f>
        <v>560.51920000000018</v>
      </c>
      <c r="K1479" s="15"/>
      <c r="L1479" s="15" t="str">
        <f t="shared" si="46"/>
        <v>NORMAL</v>
      </c>
    </row>
    <row r="1480" spans="1:12" x14ac:dyDescent="0.25">
      <c r="A1480" s="3" t="s">
        <v>6923</v>
      </c>
      <c r="B1480" s="3" t="s">
        <v>6924</v>
      </c>
      <c r="C1480" s="1">
        <v>20</v>
      </c>
      <c r="D1480" s="1">
        <v>31.2</v>
      </c>
      <c r="E1480" s="1" t="s">
        <v>467</v>
      </c>
      <c r="F1480" s="1" t="s">
        <v>6925</v>
      </c>
      <c r="G1480" s="3" t="s">
        <v>6926</v>
      </c>
      <c r="H1480" s="11">
        <f t="shared" si="47"/>
        <v>153.34</v>
      </c>
      <c r="I1480" s="9">
        <f>($K$2+0.02)*Tabla1[[#This Row],[PRECIO $]]*1.18</f>
        <v>128.11967999999999</v>
      </c>
      <c r="J1480" s="7">
        <f>+Tabla1[[#This Row],[PRECIO EN SOLES]]-Tabla1[[#This Row],[PC]]</f>
        <v>25.220320000000015</v>
      </c>
      <c r="K1480" s="15"/>
      <c r="L1480" s="15" t="str">
        <f t="shared" si="46"/>
        <v>NORMAL</v>
      </c>
    </row>
    <row r="1481" spans="1:12" x14ac:dyDescent="0.25">
      <c r="A1481" s="3" t="s">
        <v>6927</v>
      </c>
      <c r="B1481" s="3" t="s">
        <v>6928</v>
      </c>
      <c r="C1481" s="1">
        <v>20</v>
      </c>
      <c r="D1481" s="1">
        <v>121.1</v>
      </c>
      <c r="E1481" s="1" t="s">
        <v>467</v>
      </c>
      <c r="F1481" s="1" t="s">
        <v>6929</v>
      </c>
      <c r="G1481" s="3" t="s">
        <v>6930</v>
      </c>
      <c r="H1481" s="11">
        <f t="shared" si="47"/>
        <v>579.88</v>
      </c>
      <c r="I1481" s="9">
        <f>($K$2+0.02)*Tabla1[[#This Row],[PRECIO $]]*1.18</f>
        <v>497.28503999999998</v>
      </c>
      <c r="J1481" s="7">
        <f>+Tabla1[[#This Row],[PRECIO EN SOLES]]-Tabla1[[#This Row],[PC]]</f>
        <v>82.594960000000015</v>
      </c>
      <c r="K1481" s="15"/>
      <c r="L1481" s="15" t="str">
        <f t="shared" si="46"/>
        <v>NORMAL</v>
      </c>
    </row>
    <row r="1482" spans="1:12" x14ac:dyDescent="0.25">
      <c r="A1482" s="3" t="s">
        <v>4528</v>
      </c>
      <c r="B1482" s="3" t="s">
        <v>4529</v>
      </c>
      <c r="C1482" s="1">
        <v>20</v>
      </c>
      <c r="D1482" s="1">
        <v>120.8</v>
      </c>
      <c r="E1482" s="1" t="s">
        <v>467</v>
      </c>
      <c r="F1482" s="1" t="s">
        <v>4530</v>
      </c>
      <c r="G1482" s="3" t="s">
        <v>4531</v>
      </c>
      <c r="H1482" s="11">
        <f t="shared" si="47"/>
        <v>578.46</v>
      </c>
      <c r="I1482" s="9">
        <f>($K$2+0.02)*Tabla1[[#This Row],[PRECIO $]]*1.18</f>
        <v>496.05311999999998</v>
      </c>
      <c r="J1482" s="7">
        <f>+Tabla1[[#This Row],[PRECIO EN SOLES]]-Tabla1[[#This Row],[PC]]</f>
        <v>82.406880000000058</v>
      </c>
      <c r="K1482" s="15"/>
      <c r="L1482" s="15" t="str">
        <f t="shared" si="46"/>
        <v>NORMAL</v>
      </c>
    </row>
    <row r="1483" spans="1:12" x14ac:dyDescent="0.25">
      <c r="A1483" s="3" t="s">
        <v>615</v>
      </c>
      <c r="B1483" s="3" t="s">
        <v>616</v>
      </c>
      <c r="C1483" s="1">
        <v>0</v>
      </c>
      <c r="D1483" s="1">
        <v>96.5</v>
      </c>
      <c r="E1483" s="1" t="s">
        <v>467</v>
      </c>
      <c r="F1483" s="1" t="s">
        <v>3985</v>
      </c>
      <c r="G1483" s="3" t="s">
        <v>617</v>
      </c>
      <c r="H1483" s="11">
        <f t="shared" si="47"/>
        <v>463.71</v>
      </c>
      <c r="I1483" s="9">
        <f>($K$2+0.02)*Tabla1[[#This Row],[PRECIO $]]*1.18</f>
        <v>396.26759999999996</v>
      </c>
      <c r="J1483" s="7">
        <f>+Tabla1[[#This Row],[PRECIO EN SOLES]]-Tabla1[[#This Row],[PC]]</f>
        <v>67.442400000000021</v>
      </c>
      <c r="K1483" s="15"/>
      <c r="L1483" s="15" t="str">
        <f t="shared" si="46"/>
        <v>NORMAL</v>
      </c>
    </row>
    <row r="1484" spans="1:12" x14ac:dyDescent="0.25">
      <c r="A1484" s="3" t="s">
        <v>4469</v>
      </c>
      <c r="B1484" s="3" t="s">
        <v>4841</v>
      </c>
      <c r="C1484" s="1">
        <v>20</v>
      </c>
      <c r="D1484" s="1">
        <v>48.2</v>
      </c>
      <c r="E1484" s="1" t="s">
        <v>198</v>
      </c>
      <c r="F1484" s="1" t="s">
        <v>4842</v>
      </c>
      <c r="G1484" s="3" t="s">
        <v>4843</v>
      </c>
      <c r="H1484" s="11">
        <f t="shared" si="47"/>
        <v>235.62</v>
      </c>
      <c r="I1484" s="9">
        <f>($K$2+0.02)*Tabla1[[#This Row],[PRECIO $]]*1.18</f>
        <v>197.92848000000001</v>
      </c>
      <c r="J1484" s="7">
        <f>+Tabla1[[#This Row],[PRECIO EN SOLES]]-Tabla1[[#This Row],[PC]]</f>
        <v>37.691519999999997</v>
      </c>
      <c r="K1484" s="15"/>
      <c r="L1484" s="15" t="str">
        <f t="shared" si="46"/>
        <v>NORMAL</v>
      </c>
    </row>
    <row r="1485" spans="1:12" x14ac:dyDescent="0.25">
      <c r="A1485" s="3" t="s">
        <v>5022</v>
      </c>
      <c r="B1485" s="3" t="s">
        <v>5023</v>
      </c>
      <c r="C1485" s="1">
        <v>20</v>
      </c>
      <c r="D1485" s="1">
        <v>51.25</v>
      </c>
      <c r="E1485" s="1" t="s">
        <v>467</v>
      </c>
      <c r="F1485" s="1" t="s">
        <v>5024</v>
      </c>
      <c r="G1485" s="3" t="s">
        <v>5025</v>
      </c>
      <c r="H1485" s="11">
        <f t="shared" si="47"/>
        <v>250.02</v>
      </c>
      <c r="I1485" s="9">
        <f>($K$2+0.02)*Tabla1[[#This Row],[PRECIO $]]*1.18</f>
        <v>210.45299999999997</v>
      </c>
      <c r="J1485" s="7">
        <f>+Tabla1[[#This Row],[PRECIO EN SOLES]]-Tabla1[[#This Row],[PC]]</f>
        <v>39.567000000000036</v>
      </c>
      <c r="K1485" s="15"/>
      <c r="L1485" s="15" t="str">
        <f t="shared" si="46"/>
        <v>NORMAL</v>
      </c>
    </row>
    <row r="1486" spans="1:12" x14ac:dyDescent="0.25">
      <c r="A1486" s="3" t="s">
        <v>2449</v>
      </c>
      <c r="B1486" s="3" t="s">
        <v>2450</v>
      </c>
      <c r="C1486" s="1">
        <v>9</v>
      </c>
      <c r="D1486" s="1">
        <v>170.5</v>
      </c>
      <c r="E1486" s="1" t="s">
        <v>198</v>
      </c>
      <c r="F1486" s="1" t="s">
        <v>3986</v>
      </c>
      <c r="G1486" s="3" t="s">
        <v>2451</v>
      </c>
      <c r="H1486" s="11">
        <f t="shared" si="47"/>
        <v>813.16</v>
      </c>
      <c r="I1486" s="9">
        <f>($K$2+0.02)*Tabla1[[#This Row],[PRECIO $]]*1.18</f>
        <v>700.14120000000003</v>
      </c>
      <c r="J1486" s="7">
        <f>+Tabla1[[#This Row],[PRECIO EN SOLES]]-Tabla1[[#This Row],[PC]]</f>
        <v>113.01879999999994</v>
      </c>
      <c r="K1486" s="15"/>
      <c r="L1486" s="15" t="str">
        <f t="shared" si="46"/>
        <v>NORMAL</v>
      </c>
    </row>
    <row r="1487" spans="1:12" x14ac:dyDescent="0.25">
      <c r="A1487" s="3" t="s">
        <v>683</v>
      </c>
      <c r="B1487" s="3" t="s">
        <v>684</v>
      </c>
      <c r="C1487" s="1">
        <v>3</v>
      </c>
      <c r="D1487" s="1">
        <v>163.9</v>
      </c>
      <c r="E1487" s="1" t="s">
        <v>467</v>
      </c>
      <c r="F1487" s="1" t="s">
        <v>3987</v>
      </c>
      <c r="G1487" s="3" t="s">
        <v>685</v>
      </c>
      <c r="H1487" s="11">
        <f t="shared" si="47"/>
        <v>781.99</v>
      </c>
      <c r="I1487" s="9">
        <f>($K$2+0.02)*Tabla1[[#This Row],[PRECIO $]]*1.18</f>
        <v>673.03896000000009</v>
      </c>
      <c r="J1487" s="7">
        <f>+Tabla1[[#This Row],[PRECIO EN SOLES]]-Tabla1[[#This Row],[PC]]</f>
        <v>108.95103999999992</v>
      </c>
      <c r="K1487" s="15"/>
      <c r="L1487" s="15" t="str">
        <f t="shared" si="46"/>
        <v>NORMAL</v>
      </c>
    </row>
    <row r="1488" spans="1:12" x14ac:dyDescent="0.25">
      <c r="A1488" s="3" t="s">
        <v>4844</v>
      </c>
      <c r="B1488" s="3" t="s">
        <v>4845</v>
      </c>
      <c r="C1488" s="1">
        <v>20</v>
      </c>
      <c r="D1488" s="1">
        <v>75.3</v>
      </c>
      <c r="E1488" s="1" t="s">
        <v>198</v>
      </c>
      <c r="F1488" s="1" t="s">
        <v>4846</v>
      </c>
      <c r="G1488" s="3" t="s">
        <v>4847</v>
      </c>
      <c r="H1488" s="11">
        <f t="shared" si="47"/>
        <v>363.59</v>
      </c>
      <c r="I1488" s="9">
        <f>($K$2+0.02)*Tabla1[[#This Row],[PRECIO $]]*1.18</f>
        <v>309.21191999999996</v>
      </c>
      <c r="J1488" s="7">
        <f>+Tabla1[[#This Row],[PRECIO EN SOLES]]-Tabla1[[#This Row],[PC]]</f>
        <v>54.378080000000011</v>
      </c>
      <c r="K1488" s="15"/>
      <c r="L1488" s="15" t="str">
        <f t="shared" ref="L1488:L1551" si="48"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89" spans="1:12" x14ac:dyDescent="0.25">
      <c r="A1489" s="3" t="s">
        <v>2452</v>
      </c>
      <c r="B1489" s="3" t="s">
        <v>2453</v>
      </c>
      <c r="C1489" s="1">
        <v>0</v>
      </c>
      <c r="D1489" s="1">
        <v>71.400000000000006</v>
      </c>
      <c r="E1489" s="1" t="s">
        <v>467</v>
      </c>
      <c r="F1489" s="1" t="s">
        <v>3988</v>
      </c>
      <c r="G1489" s="3" t="s">
        <v>2454</v>
      </c>
      <c r="H1489" s="11">
        <f t="shared" si="47"/>
        <v>345.18</v>
      </c>
      <c r="I1489" s="9">
        <f>($K$2+0.02)*Tabla1[[#This Row],[PRECIO $]]*1.18</f>
        <v>293.19695999999999</v>
      </c>
      <c r="J1489" s="7">
        <f>+Tabla1[[#This Row],[PRECIO EN SOLES]]-Tabla1[[#This Row],[PC]]</f>
        <v>51.983040000000017</v>
      </c>
      <c r="K1489" s="15"/>
      <c r="L1489" s="15" t="str">
        <f t="shared" si="48"/>
        <v>NORMAL</v>
      </c>
    </row>
    <row r="1490" spans="1:12" x14ac:dyDescent="0.25">
      <c r="A1490" s="3" t="s">
        <v>5167</v>
      </c>
      <c r="B1490" s="3" t="s">
        <v>5168</v>
      </c>
      <c r="C1490" s="1">
        <v>20</v>
      </c>
      <c r="D1490" s="1">
        <v>47.2</v>
      </c>
      <c r="E1490" s="1" t="s">
        <v>5169</v>
      </c>
      <c r="F1490" s="1" t="s">
        <v>5170</v>
      </c>
      <c r="G1490" s="3" t="s">
        <v>5171</v>
      </c>
      <c r="H1490" s="11">
        <f t="shared" ref="H1490:H1553" si="49">ROUND(
IF(L1488="GANCHO",
   IF(I1490&lt;=50,I1490*1.1+4,IF(I1490&lt;=120,I1490*1.1+7,IF(I1490&lt;=250,I1490*1.1+11,I1490*1.1+19))),
IF(L1488="NORMAL",
   IF(I1490&lt;=30,I1490*1.15+2,IF(I1490&lt;=80,I1490*1.15+4,IF(I1490&lt;=150,I1490*1.15+6,I1490*1.15+8))),
IF(L1488="COMPLEMENTO",
   IF(I1490&lt;=25,I1490*1.25+1.5,IF(I1490&lt;=60,I1490*1.25+3,IF(I1490&lt;=120,I1490*1.25+4,I1490*1.25+5))),
""))),2)</f>
        <v>230.9</v>
      </c>
      <c r="I1490" s="9">
        <f>($K$2+0.02)*Tabla1[[#This Row],[PRECIO $]]*1.18</f>
        <v>193.82208</v>
      </c>
      <c r="J1490" s="7">
        <f>+Tabla1[[#This Row],[PRECIO EN SOLES]]-Tabla1[[#This Row],[PC]]</f>
        <v>37.077920000000006</v>
      </c>
      <c r="K1490" s="15"/>
      <c r="L1490" s="15" t="str">
        <f t="shared" si="48"/>
        <v>NORMAL</v>
      </c>
    </row>
    <row r="1491" spans="1:12" x14ac:dyDescent="0.25">
      <c r="A1491" s="3" t="s">
        <v>5172</v>
      </c>
      <c r="B1491" s="3" t="s">
        <v>5173</v>
      </c>
      <c r="C1491" s="1">
        <v>20</v>
      </c>
      <c r="D1491" s="1">
        <v>80.3</v>
      </c>
      <c r="E1491" s="1" t="s">
        <v>5169</v>
      </c>
      <c r="F1491" s="1" t="s">
        <v>5174</v>
      </c>
      <c r="G1491" s="3" t="s">
        <v>5175</v>
      </c>
      <c r="H1491" s="11">
        <f t="shared" si="49"/>
        <v>387.21</v>
      </c>
      <c r="I1491" s="9">
        <f>($K$2+0.02)*Tabla1[[#This Row],[PRECIO $]]*1.18</f>
        <v>329.74392</v>
      </c>
      <c r="J1491" s="7">
        <f>+Tabla1[[#This Row],[PRECIO EN SOLES]]-Tabla1[[#This Row],[PC]]</f>
        <v>57.466079999999977</v>
      </c>
      <c r="K1491" s="15"/>
      <c r="L1491" s="15" t="str">
        <f t="shared" si="48"/>
        <v>NORMAL</v>
      </c>
    </row>
    <row r="1492" spans="1:12" x14ac:dyDescent="0.25">
      <c r="A1492" s="3" t="s">
        <v>5477</v>
      </c>
      <c r="B1492" s="3" t="s">
        <v>5478</v>
      </c>
      <c r="C1492" s="1">
        <v>20</v>
      </c>
      <c r="D1492" s="1">
        <v>136.30000000000001</v>
      </c>
      <c r="E1492" s="1" t="s">
        <v>199</v>
      </c>
      <c r="F1492" s="1" t="s">
        <v>5479</v>
      </c>
      <c r="G1492" s="3" t="s">
        <v>6132</v>
      </c>
      <c r="H1492" s="11">
        <f t="shared" si="49"/>
        <v>651.66</v>
      </c>
      <c r="I1492" s="9">
        <f>($K$2+0.02)*Tabla1[[#This Row],[PRECIO $]]*1.18</f>
        <v>559.70231999999999</v>
      </c>
      <c r="J1492" s="7">
        <f>+Tabla1[[#This Row],[PRECIO EN SOLES]]-Tabla1[[#This Row],[PC]]</f>
        <v>91.957679999999982</v>
      </c>
      <c r="K1492" s="15"/>
      <c r="L1492" s="15" t="str">
        <f t="shared" si="48"/>
        <v>NORMAL</v>
      </c>
    </row>
    <row r="1493" spans="1:12" x14ac:dyDescent="0.25">
      <c r="A1493" s="3" t="s">
        <v>5480</v>
      </c>
      <c r="B1493" s="3" t="s">
        <v>5481</v>
      </c>
      <c r="C1493" s="1">
        <v>20</v>
      </c>
      <c r="D1493" s="1">
        <v>47.2</v>
      </c>
      <c r="E1493" s="1" t="s">
        <v>199</v>
      </c>
      <c r="F1493" s="1" t="s">
        <v>5482</v>
      </c>
      <c r="G1493" s="3" t="s">
        <v>5483</v>
      </c>
      <c r="H1493" s="11">
        <f t="shared" si="49"/>
        <v>230.9</v>
      </c>
      <c r="I1493" s="9">
        <f>($K$2+0.02)*Tabla1[[#This Row],[PRECIO $]]*1.18</f>
        <v>193.82208</v>
      </c>
      <c r="J1493" s="7">
        <f>+Tabla1[[#This Row],[PRECIO EN SOLES]]-Tabla1[[#This Row],[PC]]</f>
        <v>37.077920000000006</v>
      </c>
      <c r="K1493" s="15"/>
      <c r="L1493" s="15" t="str">
        <f t="shared" si="48"/>
        <v>NORMAL</v>
      </c>
    </row>
    <row r="1494" spans="1:12" x14ac:dyDescent="0.25">
      <c r="A1494" s="3" t="s">
        <v>5484</v>
      </c>
      <c r="B1494" s="3" t="s">
        <v>5485</v>
      </c>
      <c r="C1494" s="1">
        <v>20</v>
      </c>
      <c r="D1494" s="1">
        <v>76.3</v>
      </c>
      <c r="E1494" s="1" t="s">
        <v>199</v>
      </c>
      <c r="F1494" s="1" t="s">
        <v>5486</v>
      </c>
      <c r="G1494" s="3" t="s">
        <v>5487</v>
      </c>
      <c r="H1494" s="11">
        <f t="shared" si="49"/>
        <v>368.32</v>
      </c>
      <c r="I1494" s="9">
        <f>($K$2+0.02)*Tabla1[[#This Row],[PRECIO $]]*1.18</f>
        <v>313.31831999999997</v>
      </c>
      <c r="J1494" s="7">
        <f>+Tabla1[[#This Row],[PRECIO EN SOLES]]-Tabla1[[#This Row],[PC]]</f>
        <v>55.001680000000022</v>
      </c>
      <c r="K1494" s="15"/>
      <c r="L1494" s="15" t="str">
        <f t="shared" si="48"/>
        <v>NORMAL</v>
      </c>
    </row>
    <row r="1495" spans="1:12" x14ac:dyDescent="0.25">
      <c r="A1495" s="3" t="s">
        <v>2898</v>
      </c>
      <c r="B1495" s="3" t="s">
        <v>2899</v>
      </c>
      <c r="C1495" s="1">
        <v>20</v>
      </c>
      <c r="D1495" s="1">
        <v>653.5</v>
      </c>
      <c r="E1495" s="1" t="s">
        <v>196</v>
      </c>
      <c r="F1495" s="1" t="s">
        <v>3989</v>
      </c>
      <c r="G1495" s="3" t="s">
        <v>2900</v>
      </c>
      <c r="H1495" s="11">
        <f t="shared" si="49"/>
        <v>3094.06</v>
      </c>
      <c r="I1495" s="9">
        <f>($K$2+0.02)*Tabla1[[#This Row],[PRECIO $]]*1.18</f>
        <v>2683.5323999999996</v>
      </c>
      <c r="J1495" s="7">
        <f>+Tabla1[[#This Row],[PRECIO EN SOLES]]-Tabla1[[#This Row],[PC]]</f>
        <v>410.52760000000035</v>
      </c>
      <c r="K1495" s="15"/>
      <c r="L1495" s="15" t="str">
        <f t="shared" si="48"/>
        <v>NORMAL</v>
      </c>
    </row>
    <row r="1496" spans="1:12" x14ac:dyDescent="0.25">
      <c r="A1496" s="3" t="s">
        <v>2901</v>
      </c>
      <c r="B1496" s="3" t="s">
        <v>2902</v>
      </c>
      <c r="C1496" s="1">
        <v>3</v>
      </c>
      <c r="D1496" s="1">
        <v>1291</v>
      </c>
      <c r="E1496" s="1" t="s">
        <v>196</v>
      </c>
      <c r="F1496" s="1" t="s">
        <v>3990</v>
      </c>
      <c r="G1496" s="3" t="s">
        <v>2903</v>
      </c>
      <c r="H1496" s="11">
        <f t="shared" si="49"/>
        <v>6104.57</v>
      </c>
      <c r="I1496" s="9">
        <f>($K$2+0.02)*Tabla1[[#This Row],[PRECIO $]]*1.18</f>
        <v>5301.3624</v>
      </c>
      <c r="J1496" s="7">
        <f>+Tabla1[[#This Row],[PRECIO EN SOLES]]-Tabla1[[#This Row],[PC]]</f>
        <v>803.20759999999973</v>
      </c>
      <c r="K1496" s="15"/>
      <c r="L1496" s="15" t="str">
        <f t="shared" si="48"/>
        <v>NORMAL</v>
      </c>
    </row>
    <row r="1497" spans="1:12" x14ac:dyDescent="0.25">
      <c r="A1497" s="3" t="s">
        <v>2455</v>
      </c>
      <c r="B1497" s="3" t="s">
        <v>2456</v>
      </c>
      <c r="C1497" s="1">
        <v>12</v>
      </c>
      <c r="D1497" s="1">
        <v>266.5</v>
      </c>
      <c r="E1497" s="1" t="s">
        <v>196</v>
      </c>
      <c r="F1497" s="1" t="s">
        <v>3991</v>
      </c>
      <c r="G1497" s="3" t="s">
        <v>2457</v>
      </c>
      <c r="H1497" s="11">
        <f t="shared" si="49"/>
        <v>1266.51</v>
      </c>
      <c r="I1497" s="9">
        <f>($K$2+0.02)*Tabla1[[#This Row],[PRECIO $]]*1.18</f>
        <v>1094.3555999999999</v>
      </c>
      <c r="J1497" s="7">
        <f>+Tabla1[[#This Row],[PRECIO EN SOLES]]-Tabla1[[#This Row],[PC]]</f>
        <v>172.15440000000012</v>
      </c>
      <c r="K1497" s="15"/>
      <c r="L1497" s="15" t="str">
        <f t="shared" si="48"/>
        <v>NORMAL</v>
      </c>
    </row>
    <row r="1498" spans="1:12" x14ac:dyDescent="0.25">
      <c r="A1498" s="3" t="s">
        <v>2458</v>
      </c>
      <c r="B1498" s="3" t="s">
        <v>2459</v>
      </c>
      <c r="C1498" s="1">
        <v>20</v>
      </c>
      <c r="D1498" s="1">
        <v>2301</v>
      </c>
      <c r="E1498" s="1" t="s">
        <v>196</v>
      </c>
      <c r="F1498" s="1" t="s">
        <v>3992</v>
      </c>
      <c r="G1498" s="3" t="s">
        <v>2460</v>
      </c>
      <c r="H1498" s="11">
        <f t="shared" si="49"/>
        <v>10874.15</v>
      </c>
      <c r="I1498" s="9">
        <f>($K$2+0.02)*Tabla1[[#This Row],[PRECIO $]]*1.18</f>
        <v>9448.8263999999981</v>
      </c>
      <c r="J1498" s="7">
        <f>+Tabla1[[#This Row],[PRECIO EN SOLES]]-Tabla1[[#This Row],[PC]]</f>
        <v>1425.3236000000015</v>
      </c>
      <c r="K1498" s="15"/>
      <c r="L1498" s="15" t="str">
        <f t="shared" si="48"/>
        <v>NORMAL</v>
      </c>
    </row>
    <row r="1499" spans="1:12" x14ac:dyDescent="0.25">
      <c r="A1499" s="3" t="s">
        <v>2904</v>
      </c>
      <c r="B1499" s="3" t="s">
        <v>2905</v>
      </c>
      <c r="C1499" s="1">
        <v>0</v>
      </c>
      <c r="D1499" s="1">
        <v>373.5</v>
      </c>
      <c r="E1499" s="1" t="s">
        <v>196</v>
      </c>
      <c r="F1499" s="1" t="s">
        <v>3993</v>
      </c>
      <c r="G1499" s="3" t="s">
        <v>2906</v>
      </c>
      <c r="H1499" s="11">
        <f t="shared" si="49"/>
        <v>1771.8</v>
      </c>
      <c r="I1499" s="9">
        <f>($K$2+0.02)*Tabla1[[#This Row],[PRECIO $]]*1.18</f>
        <v>1533.7403999999999</v>
      </c>
      <c r="J1499" s="7">
        <f>+Tabla1[[#This Row],[PRECIO EN SOLES]]-Tabla1[[#This Row],[PC]]</f>
        <v>238.05960000000005</v>
      </c>
      <c r="K1499" s="15"/>
      <c r="L1499" s="15" t="str">
        <f t="shared" si="48"/>
        <v>NORMAL</v>
      </c>
    </row>
    <row r="1500" spans="1:12" x14ac:dyDescent="0.25">
      <c r="A1500" s="3" t="s">
        <v>468</v>
      </c>
      <c r="B1500" s="3" t="s">
        <v>469</v>
      </c>
      <c r="C1500" s="1">
        <v>20</v>
      </c>
      <c r="D1500" s="1">
        <v>49.3</v>
      </c>
      <c r="E1500" s="1" t="s">
        <v>196</v>
      </c>
      <c r="F1500" s="1" t="s">
        <v>3994</v>
      </c>
      <c r="G1500" s="3" t="s">
        <v>470</v>
      </c>
      <c r="H1500" s="11">
        <f t="shared" si="49"/>
        <v>240.81</v>
      </c>
      <c r="I1500" s="9">
        <f>($K$2+0.02)*Tabla1[[#This Row],[PRECIO $]]*1.18</f>
        <v>202.44551999999999</v>
      </c>
      <c r="J1500" s="7">
        <f>+Tabla1[[#This Row],[PRECIO EN SOLES]]-Tabla1[[#This Row],[PC]]</f>
        <v>38.364480000000015</v>
      </c>
      <c r="K1500" s="15"/>
      <c r="L1500" s="15" t="str">
        <f t="shared" si="48"/>
        <v>NORMAL</v>
      </c>
    </row>
    <row r="1501" spans="1:12" x14ac:dyDescent="0.25">
      <c r="A1501" s="3" t="s">
        <v>6133</v>
      </c>
      <c r="B1501" s="3" t="s">
        <v>6134</v>
      </c>
      <c r="C1501" s="1">
        <v>20</v>
      </c>
      <c r="D1501" s="1">
        <v>96.3</v>
      </c>
      <c r="E1501" s="1" t="s">
        <v>196</v>
      </c>
      <c r="F1501" s="1" t="s">
        <v>6135</v>
      </c>
      <c r="G1501" s="3" t="s">
        <v>6136</v>
      </c>
      <c r="H1501" s="11">
        <f t="shared" si="49"/>
        <v>462.76</v>
      </c>
      <c r="I1501" s="9">
        <f>($K$2+0.02)*Tabla1[[#This Row],[PRECIO $]]*1.18</f>
        <v>395.44631999999996</v>
      </c>
      <c r="J1501" s="7">
        <f>+Tabla1[[#This Row],[PRECIO EN SOLES]]-Tabla1[[#This Row],[PC]]</f>
        <v>67.313680000000033</v>
      </c>
      <c r="K1501" s="15"/>
      <c r="L1501" s="15" t="str">
        <f t="shared" si="48"/>
        <v>NORMAL</v>
      </c>
    </row>
    <row r="1502" spans="1:12" x14ac:dyDescent="0.25">
      <c r="A1502" s="3" t="s">
        <v>471</v>
      </c>
      <c r="B1502" s="3" t="s">
        <v>472</v>
      </c>
      <c r="C1502" s="1">
        <v>20</v>
      </c>
      <c r="D1502" s="1">
        <v>100.3</v>
      </c>
      <c r="E1502" s="1" t="s">
        <v>196</v>
      </c>
      <c r="F1502" s="1" t="s">
        <v>3995</v>
      </c>
      <c r="G1502" s="3" t="s">
        <v>473</v>
      </c>
      <c r="H1502" s="11">
        <f t="shared" si="49"/>
        <v>481.65</v>
      </c>
      <c r="I1502" s="9">
        <f>($K$2+0.02)*Tabla1[[#This Row],[PRECIO $]]*1.18</f>
        <v>411.87191999999993</v>
      </c>
      <c r="J1502" s="7">
        <f>+Tabla1[[#This Row],[PRECIO EN SOLES]]-Tabla1[[#This Row],[PC]]</f>
        <v>69.778080000000045</v>
      </c>
      <c r="K1502" s="15"/>
      <c r="L1502" s="15" t="str">
        <f t="shared" si="48"/>
        <v>NORMAL</v>
      </c>
    </row>
    <row r="1503" spans="1:12" x14ac:dyDescent="0.25">
      <c r="A1503" s="3" t="s">
        <v>474</v>
      </c>
      <c r="B1503" s="3" t="s">
        <v>475</v>
      </c>
      <c r="C1503" s="1">
        <v>20</v>
      </c>
      <c r="D1503" s="1">
        <v>148.30000000000001</v>
      </c>
      <c r="E1503" s="1" t="s">
        <v>196</v>
      </c>
      <c r="F1503" s="1" t="s">
        <v>3996</v>
      </c>
      <c r="G1503" s="3" t="s">
        <v>476</v>
      </c>
      <c r="H1503" s="11">
        <f t="shared" si="49"/>
        <v>708.33</v>
      </c>
      <c r="I1503" s="9">
        <f>($K$2+0.02)*Tabla1[[#This Row],[PRECIO $]]*1.18</f>
        <v>608.97912000000008</v>
      </c>
      <c r="J1503" s="7">
        <f>+Tabla1[[#This Row],[PRECIO EN SOLES]]-Tabla1[[#This Row],[PC]]</f>
        <v>99.350879999999961</v>
      </c>
      <c r="K1503" s="15"/>
      <c r="L1503" s="15" t="str">
        <f t="shared" si="48"/>
        <v>NORMAL</v>
      </c>
    </row>
    <row r="1504" spans="1:12" x14ac:dyDescent="0.25">
      <c r="A1504" s="3" t="s">
        <v>477</v>
      </c>
      <c r="B1504" s="3" t="s">
        <v>478</v>
      </c>
      <c r="C1504" s="1">
        <v>20</v>
      </c>
      <c r="D1504" s="1">
        <v>54.3</v>
      </c>
      <c r="E1504" s="1" t="s">
        <v>196</v>
      </c>
      <c r="F1504" s="1" t="s">
        <v>3997</v>
      </c>
      <c r="G1504" s="3" t="s">
        <v>479</v>
      </c>
      <c r="H1504" s="11">
        <f t="shared" si="49"/>
        <v>264.42</v>
      </c>
      <c r="I1504" s="9">
        <f>($K$2+0.02)*Tabla1[[#This Row],[PRECIO $]]*1.18</f>
        <v>222.97752</v>
      </c>
      <c r="J1504" s="7">
        <f>+Tabla1[[#This Row],[PRECIO EN SOLES]]-Tabla1[[#This Row],[PC]]</f>
        <v>41.442480000000018</v>
      </c>
      <c r="K1504" s="15"/>
      <c r="L1504" s="15" t="str">
        <f t="shared" si="48"/>
        <v>NORMAL</v>
      </c>
    </row>
    <row r="1505" spans="1:12" x14ac:dyDescent="0.25">
      <c r="A1505" s="3" t="s">
        <v>686</v>
      </c>
      <c r="B1505" s="3" t="s">
        <v>687</v>
      </c>
      <c r="C1505" s="1">
        <v>20</v>
      </c>
      <c r="D1505" s="1">
        <v>89.9</v>
      </c>
      <c r="E1505" s="1" t="s">
        <v>196</v>
      </c>
      <c r="F1505" s="1" t="s">
        <v>3998</v>
      </c>
      <c r="G1505" s="3" t="s">
        <v>688</v>
      </c>
      <c r="H1505" s="11">
        <f t="shared" si="49"/>
        <v>432.54</v>
      </c>
      <c r="I1505" s="9">
        <f>($K$2+0.02)*Tabla1[[#This Row],[PRECIO $]]*1.18</f>
        <v>369.16536000000002</v>
      </c>
      <c r="J1505" s="7">
        <f>+Tabla1[[#This Row],[PRECIO EN SOLES]]-Tabla1[[#This Row],[PC]]</f>
        <v>63.374639999999999</v>
      </c>
      <c r="K1505" s="15"/>
      <c r="L1505" s="15" t="str">
        <f t="shared" si="48"/>
        <v>NORMAL</v>
      </c>
    </row>
    <row r="1506" spans="1:12" x14ac:dyDescent="0.25">
      <c r="A1506" s="3" t="s">
        <v>2797</v>
      </c>
      <c r="B1506" s="3" t="s">
        <v>2798</v>
      </c>
      <c r="C1506" s="1">
        <v>7</v>
      </c>
      <c r="D1506" s="1">
        <v>98.3</v>
      </c>
      <c r="E1506" s="1" t="s">
        <v>218</v>
      </c>
      <c r="F1506" s="1" t="s">
        <v>3999</v>
      </c>
      <c r="G1506" s="3" t="s">
        <v>2799</v>
      </c>
      <c r="H1506" s="11">
        <f t="shared" si="49"/>
        <v>472.21</v>
      </c>
      <c r="I1506" s="9">
        <f>($K$2+0.02)*Tabla1[[#This Row],[PRECIO $]]*1.18</f>
        <v>403.65911999999997</v>
      </c>
      <c r="J1506" s="7">
        <f>+Tabla1[[#This Row],[PRECIO EN SOLES]]-Tabla1[[#This Row],[PC]]</f>
        <v>68.550880000000006</v>
      </c>
      <c r="K1506" s="15"/>
      <c r="L1506" s="15" t="str">
        <f t="shared" si="48"/>
        <v>NORMAL</v>
      </c>
    </row>
    <row r="1507" spans="1:12" x14ac:dyDescent="0.25">
      <c r="A1507" s="3" t="s">
        <v>5026</v>
      </c>
      <c r="B1507" s="3" t="s">
        <v>5027</v>
      </c>
      <c r="C1507" s="1">
        <v>17</v>
      </c>
      <c r="D1507" s="1">
        <v>71.400000000000006</v>
      </c>
      <c r="E1507" s="1" t="s">
        <v>467</v>
      </c>
      <c r="F1507" s="1" t="s">
        <v>5028</v>
      </c>
      <c r="G1507" s="3" t="s">
        <v>5029</v>
      </c>
      <c r="H1507" s="11">
        <f t="shared" si="49"/>
        <v>345.18</v>
      </c>
      <c r="I1507" s="9">
        <f>($K$2+0.02)*Tabla1[[#This Row],[PRECIO $]]*1.18</f>
        <v>293.19695999999999</v>
      </c>
      <c r="J1507" s="7">
        <f>+Tabla1[[#This Row],[PRECIO EN SOLES]]-Tabla1[[#This Row],[PC]]</f>
        <v>51.983040000000017</v>
      </c>
      <c r="K1507" s="15"/>
      <c r="L1507" s="15" t="str">
        <f t="shared" si="48"/>
        <v>NORMAL</v>
      </c>
    </row>
    <row r="1508" spans="1:12" x14ac:dyDescent="0.25">
      <c r="A1508" s="3" t="s">
        <v>2461</v>
      </c>
      <c r="B1508" s="3" t="s">
        <v>2462</v>
      </c>
      <c r="C1508" s="1">
        <v>20</v>
      </c>
      <c r="D1508" s="1">
        <v>210.5</v>
      </c>
      <c r="E1508" s="1" t="s">
        <v>218</v>
      </c>
      <c r="F1508" s="1" t="s">
        <v>4000</v>
      </c>
      <c r="G1508" s="3" t="s">
        <v>2463</v>
      </c>
      <c r="H1508" s="11">
        <f t="shared" si="49"/>
        <v>1002.06</v>
      </c>
      <c r="I1508" s="9">
        <f>($K$2+0.02)*Tabla1[[#This Row],[PRECIO $]]*1.18</f>
        <v>864.39719999999988</v>
      </c>
      <c r="J1508" s="7">
        <f>+Tabla1[[#This Row],[PRECIO EN SOLES]]-Tabla1[[#This Row],[PC]]</f>
        <v>137.66280000000006</v>
      </c>
      <c r="K1508" s="15"/>
      <c r="L1508" s="15" t="str">
        <f t="shared" si="48"/>
        <v>NORMAL</v>
      </c>
    </row>
    <row r="1509" spans="1:12" x14ac:dyDescent="0.25">
      <c r="A1509" s="3" t="s">
        <v>480</v>
      </c>
      <c r="B1509" s="3" t="s">
        <v>481</v>
      </c>
      <c r="C1509" s="1">
        <v>0</v>
      </c>
      <c r="D1509" s="1">
        <v>81.3</v>
      </c>
      <c r="E1509" s="1" t="s">
        <v>218</v>
      </c>
      <c r="F1509" s="1" t="s">
        <v>4001</v>
      </c>
      <c r="G1509" s="3" t="s">
        <v>482</v>
      </c>
      <c r="H1509" s="11">
        <f t="shared" si="49"/>
        <v>391.93</v>
      </c>
      <c r="I1509" s="9">
        <f>($K$2+0.02)*Tabla1[[#This Row],[PRECIO $]]*1.18</f>
        <v>333.85031999999995</v>
      </c>
      <c r="J1509" s="7">
        <f>+Tabla1[[#This Row],[PRECIO EN SOLES]]-Tabla1[[#This Row],[PC]]</f>
        <v>58.079680000000053</v>
      </c>
      <c r="K1509" s="15"/>
      <c r="L1509" s="15" t="str">
        <f t="shared" si="48"/>
        <v>NORMAL</v>
      </c>
    </row>
    <row r="1510" spans="1:12" x14ac:dyDescent="0.25">
      <c r="A1510" s="3" t="s">
        <v>4848</v>
      </c>
      <c r="B1510" s="3" t="s">
        <v>4849</v>
      </c>
      <c r="C1510" s="1">
        <v>20</v>
      </c>
      <c r="D1510" s="1">
        <v>159.4</v>
      </c>
      <c r="E1510" s="1" t="s">
        <v>198</v>
      </c>
      <c r="F1510" s="1" t="s">
        <v>4850</v>
      </c>
      <c r="G1510" s="3" t="s">
        <v>4851</v>
      </c>
      <c r="H1510" s="11">
        <f t="shared" si="49"/>
        <v>760.74</v>
      </c>
      <c r="I1510" s="9">
        <f>($K$2+0.02)*Tabla1[[#This Row],[PRECIO $]]*1.18</f>
        <v>654.56016</v>
      </c>
      <c r="J1510" s="7">
        <f>+Tabla1[[#This Row],[PRECIO EN SOLES]]-Tabla1[[#This Row],[PC]]</f>
        <v>106.17984000000001</v>
      </c>
      <c r="K1510" s="15"/>
      <c r="L1510" s="15" t="str">
        <f t="shared" si="48"/>
        <v>NORMAL</v>
      </c>
    </row>
    <row r="1511" spans="1:12" x14ac:dyDescent="0.25">
      <c r="A1511" s="3" t="s">
        <v>5030</v>
      </c>
      <c r="B1511" s="3" t="s">
        <v>5031</v>
      </c>
      <c r="C1511" s="1">
        <v>20</v>
      </c>
      <c r="D1511" s="1">
        <v>157.80000000000001</v>
      </c>
      <c r="E1511" s="1" t="s">
        <v>467</v>
      </c>
      <c r="F1511" s="1" t="s">
        <v>5032</v>
      </c>
      <c r="G1511" s="3" t="s">
        <v>5488</v>
      </c>
      <c r="H1511" s="11">
        <f t="shared" si="49"/>
        <v>753.19</v>
      </c>
      <c r="I1511" s="9">
        <f>($K$2+0.02)*Tabla1[[#This Row],[PRECIO $]]*1.18</f>
        <v>647.98991999999998</v>
      </c>
      <c r="J1511" s="7">
        <f>+Tabla1[[#This Row],[PRECIO EN SOLES]]-Tabla1[[#This Row],[PC]]</f>
        <v>105.20008000000007</v>
      </c>
      <c r="K1511" s="15"/>
      <c r="L1511" s="15" t="str">
        <f t="shared" si="48"/>
        <v>NORMAL</v>
      </c>
    </row>
    <row r="1512" spans="1:12" x14ac:dyDescent="0.25">
      <c r="A1512" s="3" t="s">
        <v>618</v>
      </c>
      <c r="B1512" s="3" t="s">
        <v>619</v>
      </c>
      <c r="C1512" s="1">
        <v>20</v>
      </c>
      <c r="D1512" s="1">
        <v>62.25</v>
      </c>
      <c r="E1512" s="1" t="s">
        <v>467</v>
      </c>
      <c r="F1512" s="1" t="s">
        <v>4002</v>
      </c>
      <c r="G1512" s="3" t="s">
        <v>620</v>
      </c>
      <c r="H1512" s="11">
        <f t="shared" si="49"/>
        <v>301.97000000000003</v>
      </c>
      <c r="I1512" s="9">
        <f>($K$2+0.02)*Tabla1[[#This Row],[PRECIO $]]*1.18</f>
        <v>255.62339999999998</v>
      </c>
      <c r="J1512" s="7">
        <f>+Tabla1[[#This Row],[PRECIO EN SOLES]]-Tabla1[[#This Row],[PC]]</f>
        <v>46.346600000000052</v>
      </c>
      <c r="K1512" s="15"/>
      <c r="L1512" s="15" t="str">
        <f t="shared" si="48"/>
        <v>NORMAL</v>
      </c>
    </row>
    <row r="1513" spans="1:12" x14ac:dyDescent="0.25">
      <c r="A1513" s="3" t="s">
        <v>2464</v>
      </c>
      <c r="B1513" s="3" t="s">
        <v>2465</v>
      </c>
      <c r="C1513" s="1">
        <v>20</v>
      </c>
      <c r="D1513" s="1">
        <v>198</v>
      </c>
      <c r="E1513" s="1" t="s">
        <v>467</v>
      </c>
      <c r="F1513" s="1" t="s">
        <v>4003</v>
      </c>
      <c r="G1513" s="3" t="s">
        <v>5489</v>
      </c>
      <c r="H1513" s="11">
        <f t="shared" si="49"/>
        <v>943.03</v>
      </c>
      <c r="I1513" s="9">
        <f>($K$2+0.02)*Tabla1[[#This Row],[PRECIO $]]*1.18</f>
        <v>813.06719999999996</v>
      </c>
      <c r="J1513" s="7">
        <f>+Tabla1[[#This Row],[PRECIO EN SOLES]]-Tabla1[[#This Row],[PC]]</f>
        <v>129.96280000000002</v>
      </c>
      <c r="K1513" s="15"/>
      <c r="L1513" s="15" t="str">
        <f t="shared" si="48"/>
        <v>NORMAL</v>
      </c>
    </row>
    <row r="1514" spans="1:12" x14ac:dyDescent="0.25">
      <c r="A1514" s="3" t="s">
        <v>4852</v>
      </c>
      <c r="B1514" s="3" t="s">
        <v>4853</v>
      </c>
      <c r="C1514" s="1">
        <v>12</v>
      </c>
      <c r="D1514" s="1">
        <v>71.3</v>
      </c>
      <c r="E1514" s="1" t="s">
        <v>198</v>
      </c>
      <c r="F1514" s="1" t="s">
        <v>4854</v>
      </c>
      <c r="G1514" s="3" t="s">
        <v>4855</v>
      </c>
      <c r="H1514" s="11">
        <f t="shared" si="49"/>
        <v>344.7</v>
      </c>
      <c r="I1514" s="9">
        <f>($K$2+0.02)*Tabla1[[#This Row],[PRECIO $]]*1.18</f>
        <v>292.78631999999999</v>
      </c>
      <c r="J1514" s="7">
        <f>+Tabla1[[#This Row],[PRECIO EN SOLES]]-Tabla1[[#This Row],[PC]]</f>
        <v>51.913679999999999</v>
      </c>
      <c r="K1514" s="15"/>
      <c r="L1514" s="15" t="str">
        <f t="shared" si="48"/>
        <v>NORMAL</v>
      </c>
    </row>
    <row r="1515" spans="1:12" x14ac:dyDescent="0.25">
      <c r="A1515" s="3" t="s">
        <v>621</v>
      </c>
      <c r="B1515" s="3" t="s">
        <v>622</v>
      </c>
      <c r="C1515" s="1">
        <v>20</v>
      </c>
      <c r="D1515" s="1">
        <v>73.400000000000006</v>
      </c>
      <c r="E1515" s="1" t="s">
        <v>467</v>
      </c>
      <c r="F1515" s="1" t="s">
        <v>4004</v>
      </c>
      <c r="G1515" s="3" t="s">
        <v>623</v>
      </c>
      <c r="H1515" s="11">
        <f t="shared" si="49"/>
        <v>354.62</v>
      </c>
      <c r="I1515" s="9">
        <f>($K$2+0.02)*Tabla1[[#This Row],[PRECIO $]]*1.18</f>
        <v>301.40976000000001</v>
      </c>
      <c r="J1515" s="7">
        <f>+Tabla1[[#This Row],[PRECIO EN SOLES]]-Tabla1[[#This Row],[PC]]</f>
        <v>53.210239999999999</v>
      </c>
      <c r="K1515" s="15"/>
      <c r="L1515" s="15" t="str">
        <f t="shared" si="48"/>
        <v>NORMAL</v>
      </c>
    </row>
    <row r="1516" spans="1:12" x14ac:dyDescent="0.25">
      <c r="A1516" s="3" t="s">
        <v>5176</v>
      </c>
      <c r="B1516" s="3" t="s">
        <v>5177</v>
      </c>
      <c r="C1516" s="1">
        <v>20</v>
      </c>
      <c r="D1516" s="1">
        <v>85.3</v>
      </c>
      <c r="E1516" s="1" t="s">
        <v>5169</v>
      </c>
      <c r="F1516" s="1" t="s">
        <v>5178</v>
      </c>
      <c r="G1516" s="3" t="s">
        <v>5179</v>
      </c>
      <c r="H1516" s="11">
        <f t="shared" si="49"/>
        <v>410.82</v>
      </c>
      <c r="I1516" s="9">
        <f>($K$2+0.02)*Tabla1[[#This Row],[PRECIO $]]*1.18</f>
        <v>350.27591999999999</v>
      </c>
      <c r="J1516" s="7">
        <f>+Tabla1[[#This Row],[PRECIO EN SOLES]]-Tabla1[[#This Row],[PC]]</f>
        <v>60.544080000000008</v>
      </c>
      <c r="K1516" s="15"/>
      <c r="L1516" s="15" t="str">
        <f t="shared" si="48"/>
        <v>NORMAL</v>
      </c>
    </row>
    <row r="1517" spans="1:12" x14ac:dyDescent="0.25">
      <c r="A1517" s="3" t="s">
        <v>5490</v>
      </c>
      <c r="B1517" s="3" t="s">
        <v>5491</v>
      </c>
      <c r="C1517" s="1">
        <v>20</v>
      </c>
      <c r="D1517" s="1">
        <v>84.5</v>
      </c>
      <c r="E1517" s="1" t="s">
        <v>199</v>
      </c>
      <c r="F1517" s="1" t="s">
        <v>5492</v>
      </c>
      <c r="G1517" s="3" t="s">
        <v>6137</v>
      </c>
      <c r="H1517" s="11">
        <f t="shared" si="49"/>
        <v>407.04</v>
      </c>
      <c r="I1517" s="9">
        <f>($K$2+0.02)*Tabla1[[#This Row],[PRECIO $]]*1.18</f>
        <v>346.99079999999998</v>
      </c>
      <c r="J1517" s="7">
        <f>+Tabla1[[#This Row],[PRECIO EN SOLES]]-Tabla1[[#This Row],[PC]]</f>
        <v>60.049200000000042</v>
      </c>
      <c r="K1517" s="15"/>
      <c r="L1517" s="15" t="str">
        <f t="shared" si="48"/>
        <v>NORMAL</v>
      </c>
    </row>
    <row r="1518" spans="1:12" x14ac:dyDescent="0.25">
      <c r="A1518" s="3" t="s">
        <v>5493</v>
      </c>
      <c r="B1518" s="3" t="s">
        <v>5494</v>
      </c>
      <c r="C1518" s="1">
        <v>0</v>
      </c>
      <c r="D1518" s="1">
        <v>140.30000000000001</v>
      </c>
      <c r="E1518" s="1" t="s">
        <v>199</v>
      </c>
      <c r="F1518" s="1" t="s">
        <v>5495</v>
      </c>
      <c r="G1518" s="3" t="s">
        <v>6138</v>
      </c>
      <c r="H1518" s="11">
        <f t="shared" si="49"/>
        <v>670.55</v>
      </c>
      <c r="I1518" s="9">
        <f>($K$2+0.02)*Tabla1[[#This Row],[PRECIO $]]*1.18</f>
        <v>576.12792000000002</v>
      </c>
      <c r="J1518" s="7">
        <f>+Tabla1[[#This Row],[PRECIO EN SOLES]]-Tabla1[[#This Row],[PC]]</f>
        <v>94.422079999999937</v>
      </c>
      <c r="K1518" s="15"/>
      <c r="L1518" s="15" t="str">
        <f t="shared" si="48"/>
        <v>NORMAL</v>
      </c>
    </row>
    <row r="1519" spans="1:12" x14ac:dyDescent="0.25">
      <c r="A1519" s="3" t="s">
        <v>5496</v>
      </c>
      <c r="B1519" s="3" t="s">
        <v>5497</v>
      </c>
      <c r="C1519" s="1">
        <v>20</v>
      </c>
      <c r="D1519" s="1">
        <v>53.2</v>
      </c>
      <c r="E1519" s="1" t="s">
        <v>199</v>
      </c>
      <c r="F1519" s="1" t="s">
        <v>5498</v>
      </c>
      <c r="G1519" s="3" t="s">
        <v>6139</v>
      </c>
      <c r="H1519" s="11">
        <f t="shared" si="49"/>
        <v>259.23</v>
      </c>
      <c r="I1519" s="9">
        <f>($K$2+0.02)*Tabla1[[#This Row],[PRECIO $]]*1.18</f>
        <v>218.46047999999999</v>
      </c>
      <c r="J1519" s="7">
        <f>+Tabla1[[#This Row],[PRECIO EN SOLES]]-Tabla1[[#This Row],[PC]]</f>
        <v>40.769520000000028</v>
      </c>
      <c r="K1519" s="15"/>
      <c r="L1519" s="15" t="str">
        <f t="shared" si="48"/>
        <v>NORMAL</v>
      </c>
    </row>
    <row r="1520" spans="1:12" x14ac:dyDescent="0.25">
      <c r="A1520" s="3" t="s">
        <v>5499</v>
      </c>
      <c r="B1520" s="3" t="s">
        <v>5500</v>
      </c>
      <c r="C1520" s="1">
        <v>20</v>
      </c>
      <c r="D1520" s="1">
        <v>81.3</v>
      </c>
      <c r="E1520" s="1" t="s">
        <v>199</v>
      </c>
      <c r="F1520" s="1" t="s">
        <v>5501</v>
      </c>
      <c r="G1520" s="3" t="s">
        <v>6140</v>
      </c>
      <c r="H1520" s="11">
        <f t="shared" si="49"/>
        <v>391.93</v>
      </c>
      <c r="I1520" s="9">
        <f>($K$2+0.02)*Tabla1[[#This Row],[PRECIO $]]*1.18</f>
        <v>333.85031999999995</v>
      </c>
      <c r="J1520" s="7">
        <f>+Tabla1[[#This Row],[PRECIO EN SOLES]]-Tabla1[[#This Row],[PC]]</f>
        <v>58.079680000000053</v>
      </c>
      <c r="K1520" s="15"/>
      <c r="L1520" s="15" t="str">
        <f t="shared" si="48"/>
        <v>NORMAL</v>
      </c>
    </row>
    <row r="1521" spans="1:12" x14ac:dyDescent="0.25">
      <c r="A1521" s="3" t="s">
        <v>483</v>
      </c>
      <c r="B1521" s="3" t="s">
        <v>484</v>
      </c>
      <c r="C1521" s="1">
        <v>20</v>
      </c>
      <c r="D1521" s="1">
        <v>174.5</v>
      </c>
      <c r="E1521" s="1" t="s">
        <v>196</v>
      </c>
      <c r="F1521" s="1" t="s">
        <v>4005</v>
      </c>
      <c r="G1521" s="3" t="s">
        <v>485</v>
      </c>
      <c r="H1521" s="11">
        <f t="shared" si="49"/>
        <v>832.05</v>
      </c>
      <c r="I1521" s="9">
        <f>($K$2+0.02)*Tabla1[[#This Row],[PRECIO $]]*1.18</f>
        <v>716.56679999999994</v>
      </c>
      <c r="J1521" s="7">
        <f>+Tabla1[[#This Row],[PRECIO EN SOLES]]-Tabla1[[#This Row],[PC]]</f>
        <v>115.48320000000001</v>
      </c>
      <c r="K1521" s="15"/>
      <c r="L1521" s="15" t="str">
        <f t="shared" si="48"/>
        <v>NORMAL</v>
      </c>
    </row>
    <row r="1522" spans="1:12" x14ac:dyDescent="0.25">
      <c r="A1522" s="3" t="s">
        <v>2466</v>
      </c>
      <c r="B1522" s="3" t="s">
        <v>2467</v>
      </c>
      <c r="C1522" s="1">
        <v>20</v>
      </c>
      <c r="D1522" s="1">
        <v>289.5</v>
      </c>
      <c r="E1522" s="1" t="s">
        <v>196</v>
      </c>
      <c r="F1522" s="1" t="s">
        <v>4006</v>
      </c>
      <c r="G1522" s="3" t="s">
        <v>2468</v>
      </c>
      <c r="H1522" s="11">
        <f t="shared" si="49"/>
        <v>1375.12</v>
      </c>
      <c r="I1522" s="9">
        <f>($K$2+0.02)*Tabla1[[#This Row],[PRECIO $]]*1.18</f>
        <v>1188.8027999999999</v>
      </c>
      <c r="J1522" s="7">
        <f>+Tabla1[[#This Row],[PRECIO EN SOLES]]-Tabla1[[#This Row],[PC]]</f>
        <v>186.31719999999996</v>
      </c>
      <c r="K1522" s="15"/>
      <c r="L1522" s="15" t="str">
        <f t="shared" si="48"/>
        <v>NORMAL</v>
      </c>
    </row>
    <row r="1523" spans="1:12" x14ac:dyDescent="0.25">
      <c r="A1523" s="3" t="s">
        <v>2469</v>
      </c>
      <c r="B1523" s="3" t="s">
        <v>2470</v>
      </c>
      <c r="C1523" s="1">
        <v>10</v>
      </c>
      <c r="D1523" s="1">
        <v>663</v>
      </c>
      <c r="E1523" s="1" t="s">
        <v>196</v>
      </c>
      <c r="F1523" s="1" t="s">
        <v>4007</v>
      </c>
      <c r="G1523" s="3" t="s">
        <v>2471</v>
      </c>
      <c r="H1523" s="11">
        <f t="shared" si="49"/>
        <v>3138.92</v>
      </c>
      <c r="I1523" s="9">
        <f>($K$2+0.02)*Tabla1[[#This Row],[PRECIO $]]*1.18</f>
        <v>2722.5431999999996</v>
      </c>
      <c r="J1523" s="7">
        <f>+Tabla1[[#This Row],[PRECIO EN SOLES]]-Tabla1[[#This Row],[PC]]</f>
        <v>416.37680000000046</v>
      </c>
      <c r="K1523" s="15"/>
      <c r="L1523" s="15" t="str">
        <f t="shared" si="48"/>
        <v>NORMAL</v>
      </c>
    </row>
    <row r="1524" spans="1:12" x14ac:dyDescent="0.25">
      <c r="A1524" s="3" t="s">
        <v>2989</v>
      </c>
      <c r="B1524" s="3" t="s">
        <v>2990</v>
      </c>
      <c r="C1524" s="1">
        <v>20</v>
      </c>
      <c r="D1524" s="1">
        <v>194.5</v>
      </c>
      <c r="E1524" s="1" t="s">
        <v>196</v>
      </c>
      <c r="F1524" s="1" t="s">
        <v>4008</v>
      </c>
      <c r="G1524" s="3" t="s">
        <v>2991</v>
      </c>
      <c r="H1524" s="11">
        <f t="shared" si="49"/>
        <v>926.5</v>
      </c>
      <c r="I1524" s="9">
        <f>($K$2+0.02)*Tabla1[[#This Row],[PRECIO $]]*1.18</f>
        <v>798.69479999999999</v>
      </c>
      <c r="J1524" s="7">
        <f>+Tabla1[[#This Row],[PRECIO EN SOLES]]-Tabla1[[#This Row],[PC]]</f>
        <v>127.80520000000001</v>
      </c>
      <c r="K1524" s="15"/>
      <c r="L1524" s="15" t="str">
        <f t="shared" si="48"/>
        <v>NORMAL</v>
      </c>
    </row>
    <row r="1525" spans="1:12" x14ac:dyDescent="0.25">
      <c r="A1525" s="3" t="s">
        <v>2472</v>
      </c>
      <c r="B1525" s="3" t="s">
        <v>2473</v>
      </c>
      <c r="C1525" s="1">
        <v>20</v>
      </c>
      <c r="D1525" s="1">
        <v>260.5</v>
      </c>
      <c r="E1525" s="1" t="s">
        <v>196</v>
      </c>
      <c r="F1525" s="1" t="s">
        <v>4009</v>
      </c>
      <c r="G1525" s="3" t="s">
        <v>2474</v>
      </c>
      <c r="H1525" s="11">
        <f t="shared" si="49"/>
        <v>1238.17</v>
      </c>
      <c r="I1525" s="9">
        <f>($K$2+0.02)*Tabla1[[#This Row],[PRECIO $]]*1.18</f>
        <v>1069.7171999999998</v>
      </c>
      <c r="J1525" s="7">
        <f>+Tabla1[[#This Row],[PRECIO EN SOLES]]-Tabla1[[#This Row],[PC]]</f>
        <v>168.45280000000025</v>
      </c>
      <c r="K1525" s="15"/>
      <c r="L1525" s="15" t="str">
        <f t="shared" si="48"/>
        <v>NORMAL</v>
      </c>
    </row>
    <row r="1526" spans="1:12" x14ac:dyDescent="0.25">
      <c r="A1526" s="3" t="s">
        <v>2475</v>
      </c>
      <c r="B1526" s="3" t="s">
        <v>2476</v>
      </c>
      <c r="C1526" s="1">
        <v>20</v>
      </c>
      <c r="D1526" s="1">
        <v>89.3</v>
      </c>
      <c r="E1526" s="1" t="s">
        <v>196</v>
      </c>
      <c r="F1526" s="1" t="s">
        <v>4010</v>
      </c>
      <c r="G1526" s="3" t="s">
        <v>2477</v>
      </c>
      <c r="H1526" s="11">
        <f t="shared" si="49"/>
        <v>429.71</v>
      </c>
      <c r="I1526" s="9">
        <f>($K$2+0.02)*Tabla1[[#This Row],[PRECIO $]]*1.18</f>
        <v>366.70152000000002</v>
      </c>
      <c r="J1526" s="7">
        <f>+Tabla1[[#This Row],[PRECIO EN SOLES]]-Tabla1[[#This Row],[PC]]</f>
        <v>63.008479999999963</v>
      </c>
      <c r="K1526" s="15"/>
      <c r="L1526" s="15" t="str">
        <f t="shared" si="48"/>
        <v>NORMAL</v>
      </c>
    </row>
    <row r="1527" spans="1:12" x14ac:dyDescent="0.25">
      <c r="A1527" s="3" t="s">
        <v>2478</v>
      </c>
      <c r="B1527" s="3" t="s">
        <v>2479</v>
      </c>
      <c r="C1527" s="1">
        <v>20</v>
      </c>
      <c r="D1527" s="1">
        <v>360.3</v>
      </c>
      <c r="E1527" s="1" t="s">
        <v>196</v>
      </c>
      <c r="F1527" s="1" t="s">
        <v>4011</v>
      </c>
      <c r="G1527" s="3" t="s">
        <v>2480</v>
      </c>
      <c r="H1527" s="11">
        <f t="shared" si="49"/>
        <v>1709.47</v>
      </c>
      <c r="I1527" s="9">
        <f>($K$2+0.02)*Tabla1[[#This Row],[PRECIO $]]*1.18</f>
        <v>1479.53592</v>
      </c>
      <c r="J1527" s="7">
        <f>+Tabla1[[#This Row],[PRECIO EN SOLES]]-Tabla1[[#This Row],[PC]]</f>
        <v>229.93407999999999</v>
      </c>
      <c r="K1527" s="15"/>
      <c r="L1527" s="15" t="str">
        <f t="shared" si="48"/>
        <v>NORMAL</v>
      </c>
    </row>
    <row r="1528" spans="1:12" x14ac:dyDescent="0.25">
      <c r="A1528" s="3" t="s">
        <v>2907</v>
      </c>
      <c r="B1528" s="3" t="s">
        <v>2908</v>
      </c>
      <c r="C1528" s="1">
        <v>20</v>
      </c>
      <c r="D1528" s="1">
        <v>490</v>
      </c>
      <c r="E1528" s="1" t="s">
        <v>196</v>
      </c>
      <c r="F1528" s="1" t="s">
        <v>4012</v>
      </c>
      <c r="G1528" s="3" t="s">
        <v>2909</v>
      </c>
      <c r="H1528" s="11">
        <f t="shared" si="49"/>
        <v>2321.96</v>
      </c>
      <c r="I1528" s="9">
        <f>($K$2+0.02)*Tabla1[[#This Row],[PRECIO $]]*1.18</f>
        <v>2012.136</v>
      </c>
      <c r="J1528" s="7">
        <f>+Tabla1[[#This Row],[PRECIO EN SOLES]]-Tabla1[[#This Row],[PC]]</f>
        <v>309.82400000000007</v>
      </c>
      <c r="K1528" s="15"/>
      <c r="L1528" s="15" t="str">
        <f t="shared" si="48"/>
        <v>NORMAL</v>
      </c>
    </row>
    <row r="1529" spans="1:12" x14ac:dyDescent="0.25">
      <c r="A1529" s="3" t="s">
        <v>2481</v>
      </c>
      <c r="B1529" s="3" t="s">
        <v>2482</v>
      </c>
      <c r="C1529" s="1">
        <v>10</v>
      </c>
      <c r="D1529" s="1">
        <v>896</v>
      </c>
      <c r="E1529" s="1" t="s">
        <v>196</v>
      </c>
      <c r="F1529" s="1" t="s">
        <v>4013</v>
      </c>
      <c r="G1529" s="3" t="s">
        <v>2483</v>
      </c>
      <c r="H1529" s="11">
        <f t="shared" si="49"/>
        <v>4239.2299999999996</v>
      </c>
      <c r="I1529" s="9">
        <f>($K$2+0.02)*Tabla1[[#This Row],[PRECIO $]]*1.18</f>
        <v>3679.3343999999997</v>
      </c>
      <c r="J1529" s="7">
        <f>+Tabla1[[#This Row],[PRECIO EN SOLES]]-Tabla1[[#This Row],[PC]]</f>
        <v>559.89559999999983</v>
      </c>
      <c r="K1529" s="15"/>
      <c r="L1529" s="15" t="str">
        <f t="shared" si="48"/>
        <v>NORMAL</v>
      </c>
    </row>
    <row r="1530" spans="1:12" x14ac:dyDescent="0.25">
      <c r="A1530" s="3" t="s">
        <v>2910</v>
      </c>
      <c r="B1530" s="3" t="s">
        <v>2911</v>
      </c>
      <c r="C1530" s="1">
        <v>20</v>
      </c>
      <c r="D1530" s="1">
        <v>455.5</v>
      </c>
      <c r="E1530" s="1" t="s">
        <v>196</v>
      </c>
      <c r="F1530" s="1" t="s">
        <v>4014</v>
      </c>
      <c r="G1530" s="3" t="s">
        <v>2912</v>
      </c>
      <c r="H1530" s="11">
        <f t="shared" si="49"/>
        <v>2159.0300000000002</v>
      </c>
      <c r="I1530" s="9">
        <f>($K$2+0.02)*Tabla1[[#This Row],[PRECIO $]]*1.18</f>
        <v>1870.4652000000001</v>
      </c>
      <c r="J1530" s="7">
        <f>+Tabla1[[#This Row],[PRECIO EN SOLES]]-Tabla1[[#This Row],[PC]]</f>
        <v>288.5648000000001</v>
      </c>
      <c r="K1530" s="15"/>
      <c r="L1530" s="15" t="str">
        <f t="shared" si="48"/>
        <v>NORMAL</v>
      </c>
    </row>
    <row r="1531" spans="1:12" x14ac:dyDescent="0.25">
      <c r="A1531" s="3" t="s">
        <v>2484</v>
      </c>
      <c r="B1531" s="3" t="s">
        <v>2485</v>
      </c>
      <c r="C1531" s="1">
        <v>16</v>
      </c>
      <c r="D1531" s="1">
        <v>857</v>
      </c>
      <c r="E1531" s="1" t="s">
        <v>196</v>
      </c>
      <c r="F1531" s="1" t="s">
        <v>4015</v>
      </c>
      <c r="G1531" s="3" t="s">
        <v>2486</v>
      </c>
      <c r="H1531" s="11">
        <f t="shared" si="49"/>
        <v>4055.06</v>
      </c>
      <c r="I1531" s="9">
        <f>($K$2+0.02)*Tabla1[[#This Row],[PRECIO $]]*1.18</f>
        <v>3519.1848</v>
      </c>
      <c r="J1531" s="7">
        <f>+Tabla1[[#This Row],[PRECIO EN SOLES]]-Tabla1[[#This Row],[PC]]</f>
        <v>535.87519999999995</v>
      </c>
      <c r="K1531" s="15"/>
      <c r="L1531" s="15" t="str">
        <f t="shared" si="48"/>
        <v>NORMAL</v>
      </c>
    </row>
    <row r="1532" spans="1:12" x14ac:dyDescent="0.25">
      <c r="A1532" s="3" t="s">
        <v>486</v>
      </c>
      <c r="B1532" s="3" t="s">
        <v>487</v>
      </c>
      <c r="C1532" s="1">
        <v>20</v>
      </c>
      <c r="D1532" s="1">
        <v>272.5</v>
      </c>
      <c r="E1532" s="1" t="s">
        <v>196</v>
      </c>
      <c r="F1532" s="1" t="s">
        <v>4016</v>
      </c>
      <c r="G1532" s="3" t="s">
        <v>488</v>
      </c>
      <c r="H1532" s="11">
        <f t="shared" si="49"/>
        <v>1294.8399999999999</v>
      </c>
      <c r="I1532" s="9">
        <f>($K$2+0.02)*Tabla1[[#This Row],[PRECIO $]]*1.18</f>
        <v>1118.9939999999999</v>
      </c>
      <c r="J1532" s="7">
        <f>+Tabla1[[#This Row],[PRECIO EN SOLES]]-Tabla1[[#This Row],[PC]]</f>
        <v>175.846</v>
      </c>
      <c r="K1532" s="15"/>
      <c r="L1532" s="15" t="str">
        <f t="shared" si="48"/>
        <v>NORMAL</v>
      </c>
    </row>
    <row r="1533" spans="1:12" x14ac:dyDescent="0.25">
      <c r="A1533" s="3" t="s">
        <v>2487</v>
      </c>
      <c r="B1533" s="3" t="s">
        <v>2488</v>
      </c>
      <c r="C1533" s="1">
        <v>20</v>
      </c>
      <c r="D1533" s="1">
        <v>140.30000000000001</v>
      </c>
      <c r="E1533" s="1" t="s">
        <v>196</v>
      </c>
      <c r="F1533" s="1" t="s">
        <v>4017</v>
      </c>
      <c r="G1533" s="3" t="s">
        <v>2489</v>
      </c>
      <c r="H1533" s="11">
        <f t="shared" si="49"/>
        <v>670.55</v>
      </c>
      <c r="I1533" s="9">
        <f>($K$2+0.02)*Tabla1[[#This Row],[PRECIO $]]*1.18</f>
        <v>576.12792000000002</v>
      </c>
      <c r="J1533" s="7">
        <f>+Tabla1[[#This Row],[PRECIO EN SOLES]]-Tabla1[[#This Row],[PC]]</f>
        <v>94.422079999999937</v>
      </c>
      <c r="K1533" s="15"/>
      <c r="L1533" s="15" t="str">
        <f t="shared" si="48"/>
        <v>NORMAL</v>
      </c>
    </row>
    <row r="1534" spans="1:12" x14ac:dyDescent="0.25">
      <c r="A1534" s="3" t="s">
        <v>489</v>
      </c>
      <c r="B1534" s="3" t="s">
        <v>490</v>
      </c>
      <c r="C1534" s="1">
        <v>20</v>
      </c>
      <c r="D1534" s="1">
        <v>218</v>
      </c>
      <c r="E1534" s="1" t="s">
        <v>196</v>
      </c>
      <c r="F1534" s="1" t="s">
        <v>4018</v>
      </c>
      <c r="G1534" s="3" t="s">
        <v>491</v>
      </c>
      <c r="H1534" s="11">
        <f t="shared" si="49"/>
        <v>1037.47</v>
      </c>
      <c r="I1534" s="9">
        <f>($K$2+0.02)*Tabla1[[#This Row],[PRECIO $]]*1.18</f>
        <v>895.19519999999989</v>
      </c>
      <c r="J1534" s="7">
        <f>+Tabla1[[#This Row],[PRECIO EN SOLES]]-Tabla1[[#This Row],[PC]]</f>
        <v>142.27480000000014</v>
      </c>
      <c r="K1534" s="15"/>
      <c r="L1534" s="15" t="str">
        <f t="shared" si="48"/>
        <v>NORMAL</v>
      </c>
    </row>
    <row r="1535" spans="1:12" x14ac:dyDescent="0.25">
      <c r="A1535" s="3" t="s">
        <v>2490</v>
      </c>
      <c r="B1535" s="3" t="s">
        <v>2491</v>
      </c>
      <c r="C1535" s="1">
        <v>20</v>
      </c>
      <c r="D1535" s="1">
        <v>405.5</v>
      </c>
      <c r="E1535" s="1" t="s">
        <v>196</v>
      </c>
      <c r="F1535" s="1" t="s">
        <v>4019</v>
      </c>
      <c r="G1535" s="3" t="s">
        <v>2492</v>
      </c>
      <c r="H1535" s="11">
        <f t="shared" si="49"/>
        <v>1922.92</v>
      </c>
      <c r="I1535" s="9">
        <f>($K$2+0.02)*Tabla1[[#This Row],[PRECIO $]]*1.18</f>
        <v>1665.1451999999999</v>
      </c>
      <c r="J1535" s="7">
        <f>+Tabla1[[#This Row],[PRECIO EN SOLES]]-Tabla1[[#This Row],[PC]]</f>
        <v>257.77480000000014</v>
      </c>
      <c r="K1535" s="15"/>
      <c r="L1535" s="15" t="str">
        <f t="shared" si="48"/>
        <v>NORMAL</v>
      </c>
    </row>
    <row r="1536" spans="1:12" x14ac:dyDescent="0.25">
      <c r="A1536" s="3" t="s">
        <v>492</v>
      </c>
      <c r="B1536" s="3" t="s">
        <v>493</v>
      </c>
      <c r="C1536" s="1">
        <v>20</v>
      </c>
      <c r="D1536" s="1">
        <v>94.3</v>
      </c>
      <c r="E1536" s="1" t="s">
        <v>196</v>
      </c>
      <c r="F1536" s="1" t="s">
        <v>4020</v>
      </c>
      <c r="G1536" s="3" t="s">
        <v>494</v>
      </c>
      <c r="H1536" s="11">
        <f t="shared" si="49"/>
        <v>453.32</v>
      </c>
      <c r="I1536" s="9">
        <f>($K$2+0.02)*Tabla1[[#This Row],[PRECIO $]]*1.18</f>
        <v>387.23351999999994</v>
      </c>
      <c r="J1536" s="7">
        <f>+Tabla1[[#This Row],[PRECIO EN SOLES]]-Tabla1[[#This Row],[PC]]</f>
        <v>66.086480000000051</v>
      </c>
      <c r="K1536" s="15"/>
      <c r="L1536" s="15" t="str">
        <f t="shared" si="48"/>
        <v>NORMAL</v>
      </c>
    </row>
    <row r="1537" spans="1:12" x14ac:dyDescent="0.25">
      <c r="A1537" s="3" t="s">
        <v>3062</v>
      </c>
      <c r="B1537" s="3" t="s">
        <v>2493</v>
      </c>
      <c r="C1537" s="1">
        <v>0</v>
      </c>
      <c r="D1537" s="1">
        <v>9999999.9900000002</v>
      </c>
      <c r="E1537" s="1" t="s">
        <v>1447</v>
      </c>
      <c r="F1537" s="1" t="s">
        <v>4021</v>
      </c>
      <c r="G1537" s="3"/>
      <c r="H1537" s="11">
        <f t="shared" si="49"/>
        <v>47223607.950000003</v>
      </c>
      <c r="I1537" s="9">
        <f>($K$2+0.02)*Tabla1[[#This Row],[PRECIO $]]*1.18</f>
        <v>41063999.958935998</v>
      </c>
      <c r="J1537" s="7">
        <f>+Tabla1[[#This Row],[PRECIO EN SOLES]]-Tabla1[[#This Row],[PC]]</f>
        <v>6159607.9910640046</v>
      </c>
      <c r="K1537" s="15"/>
      <c r="L1537" s="15" t="str">
        <f t="shared" si="48"/>
        <v>NORMAL</v>
      </c>
    </row>
    <row r="1538" spans="1:12" x14ac:dyDescent="0.25">
      <c r="A1538" s="3" t="s">
        <v>5033</v>
      </c>
      <c r="B1538" s="3" t="s">
        <v>5034</v>
      </c>
      <c r="C1538" s="1">
        <v>5</v>
      </c>
      <c r="D1538" s="1">
        <v>165.6</v>
      </c>
      <c r="E1538" s="1" t="s">
        <v>838</v>
      </c>
      <c r="F1538" s="1" t="s">
        <v>5035</v>
      </c>
      <c r="G1538" s="3" t="s">
        <v>5036</v>
      </c>
      <c r="H1538" s="11">
        <f t="shared" si="49"/>
        <v>790.02</v>
      </c>
      <c r="I1538" s="9">
        <f>($K$2+0.02)*Tabla1[[#This Row],[PRECIO $]]*1.18</f>
        <v>680.01983999999993</v>
      </c>
      <c r="J1538" s="7">
        <f>+Tabla1[[#This Row],[PRECIO EN SOLES]]-Tabla1[[#This Row],[PC]]</f>
        <v>110.00016000000005</v>
      </c>
      <c r="K1538" s="15"/>
      <c r="L1538" s="15" t="str">
        <f t="shared" si="48"/>
        <v>NORMAL</v>
      </c>
    </row>
    <row r="1539" spans="1:12" x14ac:dyDescent="0.25">
      <c r="A1539" s="3" t="s">
        <v>5037</v>
      </c>
      <c r="B1539" s="3" t="s">
        <v>5038</v>
      </c>
      <c r="C1539" s="1">
        <v>13</v>
      </c>
      <c r="D1539" s="1">
        <v>327</v>
      </c>
      <c r="E1539" s="1" t="s">
        <v>838</v>
      </c>
      <c r="F1539" s="1" t="s">
        <v>5039</v>
      </c>
      <c r="G1539" s="3" t="s">
        <v>5040</v>
      </c>
      <c r="H1539" s="11">
        <f t="shared" si="49"/>
        <v>1552.21</v>
      </c>
      <c r="I1539" s="9">
        <f>($K$2+0.02)*Tabla1[[#This Row],[PRECIO $]]*1.18</f>
        <v>1342.7927999999999</v>
      </c>
      <c r="J1539" s="7">
        <f>+Tabla1[[#This Row],[PRECIO EN SOLES]]-Tabla1[[#This Row],[PC]]</f>
        <v>209.41720000000009</v>
      </c>
      <c r="K1539" s="15"/>
      <c r="L1539" s="15" t="str">
        <f t="shared" si="48"/>
        <v>NORMAL</v>
      </c>
    </row>
    <row r="1540" spans="1:12" x14ac:dyDescent="0.25">
      <c r="A1540" s="3" t="s">
        <v>5041</v>
      </c>
      <c r="B1540" s="3" t="s">
        <v>5042</v>
      </c>
      <c r="C1540" s="1">
        <v>20</v>
      </c>
      <c r="D1540" s="1">
        <v>208.2</v>
      </c>
      <c r="E1540" s="1" t="s">
        <v>838</v>
      </c>
      <c r="F1540" s="1" t="s">
        <v>5043</v>
      </c>
      <c r="G1540" s="3" t="s">
        <v>5044</v>
      </c>
      <c r="H1540" s="11">
        <f t="shared" si="49"/>
        <v>991.2</v>
      </c>
      <c r="I1540" s="9">
        <f>($K$2+0.02)*Tabla1[[#This Row],[PRECIO $]]*1.18</f>
        <v>854.95247999999992</v>
      </c>
      <c r="J1540" s="7">
        <f>+Tabla1[[#This Row],[PRECIO EN SOLES]]-Tabla1[[#This Row],[PC]]</f>
        <v>136.24752000000012</v>
      </c>
      <c r="K1540" s="15"/>
      <c r="L1540" s="15" t="str">
        <f t="shared" si="48"/>
        <v>NORMAL</v>
      </c>
    </row>
    <row r="1541" spans="1:12" x14ac:dyDescent="0.25">
      <c r="A1541" s="3" t="s">
        <v>5045</v>
      </c>
      <c r="B1541" s="3" t="s">
        <v>5046</v>
      </c>
      <c r="C1541" s="1">
        <v>20</v>
      </c>
      <c r="D1541" s="1">
        <v>398.2</v>
      </c>
      <c r="E1541" s="1" t="s">
        <v>838</v>
      </c>
      <c r="F1541" s="1" t="s">
        <v>5047</v>
      </c>
      <c r="G1541" s="3" t="s">
        <v>5048</v>
      </c>
      <c r="H1541" s="11">
        <f t="shared" si="49"/>
        <v>1888.44</v>
      </c>
      <c r="I1541" s="9">
        <f>($K$2+0.02)*Tabla1[[#This Row],[PRECIO $]]*1.18</f>
        <v>1635.1684799999998</v>
      </c>
      <c r="J1541" s="7">
        <f>+Tabla1[[#This Row],[PRECIO EN SOLES]]-Tabla1[[#This Row],[PC]]</f>
        <v>253.27152000000024</v>
      </c>
      <c r="K1541" s="15"/>
      <c r="L1541" s="15" t="str">
        <f t="shared" si="48"/>
        <v>NORMAL</v>
      </c>
    </row>
    <row r="1542" spans="1:12" x14ac:dyDescent="0.25">
      <c r="A1542" s="3" t="s">
        <v>6362</v>
      </c>
      <c r="B1542" s="3" t="s">
        <v>6363</v>
      </c>
      <c r="C1542" s="1">
        <v>20</v>
      </c>
      <c r="D1542" s="1">
        <v>311</v>
      </c>
      <c r="E1542" s="1" t="s">
        <v>218</v>
      </c>
      <c r="F1542" s="1" t="s">
        <v>6364</v>
      </c>
      <c r="G1542" s="3" t="s">
        <v>6365</v>
      </c>
      <c r="H1542" s="11">
        <f t="shared" si="49"/>
        <v>1476.65</v>
      </c>
      <c r="I1542" s="9">
        <f>($K$2+0.02)*Tabla1[[#This Row],[PRECIO $]]*1.18</f>
        <v>1277.0903999999998</v>
      </c>
      <c r="J1542" s="7">
        <f>+Tabla1[[#This Row],[PRECIO EN SOLES]]-Tabla1[[#This Row],[PC]]</f>
        <v>199.55960000000027</v>
      </c>
      <c r="K1542" s="15"/>
      <c r="L1542" s="15" t="str">
        <f t="shared" si="48"/>
        <v>NORMAL</v>
      </c>
    </row>
    <row r="1543" spans="1:12" x14ac:dyDescent="0.25">
      <c r="A1543" s="3" t="s">
        <v>689</v>
      </c>
      <c r="B1543" s="3" t="s">
        <v>690</v>
      </c>
      <c r="C1543" s="1">
        <v>20</v>
      </c>
      <c r="D1543" s="1">
        <v>296</v>
      </c>
      <c r="E1543" s="1" t="s">
        <v>218</v>
      </c>
      <c r="F1543" s="1" t="s">
        <v>4022</v>
      </c>
      <c r="G1543" s="3" t="s">
        <v>691</v>
      </c>
      <c r="H1543" s="11">
        <f t="shared" si="49"/>
        <v>1405.82</v>
      </c>
      <c r="I1543" s="9">
        <f>($K$2+0.02)*Tabla1[[#This Row],[PRECIO $]]*1.18</f>
        <v>1215.4943999999998</v>
      </c>
      <c r="J1543" s="7">
        <f>+Tabla1[[#This Row],[PRECIO EN SOLES]]-Tabla1[[#This Row],[PC]]</f>
        <v>190.32560000000012</v>
      </c>
      <c r="K1543" s="15"/>
      <c r="L1543" s="15" t="str">
        <f t="shared" si="48"/>
        <v>NORMAL</v>
      </c>
    </row>
    <row r="1544" spans="1:12" x14ac:dyDescent="0.25">
      <c r="A1544" s="3" t="s">
        <v>2494</v>
      </c>
      <c r="B1544" s="3" t="s">
        <v>2495</v>
      </c>
      <c r="C1544" s="1">
        <v>15</v>
      </c>
      <c r="D1544" s="1">
        <v>487</v>
      </c>
      <c r="E1544" s="1" t="s">
        <v>218</v>
      </c>
      <c r="F1544" s="1" t="s">
        <v>4023</v>
      </c>
      <c r="G1544" s="3" t="s">
        <v>2496</v>
      </c>
      <c r="H1544" s="11">
        <f t="shared" si="49"/>
        <v>2307.79</v>
      </c>
      <c r="I1544" s="9">
        <f>($K$2+0.02)*Tabla1[[#This Row],[PRECIO $]]*1.18</f>
        <v>1999.8167999999998</v>
      </c>
      <c r="J1544" s="7">
        <f>+Tabla1[[#This Row],[PRECIO EN SOLES]]-Tabla1[[#This Row],[PC]]</f>
        <v>307.97320000000013</v>
      </c>
      <c r="K1544" s="15"/>
      <c r="L1544" s="15" t="str">
        <f t="shared" si="48"/>
        <v>NORMAL</v>
      </c>
    </row>
    <row r="1545" spans="1:12" x14ac:dyDescent="0.25">
      <c r="A1545" s="3" t="s">
        <v>5685</v>
      </c>
      <c r="B1545" s="3" t="s">
        <v>5686</v>
      </c>
      <c r="C1545" s="1">
        <v>20</v>
      </c>
      <c r="D1545" s="1">
        <v>165.3</v>
      </c>
      <c r="E1545" s="1" t="s">
        <v>218</v>
      </c>
      <c r="F1545" s="1" t="s">
        <v>5687</v>
      </c>
      <c r="G1545" s="3" t="s">
        <v>5688</v>
      </c>
      <c r="H1545" s="11">
        <f t="shared" si="49"/>
        <v>788.61</v>
      </c>
      <c r="I1545" s="9">
        <f>($K$2+0.02)*Tabla1[[#This Row],[PRECIO $]]*1.18</f>
        <v>678.78791999999999</v>
      </c>
      <c r="J1545" s="7">
        <f>+Tabla1[[#This Row],[PRECIO EN SOLES]]-Tabla1[[#This Row],[PC]]</f>
        <v>109.82208000000003</v>
      </c>
      <c r="K1545" s="15"/>
      <c r="L1545" s="15" t="str">
        <f t="shared" si="48"/>
        <v>NORMAL</v>
      </c>
    </row>
    <row r="1546" spans="1:12" x14ac:dyDescent="0.25">
      <c r="A1546" s="3" t="s">
        <v>5049</v>
      </c>
      <c r="B1546" s="3" t="s">
        <v>5050</v>
      </c>
      <c r="C1546" s="1">
        <v>20</v>
      </c>
      <c r="D1546" s="1">
        <v>130</v>
      </c>
      <c r="E1546" s="1" t="s">
        <v>467</v>
      </c>
      <c r="F1546" s="1" t="s">
        <v>5051</v>
      </c>
      <c r="G1546" s="3" t="s">
        <v>5052</v>
      </c>
      <c r="H1546" s="11">
        <f t="shared" si="49"/>
        <v>621.91</v>
      </c>
      <c r="I1546" s="9">
        <f>($K$2+0.02)*Tabla1[[#This Row],[PRECIO $]]*1.18</f>
        <v>533.83199999999999</v>
      </c>
      <c r="J1546" s="7">
        <f>+Tabla1[[#This Row],[PRECIO EN SOLES]]-Tabla1[[#This Row],[PC]]</f>
        <v>88.077999999999975</v>
      </c>
      <c r="K1546" s="15"/>
      <c r="L1546" s="15" t="str">
        <f t="shared" si="48"/>
        <v>NORMAL</v>
      </c>
    </row>
    <row r="1547" spans="1:12" x14ac:dyDescent="0.25">
      <c r="A1547" s="3" t="s">
        <v>6931</v>
      </c>
      <c r="B1547" s="3" t="s">
        <v>6932</v>
      </c>
      <c r="C1547" s="1">
        <v>20</v>
      </c>
      <c r="D1547" s="1">
        <v>58.55</v>
      </c>
      <c r="E1547" s="1" t="s">
        <v>467</v>
      </c>
      <c r="F1547" s="1" t="s">
        <v>6933</v>
      </c>
      <c r="G1547" s="3" t="s">
        <v>6934</v>
      </c>
      <c r="H1547" s="11">
        <f t="shared" si="49"/>
        <v>284.49</v>
      </c>
      <c r="I1547" s="9">
        <f>($K$2+0.02)*Tabla1[[#This Row],[PRECIO $]]*1.18</f>
        <v>240.42971999999997</v>
      </c>
      <c r="J1547" s="7">
        <f>+Tabla1[[#This Row],[PRECIO EN SOLES]]-Tabla1[[#This Row],[PC]]</f>
        <v>44.060280000000034</v>
      </c>
      <c r="K1547" s="15"/>
      <c r="L1547" s="15" t="str">
        <f t="shared" si="48"/>
        <v>NORMAL</v>
      </c>
    </row>
    <row r="1548" spans="1:12" x14ac:dyDescent="0.25">
      <c r="A1548" s="3" t="s">
        <v>5053</v>
      </c>
      <c r="B1548" s="3" t="s">
        <v>5054</v>
      </c>
      <c r="C1548" s="1">
        <v>20</v>
      </c>
      <c r="D1548" s="1">
        <v>75.900000000000006</v>
      </c>
      <c r="E1548" s="1" t="s">
        <v>467</v>
      </c>
      <c r="F1548" s="1" t="s">
        <v>5055</v>
      </c>
      <c r="G1548" s="3" t="s">
        <v>5056</v>
      </c>
      <c r="H1548" s="11">
        <f t="shared" si="49"/>
        <v>366.43</v>
      </c>
      <c r="I1548" s="9">
        <f>($K$2+0.02)*Tabla1[[#This Row],[PRECIO $]]*1.18</f>
        <v>311.67575999999997</v>
      </c>
      <c r="J1548" s="7">
        <f>+Tabla1[[#This Row],[PRECIO EN SOLES]]-Tabla1[[#This Row],[PC]]</f>
        <v>54.754240000000038</v>
      </c>
      <c r="K1548" s="15"/>
      <c r="L1548" s="15" t="str">
        <f t="shared" si="48"/>
        <v>NORMAL</v>
      </c>
    </row>
    <row r="1549" spans="1:12" x14ac:dyDescent="0.25">
      <c r="A1549" s="3" t="s">
        <v>5502</v>
      </c>
      <c r="B1549" s="3" t="s">
        <v>5503</v>
      </c>
      <c r="C1549" s="1">
        <v>11</v>
      </c>
      <c r="D1549" s="1">
        <v>122.5</v>
      </c>
      <c r="E1549" s="1" t="s">
        <v>2497</v>
      </c>
      <c r="F1549" s="1" t="s">
        <v>5504</v>
      </c>
      <c r="G1549" s="3" t="s">
        <v>5505</v>
      </c>
      <c r="H1549" s="11">
        <f t="shared" si="49"/>
        <v>586.49</v>
      </c>
      <c r="I1549" s="9">
        <f>($K$2+0.02)*Tabla1[[#This Row],[PRECIO $]]*1.18</f>
        <v>503.03399999999999</v>
      </c>
      <c r="J1549" s="7">
        <f>+Tabla1[[#This Row],[PRECIO EN SOLES]]-Tabla1[[#This Row],[PC]]</f>
        <v>83.456000000000017</v>
      </c>
      <c r="K1549" s="15"/>
      <c r="L1549" s="15" t="str">
        <f t="shared" si="48"/>
        <v>NORMAL</v>
      </c>
    </row>
    <row r="1550" spans="1:12" x14ac:dyDescent="0.25">
      <c r="A1550" s="3" t="s">
        <v>4742</v>
      </c>
      <c r="B1550" s="3" t="s">
        <v>4743</v>
      </c>
      <c r="C1550" s="1">
        <v>7</v>
      </c>
      <c r="D1550" s="1">
        <v>208.5</v>
      </c>
      <c r="E1550" s="1" t="s">
        <v>4744</v>
      </c>
      <c r="F1550" s="1" t="s">
        <v>4745</v>
      </c>
      <c r="G1550" s="3" t="s">
        <v>5057</v>
      </c>
      <c r="H1550" s="11">
        <f t="shared" si="49"/>
        <v>992.61</v>
      </c>
      <c r="I1550" s="9">
        <f>($K$2+0.02)*Tabla1[[#This Row],[PRECIO $]]*1.18</f>
        <v>856.18439999999998</v>
      </c>
      <c r="J1550" s="7">
        <f>+Tabla1[[#This Row],[PRECIO EN SOLES]]-Tabla1[[#This Row],[PC]]</f>
        <v>136.42560000000003</v>
      </c>
      <c r="K1550" s="15"/>
      <c r="L1550" s="15" t="str">
        <f t="shared" si="48"/>
        <v>NORMAL</v>
      </c>
    </row>
    <row r="1551" spans="1:12" x14ac:dyDescent="0.25">
      <c r="A1551" s="3" t="s">
        <v>4746</v>
      </c>
      <c r="B1551" s="3" t="s">
        <v>4747</v>
      </c>
      <c r="C1551" s="1">
        <v>4</v>
      </c>
      <c r="D1551" s="1">
        <v>283.5</v>
      </c>
      <c r="E1551" s="1" t="s">
        <v>4744</v>
      </c>
      <c r="F1551" s="1" t="s">
        <v>4748</v>
      </c>
      <c r="G1551" s="3" t="s">
        <v>5058</v>
      </c>
      <c r="H1551" s="11">
        <f t="shared" si="49"/>
        <v>1346.79</v>
      </c>
      <c r="I1551" s="9">
        <f>($K$2+0.02)*Tabla1[[#This Row],[PRECIO $]]*1.18</f>
        <v>1164.1643999999999</v>
      </c>
      <c r="J1551" s="7">
        <f>+Tabla1[[#This Row],[PRECIO EN SOLES]]-Tabla1[[#This Row],[PC]]</f>
        <v>182.62560000000008</v>
      </c>
      <c r="K1551" s="15"/>
      <c r="L1551" s="15" t="str">
        <f t="shared" si="48"/>
        <v>NORMAL</v>
      </c>
    </row>
    <row r="1552" spans="1:12" x14ac:dyDescent="0.25">
      <c r="A1552" s="3" t="s">
        <v>4749</v>
      </c>
      <c r="B1552" s="3" t="s">
        <v>4750</v>
      </c>
      <c r="C1552" s="1">
        <v>4</v>
      </c>
      <c r="D1552" s="1">
        <v>285.5</v>
      </c>
      <c r="E1552" s="1" t="s">
        <v>4744</v>
      </c>
      <c r="F1552" s="1" t="s">
        <v>4751</v>
      </c>
      <c r="G1552" s="3" t="s">
        <v>5059</v>
      </c>
      <c r="H1552" s="11">
        <f t="shared" si="49"/>
        <v>1356.23</v>
      </c>
      <c r="I1552" s="9">
        <f>($K$2+0.02)*Tabla1[[#This Row],[PRECIO $]]*1.18</f>
        <v>1172.3771999999999</v>
      </c>
      <c r="J1552" s="7">
        <f>+Tabla1[[#This Row],[PRECIO EN SOLES]]-Tabla1[[#This Row],[PC]]</f>
        <v>183.85280000000012</v>
      </c>
      <c r="K1552" s="15"/>
      <c r="L1552" s="15" t="str">
        <f t="shared" ref="L1552:L1615" si="50"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3" spans="1:12" x14ac:dyDescent="0.25">
      <c r="A1553" s="3" t="s">
        <v>4752</v>
      </c>
      <c r="B1553" s="3" t="s">
        <v>4753</v>
      </c>
      <c r="C1553" s="1">
        <v>3</v>
      </c>
      <c r="D1553" s="1">
        <v>358.5</v>
      </c>
      <c r="E1553" s="1" t="s">
        <v>4744</v>
      </c>
      <c r="F1553" s="1" t="s">
        <v>4754</v>
      </c>
      <c r="G1553" s="3" t="s">
        <v>5060</v>
      </c>
      <c r="H1553" s="11">
        <f t="shared" si="49"/>
        <v>1700.97</v>
      </c>
      <c r="I1553" s="9">
        <f>($K$2+0.02)*Tabla1[[#This Row],[PRECIO $]]*1.18</f>
        <v>1472.1443999999999</v>
      </c>
      <c r="J1553" s="7">
        <f>+Tabla1[[#This Row],[PRECIO EN SOLES]]-Tabla1[[#This Row],[PC]]</f>
        <v>228.82560000000012</v>
      </c>
      <c r="K1553" s="15"/>
      <c r="L1553" s="15" t="str">
        <f t="shared" si="50"/>
        <v>NORMAL</v>
      </c>
    </row>
    <row r="1554" spans="1:12" x14ac:dyDescent="0.25">
      <c r="A1554" s="3" t="s">
        <v>4755</v>
      </c>
      <c r="B1554" s="3" t="s">
        <v>4756</v>
      </c>
      <c r="C1554" s="1">
        <v>3</v>
      </c>
      <c r="D1554" s="1">
        <v>557.5</v>
      </c>
      <c r="E1554" s="1" t="s">
        <v>4744</v>
      </c>
      <c r="F1554" s="1" t="s">
        <v>4757</v>
      </c>
      <c r="G1554" s="3" t="s">
        <v>5061</v>
      </c>
      <c r="H1554" s="11">
        <f t="shared" ref="H1554:H1617" si="51">ROUND(
IF(L1552="GANCHO",
   IF(I1554&lt;=50,I1554*1.1+4,IF(I1554&lt;=120,I1554*1.1+7,IF(I1554&lt;=250,I1554*1.1+11,I1554*1.1+19))),
IF(L1552="NORMAL",
   IF(I1554&lt;=30,I1554*1.15+2,IF(I1554&lt;=80,I1554*1.15+4,IF(I1554&lt;=150,I1554*1.15+6,I1554*1.15+8))),
IF(L1552="COMPLEMENTO",
   IF(I1554&lt;=25,I1554*1.25+1.5,IF(I1554&lt;=60,I1554*1.25+3,IF(I1554&lt;=120,I1554*1.25+4,I1554*1.25+5))),
""))),2)</f>
        <v>2640.72</v>
      </c>
      <c r="I1554" s="9">
        <f>($K$2+0.02)*Tabla1[[#This Row],[PRECIO $]]*1.18</f>
        <v>2289.3179999999998</v>
      </c>
      <c r="J1554" s="7">
        <f>+Tabla1[[#This Row],[PRECIO EN SOLES]]-Tabla1[[#This Row],[PC]]</f>
        <v>351.40200000000004</v>
      </c>
      <c r="K1554" s="15"/>
      <c r="L1554" s="15" t="str">
        <f t="shared" si="50"/>
        <v>NORMAL</v>
      </c>
    </row>
    <row r="1555" spans="1:12" x14ac:dyDescent="0.25">
      <c r="A1555" s="3" t="s">
        <v>4758</v>
      </c>
      <c r="B1555" s="3" t="s">
        <v>4759</v>
      </c>
      <c r="C1555" s="1">
        <v>2</v>
      </c>
      <c r="D1555" s="1">
        <v>922.5</v>
      </c>
      <c r="E1555" s="1" t="s">
        <v>4744</v>
      </c>
      <c r="F1555" s="1" t="s">
        <v>4760</v>
      </c>
      <c r="G1555" s="3" t="s">
        <v>5062</v>
      </c>
      <c r="H1555" s="11">
        <f t="shared" si="51"/>
        <v>4364.38</v>
      </c>
      <c r="I1555" s="9">
        <f>($K$2+0.02)*Tabla1[[#This Row],[PRECIO $]]*1.18</f>
        <v>3788.154</v>
      </c>
      <c r="J1555" s="7">
        <f>+Tabla1[[#This Row],[PRECIO EN SOLES]]-Tabla1[[#This Row],[PC]]</f>
        <v>576.22600000000011</v>
      </c>
      <c r="K1555" s="15"/>
      <c r="L1555" s="15" t="str">
        <f t="shared" si="50"/>
        <v>NORMAL</v>
      </c>
    </row>
    <row r="1556" spans="1:12" x14ac:dyDescent="0.25">
      <c r="A1556" s="3" t="s">
        <v>4761</v>
      </c>
      <c r="B1556" s="3" t="s">
        <v>4762</v>
      </c>
      <c r="C1556" s="1">
        <v>2</v>
      </c>
      <c r="D1556" s="1">
        <v>1393</v>
      </c>
      <c r="E1556" s="1" t="s">
        <v>4744</v>
      </c>
      <c r="F1556" s="1" t="s">
        <v>4763</v>
      </c>
      <c r="G1556" s="3" t="s">
        <v>5063</v>
      </c>
      <c r="H1556" s="11">
        <f t="shared" si="51"/>
        <v>6586.25</v>
      </c>
      <c r="I1556" s="9">
        <f>($K$2+0.02)*Tabla1[[#This Row],[PRECIO $]]*1.18</f>
        <v>5720.2151999999996</v>
      </c>
      <c r="J1556" s="7">
        <f>+Tabla1[[#This Row],[PRECIO EN SOLES]]-Tabla1[[#This Row],[PC]]</f>
        <v>866.03480000000036</v>
      </c>
      <c r="K1556" s="15"/>
      <c r="L1556" s="15" t="str">
        <f t="shared" si="50"/>
        <v>NORMAL</v>
      </c>
    </row>
    <row r="1557" spans="1:12" x14ac:dyDescent="0.25">
      <c r="A1557" s="3" t="s">
        <v>5506</v>
      </c>
      <c r="B1557" s="3" t="s">
        <v>5507</v>
      </c>
      <c r="C1557" s="1">
        <v>12</v>
      </c>
      <c r="D1557" s="1">
        <v>303.5</v>
      </c>
      <c r="E1557" s="1" t="s">
        <v>2497</v>
      </c>
      <c r="F1557" s="1" t="s">
        <v>5508</v>
      </c>
      <c r="G1557" s="3" t="s">
        <v>5509</v>
      </c>
      <c r="H1557" s="11">
        <f t="shared" si="51"/>
        <v>1441.24</v>
      </c>
      <c r="I1557" s="9">
        <f>($K$2+0.02)*Tabla1[[#This Row],[PRECIO $]]*1.18</f>
        <v>1246.2924</v>
      </c>
      <c r="J1557" s="7">
        <f>+Tabla1[[#This Row],[PRECIO EN SOLES]]-Tabla1[[#This Row],[PC]]</f>
        <v>194.94759999999997</v>
      </c>
      <c r="K1557" s="15"/>
      <c r="L1557" s="15" t="str">
        <f t="shared" si="50"/>
        <v>NORMAL</v>
      </c>
    </row>
    <row r="1558" spans="1:12" x14ac:dyDescent="0.25">
      <c r="A1558" s="3" t="s">
        <v>5510</v>
      </c>
      <c r="B1558" s="3" t="s">
        <v>5511</v>
      </c>
      <c r="C1558" s="1">
        <v>9</v>
      </c>
      <c r="D1558" s="1">
        <v>246.5</v>
      </c>
      <c r="E1558" s="1" t="s">
        <v>2497</v>
      </c>
      <c r="F1558" s="1" t="s">
        <v>5512</v>
      </c>
      <c r="G1558" s="3" t="s">
        <v>5513</v>
      </c>
      <c r="H1558" s="11">
        <f t="shared" si="51"/>
        <v>1172.06</v>
      </c>
      <c r="I1558" s="9">
        <f>($K$2+0.02)*Tabla1[[#This Row],[PRECIO $]]*1.18</f>
        <v>1012.2276000000001</v>
      </c>
      <c r="J1558" s="7">
        <f>+Tabla1[[#This Row],[PRECIO EN SOLES]]-Tabla1[[#This Row],[PC]]</f>
        <v>159.83239999999989</v>
      </c>
      <c r="K1558" s="15"/>
      <c r="L1558" s="15" t="str">
        <f t="shared" si="50"/>
        <v>NORMAL</v>
      </c>
    </row>
    <row r="1559" spans="1:12" x14ac:dyDescent="0.25">
      <c r="A1559" s="3" t="s">
        <v>5514</v>
      </c>
      <c r="B1559" s="3" t="s">
        <v>5515</v>
      </c>
      <c r="C1559" s="1">
        <v>3</v>
      </c>
      <c r="D1559" s="1">
        <v>551.5</v>
      </c>
      <c r="E1559" s="1" t="s">
        <v>2497</v>
      </c>
      <c r="F1559" s="1" t="s">
        <v>5516</v>
      </c>
      <c r="G1559" s="3" t="s">
        <v>5517</v>
      </c>
      <c r="H1559" s="11">
        <f t="shared" si="51"/>
        <v>2612.38</v>
      </c>
      <c r="I1559" s="9">
        <f>($K$2+0.02)*Tabla1[[#This Row],[PRECIO $]]*1.18</f>
        <v>2264.6795999999999</v>
      </c>
      <c r="J1559" s="7">
        <f>+Tabla1[[#This Row],[PRECIO EN SOLES]]-Tabla1[[#This Row],[PC]]</f>
        <v>347.70040000000017</v>
      </c>
      <c r="K1559" s="15"/>
      <c r="L1559" s="15" t="str">
        <f t="shared" si="50"/>
        <v>NORMAL</v>
      </c>
    </row>
    <row r="1560" spans="1:12" x14ac:dyDescent="0.25">
      <c r="A1560" s="3" t="s">
        <v>5518</v>
      </c>
      <c r="B1560" s="3" t="s">
        <v>5519</v>
      </c>
      <c r="C1560" s="1">
        <v>1</v>
      </c>
      <c r="D1560" s="1">
        <v>710.5</v>
      </c>
      <c r="E1560" s="1" t="s">
        <v>2497</v>
      </c>
      <c r="F1560" s="1" t="s">
        <v>5520</v>
      </c>
      <c r="G1560" s="3" t="s">
        <v>5521</v>
      </c>
      <c r="H1560" s="11">
        <f t="shared" si="51"/>
        <v>3363.24</v>
      </c>
      <c r="I1560" s="9">
        <f>($K$2+0.02)*Tabla1[[#This Row],[PRECIO $]]*1.18</f>
        <v>2917.5971999999997</v>
      </c>
      <c r="J1560" s="7">
        <f>+Tabla1[[#This Row],[PRECIO EN SOLES]]-Tabla1[[#This Row],[PC]]</f>
        <v>445.64280000000008</v>
      </c>
      <c r="K1560" s="15"/>
      <c r="L1560" s="15" t="str">
        <f t="shared" si="50"/>
        <v>NORMAL</v>
      </c>
    </row>
    <row r="1561" spans="1:12" x14ac:dyDescent="0.25">
      <c r="A1561" s="3" t="s">
        <v>5522</v>
      </c>
      <c r="B1561" s="3" t="s">
        <v>5523</v>
      </c>
      <c r="C1561" s="1">
        <v>5</v>
      </c>
      <c r="D1561" s="1">
        <v>461.5</v>
      </c>
      <c r="E1561" s="1" t="s">
        <v>2497</v>
      </c>
      <c r="F1561" s="1" t="s">
        <v>5524</v>
      </c>
      <c r="G1561" s="3" t="s">
        <v>5525</v>
      </c>
      <c r="H1561" s="11">
        <f t="shared" si="51"/>
        <v>2187.37</v>
      </c>
      <c r="I1561" s="9">
        <f>($K$2+0.02)*Tabla1[[#This Row],[PRECIO $]]*1.18</f>
        <v>1895.1035999999999</v>
      </c>
      <c r="J1561" s="7">
        <f>+Tabla1[[#This Row],[PRECIO EN SOLES]]-Tabla1[[#This Row],[PC]]</f>
        <v>292.26639999999998</v>
      </c>
      <c r="K1561" s="15"/>
      <c r="L1561" s="15" t="str">
        <f t="shared" si="50"/>
        <v>NORMAL</v>
      </c>
    </row>
    <row r="1562" spans="1:12" x14ac:dyDescent="0.25">
      <c r="A1562" s="3" t="s">
        <v>5526</v>
      </c>
      <c r="B1562" s="3" t="s">
        <v>5527</v>
      </c>
      <c r="C1562" s="1">
        <v>2</v>
      </c>
      <c r="D1562" s="1">
        <v>732.5</v>
      </c>
      <c r="E1562" s="1" t="s">
        <v>2497</v>
      </c>
      <c r="F1562" s="1" t="s">
        <v>5528</v>
      </c>
      <c r="G1562" s="3" t="s">
        <v>5529</v>
      </c>
      <c r="H1562" s="11">
        <f t="shared" si="51"/>
        <v>3467.13</v>
      </c>
      <c r="I1562" s="9">
        <f>($K$2+0.02)*Tabla1[[#This Row],[PRECIO $]]*1.18</f>
        <v>3007.9379999999996</v>
      </c>
      <c r="J1562" s="7">
        <f>+Tabla1[[#This Row],[PRECIO EN SOLES]]-Tabla1[[#This Row],[PC]]</f>
        <v>459.19200000000046</v>
      </c>
      <c r="K1562" s="15"/>
      <c r="L1562" s="15" t="str">
        <f t="shared" si="50"/>
        <v>NORMAL</v>
      </c>
    </row>
    <row r="1563" spans="1:12" x14ac:dyDescent="0.25">
      <c r="A1563" s="3" t="s">
        <v>5530</v>
      </c>
      <c r="B1563" s="3" t="s">
        <v>5531</v>
      </c>
      <c r="C1563" s="1">
        <v>6</v>
      </c>
      <c r="D1563" s="1">
        <v>941</v>
      </c>
      <c r="E1563" s="1" t="s">
        <v>2497</v>
      </c>
      <c r="F1563" s="1" t="s">
        <v>5532</v>
      </c>
      <c r="G1563" s="3" t="s">
        <v>5533</v>
      </c>
      <c r="H1563" s="11">
        <f t="shared" si="51"/>
        <v>4451.74</v>
      </c>
      <c r="I1563" s="9">
        <f>($K$2+0.02)*Tabla1[[#This Row],[PRECIO $]]*1.18</f>
        <v>3864.1223999999997</v>
      </c>
      <c r="J1563" s="7">
        <f>+Tabla1[[#This Row],[PRECIO EN SOLES]]-Tabla1[[#This Row],[PC]]</f>
        <v>587.61760000000004</v>
      </c>
      <c r="K1563" s="15"/>
      <c r="L1563" s="15" t="str">
        <f t="shared" si="50"/>
        <v>NORMAL</v>
      </c>
    </row>
    <row r="1564" spans="1:12" x14ac:dyDescent="0.25">
      <c r="A1564" s="3" t="s">
        <v>5534</v>
      </c>
      <c r="B1564" s="3" t="s">
        <v>5535</v>
      </c>
      <c r="C1564" s="1">
        <v>2</v>
      </c>
      <c r="D1564" s="1">
        <v>836.5</v>
      </c>
      <c r="E1564" s="1" t="s">
        <v>2497</v>
      </c>
      <c r="F1564" s="1" t="s">
        <v>5536</v>
      </c>
      <c r="G1564" s="3" t="s">
        <v>5537</v>
      </c>
      <c r="H1564" s="11">
        <f t="shared" si="51"/>
        <v>3958.25</v>
      </c>
      <c r="I1564" s="9">
        <f>($K$2+0.02)*Tabla1[[#This Row],[PRECIO $]]*1.18</f>
        <v>3435.0036</v>
      </c>
      <c r="J1564" s="7">
        <f>+Tabla1[[#This Row],[PRECIO EN SOLES]]-Tabla1[[#This Row],[PC]]</f>
        <v>523.24639999999999</v>
      </c>
      <c r="K1564" s="15"/>
      <c r="L1564" s="15" t="str">
        <f t="shared" si="50"/>
        <v>NORMAL</v>
      </c>
    </row>
    <row r="1565" spans="1:12" x14ac:dyDescent="0.25">
      <c r="A1565" s="3" t="s">
        <v>2498</v>
      </c>
      <c r="B1565" s="3" t="s">
        <v>2499</v>
      </c>
      <c r="C1565" s="1">
        <v>4</v>
      </c>
      <c r="D1565" s="1">
        <v>1048</v>
      </c>
      <c r="E1565" s="1" t="s">
        <v>2497</v>
      </c>
      <c r="F1565" s="1" t="s">
        <v>4024</v>
      </c>
      <c r="G1565" s="3" t="s">
        <v>2500</v>
      </c>
      <c r="H1565" s="11">
        <f t="shared" si="51"/>
        <v>4957.03</v>
      </c>
      <c r="I1565" s="9">
        <f>($K$2+0.02)*Tabla1[[#This Row],[PRECIO $]]*1.18</f>
        <v>4303.5072</v>
      </c>
      <c r="J1565" s="7">
        <f>+Tabla1[[#This Row],[PRECIO EN SOLES]]-Tabla1[[#This Row],[PC]]</f>
        <v>653.52279999999973</v>
      </c>
      <c r="K1565" s="15"/>
      <c r="L1565" s="15" t="str">
        <f t="shared" si="50"/>
        <v>NORMAL</v>
      </c>
    </row>
    <row r="1566" spans="1:12" x14ac:dyDescent="0.25">
      <c r="A1566" s="3" t="s">
        <v>5538</v>
      </c>
      <c r="B1566" s="3" t="s">
        <v>5539</v>
      </c>
      <c r="C1566" s="1">
        <v>1</v>
      </c>
      <c r="D1566" s="1">
        <v>789</v>
      </c>
      <c r="E1566" s="1" t="s">
        <v>2497</v>
      </c>
      <c r="F1566" s="1" t="s">
        <v>5540</v>
      </c>
      <c r="G1566" s="3" t="s">
        <v>5541</v>
      </c>
      <c r="H1566" s="11">
        <f t="shared" si="51"/>
        <v>3733.94</v>
      </c>
      <c r="I1566" s="9">
        <f>($K$2+0.02)*Tabla1[[#This Row],[PRECIO $]]*1.18</f>
        <v>3239.9495999999995</v>
      </c>
      <c r="J1566" s="7">
        <f>+Tabla1[[#This Row],[PRECIO EN SOLES]]-Tabla1[[#This Row],[PC]]</f>
        <v>493.99040000000059</v>
      </c>
      <c r="K1566" s="15"/>
      <c r="L1566" s="15" t="str">
        <f t="shared" si="50"/>
        <v>NORMAL</v>
      </c>
    </row>
    <row r="1567" spans="1:12" x14ac:dyDescent="0.25">
      <c r="A1567" s="3" t="s">
        <v>2349</v>
      </c>
      <c r="B1567" s="3" t="s">
        <v>2350</v>
      </c>
      <c r="C1567" s="1">
        <v>10</v>
      </c>
      <c r="D1567" s="1">
        <v>240.77</v>
      </c>
      <c r="E1567" s="1" t="s">
        <v>57</v>
      </c>
      <c r="F1567" s="1" t="s">
        <v>3927</v>
      </c>
      <c r="G1567" s="3" t="s">
        <v>2351</v>
      </c>
      <c r="H1567" s="11">
        <f t="shared" si="51"/>
        <v>1145</v>
      </c>
      <c r="I1567" s="9">
        <f>($K$2+0.02)*Tabla1[[#This Row],[PRECIO $]]*1.18</f>
        <v>988.69792799999993</v>
      </c>
      <c r="J1567" s="7">
        <f>+Tabla1[[#This Row],[PRECIO EN SOLES]]-Tabla1[[#This Row],[PC]]</f>
        <v>156.30207200000007</v>
      </c>
      <c r="K1567" s="15"/>
      <c r="L1567" s="15" t="str">
        <f t="shared" si="50"/>
        <v>NORMAL</v>
      </c>
    </row>
    <row r="1568" spans="1:12" x14ac:dyDescent="0.25">
      <c r="A1568" s="3" t="s">
        <v>4532</v>
      </c>
      <c r="B1568" s="3" t="s">
        <v>4533</v>
      </c>
      <c r="C1568" s="1">
        <v>1</v>
      </c>
      <c r="D1568" s="1">
        <v>41.7</v>
      </c>
      <c r="E1568" s="1" t="s">
        <v>141</v>
      </c>
      <c r="F1568" s="1" t="s">
        <v>4534</v>
      </c>
      <c r="G1568" s="3" t="s">
        <v>4535</v>
      </c>
      <c r="H1568" s="11">
        <f t="shared" si="51"/>
        <v>204.92</v>
      </c>
      <c r="I1568" s="9">
        <f>($K$2+0.02)*Tabla1[[#This Row],[PRECIO $]]*1.18</f>
        <v>171.23688000000001</v>
      </c>
      <c r="J1568" s="7">
        <f>+Tabla1[[#This Row],[PRECIO EN SOLES]]-Tabla1[[#This Row],[PC]]</f>
        <v>33.683119999999974</v>
      </c>
      <c r="K1568" s="15"/>
      <c r="L1568" s="15" t="str">
        <f t="shared" si="50"/>
        <v>NORMAL</v>
      </c>
    </row>
    <row r="1569" spans="1:12" x14ac:dyDescent="0.25">
      <c r="A1569" s="3" t="s">
        <v>4453</v>
      </c>
      <c r="B1569" s="3" t="s">
        <v>4454</v>
      </c>
      <c r="C1569" s="1">
        <v>2</v>
      </c>
      <c r="D1569" s="1">
        <v>100.68</v>
      </c>
      <c r="E1569" s="1" t="s">
        <v>141</v>
      </c>
      <c r="F1569" s="1" t="s">
        <v>4455</v>
      </c>
      <c r="G1569" s="3"/>
      <c r="H1569" s="11">
        <f t="shared" si="51"/>
        <v>483.45</v>
      </c>
      <c r="I1569" s="9">
        <f>($K$2+0.02)*Tabla1[[#This Row],[PRECIO $]]*1.18</f>
        <v>413.43235199999998</v>
      </c>
      <c r="J1569" s="7">
        <f>+Tabla1[[#This Row],[PRECIO EN SOLES]]-Tabla1[[#This Row],[PC]]</f>
        <v>70.017648000000008</v>
      </c>
      <c r="K1569" s="15"/>
      <c r="L1569" s="15" t="str">
        <f t="shared" si="50"/>
        <v>NORMAL</v>
      </c>
    </row>
    <row r="1570" spans="1:12" x14ac:dyDescent="0.25">
      <c r="A1570" s="3" t="s">
        <v>2501</v>
      </c>
      <c r="B1570" s="3" t="s">
        <v>2502</v>
      </c>
      <c r="C1570" s="1">
        <v>17</v>
      </c>
      <c r="D1570" s="1">
        <v>240.5</v>
      </c>
      <c r="E1570" s="1" t="s">
        <v>141</v>
      </c>
      <c r="F1570" s="1" t="s">
        <v>4025</v>
      </c>
      <c r="G1570" s="3"/>
      <c r="H1570" s="11">
        <f t="shared" si="51"/>
        <v>1143.73</v>
      </c>
      <c r="I1570" s="9">
        <f>($K$2+0.02)*Tabla1[[#This Row],[PRECIO $]]*1.18</f>
        <v>987.58919999999989</v>
      </c>
      <c r="J1570" s="7">
        <f>+Tabla1[[#This Row],[PRECIO EN SOLES]]-Tabla1[[#This Row],[PC]]</f>
        <v>156.14080000000013</v>
      </c>
      <c r="K1570" s="15"/>
      <c r="L1570" s="15" t="str">
        <f t="shared" si="50"/>
        <v>NORMAL</v>
      </c>
    </row>
    <row r="1571" spans="1:12" x14ac:dyDescent="0.25">
      <c r="A1571" s="3" t="s">
        <v>2503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4026</v>
      </c>
      <c r="G1571" s="3"/>
      <c r="H1571" s="11">
        <f t="shared" si="51"/>
        <v>1136.6400000000001</v>
      </c>
      <c r="I1571" s="9">
        <f>($K$2+0.02)*Tabla1[[#This Row],[PRECIO $]]*1.18</f>
        <v>981.42959999999994</v>
      </c>
      <c r="J1571" s="7">
        <f>+Tabla1[[#This Row],[PRECIO EN SOLES]]-Tabla1[[#This Row],[PC]]</f>
        <v>155.21040000000016</v>
      </c>
      <c r="K1571" s="15"/>
      <c r="L1571" s="15" t="str">
        <f t="shared" si="50"/>
        <v>NORMAL</v>
      </c>
    </row>
    <row r="1572" spans="1:12" x14ac:dyDescent="0.25">
      <c r="A1572" s="3" t="s">
        <v>2504</v>
      </c>
      <c r="B1572" s="3" t="s">
        <v>2505</v>
      </c>
      <c r="C1572" s="1">
        <v>20</v>
      </c>
      <c r="D1572" s="1">
        <v>239</v>
      </c>
      <c r="E1572" s="1" t="s">
        <v>141</v>
      </c>
      <c r="F1572" s="1" t="s">
        <v>4027</v>
      </c>
      <c r="G1572" s="3"/>
      <c r="H1572" s="11">
        <f t="shared" si="51"/>
        <v>1136.6400000000001</v>
      </c>
      <c r="I1572" s="9">
        <f>($K$2+0.02)*Tabla1[[#This Row],[PRECIO $]]*1.18</f>
        <v>981.42959999999994</v>
      </c>
      <c r="J1572" s="7">
        <f>+Tabla1[[#This Row],[PRECIO EN SOLES]]-Tabla1[[#This Row],[PC]]</f>
        <v>155.21040000000016</v>
      </c>
      <c r="K1572" s="15"/>
      <c r="L1572" s="15" t="str">
        <f t="shared" si="50"/>
        <v>NORMAL</v>
      </c>
    </row>
    <row r="1573" spans="1:12" x14ac:dyDescent="0.25">
      <c r="A1573" s="3" t="s">
        <v>2506</v>
      </c>
      <c r="B1573" s="3" t="s">
        <v>2502</v>
      </c>
      <c r="C1573" s="1">
        <v>20</v>
      </c>
      <c r="D1573" s="1">
        <v>239</v>
      </c>
      <c r="E1573" s="1" t="s">
        <v>141</v>
      </c>
      <c r="F1573" s="1" t="s">
        <v>4028</v>
      </c>
      <c r="G1573" s="3"/>
      <c r="H1573" s="11">
        <f t="shared" si="51"/>
        <v>1136.6400000000001</v>
      </c>
      <c r="I1573" s="9">
        <f>($K$2+0.02)*Tabla1[[#This Row],[PRECIO $]]*1.18</f>
        <v>981.42959999999994</v>
      </c>
      <c r="J1573" s="7">
        <f>+Tabla1[[#This Row],[PRECIO EN SOLES]]-Tabla1[[#This Row],[PC]]</f>
        <v>155.21040000000016</v>
      </c>
      <c r="K1573" s="15"/>
      <c r="L1573" s="15" t="str">
        <f t="shared" si="50"/>
        <v>NORMAL</v>
      </c>
    </row>
    <row r="1574" spans="1:12" x14ac:dyDescent="0.25">
      <c r="A1574" s="3" t="s">
        <v>4477</v>
      </c>
      <c r="B1574" s="3" t="s">
        <v>4478</v>
      </c>
      <c r="C1574" s="1">
        <v>7</v>
      </c>
      <c r="D1574" s="1">
        <v>19.7</v>
      </c>
      <c r="E1574" s="1" t="s">
        <v>141</v>
      </c>
      <c r="F1574" s="1" t="s">
        <v>4479</v>
      </c>
      <c r="G1574" s="3" t="s">
        <v>4480</v>
      </c>
      <c r="H1574" s="11">
        <f t="shared" si="51"/>
        <v>99.03</v>
      </c>
      <c r="I1574" s="9">
        <f>($K$2+0.02)*Tabla1[[#This Row],[PRECIO $]]*1.18</f>
        <v>80.896079999999998</v>
      </c>
      <c r="J1574" s="7">
        <f>+Tabla1[[#This Row],[PRECIO EN SOLES]]-Tabla1[[#This Row],[PC]]</f>
        <v>18.133920000000003</v>
      </c>
      <c r="K1574" s="15"/>
      <c r="L1574" s="15" t="str">
        <f t="shared" si="50"/>
        <v>NORMAL</v>
      </c>
    </row>
    <row r="1575" spans="1:12" x14ac:dyDescent="0.25">
      <c r="A1575" s="3" t="s">
        <v>2507</v>
      </c>
      <c r="B1575" s="3" t="s">
        <v>2508</v>
      </c>
      <c r="C1575" s="1">
        <v>20</v>
      </c>
      <c r="D1575" s="1">
        <v>14</v>
      </c>
      <c r="E1575" s="1" t="s">
        <v>141</v>
      </c>
      <c r="F1575" s="1" t="s">
        <v>4029</v>
      </c>
      <c r="G1575" s="3"/>
      <c r="H1575" s="11">
        <f t="shared" si="51"/>
        <v>70.11</v>
      </c>
      <c r="I1575" s="9">
        <f>($K$2+0.02)*Tabla1[[#This Row],[PRECIO $]]*1.18</f>
        <v>57.489599999999996</v>
      </c>
      <c r="J1575" s="7">
        <f>+Tabla1[[#This Row],[PRECIO EN SOLES]]-Tabla1[[#This Row],[PC]]</f>
        <v>12.620400000000004</v>
      </c>
      <c r="K1575" s="15"/>
      <c r="L1575" s="15" t="str">
        <f t="shared" si="50"/>
        <v>NORMAL</v>
      </c>
    </row>
    <row r="1576" spans="1:12" x14ac:dyDescent="0.25">
      <c r="A1576" s="3" t="s">
        <v>2509</v>
      </c>
      <c r="B1576" s="3" t="s">
        <v>2510</v>
      </c>
      <c r="C1576" s="1">
        <v>20</v>
      </c>
      <c r="D1576" s="1">
        <v>14</v>
      </c>
      <c r="E1576" s="1" t="s">
        <v>141</v>
      </c>
      <c r="F1576" s="1" t="s">
        <v>4030</v>
      </c>
      <c r="G1576" s="3"/>
      <c r="H1576" s="11">
        <f t="shared" si="51"/>
        <v>70.11</v>
      </c>
      <c r="I1576" s="9">
        <f>($K$2+0.02)*Tabla1[[#This Row],[PRECIO $]]*1.18</f>
        <v>57.489599999999996</v>
      </c>
      <c r="J1576" s="7">
        <f>+Tabla1[[#This Row],[PRECIO EN SOLES]]-Tabla1[[#This Row],[PC]]</f>
        <v>12.620400000000004</v>
      </c>
      <c r="K1576" s="15"/>
      <c r="L1576" s="15" t="str">
        <f t="shared" si="50"/>
        <v>NORMAL</v>
      </c>
    </row>
    <row r="1577" spans="1:12" x14ac:dyDescent="0.25">
      <c r="A1577" s="3" t="s">
        <v>2511</v>
      </c>
      <c r="B1577" s="3" t="s">
        <v>2512</v>
      </c>
      <c r="C1577" s="1">
        <v>20</v>
      </c>
      <c r="D1577" s="1">
        <v>14.6</v>
      </c>
      <c r="E1577" s="1" t="s">
        <v>141</v>
      </c>
      <c r="F1577" s="1" t="s">
        <v>4031</v>
      </c>
      <c r="G1577" s="3"/>
      <c r="H1577" s="11">
        <f t="shared" si="51"/>
        <v>72.95</v>
      </c>
      <c r="I1577" s="9">
        <f>($K$2+0.02)*Tabla1[[#This Row],[PRECIO $]]*1.18</f>
        <v>59.953439999999993</v>
      </c>
      <c r="J1577" s="7">
        <f>+Tabla1[[#This Row],[PRECIO EN SOLES]]-Tabla1[[#This Row],[PC]]</f>
        <v>12.996560000000009</v>
      </c>
      <c r="K1577" s="15"/>
      <c r="L1577" s="15" t="str">
        <f t="shared" si="50"/>
        <v>NORMAL</v>
      </c>
    </row>
    <row r="1578" spans="1:12" x14ac:dyDescent="0.25">
      <c r="A1578" s="3" t="s">
        <v>2513</v>
      </c>
      <c r="B1578" s="3" t="s">
        <v>2514</v>
      </c>
      <c r="C1578" s="1">
        <v>20</v>
      </c>
      <c r="D1578" s="1">
        <v>14.8</v>
      </c>
      <c r="E1578" s="1" t="s">
        <v>141</v>
      </c>
      <c r="F1578" s="1" t="s">
        <v>4032</v>
      </c>
      <c r="G1578" s="3"/>
      <c r="H1578" s="11">
        <f t="shared" si="51"/>
        <v>73.89</v>
      </c>
      <c r="I1578" s="9">
        <f>($K$2+0.02)*Tabla1[[#This Row],[PRECIO $]]*1.18</f>
        <v>60.774720000000002</v>
      </c>
      <c r="J1578" s="7">
        <f>+Tabla1[[#This Row],[PRECIO EN SOLES]]-Tabla1[[#This Row],[PC]]</f>
        <v>13.115279999999998</v>
      </c>
      <c r="K1578" s="15"/>
      <c r="L1578" s="15" t="str">
        <f t="shared" si="50"/>
        <v>NORMAL</v>
      </c>
    </row>
    <row r="1579" spans="1:12" x14ac:dyDescent="0.25">
      <c r="A1579" s="3" t="s">
        <v>2515</v>
      </c>
      <c r="B1579" s="3" t="s">
        <v>2516</v>
      </c>
      <c r="C1579" s="1">
        <v>20</v>
      </c>
      <c r="D1579" s="1">
        <v>14</v>
      </c>
      <c r="E1579" s="1" t="s">
        <v>141</v>
      </c>
      <c r="F1579" s="1" t="s">
        <v>4033</v>
      </c>
      <c r="G1579" s="3"/>
      <c r="H1579" s="11">
        <f t="shared" si="51"/>
        <v>70.11</v>
      </c>
      <c r="I1579" s="9">
        <f>($K$2+0.02)*Tabla1[[#This Row],[PRECIO $]]*1.18</f>
        <v>57.489599999999996</v>
      </c>
      <c r="J1579" s="7">
        <f>+Tabla1[[#This Row],[PRECIO EN SOLES]]-Tabla1[[#This Row],[PC]]</f>
        <v>12.620400000000004</v>
      </c>
      <c r="K1579" s="15"/>
      <c r="L1579" s="15" t="str">
        <f t="shared" si="50"/>
        <v>NORMAL</v>
      </c>
    </row>
    <row r="1580" spans="1:12" x14ac:dyDescent="0.25">
      <c r="A1580" s="3" t="s">
        <v>495</v>
      </c>
      <c r="B1580" s="3" t="s">
        <v>496</v>
      </c>
      <c r="C1580" s="1">
        <v>20</v>
      </c>
      <c r="D1580" s="1">
        <v>12.3</v>
      </c>
      <c r="E1580" s="1" t="s">
        <v>141</v>
      </c>
      <c r="F1580" s="1" t="s">
        <v>4034</v>
      </c>
      <c r="G1580" s="3"/>
      <c r="H1580" s="11">
        <f t="shared" si="51"/>
        <v>62.09</v>
      </c>
      <c r="I1580" s="9">
        <f>($K$2+0.02)*Tabla1[[#This Row],[PRECIO $]]*1.18</f>
        <v>50.508719999999997</v>
      </c>
      <c r="J1580" s="7">
        <f>+Tabla1[[#This Row],[PRECIO EN SOLES]]-Tabla1[[#This Row],[PC]]</f>
        <v>11.581280000000007</v>
      </c>
      <c r="K1580" s="15"/>
      <c r="L1580" s="15" t="str">
        <f t="shared" si="50"/>
        <v>NORMAL</v>
      </c>
    </row>
    <row r="1581" spans="1:12" x14ac:dyDescent="0.25">
      <c r="A1581" s="3" t="s">
        <v>497</v>
      </c>
      <c r="B1581" s="3" t="s">
        <v>498</v>
      </c>
      <c r="C1581" s="1">
        <v>0</v>
      </c>
      <c r="D1581" s="1">
        <v>12.3</v>
      </c>
      <c r="E1581" s="1" t="s">
        <v>141</v>
      </c>
      <c r="F1581" s="1" t="s">
        <v>4035</v>
      </c>
      <c r="G1581" s="3"/>
      <c r="H1581" s="11">
        <f t="shared" si="51"/>
        <v>62.09</v>
      </c>
      <c r="I1581" s="9">
        <f>($K$2+0.02)*Tabla1[[#This Row],[PRECIO $]]*1.18</f>
        <v>50.508719999999997</v>
      </c>
      <c r="J1581" s="7">
        <f>+Tabla1[[#This Row],[PRECIO EN SOLES]]-Tabla1[[#This Row],[PC]]</f>
        <v>11.581280000000007</v>
      </c>
      <c r="K1581" s="15"/>
      <c r="L1581" s="15" t="str">
        <f t="shared" si="50"/>
        <v>NORMAL</v>
      </c>
    </row>
    <row r="1582" spans="1:12" x14ac:dyDescent="0.25">
      <c r="A1582" s="3" t="s">
        <v>499</v>
      </c>
      <c r="B1582" s="3" t="s">
        <v>500</v>
      </c>
      <c r="C1582" s="1">
        <v>20</v>
      </c>
      <c r="D1582" s="1">
        <v>12.2</v>
      </c>
      <c r="E1582" s="1" t="s">
        <v>141</v>
      </c>
      <c r="F1582" s="1" t="s">
        <v>4036</v>
      </c>
      <c r="G1582" s="3"/>
      <c r="H1582" s="11">
        <f t="shared" si="51"/>
        <v>61.61</v>
      </c>
      <c r="I1582" s="9">
        <f>($K$2+0.02)*Tabla1[[#This Row],[PRECIO $]]*1.18</f>
        <v>50.098079999999996</v>
      </c>
      <c r="J1582" s="7">
        <f>+Tabla1[[#This Row],[PRECIO EN SOLES]]-Tabla1[[#This Row],[PC]]</f>
        <v>11.511920000000003</v>
      </c>
      <c r="K1582" s="15"/>
      <c r="L1582" s="15" t="str">
        <f t="shared" si="50"/>
        <v>NORMAL</v>
      </c>
    </row>
    <row r="1583" spans="1:12" x14ac:dyDescent="0.25">
      <c r="A1583" s="3" t="s">
        <v>2517</v>
      </c>
      <c r="B1583" s="3" t="s">
        <v>2518</v>
      </c>
      <c r="C1583" s="1">
        <v>2</v>
      </c>
      <c r="D1583" s="1">
        <v>22.5</v>
      </c>
      <c r="E1583" s="1" t="s">
        <v>141</v>
      </c>
      <c r="F1583" s="1" t="s">
        <v>4037</v>
      </c>
      <c r="G1583" s="3"/>
      <c r="H1583" s="11">
        <f t="shared" si="51"/>
        <v>112.25</v>
      </c>
      <c r="I1583" s="9">
        <f>($K$2+0.02)*Tabla1[[#This Row],[PRECIO $]]*1.18</f>
        <v>92.393999999999991</v>
      </c>
      <c r="J1583" s="7">
        <f>+Tabla1[[#This Row],[PRECIO EN SOLES]]-Tabla1[[#This Row],[PC]]</f>
        <v>19.856000000000009</v>
      </c>
      <c r="K1583" s="15"/>
      <c r="L1583" s="15" t="str">
        <f t="shared" si="50"/>
        <v>NORMAL</v>
      </c>
    </row>
    <row r="1584" spans="1:12" x14ac:dyDescent="0.25">
      <c r="A1584" s="3" t="s">
        <v>501</v>
      </c>
      <c r="B1584" s="3" t="s">
        <v>502</v>
      </c>
      <c r="C1584" s="1">
        <v>20</v>
      </c>
      <c r="D1584" s="1">
        <v>8.3000000000000007</v>
      </c>
      <c r="E1584" s="1" t="s">
        <v>154</v>
      </c>
      <c r="F1584" s="1" t="s">
        <v>4038</v>
      </c>
      <c r="G1584" s="3" t="s">
        <v>503</v>
      </c>
      <c r="H1584" s="11">
        <f t="shared" si="51"/>
        <v>43.2</v>
      </c>
      <c r="I1584" s="9">
        <f>($K$2+0.02)*Tabla1[[#This Row],[PRECIO $]]*1.18</f>
        <v>34.083120000000001</v>
      </c>
      <c r="J1584" s="7">
        <f>+Tabla1[[#This Row],[PRECIO EN SOLES]]-Tabla1[[#This Row],[PC]]</f>
        <v>9.1168800000000019</v>
      </c>
      <c r="K1584" s="15"/>
      <c r="L1584" s="15" t="str">
        <f t="shared" si="50"/>
        <v>NORMAL</v>
      </c>
    </row>
    <row r="1585" spans="1:12" x14ac:dyDescent="0.25">
      <c r="A1585" s="3" t="s">
        <v>504</v>
      </c>
      <c r="B1585" s="3" t="s">
        <v>505</v>
      </c>
      <c r="C1585" s="1">
        <v>20</v>
      </c>
      <c r="D1585" s="1">
        <v>7.65</v>
      </c>
      <c r="E1585" s="1" t="s">
        <v>154</v>
      </c>
      <c r="F1585" s="1" t="s">
        <v>4039</v>
      </c>
      <c r="G1585" s="3" t="s">
        <v>506</v>
      </c>
      <c r="H1585" s="11">
        <f t="shared" si="51"/>
        <v>40.130000000000003</v>
      </c>
      <c r="I1585" s="9">
        <f>($K$2+0.02)*Tabla1[[#This Row],[PRECIO $]]*1.18</f>
        <v>31.413959999999999</v>
      </c>
      <c r="J1585" s="7">
        <f>+Tabla1[[#This Row],[PRECIO EN SOLES]]-Tabla1[[#This Row],[PC]]</f>
        <v>8.7160400000000031</v>
      </c>
      <c r="K1585" s="15"/>
      <c r="L1585" s="15" t="str">
        <f t="shared" si="50"/>
        <v>NORMAL</v>
      </c>
    </row>
    <row r="1586" spans="1:12" x14ac:dyDescent="0.25">
      <c r="A1586" s="3" t="s">
        <v>4184</v>
      </c>
      <c r="B1586" s="3" t="s">
        <v>4185</v>
      </c>
      <c r="C1586" s="1">
        <v>20</v>
      </c>
      <c r="D1586" s="1">
        <v>7.65</v>
      </c>
      <c r="E1586" s="1" t="s">
        <v>154</v>
      </c>
      <c r="F1586" s="1" t="s">
        <v>4231</v>
      </c>
      <c r="G1586" s="3" t="s">
        <v>4186</v>
      </c>
      <c r="H1586" s="11">
        <f t="shared" si="51"/>
        <v>40.130000000000003</v>
      </c>
      <c r="I1586" s="9">
        <f>($K$2+0.02)*Tabla1[[#This Row],[PRECIO $]]*1.18</f>
        <v>31.413959999999999</v>
      </c>
      <c r="J1586" s="7">
        <f>+Tabla1[[#This Row],[PRECIO EN SOLES]]-Tabla1[[#This Row],[PC]]</f>
        <v>8.7160400000000031</v>
      </c>
      <c r="K1586" s="15"/>
      <c r="L1586" s="15" t="str">
        <f t="shared" si="50"/>
        <v>NORMAL</v>
      </c>
    </row>
    <row r="1587" spans="1:12" x14ac:dyDescent="0.25">
      <c r="A1587" s="3" t="s">
        <v>4187</v>
      </c>
      <c r="B1587" s="3" t="s">
        <v>4188</v>
      </c>
      <c r="C1587" s="1">
        <v>20</v>
      </c>
      <c r="D1587" s="1">
        <v>7.65</v>
      </c>
      <c r="E1587" s="1" t="s">
        <v>154</v>
      </c>
      <c r="F1587" s="1" t="s">
        <v>4232</v>
      </c>
      <c r="G1587" s="3" t="s">
        <v>4189</v>
      </c>
      <c r="H1587" s="11">
        <f t="shared" si="51"/>
        <v>40.130000000000003</v>
      </c>
      <c r="I1587" s="9">
        <f>($K$2+0.02)*Tabla1[[#This Row],[PRECIO $]]*1.18</f>
        <v>31.413959999999999</v>
      </c>
      <c r="J1587" s="7">
        <f>+Tabla1[[#This Row],[PRECIO EN SOLES]]-Tabla1[[#This Row],[PC]]</f>
        <v>8.7160400000000031</v>
      </c>
      <c r="K1587" s="15"/>
      <c r="L1587" s="15" t="str">
        <f t="shared" si="50"/>
        <v>NORMAL</v>
      </c>
    </row>
    <row r="1588" spans="1:12" x14ac:dyDescent="0.25">
      <c r="A1588" s="3" t="s">
        <v>507</v>
      </c>
      <c r="B1588" s="3" t="s">
        <v>508</v>
      </c>
      <c r="C1588" s="1">
        <v>20</v>
      </c>
      <c r="D1588" s="1">
        <v>7.64</v>
      </c>
      <c r="E1588" s="1" t="s">
        <v>154</v>
      </c>
      <c r="F1588" s="1" t="s">
        <v>4040</v>
      </c>
      <c r="G1588" s="3" t="s">
        <v>509</v>
      </c>
      <c r="H1588" s="11">
        <f t="shared" si="51"/>
        <v>40.08</v>
      </c>
      <c r="I1588" s="9">
        <f>($K$2+0.02)*Tabla1[[#This Row],[PRECIO $]]*1.18</f>
        <v>31.372895999999997</v>
      </c>
      <c r="J1588" s="7">
        <f>+Tabla1[[#This Row],[PRECIO EN SOLES]]-Tabla1[[#This Row],[PC]]</f>
        <v>8.7071040000000011</v>
      </c>
      <c r="K1588" s="15"/>
      <c r="L1588" s="15" t="str">
        <f t="shared" si="50"/>
        <v>NORMAL</v>
      </c>
    </row>
    <row r="1589" spans="1:12" x14ac:dyDescent="0.25">
      <c r="A1589" s="3" t="s">
        <v>510</v>
      </c>
      <c r="B1589" s="3" t="s">
        <v>511</v>
      </c>
      <c r="C1589" s="1">
        <v>20</v>
      </c>
      <c r="D1589" s="1">
        <v>7.6</v>
      </c>
      <c r="E1589" s="1" t="s">
        <v>154</v>
      </c>
      <c r="F1589" s="1" t="s">
        <v>4041</v>
      </c>
      <c r="G1589" s="3" t="s">
        <v>512</v>
      </c>
      <c r="H1589" s="11">
        <f t="shared" si="51"/>
        <v>39.89</v>
      </c>
      <c r="I1589" s="9">
        <f>($K$2+0.02)*Tabla1[[#This Row],[PRECIO $]]*1.18</f>
        <v>31.208639999999999</v>
      </c>
      <c r="J1589" s="7">
        <f>+Tabla1[[#This Row],[PRECIO EN SOLES]]-Tabla1[[#This Row],[PC]]</f>
        <v>8.6813600000000015</v>
      </c>
      <c r="K1589" s="15"/>
      <c r="L1589" s="15" t="str">
        <f t="shared" si="50"/>
        <v>NORMAL</v>
      </c>
    </row>
    <row r="1590" spans="1:12" x14ac:dyDescent="0.25">
      <c r="A1590" s="3" t="s">
        <v>513</v>
      </c>
      <c r="B1590" s="3" t="s">
        <v>514</v>
      </c>
      <c r="C1590" s="1">
        <v>20</v>
      </c>
      <c r="D1590" s="1">
        <v>7.61</v>
      </c>
      <c r="E1590" s="1" t="s">
        <v>154</v>
      </c>
      <c r="F1590" s="1" t="s">
        <v>4042</v>
      </c>
      <c r="G1590" s="3" t="s">
        <v>515</v>
      </c>
      <c r="H1590" s="11">
        <f t="shared" si="51"/>
        <v>39.94</v>
      </c>
      <c r="I1590" s="9">
        <f>($K$2+0.02)*Tabla1[[#This Row],[PRECIO $]]*1.18</f>
        <v>31.249704000000001</v>
      </c>
      <c r="J1590" s="7">
        <f>+Tabla1[[#This Row],[PRECIO EN SOLES]]-Tabla1[[#This Row],[PC]]</f>
        <v>8.6902959999999965</v>
      </c>
      <c r="K1590" s="15"/>
      <c r="L1590" s="15" t="str">
        <f t="shared" si="50"/>
        <v>NORMAL</v>
      </c>
    </row>
    <row r="1591" spans="1:12" x14ac:dyDescent="0.25">
      <c r="A1591" s="3" t="s">
        <v>516</v>
      </c>
      <c r="B1591" s="3" t="s">
        <v>517</v>
      </c>
      <c r="C1591" s="1">
        <v>20</v>
      </c>
      <c r="D1591" s="1">
        <v>7.6</v>
      </c>
      <c r="E1591" s="1" t="s">
        <v>154</v>
      </c>
      <c r="F1591" s="1" t="s">
        <v>4043</v>
      </c>
      <c r="G1591" s="3" t="s">
        <v>518</v>
      </c>
      <c r="H1591" s="11">
        <f t="shared" si="51"/>
        <v>39.89</v>
      </c>
      <c r="I1591" s="9">
        <f>($K$2+0.02)*Tabla1[[#This Row],[PRECIO $]]*1.18</f>
        <v>31.208639999999999</v>
      </c>
      <c r="J1591" s="7">
        <f>+Tabla1[[#This Row],[PRECIO EN SOLES]]-Tabla1[[#This Row],[PC]]</f>
        <v>8.6813600000000015</v>
      </c>
      <c r="K1591" s="15"/>
      <c r="L1591" s="15" t="str">
        <f t="shared" si="50"/>
        <v>NORMAL</v>
      </c>
    </row>
    <row r="1592" spans="1:12" x14ac:dyDescent="0.25">
      <c r="A1592" s="3" t="s">
        <v>519</v>
      </c>
      <c r="B1592" s="3" t="s">
        <v>520</v>
      </c>
      <c r="C1592" s="1">
        <v>20</v>
      </c>
      <c r="D1592" s="1">
        <v>16.149999999999999</v>
      </c>
      <c r="E1592" s="1" t="s">
        <v>154</v>
      </c>
      <c r="F1592" s="1" t="s">
        <v>4044</v>
      </c>
      <c r="G1592" s="3"/>
      <c r="H1592" s="11">
        <f t="shared" si="51"/>
        <v>80.27</v>
      </c>
      <c r="I1592" s="9">
        <f>($K$2+0.02)*Tabla1[[#This Row],[PRECIO $]]*1.18</f>
        <v>66.318359999999998</v>
      </c>
      <c r="J1592" s="7">
        <f>+Tabla1[[#This Row],[PRECIO EN SOLES]]-Tabla1[[#This Row],[PC]]</f>
        <v>13.951639999999998</v>
      </c>
      <c r="K1592" s="15"/>
      <c r="L1592" s="15" t="str">
        <f t="shared" si="50"/>
        <v>NORMAL</v>
      </c>
    </row>
    <row r="1593" spans="1:12" x14ac:dyDescent="0.25">
      <c r="A1593" s="3" t="s">
        <v>4190</v>
      </c>
      <c r="B1593" s="3" t="s">
        <v>4191</v>
      </c>
      <c r="C1593" s="1">
        <v>16</v>
      </c>
      <c r="D1593" s="1">
        <v>16.149999999999999</v>
      </c>
      <c r="E1593" s="1" t="s">
        <v>154</v>
      </c>
      <c r="F1593" s="1" t="s">
        <v>4233</v>
      </c>
      <c r="G1593" s="3"/>
      <c r="H1593" s="11">
        <f t="shared" si="51"/>
        <v>80.27</v>
      </c>
      <c r="I1593" s="9">
        <f>($K$2+0.02)*Tabla1[[#This Row],[PRECIO $]]*1.18</f>
        <v>66.318359999999998</v>
      </c>
      <c r="J1593" s="7">
        <f>+Tabla1[[#This Row],[PRECIO EN SOLES]]-Tabla1[[#This Row],[PC]]</f>
        <v>13.951639999999998</v>
      </c>
      <c r="K1593" s="15"/>
      <c r="L1593" s="15" t="str">
        <f t="shared" si="50"/>
        <v>NORMAL</v>
      </c>
    </row>
    <row r="1594" spans="1:12" x14ac:dyDescent="0.25">
      <c r="A1594" s="3" t="s">
        <v>2519</v>
      </c>
      <c r="B1594" s="3" t="s">
        <v>2520</v>
      </c>
      <c r="C1594" s="1">
        <v>20</v>
      </c>
      <c r="D1594" s="1">
        <v>16.149999999999999</v>
      </c>
      <c r="E1594" s="1" t="s">
        <v>154</v>
      </c>
      <c r="F1594" s="1" t="s">
        <v>4045</v>
      </c>
      <c r="G1594" s="3"/>
      <c r="H1594" s="11">
        <f t="shared" si="51"/>
        <v>80.27</v>
      </c>
      <c r="I1594" s="9">
        <f>($K$2+0.02)*Tabla1[[#This Row],[PRECIO $]]*1.18</f>
        <v>66.318359999999998</v>
      </c>
      <c r="J1594" s="7">
        <f>+Tabla1[[#This Row],[PRECIO EN SOLES]]-Tabla1[[#This Row],[PC]]</f>
        <v>13.951639999999998</v>
      </c>
      <c r="K1594" s="15"/>
      <c r="L1594" s="15" t="str">
        <f t="shared" si="50"/>
        <v>NORMAL</v>
      </c>
    </row>
    <row r="1595" spans="1:12" x14ac:dyDescent="0.25">
      <c r="A1595" s="3" t="s">
        <v>4192</v>
      </c>
      <c r="B1595" s="3" t="s">
        <v>4193</v>
      </c>
      <c r="C1595" s="1">
        <v>20</v>
      </c>
      <c r="D1595" s="1">
        <v>16.149999999999999</v>
      </c>
      <c r="E1595" s="1" t="s">
        <v>154</v>
      </c>
      <c r="F1595" s="1" t="s">
        <v>4234</v>
      </c>
      <c r="G1595" s="3"/>
      <c r="H1595" s="11">
        <f t="shared" si="51"/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 t="shared" si="50"/>
        <v>NORMAL</v>
      </c>
    </row>
    <row r="1596" spans="1:12" x14ac:dyDescent="0.25">
      <c r="A1596" s="3" t="s">
        <v>4194</v>
      </c>
      <c r="B1596" s="3" t="s">
        <v>4195</v>
      </c>
      <c r="C1596" s="1">
        <v>5</v>
      </c>
      <c r="D1596" s="1">
        <v>16.149999999999999</v>
      </c>
      <c r="E1596" s="1" t="s">
        <v>154</v>
      </c>
      <c r="F1596" s="1" t="s">
        <v>4235</v>
      </c>
      <c r="G1596" s="3"/>
      <c r="H1596" s="11">
        <f t="shared" si="51"/>
        <v>80.27</v>
      </c>
      <c r="I1596" s="9">
        <f>($K$2+0.02)*Tabla1[[#This Row],[PRECIO $]]*1.18</f>
        <v>66.318359999999998</v>
      </c>
      <c r="J1596" s="7">
        <f>+Tabla1[[#This Row],[PRECIO EN SOLES]]-Tabla1[[#This Row],[PC]]</f>
        <v>13.951639999999998</v>
      </c>
      <c r="K1596" s="15"/>
      <c r="L1596" s="15" t="str">
        <f t="shared" si="50"/>
        <v>NORMAL</v>
      </c>
    </row>
    <row r="1597" spans="1:12" x14ac:dyDescent="0.25">
      <c r="A1597" s="3" t="s">
        <v>4196</v>
      </c>
      <c r="B1597" s="3" t="s">
        <v>4197</v>
      </c>
      <c r="C1597" s="1">
        <v>20</v>
      </c>
      <c r="D1597" s="1">
        <v>16.149999999999999</v>
      </c>
      <c r="E1597" s="1" t="s">
        <v>154</v>
      </c>
      <c r="F1597" s="1" t="s">
        <v>4236</v>
      </c>
      <c r="G1597" s="3"/>
      <c r="H1597" s="11">
        <f t="shared" si="51"/>
        <v>80.27</v>
      </c>
      <c r="I1597" s="9">
        <f>($K$2+0.02)*Tabla1[[#This Row],[PRECIO $]]*1.18</f>
        <v>66.318359999999998</v>
      </c>
      <c r="J1597" s="7">
        <f>+Tabla1[[#This Row],[PRECIO EN SOLES]]-Tabla1[[#This Row],[PC]]</f>
        <v>13.951639999999998</v>
      </c>
      <c r="K1597" s="15"/>
      <c r="L1597" s="15" t="str">
        <f t="shared" si="50"/>
        <v>NORMAL</v>
      </c>
    </row>
    <row r="1598" spans="1:12" x14ac:dyDescent="0.25">
      <c r="A1598" s="3" t="s">
        <v>6935</v>
      </c>
      <c r="B1598" s="3" t="s">
        <v>6936</v>
      </c>
      <c r="C1598" s="1">
        <v>20</v>
      </c>
      <c r="D1598" s="1">
        <v>7.52</v>
      </c>
      <c r="E1598" s="1" t="s">
        <v>154</v>
      </c>
      <c r="F1598" s="1" t="s">
        <v>6937</v>
      </c>
      <c r="G1598" s="3"/>
      <c r="H1598" s="11">
        <f t="shared" si="51"/>
        <v>39.51</v>
      </c>
      <c r="I1598" s="9">
        <f>($K$2+0.02)*Tabla1[[#This Row],[PRECIO $]]*1.18</f>
        <v>30.880127999999996</v>
      </c>
      <c r="J1598" s="7">
        <f>+Tabla1[[#This Row],[PRECIO EN SOLES]]-Tabla1[[#This Row],[PC]]</f>
        <v>8.6298720000000024</v>
      </c>
      <c r="K1598" s="15"/>
      <c r="L1598" s="15" t="str">
        <f t="shared" si="50"/>
        <v>NORMAL</v>
      </c>
    </row>
    <row r="1599" spans="1:12" x14ac:dyDescent="0.25">
      <c r="A1599" s="3" t="s">
        <v>536</v>
      </c>
      <c r="B1599" s="3" t="s">
        <v>537</v>
      </c>
      <c r="C1599" s="1">
        <v>20</v>
      </c>
      <c r="D1599" s="1">
        <v>7.52</v>
      </c>
      <c r="E1599" s="1" t="s">
        <v>154</v>
      </c>
      <c r="F1599" s="1" t="s">
        <v>4046</v>
      </c>
      <c r="G1599" s="3"/>
      <c r="H1599" s="11">
        <f t="shared" si="51"/>
        <v>39.51</v>
      </c>
      <c r="I1599" s="9">
        <f>($K$2+0.02)*Tabla1[[#This Row],[PRECIO $]]*1.18</f>
        <v>30.880127999999996</v>
      </c>
      <c r="J1599" s="7">
        <f>+Tabla1[[#This Row],[PRECIO EN SOLES]]-Tabla1[[#This Row],[PC]]</f>
        <v>8.6298720000000024</v>
      </c>
      <c r="K1599" s="15"/>
      <c r="L1599" s="15" t="str">
        <f t="shared" si="50"/>
        <v>NORMAL</v>
      </c>
    </row>
    <row r="1600" spans="1:12" x14ac:dyDescent="0.25">
      <c r="A1600" s="3" t="s">
        <v>4198</v>
      </c>
      <c r="B1600" s="3" t="s">
        <v>4199</v>
      </c>
      <c r="C1600" s="1">
        <v>18</v>
      </c>
      <c r="D1600" s="1">
        <v>7.52</v>
      </c>
      <c r="E1600" s="1" t="s">
        <v>154</v>
      </c>
      <c r="F1600" s="1" t="s">
        <v>4237</v>
      </c>
      <c r="G1600" s="3"/>
      <c r="H1600" s="11">
        <f t="shared" si="51"/>
        <v>39.51</v>
      </c>
      <c r="I1600" s="9">
        <f>($K$2+0.02)*Tabla1[[#This Row],[PRECIO $]]*1.18</f>
        <v>30.880127999999996</v>
      </c>
      <c r="J1600" s="7">
        <f>+Tabla1[[#This Row],[PRECIO EN SOLES]]-Tabla1[[#This Row],[PC]]</f>
        <v>8.6298720000000024</v>
      </c>
      <c r="K1600" s="15"/>
      <c r="L1600" s="15" t="str">
        <f t="shared" si="50"/>
        <v>NORMAL</v>
      </c>
    </row>
    <row r="1601" spans="1:12" x14ac:dyDescent="0.25">
      <c r="A1601" s="3" t="s">
        <v>4200</v>
      </c>
      <c r="B1601" s="3" t="s">
        <v>4201</v>
      </c>
      <c r="C1601" s="1">
        <v>0</v>
      </c>
      <c r="D1601" s="1">
        <v>7.57</v>
      </c>
      <c r="E1601" s="1" t="s">
        <v>154</v>
      </c>
      <c r="F1601" s="1" t="s">
        <v>4238</v>
      </c>
      <c r="G1601" s="3" t="s">
        <v>4202</v>
      </c>
      <c r="H1601" s="11">
        <f t="shared" si="51"/>
        <v>39.75</v>
      </c>
      <c r="I1601" s="9">
        <f>($K$2+0.02)*Tabla1[[#This Row],[PRECIO $]]*1.18</f>
        <v>31.085448</v>
      </c>
      <c r="J1601" s="7">
        <f>+Tabla1[[#This Row],[PRECIO EN SOLES]]-Tabla1[[#This Row],[PC]]</f>
        <v>8.6645520000000005</v>
      </c>
      <c r="K1601" s="15"/>
      <c r="L1601" s="15" t="str">
        <f t="shared" si="50"/>
        <v>NORMAL</v>
      </c>
    </row>
    <row r="1602" spans="1:12" x14ac:dyDescent="0.25">
      <c r="A1602" s="3" t="s">
        <v>521</v>
      </c>
      <c r="B1602" s="3" t="s">
        <v>522</v>
      </c>
      <c r="C1602" s="1">
        <v>20</v>
      </c>
      <c r="D1602" s="1">
        <v>7.57</v>
      </c>
      <c r="E1602" s="1" t="s">
        <v>154</v>
      </c>
      <c r="F1602" s="1" t="s">
        <v>4047</v>
      </c>
      <c r="G1602" s="3" t="s">
        <v>523</v>
      </c>
      <c r="H1602" s="11">
        <f t="shared" si="51"/>
        <v>39.75</v>
      </c>
      <c r="I1602" s="9">
        <f>($K$2+0.02)*Tabla1[[#This Row],[PRECIO $]]*1.18</f>
        <v>31.085448</v>
      </c>
      <c r="J1602" s="7">
        <f>+Tabla1[[#This Row],[PRECIO EN SOLES]]-Tabla1[[#This Row],[PC]]</f>
        <v>8.6645520000000005</v>
      </c>
      <c r="K1602" s="15"/>
      <c r="L1602" s="15" t="str">
        <f t="shared" si="50"/>
        <v>NORMAL</v>
      </c>
    </row>
    <row r="1603" spans="1:12" x14ac:dyDescent="0.25">
      <c r="A1603" s="3" t="s">
        <v>524</v>
      </c>
      <c r="B1603" s="3" t="s">
        <v>525</v>
      </c>
      <c r="C1603" s="1">
        <v>20</v>
      </c>
      <c r="D1603" s="1">
        <v>7.57</v>
      </c>
      <c r="E1603" s="1" t="s">
        <v>154</v>
      </c>
      <c r="F1603" s="1" t="s">
        <v>4048</v>
      </c>
      <c r="G1603" s="3" t="s">
        <v>526</v>
      </c>
      <c r="H1603" s="11">
        <f t="shared" si="51"/>
        <v>39.75</v>
      </c>
      <c r="I1603" s="9">
        <f>($K$2+0.02)*Tabla1[[#This Row],[PRECIO $]]*1.18</f>
        <v>31.085448</v>
      </c>
      <c r="J1603" s="7">
        <f>+Tabla1[[#This Row],[PRECIO EN SOLES]]-Tabla1[[#This Row],[PC]]</f>
        <v>8.6645520000000005</v>
      </c>
      <c r="K1603" s="15"/>
      <c r="L1603" s="15" t="str">
        <f t="shared" si="50"/>
        <v>NORMAL</v>
      </c>
    </row>
    <row r="1604" spans="1:12" x14ac:dyDescent="0.25">
      <c r="A1604" s="3" t="s">
        <v>6938</v>
      </c>
      <c r="B1604" s="3" t="s">
        <v>6939</v>
      </c>
      <c r="C1604" s="1">
        <v>20</v>
      </c>
      <c r="D1604" s="1">
        <v>7.57</v>
      </c>
      <c r="E1604" s="1" t="s">
        <v>154</v>
      </c>
      <c r="F1604" s="1" t="s">
        <v>6940</v>
      </c>
      <c r="G1604" s="3" t="s">
        <v>6941</v>
      </c>
      <c r="H1604" s="11">
        <f t="shared" si="51"/>
        <v>39.75</v>
      </c>
      <c r="I1604" s="9">
        <f>($K$2+0.02)*Tabla1[[#This Row],[PRECIO $]]*1.18</f>
        <v>31.085448</v>
      </c>
      <c r="J1604" s="7">
        <f>+Tabla1[[#This Row],[PRECIO EN SOLES]]-Tabla1[[#This Row],[PC]]</f>
        <v>8.6645520000000005</v>
      </c>
      <c r="K1604" s="15"/>
      <c r="L1604" s="15" t="str">
        <f t="shared" si="50"/>
        <v>NORMAL</v>
      </c>
    </row>
    <row r="1605" spans="1:12" x14ac:dyDescent="0.25">
      <c r="A1605" s="3" t="s">
        <v>527</v>
      </c>
      <c r="B1605" s="3" t="s">
        <v>528</v>
      </c>
      <c r="C1605" s="1">
        <v>20</v>
      </c>
      <c r="D1605" s="1">
        <v>10</v>
      </c>
      <c r="E1605" s="1" t="s">
        <v>154</v>
      </c>
      <c r="F1605" s="1" t="s">
        <v>4049</v>
      </c>
      <c r="G1605" s="3" t="s">
        <v>529</v>
      </c>
      <c r="H1605" s="11">
        <f t="shared" si="51"/>
        <v>51.22</v>
      </c>
      <c r="I1605" s="9">
        <f>($K$2+0.02)*Tabla1[[#This Row],[PRECIO $]]*1.18</f>
        <v>41.063999999999993</v>
      </c>
      <c r="J1605" s="7">
        <f>+Tabla1[[#This Row],[PRECIO EN SOLES]]-Tabla1[[#This Row],[PC]]</f>
        <v>10.156000000000006</v>
      </c>
      <c r="K1605" s="15"/>
      <c r="L1605" s="15" t="str">
        <f t="shared" si="50"/>
        <v>NORMAL</v>
      </c>
    </row>
    <row r="1606" spans="1:12" x14ac:dyDescent="0.25">
      <c r="A1606" s="3" t="s">
        <v>2521</v>
      </c>
      <c r="B1606" s="3" t="s">
        <v>2522</v>
      </c>
      <c r="C1606" s="1">
        <v>20</v>
      </c>
      <c r="D1606" s="1">
        <v>10</v>
      </c>
      <c r="E1606" s="1" t="s">
        <v>154</v>
      </c>
      <c r="F1606" s="1" t="s">
        <v>4050</v>
      </c>
      <c r="G1606" s="3" t="s">
        <v>2523</v>
      </c>
      <c r="H1606" s="11">
        <f t="shared" si="51"/>
        <v>51.22</v>
      </c>
      <c r="I1606" s="9">
        <f>($K$2+0.02)*Tabla1[[#This Row],[PRECIO $]]*1.18</f>
        <v>41.063999999999993</v>
      </c>
      <c r="J1606" s="7">
        <f>+Tabla1[[#This Row],[PRECIO EN SOLES]]-Tabla1[[#This Row],[PC]]</f>
        <v>10.156000000000006</v>
      </c>
      <c r="K1606" s="15"/>
      <c r="L1606" s="15" t="str">
        <f t="shared" si="50"/>
        <v>NORMAL</v>
      </c>
    </row>
    <row r="1607" spans="1:12" x14ac:dyDescent="0.25">
      <c r="A1607" s="3" t="s">
        <v>4203</v>
      </c>
      <c r="B1607" s="3" t="s">
        <v>4204</v>
      </c>
      <c r="C1607" s="1">
        <v>20</v>
      </c>
      <c r="D1607" s="1">
        <v>10</v>
      </c>
      <c r="E1607" s="1" t="s">
        <v>154</v>
      </c>
      <c r="F1607" s="1" t="s">
        <v>4239</v>
      </c>
      <c r="G1607" s="3" t="s">
        <v>4205</v>
      </c>
      <c r="H1607" s="11">
        <f t="shared" si="51"/>
        <v>51.22</v>
      </c>
      <c r="I1607" s="9">
        <f>($K$2+0.02)*Tabla1[[#This Row],[PRECIO $]]*1.18</f>
        <v>41.063999999999993</v>
      </c>
      <c r="J1607" s="7">
        <f>+Tabla1[[#This Row],[PRECIO EN SOLES]]-Tabla1[[#This Row],[PC]]</f>
        <v>10.156000000000006</v>
      </c>
      <c r="K1607" s="15"/>
      <c r="L1607" s="15" t="str">
        <f t="shared" si="50"/>
        <v>NORMAL</v>
      </c>
    </row>
    <row r="1608" spans="1:12" x14ac:dyDescent="0.25">
      <c r="A1608" s="3" t="s">
        <v>692</v>
      </c>
      <c r="B1608" s="3" t="s">
        <v>693</v>
      </c>
      <c r="C1608" s="1">
        <v>18</v>
      </c>
      <c r="D1608" s="1">
        <v>10</v>
      </c>
      <c r="E1608" s="1" t="s">
        <v>154</v>
      </c>
      <c r="F1608" s="1" t="s">
        <v>4051</v>
      </c>
      <c r="G1608" s="3" t="s">
        <v>694</v>
      </c>
      <c r="H1608" s="11">
        <f t="shared" si="51"/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 t="shared" si="50"/>
        <v>NORMAL</v>
      </c>
    </row>
    <row r="1609" spans="1:12" x14ac:dyDescent="0.25">
      <c r="A1609" s="3" t="s">
        <v>695</v>
      </c>
      <c r="B1609" s="3" t="s">
        <v>696</v>
      </c>
      <c r="C1609" s="1">
        <v>12</v>
      </c>
      <c r="D1609" s="1">
        <v>10</v>
      </c>
      <c r="E1609" s="1" t="s">
        <v>154</v>
      </c>
      <c r="F1609" s="1" t="s">
        <v>4052</v>
      </c>
      <c r="G1609" s="3" t="s">
        <v>697</v>
      </c>
      <c r="H1609" s="11">
        <f t="shared" si="51"/>
        <v>51.22</v>
      </c>
      <c r="I1609" s="9">
        <f>($K$2+0.02)*Tabla1[[#This Row],[PRECIO $]]*1.18</f>
        <v>41.063999999999993</v>
      </c>
      <c r="J1609" s="7">
        <f>+Tabla1[[#This Row],[PRECIO EN SOLES]]-Tabla1[[#This Row],[PC]]</f>
        <v>10.156000000000006</v>
      </c>
      <c r="K1609" s="15"/>
      <c r="L1609" s="15" t="str">
        <f t="shared" si="50"/>
        <v>NORMAL</v>
      </c>
    </row>
    <row r="1610" spans="1:12" x14ac:dyDescent="0.25">
      <c r="A1610" s="3" t="s">
        <v>4206</v>
      </c>
      <c r="B1610" s="3" t="s">
        <v>4207</v>
      </c>
      <c r="C1610" s="1">
        <v>20</v>
      </c>
      <c r="D1610" s="1">
        <v>10</v>
      </c>
      <c r="E1610" s="1" t="s">
        <v>154</v>
      </c>
      <c r="F1610" s="1" t="s">
        <v>4240</v>
      </c>
      <c r="G1610" s="3" t="s">
        <v>4208</v>
      </c>
      <c r="H1610" s="11">
        <f t="shared" si="51"/>
        <v>51.22</v>
      </c>
      <c r="I1610" s="9">
        <f>($K$2+0.02)*Tabla1[[#This Row],[PRECIO $]]*1.18</f>
        <v>41.063999999999993</v>
      </c>
      <c r="J1610" s="7">
        <f>+Tabla1[[#This Row],[PRECIO EN SOLES]]-Tabla1[[#This Row],[PC]]</f>
        <v>10.156000000000006</v>
      </c>
      <c r="K1610" s="15"/>
      <c r="L1610" s="15" t="str">
        <f t="shared" si="50"/>
        <v>NORMAL</v>
      </c>
    </row>
    <row r="1611" spans="1:12" x14ac:dyDescent="0.25">
      <c r="A1611" s="3" t="s">
        <v>2524</v>
      </c>
      <c r="B1611" s="3" t="s">
        <v>2525</v>
      </c>
      <c r="C1611" s="1">
        <v>20</v>
      </c>
      <c r="D1611" s="1">
        <v>17.25</v>
      </c>
      <c r="E1611" s="1" t="s">
        <v>154</v>
      </c>
      <c r="F1611" s="1" t="s">
        <v>4053</v>
      </c>
      <c r="G1611" s="3" t="s">
        <v>2526</v>
      </c>
      <c r="H1611" s="11">
        <f t="shared" si="51"/>
        <v>85.46</v>
      </c>
      <c r="I1611" s="9">
        <f>($K$2+0.02)*Tabla1[[#This Row],[PRECIO $]]*1.18</f>
        <v>70.835399999999993</v>
      </c>
      <c r="J1611" s="7">
        <f>+Tabla1[[#This Row],[PRECIO EN SOLES]]-Tabla1[[#This Row],[PC]]</f>
        <v>14.624600000000001</v>
      </c>
      <c r="K1611" s="15"/>
      <c r="L1611" s="15" t="str">
        <f t="shared" si="50"/>
        <v>NORMAL</v>
      </c>
    </row>
    <row r="1612" spans="1:12" x14ac:dyDescent="0.25">
      <c r="A1612" s="3" t="s">
        <v>530</v>
      </c>
      <c r="B1612" s="3" t="s">
        <v>531</v>
      </c>
      <c r="C1612" s="1">
        <v>20</v>
      </c>
      <c r="D1612" s="1">
        <v>17.2</v>
      </c>
      <c r="E1612" s="1" t="s">
        <v>154</v>
      </c>
      <c r="F1612" s="1" t="s">
        <v>4054</v>
      </c>
      <c r="G1612" s="3" t="s">
        <v>532</v>
      </c>
      <c r="H1612" s="11">
        <f t="shared" si="51"/>
        <v>85.22</v>
      </c>
      <c r="I1612" s="9">
        <f>($K$2+0.02)*Tabla1[[#This Row],[PRECIO $]]*1.18</f>
        <v>70.630079999999992</v>
      </c>
      <c r="J1612" s="7">
        <f>+Tabla1[[#This Row],[PRECIO EN SOLES]]-Tabla1[[#This Row],[PC]]</f>
        <v>14.589920000000006</v>
      </c>
      <c r="K1612" s="15"/>
      <c r="L1612" s="15" t="str">
        <f t="shared" si="50"/>
        <v>NORMAL</v>
      </c>
    </row>
    <row r="1613" spans="1:12" x14ac:dyDescent="0.25">
      <c r="A1613" s="3" t="s">
        <v>4209</v>
      </c>
      <c r="B1613" s="3" t="s">
        <v>4210</v>
      </c>
      <c r="C1613" s="1">
        <v>2</v>
      </c>
      <c r="D1613" s="1">
        <v>33.700000000000003</v>
      </c>
      <c r="E1613" s="1" t="s">
        <v>141</v>
      </c>
      <c r="F1613" s="1" t="s">
        <v>4241</v>
      </c>
      <c r="G1613" s="3"/>
      <c r="H1613" s="11">
        <f t="shared" si="51"/>
        <v>165.14</v>
      </c>
      <c r="I1613" s="9">
        <f>($K$2+0.02)*Tabla1[[#This Row],[PRECIO $]]*1.18</f>
        <v>138.38568000000001</v>
      </c>
      <c r="J1613" s="7">
        <f>+Tabla1[[#This Row],[PRECIO EN SOLES]]-Tabla1[[#This Row],[PC]]</f>
        <v>26.754319999999979</v>
      </c>
      <c r="K1613" s="15"/>
      <c r="L1613" s="15" t="str">
        <f t="shared" si="50"/>
        <v>NORMAL</v>
      </c>
    </row>
    <row r="1614" spans="1:12" x14ac:dyDescent="0.25">
      <c r="A1614" s="3" t="s">
        <v>4211</v>
      </c>
      <c r="B1614" s="3" t="s">
        <v>4212</v>
      </c>
      <c r="C1614" s="1">
        <v>8</v>
      </c>
      <c r="D1614" s="1">
        <v>33.6</v>
      </c>
      <c r="E1614" s="1" t="s">
        <v>141</v>
      </c>
      <c r="F1614" s="1" t="s">
        <v>4242</v>
      </c>
      <c r="G1614" s="3"/>
      <c r="H1614" s="11">
        <f t="shared" si="51"/>
        <v>164.67</v>
      </c>
      <c r="I1614" s="9">
        <f>($K$2+0.02)*Tabla1[[#This Row],[PRECIO $]]*1.18</f>
        <v>137.97503999999998</v>
      </c>
      <c r="J1614" s="7">
        <f>+Tabla1[[#This Row],[PRECIO EN SOLES]]-Tabla1[[#This Row],[PC]]</f>
        <v>26.694960000000009</v>
      </c>
      <c r="K1614" s="15"/>
      <c r="L1614" s="15" t="str">
        <f t="shared" si="50"/>
        <v>NORMAL</v>
      </c>
    </row>
    <row r="1615" spans="1:12" x14ac:dyDescent="0.25">
      <c r="A1615" s="3" t="s">
        <v>4354</v>
      </c>
      <c r="B1615" s="3" t="s">
        <v>4355</v>
      </c>
      <c r="C1615" s="1">
        <v>20</v>
      </c>
      <c r="D1615" s="1">
        <v>62</v>
      </c>
      <c r="E1615" s="1" t="s">
        <v>141</v>
      </c>
      <c r="F1615" s="1" t="s">
        <v>4356</v>
      </c>
      <c r="G1615" s="3"/>
      <c r="H1615" s="11">
        <f t="shared" si="51"/>
        <v>300.79000000000002</v>
      </c>
      <c r="I1615" s="9">
        <f>($K$2+0.02)*Tabla1[[#This Row],[PRECIO $]]*1.18</f>
        <v>254.59679999999997</v>
      </c>
      <c r="J1615" s="7">
        <f>+Tabla1[[#This Row],[PRECIO EN SOLES]]-Tabla1[[#This Row],[PC]]</f>
        <v>46.193200000000047</v>
      </c>
      <c r="K1615" s="15"/>
      <c r="L1615" s="15" t="str">
        <f t="shared" si="50"/>
        <v>NORMAL</v>
      </c>
    </row>
    <row r="1616" spans="1:12" x14ac:dyDescent="0.25">
      <c r="A1616" s="3" t="s">
        <v>4213</v>
      </c>
      <c r="B1616" s="3" t="s">
        <v>4214</v>
      </c>
      <c r="C1616" s="1">
        <v>20</v>
      </c>
      <c r="D1616" s="1">
        <v>105</v>
      </c>
      <c r="E1616" s="1" t="s">
        <v>141</v>
      </c>
      <c r="F1616" s="1" t="s">
        <v>4243</v>
      </c>
      <c r="G1616" s="3"/>
      <c r="H1616" s="11">
        <f t="shared" si="51"/>
        <v>503.85</v>
      </c>
      <c r="I1616" s="9">
        <f>($K$2+0.02)*Tabla1[[#This Row],[PRECIO $]]*1.18</f>
        <v>431.17199999999997</v>
      </c>
      <c r="J1616" s="7">
        <f>+Tabla1[[#This Row],[PRECIO EN SOLES]]-Tabla1[[#This Row],[PC]]</f>
        <v>72.678000000000054</v>
      </c>
      <c r="K1616" s="15"/>
      <c r="L1616" s="15" t="str">
        <f t="shared" ref="L1616:L1679" si="52"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7" spans="1:12" x14ac:dyDescent="0.25">
      <c r="A1617" s="3" t="s">
        <v>4215</v>
      </c>
      <c r="B1617" s="3" t="s">
        <v>4216</v>
      </c>
      <c r="C1617" s="1">
        <v>20</v>
      </c>
      <c r="D1617" s="1">
        <v>107</v>
      </c>
      <c r="E1617" s="1" t="s">
        <v>141</v>
      </c>
      <c r="F1617" s="1" t="s">
        <v>4244</v>
      </c>
      <c r="G1617" s="3"/>
      <c r="H1617" s="11">
        <f t="shared" si="51"/>
        <v>513.29</v>
      </c>
      <c r="I1617" s="9">
        <f>($K$2+0.02)*Tabla1[[#This Row],[PRECIO $]]*1.18</f>
        <v>439.38479999999998</v>
      </c>
      <c r="J1617" s="7">
        <f>+Tabla1[[#This Row],[PRECIO EN SOLES]]-Tabla1[[#This Row],[PC]]</f>
        <v>73.905199999999979</v>
      </c>
      <c r="K1617" s="15"/>
      <c r="L1617" s="15" t="str">
        <f t="shared" si="52"/>
        <v>NORMAL</v>
      </c>
    </row>
    <row r="1618" spans="1:12" x14ac:dyDescent="0.25">
      <c r="A1618" s="3" t="s">
        <v>2527</v>
      </c>
      <c r="B1618" s="3" t="s">
        <v>2528</v>
      </c>
      <c r="C1618" s="1">
        <v>0</v>
      </c>
      <c r="D1618" s="1">
        <v>114</v>
      </c>
      <c r="E1618" s="1" t="s">
        <v>141</v>
      </c>
      <c r="F1618" s="1" t="s">
        <v>4055</v>
      </c>
      <c r="G1618" s="3"/>
      <c r="H1618" s="11">
        <f t="shared" ref="H1618:H1681" si="53">ROUND(
IF(L1616="GANCHO",
   IF(I1618&lt;=50,I1618*1.1+4,IF(I1618&lt;=120,I1618*1.1+7,IF(I1618&lt;=250,I1618*1.1+11,I1618*1.1+19))),
IF(L1616="NORMAL",
   IF(I1618&lt;=30,I1618*1.15+2,IF(I1618&lt;=80,I1618*1.15+4,IF(I1618&lt;=150,I1618*1.15+6,I1618*1.15+8))),
IF(L1616="COMPLEMENTO",
   IF(I1618&lt;=25,I1618*1.25+1.5,IF(I1618&lt;=60,I1618*1.25+3,IF(I1618&lt;=120,I1618*1.25+4,I1618*1.25+5))),
""))),2)</f>
        <v>546.35</v>
      </c>
      <c r="I1618" s="9">
        <f>($K$2+0.02)*Tabla1[[#This Row],[PRECIO $]]*1.18</f>
        <v>468.12959999999993</v>
      </c>
      <c r="J1618" s="7">
        <f>+Tabla1[[#This Row],[PRECIO EN SOLES]]-Tabla1[[#This Row],[PC]]</f>
        <v>78.220400000000097</v>
      </c>
      <c r="K1618" s="15"/>
      <c r="L1618" s="15" t="str">
        <f t="shared" si="52"/>
        <v>NORMAL</v>
      </c>
    </row>
    <row r="1619" spans="1:12" x14ac:dyDescent="0.25">
      <c r="A1619" s="3" t="s">
        <v>4217</v>
      </c>
      <c r="B1619" s="3" t="s">
        <v>4218</v>
      </c>
      <c r="C1619" s="1">
        <v>20</v>
      </c>
      <c r="D1619" s="1">
        <v>38.299999999999997</v>
      </c>
      <c r="E1619" s="1" t="s">
        <v>141</v>
      </c>
      <c r="F1619" s="1" t="s">
        <v>4245</v>
      </c>
      <c r="G1619" s="3" t="s">
        <v>4219</v>
      </c>
      <c r="H1619" s="11">
        <f t="shared" si="53"/>
        <v>188.87</v>
      </c>
      <c r="I1619" s="9">
        <f>($K$2+0.02)*Tabla1[[#This Row],[PRECIO $]]*1.18</f>
        <v>157.27511999999999</v>
      </c>
      <c r="J1619" s="7">
        <f>+Tabla1[[#This Row],[PRECIO EN SOLES]]-Tabla1[[#This Row],[PC]]</f>
        <v>31.594880000000018</v>
      </c>
      <c r="K1619" s="15"/>
      <c r="L1619" s="15" t="str">
        <f t="shared" si="52"/>
        <v>NORMAL</v>
      </c>
    </row>
    <row r="1620" spans="1:12" x14ac:dyDescent="0.25">
      <c r="A1620" s="3" t="s">
        <v>533</v>
      </c>
      <c r="B1620" s="3" t="s">
        <v>534</v>
      </c>
      <c r="C1620" s="1">
        <v>0</v>
      </c>
      <c r="D1620" s="1">
        <v>40.5</v>
      </c>
      <c r="E1620" s="1" t="s">
        <v>141</v>
      </c>
      <c r="F1620" s="1" t="s">
        <v>4056</v>
      </c>
      <c r="G1620" s="3" t="s">
        <v>535</v>
      </c>
      <c r="H1620" s="11">
        <f t="shared" si="53"/>
        <v>199.26</v>
      </c>
      <c r="I1620" s="9">
        <f>($K$2+0.02)*Tabla1[[#This Row],[PRECIO $]]*1.18</f>
        <v>166.30919999999998</v>
      </c>
      <c r="J1620" s="7">
        <f>+Tabla1[[#This Row],[PRECIO EN SOLES]]-Tabla1[[#This Row],[PC]]</f>
        <v>32.950800000000015</v>
      </c>
      <c r="K1620" s="15"/>
      <c r="L1620" s="15" t="str">
        <f t="shared" si="52"/>
        <v>COMPLEMENTO</v>
      </c>
    </row>
    <row r="1621" spans="1:12" x14ac:dyDescent="0.25">
      <c r="A1621" s="3" t="s">
        <v>2529</v>
      </c>
      <c r="B1621" s="3" t="s">
        <v>2530</v>
      </c>
      <c r="C1621" s="1">
        <v>6</v>
      </c>
      <c r="D1621" s="1">
        <v>110</v>
      </c>
      <c r="E1621" s="1" t="s">
        <v>141</v>
      </c>
      <c r="F1621" s="1" t="s">
        <v>4057</v>
      </c>
      <c r="G1621" s="3" t="s">
        <v>2531</v>
      </c>
      <c r="H1621" s="11">
        <f t="shared" si="53"/>
        <v>527.46</v>
      </c>
      <c r="I1621" s="9">
        <f>($K$2+0.02)*Tabla1[[#This Row],[PRECIO $]]*1.18</f>
        <v>451.70400000000001</v>
      </c>
      <c r="J1621" s="7">
        <f>+Tabla1[[#This Row],[PRECIO EN SOLES]]-Tabla1[[#This Row],[PC]]</f>
        <v>75.756000000000029</v>
      </c>
      <c r="K1621" s="15"/>
      <c r="L1621" s="15" t="str">
        <f t="shared" si="52"/>
        <v>NORMAL</v>
      </c>
    </row>
    <row r="1622" spans="1:12" x14ac:dyDescent="0.25">
      <c r="A1622" s="3" t="s">
        <v>2532</v>
      </c>
      <c r="B1622" s="3" t="s">
        <v>2533</v>
      </c>
      <c r="C1622" s="1">
        <v>9</v>
      </c>
      <c r="D1622" s="1">
        <v>114</v>
      </c>
      <c r="E1622" s="1" t="s">
        <v>141</v>
      </c>
      <c r="F1622" s="1" t="s">
        <v>4058</v>
      </c>
      <c r="G1622" s="3" t="s">
        <v>2534</v>
      </c>
      <c r="H1622" s="11">
        <f t="shared" si="53"/>
        <v>590.16</v>
      </c>
      <c r="I1622" s="9">
        <f>($K$2+0.02)*Tabla1[[#This Row],[PRECIO $]]*1.18</f>
        <v>468.12959999999993</v>
      </c>
      <c r="J1622" s="7">
        <f>+Tabla1[[#This Row],[PRECIO EN SOLES]]-Tabla1[[#This Row],[PC]]</f>
        <v>122.03040000000004</v>
      </c>
      <c r="K1622" s="15"/>
      <c r="L1622" s="15" t="str">
        <f t="shared" si="52"/>
        <v>NORMAL</v>
      </c>
    </row>
    <row r="1623" spans="1:12" x14ac:dyDescent="0.25">
      <c r="A1623" s="3" t="s">
        <v>2535</v>
      </c>
      <c r="B1623" s="3" t="s">
        <v>2536</v>
      </c>
      <c r="C1623" s="1">
        <v>4</v>
      </c>
      <c r="D1623" s="1">
        <v>3.7</v>
      </c>
      <c r="E1623" s="1" t="s">
        <v>141</v>
      </c>
      <c r="F1623" s="1" t="s">
        <v>4059</v>
      </c>
      <c r="G1623" s="3" t="s">
        <v>2537</v>
      </c>
      <c r="H1623" s="11">
        <f t="shared" si="53"/>
        <v>19.47</v>
      </c>
      <c r="I1623" s="9">
        <f>($K$2+0.02)*Tabla1[[#This Row],[PRECIO $]]*1.18</f>
        <v>15.193680000000001</v>
      </c>
      <c r="J1623" s="7">
        <f>+Tabla1[[#This Row],[PRECIO EN SOLES]]-Tabla1[[#This Row],[PC]]</f>
        <v>4.2763199999999983</v>
      </c>
      <c r="K1623" s="15"/>
      <c r="L1623" s="15" t="str">
        <f t="shared" si="52"/>
        <v>NORMAL</v>
      </c>
    </row>
    <row r="1624" spans="1:12" x14ac:dyDescent="0.25">
      <c r="A1624" s="3" t="s">
        <v>2538</v>
      </c>
      <c r="B1624" s="3" t="s">
        <v>2539</v>
      </c>
      <c r="C1624" s="1">
        <v>0</v>
      </c>
      <c r="D1624" s="1">
        <v>2.1800000000000002</v>
      </c>
      <c r="E1624" s="1" t="s">
        <v>141</v>
      </c>
      <c r="F1624" s="1" t="s">
        <v>4060</v>
      </c>
      <c r="G1624" s="3" t="s">
        <v>2540</v>
      </c>
      <c r="H1624" s="11">
        <f t="shared" si="53"/>
        <v>12.29</v>
      </c>
      <c r="I1624" s="9">
        <f>($K$2+0.02)*Tabla1[[#This Row],[PRECIO $]]*1.18</f>
        <v>8.9519520000000004</v>
      </c>
      <c r="J1624" s="7">
        <f>+Tabla1[[#This Row],[PRECIO EN SOLES]]-Tabla1[[#This Row],[PC]]</f>
        <v>3.3380479999999988</v>
      </c>
      <c r="K1624" s="15"/>
      <c r="L1624" s="15" t="str">
        <f t="shared" si="52"/>
        <v>NORMAL</v>
      </c>
    </row>
    <row r="1625" spans="1:12" x14ac:dyDescent="0.25">
      <c r="A1625" s="3" t="s">
        <v>2541</v>
      </c>
      <c r="B1625" s="3" t="s">
        <v>2542</v>
      </c>
      <c r="C1625" s="1">
        <v>8</v>
      </c>
      <c r="D1625" s="1">
        <v>28.5</v>
      </c>
      <c r="E1625" s="1" t="s">
        <v>141</v>
      </c>
      <c r="F1625" s="1" t="s">
        <v>4061</v>
      </c>
      <c r="G1625" s="3"/>
      <c r="H1625" s="11">
        <f t="shared" si="53"/>
        <v>140.59</v>
      </c>
      <c r="I1625" s="9">
        <f>($K$2+0.02)*Tabla1[[#This Row],[PRECIO $]]*1.18</f>
        <v>117.03239999999998</v>
      </c>
      <c r="J1625" s="7">
        <f>+Tabla1[[#This Row],[PRECIO EN SOLES]]-Tabla1[[#This Row],[PC]]</f>
        <v>23.557600000000022</v>
      </c>
      <c r="K1625" s="15"/>
      <c r="L1625" s="15" t="str">
        <f t="shared" si="52"/>
        <v>NORMAL</v>
      </c>
    </row>
    <row r="1626" spans="1:12" x14ac:dyDescent="0.25">
      <c r="A1626" s="3" t="s">
        <v>2543</v>
      </c>
      <c r="B1626" s="3" t="s">
        <v>2544</v>
      </c>
      <c r="C1626" s="1">
        <v>9</v>
      </c>
      <c r="D1626" s="1">
        <v>28.5</v>
      </c>
      <c r="E1626" s="1" t="s">
        <v>141</v>
      </c>
      <c r="F1626" s="1" t="s">
        <v>4062</v>
      </c>
      <c r="G1626" s="3"/>
      <c r="H1626" s="11">
        <f t="shared" si="53"/>
        <v>140.59</v>
      </c>
      <c r="I1626" s="9">
        <f>($K$2+0.02)*Tabla1[[#This Row],[PRECIO $]]*1.18</f>
        <v>117.03239999999998</v>
      </c>
      <c r="J1626" s="7">
        <f>+Tabla1[[#This Row],[PRECIO EN SOLES]]-Tabla1[[#This Row],[PC]]</f>
        <v>23.557600000000022</v>
      </c>
      <c r="K1626" s="15"/>
      <c r="L1626" s="15" t="str">
        <f t="shared" si="52"/>
        <v>NORMAL</v>
      </c>
    </row>
    <row r="1627" spans="1:12" x14ac:dyDescent="0.25">
      <c r="A1627" s="3" t="s">
        <v>2545</v>
      </c>
      <c r="B1627" s="3" t="s">
        <v>2546</v>
      </c>
      <c r="C1627" s="1">
        <v>9</v>
      </c>
      <c r="D1627" s="1">
        <v>28.5</v>
      </c>
      <c r="E1627" s="1" t="s">
        <v>141</v>
      </c>
      <c r="F1627" s="1" t="s">
        <v>4063</v>
      </c>
      <c r="G1627" s="3"/>
      <c r="H1627" s="11">
        <f t="shared" si="53"/>
        <v>140.59</v>
      </c>
      <c r="I1627" s="9">
        <f>($K$2+0.02)*Tabla1[[#This Row],[PRECIO $]]*1.18</f>
        <v>117.03239999999998</v>
      </c>
      <c r="J1627" s="7">
        <f>+Tabla1[[#This Row],[PRECIO EN SOLES]]-Tabla1[[#This Row],[PC]]</f>
        <v>23.557600000000022</v>
      </c>
      <c r="K1627" s="15"/>
      <c r="L1627" s="15" t="str">
        <f t="shared" si="52"/>
        <v>NORMAL</v>
      </c>
    </row>
    <row r="1628" spans="1:12" x14ac:dyDescent="0.25">
      <c r="A1628" s="3" t="s">
        <v>2547</v>
      </c>
      <c r="B1628" s="3" t="s">
        <v>2548</v>
      </c>
      <c r="C1628" s="1">
        <v>9</v>
      </c>
      <c r="D1628" s="1">
        <v>28.5</v>
      </c>
      <c r="E1628" s="1" t="s">
        <v>141</v>
      </c>
      <c r="F1628" s="1" t="s">
        <v>4064</v>
      </c>
      <c r="G1628" s="3"/>
      <c r="H1628" s="11">
        <f t="shared" si="53"/>
        <v>140.59</v>
      </c>
      <c r="I1628" s="9">
        <f>($K$2+0.02)*Tabla1[[#This Row],[PRECIO $]]*1.18</f>
        <v>117.03239999999998</v>
      </c>
      <c r="J1628" s="7">
        <f>+Tabla1[[#This Row],[PRECIO EN SOLES]]-Tabla1[[#This Row],[PC]]</f>
        <v>23.557600000000022</v>
      </c>
      <c r="K1628" s="15"/>
      <c r="L1628" s="15" t="str">
        <f t="shared" si="52"/>
        <v>NORMAL</v>
      </c>
    </row>
    <row r="1629" spans="1:12" x14ac:dyDescent="0.25">
      <c r="A1629" s="3" t="s">
        <v>2549</v>
      </c>
      <c r="B1629" s="3" t="s">
        <v>2550</v>
      </c>
      <c r="C1629" s="1">
        <v>10</v>
      </c>
      <c r="D1629" s="1">
        <v>28.4</v>
      </c>
      <c r="E1629" s="1" t="s">
        <v>141</v>
      </c>
      <c r="F1629" s="1" t="s">
        <v>4065</v>
      </c>
      <c r="G1629" s="3"/>
      <c r="H1629" s="11">
        <f t="shared" si="53"/>
        <v>140.12</v>
      </c>
      <c r="I1629" s="9">
        <f>($K$2+0.02)*Tabla1[[#This Row],[PRECIO $]]*1.18</f>
        <v>116.62175999999998</v>
      </c>
      <c r="J1629" s="7">
        <f>+Tabla1[[#This Row],[PRECIO EN SOLES]]-Tabla1[[#This Row],[PC]]</f>
        <v>23.498240000000024</v>
      </c>
      <c r="K1629" s="15"/>
      <c r="L1629" s="15" t="str">
        <f t="shared" si="52"/>
        <v>NORMAL</v>
      </c>
    </row>
    <row r="1630" spans="1:12" x14ac:dyDescent="0.25">
      <c r="A1630" s="3" t="s">
        <v>2551</v>
      </c>
      <c r="B1630" s="3" t="s">
        <v>2552</v>
      </c>
      <c r="C1630" s="1">
        <v>10</v>
      </c>
      <c r="D1630" s="1">
        <v>36</v>
      </c>
      <c r="E1630" s="1" t="s">
        <v>141</v>
      </c>
      <c r="F1630" s="1" t="s">
        <v>4066</v>
      </c>
      <c r="G1630" s="3"/>
      <c r="H1630" s="11">
        <f t="shared" si="53"/>
        <v>176</v>
      </c>
      <c r="I1630" s="9">
        <f>($K$2+0.02)*Tabla1[[#This Row],[PRECIO $]]*1.18</f>
        <v>147.8304</v>
      </c>
      <c r="J1630" s="7">
        <f>+Tabla1[[#This Row],[PRECIO EN SOLES]]-Tabla1[[#This Row],[PC]]</f>
        <v>28.169600000000003</v>
      </c>
      <c r="K1630" s="15"/>
      <c r="L1630" s="15" t="str">
        <f t="shared" si="52"/>
        <v>NORMAL</v>
      </c>
    </row>
    <row r="1631" spans="1:12" x14ac:dyDescent="0.25">
      <c r="A1631" s="3" t="s">
        <v>4220</v>
      </c>
      <c r="B1631" s="3" t="s">
        <v>4221</v>
      </c>
      <c r="C1631" s="1">
        <v>2</v>
      </c>
      <c r="D1631" s="1">
        <v>151.4</v>
      </c>
      <c r="E1631" s="1" t="s">
        <v>141</v>
      </c>
      <c r="F1631" s="1" t="s">
        <v>4246</v>
      </c>
      <c r="G1631" s="3"/>
      <c r="H1631" s="11">
        <f t="shared" si="53"/>
        <v>722.97</v>
      </c>
      <c r="I1631" s="9">
        <f>($K$2+0.02)*Tabla1[[#This Row],[PRECIO $]]*1.18</f>
        <v>621.70896000000005</v>
      </c>
      <c r="J1631" s="7">
        <f>+Tabla1[[#This Row],[PRECIO EN SOLES]]-Tabla1[[#This Row],[PC]]</f>
        <v>101.26103999999998</v>
      </c>
      <c r="K1631" s="15"/>
      <c r="L1631" s="15" t="str">
        <f t="shared" si="52"/>
        <v>NORMAL</v>
      </c>
    </row>
    <row r="1632" spans="1:12" x14ac:dyDescent="0.25">
      <c r="A1632" s="3" t="s">
        <v>2553</v>
      </c>
      <c r="B1632" s="3" t="s">
        <v>2554</v>
      </c>
      <c r="C1632" s="1">
        <v>3</v>
      </c>
      <c r="D1632" s="1">
        <v>117</v>
      </c>
      <c r="E1632" s="1" t="s">
        <v>141</v>
      </c>
      <c r="F1632" s="1" t="s">
        <v>4067</v>
      </c>
      <c r="G1632" s="3"/>
      <c r="H1632" s="11">
        <f t="shared" si="53"/>
        <v>560.52</v>
      </c>
      <c r="I1632" s="9">
        <f>($K$2+0.02)*Tabla1[[#This Row],[PRECIO $]]*1.18</f>
        <v>480.44880000000001</v>
      </c>
      <c r="J1632" s="7">
        <f>+Tabla1[[#This Row],[PRECIO EN SOLES]]-Tabla1[[#This Row],[PC]]</f>
        <v>80.071199999999976</v>
      </c>
      <c r="K1632" s="15"/>
      <c r="L1632" s="15" t="str">
        <f t="shared" si="52"/>
        <v>NORMAL</v>
      </c>
    </row>
    <row r="1633" spans="1:12" x14ac:dyDescent="0.25">
      <c r="A1633" s="3" t="s">
        <v>2555</v>
      </c>
      <c r="B1633" s="3" t="s">
        <v>2556</v>
      </c>
      <c r="C1633" s="1">
        <v>4</v>
      </c>
      <c r="D1633" s="1">
        <v>117</v>
      </c>
      <c r="E1633" s="1" t="s">
        <v>141</v>
      </c>
      <c r="F1633" s="1" t="s">
        <v>4068</v>
      </c>
      <c r="G1633" s="3"/>
      <c r="H1633" s="11">
        <f t="shared" si="53"/>
        <v>560.52</v>
      </c>
      <c r="I1633" s="9">
        <f>($K$2+0.02)*Tabla1[[#This Row],[PRECIO $]]*1.18</f>
        <v>480.44880000000001</v>
      </c>
      <c r="J1633" s="7">
        <f>+Tabla1[[#This Row],[PRECIO EN SOLES]]-Tabla1[[#This Row],[PC]]</f>
        <v>80.071199999999976</v>
      </c>
      <c r="K1633" s="15"/>
      <c r="L1633" s="15" t="str">
        <f t="shared" si="52"/>
        <v>NORMAL</v>
      </c>
    </row>
    <row r="1634" spans="1:12" x14ac:dyDescent="0.25">
      <c r="A1634" s="3" t="s">
        <v>4222</v>
      </c>
      <c r="B1634" s="3" t="s">
        <v>4223</v>
      </c>
      <c r="C1634" s="1">
        <v>20</v>
      </c>
      <c r="D1634" s="1">
        <v>49.5</v>
      </c>
      <c r="E1634" s="1" t="s">
        <v>141</v>
      </c>
      <c r="F1634" s="1" t="s">
        <v>4247</v>
      </c>
      <c r="G1634" s="3" t="s">
        <v>4224</v>
      </c>
      <c r="H1634" s="11">
        <f t="shared" si="53"/>
        <v>241.76</v>
      </c>
      <c r="I1634" s="9">
        <f>($K$2+0.02)*Tabla1[[#This Row],[PRECIO $]]*1.18</f>
        <v>203.26679999999999</v>
      </c>
      <c r="J1634" s="7">
        <f>+Tabla1[[#This Row],[PRECIO EN SOLES]]-Tabla1[[#This Row],[PC]]</f>
        <v>38.493200000000002</v>
      </c>
      <c r="K1634" s="15"/>
      <c r="L1634" s="15" t="str">
        <f t="shared" si="52"/>
        <v>NORMAL</v>
      </c>
    </row>
    <row r="1635" spans="1:12" x14ac:dyDescent="0.25">
      <c r="A1635" s="3" t="s">
        <v>4225</v>
      </c>
      <c r="B1635" s="3" t="s">
        <v>4226</v>
      </c>
      <c r="C1635" s="1">
        <v>2</v>
      </c>
      <c r="D1635" s="1">
        <v>49.7</v>
      </c>
      <c r="E1635" s="1" t="s">
        <v>141</v>
      </c>
      <c r="F1635" s="1" t="s">
        <v>4248</v>
      </c>
      <c r="G1635" s="3" t="s">
        <v>4227</v>
      </c>
      <c r="H1635" s="11">
        <f t="shared" si="53"/>
        <v>242.7</v>
      </c>
      <c r="I1635" s="9">
        <f>($K$2+0.02)*Tabla1[[#This Row],[PRECIO $]]*1.18</f>
        <v>204.08808000000002</v>
      </c>
      <c r="J1635" s="7">
        <f>+Tabla1[[#This Row],[PRECIO EN SOLES]]-Tabla1[[#This Row],[PC]]</f>
        <v>38.611919999999969</v>
      </c>
      <c r="K1635" s="15"/>
      <c r="L1635" s="15" t="str">
        <f t="shared" si="52"/>
        <v>NORMAL</v>
      </c>
    </row>
    <row r="1636" spans="1:12" x14ac:dyDescent="0.25">
      <c r="A1636" s="3" t="s">
        <v>698</v>
      </c>
      <c r="B1636" s="3" t="s">
        <v>699</v>
      </c>
      <c r="C1636" s="1">
        <v>4</v>
      </c>
      <c r="D1636" s="1">
        <v>49.7</v>
      </c>
      <c r="E1636" s="1" t="s">
        <v>141</v>
      </c>
      <c r="F1636" s="1" t="s">
        <v>4069</v>
      </c>
      <c r="G1636" s="3" t="s">
        <v>700</v>
      </c>
      <c r="H1636" s="11">
        <f t="shared" si="53"/>
        <v>242.7</v>
      </c>
      <c r="I1636" s="9">
        <f>($K$2+0.02)*Tabla1[[#This Row],[PRECIO $]]*1.18</f>
        <v>204.08808000000002</v>
      </c>
      <c r="J1636" s="7">
        <f>+Tabla1[[#This Row],[PRECIO EN SOLES]]-Tabla1[[#This Row],[PC]]</f>
        <v>38.611919999999969</v>
      </c>
      <c r="K1636" s="15"/>
      <c r="L1636" s="15" t="str">
        <f t="shared" si="52"/>
        <v>NORMAL</v>
      </c>
    </row>
    <row r="1637" spans="1:12" x14ac:dyDescent="0.25">
      <c r="A1637" s="3" t="s">
        <v>2557</v>
      </c>
      <c r="B1637" s="3" t="s">
        <v>2558</v>
      </c>
      <c r="C1637" s="1">
        <v>1</v>
      </c>
      <c r="D1637" s="1">
        <v>93.42</v>
      </c>
      <c r="E1637" s="1" t="s">
        <v>141</v>
      </c>
      <c r="F1637" s="1" t="s">
        <v>4070</v>
      </c>
      <c r="G1637" s="3" t="s">
        <v>2559</v>
      </c>
      <c r="H1637" s="11">
        <f t="shared" si="53"/>
        <v>449.16</v>
      </c>
      <c r="I1637" s="9">
        <f>($K$2+0.02)*Tabla1[[#This Row],[PRECIO $]]*1.18</f>
        <v>383.619888</v>
      </c>
      <c r="J1637" s="7">
        <f>+Tabla1[[#This Row],[PRECIO EN SOLES]]-Tabla1[[#This Row],[PC]]</f>
        <v>65.540112000000022</v>
      </c>
      <c r="K1637" s="15"/>
      <c r="L1637" s="15" t="str">
        <f t="shared" si="52"/>
        <v>NORMAL</v>
      </c>
    </row>
    <row r="1638" spans="1:12" x14ac:dyDescent="0.25">
      <c r="A1638" s="3" t="s">
        <v>2992</v>
      </c>
      <c r="B1638" s="3" t="s">
        <v>2993</v>
      </c>
      <c r="C1638" s="1">
        <v>20</v>
      </c>
      <c r="D1638" s="1">
        <v>7.33</v>
      </c>
      <c r="E1638" s="1" t="s">
        <v>148</v>
      </c>
      <c r="F1638" s="1" t="s">
        <v>4071</v>
      </c>
      <c r="G1638" s="3" t="s">
        <v>2994</v>
      </c>
      <c r="H1638" s="11">
        <f t="shared" si="53"/>
        <v>38.61</v>
      </c>
      <c r="I1638" s="9">
        <f>($K$2+0.02)*Tabla1[[#This Row],[PRECIO $]]*1.18</f>
        <v>30.099912</v>
      </c>
      <c r="J1638" s="7">
        <f>+Tabla1[[#This Row],[PRECIO EN SOLES]]-Tabla1[[#This Row],[PC]]</f>
        <v>8.5100879999999997</v>
      </c>
      <c r="K1638" s="15"/>
      <c r="L1638" s="15" t="str">
        <f t="shared" si="52"/>
        <v>NORMAL</v>
      </c>
    </row>
    <row r="1639" spans="1:12" x14ac:dyDescent="0.25">
      <c r="A1639" s="3" t="s">
        <v>2995</v>
      </c>
      <c r="B1639" s="3" t="s">
        <v>2996</v>
      </c>
      <c r="C1639" s="1">
        <v>0</v>
      </c>
      <c r="D1639" s="1">
        <v>7.33</v>
      </c>
      <c r="E1639" s="1" t="s">
        <v>148</v>
      </c>
      <c r="F1639" s="1" t="s">
        <v>4072</v>
      </c>
      <c r="G1639" s="3" t="s">
        <v>2997</v>
      </c>
      <c r="H1639" s="11">
        <f t="shared" si="53"/>
        <v>38.61</v>
      </c>
      <c r="I1639" s="9">
        <f>($K$2+0.02)*Tabla1[[#This Row],[PRECIO $]]*1.18</f>
        <v>30.099912</v>
      </c>
      <c r="J1639" s="7">
        <f>+Tabla1[[#This Row],[PRECIO EN SOLES]]-Tabla1[[#This Row],[PC]]</f>
        <v>8.5100879999999997</v>
      </c>
      <c r="K1639" s="15"/>
      <c r="L1639" s="15" t="str">
        <f t="shared" si="52"/>
        <v>NORMAL</v>
      </c>
    </row>
    <row r="1640" spans="1:12" x14ac:dyDescent="0.25">
      <c r="A1640" s="3" t="s">
        <v>2560</v>
      </c>
      <c r="B1640" s="3" t="s">
        <v>2561</v>
      </c>
      <c r="C1640" s="1">
        <v>20</v>
      </c>
      <c r="D1640" s="1">
        <v>7.33</v>
      </c>
      <c r="E1640" s="1" t="s">
        <v>148</v>
      </c>
      <c r="F1640" s="1" t="s">
        <v>4073</v>
      </c>
      <c r="G1640" s="3" t="s">
        <v>2562</v>
      </c>
      <c r="H1640" s="11">
        <f t="shared" si="53"/>
        <v>38.61</v>
      </c>
      <c r="I1640" s="9">
        <f>($K$2+0.02)*Tabla1[[#This Row],[PRECIO $]]*1.18</f>
        <v>30.099912</v>
      </c>
      <c r="J1640" s="7">
        <f>+Tabla1[[#This Row],[PRECIO EN SOLES]]-Tabla1[[#This Row],[PC]]</f>
        <v>8.5100879999999997</v>
      </c>
      <c r="K1640" s="15"/>
      <c r="L1640" s="15" t="str">
        <f t="shared" si="52"/>
        <v>NORMAL</v>
      </c>
    </row>
    <row r="1641" spans="1:12" x14ac:dyDescent="0.25">
      <c r="A1641" s="3" t="s">
        <v>2998</v>
      </c>
      <c r="B1641" s="3" t="s">
        <v>2999</v>
      </c>
      <c r="C1641" s="1">
        <v>0</v>
      </c>
      <c r="D1641" s="1">
        <v>7.33</v>
      </c>
      <c r="E1641" s="1" t="s">
        <v>148</v>
      </c>
      <c r="F1641" s="1" t="s">
        <v>4074</v>
      </c>
      <c r="G1641" s="3" t="s">
        <v>3000</v>
      </c>
      <c r="H1641" s="11">
        <f t="shared" si="53"/>
        <v>38.61</v>
      </c>
      <c r="I1641" s="9">
        <f>($K$2+0.02)*Tabla1[[#This Row],[PRECIO $]]*1.18</f>
        <v>30.099912</v>
      </c>
      <c r="J1641" s="7">
        <f>+Tabla1[[#This Row],[PRECIO EN SOLES]]-Tabla1[[#This Row],[PC]]</f>
        <v>8.5100879999999997</v>
      </c>
      <c r="K1641" s="15"/>
      <c r="L1641" s="15" t="str">
        <f t="shared" si="52"/>
        <v>NORMAL</v>
      </c>
    </row>
    <row r="1642" spans="1:12" x14ac:dyDescent="0.25">
      <c r="A1642" s="3" t="s">
        <v>538</v>
      </c>
      <c r="B1642" s="3" t="s">
        <v>539</v>
      </c>
      <c r="C1642" s="1">
        <v>20</v>
      </c>
      <c r="D1642" s="1">
        <v>15</v>
      </c>
      <c r="E1642" s="1" t="s">
        <v>540</v>
      </c>
      <c r="F1642" s="1" t="s">
        <v>4075</v>
      </c>
      <c r="G1642" s="3" t="s">
        <v>541</v>
      </c>
      <c r="H1642" s="11">
        <f t="shared" si="53"/>
        <v>74.84</v>
      </c>
      <c r="I1642" s="9">
        <f>($K$2+0.02)*Tabla1[[#This Row],[PRECIO $]]*1.18</f>
        <v>61.596000000000004</v>
      </c>
      <c r="J1642" s="7">
        <f>+Tabla1[[#This Row],[PRECIO EN SOLES]]-Tabla1[[#This Row],[PC]]</f>
        <v>13.244</v>
      </c>
      <c r="K1642" s="15"/>
      <c r="L1642" s="15" t="str">
        <f t="shared" si="52"/>
        <v>NORMAL</v>
      </c>
    </row>
    <row r="1643" spans="1:12" x14ac:dyDescent="0.25">
      <c r="A1643" s="3" t="s">
        <v>6942</v>
      </c>
      <c r="B1643" s="3" t="s">
        <v>6943</v>
      </c>
      <c r="C1643" s="1">
        <v>20</v>
      </c>
      <c r="D1643" s="1">
        <v>9.8000000000000007</v>
      </c>
      <c r="E1643" s="1" t="s">
        <v>154</v>
      </c>
      <c r="F1643" s="1" t="s">
        <v>6944</v>
      </c>
      <c r="G1643" s="3" t="s">
        <v>6945</v>
      </c>
      <c r="H1643" s="11">
        <f t="shared" si="53"/>
        <v>50.28</v>
      </c>
      <c r="I1643" s="9">
        <f>($K$2+0.02)*Tabla1[[#This Row],[PRECIO $]]*1.18</f>
        <v>40.242719999999998</v>
      </c>
      <c r="J1643" s="7">
        <f>+Tabla1[[#This Row],[PRECIO EN SOLES]]-Tabla1[[#This Row],[PC]]</f>
        <v>10.037280000000003</v>
      </c>
      <c r="K1643" s="15"/>
      <c r="L1643" s="15" t="str">
        <f t="shared" si="52"/>
        <v>NORMAL</v>
      </c>
    </row>
    <row r="1644" spans="1:12" x14ac:dyDescent="0.25">
      <c r="A1644" s="3" t="s">
        <v>2563</v>
      </c>
      <c r="B1644" s="3" t="s">
        <v>2564</v>
      </c>
      <c r="C1644" s="1">
        <v>12</v>
      </c>
      <c r="D1644" s="1">
        <v>16.8</v>
      </c>
      <c r="E1644" s="1" t="s">
        <v>141</v>
      </c>
      <c r="F1644" s="1" t="s">
        <v>4076</v>
      </c>
      <c r="G1644" s="3" t="s">
        <v>2565</v>
      </c>
      <c r="H1644" s="11">
        <f t="shared" si="53"/>
        <v>83.34</v>
      </c>
      <c r="I1644" s="9">
        <f>($K$2+0.02)*Tabla1[[#This Row],[PRECIO $]]*1.18</f>
        <v>68.987519999999989</v>
      </c>
      <c r="J1644" s="7">
        <f>+Tabla1[[#This Row],[PRECIO EN SOLES]]-Tabla1[[#This Row],[PC]]</f>
        <v>14.352480000000014</v>
      </c>
      <c r="K1644" s="15"/>
      <c r="L1644" s="15" t="str">
        <f t="shared" si="52"/>
        <v>NORMAL</v>
      </c>
    </row>
    <row r="1645" spans="1:12" x14ac:dyDescent="0.25">
      <c r="A1645" s="3" t="s">
        <v>2566</v>
      </c>
      <c r="B1645" s="3" t="s">
        <v>2567</v>
      </c>
      <c r="C1645" s="1">
        <v>1</v>
      </c>
      <c r="D1645" s="1">
        <v>16.75</v>
      </c>
      <c r="E1645" s="1" t="s">
        <v>141</v>
      </c>
      <c r="F1645" s="1" t="s">
        <v>4077</v>
      </c>
      <c r="G1645" s="3" t="s">
        <v>2568</v>
      </c>
      <c r="H1645" s="11">
        <f t="shared" si="53"/>
        <v>83.1</v>
      </c>
      <c r="I1645" s="9">
        <f>($K$2+0.02)*Tabla1[[#This Row],[PRECIO $]]*1.18</f>
        <v>68.782199999999989</v>
      </c>
      <c r="J1645" s="7">
        <f>+Tabla1[[#This Row],[PRECIO EN SOLES]]-Tabla1[[#This Row],[PC]]</f>
        <v>14.317800000000005</v>
      </c>
      <c r="K1645" s="15"/>
      <c r="L1645" s="15" t="str">
        <f t="shared" si="52"/>
        <v>NORMAL</v>
      </c>
    </row>
    <row r="1646" spans="1:12" x14ac:dyDescent="0.25">
      <c r="A1646" s="3" t="s">
        <v>2569</v>
      </c>
      <c r="B1646" s="3" t="s">
        <v>2570</v>
      </c>
      <c r="C1646" s="1">
        <v>2</v>
      </c>
      <c r="D1646" s="1">
        <v>16.75</v>
      </c>
      <c r="E1646" s="1" t="s">
        <v>141</v>
      </c>
      <c r="F1646" s="1" t="s">
        <v>4078</v>
      </c>
      <c r="G1646" s="3" t="s">
        <v>2571</v>
      </c>
      <c r="H1646" s="11">
        <f t="shared" si="53"/>
        <v>83.1</v>
      </c>
      <c r="I1646" s="9">
        <f>($K$2+0.02)*Tabla1[[#This Row],[PRECIO $]]*1.18</f>
        <v>68.782199999999989</v>
      </c>
      <c r="J1646" s="7">
        <f>+Tabla1[[#This Row],[PRECIO EN SOLES]]-Tabla1[[#This Row],[PC]]</f>
        <v>14.317800000000005</v>
      </c>
      <c r="K1646" s="15"/>
      <c r="L1646" s="15" t="str">
        <f t="shared" si="52"/>
        <v>NORMAL</v>
      </c>
    </row>
    <row r="1647" spans="1:12" x14ac:dyDescent="0.25">
      <c r="A1647" s="3" t="s">
        <v>2572</v>
      </c>
      <c r="B1647" s="3" t="s">
        <v>2573</v>
      </c>
      <c r="C1647" s="1">
        <v>2</v>
      </c>
      <c r="D1647" s="1">
        <v>16.75</v>
      </c>
      <c r="E1647" s="1" t="s">
        <v>141</v>
      </c>
      <c r="F1647" s="1" t="s">
        <v>4079</v>
      </c>
      <c r="G1647" s="3" t="s">
        <v>2574</v>
      </c>
      <c r="H1647" s="11">
        <f t="shared" si="53"/>
        <v>83.1</v>
      </c>
      <c r="I1647" s="9">
        <f>($K$2+0.02)*Tabla1[[#This Row],[PRECIO $]]*1.18</f>
        <v>68.782199999999989</v>
      </c>
      <c r="J1647" s="7">
        <f>+Tabla1[[#This Row],[PRECIO EN SOLES]]-Tabla1[[#This Row],[PC]]</f>
        <v>14.317800000000005</v>
      </c>
      <c r="K1647" s="15"/>
      <c r="L1647" s="15" t="str">
        <f t="shared" si="52"/>
        <v>NORMAL</v>
      </c>
    </row>
    <row r="1648" spans="1:12" x14ac:dyDescent="0.25">
      <c r="A1648" s="3" t="s">
        <v>4456</v>
      </c>
      <c r="B1648" s="3" t="s">
        <v>4457</v>
      </c>
      <c r="C1648" s="1">
        <v>20</v>
      </c>
      <c r="D1648" s="1">
        <v>14.48</v>
      </c>
      <c r="E1648" s="1" t="s">
        <v>852</v>
      </c>
      <c r="F1648" s="1" t="s">
        <v>4458</v>
      </c>
      <c r="G1648" s="3" t="s">
        <v>4459</v>
      </c>
      <c r="H1648" s="11">
        <f t="shared" si="53"/>
        <v>72.38</v>
      </c>
      <c r="I1648" s="9">
        <f>($K$2+0.02)*Tabla1[[#This Row],[PRECIO $]]*1.18</f>
        <v>59.460671999999995</v>
      </c>
      <c r="J1648" s="7">
        <f>+Tabla1[[#This Row],[PRECIO EN SOLES]]-Tabla1[[#This Row],[PC]]</f>
        <v>12.919328</v>
      </c>
      <c r="K1648" s="15"/>
      <c r="L1648" s="15" t="str">
        <f t="shared" si="52"/>
        <v>COMPLEMENTO</v>
      </c>
    </row>
    <row r="1649" spans="1:12" x14ac:dyDescent="0.25">
      <c r="A1649" s="3" t="s">
        <v>5064</v>
      </c>
      <c r="B1649" s="3" t="s">
        <v>5065</v>
      </c>
      <c r="C1649" s="1">
        <v>20</v>
      </c>
      <c r="D1649" s="1">
        <v>20</v>
      </c>
      <c r="E1649" s="1" t="s">
        <v>838</v>
      </c>
      <c r="F1649" s="1" t="s">
        <v>5066</v>
      </c>
      <c r="G1649" s="3" t="s">
        <v>5067</v>
      </c>
      <c r="H1649" s="11">
        <f t="shared" si="53"/>
        <v>100.45</v>
      </c>
      <c r="I1649" s="9">
        <f>($K$2+0.02)*Tabla1[[#This Row],[PRECIO $]]*1.18</f>
        <v>82.127999999999986</v>
      </c>
      <c r="J1649" s="7">
        <f>+Tabla1[[#This Row],[PRECIO EN SOLES]]-Tabla1[[#This Row],[PC]]</f>
        <v>18.322000000000017</v>
      </c>
      <c r="K1649" s="15"/>
      <c r="L1649" s="15" t="str">
        <f t="shared" si="52"/>
        <v>COMPLEMENTO</v>
      </c>
    </row>
    <row r="1650" spans="1:12" x14ac:dyDescent="0.25">
      <c r="A1650" s="3" t="s">
        <v>542</v>
      </c>
      <c r="B1650" s="3" t="s">
        <v>543</v>
      </c>
      <c r="C1650" s="1">
        <v>20</v>
      </c>
      <c r="D1650" s="1">
        <v>18.7</v>
      </c>
      <c r="E1650" s="1" t="s">
        <v>52</v>
      </c>
      <c r="F1650" s="1" t="s">
        <v>4080</v>
      </c>
      <c r="G1650" s="3" t="s">
        <v>544</v>
      </c>
      <c r="H1650" s="11">
        <f t="shared" si="53"/>
        <v>99.99</v>
      </c>
      <c r="I1650" s="9">
        <f>($K$2+0.02)*Tabla1[[#This Row],[PRECIO $]]*1.18</f>
        <v>76.78967999999999</v>
      </c>
      <c r="J1650" s="7">
        <f>+Tabla1[[#This Row],[PRECIO EN SOLES]]-Tabla1[[#This Row],[PC]]</f>
        <v>23.200320000000005</v>
      </c>
      <c r="K1650" s="15"/>
      <c r="L1650" s="15" t="str">
        <f t="shared" si="52"/>
        <v>COMPLEMENTO</v>
      </c>
    </row>
    <row r="1651" spans="1:12" x14ac:dyDescent="0.25">
      <c r="A1651" s="3" t="s">
        <v>545</v>
      </c>
      <c r="B1651" s="3" t="s">
        <v>546</v>
      </c>
      <c r="C1651" s="1">
        <v>20</v>
      </c>
      <c r="D1651" s="1">
        <v>20.399999999999999</v>
      </c>
      <c r="E1651" s="1" t="s">
        <v>52</v>
      </c>
      <c r="F1651" s="1" t="s">
        <v>4081</v>
      </c>
      <c r="G1651" s="3" t="s">
        <v>547</v>
      </c>
      <c r="H1651" s="11">
        <f t="shared" si="53"/>
        <v>108.71</v>
      </c>
      <c r="I1651" s="9">
        <f>($K$2+0.02)*Tabla1[[#This Row],[PRECIO $]]*1.18</f>
        <v>83.770559999999989</v>
      </c>
      <c r="J1651" s="7">
        <f>+Tabla1[[#This Row],[PRECIO EN SOLES]]-Tabla1[[#This Row],[PC]]</f>
        <v>24.939440000000005</v>
      </c>
      <c r="K1651" s="15"/>
      <c r="L1651" s="15" t="str">
        <f t="shared" si="52"/>
        <v>COMPLEMENTO</v>
      </c>
    </row>
    <row r="1652" spans="1:12" x14ac:dyDescent="0.25">
      <c r="A1652" s="3" t="s">
        <v>548</v>
      </c>
      <c r="B1652" s="3" t="s">
        <v>549</v>
      </c>
      <c r="C1652" s="1">
        <v>20</v>
      </c>
      <c r="D1652" s="1">
        <v>15.1</v>
      </c>
      <c r="E1652" s="1" t="s">
        <v>52</v>
      </c>
      <c r="F1652" s="1" t="s">
        <v>4082</v>
      </c>
      <c r="G1652" s="3" t="s">
        <v>550</v>
      </c>
      <c r="H1652" s="11">
        <f t="shared" si="53"/>
        <v>81.510000000000005</v>
      </c>
      <c r="I1652" s="9">
        <f>($K$2+0.02)*Tabla1[[#This Row],[PRECIO $]]*1.18</f>
        <v>62.006639999999997</v>
      </c>
      <c r="J1652" s="7">
        <f>+Tabla1[[#This Row],[PRECIO EN SOLES]]-Tabla1[[#This Row],[PC]]</f>
        <v>19.503360000000008</v>
      </c>
      <c r="K1652" s="15"/>
      <c r="L1652" s="15" t="str">
        <f t="shared" si="52"/>
        <v>NORMAL</v>
      </c>
    </row>
    <row r="1653" spans="1:12" x14ac:dyDescent="0.25">
      <c r="A1653" s="3" t="s">
        <v>2575</v>
      </c>
      <c r="B1653" s="3" t="s">
        <v>2576</v>
      </c>
      <c r="C1653" s="1">
        <v>20</v>
      </c>
      <c r="D1653" s="1">
        <v>28.4</v>
      </c>
      <c r="E1653" s="1" t="s">
        <v>52</v>
      </c>
      <c r="F1653" s="1" t="s">
        <v>4083</v>
      </c>
      <c r="G1653" s="3" t="s">
        <v>2577</v>
      </c>
      <c r="H1653" s="11">
        <f t="shared" si="53"/>
        <v>149.78</v>
      </c>
      <c r="I1653" s="9">
        <f>($K$2+0.02)*Tabla1[[#This Row],[PRECIO $]]*1.18</f>
        <v>116.62175999999998</v>
      </c>
      <c r="J1653" s="7">
        <f>+Tabla1[[#This Row],[PRECIO EN SOLES]]-Tabla1[[#This Row],[PC]]</f>
        <v>33.158240000000021</v>
      </c>
      <c r="K1653" s="15"/>
      <c r="L1653" s="15" t="str">
        <f t="shared" si="52"/>
        <v>NORMAL</v>
      </c>
    </row>
    <row r="1654" spans="1:12" x14ac:dyDescent="0.25">
      <c r="A1654" s="3" t="s">
        <v>551</v>
      </c>
      <c r="B1654" s="3" t="s">
        <v>552</v>
      </c>
      <c r="C1654" s="1">
        <v>20</v>
      </c>
      <c r="D1654" s="1">
        <v>52.4</v>
      </c>
      <c r="E1654" s="1" t="s">
        <v>57</v>
      </c>
      <c r="F1654" s="1" t="s">
        <v>4084</v>
      </c>
      <c r="G1654" s="3" t="s">
        <v>553</v>
      </c>
      <c r="H1654" s="11">
        <f t="shared" si="53"/>
        <v>255.45</v>
      </c>
      <c r="I1654" s="9">
        <f>($K$2+0.02)*Tabla1[[#This Row],[PRECIO $]]*1.18</f>
        <v>215.17535999999998</v>
      </c>
      <c r="J1654" s="7">
        <f>+Tabla1[[#This Row],[PRECIO EN SOLES]]-Tabla1[[#This Row],[PC]]</f>
        <v>40.274640000000005</v>
      </c>
      <c r="K1654" s="15"/>
      <c r="L1654" s="15" t="str">
        <f t="shared" si="52"/>
        <v>COMPLEMENTO</v>
      </c>
    </row>
    <row r="1655" spans="1:12" x14ac:dyDescent="0.25">
      <c r="A1655" s="3" t="s">
        <v>554</v>
      </c>
      <c r="B1655" s="3" t="s">
        <v>555</v>
      </c>
      <c r="C1655" s="1">
        <v>20</v>
      </c>
      <c r="D1655" s="1">
        <v>57</v>
      </c>
      <c r="E1655" s="1" t="s">
        <v>52</v>
      </c>
      <c r="F1655" s="1" t="s">
        <v>4085</v>
      </c>
      <c r="G1655" s="3" t="s">
        <v>556</v>
      </c>
      <c r="H1655" s="11">
        <f t="shared" si="53"/>
        <v>277.17</v>
      </c>
      <c r="I1655" s="9">
        <f>($K$2+0.02)*Tabla1[[#This Row],[PRECIO $]]*1.18</f>
        <v>234.06479999999996</v>
      </c>
      <c r="J1655" s="7">
        <f>+Tabla1[[#This Row],[PRECIO EN SOLES]]-Tabla1[[#This Row],[PC]]</f>
        <v>43.105200000000053</v>
      </c>
      <c r="K1655" s="15"/>
      <c r="L1655" s="15" t="str">
        <f t="shared" si="52"/>
        <v>GANCHO</v>
      </c>
    </row>
    <row r="1656" spans="1:12" x14ac:dyDescent="0.25">
      <c r="A1656" s="3" t="s">
        <v>2578</v>
      </c>
      <c r="B1656" s="3" t="s">
        <v>546</v>
      </c>
      <c r="C1656" s="1">
        <v>0</v>
      </c>
      <c r="D1656" s="1">
        <v>999</v>
      </c>
      <c r="E1656" s="1" t="s">
        <v>187</v>
      </c>
      <c r="F1656" s="1" t="s">
        <v>4086</v>
      </c>
      <c r="G1656" s="3"/>
      <c r="H1656" s="11">
        <f t="shared" si="53"/>
        <v>5132.87</v>
      </c>
      <c r="I1656" s="9">
        <f>($K$2+0.02)*Tabla1[[#This Row],[PRECIO $]]*1.18</f>
        <v>4102.2936</v>
      </c>
      <c r="J1656" s="7">
        <f>+Tabla1[[#This Row],[PRECIO EN SOLES]]-Tabla1[[#This Row],[PC]]</f>
        <v>1030.5763999999999</v>
      </c>
      <c r="K1656" s="15"/>
      <c r="L1656" s="15" t="str">
        <f t="shared" si="52"/>
        <v>GANCHO</v>
      </c>
    </row>
    <row r="1657" spans="1:12" x14ac:dyDescent="0.25">
      <c r="A1657" s="3" t="s">
        <v>6366</v>
      </c>
      <c r="B1657" s="3" t="s">
        <v>6367</v>
      </c>
      <c r="C1657" s="1">
        <v>4</v>
      </c>
      <c r="D1657" s="1">
        <v>180.25</v>
      </c>
      <c r="E1657" s="1" t="s">
        <v>557</v>
      </c>
      <c r="F1657" s="1" t="s">
        <v>6368</v>
      </c>
      <c r="G1657" s="3" t="s">
        <v>6369</v>
      </c>
      <c r="H1657" s="11">
        <f t="shared" si="53"/>
        <v>833.2</v>
      </c>
      <c r="I1657" s="9">
        <f>($K$2+0.02)*Tabla1[[#This Row],[PRECIO $]]*1.18</f>
        <v>740.17859999999996</v>
      </c>
      <c r="J1657" s="7">
        <f>+Tabla1[[#This Row],[PRECIO EN SOLES]]-Tabla1[[#This Row],[PC]]</f>
        <v>93.021400000000085</v>
      </c>
      <c r="K1657" s="15"/>
      <c r="L1657" s="15" t="str">
        <f t="shared" si="52"/>
        <v>GANCHO</v>
      </c>
    </row>
    <row r="1658" spans="1:12" x14ac:dyDescent="0.25">
      <c r="A1658" s="3" t="s">
        <v>559</v>
      </c>
      <c r="B1658" s="3" t="s">
        <v>560</v>
      </c>
      <c r="C1658" s="1">
        <v>20</v>
      </c>
      <c r="D1658" s="1">
        <v>90.6</v>
      </c>
      <c r="E1658" s="1" t="s">
        <v>557</v>
      </c>
      <c r="F1658" s="1" t="s">
        <v>4087</v>
      </c>
      <c r="G1658" s="3" t="s">
        <v>561</v>
      </c>
      <c r="H1658" s="11">
        <f t="shared" si="53"/>
        <v>428.24</v>
      </c>
      <c r="I1658" s="9">
        <f>($K$2+0.02)*Tabla1[[#This Row],[PRECIO $]]*1.18</f>
        <v>372.03983999999991</v>
      </c>
      <c r="J1658" s="7">
        <f>+Tabla1[[#This Row],[PRECIO EN SOLES]]-Tabla1[[#This Row],[PC]]</f>
        <v>56.200160000000096</v>
      </c>
      <c r="K1658" s="15"/>
      <c r="L1658" s="15" t="str">
        <f t="shared" si="52"/>
        <v>GANCHO</v>
      </c>
    </row>
    <row r="1659" spans="1:12" x14ac:dyDescent="0.25">
      <c r="A1659" s="3" t="s">
        <v>562</v>
      </c>
      <c r="B1659" s="3" t="s">
        <v>563</v>
      </c>
      <c r="C1659" s="1">
        <v>20</v>
      </c>
      <c r="D1659" s="1">
        <v>90.6</v>
      </c>
      <c r="E1659" s="1" t="s">
        <v>557</v>
      </c>
      <c r="F1659" s="1" t="s">
        <v>4088</v>
      </c>
      <c r="G1659" s="3" t="s">
        <v>558</v>
      </c>
      <c r="H1659" s="11">
        <f t="shared" si="53"/>
        <v>428.24</v>
      </c>
      <c r="I1659" s="9">
        <f>($K$2+0.02)*Tabla1[[#This Row],[PRECIO $]]*1.18</f>
        <v>372.03983999999991</v>
      </c>
      <c r="J1659" s="7">
        <f>+Tabla1[[#This Row],[PRECIO EN SOLES]]-Tabla1[[#This Row],[PC]]</f>
        <v>56.200160000000096</v>
      </c>
      <c r="K1659" s="15"/>
      <c r="L1659" s="15" t="str">
        <f t="shared" si="52"/>
        <v>GANCHO</v>
      </c>
    </row>
    <row r="1660" spans="1:12" x14ac:dyDescent="0.25">
      <c r="A1660" s="3" t="s">
        <v>2579</v>
      </c>
      <c r="B1660" s="3" t="s">
        <v>2580</v>
      </c>
      <c r="C1660" s="1">
        <v>20</v>
      </c>
      <c r="D1660" s="1">
        <v>80.099999999999994</v>
      </c>
      <c r="E1660" s="1" t="s">
        <v>557</v>
      </c>
      <c r="F1660" s="1" t="s">
        <v>4089</v>
      </c>
      <c r="G1660" s="10" t="s">
        <v>2581</v>
      </c>
      <c r="H1660" s="11">
        <f t="shared" si="53"/>
        <v>380.81</v>
      </c>
      <c r="I1660" s="9">
        <f>($K$2+0.02)*Tabla1[[#This Row],[PRECIO $]]*1.18</f>
        <v>328.92263999999994</v>
      </c>
      <c r="J1660" s="7">
        <f>+Tabla1[[#This Row],[PRECIO EN SOLES]]-Tabla1[[#This Row],[PC]]</f>
        <v>51.887360000000058</v>
      </c>
      <c r="K1660" s="15"/>
      <c r="L1660" s="15" t="str">
        <f t="shared" si="52"/>
        <v>GANCHO</v>
      </c>
    </row>
    <row r="1661" spans="1:12" x14ac:dyDescent="0.25">
      <c r="A1661" s="3" t="s">
        <v>564</v>
      </c>
      <c r="B1661" s="3" t="s">
        <v>565</v>
      </c>
      <c r="C1661" s="1">
        <v>7</v>
      </c>
      <c r="D1661" s="1">
        <v>80.099999999999994</v>
      </c>
      <c r="E1661" s="1" t="s">
        <v>557</v>
      </c>
      <c r="F1661" s="1" t="s">
        <v>4090</v>
      </c>
      <c r="G1661" s="3" t="s">
        <v>566</v>
      </c>
      <c r="H1661" s="11">
        <f t="shared" si="53"/>
        <v>380.81</v>
      </c>
      <c r="I1661" s="9">
        <f>($K$2+0.02)*Tabla1[[#This Row],[PRECIO $]]*1.18</f>
        <v>328.92263999999994</v>
      </c>
      <c r="J1661" s="7">
        <f>+Tabla1[[#This Row],[PRECIO EN SOLES]]-Tabla1[[#This Row],[PC]]</f>
        <v>51.887360000000058</v>
      </c>
      <c r="K1661" s="15"/>
      <c r="L1661" s="15" t="str">
        <f t="shared" si="52"/>
        <v>GANCHO</v>
      </c>
    </row>
    <row r="1662" spans="1:12" x14ac:dyDescent="0.25">
      <c r="A1662" s="3" t="s">
        <v>6141</v>
      </c>
      <c r="B1662" s="3" t="s">
        <v>6142</v>
      </c>
      <c r="C1662" s="1">
        <v>0</v>
      </c>
      <c r="D1662" s="1">
        <v>177</v>
      </c>
      <c r="E1662" s="1" t="s">
        <v>54</v>
      </c>
      <c r="F1662" s="1" t="s">
        <v>6143</v>
      </c>
      <c r="G1662" s="3" t="s">
        <v>6144</v>
      </c>
      <c r="H1662" s="11">
        <f t="shared" si="53"/>
        <v>818.52</v>
      </c>
      <c r="I1662" s="9">
        <f>($K$2+0.02)*Tabla1[[#This Row],[PRECIO $]]*1.18</f>
        <v>726.83280000000002</v>
      </c>
      <c r="J1662" s="7">
        <f>+Tabla1[[#This Row],[PRECIO EN SOLES]]-Tabla1[[#This Row],[PC]]</f>
        <v>91.687199999999962</v>
      </c>
      <c r="K1662" s="15"/>
      <c r="L1662" s="15" t="str">
        <f t="shared" si="52"/>
        <v>GANCHO</v>
      </c>
    </row>
    <row r="1663" spans="1:12" x14ac:dyDescent="0.25">
      <c r="A1663" s="3" t="s">
        <v>6370</v>
      </c>
      <c r="B1663" s="3" t="s">
        <v>6371</v>
      </c>
      <c r="C1663" s="1">
        <v>20</v>
      </c>
      <c r="D1663" s="1">
        <v>97</v>
      </c>
      <c r="E1663" s="1" t="s">
        <v>54</v>
      </c>
      <c r="F1663" s="1" t="s">
        <v>6372</v>
      </c>
      <c r="G1663" s="3" t="s">
        <v>6373</v>
      </c>
      <c r="H1663" s="11">
        <f t="shared" si="53"/>
        <v>457.15</v>
      </c>
      <c r="I1663" s="9">
        <f>($K$2+0.02)*Tabla1[[#This Row],[PRECIO $]]*1.18</f>
        <v>398.32079999999996</v>
      </c>
      <c r="J1663" s="7">
        <f>+Tabla1[[#This Row],[PRECIO EN SOLES]]-Tabla1[[#This Row],[PC]]</f>
        <v>58.829200000000014</v>
      </c>
      <c r="K1663" s="15"/>
      <c r="L1663" s="15" t="str">
        <f t="shared" si="52"/>
        <v>GANCHO</v>
      </c>
    </row>
    <row r="1664" spans="1:12" x14ac:dyDescent="0.25">
      <c r="A1664" s="3" t="s">
        <v>6145</v>
      </c>
      <c r="B1664" s="3" t="s">
        <v>2583</v>
      </c>
      <c r="C1664" s="1">
        <v>20</v>
      </c>
      <c r="D1664" s="1">
        <v>144.19999999999999</v>
      </c>
      <c r="E1664" s="1" t="s">
        <v>54</v>
      </c>
      <c r="F1664" s="1" t="s">
        <v>6146</v>
      </c>
      <c r="G1664" s="3" t="s">
        <v>6147</v>
      </c>
      <c r="H1664" s="11">
        <f t="shared" si="53"/>
        <v>670.36</v>
      </c>
      <c r="I1664" s="9">
        <f>($K$2+0.02)*Tabla1[[#This Row],[PRECIO $]]*1.18</f>
        <v>592.14287999999999</v>
      </c>
      <c r="J1664" s="7">
        <f>+Tabla1[[#This Row],[PRECIO EN SOLES]]-Tabla1[[#This Row],[PC]]</f>
        <v>78.217120000000023</v>
      </c>
      <c r="K1664" s="15"/>
      <c r="L1664" s="15" t="str">
        <f t="shared" si="52"/>
        <v>GANCHO</v>
      </c>
    </row>
    <row r="1665" spans="1:12" x14ac:dyDescent="0.25">
      <c r="A1665" s="3" t="s">
        <v>2582</v>
      </c>
      <c r="B1665" s="3" t="s">
        <v>2583</v>
      </c>
      <c r="C1665" s="1">
        <v>20</v>
      </c>
      <c r="D1665" s="1">
        <v>107</v>
      </c>
      <c r="E1665" s="1" t="s">
        <v>54</v>
      </c>
      <c r="F1665" s="1" t="s">
        <v>4091</v>
      </c>
      <c r="G1665" s="3" t="s">
        <v>2584</v>
      </c>
      <c r="H1665" s="11">
        <f t="shared" si="53"/>
        <v>502.32</v>
      </c>
      <c r="I1665" s="9">
        <f>($K$2+0.02)*Tabla1[[#This Row],[PRECIO $]]*1.18</f>
        <v>439.38479999999998</v>
      </c>
      <c r="J1665" s="7">
        <f>+Tabla1[[#This Row],[PRECIO EN SOLES]]-Tabla1[[#This Row],[PC]]</f>
        <v>62.935200000000009</v>
      </c>
      <c r="K1665" s="15"/>
      <c r="L1665" s="15" t="str">
        <f t="shared" si="52"/>
        <v>GANCHO</v>
      </c>
    </row>
    <row r="1666" spans="1:12" x14ac:dyDescent="0.25">
      <c r="A1666" s="3" t="s">
        <v>2585</v>
      </c>
      <c r="B1666" s="3" t="s">
        <v>2586</v>
      </c>
      <c r="C1666" s="1">
        <v>1</v>
      </c>
      <c r="D1666" s="1">
        <v>72</v>
      </c>
      <c r="E1666" s="1" t="s">
        <v>54</v>
      </c>
      <c r="F1666" s="1" t="s">
        <v>4092</v>
      </c>
      <c r="G1666" s="3"/>
      <c r="H1666" s="11">
        <f t="shared" si="53"/>
        <v>344.23</v>
      </c>
      <c r="I1666" s="9">
        <f>($K$2+0.02)*Tabla1[[#This Row],[PRECIO $]]*1.18</f>
        <v>295.66079999999999</v>
      </c>
      <c r="J1666" s="7">
        <f>+Tabla1[[#This Row],[PRECIO EN SOLES]]-Tabla1[[#This Row],[PC]]</f>
        <v>48.569200000000023</v>
      </c>
      <c r="K1666" s="15"/>
      <c r="L1666" s="15" t="str">
        <f t="shared" si="52"/>
        <v>GANCHO</v>
      </c>
    </row>
    <row r="1667" spans="1:12" x14ac:dyDescent="0.25">
      <c r="A1667" s="3" t="s">
        <v>6374</v>
      </c>
      <c r="B1667" s="3" t="s">
        <v>6375</v>
      </c>
      <c r="C1667" s="1">
        <v>3</v>
      </c>
      <c r="D1667" s="1">
        <v>109</v>
      </c>
      <c r="E1667" s="1" t="s">
        <v>54</v>
      </c>
      <c r="F1667" s="1" t="s">
        <v>6376</v>
      </c>
      <c r="G1667" s="3" t="s">
        <v>6377</v>
      </c>
      <c r="H1667" s="11">
        <f t="shared" si="53"/>
        <v>511.36</v>
      </c>
      <c r="I1667" s="9">
        <f>($K$2+0.02)*Tabla1[[#This Row],[PRECIO $]]*1.18</f>
        <v>447.59759999999994</v>
      </c>
      <c r="J1667" s="7">
        <f>+Tabla1[[#This Row],[PRECIO EN SOLES]]-Tabla1[[#This Row],[PC]]</f>
        <v>63.762400000000071</v>
      </c>
      <c r="K1667" s="15"/>
      <c r="L1667" s="15" t="str">
        <f t="shared" si="52"/>
        <v>GANCHO</v>
      </c>
    </row>
    <row r="1668" spans="1:12" x14ac:dyDescent="0.25">
      <c r="A1668" s="3" t="s">
        <v>5689</v>
      </c>
      <c r="B1668" s="3" t="s">
        <v>5690</v>
      </c>
      <c r="C1668" s="1">
        <v>20</v>
      </c>
      <c r="D1668" s="1">
        <v>67</v>
      </c>
      <c r="E1668" s="1" t="s">
        <v>54</v>
      </c>
      <c r="F1668" s="1" t="s">
        <v>5691</v>
      </c>
      <c r="G1668" s="3" t="s">
        <v>5692</v>
      </c>
      <c r="H1668" s="11">
        <f t="shared" si="53"/>
        <v>321.64</v>
      </c>
      <c r="I1668" s="9">
        <f>($K$2+0.02)*Tabla1[[#This Row],[PRECIO $]]*1.18</f>
        <v>275.12879999999996</v>
      </c>
      <c r="J1668" s="7">
        <f>+Tabla1[[#This Row],[PRECIO EN SOLES]]-Tabla1[[#This Row],[PC]]</f>
        <v>46.511200000000031</v>
      </c>
      <c r="K1668" s="15"/>
      <c r="L1668" s="15" t="str">
        <f t="shared" si="52"/>
        <v>GANCHO</v>
      </c>
    </row>
    <row r="1669" spans="1:12" x14ac:dyDescent="0.25">
      <c r="A1669" s="3" t="s">
        <v>5693</v>
      </c>
      <c r="B1669" s="3" t="s">
        <v>5694</v>
      </c>
      <c r="C1669" s="1">
        <v>20</v>
      </c>
      <c r="D1669" s="1">
        <v>67</v>
      </c>
      <c r="E1669" s="1" t="s">
        <v>54</v>
      </c>
      <c r="F1669" s="1" t="s">
        <v>5695</v>
      </c>
      <c r="G1669" s="3" t="s">
        <v>5696</v>
      </c>
      <c r="H1669" s="11">
        <f t="shared" si="53"/>
        <v>321.64</v>
      </c>
      <c r="I1669" s="9">
        <f>($K$2+0.02)*Tabla1[[#This Row],[PRECIO $]]*1.18</f>
        <v>275.12879999999996</v>
      </c>
      <c r="J1669" s="7">
        <f>+Tabla1[[#This Row],[PRECIO EN SOLES]]-Tabla1[[#This Row],[PC]]</f>
        <v>46.511200000000031</v>
      </c>
      <c r="K1669" s="15"/>
      <c r="L1669" s="15" t="str">
        <f t="shared" si="52"/>
        <v>GANCHO</v>
      </c>
    </row>
    <row r="1670" spans="1:12" x14ac:dyDescent="0.25">
      <c r="A1670" s="3" t="s">
        <v>5542</v>
      </c>
      <c r="B1670" s="3" t="s">
        <v>5543</v>
      </c>
      <c r="C1670" s="1">
        <v>20</v>
      </c>
      <c r="D1670" s="1">
        <v>243</v>
      </c>
      <c r="E1670" s="1" t="s">
        <v>74</v>
      </c>
      <c r="F1670" s="1" t="s">
        <v>5544</v>
      </c>
      <c r="G1670" s="3" t="s">
        <v>5545</v>
      </c>
      <c r="H1670" s="11">
        <f t="shared" si="53"/>
        <v>1116.6400000000001</v>
      </c>
      <c r="I1670" s="9">
        <f>($K$2+0.02)*Tabla1[[#This Row],[PRECIO $]]*1.18</f>
        <v>997.85519999999997</v>
      </c>
      <c r="J1670" s="7">
        <f>+Tabla1[[#This Row],[PRECIO EN SOLES]]-Tabla1[[#This Row],[PC]]</f>
        <v>118.78480000000013</v>
      </c>
      <c r="K1670" s="15"/>
      <c r="L1670" s="15" t="str">
        <f t="shared" si="52"/>
        <v>GANCHO</v>
      </c>
    </row>
    <row r="1671" spans="1:12" x14ac:dyDescent="0.25">
      <c r="A1671" s="3" t="s">
        <v>6571</v>
      </c>
      <c r="B1671" s="3" t="s">
        <v>6572</v>
      </c>
      <c r="C1671" s="1">
        <v>0</v>
      </c>
      <c r="D1671" s="1">
        <v>471</v>
      </c>
      <c r="E1671" s="1" t="s">
        <v>74</v>
      </c>
      <c r="F1671" s="1" t="s">
        <v>6573</v>
      </c>
      <c r="G1671" s="3" t="s">
        <v>6574</v>
      </c>
      <c r="H1671" s="11">
        <f t="shared" si="53"/>
        <v>2146.5300000000002</v>
      </c>
      <c r="I1671" s="9">
        <f>($K$2+0.02)*Tabla1[[#This Row],[PRECIO $]]*1.18</f>
        <v>1934.1143999999997</v>
      </c>
      <c r="J1671" s="7">
        <f>+Tabla1[[#This Row],[PRECIO EN SOLES]]-Tabla1[[#This Row],[PC]]</f>
        <v>212.4156000000005</v>
      </c>
      <c r="K1671" s="15"/>
      <c r="L1671" s="15" t="str">
        <f t="shared" si="52"/>
        <v>GANCHO</v>
      </c>
    </row>
    <row r="1672" spans="1:12" x14ac:dyDescent="0.25">
      <c r="A1672" s="3" t="s">
        <v>5546</v>
      </c>
      <c r="B1672" s="3" t="s">
        <v>5547</v>
      </c>
      <c r="C1672" s="1">
        <v>20</v>
      </c>
      <c r="D1672" s="1">
        <v>180</v>
      </c>
      <c r="E1672" s="1" t="s">
        <v>74</v>
      </c>
      <c r="F1672" s="1" t="s">
        <v>5548</v>
      </c>
      <c r="G1672" s="3" t="s">
        <v>5549</v>
      </c>
      <c r="H1672" s="11">
        <f t="shared" si="53"/>
        <v>832.07</v>
      </c>
      <c r="I1672" s="9">
        <f>($K$2+0.02)*Tabla1[[#This Row],[PRECIO $]]*1.18</f>
        <v>739.15199999999993</v>
      </c>
      <c r="J1672" s="7">
        <f>+Tabla1[[#This Row],[PRECIO EN SOLES]]-Tabla1[[#This Row],[PC]]</f>
        <v>92.91800000000012</v>
      </c>
      <c r="K1672" s="15"/>
      <c r="L1672" s="15" t="str">
        <f t="shared" si="52"/>
        <v>GANCHO</v>
      </c>
    </row>
    <row r="1673" spans="1:12" x14ac:dyDescent="0.25">
      <c r="A1673" s="3" t="s">
        <v>5550</v>
      </c>
      <c r="B1673" s="3" t="s">
        <v>5551</v>
      </c>
      <c r="C1673" s="1">
        <v>20</v>
      </c>
      <c r="D1673" s="1">
        <v>162</v>
      </c>
      <c r="E1673" s="1" t="s">
        <v>74</v>
      </c>
      <c r="F1673" s="1" t="s">
        <v>5552</v>
      </c>
      <c r="G1673" s="3" t="s">
        <v>5553</v>
      </c>
      <c r="H1673" s="11">
        <f t="shared" si="53"/>
        <v>750.76</v>
      </c>
      <c r="I1673" s="9">
        <f>($K$2+0.02)*Tabla1[[#This Row],[PRECIO $]]*1.18</f>
        <v>665.2367999999999</v>
      </c>
      <c r="J1673" s="7">
        <f>+Tabla1[[#This Row],[PRECIO EN SOLES]]-Tabla1[[#This Row],[PC]]</f>
        <v>85.523200000000088</v>
      </c>
      <c r="K1673" s="15"/>
      <c r="L1673" s="15" t="str">
        <f t="shared" si="52"/>
        <v>GANCHO</v>
      </c>
    </row>
    <row r="1674" spans="1:12" x14ac:dyDescent="0.25">
      <c r="A1674" s="3" t="s">
        <v>5180</v>
      </c>
      <c r="B1674" s="3" t="s">
        <v>5181</v>
      </c>
      <c r="C1674" s="1">
        <v>20</v>
      </c>
      <c r="D1674" s="1">
        <v>119</v>
      </c>
      <c r="E1674" s="1" t="s">
        <v>838</v>
      </c>
      <c r="F1674" s="1" t="s">
        <v>5182</v>
      </c>
      <c r="G1674" s="3" t="s">
        <v>5183</v>
      </c>
      <c r="H1674" s="11">
        <f t="shared" si="53"/>
        <v>556.53</v>
      </c>
      <c r="I1674" s="9">
        <f>($K$2+0.02)*Tabla1[[#This Row],[PRECIO $]]*1.18</f>
        <v>488.66159999999996</v>
      </c>
      <c r="J1674" s="7">
        <f>+Tabla1[[#This Row],[PRECIO EN SOLES]]-Tabla1[[#This Row],[PC]]</f>
        <v>67.868400000000008</v>
      </c>
      <c r="K1674" s="15"/>
      <c r="L1674" s="15" t="str">
        <f t="shared" si="52"/>
        <v>GANCHO</v>
      </c>
    </row>
    <row r="1675" spans="1:12" x14ac:dyDescent="0.25">
      <c r="A1675" s="3" t="s">
        <v>6148</v>
      </c>
      <c r="B1675" s="3" t="s">
        <v>6149</v>
      </c>
      <c r="C1675" s="1">
        <v>20</v>
      </c>
      <c r="D1675" s="1">
        <v>204</v>
      </c>
      <c r="E1675" s="1" t="s">
        <v>838</v>
      </c>
      <c r="F1675" s="1" t="s">
        <v>6150</v>
      </c>
      <c r="G1675" s="3" t="s">
        <v>6151</v>
      </c>
      <c r="H1675" s="11">
        <f t="shared" si="53"/>
        <v>940.48</v>
      </c>
      <c r="I1675" s="9">
        <f>($K$2+0.02)*Tabla1[[#This Row],[PRECIO $]]*1.18</f>
        <v>837.70559999999989</v>
      </c>
      <c r="J1675" s="7">
        <f>+Tabla1[[#This Row],[PRECIO EN SOLES]]-Tabla1[[#This Row],[PC]]</f>
        <v>102.77440000000013</v>
      </c>
      <c r="K1675" s="15"/>
      <c r="L1675" s="15" t="str">
        <f t="shared" si="52"/>
        <v>GANCHO</v>
      </c>
    </row>
    <row r="1676" spans="1:12" x14ac:dyDescent="0.25">
      <c r="A1676" s="3" t="s">
        <v>5184</v>
      </c>
      <c r="B1676" s="3" t="s">
        <v>5185</v>
      </c>
      <c r="C1676" s="1">
        <v>20</v>
      </c>
      <c r="D1676" s="1">
        <v>229</v>
      </c>
      <c r="E1676" s="1" t="s">
        <v>838</v>
      </c>
      <c r="F1676" s="1" t="s">
        <v>5186</v>
      </c>
      <c r="G1676" s="3" t="s">
        <v>5187</v>
      </c>
      <c r="H1676" s="11">
        <f t="shared" si="53"/>
        <v>1053.4000000000001</v>
      </c>
      <c r="I1676" s="9">
        <f>($K$2+0.02)*Tabla1[[#This Row],[PRECIO $]]*1.18</f>
        <v>940.36559999999986</v>
      </c>
      <c r="J1676" s="7">
        <f>+Tabla1[[#This Row],[PRECIO EN SOLES]]-Tabla1[[#This Row],[PC]]</f>
        <v>113.03440000000023</v>
      </c>
      <c r="K1676" s="15"/>
      <c r="L1676" s="15" t="str">
        <f t="shared" si="52"/>
        <v>GANCHO</v>
      </c>
    </row>
    <row r="1677" spans="1:12" x14ac:dyDescent="0.25">
      <c r="A1677" s="3" t="s">
        <v>6152</v>
      </c>
      <c r="B1677" s="3" t="s">
        <v>6153</v>
      </c>
      <c r="C1677" s="1">
        <v>20</v>
      </c>
      <c r="D1677" s="1">
        <v>239</v>
      </c>
      <c r="E1677" s="1" t="s">
        <v>838</v>
      </c>
      <c r="F1677" s="1" t="s">
        <v>6154</v>
      </c>
      <c r="G1677" s="3" t="s">
        <v>6155</v>
      </c>
      <c r="H1677" s="11">
        <f t="shared" si="53"/>
        <v>1098.57</v>
      </c>
      <c r="I1677" s="9">
        <f>($K$2+0.02)*Tabla1[[#This Row],[PRECIO $]]*1.18</f>
        <v>981.42959999999994</v>
      </c>
      <c r="J1677" s="7">
        <f>+Tabla1[[#This Row],[PRECIO EN SOLES]]-Tabla1[[#This Row],[PC]]</f>
        <v>117.1404</v>
      </c>
      <c r="K1677" s="15"/>
      <c r="L1677" s="15" t="str">
        <f t="shared" si="52"/>
        <v>GANCHO</v>
      </c>
    </row>
    <row r="1678" spans="1:12" x14ac:dyDescent="0.25">
      <c r="A1678" s="3" t="s">
        <v>3001</v>
      </c>
      <c r="B1678" s="3" t="s">
        <v>3002</v>
      </c>
      <c r="C1678" s="1">
        <v>20</v>
      </c>
      <c r="D1678" s="1">
        <v>525</v>
      </c>
      <c r="E1678" s="1" t="s">
        <v>838</v>
      </c>
      <c r="F1678" s="1" t="s">
        <v>4093</v>
      </c>
      <c r="G1678" s="3" t="s">
        <v>3003</v>
      </c>
      <c r="H1678" s="11">
        <f t="shared" si="53"/>
        <v>2390.4499999999998</v>
      </c>
      <c r="I1678" s="9">
        <f>($K$2+0.02)*Tabla1[[#This Row],[PRECIO $]]*1.18</f>
        <v>2155.8599999999997</v>
      </c>
      <c r="J1678" s="7">
        <f>+Tabla1[[#This Row],[PRECIO EN SOLES]]-Tabla1[[#This Row],[PC]]</f>
        <v>234.59000000000015</v>
      </c>
      <c r="K1678" s="15"/>
      <c r="L1678" s="15" t="str">
        <f t="shared" si="52"/>
        <v>GANCHO</v>
      </c>
    </row>
    <row r="1679" spans="1:12" x14ac:dyDescent="0.25">
      <c r="A1679" s="3" t="s">
        <v>6156</v>
      </c>
      <c r="B1679" s="3" t="s">
        <v>6157</v>
      </c>
      <c r="C1679" s="1">
        <v>0</v>
      </c>
      <c r="D1679" s="1">
        <v>298</v>
      </c>
      <c r="E1679" s="1" t="s">
        <v>838</v>
      </c>
      <c r="F1679" s="1" t="s">
        <v>6158</v>
      </c>
      <c r="G1679" s="3" t="s">
        <v>2587</v>
      </c>
      <c r="H1679" s="11">
        <f t="shared" si="53"/>
        <v>1365.08</v>
      </c>
      <c r="I1679" s="9">
        <f>($K$2+0.02)*Tabla1[[#This Row],[PRECIO $]]*1.18</f>
        <v>1223.7071999999998</v>
      </c>
      <c r="J1679" s="7">
        <f>+Tabla1[[#This Row],[PRECIO EN SOLES]]-Tabla1[[#This Row],[PC]]</f>
        <v>141.3728000000001</v>
      </c>
      <c r="K1679" s="15"/>
      <c r="L1679" s="15" t="str">
        <f t="shared" si="52"/>
        <v>GANCHO</v>
      </c>
    </row>
    <row r="1680" spans="1:12" x14ac:dyDescent="0.25">
      <c r="A1680" s="3" t="s">
        <v>6159</v>
      </c>
      <c r="B1680" s="3" t="s">
        <v>6160</v>
      </c>
      <c r="C1680" s="1">
        <v>10</v>
      </c>
      <c r="D1680" s="1">
        <v>358</v>
      </c>
      <c r="E1680" s="1" t="s">
        <v>838</v>
      </c>
      <c r="F1680" s="1" t="s">
        <v>6161</v>
      </c>
      <c r="G1680" s="3" t="s">
        <v>6162</v>
      </c>
      <c r="H1680" s="11">
        <f t="shared" si="53"/>
        <v>1636.1</v>
      </c>
      <c r="I1680" s="9">
        <f>($K$2+0.02)*Tabla1[[#This Row],[PRECIO $]]*1.18</f>
        <v>1470.0911999999998</v>
      </c>
      <c r="J1680" s="7">
        <f>+Tabla1[[#This Row],[PRECIO EN SOLES]]-Tabla1[[#This Row],[PC]]</f>
        <v>166.00880000000006</v>
      </c>
      <c r="K1680" s="15"/>
      <c r="L1680" s="15" t="str">
        <f t="shared" ref="L1680:L1743" si="54"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GANCHO</v>
      </c>
    </row>
    <row r="1681" spans="1:12" x14ac:dyDescent="0.25">
      <c r="A1681" s="3" t="s">
        <v>2588</v>
      </c>
      <c r="B1681" s="3" t="s">
        <v>2589</v>
      </c>
      <c r="C1681" s="1">
        <v>20</v>
      </c>
      <c r="D1681" s="1">
        <v>369</v>
      </c>
      <c r="E1681" s="1" t="s">
        <v>838</v>
      </c>
      <c r="F1681" s="1" t="s">
        <v>4094</v>
      </c>
      <c r="G1681" s="3" t="s">
        <v>2587</v>
      </c>
      <c r="H1681" s="11">
        <f t="shared" si="53"/>
        <v>1685.79</v>
      </c>
      <c r="I1681" s="9">
        <f>($K$2+0.02)*Tabla1[[#This Row],[PRECIO $]]*1.18</f>
        <v>1515.2615999999998</v>
      </c>
      <c r="J1681" s="7">
        <f>+Tabla1[[#This Row],[PRECIO EN SOLES]]-Tabla1[[#This Row],[PC]]</f>
        <v>170.52840000000015</v>
      </c>
      <c r="K1681" s="15"/>
      <c r="L1681" s="15" t="str">
        <f t="shared" si="54"/>
        <v>GANCHO</v>
      </c>
    </row>
    <row r="1682" spans="1:12" x14ac:dyDescent="0.25">
      <c r="A1682" s="3" t="s">
        <v>5188</v>
      </c>
      <c r="B1682" s="3" t="s">
        <v>5189</v>
      </c>
      <c r="C1682" s="1">
        <v>20</v>
      </c>
      <c r="D1682" s="1">
        <v>429</v>
      </c>
      <c r="E1682" s="1" t="s">
        <v>838</v>
      </c>
      <c r="F1682" s="1" t="s">
        <v>5190</v>
      </c>
      <c r="G1682" s="3" t="s">
        <v>5191</v>
      </c>
      <c r="H1682" s="11">
        <f t="shared" ref="H1682:H1745" si="55">ROUND(
IF(L1680="GANCHO",
   IF(I1682&lt;=50,I1682*1.1+4,IF(I1682&lt;=120,I1682*1.1+7,IF(I1682&lt;=250,I1682*1.1+11,I1682*1.1+19))),
IF(L1680="NORMAL",
   IF(I1682&lt;=30,I1682*1.15+2,IF(I1682&lt;=80,I1682*1.15+4,IF(I1682&lt;=150,I1682*1.15+6,I1682*1.15+8))),
IF(L1680="COMPLEMENTO",
   IF(I1682&lt;=25,I1682*1.25+1.5,IF(I1682&lt;=60,I1682*1.25+3,IF(I1682&lt;=120,I1682*1.25+4,I1682*1.25+5))),
""))),2)</f>
        <v>1956.81</v>
      </c>
      <c r="I1682" s="9">
        <f>($K$2+0.02)*Tabla1[[#This Row],[PRECIO $]]*1.18</f>
        <v>1761.6456000000001</v>
      </c>
      <c r="J1682" s="7">
        <f>+Tabla1[[#This Row],[PRECIO EN SOLES]]-Tabla1[[#This Row],[PC]]</f>
        <v>195.16439999999989</v>
      </c>
      <c r="K1682" s="15"/>
      <c r="L1682" s="15" t="str">
        <f t="shared" si="54"/>
        <v>GANCHO</v>
      </c>
    </row>
    <row r="1683" spans="1:12" x14ac:dyDescent="0.25">
      <c r="A1683" s="3" t="s">
        <v>6163</v>
      </c>
      <c r="B1683" s="3" t="s">
        <v>6164</v>
      </c>
      <c r="C1683" s="1">
        <v>3</v>
      </c>
      <c r="D1683" s="1">
        <v>478</v>
      </c>
      <c r="E1683" s="1" t="s">
        <v>838</v>
      </c>
      <c r="F1683" s="1" t="s">
        <v>6165</v>
      </c>
      <c r="G1683" s="3" t="s">
        <v>6166</v>
      </c>
      <c r="H1683" s="11">
        <f t="shared" si="55"/>
        <v>2178.15</v>
      </c>
      <c r="I1683" s="9">
        <f>($K$2+0.02)*Tabla1[[#This Row],[PRECIO $]]*1.18</f>
        <v>1962.8591999999999</v>
      </c>
      <c r="J1683" s="7">
        <f>+Tabla1[[#This Row],[PRECIO EN SOLES]]-Tabla1[[#This Row],[PC]]</f>
        <v>215.29080000000022</v>
      </c>
      <c r="K1683" s="15"/>
      <c r="L1683" s="15" t="str">
        <f t="shared" si="54"/>
        <v>GANCHO</v>
      </c>
    </row>
    <row r="1684" spans="1:12" x14ac:dyDescent="0.25">
      <c r="A1684" s="3" t="s">
        <v>3004</v>
      </c>
      <c r="B1684" s="3" t="s">
        <v>3005</v>
      </c>
      <c r="C1684" s="1">
        <v>20</v>
      </c>
      <c r="D1684" s="1">
        <v>517</v>
      </c>
      <c r="E1684" s="1" t="s">
        <v>838</v>
      </c>
      <c r="F1684" s="1" t="s">
        <v>4095</v>
      </c>
      <c r="G1684" s="3" t="s">
        <v>3006</v>
      </c>
      <c r="H1684" s="11">
        <f t="shared" si="55"/>
        <v>2354.31</v>
      </c>
      <c r="I1684" s="9">
        <f>($K$2+0.02)*Tabla1[[#This Row],[PRECIO $]]*1.18</f>
        <v>2123.0088000000001</v>
      </c>
      <c r="J1684" s="7">
        <f>+Tabla1[[#This Row],[PRECIO EN SOLES]]-Tabla1[[#This Row],[PC]]</f>
        <v>231.30119999999988</v>
      </c>
      <c r="K1684" s="15"/>
      <c r="L1684" s="15" t="str">
        <f t="shared" si="54"/>
        <v>GANCHO</v>
      </c>
    </row>
    <row r="1685" spans="1:12" x14ac:dyDescent="0.25">
      <c r="A1685" s="3" t="s">
        <v>4536</v>
      </c>
      <c r="B1685" s="3" t="s">
        <v>2591</v>
      </c>
      <c r="C1685" s="1">
        <v>20</v>
      </c>
      <c r="D1685" s="1">
        <v>579</v>
      </c>
      <c r="E1685" s="1" t="s">
        <v>838</v>
      </c>
      <c r="F1685" s="1" t="s">
        <v>4537</v>
      </c>
      <c r="G1685" s="3" t="s">
        <v>5068</v>
      </c>
      <c r="H1685" s="11">
        <f t="shared" si="55"/>
        <v>2634.37</v>
      </c>
      <c r="I1685" s="9">
        <f>($K$2+0.02)*Tabla1[[#This Row],[PRECIO $]]*1.18</f>
        <v>2377.6055999999999</v>
      </c>
      <c r="J1685" s="7">
        <f>+Tabla1[[#This Row],[PRECIO EN SOLES]]-Tabla1[[#This Row],[PC]]</f>
        <v>256.76440000000002</v>
      </c>
      <c r="K1685" s="15"/>
      <c r="L1685" s="15" t="str">
        <f t="shared" si="54"/>
        <v>GANCHO</v>
      </c>
    </row>
    <row r="1686" spans="1:12" x14ac:dyDescent="0.25">
      <c r="A1686" s="3" t="s">
        <v>2590</v>
      </c>
      <c r="B1686" s="3" t="s">
        <v>2591</v>
      </c>
      <c r="C1686" s="1">
        <v>10</v>
      </c>
      <c r="D1686" s="1">
        <v>589</v>
      </c>
      <c r="E1686" s="1" t="s">
        <v>838</v>
      </c>
      <c r="F1686" s="1" t="s">
        <v>4096</v>
      </c>
      <c r="G1686" s="3" t="s">
        <v>2592</v>
      </c>
      <c r="H1686" s="11">
        <f t="shared" si="55"/>
        <v>2679.54</v>
      </c>
      <c r="I1686" s="9">
        <f>($K$2+0.02)*Tabla1[[#This Row],[PRECIO $]]*1.18</f>
        <v>2418.6695999999997</v>
      </c>
      <c r="J1686" s="7">
        <f>+Tabla1[[#This Row],[PRECIO EN SOLES]]-Tabla1[[#This Row],[PC]]</f>
        <v>260.87040000000025</v>
      </c>
      <c r="K1686" s="15"/>
      <c r="L1686" s="15" t="str">
        <f t="shared" si="54"/>
        <v>GANCHO</v>
      </c>
    </row>
    <row r="1687" spans="1:12" x14ac:dyDescent="0.25">
      <c r="A1687" s="3" t="s">
        <v>2593</v>
      </c>
      <c r="B1687" s="3" t="s">
        <v>2594</v>
      </c>
      <c r="C1687" s="1">
        <v>9</v>
      </c>
      <c r="D1687" s="1">
        <v>678</v>
      </c>
      <c r="E1687" s="1" t="s">
        <v>838</v>
      </c>
      <c r="F1687" s="1" t="s">
        <v>4097</v>
      </c>
      <c r="G1687" s="3" t="s">
        <v>2595</v>
      </c>
      <c r="H1687" s="11">
        <f t="shared" si="55"/>
        <v>3081.55</v>
      </c>
      <c r="I1687" s="9">
        <f>($K$2+0.02)*Tabla1[[#This Row],[PRECIO $]]*1.18</f>
        <v>2784.1392000000001</v>
      </c>
      <c r="J1687" s="7">
        <f>+Tabla1[[#This Row],[PRECIO EN SOLES]]-Tabla1[[#This Row],[PC]]</f>
        <v>297.41080000000011</v>
      </c>
      <c r="K1687" s="15"/>
      <c r="L1687" s="15" t="str">
        <f t="shared" si="54"/>
        <v>GANCHO</v>
      </c>
    </row>
    <row r="1688" spans="1:12" x14ac:dyDescent="0.25">
      <c r="A1688" s="3" t="s">
        <v>3007</v>
      </c>
      <c r="B1688" s="3" t="s">
        <v>3008</v>
      </c>
      <c r="C1688" s="1">
        <v>2</v>
      </c>
      <c r="D1688" s="1">
        <v>980</v>
      </c>
      <c r="E1688" s="1" t="s">
        <v>838</v>
      </c>
      <c r="F1688" s="1" t="s">
        <v>4098</v>
      </c>
      <c r="G1688" s="3" t="s">
        <v>3009</v>
      </c>
      <c r="H1688" s="11">
        <f t="shared" si="55"/>
        <v>4445.7</v>
      </c>
      <c r="I1688" s="9">
        <f>($K$2+0.02)*Tabla1[[#This Row],[PRECIO $]]*1.18</f>
        <v>4024.2719999999999</v>
      </c>
      <c r="J1688" s="7">
        <f>+Tabla1[[#This Row],[PRECIO EN SOLES]]-Tabla1[[#This Row],[PC]]</f>
        <v>421.42799999999988</v>
      </c>
      <c r="K1688" s="15"/>
      <c r="L1688" s="15" t="str">
        <f t="shared" si="54"/>
        <v>GANCHO</v>
      </c>
    </row>
    <row r="1689" spans="1:12" x14ac:dyDescent="0.25">
      <c r="A1689" s="3" t="s">
        <v>4538</v>
      </c>
      <c r="B1689" s="3" t="s">
        <v>4539</v>
      </c>
      <c r="C1689" s="1">
        <v>1</v>
      </c>
      <c r="D1689" s="1">
        <v>831.5</v>
      </c>
      <c r="E1689" s="1" t="s">
        <v>838</v>
      </c>
      <c r="F1689" s="1" t="s">
        <v>4540</v>
      </c>
      <c r="G1689" s="3" t="s">
        <v>3009</v>
      </c>
      <c r="H1689" s="11">
        <f t="shared" si="55"/>
        <v>3774.92</v>
      </c>
      <c r="I1689" s="9">
        <f>($K$2+0.02)*Tabla1[[#This Row],[PRECIO $]]*1.18</f>
        <v>3414.4715999999999</v>
      </c>
      <c r="J1689" s="7">
        <f>+Tabla1[[#This Row],[PRECIO EN SOLES]]-Tabla1[[#This Row],[PC]]</f>
        <v>360.44840000000022</v>
      </c>
      <c r="K1689" s="15"/>
      <c r="L1689" s="15" t="str">
        <f t="shared" si="54"/>
        <v>GANCHO</v>
      </c>
    </row>
    <row r="1690" spans="1:12" x14ac:dyDescent="0.25">
      <c r="A1690" s="3" t="s">
        <v>5069</v>
      </c>
      <c r="B1690" s="3" t="s">
        <v>5070</v>
      </c>
      <c r="C1690" s="1">
        <v>0</v>
      </c>
      <c r="D1690" s="1">
        <v>1310</v>
      </c>
      <c r="E1690" s="1" t="s">
        <v>838</v>
      </c>
      <c r="F1690" s="1" t="s">
        <v>5071</v>
      </c>
      <c r="G1690" s="3" t="s">
        <v>5192</v>
      </c>
      <c r="H1690" s="11">
        <f t="shared" si="55"/>
        <v>5936.32</v>
      </c>
      <c r="I1690" s="9">
        <f>($K$2+0.02)*Tabla1[[#This Row],[PRECIO $]]*1.18</f>
        <v>5379.384</v>
      </c>
      <c r="J1690" s="7">
        <f>+Tabla1[[#This Row],[PRECIO EN SOLES]]-Tabla1[[#This Row],[PC]]</f>
        <v>556.93599999999969</v>
      </c>
      <c r="K1690" s="15"/>
      <c r="L1690" s="15" t="str">
        <f t="shared" si="54"/>
        <v>NORMAL</v>
      </c>
    </row>
    <row r="1691" spans="1:12" x14ac:dyDescent="0.25">
      <c r="A1691" s="3" t="s">
        <v>5554</v>
      </c>
      <c r="B1691" s="3" t="s">
        <v>5555</v>
      </c>
      <c r="C1691" s="1">
        <v>20</v>
      </c>
      <c r="D1691" s="1">
        <v>205</v>
      </c>
      <c r="E1691" s="1" t="s">
        <v>74</v>
      </c>
      <c r="F1691" s="1" t="s">
        <v>5556</v>
      </c>
      <c r="G1691" s="3" t="s">
        <v>5557</v>
      </c>
      <c r="H1691" s="11">
        <f t="shared" si="55"/>
        <v>944.99</v>
      </c>
      <c r="I1691" s="9">
        <f>($K$2+0.02)*Tabla1[[#This Row],[PRECIO $]]*1.18</f>
        <v>841.8119999999999</v>
      </c>
      <c r="J1691" s="7">
        <f>+Tabla1[[#This Row],[PRECIO EN SOLES]]-Tabla1[[#This Row],[PC]]</f>
        <v>103.17800000000011</v>
      </c>
      <c r="K1691" s="15"/>
      <c r="L1691" s="15" t="str">
        <f t="shared" si="54"/>
        <v>NORMAL</v>
      </c>
    </row>
    <row r="1692" spans="1:12" x14ac:dyDescent="0.25">
      <c r="A1692" s="3" t="s">
        <v>6167</v>
      </c>
      <c r="B1692" s="3" t="s">
        <v>6168</v>
      </c>
      <c r="C1692" s="1">
        <v>20</v>
      </c>
      <c r="D1692" s="1">
        <v>697</v>
      </c>
      <c r="E1692" s="1" t="s">
        <v>838</v>
      </c>
      <c r="F1692" s="1" t="s">
        <v>6169</v>
      </c>
      <c r="G1692" s="3" t="s">
        <v>6170</v>
      </c>
      <c r="H1692" s="11">
        <f t="shared" si="55"/>
        <v>3299.48</v>
      </c>
      <c r="I1692" s="9">
        <f>($K$2+0.02)*Tabla1[[#This Row],[PRECIO $]]*1.18</f>
        <v>2862.1607999999997</v>
      </c>
      <c r="J1692" s="7">
        <f>+Tabla1[[#This Row],[PRECIO EN SOLES]]-Tabla1[[#This Row],[PC]]</f>
        <v>437.31920000000036</v>
      </c>
      <c r="K1692" s="15"/>
      <c r="L1692" s="15" t="str">
        <f t="shared" si="54"/>
        <v>GANCHO</v>
      </c>
    </row>
    <row r="1693" spans="1:12" x14ac:dyDescent="0.25">
      <c r="A1693" s="3" t="s">
        <v>2596</v>
      </c>
      <c r="B1693" s="3" t="s">
        <v>2597</v>
      </c>
      <c r="C1693" s="1">
        <v>20</v>
      </c>
      <c r="D1693" s="1">
        <v>400</v>
      </c>
      <c r="E1693" s="1" t="s">
        <v>54</v>
      </c>
      <c r="F1693" s="1" t="s">
        <v>4099</v>
      </c>
      <c r="G1693" s="3"/>
      <c r="H1693" s="11">
        <f t="shared" si="55"/>
        <v>1896.94</v>
      </c>
      <c r="I1693" s="9">
        <f>($K$2+0.02)*Tabla1[[#This Row],[PRECIO $]]*1.18</f>
        <v>1642.56</v>
      </c>
      <c r="J1693" s="7">
        <f>+Tabla1[[#This Row],[PRECIO EN SOLES]]-Tabla1[[#This Row],[PC]]</f>
        <v>254.38000000000011</v>
      </c>
      <c r="K1693" s="15"/>
      <c r="L1693" s="15" t="str">
        <f t="shared" si="54"/>
        <v>COMPLEMENTO</v>
      </c>
    </row>
    <row r="1694" spans="1:12" x14ac:dyDescent="0.25">
      <c r="A1694" s="3" t="s">
        <v>2598</v>
      </c>
      <c r="B1694" s="3" t="s">
        <v>2599</v>
      </c>
      <c r="C1694" s="1">
        <v>1</v>
      </c>
      <c r="D1694" s="1">
        <v>200</v>
      </c>
      <c r="E1694" s="1" t="s">
        <v>57</v>
      </c>
      <c r="F1694" s="1" t="s">
        <v>4100</v>
      </c>
      <c r="G1694" s="3"/>
      <c r="H1694" s="11">
        <f t="shared" si="55"/>
        <v>922.41</v>
      </c>
      <c r="I1694" s="9">
        <f>($K$2+0.02)*Tabla1[[#This Row],[PRECIO $]]*1.18</f>
        <v>821.28</v>
      </c>
      <c r="J1694" s="7">
        <f>+Tabla1[[#This Row],[PRECIO EN SOLES]]-Tabla1[[#This Row],[PC]]</f>
        <v>101.13</v>
      </c>
      <c r="K1694" s="15"/>
      <c r="L1694" s="15" t="str">
        <f t="shared" si="54"/>
        <v>NORMAL</v>
      </c>
    </row>
    <row r="1695" spans="1:12" x14ac:dyDescent="0.25">
      <c r="A1695" s="3" t="s">
        <v>2600</v>
      </c>
      <c r="B1695" s="3" t="s">
        <v>2601</v>
      </c>
      <c r="C1695" s="1">
        <v>17</v>
      </c>
      <c r="D1695" s="1">
        <v>2.5</v>
      </c>
      <c r="E1695" s="1" t="s">
        <v>54</v>
      </c>
      <c r="F1695" s="1" t="s">
        <v>4101</v>
      </c>
      <c r="G1695" s="3" t="s">
        <v>2602</v>
      </c>
      <c r="H1695" s="11">
        <f t="shared" si="55"/>
        <v>14.33</v>
      </c>
      <c r="I1695" s="9">
        <f>($K$2+0.02)*Tabla1[[#This Row],[PRECIO $]]*1.18</f>
        <v>10.265999999999998</v>
      </c>
      <c r="J1695" s="7">
        <f>+Tabla1[[#This Row],[PRECIO EN SOLES]]-Tabla1[[#This Row],[PC]]</f>
        <v>4.0640000000000018</v>
      </c>
      <c r="K1695" s="15"/>
      <c r="L1695" s="15" t="str">
        <f t="shared" si="54"/>
        <v>NORMAL</v>
      </c>
    </row>
    <row r="1696" spans="1:12" x14ac:dyDescent="0.25">
      <c r="A1696" s="3" t="s">
        <v>2603</v>
      </c>
      <c r="B1696" s="3" t="s">
        <v>2604</v>
      </c>
      <c r="C1696" s="1">
        <v>20</v>
      </c>
      <c r="D1696" s="1">
        <v>100</v>
      </c>
      <c r="E1696" s="1" t="s">
        <v>54</v>
      </c>
      <c r="F1696" s="1" t="s">
        <v>4102</v>
      </c>
      <c r="G1696" s="3" t="s">
        <v>2605</v>
      </c>
      <c r="H1696" s="11">
        <f t="shared" si="55"/>
        <v>480.24</v>
      </c>
      <c r="I1696" s="9">
        <f>($K$2+0.02)*Tabla1[[#This Row],[PRECIO $]]*1.18</f>
        <v>410.64</v>
      </c>
      <c r="J1696" s="7">
        <f>+Tabla1[[#This Row],[PRECIO EN SOLES]]-Tabla1[[#This Row],[PC]]</f>
        <v>69.600000000000023</v>
      </c>
      <c r="K1696" s="15"/>
      <c r="L1696" s="15" t="str">
        <f t="shared" si="54"/>
        <v>NORMAL</v>
      </c>
    </row>
    <row r="1697" spans="1:12" x14ac:dyDescent="0.25">
      <c r="A1697" s="3" t="s">
        <v>3010</v>
      </c>
      <c r="B1697" s="3" t="s">
        <v>3011</v>
      </c>
      <c r="C1697" s="1">
        <v>20</v>
      </c>
      <c r="D1697" s="1">
        <v>8</v>
      </c>
      <c r="E1697" s="1" t="s">
        <v>54</v>
      </c>
      <c r="F1697" s="1" t="s">
        <v>4103</v>
      </c>
      <c r="G1697" s="3"/>
      <c r="H1697" s="11">
        <f t="shared" si="55"/>
        <v>41.78</v>
      </c>
      <c r="I1697" s="9">
        <f>($K$2+0.02)*Tabla1[[#This Row],[PRECIO $]]*1.18</f>
        <v>32.851199999999999</v>
      </c>
      <c r="J1697" s="7">
        <f>+Tabla1[[#This Row],[PRECIO EN SOLES]]-Tabla1[[#This Row],[PC]]</f>
        <v>8.9288000000000025</v>
      </c>
      <c r="K1697" s="15"/>
      <c r="L1697" s="15" t="str">
        <f t="shared" si="54"/>
        <v>COMPLEMENTO</v>
      </c>
    </row>
    <row r="1698" spans="1:12" x14ac:dyDescent="0.25">
      <c r="A1698" s="3" t="s">
        <v>2606</v>
      </c>
      <c r="B1698" s="3" t="s">
        <v>2607</v>
      </c>
      <c r="C1698" s="1">
        <v>7</v>
      </c>
      <c r="D1698" s="1">
        <v>40</v>
      </c>
      <c r="E1698" s="1" t="s">
        <v>838</v>
      </c>
      <c r="F1698" s="1" t="s">
        <v>4104</v>
      </c>
      <c r="G1698" s="3" t="s">
        <v>2608</v>
      </c>
      <c r="H1698" s="11">
        <f t="shared" si="55"/>
        <v>196.89</v>
      </c>
      <c r="I1698" s="9">
        <f>($K$2+0.02)*Tabla1[[#This Row],[PRECIO $]]*1.18</f>
        <v>164.25599999999997</v>
      </c>
      <c r="J1698" s="7">
        <f>+Tabla1[[#This Row],[PRECIO EN SOLES]]-Tabla1[[#This Row],[PC]]</f>
        <v>32.634000000000015</v>
      </c>
      <c r="K1698" s="15"/>
      <c r="L1698" s="15" t="str">
        <f t="shared" si="54"/>
        <v>COMPLEMENTO</v>
      </c>
    </row>
    <row r="1699" spans="1:12" x14ac:dyDescent="0.25">
      <c r="A1699" s="3" t="s">
        <v>2609</v>
      </c>
      <c r="B1699" s="3" t="s">
        <v>2610</v>
      </c>
      <c r="C1699" s="1">
        <v>12</v>
      </c>
      <c r="D1699" s="1">
        <v>7</v>
      </c>
      <c r="E1699" s="1" t="s">
        <v>54</v>
      </c>
      <c r="F1699" s="1" t="s">
        <v>4105</v>
      </c>
      <c r="G1699" s="3" t="s">
        <v>2611</v>
      </c>
      <c r="H1699" s="11">
        <f t="shared" si="55"/>
        <v>38.93</v>
      </c>
      <c r="I1699" s="9">
        <f>($K$2+0.02)*Tabla1[[#This Row],[PRECIO $]]*1.18</f>
        <v>28.744799999999998</v>
      </c>
      <c r="J1699" s="7">
        <f>+Tabla1[[#This Row],[PRECIO EN SOLES]]-Tabla1[[#This Row],[PC]]</f>
        <v>10.185200000000002</v>
      </c>
      <c r="K1699" s="15"/>
      <c r="L1699" s="15" t="str">
        <f t="shared" si="54"/>
        <v>NORMAL</v>
      </c>
    </row>
    <row r="1700" spans="1:12" x14ac:dyDescent="0.25">
      <c r="A1700" s="3" t="s">
        <v>5072</v>
      </c>
      <c r="B1700" s="3" t="s">
        <v>5073</v>
      </c>
      <c r="C1700" s="1">
        <v>2</v>
      </c>
      <c r="D1700" s="1">
        <v>110</v>
      </c>
      <c r="E1700" s="1" t="s">
        <v>838</v>
      </c>
      <c r="F1700" s="1" t="s">
        <v>5074</v>
      </c>
      <c r="G1700" s="3" t="s">
        <v>5075</v>
      </c>
      <c r="H1700" s="11">
        <f t="shared" si="55"/>
        <v>569.63</v>
      </c>
      <c r="I1700" s="9">
        <f>($K$2+0.02)*Tabla1[[#This Row],[PRECIO $]]*1.18</f>
        <v>451.70400000000001</v>
      </c>
      <c r="J1700" s="7">
        <f>+Tabla1[[#This Row],[PRECIO EN SOLES]]-Tabla1[[#This Row],[PC]]</f>
        <v>117.92599999999999</v>
      </c>
      <c r="K1700" s="15"/>
      <c r="L1700" s="15" t="str">
        <f t="shared" si="54"/>
        <v>COMPLEMENTO</v>
      </c>
    </row>
    <row r="1701" spans="1:12" x14ac:dyDescent="0.25">
      <c r="A1701" s="3" t="s">
        <v>5076</v>
      </c>
      <c r="B1701" s="3" t="s">
        <v>5077</v>
      </c>
      <c r="C1701" s="1">
        <v>4</v>
      </c>
      <c r="D1701" s="1">
        <v>96</v>
      </c>
      <c r="E1701" s="1" t="s">
        <v>838</v>
      </c>
      <c r="F1701" s="1" t="s">
        <v>5078</v>
      </c>
      <c r="G1701" s="3" t="s">
        <v>5079</v>
      </c>
      <c r="H1701" s="11">
        <f t="shared" si="55"/>
        <v>461.35</v>
      </c>
      <c r="I1701" s="9">
        <f>($K$2+0.02)*Tabla1[[#This Row],[PRECIO $]]*1.18</f>
        <v>394.21439999999996</v>
      </c>
      <c r="J1701" s="7">
        <f>+Tabla1[[#This Row],[PRECIO EN SOLES]]-Tabla1[[#This Row],[PC]]</f>
        <v>67.135600000000068</v>
      </c>
      <c r="K1701" s="15"/>
      <c r="L1701" s="15" t="str">
        <f t="shared" si="54"/>
        <v>NORMAL</v>
      </c>
    </row>
    <row r="1702" spans="1:12" x14ac:dyDescent="0.25">
      <c r="A1702" s="3" t="s">
        <v>2612</v>
      </c>
      <c r="B1702" s="3" t="s">
        <v>2613</v>
      </c>
      <c r="C1702" s="1">
        <v>3</v>
      </c>
      <c r="D1702" s="1">
        <v>18.399999999999999</v>
      </c>
      <c r="E1702" s="1" t="s">
        <v>54</v>
      </c>
      <c r="F1702" s="1" t="s">
        <v>4106</v>
      </c>
      <c r="G1702" s="3" t="s">
        <v>2614</v>
      </c>
      <c r="H1702" s="11">
        <f t="shared" si="55"/>
        <v>98.45</v>
      </c>
      <c r="I1702" s="9">
        <f>($K$2+0.02)*Tabla1[[#This Row],[PRECIO $]]*1.18</f>
        <v>75.557759999999988</v>
      </c>
      <c r="J1702" s="7">
        <f>+Tabla1[[#This Row],[PRECIO EN SOLES]]-Tabla1[[#This Row],[PC]]</f>
        <v>22.892240000000015</v>
      </c>
      <c r="K1702" s="15"/>
      <c r="L1702" s="15" t="str">
        <f t="shared" si="54"/>
        <v>NORMAL</v>
      </c>
    </row>
    <row r="1703" spans="1:12" x14ac:dyDescent="0.25">
      <c r="A1703" s="3" t="s">
        <v>2615</v>
      </c>
      <c r="B1703" s="3" t="s">
        <v>2616</v>
      </c>
      <c r="C1703" s="1">
        <v>10</v>
      </c>
      <c r="D1703" s="1">
        <v>6.4</v>
      </c>
      <c r="E1703" s="1" t="s">
        <v>54</v>
      </c>
      <c r="F1703" s="1" t="s">
        <v>4107</v>
      </c>
      <c r="G1703" s="3" t="s">
        <v>2617</v>
      </c>
      <c r="H1703" s="11">
        <f t="shared" si="55"/>
        <v>32.22</v>
      </c>
      <c r="I1703" s="9">
        <f>($K$2+0.02)*Tabla1[[#This Row],[PRECIO $]]*1.18</f>
        <v>26.28096</v>
      </c>
      <c r="J1703" s="7">
        <f>+Tabla1[[#This Row],[PRECIO EN SOLES]]-Tabla1[[#This Row],[PC]]</f>
        <v>5.9390399999999985</v>
      </c>
      <c r="K1703" s="15"/>
      <c r="L1703" s="15" t="str">
        <f t="shared" si="54"/>
        <v>COMPLEMENTO</v>
      </c>
    </row>
    <row r="1704" spans="1:12" x14ac:dyDescent="0.25">
      <c r="A1704" s="3" t="s">
        <v>2618</v>
      </c>
      <c r="B1704" s="3" t="s">
        <v>2619</v>
      </c>
      <c r="C1704" s="1">
        <v>1</v>
      </c>
      <c r="D1704" s="1">
        <v>2.54</v>
      </c>
      <c r="E1704" s="1" t="s">
        <v>54</v>
      </c>
      <c r="F1704" s="1" t="s">
        <v>4108</v>
      </c>
      <c r="G1704" s="3" t="s">
        <v>2620</v>
      </c>
      <c r="H1704" s="11">
        <f t="shared" si="55"/>
        <v>13.99</v>
      </c>
      <c r="I1704" s="9">
        <f>($K$2+0.02)*Tabla1[[#This Row],[PRECIO $]]*1.18</f>
        <v>10.430256</v>
      </c>
      <c r="J1704" s="7">
        <f>+Tabla1[[#This Row],[PRECIO EN SOLES]]-Tabla1[[#This Row],[PC]]</f>
        <v>3.5597440000000002</v>
      </c>
      <c r="K1704" s="15"/>
      <c r="L1704" s="15" t="str">
        <f t="shared" si="54"/>
        <v>COMPLEMENTO</v>
      </c>
    </row>
    <row r="1705" spans="1:12" x14ac:dyDescent="0.25">
      <c r="A1705" s="3" t="s">
        <v>4541</v>
      </c>
      <c r="B1705" s="3" t="s">
        <v>4542</v>
      </c>
      <c r="C1705" s="1">
        <v>20</v>
      </c>
      <c r="D1705" s="1">
        <v>10</v>
      </c>
      <c r="E1705" s="1" t="s">
        <v>838</v>
      </c>
      <c r="F1705" s="1" t="s">
        <v>4543</v>
      </c>
      <c r="G1705" s="3" t="s">
        <v>4544</v>
      </c>
      <c r="H1705" s="11">
        <f t="shared" si="55"/>
        <v>54.33</v>
      </c>
      <c r="I1705" s="9">
        <f>($K$2+0.02)*Tabla1[[#This Row],[PRECIO $]]*1.18</f>
        <v>41.063999999999993</v>
      </c>
      <c r="J1705" s="7">
        <f>+Tabla1[[#This Row],[PRECIO EN SOLES]]-Tabla1[[#This Row],[PC]]</f>
        <v>13.266000000000005</v>
      </c>
      <c r="K1705" s="15"/>
      <c r="L1705" s="15" t="str">
        <f t="shared" si="54"/>
        <v>COMPLEMENTO</v>
      </c>
    </row>
    <row r="1706" spans="1:12" x14ac:dyDescent="0.25">
      <c r="A1706" s="3" t="s">
        <v>2621</v>
      </c>
      <c r="B1706" s="3" t="s">
        <v>2622</v>
      </c>
      <c r="C1706" s="1">
        <v>12</v>
      </c>
      <c r="D1706" s="1">
        <v>22</v>
      </c>
      <c r="E1706" s="1" t="s">
        <v>838</v>
      </c>
      <c r="F1706" s="1" t="s">
        <v>4109</v>
      </c>
      <c r="G1706" s="3" t="s">
        <v>2623</v>
      </c>
      <c r="H1706" s="11">
        <f t="shared" si="55"/>
        <v>116.93</v>
      </c>
      <c r="I1706" s="9">
        <f>($K$2+0.02)*Tabla1[[#This Row],[PRECIO $]]*1.18</f>
        <v>90.340800000000002</v>
      </c>
      <c r="J1706" s="7">
        <f>+Tabla1[[#This Row],[PRECIO EN SOLES]]-Tabla1[[#This Row],[PC]]</f>
        <v>26.589200000000005</v>
      </c>
      <c r="K1706" s="15"/>
      <c r="L1706" s="15" t="str">
        <f t="shared" si="54"/>
        <v>COMPLEMENTO</v>
      </c>
    </row>
    <row r="1707" spans="1:12" x14ac:dyDescent="0.25">
      <c r="A1707" s="3" t="s">
        <v>2624</v>
      </c>
      <c r="B1707" s="3" t="s">
        <v>2625</v>
      </c>
      <c r="C1707" s="1">
        <v>9</v>
      </c>
      <c r="D1707" s="1">
        <v>29</v>
      </c>
      <c r="E1707" s="1" t="s">
        <v>838</v>
      </c>
      <c r="F1707" s="1" t="s">
        <v>4110</v>
      </c>
      <c r="G1707" s="3" t="s">
        <v>2626</v>
      </c>
      <c r="H1707" s="11">
        <f t="shared" si="55"/>
        <v>152.86000000000001</v>
      </c>
      <c r="I1707" s="9">
        <f>($K$2+0.02)*Tabla1[[#This Row],[PRECIO $]]*1.18</f>
        <v>119.0856</v>
      </c>
      <c r="J1707" s="7">
        <f>+Tabla1[[#This Row],[PRECIO EN SOLES]]-Tabla1[[#This Row],[PC]]</f>
        <v>33.774400000000014</v>
      </c>
      <c r="K1707" s="15"/>
      <c r="L1707" s="15" t="str">
        <f t="shared" si="54"/>
        <v>NORMAL</v>
      </c>
    </row>
    <row r="1708" spans="1:12" x14ac:dyDescent="0.25">
      <c r="A1708" s="3" t="s">
        <v>2627</v>
      </c>
      <c r="B1708" s="3" t="s">
        <v>2628</v>
      </c>
      <c r="C1708" s="1">
        <v>1</v>
      </c>
      <c r="D1708" s="1">
        <v>1</v>
      </c>
      <c r="E1708" s="1" t="s">
        <v>54</v>
      </c>
      <c r="F1708" s="1" t="s">
        <v>4111</v>
      </c>
      <c r="G1708" s="3" t="s">
        <v>2629</v>
      </c>
      <c r="H1708" s="11">
        <f t="shared" si="55"/>
        <v>6.63</v>
      </c>
      <c r="I1708" s="9">
        <f>($K$2+0.02)*Tabla1[[#This Row],[PRECIO $]]*1.18</f>
        <v>4.1063999999999998</v>
      </c>
      <c r="J1708" s="7">
        <f>+Tabla1[[#This Row],[PRECIO EN SOLES]]-Tabla1[[#This Row],[PC]]</f>
        <v>2.5236000000000001</v>
      </c>
      <c r="K1708" s="15"/>
      <c r="L1708" s="15" t="str">
        <f t="shared" si="54"/>
        <v>COMPLEMENTO</v>
      </c>
    </row>
    <row r="1709" spans="1:12" x14ac:dyDescent="0.25">
      <c r="A1709" s="3" t="s">
        <v>6946</v>
      </c>
      <c r="B1709" s="3" t="s">
        <v>6947</v>
      </c>
      <c r="C1709" s="1">
        <v>0</v>
      </c>
      <c r="D1709" s="1">
        <v>39</v>
      </c>
      <c r="E1709" s="1" t="s">
        <v>837</v>
      </c>
      <c r="F1709" s="1" t="s">
        <v>6948</v>
      </c>
      <c r="G1709" s="3" t="s">
        <v>6949</v>
      </c>
      <c r="H1709" s="11">
        <f t="shared" si="55"/>
        <v>192.17</v>
      </c>
      <c r="I1709" s="9">
        <f>($K$2+0.02)*Tabla1[[#This Row],[PRECIO $]]*1.18</f>
        <v>160.14959999999999</v>
      </c>
      <c r="J1709" s="7">
        <f>+Tabla1[[#This Row],[PRECIO EN SOLES]]-Tabla1[[#This Row],[PC]]</f>
        <v>32.020399999999995</v>
      </c>
      <c r="K1709" s="15"/>
      <c r="L1709" s="15" t="str">
        <f t="shared" si="54"/>
        <v>COMPLEMENTO</v>
      </c>
    </row>
    <row r="1710" spans="1:12" x14ac:dyDescent="0.25">
      <c r="A1710" s="3" t="s">
        <v>567</v>
      </c>
      <c r="B1710" s="3" t="s">
        <v>568</v>
      </c>
      <c r="C1710" s="1">
        <v>20</v>
      </c>
      <c r="D1710" s="1">
        <v>9.6999999999999993</v>
      </c>
      <c r="E1710" s="1" t="s">
        <v>52</v>
      </c>
      <c r="F1710" s="1" t="s">
        <v>4112</v>
      </c>
      <c r="G1710" s="3" t="s">
        <v>569</v>
      </c>
      <c r="H1710" s="11">
        <f t="shared" si="55"/>
        <v>52.79</v>
      </c>
      <c r="I1710" s="9">
        <f>($K$2+0.02)*Tabla1[[#This Row],[PRECIO $]]*1.18</f>
        <v>39.832079999999998</v>
      </c>
      <c r="J1710" s="7">
        <f>+Tabla1[[#This Row],[PRECIO EN SOLES]]-Tabla1[[#This Row],[PC]]</f>
        <v>12.957920000000001</v>
      </c>
      <c r="K1710" s="15"/>
      <c r="L1710" s="15" t="str">
        <f t="shared" si="54"/>
        <v>COMPLEMENTO</v>
      </c>
    </row>
    <row r="1711" spans="1:12" x14ac:dyDescent="0.25">
      <c r="A1711" s="3" t="s">
        <v>2630</v>
      </c>
      <c r="B1711" s="3" t="s">
        <v>2631</v>
      </c>
      <c r="C1711" s="1">
        <v>20</v>
      </c>
      <c r="D1711" s="1">
        <v>8.6999999999999993</v>
      </c>
      <c r="E1711" s="1" t="s">
        <v>52</v>
      </c>
      <c r="F1711" s="1" t="s">
        <v>4113</v>
      </c>
      <c r="G1711" s="3" t="s">
        <v>2632</v>
      </c>
      <c r="H1711" s="11">
        <f t="shared" si="55"/>
        <v>47.66</v>
      </c>
      <c r="I1711" s="9">
        <f>($K$2+0.02)*Tabla1[[#This Row],[PRECIO $]]*1.18</f>
        <v>35.725679999999997</v>
      </c>
      <c r="J1711" s="7">
        <f>+Tabla1[[#This Row],[PRECIO EN SOLES]]-Tabla1[[#This Row],[PC]]</f>
        <v>11.93432</v>
      </c>
      <c r="K1711" s="15"/>
      <c r="L1711" s="15" t="str">
        <f t="shared" si="54"/>
        <v>COMPLEMENTO</v>
      </c>
    </row>
    <row r="1712" spans="1:12" x14ac:dyDescent="0.25">
      <c r="A1712" s="3" t="s">
        <v>2633</v>
      </c>
      <c r="B1712" s="3" t="s">
        <v>2631</v>
      </c>
      <c r="C1712" s="1">
        <v>20</v>
      </c>
      <c r="D1712" s="1">
        <v>14.3</v>
      </c>
      <c r="E1712" s="1" t="s">
        <v>52</v>
      </c>
      <c r="F1712" s="1" t="s">
        <v>4114</v>
      </c>
      <c r="G1712" s="3" t="s">
        <v>2634</v>
      </c>
      <c r="H1712" s="11">
        <f t="shared" si="55"/>
        <v>76.400000000000006</v>
      </c>
      <c r="I1712" s="9">
        <f>($K$2+0.02)*Tabla1[[#This Row],[PRECIO $]]*1.18</f>
        <v>58.721519999999998</v>
      </c>
      <c r="J1712" s="7">
        <f>+Tabla1[[#This Row],[PRECIO EN SOLES]]-Tabla1[[#This Row],[PC]]</f>
        <v>17.678480000000008</v>
      </c>
      <c r="K1712" s="15"/>
      <c r="L1712" s="15" t="str">
        <f t="shared" si="54"/>
        <v>COMPLEMENTO</v>
      </c>
    </row>
    <row r="1713" spans="1:12" x14ac:dyDescent="0.25">
      <c r="A1713" s="3" t="s">
        <v>570</v>
      </c>
      <c r="B1713" s="3" t="s">
        <v>571</v>
      </c>
      <c r="C1713" s="1">
        <v>0</v>
      </c>
      <c r="D1713" s="1">
        <v>15.5</v>
      </c>
      <c r="E1713" s="1" t="s">
        <v>52</v>
      </c>
      <c r="F1713" s="1" t="s">
        <v>4115</v>
      </c>
      <c r="G1713" s="3" t="s">
        <v>572</v>
      </c>
      <c r="H1713" s="11">
        <f t="shared" si="55"/>
        <v>83.56</v>
      </c>
      <c r="I1713" s="9">
        <f>($K$2+0.02)*Tabla1[[#This Row],[PRECIO $]]*1.18</f>
        <v>63.649199999999993</v>
      </c>
      <c r="J1713" s="7">
        <f>+Tabla1[[#This Row],[PRECIO EN SOLES]]-Tabla1[[#This Row],[PC]]</f>
        <v>19.910800000000009</v>
      </c>
      <c r="K1713" s="15"/>
      <c r="L1713" s="15" t="str">
        <f t="shared" si="54"/>
        <v>COMPLEMENTO</v>
      </c>
    </row>
    <row r="1714" spans="1:12" x14ac:dyDescent="0.25">
      <c r="A1714" s="3" t="s">
        <v>573</v>
      </c>
      <c r="B1714" s="3" t="s">
        <v>574</v>
      </c>
      <c r="C1714" s="1">
        <v>20</v>
      </c>
      <c r="D1714" s="1">
        <v>5.3</v>
      </c>
      <c r="E1714" s="1" t="s">
        <v>52</v>
      </c>
      <c r="F1714" s="1" t="s">
        <v>4116</v>
      </c>
      <c r="G1714" s="3" t="s">
        <v>575</v>
      </c>
      <c r="H1714" s="11">
        <f t="shared" si="55"/>
        <v>28.7</v>
      </c>
      <c r="I1714" s="9">
        <f>($K$2+0.02)*Tabla1[[#This Row],[PRECIO $]]*1.18</f>
        <v>21.763919999999999</v>
      </c>
      <c r="J1714" s="7">
        <f>+Tabla1[[#This Row],[PRECIO EN SOLES]]-Tabla1[[#This Row],[PC]]</f>
        <v>6.9360800000000005</v>
      </c>
      <c r="K1714" s="15"/>
      <c r="L1714" s="15" t="str">
        <f t="shared" si="54"/>
        <v>COMPLEMENTO</v>
      </c>
    </row>
    <row r="1715" spans="1:12" x14ac:dyDescent="0.25">
      <c r="A1715" s="3" t="s">
        <v>576</v>
      </c>
      <c r="B1715" s="3" t="s">
        <v>577</v>
      </c>
      <c r="C1715" s="1">
        <v>20</v>
      </c>
      <c r="D1715" s="1">
        <v>15.5</v>
      </c>
      <c r="E1715" s="1" t="s">
        <v>52</v>
      </c>
      <c r="F1715" s="1" t="s">
        <v>4117</v>
      </c>
      <c r="G1715" s="3" t="s">
        <v>578</v>
      </c>
      <c r="H1715" s="11">
        <f t="shared" si="55"/>
        <v>83.56</v>
      </c>
      <c r="I1715" s="9">
        <f>($K$2+0.02)*Tabla1[[#This Row],[PRECIO $]]*1.18</f>
        <v>63.649199999999993</v>
      </c>
      <c r="J1715" s="7">
        <f>+Tabla1[[#This Row],[PRECIO EN SOLES]]-Tabla1[[#This Row],[PC]]</f>
        <v>19.910800000000009</v>
      </c>
      <c r="K1715" s="15"/>
      <c r="L1715" s="15" t="str">
        <f t="shared" si="54"/>
        <v>COMPLEMENTO</v>
      </c>
    </row>
    <row r="1716" spans="1:12" x14ac:dyDescent="0.25">
      <c r="A1716" s="3" t="s">
        <v>5080</v>
      </c>
      <c r="B1716" s="3" t="s">
        <v>5081</v>
      </c>
      <c r="C1716" s="1">
        <v>20</v>
      </c>
      <c r="D1716" s="1">
        <v>10</v>
      </c>
      <c r="E1716" s="1" t="s">
        <v>52</v>
      </c>
      <c r="F1716" s="1" t="s">
        <v>5082</v>
      </c>
      <c r="G1716" s="3" t="s">
        <v>5083</v>
      </c>
      <c r="H1716" s="11">
        <f t="shared" si="55"/>
        <v>54.33</v>
      </c>
      <c r="I1716" s="9">
        <f>($K$2+0.02)*Tabla1[[#This Row],[PRECIO $]]*1.18</f>
        <v>41.063999999999993</v>
      </c>
      <c r="J1716" s="7">
        <f>+Tabla1[[#This Row],[PRECIO EN SOLES]]-Tabla1[[#This Row],[PC]]</f>
        <v>13.266000000000005</v>
      </c>
      <c r="K1716" s="15"/>
      <c r="L1716" s="15" t="str">
        <f t="shared" si="54"/>
        <v>COMPLEMENTO</v>
      </c>
    </row>
    <row r="1717" spans="1:12" x14ac:dyDescent="0.25">
      <c r="A1717" s="3" t="s">
        <v>579</v>
      </c>
      <c r="B1717" s="3" t="s">
        <v>580</v>
      </c>
      <c r="C1717" s="1">
        <v>0</v>
      </c>
      <c r="D1717" s="1">
        <v>6.6</v>
      </c>
      <c r="E1717" s="1" t="s">
        <v>52</v>
      </c>
      <c r="F1717" s="1" t="s">
        <v>4118</v>
      </c>
      <c r="G1717" s="3" t="s">
        <v>581</v>
      </c>
      <c r="H1717" s="11">
        <f t="shared" si="55"/>
        <v>36.880000000000003</v>
      </c>
      <c r="I1717" s="9">
        <f>($K$2+0.02)*Tabla1[[#This Row],[PRECIO $]]*1.18</f>
        <v>27.102239999999998</v>
      </c>
      <c r="J1717" s="7">
        <f>+Tabla1[[#This Row],[PRECIO EN SOLES]]-Tabla1[[#This Row],[PC]]</f>
        <v>9.7777600000000042</v>
      </c>
      <c r="K1717" s="15"/>
      <c r="L1717" s="15" t="str">
        <f t="shared" si="54"/>
        <v>COMPLEMENTO</v>
      </c>
    </row>
    <row r="1718" spans="1:12" x14ac:dyDescent="0.25">
      <c r="A1718" s="3" t="s">
        <v>582</v>
      </c>
      <c r="B1718" s="3" t="s">
        <v>583</v>
      </c>
      <c r="C1718" s="1">
        <v>0</v>
      </c>
      <c r="D1718" s="1">
        <v>4.59</v>
      </c>
      <c r="E1718" s="1" t="s">
        <v>52</v>
      </c>
      <c r="F1718" s="1" t="s">
        <v>4119</v>
      </c>
      <c r="G1718" s="3" t="s">
        <v>584</v>
      </c>
      <c r="H1718" s="11">
        <f t="shared" si="55"/>
        <v>25.06</v>
      </c>
      <c r="I1718" s="9">
        <f>($K$2+0.02)*Tabla1[[#This Row],[PRECIO $]]*1.18</f>
        <v>18.848375999999998</v>
      </c>
      <c r="J1718" s="7">
        <f>+Tabla1[[#This Row],[PRECIO EN SOLES]]-Tabla1[[#This Row],[PC]]</f>
        <v>6.2116240000000005</v>
      </c>
      <c r="K1718" s="15"/>
      <c r="L1718" s="15" t="str">
        <f t="shared" si="54"/>
        <v>COMPLEMENTO</v>
      </c>
    </row>
    <row r="1719" spans="1:12" x14ac:dyDescent="0.25">
      <c r="A1719" s="3" t="s">
        <v>585</v>
      </c>
      <c r="B1719" s="3" t="s">
        <v>586</v>
      </c>
      <c r="C1719" s="1">
        <v>0</v>
      </c>
      <c r="D1719" s="1">
        <v>6.3</v>
      </c>
      <c r="E1719" s="1" t="s">
        <v>52</v>
      </c>
      <c r="F1719" s="1" t="s">
        <v>4120</v>
      </c>
      <c r="G1719" s="3" t="s">
        <v>587</v>
      </c>
      <c r="H1719" s="11">
        <f t="shared" si="55"/>
        <v>35.340000000000003</v>
      </c>
      <c r="I1719" s="9">
        <f>($K$2+0.02)*Tabla1[[#This Row],[PRECIO $]]*1.18</f>
        <v>25.87032</v>
      </c>
      <c r="J1719" s="7">
        <f>+Tabla1[[#This Row],[PRECIO EN SOLES]]-Tabla1[[#This Row],[PC]]</f>
        <v>9.4696800000000039</v>
      </c>
      <c r="K1719" s="15"/>
      <c r="L1719" s="15" t="str">
        <f t="shared" si="54"/>
        <v>COMPLEMENTO</v>
      </c>
    </row>
    <row r="1720" spans="1:12" x14ac:dyDescent="0.25">
      <c r="A1720" s="3" t="s">
        <v>588</v>
      </c>
      <c r="B1720" s="3" t="s">
        <v>589</v>
      </c>
      <c r="C1720" s="1">
        <v>0</v>
      </c>
      <c r="D1720" s="1">
        <v>6.5</v>
      </c>
      <c r="E1720" s="1" t="s">
        <v>52</v>
      </c>
      <c r="F1720" s="1" t="s">
        <v>4121</v>
      </c>
      <c r="G1720" s="3" t="s">
        <v>590</v>
      </c>
      <c r="H1720" s="11">
        <f t="shared" si="55"/>
        <v>36.36</v>
      </c>
      <c r="I1720" s="9">
        <f>($K$2+0.02)*Tabla1[[#This Row],[PRECIO $]]*1.18</f>
        <v>26.691600000000001</v>
      </c>
      <c r="J1720" s="7">
        <f>+Tabla1[[#This Row],[PRECIO EN SOLES]]-Tabla1[[#This Row],[PC]]</f>
        <v>9.6683999999999983</v>
      </c>
      <c r="K1720" s="15"/>
      <c r="L1720" s="15" t="str">
        <f t="shared" si="54"/>
        <v>NORMAL</v>
      </c>
    </row>
    <row r="1721" spans="1:12" x14ac:dyDescent="0.25">
      <c r="A1721" s="3" t="s">
        <v>2635</v>
      </c>
      <c r="B1721" s="3" t="s">
        <v>2636</v>
      </c>
      <c r="C1721" s="1">
        <v>0</v>
      </c>
      <c r="D1721" s="1">
        <v>9999999.9900000002</v>
      </c>
      <c r="E1721" s="1" t="s">
        <v>187</v>
      </c>
      <c r="F1721" s="1" t="s">
        <v>4122</v>
      </c>
      <c r="G1721" s="3"/>
      <c r="H1721" s="11">
        <f t="shared" si="55"/>
        <v>51330004.950000003</v>
      </c>
      <c r="I1721" s="9">
        <f>($K$2+0.02)*Tabla1[[#This Row],[PRECIO $]]*1.18</f>
        <v>41063999.958935998</v>
      </c>
      <c r="J1721" s="7">
        <f>+Tabla1[[#This Row],[PRECIO EN SOLES]]-Tabla1[[#This Row],[PC]]</f>
        <v>10266004.991064005</v>
      </c>
      <c r="K1721" s="15"/>
      <c r="L1721" s="15" t="str">
        <f t="shared" si="54"/>
        <v>NORMAL</v>
      </c>
    </row>
    <row r="1722" spans="1:12" x14ac:dyDescent="0.25">
      <c r="A1722" s="3" t="s">
        <v>591</v>
      </c>
      <c r="B1722" s="3" t="s">
        <v>592</v>
      </c>
      <c r="C1722" s="1">
        <v>20</v>
      </c>
      <c r="D1722" s="1">
        <v>8</v>
      </c>
      <c r="E1722" s="1" t="s">
        <v>52</v>
      </c>
      <c r="F1722" s="1" t="s">
        <v>4123</v>
      </c>
      <c r="G1722" s="3" t="s">
        <v>593</v>
      </c>
      <c r="H1722" s="11">
        <f t="shared" si="55"/>
        <v>41.78</v>
      </c>
      <c r="I1722" s="9">
        <f>($K$2+0.02)*Tabla1[[#This Row],[PRECIO $]]*1.18</f>
        <v>32.851199999999999</v>
      </c>
      <c r="J1722" s="7">
        <f>+Tabla1[[#This Row],[PRECIO EN SOLES]]-Tabla1[[#This Row],[PC]]</f>
        <v>8.9288000000000025</v>
      </c>
      <c r="K1722" s="15"/>
      <c r="L1722" s="15" t="str">
        <f t="shared" si="54"/>
        <v>NORMAL</v>
      </c>
    </row>
    <row r="1723" spans="1:12" x14ac:dyDescent="0.25">
      <c r="A1723" s="3" t="s">
        <v>2637</v>
      </c>
      <c r="B1723" s="3" t="s">
        <v>2638</v>
      </c>
      <c r="C1723" s="1">
        <v>20</v>
      </c>
      <c r="D1723" s="1">
        <v>19.3</v>
      </c>
      <c r="E1723" s="1" t="s">
        <v>52</v>
      </c>
      <c r="F1723" s="1" t="s">
        <v>4124</v>
      </c>
      <c r="G1723" s="3" t="s">
        <v>2639</v>
      </c>
      <c r="H1723" s="11">
        <f t="shared" si="55"/>
        <v>95.14</v>
      </c>
      <c r="I1723" s="9">
        <f>($K$2+0.02)*Tabla1[[#This Row],[PRECIO $]]*1.18</f>
        <v>79.253519999999995</v>
      </c>
      <c r="J1723" s="7">
        <f>+Tabla1[[#This Row],[PRECIO EN SOLES]]-Tabla1[[#This Row],[PC]]</f>
        <v>15.886480000000006</v>
      </c>
      <c r="K1723" s="15"/>
      <c r="L1723" s="15" t="str">
        <f t="shared" si="54"/>
        <v>NORMAL</v>
      </c>
    </row>
    <row r="1724" spans="1:12" x14ac:dyDescent="0.25">
      <c r="A1724" s="3" t="s">
        <v>2640</v>
      </c>
      <c r="B1724" s="3" t="s">
        <v>2641</v>
      </c>
      <c r="C1724" s="1">
        <v>1</v>
      </c>
      <c r="D1724" s="1">
        <v>145</v>
      </c>
      <c r="E1724" s="1" t="s">
        <v>57</v>
      </c>
      <c r="F1724" s="1" t="s">
        <v>4125</v>
      </c>
      <c r="G1724" s="3"/>
      <c r="H1724" s="11">
        <f t="shared" si="55"/>
        <v>692.74</v>
      </c>
      <c r="I1724" s="9">
        <f>($K$2+0.02)*Tabla1[[#This Row],[PRECIO $]]*1.18</f>
        <v>595.428</v>
      </c>
      <c r="J1724" s="7">
        <f>+Tabla1[[#This Row],[PRECIO EN SOLES]]-Tabla1[[#This Row],[PC]]</f>
        <v>97.312000000000012</v>
      </c>
      <c r="K1724" s="15"/>
      <c r="L1724" s="15" t="str">
        <f t="shared" si="54"/>
        <v>NORMAL</v>
      </c>
    </row>
    <row r="1725" spans="1:12" x14ac:dyDescent="0.25">
      <c r="A1725" s="3" t="s">
        <v>6950</v>
      </c>
      <c r="B1725" s="3" t="s">
        <v>6951</v>
      </c>
      <c r="C1725" s="1">
        <v>20</v>
      </c>
      <c r="D1725" s="1">
        <v>66.400000000000006</v>
      </c>
      <c r="E1725" s="1" t="s">
        <v>224</v>
      </c>
      <c r="F1725" s="1" t="s">
        <v>6952</v>
      </c>
      <c r="G1725" s="3" t="s">
        <v>6953</v>
      </c>
      <c r="H1725" s="11">
        <f t="shared" si="55"/>
        <v>321.56</v>
      </c>
      <c r="I1725" s="9">
        <f>($K$2+0.02)*Tabla1[[#This Row],[PRECIO $]]*1.18</f>
        <v>272.66496000000001</v>
      </c>
      <c r="J1725" s="7">
        <f>+Tabla1[[#This Row],[PRECIO EN SOLES]]-Tabla1[[#This Row],[PC]]</f>
        <v>48.895039999999995</v>
      </c>
      <c r="K1725" s="15"/>
      <c r="L1725" s="15" t="str">
        <f t="shared" si="54"/>
        <v>NORMAL</v>
      </c>
    </row>
    <row r="1726" spans="1:12" x14ac:dyDescent="0.25">
      <c r="A1726" s="3" t="s">
        <v>3012</v>
      </c>
      <c r="B1726" s="3" t="s">
        <v>3013</v>
      </c>
      <c r="C1726" s="1">
        <v>15</v>
      </c>
      <c r="D1726" s="1">
        <v>115</v>
      </c>
      <c r="E1726" s="1" t="s">
        <v>220</v>
      </c>
      <c r="F1726" s="1" t="s">
        <v>4126</v>
      </c>
      <c r="G1726" s="3" t="s">
        <v>3014</v>
      </c>
      <c r="H1726" s="11">
        <f t="shared" si="55"/>
        <v>551.07000000000005</v>
      </c>
      <c r="I1726" s="9">
        <f>($K$2+0.02)*Tabla1[[#This Row],[PRECIO $]]*1.18</f>
        <v>472.23599999999999</v>
      </c>
      <c r="J1726" s="7">
        <f>+Tabla1[[#This Row],[PRECIO EN SOLES]]-Tabla1[[#This Row],[PC]]</f>
        <v>78.83400000000006</v>
      </c>
      <c r="K1726" s="15"/>
      <c r="L1726" s="15" t="str">
        <f t="shared" si="54"/>
        <v>NORMAL</v>
      </c>
    </row>
    <row r="1727" spans="1:12" x14ac:dyDescent="0.25">
      <c r="A1727" s="3" t="s">
        <v>6954</v>
      </c>
      <c r="B1727" s="3" t="s">
        <v>6955</v>
      </c>
      <c r="C1727" s="1">
        <v>20</v>
      </c>
      <c r="D1727" s="1">
        <v>125</v>
      </c>
      <c r="E1727" s="1" t="s">
        <v>220</v>
      </c>
      <c r="F1727" s="1" t="s">
        <v>6956</v>
      </c>
      <c r="G1727" s="3" t="s">
        <v>6957</v>
      </c>
      <c r="H1727" s="11">
        <f t="shared" si="55"/>
        <v>598.29999999999995</v>
      </c>
      <c r="I1727" s="9">
        <f>($K$2+0.02)*Tabla1[[#This Row],[PRECIO $]]*1.18</f>
        <v>513.29999999999995</v>
      </c>
      <c r="J1727" s="7">
        <f>+Tabla1[[#This Row],[PRECIO EN SOLES]]-Tabla1[[#This Row],[PC]]</f>
        <v>85</v>
      </c>
      <c r="K1727" s="15"/>
      <c r="L1727" s="15" t="str">
        <f t="shared" si="54"/>
        <v>NORMAL</v>
      </c>
    </row>
    <row r="1728" spans="1:12" x14ac:dyDescent="0.25">
      <c r="A1728" s="3" t="s">
        <v>6958</v>
      </c>
      <c r="B1728" s="3" t="s">
        <v>6959</v>
      </c>
      <c r="C1728" s="1">
        <v>20</v>
      </c>
      <c r="D1728" s="1">
        <v>151.6</v>
      </c>
      <c r="E1728" s="1" t="s">
        <v>220</v>
      </c>
      <c r="F1728" s="1" t="s">
        <v>6960</v>
      </c>
      <c r="G1728" s="3" t="s">
        <v>6961</v>
      </c>
      <c r="H1728" s="11">
        <f t="shared" si="55"/>
        <v>723.91</v>
      </c>
      <c r="I1728" s="9">
        <f>($K$2+0.02)*Tabla1[[#This Row],[PRECIO $]]*1.18</f>
        <v>622.53023999999994</v>
      </c>
      <c r="J1728" s="7">
        <f>+Tabla1[[#This Row],[PRECIO EN SOLES]]-Tabla1[[#This Row],[PC]]</f>
        <v>101.37976000000003</v>
      </c>
      <c r="K1728" s="15"/>
      <c r="L1728" s="15" t="str">
        <f t="shared" si="54"/>
        <v>NORMAL</v>
      </c>
    </row>
    <row r="1729" spans="1:12" x14ac:dyDescent="0.25">
      <c r="A1729" s="3" t="s">
        <v>594</v>
      </c>
      <c r="B1729" s="3" t="s">
        <v>595</v>
      </c>
      <c r="C1729" s="1">
        <v>20</v>
      </c>
      <c r="D1729" s="1">
        <v>62</v>
      </c>
      <c r="E1729" s="1" t="s">
        <v>220</v>
      </c>
      <c r="F1729" s="1" t="s">
        <v>4127</v>
      </c>
      <c r="G1729" s="3" t="s">
        <v>596</v>
      </c>
      <c r="H1729" s="11">
        <f t="shared" si="55"/>
        <v>300.79000000000002</v>
      </c>
      <c r="I1729" s="9">
        <f>($K$2+0.02)*Tabla1[[#This Row],[PRECIO $]]*1.18</f>
        <v>254.59679999999997</v>
      </c>
      <c r="J1729" s="7">
        <f>+Tabla1[[#This Row],[PRECIO EN SOLES]]-Tabla1[[#This Row],[PC]]</f>
        <v>46.193200000000047</v>
      </c>
      <c r="K1729" s="15"/>
      <c r="L1729" s="15" t="str">
        <f t="shared" si="54"/>
        <v>NORMAL</v>
      </c>
    </row>
    <row r="1730" spans="1:12" x14ac:dyDescent="0.25">
      <c r="A1730" s="3" t="s">
        <v>2800</v>
      </c>
      <c r="B1730" s="3" t="s">
        <v>2654</v>
      </c>
      <c r="C1730" s="1">
        <v>20</v>
      </c>
      <c r="D1730" s="1">
        <v>78.099999999999994</v>
      </c>
      <c r="E1730" s="1" t="s">
        <v>220</v>
      </c>
      <c r="F1730" s="1" t="s">
        <v>4128</v>
      </c>
      <c r="G1730" s="3" t="s">
        <v>2801</v>
      </c>
      <c r="H1730" s="11">
        <f t="shared" si="55"/>
        <v>376.82</v>
      </c>
      <c r="I1730" s="9">
        <f>($K$2+0.02)*Tabla1[[#This Row],[PRECIO $]]*1.18</f>
        <v>320.70983999999993</v>
      </c>
      <c r="J1730" s="7">
        <f>+Tabla1[[#This Row],[PRECIO EN SOLES]]-Tabla1[[#This Row],[PC]]</f>
        <v>56.110160000000064</v>
      </c>
      <c r="K1730" s="15"/>
      <c r="L1730" s="15" t="str">
        <f t="shared" si="54"/>
        <v>NORMAL</v>
      </c>
    </row>
    <row r="1731" spans="1:12" x14ac:dyDescent="0.25">
      <c r="A1731" s="3" t="s">
        <v>2642</v>
      </c>
      <c r="B1731" s="3" t="s">
        <v>2643</v>
      </c>
      <c r="C1731" s="1">
        <v>20</v>
      </c>
      <c r="D1731" s="1">
        <v>56.6</v>
      </c>
      <c r="E1731" s="1" t="s">
        <v>220</v>
      </c>
      <c r="F1731" s="1" t="s">
        <v>4129</v>
      </c>
      <c r="G1731" s="3" t="s">
        <v>2644</v>
      </c>
      <c r="H1731" s="11">
        <f t="shared" si="55"/>
        <v>275.29000000000002</v>
      </c>
      <c r="I1731" s="9">
        <f>($K$2+0.02)*Tabla1[[#This Row],[PRECIO $]]*1.18</f>
        <v>232.42224000000002</v>
      </c>
      <c r="J1731" s="7">
        <f>+Tabla1[[#This Row],[PRECIO EN SOLES]]-Tabla1[[#This Row],[PC]]</f>
        <v>42.867760000000004</v>
      </c>
      <c r="K1731" s="15"/>
      <c r="L1731" s="15" t="str">
        <f t="shared" si="54"/>
        <v>NORMAL</v>
      </c>
    </row>
    <row r="1732" spans="1:12" x14ac:dyDescent="0.25">
      <c r="A1732" s="3" t="s">
        <v>5558</v>
      </c>
      <c r="B1732" s="3" t="s">
        <v>5559</v>
      </c>
      <c r="C1732" s="1">
        <v>20</v>
      </c>
      <c r="D1732" s="1">
        <v>132</v>
      </c>
      <c r="E1732" s="1" t="s">
        <v>58</v>
      </c>
      <c r="F1732" s="1" t="s">
        <v>5560</v>
      </c>
      <c r="G1732" s="3" t="s">
        <v>5561</v>
      </c>
      <c r="H1732" s="11">
        <f t="shared" si="55"/>
        <v>631.35</v>
      </c>
      <c r="I1732" s="9">
        <f>($K$2+0.02)*Tabla1[[#This Row],[PRECIO $]]*1.18</f>
        <v>542.04480000000001</v>
      </c>
      <c r="J1732" s="7">
        <f>+Tabla1[[#This Row],[PRECIO EN SOLES]]-Tabla1[[#This Row],[PC]]</f>
        <v>89.305200000000013</v>
      </c>
      <c r="K1732" s="15"/>
      <c r="L1732" s="15" t="str">
        <f t="shared" si="54"/>
        <v>NORMAL</v>
      </c>
    </row>
    <row r="1733" spans="1:12" x14ac:dyDescent="0.25">
      <c r="A1733" s="3" t="s">
        <v>3015</v>
      </c>
      <c r="B1733" s="3" t="s">
        <v>3016</v>
      </c>
      <c r="C1733" s="1">
        <v>20</v>
      </c>
      <c r="D1733" s="1">
        <v>56.5</v>
      </c>
      <c r="E1733" s="1" t="s">
        <v>224</v>
      </c>
      <c r="F1733" s="1" t="s">
        <v>4130</v>
      </c>
      <c r="G1733" s="3" t="s">
        <v>3017</v>
      </c>
      <c r="H1733" s="11">
        <f t="shared" si="55"/>
        <v>274.81</v>
      </c>
      <c r="I1733" s="9">
        <f>($K$2+0.02)*Tabla1[[#This Row],[PRECIO $]]*1.18</f>
        <v>232.01159999999999</v>
      </c>
      <c r="J1733" s="7">
        <f>+Tabla1[[#This Row],[PRECIO EN SOLES]]-Tabla1[[#This Row],[PC]]</f>
        <v>42.798400000000015</v>
      </c>
      <c r="K1733" s="15"/>
      <c r="L1733" s="15" t="str">
        <f t="shared" si="54"/>
        <v>NORMAL</v>
      </c>
    </row>
    <row r="1734" spans="1:12" x14ac:dyDescent="0.25">
      <c r="A1734" s="3" t="s">
        <v>5562</v>
      </c>
      <c r="B1734" s="3" t="s">
        <v>5563</v>
      </c>
      <c r="C1734" s="1">
        <v>20</v>
      </c>
      <c r="D1734" s="1">
        <v>182</v>
      </c>
      <c r="E1734" s="1" t="s">
        <v>58</v>
      </c>
      <c r="F1734" s="1" t="s">
        <v>5564</v>
      </c>
      <c r="G1734" s="3" t="s">
        <v>5565</v>
      </c>
      <c r="H1734" s="11">
        <f t="shared" si="55"/>
        <v>867.47</v>
      </c>
      <c r="I1734" s="9">
        <f>($K$2+0.02)*Tabla1[[#This Row],[PRECIO $]]*1.18</f>
        <v>747.36479999999995</v>
      </c>
      <c r="J1734" s="7">
        <f>+Tabla1[[#This Row],[PRECIO EN SOLES]]-Tabla1[[#This Row],[PC]]</f>
        <v>120.10520000000008</v>
      </c>
      <c r="K1734" s="15"/>
      <c r="L1734" s="15" t="str">
        <f t="shared" si="54"/>
        <v>NORMAL</v>
      </c>
    </row>
    <row r="1735" spans="1:12" x14ac:dyDescent="0.25">
      <c r="A1735" s="3" t="s">
        <v>6171</v>
      </c>
      <c r="B1735" s="3" t="s">
        <v>6172</v>
      </c>
      <c r="C1735" s="1">
        <v>13</v>
      </c>
      <c r="D1735" s="1">
        <v>164</v>
      </c>
      <c r="E1735" s="1" t="s">
        <v>224</v>
      </c>
      <c r="F1735" s="1" t="s">
        <v>6173</v>
      </c>
      <c r="G1735" s="3" t="s">
        <v>6174</v>
      </c>
      <c r="H1735" s="11">
        <f t="shared" si="55"/>
        <v>782.47</v>
      </c>
      <c r="I1735" s="9">
        <f>($K$2+0.02)*Tabla1[[#This Row],[PRECIO $]]*1.18</f>
        <v>673.44960000000003</v>
      </c>
      <c r="J1735" s="7">
        <f>+Tabla1[[#This Row],[PRECIO EN SOLES]]-Tabla1[[#This Row],[PC]]</f>
        <v>109.0204</v>
      </c>
      <c r="K1735" s="15"/>
      <c r="L1735" s="15" t="str">
        <f t="shared" si="54"/>
        <v>NORMAL</v>
      </c>
    </row>
    <row r="1736" spans="1:12" x14ac:dyDescent="0.25">
      <c r="A1736" s="3" t="s">
        <v>3018</v>
      </c>
      <c r="B1736" s="3" t="s">
        <v>3019</v>
      </c>
      <c r="C1736" s="1">
        <v>15</v>
      </c>
      <c r="D1736" s="1">
        <v>136</v>
      </c>
      <c r="E1736" s="1" t="s">
        <v>224</v>
      </c>
      <c r="F1736" s="1" t="s">
        <v>4131</v>
      </c>
      <c r="G1736" s="3" t="s">
        <v>3020</v>
      </c>
      <c r="H1736" s="11">
        <f t="shared" si="55"/>
        <v>650.24</v>
      </c>
      <c r="I1736" s="9">
        <f>($K$2+0.02)*Tabla1[[#This Row],[PRECIO $]]*1.18</f>
        <v>558.47039999999993</v>
      </c>
      <c r="J1736" s="7">
        <f>+Tabla1[[#This Row],[PRECIO EN SOLES]]-Tabla1[[#This Row],[PC]]</f>
        <v>91.769600000000082</v>
      </c>
      <c r="K1736" s="15"/>
      <c r="L1736" s="15" t="str">
        <f t="shared" si="54"/>
        <v>NORMAL</v>
      </c>
    </row>
    <row r="1737" spans="1:12" x14ac:dyDescent="0.25">
      <c r="A1737" s="3" t="s">
        <v>3021</v>
      </c>
      <c r="B1737" s="3" t="s">
        <v>3022</v>
      </c>
      <c r="C1737" s="1">
        <v>13</v>
      </c>
      <c r="D1737" s="1">
        <v>55</v>
      </c>
      <c r="E1737" s="1" t="s">
        <v>224</v>
      </c>
      <c r="F1737" s="1" t="s">
        <v>4132</v>
      </c>
      <c r="G1737" s="3" t="s">
        <v>3023</v>
      </c>
      <c r="H1737" s="11">
        <f t="shared" si="55"/>
        <v>267.73</v>
      </c>
      <c r="I1737" s="9">
        <f>($K$2+0.02)*Tabla1[[#This Row],[PRECIO $]]*1.18</f>
        <v>225.852</v>
      </c>
      <c r="J1737" s="7">
        <f>+Tabla1[[#This Row],[PRECIO EN SOLES]]-Tabla1[[#This Row],[PC]]</f>
        <v>41.878000000000014</v>
      </c>
      <c r="K1737" s="15"/>
      <c r="L1737" s="15" t="str">
        <f t="shared" si="54"/>
        <v>NORMAL</v>
      </c>
    </row>
    <row r="1738" spans="1:12" x14ac:dyDescent="0.25">
      <c r="A1738" s="3" t="s">
        <v>597</v>
      </c>
      <c r="B1738" s="3" t="s">
        <v>598</v>
      </c>
      <c r="C1738" s="1">
        <v>0</v>
      </c>
      <c r="D1738" s="1">
        <v>33</v>
      </c>
      <c r="E1738" s="1" t="s">
        <v>224</v>
      </c>
      <c r="F1738" s="1" t="s">
        <v>4133</v>
      </c>
      <c r="G1738" s="3" t="s">
        <v>599</v>
      </c>
      <c r="H1738" s="11">
        <f t="shared" si="55"/>
        <v>161.84</v>
      </c>
      <c r="I1738" s="9">
        <f>($K$2+0.02)*Tabla1[[#This Row],[PRECIO $]]*1.18</f>
        <v>135.5112</v>
      </c>
      <c r="J1738" s="7">
        <f>+Tabla1[[#This Row],[PRECIO EN SOLES]]-Tabla1[[#This Row],[PC]]</f>
        <v>26.328800000000001</v>
      </c>
      <c r="K1738" s="15"/>
      <c r="L1738" s="15" t="str">
        <f t="shared" si="54"/>
        <v>NORMAL</v>
      </c>
    </row>
    <row r="1739" spans="1:12" x14ac:dyDescent="0.25">
      <c r="A1739" s="3" t="s">
        <v>6962</v>
      </c>
      <c r="B1739" s="3" t="s">
        <v>6963</v>
      </c>
      <c r="C1739" s="1">
        <v>5</v>
      </c>
      <c r="D1739" s="1">
        <v>44</v>
      </c>
      <c r="E1739" s="1" t="s">
        <v>224</v>
      </c>
      <c r="F1739" s="1" t="s">
        <v>6964</v>
      </c>
      <c r="G1739" s="3" t="s">
        <v>6965</v>
      </c>
      <c r="H1739" s="11">
        <f t="shared" si="55"/>
        <v>215.78</v>
      </c>
      <c r="I1739" s="9">
        <f>($K$2+0.02)*Tabla1[[#This Row],[PRECIO $]]*1.18</f>
        <v>180.6816</v>
      </c>
      <c r="J1739" s="7">
        <f>+Tabla1[[#This Row],[PRECIO EN SOLES]]-Tabla1[[#This Row],[PC]]</f>
        <v>35.098399999999998</v>
      </c>
      <c r="K1739" s="15"/>
      <c r="L1739" s="15" t="str">
        <f t="shared" si="54"/>
        <v>NORMAL</v>
      </c>
    </row>
    <row r="1740" spans="1:12" x14ac:dyDescent="0.25">
      <c r="A1740" s="3" t="s">
        <v>3024</v>
      </c>
      <c r="B1740" s="3" t="s">
        <v>3025</v>
      </c>
      <c r="C1740" s="1">
        <v>4</v>
      </c>
      <c r="D1740" s="1">
        <v>107</v>
      </c>
      <c r="E1740" s="1" t="s">
        <v>224</v>
      </c>
      <c r="F1740" s="1" t="s">
        <v>4134</v>
      </c>
      <c r="G1740" s="3" t="s">
        <v>3026</v>
      </c>
      <c r="H1740" s="11">
        <f t="shared" si="55"/>
        <v>513.29</v>
      </c>
      <c r="I1740" s="9">
        <f>($K$2+0.02)*Tabla1[[#This Row],[PRECIO $]]*1.18</f>
        <v>439.38479999999998</v>
      </c>
      <c r="J1740" s="7">
        <f>+Tabla1[[#This Row],[PRECIO EN SOLES]]-Tabla1[[#This Row],[PC]]</f>
        <v>73.905199999999979</v>
      </c>
      <c r="K1740" s="15"/>
      <c r="L1740" s="15" t="str">
        <f t="shared" si="54"/>
        <v>NORMAL</v>
      </c>
    </row>
    <row r="1741" spans="1:12" x14ac:dyDescent="0.25">
      <c r="A1741" s="3" t="s">
        <v>2645</v>
      </c>
      <c r="B1741" s="3" t="s">
        <v>2646</v>
      </c>
      <c r="C1741" s="1">
        <v>20</v>
      </c>
      <c r="D1741" s="1">
        <v>100.6</v>
      </c>
      <c r="E1741" s="1" t="s">
        <v>220</v>
      </c>
      <c r="F1741" s="1" t="s">
        <v>4135</v>
      </c>
      <c r="G1741" s="3" t="s">
        <v>2647</v>
      </c>
      <c r="H1741" s="11">
        <f t="shared" si="55"/>
        <v>483.07</v>
      </c>
      <c r="I1741" s="9">
        <f>($K$2+0.02)*Tabla1[[#This Row],[PRECIO $]]*1.18</f>
        <v>413.10383999999993</v>
      </c>
      <c r="J1741" s="7">
        <f>+Tabla1[[#This Row],[PRECIO EN SOLES]]-Tabla1[[#This Row],[PC]]</f>
        <v>69.966160000000059</v>
      </c>
      <c r="K1741" s="15"/>
      <c r="L1741" s="15" t="str">
        <f t="shared" si="54"/>
        <v>NORMAL</v>
      </c>
    </row>
    <row r="1742" spans="1:12" x14ac:dyDescent="0.25">
      <c r="A1742" s="3" t="s">
        <v>2759</v>
      </c>
      <c r="B1742" s="3" t="s">
        <v>2760</v>
      </c>
      <c r="C1742" s="1">
        <v>20</v>
      </c>
      <c r="D1742" s="1">
        <v>65.599999999999994</v>
      </c>
      <c r="E1742" s="1" t="s">
        <v>220</v>
      </c>
      <c r="F1742" s="1" t="s">
        <v>4136</v>
      </c>
      <c r="G1742" s="3" t="s">
        <v>2769</v>
      </c>
      <c r="H1742" s="11">
        <f t="shared" si="55"/>
        <v>317.79000000000002</v>
      </c>
      <c r="I1742" s="9">
        <f>($K$2+0.02)*Tabla1[[#This Row],[PRECIO $]]*1.18</f>
        <v>269.37983999999994</v>
      </c>
      <c r="J1742" s="7">
        <f>+Tabla1[[#This Row],[PRECIO EN SOLES]]-Tabla1[[#This Row],[PC]]</f>
        <v>48.410160000000076</v>
      </c>
      <c r="K1742" s="15"/>
      <c r="L1742" s="15" t="str">
        <f t="shared" si="54"/>
        <v>NORMAL</v>
      </c>
    </row>
    <row r="1743" spans="1:12" x14ac:dyDescent="0.25">
      <c r="A1743" s="3" t="s">
        <v>2913</v>
      </c>
      <c r="B1743" s="3" t="s">
        <v>2649</v>
      </c>
      <c r="C1743" s="1">
        <v>1</v>
      </c>
      <c r="D1743" s="1">
        <v>54.6</v>
      </c>
      <c r="E1743" s="1" t="s">
        <v>220</v>
      </c>
      <c r="F1743" s="1" t="s">
        <v>4137</v>
      </c>
      <c r="G1743" s="3" t="s">
        <v>2914</v>
      </c>
      <c r="H1743" s="11">
        <f t="shared" si="55"/>
        <v>265.83999999999997</v>
      </c>
      <c r="I1743" s="9">
        <f>($K$2+0.02)*Tabla1[[#This Row],[PRECIO $]]*1.18</f>
        <v>224.20944</v>
      </c>
      <c r="J1743" s="7">
        <f>+Tabla1[[#This Row],[PRECIO EN SOLES]]-Tabla1[[#This Row],[PC]]</f>
        <v>41.630559999999974</v>
      </c>
      <c r="K1743" s="15"/>
      <c r="L1743" s="15" t="str">
        <f t="shared" si="54"/>
        <v>NORMAL</v>
      </c>
    </row>
    <row r="1744" spans="1:12" x14ac:dyDescent="0.25">
      <c r="A1744" s="3" t="s">
        <v>2648</v>
      </c>
      <c r="B1744" s="3" t="s">
        <v>2649</v>
      </c>
      <c r="C1744" s="1">
        <v>20</v>
      </c>
      <c r="D1744" s="1">
        <v>103.2</v>
      </c>
      <c r="E1744" s="1" t="s">
        <v>220</v>
      </c>
      <c r="F1744" s="1" t="s">
        <v>4138</v>
      </c>
      <c r="G1744" s="3" t="s">
        <v>2650</v>
      </c>
      <c r="H1744" s="11">
        <f t="shared" si="55"/>
        <v>495.35</v>
      </c>
      <c r="I1744" s="9">
        <f>($K$2+0.02)*Tabla1[[#This Row],[PRECIO $]]*1.18</f>
        <v>423.78048000000001</v>
      </c>
      <c r="J1744" s="7">
        <f>+Tabla1[[#This Row],[PRECIO EN SOLES]]-Tabla1[[#This Row],[PC]]</f>
        <v>71.569520000000011</v>
      </c>
      <c r="K1744" s="15"/>
      <c r="L1744" s="15" t="str">
        <f t="shared" ref="L1744:L1807" si="56"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NORMAL</v>
      </c>
    </row>
    <row r="1745" spans="1:12" x14ac:dyDescent="0.25">
      <c r="A1745" s="3" t="s">
        <v>2915</v>
      </c>
      <c r="B1745" s="3" t="s">
        <v>2649</v>
      </c>
      <c r="C1745" s="1">
        <v>20</v>
      </c>
      <c r="D1745" s="1">
        <v>142.1</v>
      </c>
      <c r="E1745" s="1" t="s">
        <v>220</v>
      </c>
      <c r="F1745" s="1" t="s">
        <v>4139</v>
      </c>
      <c r="G1745" s="3" t="s">
        <v>2916</v>
      </c>
      <c r="H1745" s="11">
        <f t="shared" si="55"/>
        <v>679.05</v>
      </c>
      <c r="I1745" s="9">
        <f>($K$2+0.02)*Tabla1[[#This Row],[PRECIO $]]*1.18</f>
        <v>583.51943999999992</v>
      </c>
      <c r="J1745" s="7">
        <f>+Tabla1[[#This Row],[PRECIO EN SOLES]]-Tabla1[[#This Row],[PC]]</f>
        <v>95.530560000000037</v>
      </c>
      <c r="K1745" s="15"/>
      <c r="L1745" s="15" t="str">
        <f t="shared" si="56"/>
        <v>NORMAL</v>
      </c>
    </row>
    <row r="1746" spans="1:12" x14ac:dyDescent="0.25">
      <c r="A1746" s="3" t="s">
        <v>2651</v>
      </c>
      <c r="B1746" s="3" t="s">
        <v>2649</v>
      </c>
      <c r="C1746" s="1">
        <v>3</v>
      </c>
      <c r="D1746" s="1">
        <v>70.400000000000006</v>
      </c>
      <c r="E1746" s="1" t="s">
        <v>220</v>
      </c>
      <c r="F1746" s="1" t="s">
        <v>4140</v>
      </c>
      <c r="G1746" s="3" t="s">
        <v>2652</v>
      </c>
      <c r="H1746" s="11">
        <f t="shared" ref="H1746:H1809" si="57">ROUND(
IF(L1744="GANCHO",
   IF(I1746&lt;=50,I1746*1.1+4,IF(I1746&lt;=120,I1746*1.1+7,IF(I1746&lt;=250,I1746*1.1+11,I1746*1.1+19))),
IF(L1744="NORMAL",
   IF(I1746&lt;=30,I1746*1.15+2,IF(I1746&lt;=80,I1746*1.15+4,IF(I1746&lt;=150,I1746*1.15+6,I1746*1.15+8))),
IF(L1744="COMPLEMENTO",
   IF(I1746&lt;=25,I1746*1.25+1.5,IF(I1746&lt;=60,I1746*1.25+3,IF(I1746&lt;=120,I1746*1.25+4,I1746*1.25+5))),
""))),2)</f>
        <v>340.45</v>
      </c>
      <c r="I1746" s="9">
        <f>($K$2+0.02)*Tabla1[[#This Row],[PRECIO $]]*1.18</f>
        <v>289.09055999999998</v>
      </c>
      <c r="J1746" s="7">
        <f>+Tabla1[[#This Row],[PRECIO EN SOLES]]-Tabla1[[#This Row],[PC]]</f>
        <v>51.359440000000006</v>
      </c>
      <c r="K1746" s="15"/>
      <c r="L1746" s="15" t="str">
        <f t="shared" si="56"/>
        <v>NORMAL</v>
      </c>
    </row>
    <row r="1747" spans="1:12" x14ac:dyDescent="0.25">
      <c r="A1747" s="3" t="s">
        <v>2653</v>
      </c>
      <c r="B1747" s="3" t="s">
        <v>2654</v>
      </c>
      <c r="C1747" s="1">
        <v>14</v>
      </c>
      <c r="D1747" s="1">
        <v>163.6</v>
      </c>
      <c r="E1747" s="1" t="s">
        <v>220</v>
      </c>
      <c r="F1747" s="1" t="s">
        <v>4141</v>
      </c>
      <c r="G1747" s="3" t="s">
        <v>2655</v>
      </c>
      <c r="H1747" s="11">
        <f t="shared" si="57"/>
        <v>780.58</v>
      </c>
      <c r="I1747" s="9">
        <f>($K$2+0.02)*Tabla1[[#This Row],[PRECIO $]]*1.18</f>
        <v>671.80703999999992</v>
      </c>
      <c r="J1747" s="7">
        <f>+Tabla1[[#This Row],[PRECIO EN SOLES]]-Tabla1[[#This Row],[PC]]</f>
        <v>108.77296000000013</v>
      </c>
      <c r="K1747" s="15"/>
      <c r="L1747" s="15" t="str">
        <f t="shared" si="56"/>
        <v>NORMAL</v>
      </c>
    </row>
    <row r="1748" spans="1:12" x14ac:dyDescent="0.25">
      <c r="A1748" s="3" t="s">
        <v>6175</v>
      </c>
      <c r="B1748" s="3" t="s">
        <v>3019</v>
      </c>
      <c r="C1748" s="1">
        <v>20</v>
      </c>
      <c r="D1748" s="1">
        <v>155</v>
      </c>
      <c r="E1748" s="1" t="s">
        <v>224</v>
      </c>
      <c r="F1748" s="1" t="s">
        <v>6176</v>
      </c>
      <c r="G1748" s="3" t="s">
        <v>6575</v>
      </c>
      <c r="H1748" s="11">
        <f t="shared" si="57"/>
        <v>739.97</v>
      </c>
      <c r="I1748" s="9">
        <f>($K$2+0.02)*Tabla1[[#This Row],[PRECIO $]]*1.18</f>
        <v>636.49199999999996</v>
      </c>
      <c r="J1748" s="7">
        <f>+Tabla1[[#This Row],[PRECIO EN SOLES]]-Tabla1[[#This Row],[PC]]</f>
        <v>103.47800000000007</v>
      </c>
      <c r="K1748" s="15"/>
      <c r="L1748" s="15" t="str">
        <f t="shared" si="56"/>
        <v>NORMAL</v>
      </c>
    </row>
    <row r="1749" spans="1:12" x14ac:dyDescent="0.25">
      <c r="A1749" s="3" t="s">
        <v>6966</v>
      </c>
      <c r="B1749" s="3" t="s">
        <v>6967</v>
      </c>
      <c r="C1749" s="1">
        <v>5</v>
      </c>
      <c r="D1749" s="1">
        <v>185</v>
      </c>
      <c r="E1749" s="1" t="s">
        <v>224</v>
      </c>
      <c r="F1749" s="1" t="s">
        <v>6968</v>
      </c>
      <c r="G1749" s="3" t="s">
        <v>6969</v>
      </c>
      <c r="H1749" s="11">
        <f t="shared" si="57"/>
        <v>881.64</v>
      </c>
      <c r="I1749" s="9">
        <f>($K$2+0.02)*Tabla1[[#This Row],[PRECIO $]]*1.18</f>
        <v>759.68399999999986</v>
      </c>
      <c r="J1749" s="7">
        <f>+Tabla1[[#This Row],[PRECIO EN SOLES]]-Tabla1[[#This Row],[PC]]</f>
        <v>121.95600000000013</v>
      </c>
      <c r="K1749" s="15"/>
      <c r="L1749" s="15" t="str">
        <f t="shared" si="56"/>
        <v>NORMAL</v>
      </c>
    </row>
    <row r="1750" spans="1:12" x14ac:dyDescent="0.25">
      <c r="A1750" s="3" t="s">
        <v>6177</v>
      </c>
      <c r="B1750" s="3" t="s">
        <v>6178</v>
      </c>
      <c r="C1750" s="1">
        <v>6</v>
      </c>
      <c r="D1750" s="1">
        <v>315</v>
      </c>
      <c r="E1750" s="1" t="s">
        <v>224</v>
      </c>
      <c r="F1750" s="1" t="s">
        <v>6179</v>
      </c>
      <c r="G1750" s="3" t="s">
        <v>6180</v>
      </c>
      <c r="H1750" s="11">
        <f t="shared" si="57"/>
        <v>1495.54</v>
      </c>
      <c r="I1750" s="9">
        <f>($K$2+0.02)*Tabla1[[#This Row],[PRECIO $]]*1.18</f>
        <v>1293.5160000000001</v>
      </c>
      <c r="J1750" s="7">
        <f>+Tabla1[[#This Row],[PRECIO EN SOLES]]-Tabla1[[#This Row],[PC]]</f>
        <v>202.02399999999989</v>
      </c>
      <c r="K1750" s="15"/>
      <c r="L1750" s="15" t="str">
        <f t="shared" si="56"/>
        <v>NORMAL</v>
      </c>
    </row>
    <row r="1751" spans="1:12" x14ac:dyDescent="0.25">
      <c r="A1751" s="3" t="s">
        <v>2656</v>
      </c>
      <c r="B1751" s="3" t="s">
        <v>2657</v>
      </c>
      <c r="C1751" s="1">
        <v>3</v>
      </c>
      <c r="D1751" s="1">
        <v>1950</v>
      </c>
      <c r="E1751" s="1" t="s">
        <v>220</v>
      </c>
      <c r="F1751" s="1" t="s">
        <v>4142</v>
      </c>
      <c r="G1751" s="3" t="s">
        <v>2658</v>
      </c>
      <c r="H1751" s="11">
        <f t="shared" si="57"/>
        <v>9216.6</v>
      </c>
      <c r="I1751" s="9">
        <f>($K$2+0.02)*Tabla1[[#This Row],[PRECIO $]]*1.18</f>
        <v>8007.48</v>
      </c>
      <c r="J1751" s="7">
        <f>+Tabla1[[#This Row],[PRECIO EN SOLES]]-Tabla1[[#This Row],[PC]]</f>
        <v>1209.1200000000008</v>
      </c>
      <c r="K1751" s="15"/>
      <c r="L1751" s="15" t="str">
        <f t="shared" si="56"/>
        <v>NORMAL</v>
      </c>
    </row>
    <row r="1752" spans="1:12" x14ac:dyDescent="0.25">
      <c r="A1752" s="3" t="s">
        <v>6970</v>
      </c>
      <c r="B1752" s="3" t="s">
        <v>6971</v>
      </c>
      <c r="C1752" s="1">
        <v>9</v>
      </c>
      <c r="D1752" s="1">
        <v>312.60000000000002</v>
      </c>
      <c r="E1752" s="1" t="s">
        <v>220</v>
      </c>
      <c r="F1752" s="1" t="s">
        <v>6972</v>
      </c>
      <c r="G1752" s="3" t="s">
        <v>6973</v>
      </c>
      <c r="H1752" s="11">
        <f t="shared" si="57"/>
        <v>1484.21</v>
      </c>
      <c r="I1752" s="9">
        <f>($K$2+0.02)*Tabla1[[#This Row],[PRECIO $]]*1.18</f>
        <v>1283.6606400000001</v>
      </c>
      <c r="J1752" s="7">
        <f>+Tabla1[[#This Row],[PRECIO EN SOLES]]-Tabla1[[#This Row],[PC]]</f>
        <v>200.54935999999998</v>
      </c>
      <c r="K1752" s="15"/>
      <c r="L1752" s="15" t="str">
        <f t="shared" si="56"/>
        <v>NORMAL</v>
      </c>
    </row>
    <row r="1753" spans="1:12" x14ac:dyDescent="0.25">
      <c r="A1753" s="3" t="s">
        <v>2659</v>
      </c>
      <c r="B1753" s="3" t="s">
        <v>2660</v>
      </c>
      <c r="C1753" s="1">
        <v>13</v>
      </c>
      <c r="D1753" s="1">
        <v>585.4</v>
      </c>
      <c r="E1753" s="1" t="s">
        <v>220</v>
      </c>
      <c r="F1753" s="1" t="s">
        <v>4143</v>
      </c>
      <c r="G1753" s="3" t="s">
        <v>2661</v>
      </c>
      <c r="H1753" s="11">
        <f t="shared" si="57"/>
        <v>2772.47</v>
      </c>
      <c r="I1753" s="9">
        <f>($K$2+0.02)*Tabla1[[#This Row],[PRECIO $]]*1.18</f>
        <v>2403.8865599999999</v>
      </c>
      <c r="J1753" s="7">
        <f>+Tabla1[[#This Row],[PRECIO EN SOLES]]-Tabla1[[#This Row],[PC]]</f>
        <v>368.58343999999988</v>
      </c>
      <c r="K1753" s="15"/>
      <c r="L1753" s="15" t="str">
        <f t="shared" si="56"/>
        <v>NORMAL</v>
      </c>
    </row>
    <row r="1754" spans="1:12" x14ac:dyDescent="0.25">
      <c r="A1754" s="3" t="s">
        <v>2802</v>
      </c>
      <c r="B1754" s="3" t="s">
        <v>2803</v>
      </c>
      <c r="C1754" s="1">
        <v>15</v>
      </c>
      <c r="D1754" s="1">
        <v>729</v>
      </c>
      <c r="E1754" s="1" t="s">
        <v>220</v>
      </c>
      <c r="F1754" s="1" t="s">
        <v>4144</v>
      </c>
      <c r="G1754" s="3" t="s">
        <v>2804</v>
      </c>
      <c r="H1754" s="11">
        <f t="shared" si="57"/>
        <v>3450.6</v>
      </c>
      <c r="I1754" s="9">
        <f>($K$2+0.02)*Tabla1[[#This Row],[PRECIO $]]*1.18</f>
        <v>2993.5655999999999</v>
      </c>
      <c r="J1754" s="7">
        <f>+Tabla1[[#This Row],[PRECIO EN SOLES]]-Tabla1[[#This Row],[PC]]</f>
        <v>457.03440000000001</v>
      </c>
      <c r="K1754" s="15"/>
      <c r="L1754" s="15" t="str">
        <f t="shared" si="56"/>
        <v>NORMAL</v>
      </c>
    </row>
    <row r="1755" spans="1:12" x14ac:dyDescent="0.25">
      <c r="A1755" s="3" t="s">
        <v>4357</v>
      </c>
      <c r="B1755" s="3" t="s">
        <v>4358</v>
      </c>
      <c r="C1755" s="1">
        <v>1</v>
      </c>
      <c r="D1755" s="1">
        <v>1528</v>
      </c>
      <c r="E1755" s="1" t="s">
        <v>220</v>
      </c>
      <c r="F1755" s="1" t="s">
        <v>4359</v>
      </c>
      <c r="G1755" s="3" t="s">
        <v>4360</v>
      </c>
      <c r="H1755" s="11">
        <f t="shared" si="57"/>
        <v>7223.77</v>
      </c>
      <c r="I1755" s="9">
        <f>($K$2+0.02)*Tabla1[[#This Row],[PRECIO $]]*1.18</f>
        <v>6274.5791999999992</v>
      </c>
      <c r="J1755" s="7">
        <f>+Tabla1[[#This Row],[PRECIO EN SOLES]]-Tabla1[[#This Row],[PC]]</f>
        <v>949.19080000000122</v>
      </c>
      <c r="K1755" s="15"/>
      <c r="L1755" s="15" t="str">
        <f t="shared" si="56"/>
        <v>NORMAL</v>
      </c>
    </row>
    <row r="1756" spans="1:12" x14ac:dyDescent="0.25">
      <c r="A1756" s="3" t="s">
        <v>2662</v>
      </c>
      <c r="B1756" s="3" t="s">
        <v>2663</v>
      </c>
      <c r="C1756" s="1">
        <v>20</v>
      </c>
      <c r="D1756" s="1">
        <v>427.6</v>
      </c>
      <c r="E1756" s="1" t="s">
        <v>220</v>
      </c>
      <c r="F1756" s="1" t="s">
        <v>4145</v>
      </c>
      <c r="G1756" s="3" t="s">
        <v>2664</v>
      </c>
      <c r="H1756" s="11">
        <f t="shared" si="57"/>
        <v>2027.28</v>
      </c>
      <c r="I1756" s="9">
        <f>($K$2+0.02)*Tabla1[[#This Row],[PRECIO $]]*1.18</f>
        <v>1755.8966399999999</v>
      </c>
      <c r="J1756" s="7">
        <f>+Tabla1[[#This Row],[PRECIO EN SOLES]]-Tabla1[[#This Row],[PC]]</f>
        <v>271.38336000000004</v>
      </c>
      <c r="K1756" s="15"/>
      <c r="L1756" s="15" t="str">
        <f t="shared" si="56"/>
        <v>NORMAL</v>
      </c>
    </row>
    <row r="1757" spans="1:12" x14ac:dyDescent="0.25">
      <c r="A1757" s="3" t="s">
        <v>2665</v>
      </c>
      <c r="B1757" s="3" t="s">
        <v>2666</v>
      </c>
      <c r="C1757" s="1">
        <v>14</v>
      </c>
      <c r="D1757" s="1">
        <v>739.7</v>
      </c>
      <c r="E1757" s="1" t="s">
        <v>220</v>
      </c>
      <c r="F1757" s="1" t="s">
        <v>4146</v>
      </c>
      <c r="G1757" s="3" t="s">
        <v>2667</v>
      </c>
      <c r="H1757" s="11">
        <f t="shared" si="57"/>
        <v>3501.13</v>
      </c>
      <c r="I1757" s="9">
        <f>($K$2+0.02)*Tabla1[[#This Row],[PRECIO $]]*1.18</f>
        <v>3037.5040799999997</v>
      </c>
      <c r="J1757" s="7">
        <f>+Tabla1[[#This Row],[PRECIO EN SOLES]]-Tabla1[[#This Row],[PC]]</f>
        <v>463.62592000000041</v>
      </c>
      <c r="K1757" s="15"/>
      <c r="L1757" s="15" t="str">
        <f t="shared" si="56"/>
        <v>NORMAL</v>
      </c>
    </row>
    <row r="1758" spans="1:12" x14ac:dyDescent="0.25">
      <c r="A1758" s="3" t="s">
        <v>2668</v>
      </c>
      <c r="B1758" s="3" t="s">
        <v>2669</v>
      </c>
      <c r="C1758" s="1">
        <v>4</v>
      </c>
      <c r="D1758" s="1">
        <v>1542</v>
      </c>
      <c r="E1758" s="1" t="s">
        <v>220</v>
      </c>
      <c r="F1758" s="1" t="s">
        <v>4147</v>
      </c>
      <c r="G1758" s="3" t="s">
        <v>2670</v>
      </c>
      <c r="H1758" s="11">
        <f t="shared" si="57"/>
        <v>7289.88</v>
      </c>
      <c r="I1758" s="9">
        <f>($K$2+0.02)*Tabla1[[#This Row],[PRECIO $]]*1.18</f>
        <v>6332.0687999999991</v>
      </c>
      <c r="J1758" s="7">
        <f>+Tabla1[[#This Row],[PRECIO EN SOLES]]-Tabla1[[#This Row],[PC]]</f>
        <v>957.81120000000101</v>
      </c>
      <c r="K1758" s="15"/>
      <c r="L1758" s="15" t="str">
        <f t="shared" si="56"/>
        <v>NORMAL</v>
      </c>
    </row>
    <row r="1759" spans="1:12" x14ac:dyDescent="0.25">
      <c r="A1759" s="3" t="s">
        <v>6974</v>
      </c>
      <c r="B1759" s="3" t="s">
        <v>6975</v>
      </c>
      <c r="C1759" s="1">
        <v>20</v>
      </c>
      <c r="D1759" s="1">
        <v>233</v>
      </c>
      <c r="E1759" s="1" t="s">
        <v>220</v>
      </c>
      <c r="F1759" s="1" t="s">
        <v>6976</v>
      </c>
      <c r="G1759" s="3" t="s">
        <v>6977</v>
      </c>
      <c r="H1759" s="11">
        <f t="shared" si="57"/>
        <v>1108.31</v>
      </c>
      <c r="I1759" s="9">
        <f>($K$2+0.02)*Tabla1[[#This Row],[PRECIO $]]*1.18</f>
        <v>956.7912</v>
      </c>
      <c r="J1759" s="7">
        <f>+Tabla1[[#This Row],[PRECIO EN SOLES]]-Tabla1[[#This Row],[PC]]</f>
        <v>151.51879999999994</v>
      </c>
      <c r="K1759" s="15"/>
      <c r="L1759" s="15" t="str">
        <f t="shared" si="56"/>
        <v>NORMAL</v>
      </c>
    </row>
    <row r="1760" spans="1:12" x14ac:dyDescent="0.25">
      <c r="A1760" s="3" t="s">
        <v>2671</v>
      </c>
      <c r="B1760" s="3" t="s">
        <v>2672</v>
      </c>
      <c r="C1760" s="1">
        <v>20</v>
      </c>
      <c r="D1760" s="1">
        <v>391.3</v>
      </c>
      <c r="E1760" s="1" t="s">
        <v>220</v>
      </c>
      <c r="F1760" s="1" t="s">
        <v>4148</v>
      </c>
      <c r="G1760" s="3" t="s">
        <v>2673</v>
      </c>
      <c r="H1760" s="11">
        <f t="shared" si="57"/>
        <v>1855.86</v>
      </c>
      <c r="I1760" s="9">
        <f>($K$2+0.02)*Tabla1[[#This Row],[PRECIO $]]*1.18</f>
        <v>1606.8343199999999</v>
      </c>
      <c r="J1760" s="7">
        <f>+Tabla1[[#This Row],[PRECIO EN SOLES]]-Tabla1[[#This Row],[PC]]</f>
        <v>249.02567999999997</v>
      </c>
      <c r="K1760" s="15"/>
      <c r="L1760" s="15" t="str">
        <f t="shared" si="56"/>
        <v>NORMAL</v>
      </c>
    </row>
    <row r="1761" spans="1:12" x14ac:dyDescent="0.25">
      <c r="A1761" s="3" t="s">
        <v>2674</v>
      </c>
      <c r="B1761" s="3" t="s">
        <v>2675</v>
      </c>
      <c r="C1761" s="1">
        <v>20</v>
      </c>
      <c r="D1761" s="1">
        <v>591</v>
      </c>
      <c r="E1761" s="1" t="s">
        <v>220</v>
      </c>
      <c r="F1761" s="1" t="s">
        <v>4149</v>
      </c>
      <c r="G1761" s="3" t="s">
        <v>2676</v>
      </c>
      <c r="H1761" s="11">
        <f t="shared" si="57"/>
        <v>2798.91</v>
      </c>
      <c r="I1761" s="9">
        <f>($K$2+0.02)*Tabla1[[#This Row],[PRECIO $]]*1.18</f>
        <v>2426.8823999999995</v>
      </c>
      <c r="J1761" s="7">
        <f>+Tabla1[[#This Row],[PRECIO EN SOLES]]-Tabla1[[#This Row],[PC]]</f>
        <v>372.02760000000035</v>
      </c>
      <c r="K1761" s="15"/>
      <c r="L1761" s="15" t="str">
        <f t="shared" si="56"/>
        <v>NORMAL</v>
      </c>
    </row>
    <row r="1762" spans="1:12" x14ac:dyDescent="0.25">
      <c r="A1762" s="3" t="s">
        <v>4460</v>
      </c>
      <c r="B1762" s="3" t="s">
        <v>4461</v>
      </c>
      <c r="C1762" s="1">
        <v>1</v>
      </c>
      <c r="D1762" s="1">
        <v>2342</v>
      </c>
      <c r="E1762" s="1" t="s">
        <v>220</v>
      </c>
      <c r="F1762" s="1" t="s">
        <v>4462</v>
      </c>
      <c r="G1762" s="3" t="s">
        <v>4463</v>
      </c>
      <c r="H1762" s="11">
        <f t="shared" si="57"/>
        <v>11067.77</v>
      </c>
      <c r="I1762" s="9">
        <f>($K$2+0.02)*Tabla1[[#This Row],[PRECIO $]]*1.18</f>
        <v>9617.1887999999999</v>
      </c>
      <c r="J1762" s="7">
        <f>+Tabla1[[#This Row],[PRECIO EN SOLES]]-Tabla1[[#This Row],[PC]]</f>
        <v>1450.5812000000005</v>
      </c>
      <c r="K1762" s="15"/>
      <c r="L1762" s="15" t="str">
        <f t="shared" si="56"/>
        <v>NORMAL</v>
      </c>
    </row>
    <row r="1763" spans="1:12" x14ac:dyDescent="0.25">
      <c r="A1763" s="3" t="s">
        <v>5566</v>
      </c>
      <c r="B1763" s="3" t="s">
        <v>5567</v>
      </c>
      <c r="C1763" s="1">
        <v>9</v>
      </c>
      <c r="D1763" s="1">
        <v>840</v>
      </c>
      <c r="E1763" s="1" t="s">
        <v>58</v>
      </c>
      <c r="F1763" s="1" t="s">
        <v>5568</v>
      </c>
      <c r="G1763" s="3" t="s">
        <v>5569</v>
      </c>
      <c r="H1763" s="11">
        <f t="shared" si="57"/>
        <v>3974.78</v>
      </c>
      <c r="I1763" s="9">
        <f>($K$2+0.02)*Tabla1[[#This Row],[PRECIO $]]*1.18</f>
        <v>3449.3759999999997</v>
      </c>
      <c r="J1763" s="7">
        <f>+Tabla1[[#This Row],[PRECIO EN SOLES]]-Tabla1[[#This Row],[PC]]</f>
        <v>525.40400000000045</v>
      </c>
      <c r="K1763" s="15"/>
      <c r="L1763" s="15" t="str">
        <f t="shared" si="56"/>
        <v>NORMAL</v>
      </c>
    </row>
    <row r="1764" spans="1:12" x14ac:dyDescent="0.25">
      <c r="A1764" s="3" t="s">
        <v>5570</v>
      </c>
      <c r="B1764" s="3" t="s">
        <v>5571</v>
      </c>
      <c r="C1764" s="1">
        <v>8</v>
      </c>
      <c r="D1764" s="1">
        <v>913</v>
      </c>
      <c r="E1764" s="1" t="s">
        <v>58</v>
      </c>
      <c r="F1764" s="1" t="s">
        <v>5572</v>
      </c>
      <c r="G1764" s="3" t="s">
        <v>5573</v>
      </c>
      <c r="H1764" s="11">
        <f t="shared" si="57"/>
        <v>4319.51</v>
      </c>
      <c r="I1764" s="9">
        <f>($K$2+0.02)*Tabla1[[#This Row],[PRECIO $]]*1.18</f>
        <v>3749.1431999999995</v>
      </c>
      <c r="J1764" s="7">
        <f>+Tabla1[[#This Row],[PRECIO EN SOLES]]-Tabla1[[#This Row],[PC]]</f>
        <v>570.36680000000069</v>
      </c>
      <c r="K1764" s="15"/>
      <c r="L1764" s="15" t="str">
        <f t="shared" si="56"/>
        <v>NORMAL</v>
      </c>
    </row>
    <row r="1765" spans="1:12" x14ac:dyDescent="0.25">
      <c r="A1765" s="3" t="s">
        <v>2677</v>
      </c>
      <c r="B1765" s="3" t="s">
        <v>2678</v>
      </c>
      <c r="C1765" s="1">
        <v>1</v>
      </c>
      <c r="D1765" s="1">
        <v>250</v>
      </c>
      <c r="E1765" s="1" t="s">
        <v>224</v>
      </c>
      <c r="F1765" s="1" t="s">
        <v>4150</v>
      </c>
      <c r="G1765" s="3" t="s">
        <v>2679</v>
      </c>
      <c r="H1765" s="11">
        <f t="shared" si="57"/>
        <v>1188.5899999999999</v>
      </c>
      <c r="I1765" s="9">
        <f>($K$2+0.02)*Tabla1[[#This Row],[PRECIO $]]*1.18</f>
        <v>1026.5999999999999</v>
      </c>
      <c r="J1765" s="7">
        <f>+Tabla1[[#This Row],[PRECIO EN SOLES]]-Tabla1[[#This Row],[PC]]</f>
        <v>161.99</v>
      </c>
      <c r="K1765" s="15"/>
      <c r="L1765" s="15" t="str">
        <f t="shared" si="56"/>
        <v>NORMAL</v>
      </c>
    </row>
    <row r="1766" spans="1:12" x14ac:dyDescent="0.25">
      <c r="A1766" s="3" t="s">
        <v>6181</v>
      </c>
      <c r="B1766" s="3" t="s">
        <v>6182</v>
      </c>
      <c r="C1766" s="1">
        <v>6</v>
      </c>
      <c r="D1766" s="1">
        <v>541</v>
      </c>
      <c r="E1766" s="1" t="s">
        <v>224</v>
      </c>
      <c r="F1766" s="1" t="s">
        <v>6183</v>
      </c>
      <c r="G1766" s="3" t="s">
        <v>6184</v>
      </c>
      <c r="H1766" s="11">
        <f t="shared" si="57"/>
        <v>2562.8000000000002</v>
      </c>
      <c r="I1766" s="9">
        <f>($K$2+0.02)*Tabla1[[#This Row],[PRECIO $]]*1.18</f>
        <v>2221.5623999999998</v>
      </c>
      <c r="J1766" s="7">
        <f>+Tabla1[[#This Row],[PRECIO EN SOLES]]-Tabla1[[#This Row],[PC]]</f>
        <v>341.23760000000038</v>
      </c>
      <c r="K1766" s="15"/>
      <c r="L1766" s="15" t="str">
        <f t="shared" si="56"/>
        <v>NORMAL</v>
      </c>
    </row>
    <row r="1767" spans="1:12" x14ac:dyDescent="0.25">
      <c r="A1767" s="3" t="s">
        <v>6185</v>
      </c>
      <c r="B1767" s="3" t="s">
        <v>6186</v>
      </c>
      <c r="C1767" s="1">
        <v>11</v>
      </c>
      <c r="D1767" s="1">
        <v>450</v>
      </c>
      <c r="E1767" s="1" t="s">
        <v>224</v>
      </c>
      <c r="F1767" s="1" t="s">
        <v>6187</v>
      </c>
      <c r="G1767" s="3"/>
      <c r="H1767" s="11">
        <f t="shared" si="57"/>
        <v>2133.06</v>
      </c>
      <c r="I1767" s="9">
        <f>($K$2+0.02)*Tabla1[[#This Row],[PRECIO $]]*1.18</f>
        <v>1847.8799999999999</v>
      </c>
      <c r="J1767" s="7">
        <f>+Tabla1[[#This Row],[PRECIO EN SOLES]]-Tabla1[[#This Row],[PC]]</f>
        <v>285.18000000000006</v>
      </c>
      <c r="K1767" s="15"/>
      <c r="L1767" s="15" t="str">
        <f t="shared" si="56"/>
        <v>NORMAL</v>
      </c>
    </row>
    <row r="1768" spans="1:12" x14ac:dyDescent="0.25">
      <c r="A1768" s="3" t="s">
        <v>6978</v>
      </c>
      <c r="B1768" s="3" t="s">
        <v>6979</v>
      </c>
      <c r="C1768" s="1">
        <v>2</v>
      </c>
      <c r="D1768" s="1">
        <v>1770</v>
      </c>
      <c r="E1768" s="1" t="s">
        <v>224</v>
      </c>
      <c r="F1768" s="1" t="s">
        <v>6980</v>
      </c>
      <c r="G1768" s="3" t="s">
        <v>6981</v>
      </c>
      <c r="H1768" s="11">
        <f t="shared" si="57"/>
        <v>8366.58</v>
      </c>
      <c r="I1768" s="9">
        <f>($K$2+0.02)*Tabla1[[#This Row],[PRECIO $]]*1.18</f>
        <v>7268.3280000000004</v>
      </c>
      <c r="J1768" s="7">
        <f>+Tabla1[[#This Row],[PRECIO EN SOLES]]-Tabla1[[#This Row],[PC]]</f>
        <v>1098.2519999999995</v>
      </c>
      <c r="K1768" s="15"/>
      <c r="L1768" s="15" t="str">
        <f t="shared" si="56"/>
        <v>NORMAL</v>
      </c>
    </row>
    <row r="1769" spans="1:12" x14ac:dyDescent="0.25">
      <c r="A1769" s="3" t="s">
        <v>2680</v>
      </c>
      <c r="B1769" s="3" t="s">
        <v>2681</v>
      </c>
      <c r="C1769" s="1">
        <v>0</v>
      </c>
      <c r="D1769" s="1">
        <v>4680</v>
      </c>
      <c r="E1769" s="1" t="s">
        <v>220</v>
      </c>
      <c r="F1769" s="1" t="s">
        <v>4151</v>
      </c>
      <c r="G1769" s="3"/>
      <c r="H1769" s="11">
        <f t="shared" si="57"/>
        <v>22108.639999999999</v>
      </c>
      <c r="I1769" s="9">
        <f>($K$2+0.02)*Tabla1[[#This Row],[PRECIO $]]*1.18</f>
        <v>19217.951999999997</v>
      </c>
      <c r="J1769" s="7">
        <f>+Tabla1[[#This Row],[PRECIO EN SOLES]]-Tabla1[[#This Row],[PC]]</f>
        <v>2890.6880000000019</v>
      </c>
      <c r="K1769" s="15"/>
      <c r="L1769" s="15" t="str">
        <f t="shared" si="56"/>
        <v>NORMAL</v>
      </c>
    </row>
    <row r="1770" spans="1:12" x14ac:dyDescent="0.25">
      <c r="A1770" s="3" t="s">
        <v>2682</v>
      </c>
      <c r="B1770" s="3" t="s">
        <v>2683</v>
      </c>
      <c r="C1770" s="1">
        <v>0</v>
      </c>
      <c r="D1770" s="1">
        <v>4332.5</v>
      </c>
      <c r="E1770" s="1" t="s">
        <v>220</v>
      </c>
      <c r="F1770" s="1" t="s">
        <v>4152</v>
      </c>
      <c r="G1770" s="3" t="s">
        <v>2684</v>
      </c>
      <c r="H1770" s="11">
        <f t="shared" si="57"/>
        <v>20467.62</v>
      </c>
      <c r="I1770" s="9">
        <f>($K$2+0.02)*Tabla1[[#This Row],[PRECIO $]]*1.18</f>
        <v>17790.977999999999</v>
      </c>
      <c r="J1770" s="7">
        <f>+Tabla1[[#This Row],[PRECIO EN SOLES]]-Tabla1[[#This Row],[PC]]</f>
        <v>2676.6419999999998</v>
      </c>
      <c r="K1770" s="15"/>
      <c r="L1770" s="15" t="str">
        <f t="shared" si="56"/>
        <v>NORMAL</v>
      </c>
    </row>
    <row r="1771" spans="1:12" x14ac:dyDescent="0.25">
      <c r="A1771" s="3" t="s">
        <v>2686</v>
      </c>
      <c r="B1771" s="3" t="s">
        <v>2687</v>
      </c>
      <c r="C1771" s="1">
        <v>8</v>
      </c>
      <c r="D1771" s="1">
        <v>56.5</v>
      </c>
      <c r="E1771" s="1" t="s">
        <v>224</v>
      </c>
      <c r="F1771" s="1" t="s">
        <v>4153</v>
      </c>
      <c r="G1771" s="3"/>
      <c r="H1771" s="11">
        <f t="shared" si="57"/>
        <v>274.81</v>
      </c>
      <c r="I1771" s="9">
        <f>($K$2+0.02)*Tabla1[[#This Row],[PRECIO $]]*1.18</f>
        <v>232.01159999999999</v>
      </c>
      <c r="J1771" s="7">
        <f>+Tabla1[[#This Row],[PRECIO EN SOLES]]-Tabla1[[#This Row],[PC]]</f>
        <v>42.798400000000015</v>
      </c>
      <c r="K1771" s="15"/>
      <c r="L1771" s="15" t="str">
        <f t="shared" si="56"/>
        <v>NORMAL</v>
      </c>
    </row>
    <row r="1772" spans="1:12" x14ac:dyDescent="0.25">
      <c r="A1772" s="3" t="s">
        <v>2688</v>
      </c>
      <c r="B1772" s="3" t="s">
        <v>2689</v>
      </c>
      <c r="C1772" s="1">
        <v>1</v>
      </c>
      <c r="D1772" s="1">
        <v>49</v>
      </c>
      <c r="E1772" s="1" t="s">
        <v>58</v>
      </c>
      <c r="F1772" s="1" t="s">
        <v>4154</v>
      </c>
      <c r="G1772" s="3" t="s">
        <v>2690</v>
      </c>
      <c r="H1772" s="11">
        <f t="shared" si="57"/>
        <v>239.4</v>
      </c>
      <c r="I1772" s="9">
        <f>($K$2+0.02)*Tabla1[[#This Row],[PRECIO $]]*1.18</f>
        <v>201.21360000000001</v>
      </c>
      <c r="J1772" s="7">
        <f>+Tabla1[[#This Row],[PRECIO EN SOLES]]-Tabla1[[#This Row],[PC]]</f>
        <v>38.186399999999992</v>
      </c>
      <c r="K1772" s="15"/>
      <c r="L1772" s="15" t="str">
        <f t="shared" si="56"/>
        <v>NORMAL</v>
      </c>
    </row>
    <row r="1773" spans="1:12" x14ac:dyDescent="0.25">
      <c r="A1773" s="3" t="s">
        <v>5574</v>
      </c>
      <c r="B1773" s="3" t="s">
        <v>5575</v>
      </c>
      <c r="C1773" s="1">
        <v>1</v>
      </c>
      <c r="D1773" s="1">
        <v>122</v>
      </c>
      <c r="E1773" s="1" t="s">
        <v>58</v>
      </c>
      <c r="F1773" s="1" t="s">
        <v>5576</v>
      </c>
      <c r="G1773" s="3" t="s">
        <v>5577</v>
      </c>
      <c r="H1773" s="11">
        <f t="shared" si="57"/>
        <v>584.13</v>
      </c>
      <c r="I1773" s="9">
        <f>($K$2+0.02)*Tabla1[[#This Row],[PRECIO $]]*1.18</f>
        <v>500.98079999999999</v>
      </c>
      <c r="J1773" s="7">
        <f>+Tabla1[[#This Row],[PRECIO EN SOLES]]-Tabla1[[#This Row],[PC]]</f>
        <v>83.149200000000008</v>
      </c>
      <c r="K1773" s="15"/>
      <c r="L1773" s="15" t="str">
        <f t="shared" si="56"/>
        <v>NORMAL</v>
      </c>
    </row>
    <row r="1774" spans="1:12" x14ac:dyDescent="0.25">
      <c r="A1774" s="3" t="s">
        <v>5578</v>
      </c>
      <c r="B1774" s="3" t="s">
        <v>5579</v>
      </c>
      <c r="C1774" s="1">
        <v>5</v>
      </c>
      <c r="D1774" s="1">
        <v>500</v>
      </c>
      <c r="E1774" s="1" t="s">
        <v>58</v>
      </c>
      <c r="F1774" s="1" t="s">
        <v>5580</v>
      </c>
      <c r="G1774" s="3"/>
      <c r="H1774" s="11">
        <f t="shared" si="57"/>
        <v>2369.1799999999998</v>
      </c>
      <c r="I1774" s="9">
        <f>($K$2+0.02)*Tabla1[[#This Row],[PRECIO $]]*1.18</f>
        <v>2053.1999999999998</v>
      </c>
      <c r="J1774" s="7">
        <f>+Tabla1[[#This Row],[PRECIO EN SOLES]]-Tabla1[[#This Row],[PC]]</f>
        <v>315.98</v>
      </c>
      <c r="K1774" s="15"/>
      <c r="L1774" s="15" t="str">
        <f t="shared" si="56"/>
        <v>NORMAL</v>
      </c>
    </row>
    <row r="1775" spans="1:12" x14ac:dyDescent="0.25">
      <c r="A1775" s="3" t="s">
        <v>2691</v>
      </c>
      <c r="B1775" s="3" t="s">
        <v>2692</v>
      </c>
      <c r="C1775" s="1">
        <v>4</v>
      </c>
      <c r="D1775" s="1">
        <v>177</v>
      </c>
      <c r="E1775" s="1" t="s">
        <v>220</v>
      </c>
      <c r="F1775" s="1" t="s">
        <v>4155</v>
      </c>
      <c r="G1775" s="3"/>
      <c r="H1775" s="11">
        <f t="shared" si="57"/>
        <v>843.86</v>
      </c>
      <c r="I1775" s="9">
        <f>($K$2+0.02)*Tabla1[[#This Row],[PRECIO $]]*1.18</f>
        <v>726.83280000000002</v>
      </c>
      <c r="J1775" s="7">
        <f>+Tabla1[[#This Row],[PRECIO EN SOLES]]-Tabla1[[#This Row],[PC]]</f>
        <v>117.02719999999999</v>
      </c>
      <c r="K1775" s="15"/>
      <c r="L1775" s="15" t="str">
        <f t="shared" si="56"/>
        <v>NORMAL</v>
      </c>
    </row>
    <row r="1776" spans="1:12" x14ac:dyDescent="0.25">
      <c r="A1776" s="3" t="s">
        <v>2693</v>
      </c>
      <c r="B1776" s="3" t="s">
        <v>2694</v>
      </c>
      <c r="C1776" s="1">
        <v>6</v>
      </c>
      <c r="D1776" s="1">
        <v>107.9</v>
      </c>
      <c r="E1776" s="1" t="s">
        <v>220</v>
      </c>
      <c r="F1776" s="1" t="s">
        <v>4156</v>
      </c>
      <c r="G1776" s="3" t="s">
        <v>2695</v>
      </c>
      <c r="H1776" s="11">
        <f t="shared" si="57"/>
        <v>517.54</v>
      </c>
      <c r="I1776" s="9">
        <f>($K$2+0.02)*Tabla1[[#This Row],[PRECIO $]]*1.18</f>
        <v>443.08055999999999</v>
      </c>
      <c r="J1776" s="7">
        <f>+Tabla1[[#This Row],[PRECIO EN SOLES]]-Tabla1[[#This Row],[PC]]</f>
        <v>74.459439999999972</v>
      </c>
      <c r="K1776" s="15"/>
      <c r="L1776" s="15" t="str">
        <f t="shared" si="56"/>
        <v>NORMAL</v>
      </c>
    </row>
    <row r="1777" spans="1:12" x14ac:dyDescent="0.25">
      <c r="A1777" s="3" t="s">
        <v>2696</v>
      </c>
      <c r="B1777" s="3" t="s">
        <v>2697</v>
      </c>
      <c r="C1777" s="1">
        <v>10</v>
      </c>
      <c r="D1777" s="1">
        <v>127.7</v>
      </c>
      <c r="E1777" s="1" t="s">
        <v>220</v>
      </c>
      <c r="F1777" s="1" t="s">
        <v>4157</v>
      </c>
      <c r="G1777" s="3" t="s">
        <v>2698</v>
      </c>
      <c r="H1777" s="11">
        <f t="shared" si="57"/>
        <v>611.04999999999995</v>
      </c>
      <c r="I1777" s="9">
        <f>($K$2+0.02)*Tabla1[[#This Row],[PRECIO $]]*1.18</f>
        <v>524.38728000000003</v>
      </c>
      <c r="J1777" s="7">
        <f>+Tabla1[[#This Row],[PRECIO EN SOLES]]-Tabla1[[#This Row],[PC]]</f>
        <v>86.662719999999922</v>
      </c>
      <c r="K1777" s="15"/>
      <c r="L1777" s="15" t="str">
        <f t="shared" si="56"/>
        <v>NORMAL</v>
      </c>
    </row>
    <row r="1778" spans="1:12" x14ac:dyDescent="0.25">
      <c r="A1778" s="3" t="s">
        <v>2699</v>
      </c>
      <c r="B1778" s="3" t="s">
        <v>2700</v>
      </c>
      <c r="C1778" s="1">
        <v>6</v>
      </c>
      <c r="D1778" s="1">
        <v>143.4</v>
      </c>
      <c r="E1778" s="1" t="s">
        <v>220</v>
      </c>
      <c r="F1778" s="1" t="s">
        <v>4158</v>
      </c>
      <c r="G1778" s="3" t="s">
        <v>2701</v>
      </c>
      <c r="H1778" s="11">
        <f t="shared" si="57"/>
        <v>685.19</v>
      </c>
      <c r="I1778" s="9">
        <f>($K$2+0.02)*Tabla1[[#This Row],[PRECIO $]]*1.18</f>
        <v>588.85775999999998</v>
      </c>
      <c r="J1778" s="7">
        <f>+Tabla1[[#This Row],[PRECIO EN SOLES]]-Tabla1[[#This Row],[PC]]</f>
        <v>96.33224000000007</v>
      </c>
      <c r="K1778" s="15"/>
      <c r="L1778" s="15" t="str">
        <f t="shared" si="56"/>
        <v>COMPLEMENTO</v>
      </c>
    </row>
    <row r="1779" spans="1:12" x14ac:dyDescent="0.25">
      <c r="A1779" s="3" t="s">
        <v>5581</v>
      </c>
      <c r="B1779" s="3" t="s">
        <v>5582</v>
      </c>
      <c r="C1779" s="1">
        <v>3</v>
      </c>
      <c r="D1779" s="1">
        <v>555</v>
      </c>
      <c r="E1779" s="1" t="s">
        <v>58</v>
      </c>
      <c r="F1779" s="1" t="s">
        <v>5583</v>
      </c>
      <c r="G1779" s="3" t="s">
        <v>5584</v>
      </c>
      <c r="H1779" s="11">
        <f t="shared" si="57"/>
        <v>2628.91</v>
      </c>
      <c r="I1779" s="9">
        <f>($K$2+0.02)*Tabla1[[#This Row],[PRECIO $]]*1.18</f>
        <v>2279.0520000000001</v>
      </c>
      <c r="J1779" s="7">
        <f>+Tabla1[[#This Row],[PRECIO EN SOLES]]-Tabla1[[#This Row],[PC]]</f>
        <v>349.85799999999972</v>
      </c>
      <c r="K1779" s="15"/>
      <c r="L1779" s="15" t="str">
        <f t="shared" si="56"/>
        <v>NORMAL</v>
      </c>
    </row>
    <row r="1780" spans="1:12" x14ac:dyDescent="0.25">
      <c r="A1780" s="3" t="s">
        <v>2702</v>
      </c>
      <c r="B1780" s="3" t="s">
        <v>2703</v>
      </c>
      <c r="C1780" s="1">
        <v>1</v>
      </c>
      <c r="D1780" s="1">
        <v>2.2999999999999998</v>
      </c>
      <c r="E1780" s="1" t="s">
        <v>58</v>
      </c>
      <c r="F1780" s="1" t="s">
        <v>4159</v>
      </c>
      <c r="G1780" s="3" t="s">
        <v>2704</v>
      </c>
      <c r="H1780" s="11">
        <f t="shared" si="57"/>
        <v>13.31</v>
      </c>
      <c r="I1780" s="9">
        <f>($K$2+0.02)*Tabla1[[#This Row],[PRECIO $]]*1.18</f>
        <v>9.4447199999999984</v>
      </c>
      <c r="J1780" s="7">
        <f>+Tabla1[[#This Row],[PRECIO EN SOLES]]-Tabla1[[#This Row],[PC]]</f>
        <v>3.865280000000002</v>
      </c>
      <c r="K1780" s="15"/>
      <c r="L1780" s="15" t="str">
        <f t="shared" si="56"/>
        <v>NORMAL</v>
      </c>
    </row>
    <row r="1781" spans="1:12" x14ac:dyDescent="0.25">
      <c r="A1781" s="3" t="s">
        <v>2705</v>
      </c>
      <c r="B1781" s="3" t="s">
        <v>2706</v>
      </c>
      <c r="C1781" s="1">
        <v>1</v>
      </c>
      <c r="D1781" s="1">
        <v>367</v>
      </c>
      <c r="E1781" s="1" t="s">
        <v>58</v>
      </c>
      <c r="F1781" s="1" t="s">
        <v>4160</v>
      </c>
      <c r="G1781" s="3" t="s">
        <v>2707</v>
      </c>
      <c r="H1781" s="11">
        <f t="shared" si="57"/>
        <v>1741.11</v>
      </c>
      <c r="I1781" s="9">
        <f>($K$2+0.02)*Tabla1[[#This Row],[PRECIO $]]*1.18</f>
        <v>1507.0488</v>
      </c>
      <c r="J1781" s="7">
        <f>+Tabla1[[#This Row],[PRECIO EN SOLES]]-Tabla1[[#This Row],[PC]]</f>
        <v>234.06119999999987</v>
      </c>
      <c r="K1781" s="15"/>
      <c r="L1781" s="15" t="str">
        <f t="shared" si="56"/>
        <v>NORMAL</v>
      </c>
    </row>
    <row r="1782" spans="1:12" x14ac:dyDescent="0.25">
      <c r="A1782" s="3" t="s">
        <v>2708</v>
      </c>
      <c r="B1782" s="3" t="s">
        <v>2709</v>
      </c>
      <c r="C1782" s="1">
        <v>10</v>
      </c>
      <c r="D1782" s="1">
        <v>18.3</v>
      </c>
      <c r="E1782" s="1" t="s">
        <v>58</v>
      </c>
      <c r="F1782" s="1" t="s">
        <v>4161</v>
      </c>
      <c r="G1782" s="3" t="s">
        <v>2710</v>
      </c>
      <c r="H1782" s="11">
        <f t="shared" si="57"/>
        <v>90.42</v>
      </c>
      <c r="I1782" s="9">
        <f>($K$2+0.02)*Tabla1[[#This Row],[PRECIO $]]*1.18</f>
        <v>75.147120000000001</v>
      </c>
      <c r="J1782" s="7">
        <f>+Tabla1[[#This Row],[PRECIO EN SOLES]]-Tabla1[[#This Row],[PC]]</f>
        <v>15.272880000000001</v>
      </c>
      <c r="K1782" s="15"/>
      <c r="L1782" s="15" t="str">
        <f t="shared" si="56"/>
        <v>NORMAL</v>
      </c>
    </row>
    <row r="1783" spans="1:12" x14ac:dyDescent="0.25">
      <c r="A1783" s="3" t="s">
        <v>2711</v>
      </c>
      <c r="B1783" s="3" t="s">
        <v>2712</v>
      </c>
      <c r="C1783" s="1">
        <v>10</v>
      </c>
      <c r="D1783" s="1">
        <v>207</v>
      </c>
      <c r="E1783" s="1" t="s">
        <v>58</v>
      </c>
      <c r="F1783" s="1" t="s">
        <v>4162</v>
      </c>
      <c r="G1783" s="3" t="s">
        <v>2713</v>
      </c>
      <c r="H1783" s="11">
        <f t="shared" si="57"/>
        <v>985.53</v>
      </c>
      <c r="I1783" s="9">
        <f>($K$2+0.02)*Tabla1[[#This Row],[PRECIO $]]*1.18</f>
        <v>850.02480000000003</v>
      </c>
      <c r="J1783" s="7">
        <f>+Tabla1[[#This Row],[PRECIO EN SOLES]]-Tabla1[[#This Row],[PC]]</f>
        <v>135.50519999999995</v>
      </c>
      <c r="K1783" s="15"/>
      <c r="L1783" s="15" t="str">
        <f t="shared" si="56"/>
        <v>NORMAL</v>
      </c>
    </row>
    <row r="1784" spans="1:12" x14ac:dyDescent="0.25">
      <c r="A1784" s="3" t="s">
        <v>2714</v>
      </c>
      <c r="B1784" s="3" t="s">
        <v>2715</v>
      </c>
      <c r="C1784" s="1">
        <v>20</v>
      </c>
      <c r="D1784" s="1">
        <v>160</v>
      </c>
      <c r="E1784" s="1" t="s">
        <v>2685</v>
      </c>
      <c r="F1784" s="1" t="s">
        <v>4163</v>
      </c>
      <c r="G1784" s="3" t="s">
        <v>2716</v>
      </c>
      <c r="H1784" s="11">
        <f t="shared" si="57"/>
        <v>763.58</v>
      </c>
      <c r="I1784" s="9">
        <f>($K$2+0.02)*Tabla1[[#This Row],[PRECIO $]]*1.18</f>
        <v>657.02399999999989</v>
      </c>
      <c r="J1784" s="7">
        <f>+Tabla1[[#This Row],[PRECIO EN SOLES]]-Tabla1[[#This Row],[PC]]</f>
        <v>106.55600000000015</v>
      </c>
      <c r="K1784" s="15"/>
      <c r="L1784" s="15" t="str">
        <f t="shared" si="56"/>
        <v>NORMAL</v>
      </c>
    </row>
    <row r="1785" spans="1:12" x14ac:dyDescent="0.25">
      <c r="A1785" s="3" t="s">
        <v>2717</v>
      </c>
      <c r="B1785" s="3" t="s">
        <v>2718</v>
      </c>
      <c r="C1785" s="1">
        <v>20</v>
      </c>
      <c r="D1785" s="1">
        <v>110</v>
      </c>
      <c r="E1785" s="1" t="s">
        <v>224</v>
      </c>
      <c r="F1785" s="1" t="s">
        <v>4164</v>
      </c>
      <c r="G1785" s="3" t="s">
        <v>2719</v>
      </c>
      <c r="H1785" s="11">
        <f t="shared" si="57"/>
        <v>527.46</v>
      </c>
      <c r="I1785" s="9">
        <f>($K$2+0.02)*Tabla1[[#This Row],[PRECIO $]]*1.18</f>
        <v>451.70400000000001</v>
      </c>
      <c r="J1785" s="7">
        <f>+Tabla1[[#This Row],[PRECIO EN SOLES]]-Tabla1[[#This Row],[PC]]</f>
        <v>75.756000000000029</v>
      </c>
      <c r="K1785" s="15"/>
      <c r="L1785" s="15" t="str">
        <f t="shared" si="56"/>
        <v>NORMAL</v>
      </c>
    </row>
    <row r="1786" spans="1:12" x14ac:dyDescent="0.25">
      <c r="A1786" s="3" t="s">
        <v>2720</v>
      </c>
      <c r="B1786" s="3" t="s">
        <v>2721</v>
      </c>
      <c r="C1786" s="1">
        <v>1</v>
      </c>
      <c r="D1786" s="1">
        <v>75</v>
      </c>
      <c r="E1786" s="1" t="s">
        <v>1990</v>
      </c>
      <c r="F1786" s="1" t="s">
        <v>4165</v>
      </c>
      <c r="G1786" s="3"/>
      <c r="H1786" s="11">
        <f t="shared" si="57"/>
        <v>362.18</v>
      </c>
      <c r="I1786" s="9">
        <f>($K$2+0.02)*Tabla1[[#This Row],[PRECIO $]]*1.18</f>
        <v>307.97999999999996</v>
      </c>
      <c r="J1786" s="7">
        <f>+Tabla1[[#This Row],[PRECIO EN SOLES]]-Tabla1[[#This Row],[PC]]</f>
        <v>54.200000000000045</v>
      </c>
      <c r="K1786" s="15"/>
      <c r="L1786" s="15" t="str">
        <f t="shared" si="56"/>
        <v>NORMAL</v>
      </c>
    </row>
    <row r="1787" spans="1:12" x14ac:dyDescent="0.25">
      <c r="A1787" s="3" t="s">
        <v>2722</v>
      </c>
      <c r="B1787" s="3" t="s">
        <v>2723</v>
      </c>
      <c r="C1787" s="1">
        <v>20</v>
      </c>
      <c r="D1787" s="1">
        <v>16</v>
      </c>
      <c r="E1787" s="1" t="s">
        <v>58</v>
      </c>
      <c r="F1787" s="1" t="s">
        <v>4166</v>
      </c>
      <c r="G1787" s="3" t="s">
        <v>2724</v>
      </c>
      <c r="H1787" s="11">
        <f t="shared" si="57"/>
        <v>79.56</v>
      </c>
      <c r="I1787" s="9">
        <f>($K$2+0.02)*Tabla1[[#This Row],[PRECIO $]]*1.18</f>
        <v>65.702399999999997</v>
      </c>
      <c r="J1787" s="7">
        <f>+Tabla1[[#This Row],[PRECIO EN SOLES]]-Tabla1[[#This Row],[PC]]</f>
        <v>13.857600000000005</v>
      </c>
      <c r="K1787" s="15"/>
      <c r="L1787" s="15" t="str">
        <f t="shared" si="56"/>
        <v>NORMAL</v>
      </c>
    </row>
    <row r="1788" spans="1:12" x14ac:dyDescent="0.25">
      <c r="A1788" s="3" t="s">
        <v>2725</v>
      </c>
      <c r="B1788" s="3" t="s">
        <v>2726</v>
      </c>
      <c r="C1788" s="1">
        <v>19</v>
      </c>
      <c r="D1788" s="1">
        <v>36.200000000000003</v>
      </c>
      <c r="E1788" s="1" t="s">
        <v>58</v>
      </c>
      <c r="F1788" s="1" t="s">
        <v>4167</v>
      </c>
      <c r="G1788" s="3" t="s">
        <v>2727</v>
      </c>
      <c r="H1788" s="11">
        <f t="shared" si="57"/>
        <v>176.95</v>
      </c>
      <c r="I1788" s="9">
        <f>($K$2+0.02)*Tabla1[[#This Row],[PRECIO $]]*1.18</f>
        <v>148.65168</v>
      </c>
      <c r="J1788" s="7">
        <f>+Tabla1[[#This Row],[PRECIO EN SOLES]]-Tabla1[[#This Row],[PC]]</f>
        <v>28.29831999999999</v>
      </c>
      <c r="K1788" s="15"/>
      <c r="L1788" s="15" t="str">
        <f t="shared" si="56"/>
        <v>NORMAL</v>
      </c>
    </row>
    <row r="1789" spans="1:12" x14ac:dyDescent="0.25">
      <c r="A1789" s="3" t="s">
        <v>6188</v>
      </c>
      <c r="B1789" s="3" t="s">
        <v>6189</v>
      </c>
      <c r="C1789" s="1">
        <v>20</v>
      </c>
      <c r="D1789" s="1">
        <v>252.58</v>
      </c>
      <c r="E1789" s="1" t="s">
        <v>906</v>
      </c>
      <c r="F1789" s="1" t="s">
        <v>6190</v>
      </c>
      <c r="G1789" s="3" t="s">
        <v>6191</v>
      </c>
      <c r="H1789" s="11">
        <f t="shared" si="57"/>
        <v>1200.77</v>
      </c>
      <c r="I1789" s="9">
        <f>($K$2+0.02)*Tabla1[[#This Row],[PRECIO $]]*1.18</f>
        <v>1037.194512</v>
      </c>
      <c r="J1789" s="7">
        <f>+Tabla1[[#This Row],[PRECIO EN SOLES]]-Tabla1[[#This Row],[PC]]</f>
        <v>163.57548799999995</v>
      </c>
      <c r="K1789" s="15"/>
      <c r="L1789" s="15" t="str">
        <f t="shared" si="56"/>
        <v>NORMAL</v>
      </c>
    </row>
    <row r="1790" spans="1:12" x14ac:dyDescent="0.25">
      <c r="A1790" s="3" t="s">
        <v>6192</v>
      </c>
      <c r="B1790" s="3" t="s">
        <v>6193</v>
      </c>
      <c r="C1790" s="1">
        <v>0</v>
      </c>
      <c r="D1790" s="1">
        <v>304.7</v>
      </c>
      <c r="E1790" s="1" t="s">
        <v>906</v>
      </c>
      <c r="F1790" s="1" t="s">
        <v>6194</v>
      </c>
      <c r="G1790" s="3" t="s">
        <v>6195</v>
      </c>
      <c r="H1790" s="11">
        <f t="shared" si="57"/>
        <v>1446.9</v>
      </c>
      <c r="I1790" s="9">
        <f>($K$2+0.02)*Tabla1[[#This Row],[PRECIO $]]*1.18</f>
        <v>1251.2200799999998</v>
      </c>
      <c r="J1790" s="7">
        <f>+Tabla1[[#This Row],[PRECIO EN SOLES]]-Tabla1[[#This Row],[PC]]</f>
        <v>195.67992000000027</v>
      </c>
      <c r="K1790" s="15"/>
      <c r="L1790" s="15" t="str">
        <f t="shared" si="56"/>
        <v>NORMAL</v>
      </c>
    </row>
    <row r="1791" spans="1:12" x14ac:dyDescent="0.25">
      <c r="A1791" s="3" t="s">
        <v>6196</v>
      </c>
      <c r="B1791" s="3" t="s">
        <v>6197</v>
      </c>
      <c r="C1791" s="1">
        <v>10</v>
      </c>
      <c r="D1791" s="1">
        <v>317.5</v>
      </c>
      <c r="E1791" s="1" t="s">
        <v>906</v>
      </c>
      <c r="F1791" s="1" t="s">
        <v>6198</v>
      </c>
      <c r="G1791" s="3" t="s">
        <v>6199</v>
      </c>
      <c r="H1791" s="11">
        <f t="shared" si="57"/>
        <v>1507.35</v>
      </c>
      <c r="I1791" s="9">
        <f>($K$2+0.02)*Tabla1[[#This Row],[PRECIO $]]*1.18</f>
        <v>1303.7819999999999</v>
      </c>
      <c r="J1791" s="7">
        <f>+Tabla1[[#This Row],[PRECIO EN SOLES]]-Tabla1[[#This Row],[PC]]</f>
        <v>203.56799999999998</v>
      </c>
      <c r="K1791" s="15"/>
      <c r="L1791" s="15" t="str">
        <f t="shared" si="56"/>
        <v>NORMAL</v>
      </c>
    </row>
    <row r="1792" spans="1:12" x14ac:dyDescent="0.25">
      <c r="A1792" s="3" t="s">
        <v>6200</v>
      </c>
      <c r="B1792" s="3" t="s">
        <v>6201</v>
      </c>
      <c r="C1792" s="1">
        <v>20</v>
      </c>
      <c r="D1792" s="1">
        <v>144</v>
      </c>
      <c r="E1792" s="1" t="s">
        <v>906</v>
      </c>
      <c r="F1792" s="1" t="s">
        <v>6202</v>
      </c>
      <c r="G1792" s="3" t="s">
        <v>6203</v>
      </c>
      <c r="H1792" s="11">
        <f t="shared" si="57"/>
        <v>688.02</v>
      </c>
      <c r="I1792" s="9">
        <f>($K$2+0.02)*Tabla1[[#This Row],[PRECIO $]]*1.18</f>
        <v>591.32159999999999</v>
      </c>
      <c r="J1792" s="7">
        <f>+Tabla1[[#This Row],[PRECIO EN SOLES]]-Tabla1[[#This Row],[PC]]</f>
        <v>96.698399999999992</v>
      </c>
      <c r="K1792" s="15"/>
      <c r="L1792" s="15" t="str">
        <f t="shared" si="56"/>
        <v>NORMAL</v>
      </c>
    </row>
    <row r="1793" spans="1:12" x14ac:dyDescent="0.25">
      <c r="A1793" s="3" t="s">
        <v>6378</v>
      </c>
      <c r="B1793" s="3" t="s">
        <v>6201</v>
      </c>
      <c r="C1793" s="1">
        <v>0</v>
      </c>
      <c r="D1793" s="1">
        <v>9999999.9900000002</v>
      </c>
      <c r="E1793" s="1" t="s">
        <v>906</v>
      </c>
      <c r="F1793" s="1" t="s">
        <v>6379</v>
      </c>
      <c r="G1793" s="3"/>
      <c r="H1793" s="11">
        <f t="shared" si="57"/>
        <v>47223607.950000003</v>
      </c>
      <c r="I1793" s="9">
        <f>($K$2+0.02)*Tabla1[[#This Row],[PRECIO $]]*1.18</f>
        <v>41063999.958935998</v>
      </c>
      <c r="J1793" s="7">
        <f>+Tabla1[[#This Row],[PRECIO EN SOLES]]-Tabla1[[#This Row],[PC]]</f>
        <v>6159607.9910640046</v>
      </c>
      <c r="K1793" s="15"/>
      <c r="L1793" s="15" t="str">
        <f t="shared" si="56"/>
        <v>NORMAL</v>
      </c>
    </row>
    <row r="1794" spans="1:12" x14ac:dyDescent="0.25">
      <c r="A1794" s="3" t="s">
        <v>5084</v>
      </c>
      <c r="B1794" s="3" t="s">
        <v>5085</v>
      </c>
      <c r="C1794" s="1">
        <v>2</v>
      </c>
      <c r="D1794" s="1">
        <v>1345</v>
      </c>
      <c r="E1794" s="1" t="s">
        <v>226</v>
      </c>
      <c r="F1794" s="1" t="s">
        <v>5086</v>
      </c>
      <c r="G1794" s="3" t="s">
        <v>5087</v>
      </c>
      <c r="H1794" s="11">
        <f t="shared" si="57"/>
        <v>6359.57</v>
      </c>
      <c r="I1794" s="9">
        <f>($K$2+0.02)*Tabla1[[#This Row],[PRECIO $]]*1.18</f>
        <v>5523.1080000000002</v>
      </c>
      <c r="J1794" s="7">
        <f>+Tabla1[[#This Row],[PRECIO EN SOLES]]-Tabla1[[#This Row],[PC]]</f>
        <v>836.46199999999953</v>
      </c>
      <c r="K1794" s="15"/>
      <c r="L1794" s="15" t="str">
        <f t="shared" si="56"/>
        <v>NORMAL</v>
      </c>
    </row>
    <row r="1795" spans="1:12" x14ac:dyDescent="0.25">
      <c r="A1795" s="3" t="s">
        <v>5088</v>
      </c>
      <c r="B1795" s="3" t="s">
        <v>5089</v>
      </c>
      <c r="C1795" s="1">
        <v>0</v>
      </c>
      <c r="D1795" s="1">
        <v>821</v>
      </c>
      <c r="E1795" s="1" t="s">
        <v>121</v>
      </c>
      <c r="F1795" s="1" t="s">
        <v>5090</v>
      </c>
      <c r="G1795" s="3" t="s">
        <v>5091</v>
      </c>
      <c r="H1795" s="11">
        <f t="shared" si="57"/>
        <v>3885.06</v>
      </c>
      <c r="I1795" s="9">
        <f>($K$2+0.02)*Tabla1[[#This Row],[PRECIO $]]*1.18</f>
        <v>3371.3543999999997</v>
      </c>
      <c r="J1795" s="7">
        <f>+Tabla1[[#This Row],[PRECIO EN SOLES]]-Tabla1[[#This Row],[PC]]</f>
        <v>513.70560000000023</v>
      </c>
      <c r="K1795" s="15"/>
      <c r="L1795" s="15" t="str">
        <f t="shared" si="56"/>
        <v>NORMAL</v>
      </c>
    </row>
    <row r="1796" spans="1:12" x14ac:dyDescent="0.25">
      <c r="A1796" s="3" t="s">
        <v>5092</v>
      </c>
      <c r="B1796" s="3" t="s">
        <v>5093</v>
      </c>
      <c r="C1796" s="1">
        <v>19</v>
      </c>
      <c r="D1796" s="1">
        <v>785</v>
      </c>
      <c r="E1796" s="1" t="s">
        <v>121</v>
      </c>
      <c r="F1796" s="1" t="s">
        <v>5094</v>
      </c>
      <c r="G1796" s="3" t="s">
        <v>5095</v>
      </c>
      <c r="H1796" s="11">
        <f t="shared" si="57"/>
        <v>3715.05</v>
      </c>
      <c r="I1796" s="9">
        <f>($K$2+0.02)*Tabla1[[#This Row],[PRECIO $]]*1.18</f>
        <v>3223.5239999999999</v>
      </c>
      <c r="J1796" s="7">
        <f>+Tabla1[[#This Row],[PRECIO EN SOLES]]-Tabla1[[#This Row],[PC]]</f>
        <v>491.52600000000029</v>
      </c>
      <c r="K1796" s="15"/>
      <c r="L1796" s="15" t="str">
        <f t="shared" si="56"/>
        <v>NORMAL</v>
      </c>
    </row>
    <row r="1797" spans="1:12" x14ac:dyDescent="0.25">
      <c r="A1797" s="3" t="s">
        <v>6204</v>
      </c>
      <c r="B1797" s="3" t="s">
        <v>6205</v>
      </c>
      <c r="C1797" s="1">
        <v>20</v>
      </c>
      <c r="D1797" s="1">
        <v>655</v>
      </c>
      <c r="E1797" s="1" t="s">
        <v>226</v>
      </c>
      <c r="F1797" s="1" t="s">
        <v>6206</v>
      </c>
      <c r="G1797" s="3" t="s">
        <v>6207</v>
      </c>
      <c r="H1797" s="11">
        <f t="shared" si="57"/>
        <v>3101.15</v>
      </c>
      <c r="I1797" s="9">
        <f>($K$2+0.02)*Tabla1[[#This Row],[PRECIO $]]*1.18</f>
        <v>2689.692</v>
      </c>
      <c r="J1797" s="7">
        <f>+Tabla1[[#This Row],[PRECIO EN SOLES]]-Tabla1[[#This Row],[PC]]</f>
        <v>411.45800000000008</v>
      </c>
      <c r="K1797" s="15"/>
      <c r="L1797" s="15" t="str">
        <f t="shared" si="56"/>
        <v>NORMAL</v>
      </c>
    </row>
    <row r="1798" spans="1:12" x14ac:dyDescent="0.25">
      <c r="A1798" s="3" t="s">
        <v>6208</v>
      </c>
      <c r="B1798" s="3" t="s">
        <v>6209</v>
      </c>
      <c r="C1798" s="1">
        <v>20</v>
      </c>
      <c r="D1798" s="1">
        <v>655</v>
      </c>
      <c r="E1798" s="1" t="s">
        <v>226</v>
      </c>
      <c r="F1798" s="1" t="s">
        <v>6210</v>
      </c>
      <c r="G1798" s="3" t="s">
        <v>6211</v>
      </c>
      <c r="H1798" s="11">
        <f t="shared" si="57"/>
        <v>3101.15</v>
      </c>
      <c r="I1798" s="9">
        <f>($K$2+0.02)*Tabla1[[#This Row],[PRECIO $]]*1.18</f>
        <v>2689.692</v>
      </c>
      <c r="J1798" s="7">
        <f>+Tabla1[[#This Row],[PRECIO EN SOLES]]-Tabla1[[#This Row],[PC]]</f>
        <v>411.45800000000008</v>
      </c>
      <c r="K1798" s="15"/>
      <c r="L1798" s="15" t="str">
        <f t="shared" si="56"/>
        <v>NORMAL</v>
      </c>
    </row>
    <row r="1799" spans="1:12" x14ac:dyDescent="0.25">
      <c r="A1799" s="3" t="s">
        <v>6212</v>
      </c>
      <c r="B1799" s="3" t="s">
        <v>5085</v>
      </c>
      <c r="C1799" s="1">
        <v>1</v>
      </c>
      <c r="D1799" s="1">
        <v>1350</v>
      </c>
      <c r="E1799" s="1" t="s">
        <v>226</v>
      </c>
      <c r="F1799" s="1" t="s">
        <v>6213</v>
      </c>
      <c r="G1799" s="3" t="s">
        <v>5087</v>
      </c>
      <c r="H1799" s="11">
        <f t="shared" si="57"/>
        <v>6383.19</v>
      </c>
      <c r="I1799" s="9">
        <f>($K$2+0.02)*Tabla1[[#This Row],[PRECIO $]]*1.18</f>
        <v>5543.6399999999994</v>
      </c>
      <c r="J1799" s="7">
        <f>+Tabla1[[#This Row],[PRECIO EN SOLES]]-Tabla1[[#This Row],[PC]]</f>
        <v>839.55000000000018</v>
      </c>
      <c r="K1799" s="15"/>
      <c r="L1799" s="15" t="str">
        <f t="shared" si="56"/>
        <v>NORMAL</v>
      </c>
    </row>
    <row r="1800" spans="1:12" x14ac:dyDescent="0.25">
      <c r="A1800" s="3" t="s">
        <v>5096</v>
      </c>
      <c r="B1800" s="3" t="s">
        <v>5097</v>
      </c>
      <c r="C1800" s="1">
        <v>0</v>
      </c>
      <c r="D1800" s="1">
        <v>1294</v>
      </c>
      <c r="E1800" s="1" t="s">
        <v>226</v>
      </c>
      <c r="F1800" s="1" t="s">
        <v>5098</v>
      </c>
      <c r="G1800" s="3" t="s">
        <v>5099</v>
      </c>
      <c r="H1800" s="11">
        <f t="shared" si="57"/>
        <v>6118.73</v>
      </c>
      <c r="I1800" s="9">
        <f>($K$2+0.02)*Tabla1[[#This Row],[PRECIO $]]*1.18</f>
        <v>5313.6815999999999</v>
      </c>
      <c r="J1800" s="7">
        <f>+Tabla1[[#This Row],[PRECIO EN SOLES]]-Tabla1[[#This Row],[PC]]</f>
        <v>805.04839999999967</v>
      </c>
      <c r="K1800" s="15"/>
      <c r="L1800" s="15" t="str">
        <f t="shared" si="56"/>
        <v>NORMAL</v>
      </c>
    </row>
    <row r="1801" spans="1:12" x14ac:dyDescent="0.25">
      <c r="A1801" s="3" t="s">
        <v>6982</v>
      </c>
      <c r="B1801" s="3" t="s">
        <v>6983</v>
      </c>
      <c r="C1801" s="1">
        <v>0</v>
      </c>
      <c r="D1801" s="1">
        <v>1240</v>
      </c>
      <c r="E1801" s="1" t="s">
        <v>226</v>
      </c>
      <c r="F1801" s="1" t="s">
        <v>6984</v>
      </c>
      <c r="G1801" s="3"/>
      <c r="H1801" s="11">
        <f t="shared" si="57"/>
        <v>5863.73</v>
      </c>
      <c r="I1801" s="9">
        <f>($K$2+0.02)*Tabla1[[#This Row],[PRECIO $]]*1.18</f>
        <v>5091.9359999999997</v>
      </c>
      <c r="J1801" s="7">
        <f>+Tabla1[[#This Row],[PRECIO EN SOLES]]-Tabla1[[#This Row],[PC]]</f>
        <v>771.79399999999987</v>
      </c>
      <c r="K1801" s="15"/>
      <c r="L1801" s="15" t="str">
        <f t="shared" si="56"/>
        <v>NORMAL</v>
      </c>
    </row>
    <row r="1802" spans="1:12" x14ac:dyDescent="0.25">
      <c r="A1802" s="3" t="s">
        <v>4764</v>
      </c>
      <c r="B1802" s="3" t="s">
        <v>4765</v>
      </c>
      <c r="C1802" s="1">
        <v>1</v>
      </c>
      <c r="D1802" s="1">
        <v>1450</v>
      </c>
      <c r="E1802" s="1" t="s">
        <v>226</v>
      </c>
      <c r="F1802" s="1" t="s">
        <v>4766</v>
      </c>
      <c r="G1802" s="3" t="s">
        <v>4767</v>
      </c>
      <c r="H1802" s="11">
        <f t="shared" si="57"/>
        <v>6855.42</v>
      </c>
      <c r="I1802" s="9">
        <f>($K$2+0.02)*Tabla1[[#This Row],[PRECIO $]]*1.18</f>
        <v>5954.28</v>
      </c>
      <c r="J1802" s="7">
        <f>+Tabla1[[#This Row],[PRECIO EN SOLES]]-Tabla1[[#This Row],[PC]]</f>
        <v>901.14000000000033</v>
      </c>
      <c r="K1802" s="15"/>
      <c r="L1802" s="15" t="str">
        <f t="shared" si="56"/>
        <v>NORMAL</v>
      </c>
    </row>
    <row r="1803" spans="1:12" x14ac:dyDescent="0.25">
      <c r="A1803" s="3" t="s">
        <v>5585</v>
      </c>
      <c r="B1803" s="3" t="s">
        <v>5586</v>
      </c>
      <c r="C1803" s="1">
        <v>14</v>
      </c>
      <c r="D1803" s="1">
        <v>3150</v>
      </c>
      <c r="E1803" s="1" t="s">
        <v>226</v>
      </c>
      <c r="F1803" s="1" t="s">
        <v>5587</v>
      </c>
      <c r="G1803" s="3" t="s">
        <v>5588</v>
      </c>
      <c r="H1803" s="11">
        <f t="shared" si="57"/>
        <v>14883.43</v>
      </c>
      <c r="I1803" s="9">
        <f>($K$2+0.02)*Tabla1[[#This Row],[PRECIO $]]*1.18</f>
        <v>12935.16</v>
      </c>
      <c r="J1803" s="7">
        <f>+Tabla1[[#This Row],[PRECIO EN SOLES]]-Tabla1[[#This Row],[PC]]</f>
        <v>1948.2700000000004</v>
      </c>
      <c r="K1803" s="15"/>
      <c r="L1803" s="15" t="str">
        <f t="shared" si="56"/>
        <v>NORMAL</v>
      </c>
    </row>
    <row r="1804" spans="1:12" x14ac:dyDescent="0.25">
      <c r="A1804" s="3" t="s">
        <v>6985</v>
      </c>
      <c r="B1804" s="3" t="s">
        <v>6986</v>
      </c>
      <c r="C1804" s="1">
        <v>20</v>
      </c>
      <c r="D1804" s="1">
        <v>280</v>
      </c>
      <c r="E1804" s="1" t="s">
        <v>121</v>
      </c>
      <c r="F1804" s="1" t="s">
        <v>6987</v>
      </c>
      <c r="G1804" s="3" t="s">
        <v>6988</v>
      </c>
      <c r="H1804" s="11">
        <f t="shared" si="57"/>
        <v>1330.26</v>
      </c>
      <c r="I1804" s="9">
        <f>($K$2+0.02)*Tabla1[[#This Row],[PRECIO $]]*1.18</f>
        <v>1149.7919999999999</v>
      </c>
      <c r="J1804" s="7">
        <f>+Tabla1[[#This Row],[PRECIO EN SOLES]]-Tabla1[[#This Row],[PC]]</f>
        <v>180.46800000000007</v>
      </c>
      <c r="K1804" s="15"/>
      <c r="L1804" s="15" t="str">
        <f t="shared" si="56"/>
        <v>NORMAL</v>
      </c>
    </row>
    <row r="1805" spans="1:12" x14ac:dyDescent="0.25">
      <c r="A1805" s="3" t="s">
        <v>6989</v>
      </c>
      <c r="B1805" s="3" t="s">
        <v>6990</v>
      </c>
      <c r="C1805" s="1">
        <v>20</v>
      </c>
      <c r="D1805" s="1">
        <v>280</v>
      </c>
      <c r="E1805" s="1" t="s">
        <v>121</v>
      </c>
      <c r="F1805" s="1" t="s">
        <v>6991</v>
      </c>
      <c r="G1805" s="3" t="s">
        <v>6992</v>
      </c>
      <c r="H1805" s="11">
        <f t="shared" si="57"/>
        <v>1330.26</v>
      </c>
      <c r="I1805" s="9">
        <f>($K$2+0.02)*Tabla1[[#This Row],[PRECIO $]]*1.18</f>
        <v>1149.7919999999999</v>
      </c>
      <c r="J1805" s="7">
        <f>+Tabla1[[#This Row],[PRECIO EN SOLES]]-Tabla1[[#This Row],[PC]]</f>
        <v>180.46800000000007</v>
      </c>
      <c r="K1805" s="15"/>
      <c r="L1805" s="15" t="str">
        <f t="shared" si="56"/>
        <v>NORMAL</v>
      </c>
    </row>
    <row r="1806" spans="1:12" x14ac:dyDescent="0.25">
      <c r="A1806" s="3" t="s">
        <v>4464</v>
      </c>
      <c r="B1806" s="3" t="s">
        <v>4465</v>
      </c>
      <c r="C1806" s="1">
        <v>0</v>
      </c>
      <c r="D1806" s="1">
        <v>542</v>
      </c>
      <c r="E1806" s="1" t="s">
        <v>115</v>
      </c>
      <c r="F1806" s="1" t="s">
        <v>4466</v>
      </c>
      <c r="G1806" s="3" t="s">
        <v>4467</v>
      </c>
      <c r="H1806" s="11">
        <f t="shared" si="57"/>
        <v>2567.52</v>
      </c>
      <c r="I1806" s="9">
        <f>($K$2+0.02)*Tabla1[[#This Row],[PRECIO $]]*1.18</f>
        <v>2225.6687999999999</v>
      </c>
      <c r="J1806" s="7">
        <f>+Tabla1[[#This Row],[PRECIO EN SOLES]]-Tabla1[[#This Row],[PC]]</f>
        <v>341.85120000000006</v>
      </c>
      <c r="K1806" s="15"/>
      <c r="L1806" s="15" t="str">
        <f t="shared" si="56"/>
        <v>NORMAL</v>
      </c>
    </row>
    <row r="1807" spans="1:12" x14ac:dyDescent="0.25">
      <c r="A1807" s="3" t="s">
        <v>6214</v>
      </c>
      <c r="B1807" s="3" t="s">
        <v>6215</v>
      </c>
      <c r="C1807" s="1">
        <v>20</v>
      </c>
      <c r="D1807" s="1">
        <v>406</v>
      </c>
      <c r="E1807" s="1" t="s">
        <v>226</v>
      </c>
      <c r="F1807" s="1" t="s">
        <v>6216</v>
      </c>
      <c r="G1807" s="3" t="s">
        <v>6217</v>
      </c>
      <c r="H1807" s="11">
        <f t="shared" si="57"/>
        <v>1925.28</v>
      </c>
      <c r="I1807" s="9">
        <f>($K$2+0.02)*Tabla1[[#This Row],[PRECIO $]]*1.18</f>
        <v>1667.1983999999998</v>
      </c>
      <c r="J1807" s="7">
        <f>+Tabla1[[#This Row],[PRECIO EN SOLES]]-Tabla1[[#This Row],[PC]]</f>
        <v>258.08160000000021</v>
      </c>
      <c r="K1807" s="15"/>
      <c r="L1807" s="15" t="str">
        <f t="shared" si="56"/>
        <v>NORMAL</v>
      </c>
    </row>
    <row r="1808" spans="1:12" x14ac:dyDescent="0.25">
      <c r="A1808" s="3" t="s">
        <v>5589</v>
      </c>
      <c r="B1808" s="3" t="s">
        <v>5590</v>
      </c>
      <c r="C1808" s="1">
        <v>20</v>
      </c>
      <c r="D1808" s="1">
        <v>393</v>
      </c>
      <c r="E1808" s="1" t="s">
        <v>226</v>
      </c>
      <c r="F1808" s="1" t="s">
        <v>5591</v>
      </c>
      <c r="G1808" s="3" t="s">
        <v>5592</v>
      </c>
      <c r="H1808" s="11">
        <f t="shared" si="57"/>
        <v>1863.89</v>
      </c>
      <c r="I1808" s="9">
        <f>($K$2+0.02)*Tabla1[[#This Row],[PRECIO $]]*1.18</f>
        <v>1613.8152</v>
      </c>
      <c r="J1808" s="7">
        <f>+Tabla1[[#This Row],[PRECIO EN SOLES]]-Tabla1[[#This Row],[PC]]</f>
        <v>250.0748000000001</v>
      </c>
      <c r="K1808" s="15"/>
      <c r="L1808" s="15" t="str">
        <f t="shared" ref="L1808:L1871" si="58"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09" spans="1:12" x14ac:dyDescent="0.25">
      <c r="A1809" s="3" t="s">
        <v>6218</v>
      </c>
      <c r="B1809" s="3" t="s">
        <v>6219</v>
      </c>
      <c r="C1809" s="1">
        <v>11</v>
      </c>
      <c r="D1809" s="1">
        <v>467</v>
      </c>
      <c r="E1809" s="1" t="s">
        <v>226</v>
      </c>
      <c r="F1809" s="1" t="s">
        <v>6220</v>
      </c>
      <c r="G1809" s="3" t="s">
        <v>6221</v>
      </c>
      <c r="H1809" s="11">
        <f t="shared" si="57"/>
        <v>2213.34</v>
      </c>
      <c r="I1809" s="9">
        <f>($K$2+0.02)*Tabla1[[#This Row],[PRECIO $]]*1.18</f>
        <v>1917.6887999999999</v>
      </c>
      <c r="J1809" s="7">
        <f>+Tabla1[[#This Row],[PRECIO EN SOLES]]-Tabla1[[#This Row],[PC]]</f>
        <v>295.65120000000024</v>
      </c>
      <c r="K1809" s="15"/>
      <c r="L1809" s="15" t="str">
        <f t="shared" si="58"/>
        <v>NORMAL</v>
      </c>
    </row>
    <row r="1810" spans="1:12" x14ac:dyDescent="0.25">
      <c r="A1810" s="3" t="s">
        <v>6222</v>
      </c>
      <c r="B1810" s="3" t="s">
        <v>6223</v>
      </c>
      <c r="C1810" s="1">
        <v>8</v>
      </c>
      <c r="D1810" s="1">
        <v>472</v>
      </c>
      <c r="E1810" s="1" t="s">
        <v>226</v>
      </c>
      <c r="F1810" s="1" t="s">
        <v>6224</v>
      </c>
      <c r="G1810" s="3" t="s">
        <v>6225</v>
      </c>
      <c r="H1810" s="11">
        <f t="shared" ref="H1810:H1873" si="59">ROUND(
IF(L1808="GANCHO",
   IF(I1810&lt;=50,I1810*1.1+4,IF(I1810&lt;=120,I1810*1.1+7,IF(I1810&lt;=250,I1810*1.1+11,I1810*1.1+19))),
IF(L1808="NORMAL",
   IF(I1810&lt;=30,I1810*1.15+2,IF(I1810&lt;=80,I1810*1.15+4,IF(I1810&lt;=150,I1810*1.15+6,I1810*1.15+8))),
IF(L1808="COMPLEMENTO",
   IF(I1810&lt;=25,I1810*1.25+1.5,IF(I1810&lt;=60,I1810*1.25+3,IF(I1810&lt;=120,I1810*1.25+4,I1810*1.25+5))),
""))),2)</f>
        <v>2236.9499999999998</v>
      </c>
      <c r="I1810" s="9">
        <f>($K$2+0.02)*Tabla1[[#This Row],[PRECIO $]]*1.18</f>
        <v>1938.2207999999998</v>
      </c>
      <c r="J1810" s="7">
        <f>+Tabla1[[#This Row],[PRECIO EN SOLES]]-Tabla1[[#This Row],[PC]]</f>
        <v>298.72919999999999</v>
      </c>
      <c r="K1810" s="15"/>
      <c r="L1810" s="15" t="str">
        <f t="shared" si="58"/>
        <v>NORMAL</v>
      </c>
    </row>
    <row r="1811" spans="1:12" x14ac:dyDescent="0.25">
      <c r="A1811" s="3" t="s">
        <v>6993</v>
      </c>
      <c r="B1811" s="3" t="s">
        <v>6994</v>
      </c>
      <c r="C1811" s="1">
        <v>20</v>
      </c>
      <c r="D1811" s="1">
        <v>447</v>
      </c>
      <c r="E1811" s="1" t="s">
        <v>226</v>
      </c>
      <c r="F1811" s="1" t="s">
        <v>6995</v>
      </c>
      <c r="G1811" s="3" t="s">
        <v>6996</v>
      </c>
      <c r="H1811" s="11">
        <f t="shared" si="59"/>
        <v>2118.89</v>
      </c>
      <c r="I1811" s="9">
        <f>($K$2+0.02)*Tabla1[[#This Row],[PRECIO $]]*1.18</f>
        <v>1835.5607999999997</v>
      </c>
      <c r="J1811" s="7">
        <f>+Tabla1[[#This Row],[PRECIO EN SOLES]]-Tabla1[[#This Row],[PC]]</f>
        <v>283.32920000000013</v>
      </c>
      <c r="K1811" s="15"/>
      <c r="L1811" s="15" t="str">
        <f t="shared" si="58"/>
        <v>NORMAL</v>
      </c>
    </row>
    <row r="1812" spans="1:12" x14ac:dyDescent="0.25">
      <c r="A1812" s="3" t="s">
        <v>5593</v>
      </c>
      <c r="B1812" s="3" t="s">
        <v>5594</v>
      </c>
      <c r="C1812" s="1">
        <v>20</v>
      </c>
      <c r="D1812" s="1">
        <v>441</v>
      </c>
      <c r="E1812" s="1" t="s">
        <v>226</v>
      </c>
      <c r="F1812" s="1" t="s">
        <v>5595</v>
      </c>
      <c r="G1812" s="3" t="s">
        <v>5596</v>
      </c>
      <c r="H1812" s="11">
        <f t="shared" si="59"/>
        <v>2090.56</v>
      </c>
      <c r="I1812" s="9">
        <f>($K$2+0.02)*Tabla1[[#This Row],[PRECIO $]]*1.18</f>
        <v>1810.9223999999999</v>
      </c>
      <c r="J1812" s="7">
        <f>+Tabla1[[#This Row],[PRECIO EN SOLES]]-Tabla1[[#This Row],[PC]]</f>
        <v>279.63760000000002</v>
      </c>
      <c r="K1812" s="15"/>
      <c r="L1812" s="15" t="str">
        <f t="shared" si="58"/>
        <v>NORMAL</v>
      </c>
    </row>
    <row r="1813" spans="1:12" x14ac:dyDescent="0.25">
      <c r="A1813" s="3" t="s">
        <v>5100</v>
      </c>
      <c r="B1813" s="3" t="s">
        <v>5101</v>
      </c>
      <c r="C1813" s="1">
        <v>7</v>
      </c>
      <c r="D1813" s="1">
        <v>579</v>
      </c>
      <c r="E1813" s="1" t="s">
        <v>226</v>
      </c>
      <c r="F1813" s="1" t="s">
        <v>5102</v>
      </c>
      <c r="G1813" s="3" t="s">
        <v>5103</v>
      </c>
      <c r="H1813" s="11">
        <f t="shared" si="59"/>
        <v>2742.25</v>
      </c>
      <c r="I1813" s="9">
        <f>($K$2+0.02)*Tabla1[[#This Row],[PRECIO $]]*1.18</f>
        <v>2377.6055999999999</v>
      </c>
      <c r="J1813" s="7">
        <f>+Tabla1[[#This Row],[PRECIO EN SOLES]]-Tabla1[[#This Row],[PC]]</f>
        <v>364.64440000000013</v>
      </c>
      <c r="K1813" s="15"/>
      <c r="L1813" s="15" t="str">
        <f t="shared" si="58"/>
        <v>NORMAL</v>
      </c>
    </row>
    <row r="1814" spans="1:12" x14ac:dyDescent="0.25">
      <c r="A1814" s="3" t="s">
        <v>5104</v>
      </c>
      <c r="B1814" s="3" t="s">
        <v>5105</v>
      </c>
      <c r="C1814" s="1">
        <v>20</v>
      </c>
      <c r="D1814" s="1">
        <v>565</v>
      </c>
      <c r="E1814" s="1" t="s">
        <v>226</v>
      </c>
      <c r="F1814" s="1" t="s">
        <v>5106</v>
      </c>
      <c r="G1814" s="3" t="s">
        <v>5107</v>
      </c>
      <c r="H1814" s="11">
        <f t="shared" si="59"/>
        <v>2676.13</v>
      </c>
      <c r="I1814" s="9">
        <f>($K$2+0.02)*Tabla1[[#This Row],[PRECIO $]]*1.18</f>
        <v>2320.116</v>
      </c>
      <c r="J1814" s="7">
        <f>+Tabla1[[#This Row],[PRECIO EN SOLES]]-Tabla1[[#This Row],[PC]]</f>
        <v>356.01400000000012</v>
      </c>
      <c r="K1814" s="15"/>
      <c r="L1814" s="15" t="str">
        <f t="shared" si="58"/>
        <v>NORMAL</v>
      </c>
    </row>
    <row r="1815" spans="1:12" x14ac:dyDescent="0.25">
      <c r="A1815" s="3" t="s">
        <v>5108</v>
      </c>
      <c r="B1815" s="3" t="s">
        <v>5109</v>
      </c>
      <c r="C1815" s="1">
        <v>19</v>
      </c>
      <c r="D1815" s="1">
        <v>565</v>
      </c>
      <c r="E1815" s="1" t="s">
        <v>226</v>
      </c>
      <c r="F1815" s="1" t="s">
        <v>5110</v>
      </c>
      <c r="G1815" s="3" t="s">
        <v>5111</v>
      </c>
      <c r="H1815" s="11">
        <f t="shared" si="59"/>
        <v>2676.13</v>
      </c>
      <c r="I1815" s="9">
        <f>($K$2+0.02)*Tabla1[[#This Row],[PRECIO $]]*1.18</f>
        <v>2320.116</v>
      </c>
      <c r="J1815" s="7">
        <f>+Tabla1[[#This Row],[PRECIO EN SOLES]]-Tabla1[[#This Row],[PC]]</f>
        <v>356.01400000000012</v>
      </c>
      <c r="K1815" s="15"/>
      <c r="L1815" s="15" t="str">
        <f t="shared" si="58"/>
        <v>NORMAL</v>
      </c>
    </row>
    <row r="1816" spans="1:12" x14ac:dyDescent="0.25">
      <c r="A1816" s="3" t="s">
        <v>5112</v>
      </c>
      <c r="B1816" s="3" t="s">
        <v>5113</v>
      </c>
      <c r="C1816" s="1">
        <v>20</v>
      </c>
      <c r="D1816" s="1">
        <v>561</v>
      </c>
      <c r="E1816" s="1" t="s">
        <v>226</v>
      </c>
      <c r="F1816" s="1" t="s">
        <v>5114</v>
      </c>
      <c r="G1816" s="3" t="s">
        <v>5115</v>
      </c>
      <c r="H1816" s="11">
        <f t="shared" si="59"/>
        <v>2657.24</v>
      </c>
      <c r="I1816" s="9">
        <f>($K$2+0.02)*Tabla1[[#This Row],[PRECIO $]]*1.18</f>
        <v>2303.6904</v>
      </c>
      <c r="J1816" s="7">
        <f>+Tabla1[[#This Row],[PRECIO EN SOLES]]-Tabla1[[#This Row],[PC]]</f>
        <v>353.54959999999983</v>
      </c>
      <c r="K1816" s="15"/>
      <c r="L1816" s="15" t="str">
        <f t="shared" si="58"/>
        <v>NORMAL</v>
      </c>
    </row>
    <row r="1817" spans="1:12" x14ac:dyDescent="0.25">
      <c r="A1817" s="3" t="s">
        <v>5116</v>
      </c>
      <c r="B1817" s="3" t="s">
        <v>5117</v>
      </c>
      <c r="C1817" s="1">
        <v>20</v>
      </c>
      <c r="D1817" s="1">
        <v>367.35</v>
      </c>
      <c r="E1817" s="1" t="s">
        <v>121</v>
      </c>
      <c r="F1817" s="1" t="s">
        <v>5118</v>
      </c>
      <c r="G1817" s="3" t="s">
        <v>5119</v>
      </c>
      <c r="H1817" s="11">
        <f t="shared" si="59"/>
        <v>1742.76</v>
      </c>
      <c r="I1817" s="9">
        <f>($K$2+0.02)*Tabla1[[#This Row],[PRECIO $]]*1.18</f>
        <v>1508.48604</v>
      </c>
      <c r="J1817" s="7">
        <f>+Tabla1[[#This Row],[PRECIO EN SOLES]]-Tabla1[[#This Row],[PC]]</f>
        <v>234.27395999999999</v>
      </c>
      <c r="K1817" s="15"/>
      <c r="L1817" s="15" t="str">
        <f t="shared" si="58"/>
        <v>NORMAL</v>
      </c>
    </row>
    <row r="1818" spans="1:12" x14ac:dyDescent="0.25">
      <c r="A1818" s="3" t="s">
        <v>5120</v>
      </c>
      <c r="B1818" s="3" t="s">
        <v>5121</v>
      </c>
      <c r="C1818" s="1">
        <v>0</v>
      </c>
      <c r="D1818" s="1">
        <v>319</v>
      </c>
      <c r="E1818" s="1" t="s">
        <v>121</v>
      </c>
      <c r="F1818" s="1" t="s">
        <v>5122</v>
      </c>
      <c r="G1818" s="3" t="s">
        <v>5123</v>
      </c>
      <c r="H1818" s="11">
        <f t="shared" si="59"/>
        <v>1514.43</v>
      </c>
      <c r="I1818" s="9">
        <f>($K$2+0.02)*Tabla1[[#This Row],[PRECIO $]]*1.18</f>
        <v>1309.9415999999999</v>
      </c>
      <c r="J1818" s="7">
        <f>+Tabla1[[#This Row],[PRECIO EN SOLES]]-Tabla1[[#This Row],[PC]]</f>
        <v>204.48840000000018</v>
      </c>
      <c r="K1818" s="15"/>
      <c r="L1818" s="15" t="str">
        <f t="shared" si="58"/>
        <v>NORMAL</v>
      </c>
    </row>
    <row r="1819" spans="1:12" x14ac:dyDescent="0.25">
      <c r="A1819" s="3" t="s">
        <v>5598</v>
      </c>
      <c r="B1819" s="3" t="s">
        <v>6226</v>
      </c>
      <c r="C1819" s="1">
        <v>20</v>
      </c>
      <c r="D1819" s="1">
        <v>352</v>
      </c>
      <c r="E1819" s="1" t="s">
        <v>121</v>
      </c>
      <c r="F1819" s="1" t="s">
        <v>5599</v>
      </c>
      <c r="G1819" s="3" t="s">
        <v>5600</v>
      </c>
      <c r="H1819" s="11">
        <f t="shared" si="59"/>
        <v>1670.27</v>
      </c>
      <c r="I1819" s="9">
        <f>($K$2+0.02)*Tabla1[[#This Row],[PRECIO $]]*1.18</f>
        <v>1445.4528</v>
      </c>
      <c r="J1819" s="7">
        <f>+Tabla1[[#This Row],[PRECIO EN SOLES]]-Tabla1[[#This Row],[PC]]</f>
        <v>224.81719999999996</v>
      </c>
      <c r="K1819" s="15"/>
      <c r="L1819" s="15" t="str">
        <f t="shared" si="58"/>
        <v>NORMAL</v>
      </c>
    </row>
    <row r="1820" spans="1:12" x14ac:dyDescent="0.25">
      <c r="A1820" s="3" t="s">
        <v>5601</v>
      </c>
      <c r="B1820" s="3" t="s">
        <v>5597</v>
      </c>
      <c r="C1820" s="1">
        <v>20</v>
      </c>
      <c r="D1820" s="1">
        <v>463.85</v>
      </c>
      <c r="E1820" s="1" t="s">
        <v>121</v>
      </c>
      <c r="F1820" s="1" t="s">
        <v>5602</v>
      </c>
      <c r="G1820" s="3" t="s">
        <v>5603</v>
      </c>
      <c r="H1820" s="11">
        <f t="shared" si="59"/>
        <v>2198.4699999999998</v>
      </c>
      <c r="I1820" s="9">
        <f>($K$2+0.02)*Tabla1[[#This Row],[PRECIO $]]*1.18</f>
        <v>1904.7536399999999</v>
      </c>
      <c r="J1820" s="7">
        <f>+Tabla1[[#This Row],[PRECIO EN SOLES]]-Tabla1[[#This Row],[PC]]</f>
        <v>293.7163599999999</v>
      </c>
      <c r="K1820" s="15"/>
      <c r="L1820" s="15" t="str">
        <f t="shared" si="58"/>
        <v>NORMAL</v>
      </c>
    </row>
    <row r="1821" spans="1:12" x14ac:dyDescent="0.25">
      <c r="A1821" s="3" t="s">
        <v>5604</v>
      </c>
      <c r="B1821" s="3" t="s">
        <v>5605</v>
      </c>
      <c r="C1821" s="1">
        <v>20</v>
      </c>
      <c r="D1821" s="1">
        <v>473.35</v>
      </c>
      <c r="E1821" s="1" t="s">
        <v>121</v>
      </c>
      <c r="F1821" s="1" t="s">
        <v>5606</v>
      </c>
      <c r="G1821" s="3" t="s">
        <v>5607</v>
      </c>
      <c r="H1821" s="11">
        <f t="shared" si="59"/>
        <v>2243.33</v>
      </c>
      <c r="I1821" s="9">
        <f>($K$2+0.02)*Tabla1[[#This Row],[PRECIO $]]*1.18</f>
        <v>1943.7644399999999</v>
      </c>
      <c r="J1821" s="7">
        <f>+Tabla1[[#This Row],[PRECIO EN SOLES]]-Tabla1[[#This Row],[PC]]</f>
        <v>299.56556</v>
      </c>
      <c r="K1821" s="15"/>
      <c r="L1821" s="15" t="str">
        <f t="shared" si="58"/>
        <v>NORMAL</v>
      </c>
    </row>
    <row r="1822" spans="1:12" x14ac:dyDescent="0.25">
      <c r="A1822" s="3" t="s">
        <v>5124</v>
      </c>
      <c r="B1822" s="3" t="s">
        <v>5125</v>
      </c>
      <c r="C1822" s="1">
        <v>20</v>
      </c>
      <c r="D1822" s="1">
        <v>411.35</v>
      </c>
      <c r="E1822" s="1" t="s">
        <v>121</v>
      </c>
      <c r="F1822" s="1" t="s">
        <v>5126</v>
      </c>
      <c r="G1822" s="3" t="s">
        <v>5127</v>
      </c>
      <c r="H1822" s="11">
        <f t="shared" si="59"/>
        <v>1950.54</v>
      </c>
      <c r="I1822" s="9">
        <f>($K$2+0.02)*Tabla1[[#This Row],[PRECIO $]]*1.18</f>
        <v>1689.1676399999999</v>
      </c>
      <c r="J1822" s="7">
        <f>+Tabla1[[#This Row],[PRECIO EN SOLES]]-Tabla1[[#This Row],[PC]]</f>
        <v>261.37236000000007</v>
      </c>
      <c r="K1822" s="15"/>
      <c r="L1822" s="15" t="str">
        <f t="shared" si="58"/>
        <v>NORMAL</v>
      </c>
    </row>
    <row r="1823" spans="1:12" x14ac:dyDescent="0.25">
      <c r="A1823" s="3" t="s">
        <v>5128</v>
      </c>
      <c r="B1823" s="3" t="s">
        <v>5129</v>
      </c>
      <c r="C1823" s="1">
        <v>6</v>
      </c>
      <c r="D1823" s="1">
        <v>543</v>
      </c>
      <c r="E1823" s="1" t="s">
        <v>121</v>
      </c>
      <c r="F1823" s="1" t="s">
        <v>5130</v>
      </c>
      <c r="G1823" s="3" t="s">
        <v>5131</v>
      </c>
      <c r="H1823" s="11">
        <f t="shared" si="59"/>
        <v>2572.2399999999998</v>
      </c>
      <c r="I1823" s="9">
        <f>($K$2+0.02)*Tabla1[[#This Row],[PRECIO $]]*1.18</f>
        <v>2229.7752</v>
      </c>
      <c r="J1823" s="7">
        <f>+Tabla1[[#This Row],[PRECIO EN SOLES]]-Tabla1[[#This Row],[PC]]</f>
        <v>342.46479999999974</v>
      </c>
      <c r="K1823" s="15"/>
      <c r="L1823" s="15" t="str">
        <f t="shared" si="58"/>
        <v>NORMAL</v>
      </c>
    </row>
    <row r="1824" spans="1:12" x14ac:dyDescent="0.25">
      <c r="A1824" s="3" t="s">
        <v>5132</v>
      </c>
      <c r="B1824" s="3" t="s">
        <v>5133</v>
      </c>
      <c r="C1824" s="1">
        <v>2</v>
      </c>
      <c r="D1824" s="1">
        <v>626</v>
      </c>
      <c r="E1824" s="1" t="s">
        <v>121</v>
      </c>
      <c r="F1824" s="1" t="s">
        <v>5134</v>
      </c>
      <c r="G1824" s="3" t="s">
        <v>5135</v>
      </c>
      <c r="H1824" s="11">
        <f t="shared" si="59"/>
        <v>2964.2</v>
      </c>
      <c r="I1824" s="9">
        <f>($K$2+0.02)*Tabla1[[#This Row],[PRECIO $]]*1.18</f>
        <v>2570.6063999999997</v>
      </c>
      <c r="J1824" s="7">
        <f>+Tabla1[[#This Row],[PRECIO EN SOLES]]-Tabla1[[#This Row],[PC]]</f>
        <v>393.59360000000015</v>
      </c>
      <c r="K1824" s="15"/>
      <c r="L1824" s="15" t="str">
        <f t="shared" si="58"/>
        <v>NORMAL</v>
      </c>
    </row>
    <row r="1825" spans="1:12" x14ac:dyDescent="0.25">
      <c r="A1825" s="3" t="s">
        <v>5608</v>
      </c>
      <c r="B1825" s="3" t="s">
        <v>5609</v>
      </c>
      <c r="C1825" s="1">
        <v>4</v>
      </c>
      <c r="D1825" s="1">
        <v>444</v>
      </c>
      <c r="E1825" s="1" t="s">
        <v>121</v>
      </c>
      <c r="F1825" s="1" t="s">
        <v>5610</v>
      </c>
      <c r="G1825" s="3" t="s">
        <v>5611</v>
      </c>
      <c r="H1825" s="11">
        <f t="shared" si="59"/>
        <v>2104.73</v>
      </c>
      <c r="I1825" s="9">
        <f>($K$2+0.02)*Tabla1[[#This Row],[PRECIO $]]*1.18</f>
        <v>1823.2415999999998</v>
      </c>
      <c r="J1825" s="7">
        <f>+Tabla1[[#This Row],[PRECIO EN SOLES]]-Tabla1[[#This Row],[PC]]</f>
        <v>281.48840000000018</v>
      </c>
      <c r="K1825" s="15"/>
      <c r="L1825" s="15" t="str">
        <f t="shared" si="58"/>
        <v>NORMAL</v>
      </c>
    </row>
    <row r="1826" spans="1:12" x14ac:dyDescent="0.25">
      <c r="A1826" s="3" t="s">
        <v>6227</v>
      </c>
      <c r="B1826" s="3" t="s">
        <v>6228</v>
      </c>
      <c r="C1826" s="1">
        <v>20</v>
      </c>
      <c r="D1826" s="1">
        <v>353.5</v>
      </c>
      <c r="E1826" s="1" t="s">
        <v>6229</v>
      </c>
      <c r="F1826" s="1" t="s">
        <v>6230</v>
      </c>
      <c r="G1826" s="3" t="s">
        <v>6231</v>
      </c>
      <c r="H1826" s="11">
        <f t="shared" si="59"/>
        <v>1677.35</v>
      </c>
      <c r="I1826" s="9">
        <f>($K$2+0.02)*Tabla1[[#This Row],[PRECIO $]]*1.18</f>
        <v>1451.6124</v>
      </c>
      <c r="J1826" s="7">
        <f>+Tabla1[[#This Row],[PRECIO EN SOLES]]-Tabla1[[#This Row],[PC]]</f>
        <v>225.73759999999993</v>
      </c>
      <c r="K1826" s="15"/>
      <c r="L1826" s="15" t="str">
        <f t="shared" si="58"/>
        <v>NORMAL</v>
      </c>
    </row>
    <row r="1827" spans="1:12" x14ac:dyDescent="0.25">
      <c r="A1827" s="3" t="s">
        <v>6232</v>
      </c>
      <c r="B1827" s="3" t="s">
        <v>6233</v>
      </c>
      <c r="C1827" s="1">
        <v>20</v>
      </c>
      <c r="D1827" s="1">
        <v>470.85</v>
      </c>
      <c r="E1827" s="1" t="s">
        <v>6229</v>
      </c>
      <c r="F1827" s="1" t="s">
        <v>6234</v>
      </c>
      <c r="G1827" s="3" t="s">
        <v>6380</v>
      </c>
      <c r="H1827" s="11">
        <f t="shared" si="59"/>
        <v>2231.52</v>
      </c>
      <c r="I1827" s="9">
        <f>($K$2+0.02)*Tabla1[[#This Row],[PRECIO $]]*1.18</f>
        <v>1933.4984399999998</v>
      </c>
      <c r="J1827" s="7">
        <f>+Tabla1[[#This Row],[PRECIO EN SOLES]]-Tabla1[[#This Row],[PC]]</f>
        <v>298.02156000000014</v>
      </c>
      <c r="K1827" s="15"/>
      <c r="L1827" s="15" t="str">
        <f t="shared" si="58"/>
        <v>NORMAL</v>
      </c>
    </row>
    <row r="1828" spans="1:12" x14ac:dyDescent="0.25">
      <c r="A1828" s="3" t="s">
        <v>5612</v>
      </c>
      <c r="B1828" s="3" t="s">
        <v>5613</v>
      </c>
      <c r="C1828" s="1">
        <v>20</v>
      </c>
      <c r="D1828" s="1">
        <v>439</v>
      </c>
      <c r="E1828" s="1" t="s">
        <v>226</v>
      </c>
      <c r="F1828" s="1" t="s">
        <v>5614</v>
      </c>
      <c r="G1828" s="3" t="s">
        <v>5615</v>
      </c>
      <c r="H1828" s="11">
        <f t="shared" si="59"/>
        <v>2081.12</v>
      </c>
      <c r="I1828" s="9">
        <f>($K$2+0.02)*Tabla1[[#This Row],[PRECIO $]]*1.18</f>
        <v>1802.7095999999999</v>
      </c>
      <c r="J1828" s="7">
        <f>+Tabla1[[#This Row],[PRECIO EN SOLES]]-Tabla1[[#This Row],[PC]]</f>
        <v>278.41039999999998</v>
      </c>
      <c r="K1828" s="15"/>
      <c r="L1828" s="15" t="str">
        <f t="shared" si="58"/>
        <v>NORMAL</v>
      </c>
    </row>
    <row r="1829" spans="1:12" x14ac:dyDescent="0.25">
      <c r="A1829" s="3" t="s">
        <v>2728</v>
      </c>
      <c r="B1829" s="3" t="s">
        <v>2729</v>
      </c>
      <c r="C1829" s="1">
        <v>20</v>
      </c>
      <c r="D1829" s="1">
        <v>475</v>
      </c>
      <c r="E1829" s="1" t="s">
        <v>906</v>
      </c>
      <c r="F1829" s="1" t="s">
        <v>4168</v>
      </c>
      <c r="G1829" s="3" t="s">
        <v>2730</v>
      </c>
      <c r="H1829" s="11">
        <f t="shared" si="59"/>
        <v>2251.12</v>
      </c>
      <c r="I1829" s="9">
        <f>($K$2+0.02)*Tabla1[[#This Row],[PRECIO $]]*1.18</f>
        <v>1950.54</v>
      </c>
      <c r="J1829" s="7">
        <f>+Tabla1[[#This Row],[PRECIO EN SOLES]]-Tabla1[[#This Row],[PC]]</f>
        <v>300.57999999999993</v>
      </c>
      <c r="K1829" s="15"/>
      <c r="L1829" s="15" t="str">
        <f t="shared" si="58"/>
        <v>NORMAL</v>
      </c>
    </row>
    <row r="1830" spans="1:12" x14ac:dyDescent="0.25">
      <c r="A1830" s="3" t="s">
        <v>2731</v>
      </c>
      <c r="B1830" s="3" t="s">
        <v>2732</v>
      </c>
      <c r="C1830" s="1">
        <v>20</v>
      </c>
      <c r="D1830" s="1">
        <v>499</v>
      </c>
      <c r="E1830" s="1" t="s">
        <v>906</v>
      </c>
      <c r="F1830" s="1" t="s">
        <v>4169</v>
      </c>
      <c r="G1830" s="3" t="s">
        <v>2733</v>
      </c>
      <c r="H1830" s="11">
        <f t="shared" si="59"/>
        <v>2364.46</v>
      </c>
      <c r="I1830" s="9">
        <f>($K$2+0.02)*Tabla1[[#This Row],[PRECIO $]]*1.18</f>
        <v>2049.0935999999997</v>
      </c>
      <c r="J1830" s="7">
        <f>+Tabla1[[#This Row],[PRECIO EN SOLES]]-Tabla1[[#This Row],[PC]]</f>
        <v>315.36640000000034</v>
      </c>
      <c r="K1830" s="15"/>
      <c r="L1830" s="15" t="str">
        <f t="shared" si="58"/>
        <v>NORMAL</v>
      </c>
    </row>
    <row r="1831" spans="1:12" x14ac:dyDescent="0.25">
      <c r="A1831" s="3" t="s">
        <v>6235</v>
      </c>
      <c r="B1831" s="3" t="s">
        <v>6236</v>
      </c>
      <c r="C1831" s="1">
        <v>9</v>
      </c>
      <c r="D1831" s="1">
        <v>689</v>
      </c>
      <c r="E1831" s="1" t="s">
        <v>906</v>
      </c>
      <c r="F1831" s="1" t="s">
        <v>6237</v>
      </c>
      <c r="G1831" s="3" t="s">
        <v>6238</v>
      </c>
      <c r="H1831" s="11">
        <f t="shared" si="59"/>
        <v>3261.71</v>
      </c>
      <c r="I1831" s="9">
        <f>($K$2+0.02)*Tabla1[[#This Row],[PRECIO $]]*1.18</f>
        <v>2829.3095999999996</v>
      </c>
      <c r="J1831" s="7">
        <f>+Tabla1[[#This Row],[PRECIO EN SOLES]]-Tabla1[[#This Row],[PC]]</f>
        <v>432.40040000000045</v>
      </c>
      <c r="K1831" s="15"/>
      <c r="L1831" s="15" t="str">
        <f t="shared" si="58"/>
        <v>NORMAL</v>
      </c>
    </row>
    <row r="1832" spans="1:12" x14ac:dyDescent="0.25">
      <c r="A1832" s="3" t="s">
        <v>6239</v>
      </c>
      <c r="B1832" s="3" t="s">
        <v>6240</v>
      </c>
      <c r="C1832" s="1">
        <v>5</v>
      </c>
      <c r="D1832" s="1">
        <v>775</v>
      </c>
      <c r="E1832" s="1" t="s">
        <v>906</v>
      </c>
      <c r="F1832" s="1" t="s">
        <v>6241</v>
      </c>
      <c r="G1832" s="3" t="s">
        <v>6242</v>
      </c>
      <c r="H1832" s="11">
        <f t="shared" si="59"/>
        <v>3667.83</v>
      </c>
      <c r="I1832" s="9">
        <f>($K$2+0.02)*Tabla1[[#This Row],[PRECIO $]]*1.18</f>
        <v>3182.46</v>
      </c>
      <c r="J1832" s="7">
        <f>+Tabla1[[#This Row],[PRECIO EN SOLES]]-Tabla1[[#This Row],[PC]]</f>
        <v>485.36999999999989</v>
      </c>
      <c r="K1832" s="15"/>
      <c r="L1832" s="15" t="str">
        <f t="shared" si="58"/>
        <v>NORMAL</v>
      </c>
    </row>
    <row r="1833" spans="1:12" x14ac:dyDescent="0.25">
      <c r="A1833" s="3" t="s">
        <v>6243</v>
      </c>
      <c r="B1833" s="3" t="s">
        <v>6244</v>
      </c>
      <c r="C1833" s="1">
        <v>18</v>
      </c>
      <c r="D1833" s="1">
        <v>771</v>
      </c>
      <c r="E1833" s="1" t="s">
        <v>906</v>
      </c>
      <c r="F1833" s="1" t="s">
        <v>6245</v>
      </c>
      <c r="G1833" s="3" t="s">
        <v>6246</v>
      </c>
      <c r="H1833" s="11">
        <f t="shared" si="59"/>
        <v>3648.94</v>
      </c>
      <c r="I1833" s="9">
        <f>($K$2+0.02)*Tabla1[[#This Row],[PRECIO $]]*1.18</f>
        <v>3166.0343999999996</v>
      </c>
      <c r="J1833" s="7">
        <f>+Tabla1[[#This Row],[PRECIO EN SOLES]]-Tabla1[[#This Row],[PC]]</f>
        <v>482.9056000000005</v>
      </c>
      <c r="K1833" s="15"/>
      <c r="L1833" s="15" t="str">
        <f t="shared" si="58"/>
        <v>NORMAL</v>
      </c>
    </row>
    <row r="1834" spans="1:12" x14ac:dyDescent="0.25">
      <c r="A1834" s="3" t="s">
        <v>6247</v>
      </c>
      <c r="B1834" s="3" t="s">
        <v>6248</v>
      </c>
      <c r="C1834" s="1">
        <v>20</v>
      </c>
      <c r="D1834" s="1">
        <v>771</v>
      </c>
      <c r="E1834" s="1" t="s">
        <v>906</v>
      </c>
      <c r="F1834" s="1" t="s">
        <v>6249</v>
      </c>
      <c r="G1834" s="3" t="s">
        <v>6250</v>
      </c>
      <c r="H1834" s="11">
        <f t="shared" si="59"/>
        <v>3648.94</v>
      </c>
      <c r="I1834" s="9">
        <f>($K$2+0.02)*Tabla1[[#This Row],[PRECIO $]]*1.18</f>
        <v>3166.0343999999996</v>
      </c>
      <c r="J1834" s="7">
        <f>+Tabla1[[#This Row],[PRECIO EN SOLES]]-Tabla1[[#This Row],[PC]]</f>
        <v>482.9056000000005</v>
      </c>
      <c r="K1834" s="15"/>
      <c r="L1834" s="15" t="str">
        <f t="shared" si="58"/>
        <v>NORMAL</v>
      </c>
    </row>
    <row r="1835" spans="1:12" x14ac:dyDescent="0.25">
      <c r="A1835" s="3" t="s">
        <v>5136</v>
      </c>
      <c r="B1835" s="3" t="s">
        <v>5137</v>
      </c>
      <c r="C1835" s="1">
        <v>20</v>
      </c>
      <c r="D1835" s="1">
        <v>512.5</v>
      </c>
      <c r="E1835" s="1" t="s">
        <v>226</v>
      </c>
      <c r="F1835" s="1" t="s">
        <v>5138</v>
      </c>
      <c r="G1835" s="3" t="s">
        <v>5139</v>
      </c>
      <c r="H1835" s="11">
        <f t="shared" si="59"/>
        <v>2428.21</v>
      </c>
      <c r="I1835" s="9">
        <f>($K$2+0.02)*Tabla1[[#This Row],[PRECIO $]]*1.18</f>
        <v>2104.5299999999997</v>
      </c>
      <c r="J1835" s="7">
        <f>+Tabla1[[#This Row],[PRECIO EN SOLES]]-Tabla1[[#This Row],[PC]]</f>
        <v>323.68000000000029</v>
      </c>
      <c r="K1835" s="15"/>
      <c r="L1835" s="15" t="str">
        <f t="shared" si="58"/>
        <v>NORMAL</v>
      </c>
    </row>
    <row r="1836" spans="1:12" x14ac:dyDescent="0.25">
      <c r="A1836" s="3" t="s">
        <v>4768</v>
      </c>
      <c r="B1836" s="3" t="s">
        <v>4769</v>
      </c>
      <c r="C1836" s="1">
        <v>20</v>
      </c>
      <c r="D1836" s="1">
        <v>780</v>
      </c>
      <c r="E1836" s="1" t="s">
        <v>226</v>
      </c>
      <c r="F1836" s="1" t="s">
        <v>4770</v>
      </c>
      <c r="G1836" s="3" t="s">
        <v>4771</v>
      </c>
      <c r="H1836" s="11">
        <f t="shared" si="59"/>
        <v>3691.44</v>
      </c>
      <c r="I1836" s="9">
        <f>($K$2+0.02)*Tabla1[[#This Row],[PRECIO $]]*1.18</f>
        <v>3202.9919999999997</v>
      </c>
      <c r="J1836" s="7">
        <f>+Tabla1[[#This Row],[PRECIO EN SOLES]]-Tabla1[[#This Row],[PC]]</f>
        <v>488.44800000000032</v>
      </c>
      <c r="K1836" s="15"/>
      <c r="L1836" s="15" t="str">
        <f t="shared" si="58"/>
        <v>NORMAL</v>
      </c>
    </row>
    <row r="1837" spans="1:12" x14ac:dyDescent="0.25">
      <c r="A1837" s="3" t="s">
        <v>4772</v>
      </c>
      <c r="B1837" s="3" t="s">
        <v>4773</v>
      </c>
      <c r="C1837" s="1">
        <v>17</v>
      </c>
      <c r="D1837" s="1">
        <v>904</v>
      </c>
      <c r="E1837" s="1" t="s">
        <v>226</v>
      </c>
      <c r="F1837" s="1" t="s">
        <v>4774</v>
      </c>
      <c r="G1837" s="3" t="s">
        <v>4775</v>
      </c>
      <c r="H1837" s="11">
        <f t="shared" si="59"/>
        <v>4277.01</v>
      </c>
      <c r="I1837" s="9">
        <f>($K$2+0.02)*Tabla1[[#This Row],[PRECIO $]]*1.18</f>
        <v>3712.1855999999998</v>
      </c>
      <c r="J1837" s="7">
        <f>+Tabla1[[#This Row],[PRECIO EN SOLES]]-Tabla1[[#This Row],[PC]]</f>
        <v>564.82440000000042</v>
      </c>
      <c r="K1837" s="15"/>
      <c r="L1837" s="15" t="str">
        <f t="shared" si="58"/>
        <v>NORMAL</v>
      </c>
    </row>
    <row r="1838" spans="1:12" x14ac:dyDescent="0.25">
      <c r="A1838" s="3" t="s">
        <v>5193</v>
      </c>
      <c r="B1838" s="3" t="s">
        <v>5194</v>
      </c>
      <c r="C1838" s="1">
        <v>20</v>
      </c>
      <c r="D1838" s="1">
        <v>512</v>
      </c>
      <c r="E1838" s="1" t="s">
        <v>2736</v>
      </c>
      <c r="F1838" s="1" t="s">
        <v>5195</v>
      </c>
      <c r="G1838" s="3" t="s">
        <v>5196</v>
      </c>
      <c r="H1838" s="11">
        <f t="shared" si="59"/>
        <v>2425.85</v>
      </c>
      <c r="I1838" s="9">
        <f>($K$2+0.02)*Tabla1[[#This Row],[PRECIO $]]*1.18</f>
        <v>2102.4767999999999</v>
      </c>
      <c r="J1838" s="7">
        <f>+Tabla1[[#This Row],[PRECIO EN SOLES]]-Tabla1[[#This Row],[PC]]</f>
        <v>323.3732</v>
      </c>
      <c r="K1838" s="15"/>
      <c r="L1838" s="15" t="str">
        <f t="shared" si="58"/>
        <v>NORMAL</v>
      </c>
    </row>
    <row r="1839" spans="1:12" x14ac:dyDescent="0.25">
      <c r="A1839" s="3" t="s">
        <v>5197</v>
      </c>
      <c r="B1839" s="3" t="s">
        <v>5198</v>
      </c>
      <c r="C1839" s="1">
        <v>20</v>
      </c>
      <c r="D1839" s="1">
        <v>498</v>
      </c>
      <c r="E1839" s="1" t="s">
        <v>2736</v>
      </c>
      <c r="F1839" s="1" t="s">
        <v>5199</v>
      </c>
      <c r="G1839" s="3" t="s">
        <v>5200</v>
      </c>
      <c r="H1839" s="11">
        <f t="shared" si="59"/>
        <v>2359.7399999999998</v>
      </c>
      <c r="I1839" s="9">
        <f>($K$2+0.02)*Tabla1[[#This Row],[PRECIO $]]*1.18</f>
        <v>2044.9871999999998</v>
      </c>
      <c r="J1839" s="7">
        <f>+Tabla1[[#This Row],[PRECIO EN SOLES]]-Tabla1[[#This Row],[PC]]</f>
        <v>314.75279999999998</v>
      </c>
      <c r="K1839" s="15"/>
      <c r="L1839" s="15" t="str">
        <f t="shared" si="58"/>
        <v>NORMAL</v>
      </c>
    </row>
    <row r="1840" spans="1:12" x14ac:dyDescent="0.25">
      <c r="A1840" s="3" t="s">
        <v>5616</v>
      </c>
      <c r="B1840" s="3" t="s">
        <v>5617</v>
      </c>
      <c r="C1840" s="1">
        <v>20</v>
      </c>
      <c r="D1840" s="1">
        <v>504</v>
      </c>
      <c r="E1840" s="1" t="s">
        <v>2736</v>
      </c>
      <c r="F1840" s="1" t="s">
        <v>5618</v>
      </c>
      <c r="G1840" s="3" t="s">
        <v>5619</v>
      </c>
      <c r="H1840" s="11">
        <f t="shared" si="59"/>
        <v>2388.0700000000002</v>
      </c>
      <c r="I1840" s="9">
        <f>($K$2+0.02)*Tabla1[[#This Row],[PRECIO $]]*1.18</f>
        <v>2069.6255999999998</v>
      </c>
      <c r="J1840" s="7">
        <f>+Tabla1[[#This Row],[PRECIO EN SOLES]]-Tabla1[[#This Row],[PC]]</f>
        <v>318.44440000000031</v>
      </c>
      <c r="K1840" s="15"/>
      <c r="L1840" s="15" t="str">
        <f t="shared" si="58"/>
        <v>NORMAL</v>
      </c>
    </row>
    <row r="1841" spans="1:12" x14ac:dyDescent="0.25">
      <c r="A1841" s="3" t="s">
        <v>2734</v>
      </c>
      <c r="B1841" s="3" t="s">
        <v>2735</v>
      </c>
      <c r="C1841" s="1">
        <v>11</v>
      </c>
      <c r="D1841" s="1">
        <v>638</v>
      </c>
      <c r="E1841" s="1" t="s">
        <v>2736</v>
      </c>
      <c r="F1841" s="1" t="s">
        <v>4170</v>
      </c>
      <c r="G1841" s="3" t="s">
        <v>2737</v>
      </c>
      <c r="H1841" s="11">
        <f t="shared" si="59"/>
        <v>3020.87</v>
      </c>
      <c r="I1841" s="9">
        <f>($K$2+0.02)*Tabla1[[#This Row],[PRECIO $]]*1.18</f>
        <v>2619.8831999999998</v>
      </c>
      <c r="J1841" s="7">
        <f>+Tabla1[[#This Row],[PRECIO EN SOLES]]-Tabla1[[#This Row],[PC]]</f>
        <v>400.98680000000013</v>
      </c>
      <c r="K1841" s="15"/>
      <c r="L1841" s="15" t="str">
        <f t="shared" si="58"/>
        <v>NORMAL</v>
      </c>
    </row>
    <row r="1842" spans="1:12" x14ac:dyDescent="0.25">
      <c r="A1842" s="3" t="s">
        <v>2738</v>
      </c>
      <c r="B1842" s="3" t="s">
        <v>2739</v>
      </c>
      <c r="C1842" s="1">
        <v>2</v>
      </c>
      <c r="D1842" s="1">
        <v>617</v>
      </c>
      <c r="E1842" s="1" t="s">
        <v>2736</v>
      </c>
      <c r="F1842" s="1" t="s">
        <v>4171</v>
      </c>
      <c r="G1842" s="3" t="s">
        <v>2740</v>
      </c>
      <c r="H1842" s="11">
        <f t="shared" si="59"/>
        <v>2921.7</v>
      </c>
      <c r="I1842" s="9">
        <f>($K$2+0.02)*Tabla1[[#This Row],[PRECIO $]]*1.18</f>
        <v>2533.6487999999995</v>
      </c>
      <c r="J1842" s="7">
        <f>+Tabla1[[#This Row],[PRECIO EN SOLES]]-Tabla1[[#This Row],[PC]]</f>
        <v>388.05120000000034</v>
      </c>
      <c r="K1842" s="15"/>
      <c r="L1842" s="15" t="str">
        <f t="shared" si="58"/>
        <v>NORMAL</v>
      </c>
    </row>
    <row r="1843" spans="1:12" x14ac:dyDescent="0.25">
      <c r="A1843" s="3" t="s">
        <v>5620</v>
      </c>
      <c r="B1843" s="3" t="s">
        <v>5621</v>
      </c>
      <c r="C1843" s="1">
        <v>12</v>
      </c>
      <c r="D1843" s="1">
        <v>802</v>
      </c>
      <c r="E1843" s="1" t="s">
        <v>2736</v>
      </c>
      <c r="F1843" s="1" t="s">
        <v>5622</v>
      </c>
      <c r="G1843" s="3" t="s">
        <v>5623</v>
      </c>
      <c r="H1843" s="11">
        <f t="shared" si="59"/>
        <v>3795.33</v>
      </c>
      <c r="I1843" s="9">
        <f>($K$2+0.02)*Tabla1[[#This Row],[PRECIO $]]*1.18</f>
        <v>3293.3327999999997</v>
      </c>
      <c r="J1843" s="7">
        <f>+Tabla1[[#This Row],[PRECIO EN SOLES]]-Tabla1[[#This Row],[PC]]</f>
        <v>501.99720000000025</v>
      </c>
      <c r="K1843" s="15"/>
      <c r="L1843" s="15" t="str">
        <f t="shared" si="58"/>
        <v>NORMAL</v>
      </c>
    </row>
    <row r="1844" spans="1:12" x14ac:dyDescent="0.25">
      <c r="A1844" s="3" t="s">
        <v>5201</v>
      </c>
      <c r="B1844" s="3" t="s">
        <v>5202</v>
      </c>
      <c r="C1844" s="1">
        <v>6</v>
      </c>
      <c r="D1844" s="1">
        <v>885</v>
      </c>
      <c r="E1844" s="1" t="s">
        <v>2736</v>
      </c>
      <c r="F1844" s="1" t="s">
        <v>5203</v>
      </c>
      <c r="G1844" s="3" t="s">
        <v>5204</v>
      </c>
      <c r="H1844" s="11">
        <f t="shared" si="59"/>
        <v>4187.29</v>
      </c>
      <c r="I1844" s="9">
        <f>($K$2+0.02)*Tabla1[[#This Row],[PRECIO $]]*1.18</f>
        <v>3634.1640000000002</v>
      </c>
      <c r="J1844" s="7">
        <f>+Tabla1[[#This Row],[PRECIO EN SOLES]]-Tabla1[[#This Row],[PC]]</f>
        <v>553.12599999999975</v>
      </c>
      <c r="K1844" s="15"/>
      <c r="L1844" s="15" t="str">
        <f t="shared" si="58"/>
        <v>NORMAL</v>
      </c>
    </row>
    <row r="1845" spans="1:12" x14ac:dyDescent="0.25">
      <c r="A1845" s="3" t="s">
        <v>5205</v>
      </c>
      <c r="B1845" s="3" t="s">
        <v>5206</v>
      </c>
      <c r="C1845" s="1">
        <v>6</v>
      </c>
      <c r="D1845" s="1">
        <v>850</v>
      </c>
      <c r="E1845" s="1" t="s">
        <v>2736</v>
      </c>
      <c r="F1845" s="1" t="s">
        <v>5207</v>
      </c>
      <c r="G1845" s="3" t="s">
        <v>5208</v>
      </c>
      <c r="H1845" s="11">
        <f t="shared" si="59"/>
        <v>4022.01</v>
      </c>
      <c r="I1845" s="9">
        <f>($K$2+0.02)*Tabla1[[#This Row],[PRECIO $]]*1.18</f>
        <v>3490.4399999999996</v>
      </c>
      <c r="J1845" s="7">
        <f>+Tabla1[[#This Row],[PRECIO EN SOLES]]-Tabla1[[#This Row],[PC]]</f>
        <v>531.57000000000062</v>
      </c>
      <c r="K1845" s="15"/>
      <c r="L1845" s="15" t="str">
        <f t="shared" si="58"/>
        <v>NORMAL</v>
      </c>
    </row>
    <row r="1846" spans="1:12" x14ac:dyDescent="0.25">
      <c r="A1846" s="3" t="s">
        <v>5209</v>
      </c>
      <c r="B1846" s="3" t="s">
        <v>5210</v>
      </c>
      <c r="C1846" s="1">
        <v>3</v>
      </c>
      <c r="D1846" s="1">
        <v>807</v>
      </c>
      <c r="E1846" s="1" t="s">
        <v>2736</v>
      </c>
      <c r="F1846" s="1" t="s">
        <v>5211</v>
      </c>
      <c r="G1846" s="3" t="s">
        <v>5212</v>
      </c>
      <c r="H1846" s="11">
        <f t="shared" si="59"/>
        <v>3818.94</v>
      </c>
      <c r="I1846" s="9">
        <f>($K$2+0.02)*Tabla1[[#This Row],[PRECIO $]]*1.18</f>
        <v>3313.8647999999998</v>
      </c>
      <c r="J1846" s="7">
        <f>+Tabla1[[#This Row],[PRECIO EN SOLES]]-Tabla1[[#This Row],[PC]]</f>
        <v>505.07520000000022</v>
      </c>
      <c r="K1846" s="15"/>
      <c r="L1846" s="15" t="str">
        <f t="shared" si="58"/>
        <v>NORMAL</v>
      </c>
    </row>
    <row r="1847" spans="1:12" x14ac:dyDescent="0.25">
      <c r="A1847" s="3" t="s">
        <v>5213</v>
      </c>
      <c r="B1847" s="3" t="s">
        <v>5214</v>
      </c>
      <c r="C1847" s="1">
        <v>3</v>
      </c>
      <c r="D1847" s="1">
        <v>855</v>
      </c>
      <c r="E1847" s="1" t="s">
        <v>2736</v>
      </c>
      <c r="F1847" s="1" t="s">
        <v>5215</v>
      </c>
      <c r="G1847" s="3" t="s">
        <v>5216</v>
      </c>
      <c r="H1847" s="11">
        <f t="shared" si="59"/>
        <v>4045.62</v>
      </c>
      <c r="I1847" s="9">
        <f>($K$2+0.02)*Tabla1[[#This Row],[PRECIO $]]*1.18</f>
        <v>3510.9719999999998</v>
      </c>
      <c r="J1847" s="7">
        <f>+Tabla1[[#This Row],[PRECIO EN SOLES]]-Tabla1[[#This Row],[PC]]</f>
        <v>534.64800000000014</v>
      </c>
      <c r="K1847" s="15"/>
      <c r="L1847" s="15" t="str">
        <f t="shared" si="58"/>
        <v>NORMAL</v>
      </c>
    </row>
    <row r="1848" spans="1:12" x14ac:dyDescent="0.25">
      <c r="A1848" s="3" t="s">
        <v>6251</v>
      </c>
      <c r="B1848" s="3" t="s">
        <v>6252</v>
      </c>
      <c r="C1848" s="1">
        <v>20</v>
      </c>
      <c r="D1848" s="1">
        <v>344</v>
      </c>
      <c r="E1848" s="1" t="s">
        <v>906</v>
      </c>
      <c r="F1848" s="1" t="s">
        <v>6253</v>
      </c>
      <c r="G1848" s="3" t="s">
        <v>6254</v>
      </c>
      <c r="H1848" s="11">
        <f t="shared" si="59"/>
        <v>1632.49</v>
      </c>
      <c r="I1848" s="9">
        <f>($K$2+0.02)*Tabla1[[#This Row],[PRECIO $]]*1.18</f>
        <v>1412.6015999999997</v>
      </c>
      <c r="J1848" s="7">
        <f>+Tabla1[[#This Row],[PRECIO EN SOLES]]-Tabla1[[#This Row],[PC]]</f>
        <v>219.88840000000027</v>
      </c>
      <c r="K1848" s="15"/>
      <c r="L1848" s="15" t="str">
        <f t="shared" si="58"/>
        <v>NORMAL</v>
      </c>
    </row>
    <row r="1849" spans="1:12" x14ac:dyDescent="0.25">
      <c r="A1849" s="3" t="s">
        <v>5624</v>
      </c>
      <c r="B1849" s="3" t="s">
        <v>5625</v>
      </c>
      <c r="C1849" s="1">
        <v>20</v>
      </c>
      <c r="D1849" s="1">
        <v>333</v>
      </c>
      <c r="E1849" s="1" t="s">
        <v>226</v>
      </c>
      <c r="F1849" s="1" t="s">
        <v>5626</v>
      </c>
      <c r="G1849" s="3" t="s">
        <v>5627</v>
      </c>
      <c r="H1849" s="11">
        <f t="shared" si="59"/>
        <v>1580.55</v>
      </c>
      <c r="I1849" s="9">
        <f>($K$2+0.02)*Tabla1[[#This Row],[PRECIO $]]*1.18</f>
        <v>1367.4311999999998</v>
      </c>
      <c r="J1849" s="7">
        <f>+Tabla1[[#This Row],[PRECIO EN SOLES]]-Tabla1[[#This Row],[PC]]</f>
        <v>213.11880000000019</v>
      </c>
      <c r="K1849" s="15"/>
      <c r="L1849" s="15" t="str">
        <f t="shared" si="58"/>
        <v>NORMAL</v>
      </c>
    </row>
    <row r="1850" spans="1:12" x14ac:dyDescent="0.25">
      <c r="A1850" s="3" t="s">
        <v>5140</v>
      </c>
      <c r="B1850" s="3" t="s">
        <v>5141</v>
      </c>
      <c r="C1850" s="1">
        <v>20</v>
      </c>
      <c r="D1850" s="1">
        <v>402</v>
      </c>
      <c r="E1850" s="1" t="s">
        <v>226</v>
      </c>
      <c r="F1850" s="1" t="s">
        <v>5142</v>
      </c>
      <c r="G1850" s="3" t="s">
        <v>5143</v>
      </c>
      <c r="H1850" s="11">
        <f t="shared" si="59"/>
        <v>1906.39</v>
      </c>
      <c r="I1850" s="9">
        <f>($K$2+0.02)*Tabla1[[#This Row],[PRECIO $]]*1.18</f>
        <v>1650.7728</v>
      </c>
      <c r="J1850" s="7">
        <f>+Tabla1[[#This Row],[PRECIO EN SOLES]]-Tabla1[[#This Row],[PC]]</f>
        <v>255.61720000000014</v>
      </c>
      <c r="K1850" s="15"/>
      <c r="L1850" s="15" t="str">
        <f t="shared" si="58"/>
        <v>NORMAL</v>
      </c>
    </row>
    <row r="1851" spans="1:12" x14ac:dyDescent="0.25">
      <c r="A1851" s="3" t="s">
        <v>5217</v>
      </c>
      <c r="B1851" s="3" t="s">
        <v>5218</v>
      </c>
      <c r="C1851" s="1">
        <v>20</v>
      </c>
      <c r="D1851" s="1">
        <v>296</v>
      </c>
      <c r="E1851" s="1" t="s">
        <v>2736</v>
      </c>
      <c r="F1851" s="1" t="s">
        <v>5219</v>
      </c>
      <c r="G1851" s="3" t="s">
        <v>5220</v>
      </c>
      <c r="H1851" s="11">
        <f t="shared" si="59"/>
        <v>1405.82</v>
      </c>
      <c r="I1851" s="9">
        <f>($K$2+0.02)*Tabla1[[#This Row],[PRECIO $]]*1.18</f>
        <v>1215.4943999999998</v>
      </c>
      <c r="J1851" s="7">
        <f>+Tabla1[[#This Row],[PRECIO EN SOLES]]-Tabla1[[#This Row],[PC]]</f>
        <v>190.32560000000012</v>
      </c>
      <c r="K1851" s="15"/>
      <c r="L1851" s="15" t="str">
        <f t="shared" si="58"/>
        <v>NORMAL</v>
      </c>
    </row>
    <row r="1852" spans="1:12" x14ac:dyDescent="0.25">
      <c r="A1852" s="3" t="s">
        <v>5144</v>
      </c>
      <c r="B1852" s="3" t="s">
        <v>5145</v>
      </c>
      <c r="C1852" s="1">
        <v>20</v>
      </c>
      <c r="D1852" s="1">
        <v>51.3</v>
      </c>
      <c r="E1852" s="1" t="s">
        <v>121</v>
      </c>
      <c r="F1852" s="1" t="s">
        <v>5146</v>
      </c>
      <c r="G1852" s="3" t="s">
        <v>5147</v>
      </c>
      <c r="H1852" s="11">
        <f t="shared" si="59"/>
        <v>250.26</v>
      </c>
      <c r="I1852" s="9">
        <f>($K$2+0.02)*Tabla1[[#This Row],[PRECIO $]]*1.18</f>
        <v>210.65832</v>
      </c>
      <c r="J1852" s="7">
        <f>+Tabla1[[#This Row],[PRECIO EN SOLES]]-Tabla1[[#This Row],[PC]]</f>
        <v>39.601679999999988</v>
      </c>
      <c r="K1852" s="15"/>
      <c r="L1852" s="15" t="str">
        <f t="shared" si="58"/>
        <v>NORMAL</v>
      </c>
    </row>
    <row r="1853" spans="1:12" x14ac:dyDescent="0.25">
      <c r="A1853" s="3" t="s">
        <v>5221</v>
      </c>
      <c r="B1853" s="3" t="s">
        <v>5222</v>
      </c>
      <c r="C1853" s="1">
        <v>20</v>
      </c>
      <c r="D1853" s="1">
        <v>118</v>
      </c>
      <c r="E1853" s="1" t="s">
        <v>121</v>
      </c>
      <c r="F1853" s="1" t="s">
        <v>5223</v>
      </c>
      <c r="G1853" s="3" t="s">
        <v>5224</v>
      </c>
      <c r="H1853" s="11">
        <f t="shared" si="59"/>
        <v>565.24</v>
      </c>
      <c r="I1853" s="9">
        <f>($K$2+0.02)*Tabla1[[#This Row],[PRECIO $]]*1.18</f>
        <v>484.55519999999996</v>
      </c>
      <c r="J1853" s="7">
        <f>+Tabla1[[#This Row],[PRECIO EN SOLES]]-Tabla1[[#This Row],[PC]]</f>
        <v>80.684800000000052</v>
      </c>
      <c r="K1853" s="15"/>
      <c r="L1853" s="15" t="str">
        <f t="shared" si="58"/>
        <v>COMPLEMENTO</v>
      </c>
    </row>
    <row r="1854" spans="1:12" x14ac:dyDescent="0.25">
      <c r="A1854" s="3" t="s">
        <v>5628</v>
      </c>
      <c r="B1854" s="3" t="s">
        <v>5629</v>
      </c>
      <c r="C1854" s="1">
        <v>6</v>
      </c>
      <c r="D1854" s="1">
        <v>1200</v>
      </c>
      <c r="E1854" s="1" t="s">
        <v>58</v>
      </c>
      <c r="F1854" s="1" t="s">
        <v>5630</v>
      </c>
      <c r="G1854" s="3" t="s">
        <v>5631</v>
      </c>
      <c r="H1854" s="11">
        <f t="shared" si="59"/>
        <v>5674.83</v>
      </c>
      <c r="I1854" s="9">
        <f>($K$2+0.02)*Tabla1[[#This Row],[PRECIO $]]*1.18</f>
        <v>4927.6799999999994</v>
      </c>
      <c r="J1854" s="7">
        <f>+Tabla1[[#This Row],[PRECIO EN SOLES]]-Tabla1[[#This Row],[PC]]</f>
        <v>747.15000000000055</v>
      </c>
      <c r="K1854" s="15"/>
      <c r="L1854" s="15" t="str">
        <f t="shared" si="58"/>
        <v>NORMAL</v>
      </c>
    </row>
    <row r="1855" spans="1:12" x14ac:dyDescent="0.25">
      <c r="A1855" s="3" t="s">
        <v>2741</v>
      </c>
      <c r="B1855" s="3" t="s">
        <v>2742</v>
      </c>
      <c r="C1855" s="1">
        <v>20</v>
      </c>
      <c r="D1855" s="1">
        <v>6.1</v>
      </c>
      <c r="E1855" s="1" t="s">
        <v>58</v>
      </c>
      <c r="F1855" s="1" t="s">
        <v>4172</v>
      </c>
      <c r="G1855" s="3" t="s">
        <v>2743</v>
      </c>
      <c r="H1855" s="11">
        <f t="shared" si="59"/>
        <v>34.31</v>
      </c>
      <c r="I1855" s="9">
        <f>($K$2+0.02)*Tabla1[[#This Row],[PRECIO $]]*1.18</f>
        <v>25.049039999999998</v>
      </c>
      <c r="J1855" s="7">
        <f>+Tabla1[[#This Row],[PRECIO EN SOLES]]-Tabla1[[#This Row],[PC]]</f>
        <v>9.2609600000000043</v>
      </c>
      <c r="K1855" s="15"/>
      <c r="L1855" s="15" t="str">
        <f t="shared" si="58"/>
        <v>NORMAL</v>
      </c>
    </row>
    <row r="1856" spans="1:12" x14ac:dyDescent="0.25">
      <c r="A1856" s="3" t="s">
        <v>2744</v>
      </c>
      <c r="B1856" s="3" t="s">
        <v>2745</v>
      </c>
      <c r="C1856" s="1">
        <v>20</v>
      </c>
      <c r="D1856" s="1">
        <v>4.8</v>
      </c>
      <c r="E1856" s="1" t="s">
        <v>58</v>
      </c>
      <c r="F1856" s="1" t="s">
        <v>4173</v>
      </c>
      <c r="G1856" s="3" t="s">
        <v>2746</v>
      </c>
      <c r="H1856" s="11">
        <f t="shared" si="59"/>
        <v>24.67</v>
      </c>
      <c r="I1856" s="9">
        <f>($K$2+0.02)*Tabla1[[#This Row],[PRECIO $]]*1.18</f>
        <v>19.710719999999998</v>
      </c>
      <c r="J1856" s="7">
        <f>+Tabla1[[#This Row],[PRECIO EN SOLES]]-Tabla1[[#This Row],[PC]]</f>
        <v>4.9592800000000032</v>
      </c>
      <c r="K1856" s="15"/>
      <c r="L1856" s="15" t="str">
        <f t="shared" si="58"/>
        <v>COMPLEMENTO</v>
      </c>
    </row>
    <row r="1857" spans="1:12" x14ac:dyDescent="0.25">
      <c r="A1857" s="3" t="s">
        <v>2747</v>
      </c>
      <c r="B1857" s="3" t="s">
        <v>2748</v>
      </c>
      <c r="C1857" s="1">
        <v>2</v>
      </c>
      <c r="D1857" s="1">
        <v>296</v>
      </c>
      <c r="E1857" s="1" t="s">
        <v>58</v>
      </c>
      <c r="F1857" s="1" t="s">
        <v>4174</v>
      </c>
      <c r="G1857" s="3" t="s">
        <v>2749</v>
      </c>
      <c r="H1857" s="11">
        <f t="shared" si="59"/>
        <v>1405.82</v>
      </c>
      <c r="I1857" s="9">
        <f>($K$2+0.02)*Tabla1[[#This Row],[PRECIO $]]*1.18</f>
        <v>1215.4943999999998</v>
      </c>
      <c r="J1857" s="7">
        <f>+Tabla1[[#This Row],[PRECIO EN SOLES]]-Tabla1[[#This Row],[PC]]</f>
        <v>190.32560000000012</v>
      </c>
      <c r="K1857" s="15"/>
      <c r="L1857" s="15" t="str">
        <f t="shared" si="58"/>
        <v>NORMAL</v>
      </c>
    </row>
    <row r="1858" spans="1:12" x14ac:dyDescent="0.25">
      <c r="A1858" s="3" t="s">
        <v>5632</v>
      </c>
      <c r="B1858" s="3" t="s">
        <v>5633</v>
      </c>
      <c r="C1858" s="1">
        <v>4</v>
      </c>
      <c r="D1858" s="1">
        <v>374</v>
      </c>
      <c r="E1858" s="1" t="s">
        <v>58</v>
      </c>
      <c r="F1858" s="1" t="s">
        <v>5634</v>
      </c>
      <c r="G1858" s="3" t="s">
        <v>5635</v>
      </c>
      <c r="H1858" s="11">
        <f t="shared" si="59"/>
        <v>1924.74</v>
      </c>
      <c r="I1858" s="9">
        <f>($K$2+0.02)*Tabla1[[#This Row],[PRECIO $]]*1.18</f>
        <v>1535.7936</v>
      </c>
      <c r="J1858" s="7">
        <f>+Tabla1[[#This Row],[PRECIO EN SOLES]]-Tabla1[[#This Row],[PC]]</f>
        <v>388.94640000000004</v>
      </c>
      <c r="K1858" s="15"/>
      <c r="L1858" s="15" t="str">
        <f t="shared" si="58"/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 t="shared" si="59"/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 t="shared" si="58"/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 t="shared" si="59"/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 t="shared" si="58"/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 t="shared" si="59"/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 t="shared" si="58"/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 t="shared" si="59"/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 t="shared" si="58"/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 t="shared" si="59"/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 t="shared" si="58"/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 t="shared" si="59"/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 t="shared" si="58"/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 t="shared" si="59"/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 t="shared" si="58"/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 t="shared" si="59"/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 t="shared" si="58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9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8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9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8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9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8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9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8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9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8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9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ref="L1872:L1935" si="60"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9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60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ref="H1874:H1937" si="61">ROUND(
IF(L1872="GANCHO",
   IF(I1874&lt;=50,I1874*1.1+4,IF(I1874&lt;=120,I1874*1.1+7,IF(I1874&lt;=250,I1874*1.1+11,I1874*1.1+19))),
IF(L1872="NORMAL",
   IF(I1874&lt;=30,I1874*1.15+2,IF(I1874&lt;=80,I1874*1.15+4,IF(I1874&lt;=150,I1874*1.15+6,I1874*1.15+8))),
IF(L1872="COMPLEMENTO",
   IF(I1874&lt;=25,I1874*1.25+1.5,IF(I1874&lt;=60,I1874*1.25+3,IF(I1874&lt;=120,I1874*1.25+4,I1874*1.25+5))),
""))),2)</f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60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61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60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61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60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61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60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61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60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61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60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61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60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61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60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61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60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61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60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61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60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61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60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61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60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61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60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61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60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61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60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61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60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61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60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61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60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61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60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61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60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61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60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61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60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61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60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61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60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61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60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61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60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61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60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61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60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61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60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61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60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61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60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61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60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61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60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61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60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61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60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61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60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61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60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61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60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61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60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61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60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61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60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61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60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61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60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61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60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61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60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61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60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61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60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si="61"/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60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1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0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1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0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1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0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1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0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1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0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1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0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1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0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1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0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1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0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1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0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1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0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1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0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1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0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1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ref="L1936:L1999" si="62"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1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2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ref="H1938:H2001" si="63">ROUND(
IF(L1936="GANCHO",
   IF(I1938&lt;=50,I1938*1.1+4,IF(I1938&lt;=120,I1938*1.1+7,IF(I1938&lt;=250,I1938*1.1+11,I1938*1.1+19))),
IF(L1936="NORMAL",
   IF(I1938&lt;=30,I1938*1.15+2,IF(I1938&lt;=80,I1938*1.15+4,IF(I1938&lt;=150,I1938*1.15+6,I1938*1.15+8))),
IF(L1936="COMPLEMENTO",
   IF(I1938&lt;=25,I1938*1.25+1.5,IF(I1938&lt;=60,I1938*1.25+3,IF(I1938&lt;=120,I1938*1.25+4,I1938*1.25+5))),
""))),2)</f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2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3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2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3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2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3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2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3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2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3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2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3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2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3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2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3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2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3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2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3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2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3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2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3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2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3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2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3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2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3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2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3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2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3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2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3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2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3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2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3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2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3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2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3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2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3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2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3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2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3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2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3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2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3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2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3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2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3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2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3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2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3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2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3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2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3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2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3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2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3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2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3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2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3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2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3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2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3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2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3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2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3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2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3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2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3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2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3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2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3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2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3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2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3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2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si="63"/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2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3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2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3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2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3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2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3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2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3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2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3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2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3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2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3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2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3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2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3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2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3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2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3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2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3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2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3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ref="L2000:L2063" si="64"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3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4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ref="H2002:H2065" si="65">ROUND(
IF(L2000="GANCHO",
   IF(I2002&lt;=50,I2002*1.1+4,IF(I2002&lt;=120,I2002*1.1+7,IF(I2002&lt;=250,I2002*1.1+11,I2002*1.1+19))),
IF(L2000="NORMAL",
   IF(I2002&lt;=30,I2002*1.15+2,IF(I2002&lt;=80,I2002*1.15+4,IF(I2002&lt;=150,I2002*1.15+6,I2002*1.15+8))),
IF(L2000="COMPLEMENTO",
   IF(I2002&lt;=25,I2002*1.25+1.5,IF(I2002&lt;=60,I2002*1.25+3,IF(I2002&lt;=120,I2002*1.25+4,I2002*1.25+5))),
""))),2)</f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4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5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4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5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4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5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4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5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4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5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4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5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4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5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4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5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4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5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4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5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4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5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4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5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4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5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4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5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4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5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4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5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4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5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4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5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4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5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4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5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4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5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4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5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4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5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4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5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4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5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4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5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4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5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4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5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4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5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4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5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4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5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4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5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4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5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4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5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4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5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4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5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4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5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4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5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4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5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4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5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4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5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4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5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4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5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4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5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4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5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4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5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4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5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4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si="65"/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4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5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4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5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4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5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4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5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4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5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4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5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4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5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4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5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4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5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4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5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4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5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4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5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4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5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4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5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ref="L2064:L2127" si="66"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5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6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ref="H2066:H2129" si="67">ROUND(
IF(L2064="GANCHO",
   IF(I2066&lt;=50,I2066*1.1+4,IF(I2066&lt;=120,I2066*1.1+7,IF(I2066&lt;=250,I2066*1.1+11,I2066*1.1+19))),
IF(L2064="NORMAL",
   IF(I2066&lt;=30,I2066*1.15+2,IF(I2066&lt;=80,I2066*1.15+4,IF(I2066&lt;=150,I2066*1.15+6,I2066*1.15+8))),
IF(L2064="COMPLEMENTO",
   IF(I2066&lt;=25,I2066*1.25+1.5,IF(I2066&lt;=60,I2066*1.25+3,IF(I2066&lt;=120,I2066*1.25+4,I2066*1.25+5))),
""))),2)</f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6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7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6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7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6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7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6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7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6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7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6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7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6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7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6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7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6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7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6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7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6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7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6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7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6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7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6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7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6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7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6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7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6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7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6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7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6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7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6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7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6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7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6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7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6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7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6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7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6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7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6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7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6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7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6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7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6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7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6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7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6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7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6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7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6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7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6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7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6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7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6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7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6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7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6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7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6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7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6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7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6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7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6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7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6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7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6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7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6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7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6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7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6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7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6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si="67"/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6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7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6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7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6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7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6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7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6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7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6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7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6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7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6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7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6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7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6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7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6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7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6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7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6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7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6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7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ref="L2128:L2191" si="68"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7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8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ref="H2130:H2193" si="69">ROUND(
IF(L2128="GANCHO",
   IF(I2130&lt;=50,I2130*1.1+4,IF(I2130&lt;=120,I2130*1.1+7,IF(I2130&lt;=250,I2130*1.1+11,I2130*1.1+19))),
IF(L2128="NORMAL",
   IF(I2130&lt;=30,I2130*1.15+2,IF(I2130&lt;=80,I2130*1.15+4,IF(I2130&lt;=150,I2130*1.15+6,I2130*1.15+8))),
IF(L2128="COMPLEMENTO",
   IF(I2130&lt;=25,I2130*1.25+1.5,IF(I2130&lt;=60,I2130*1.25+3,IF(I2130&lt;=120,I2130*1.25+4,I2130*1.25+5))),
""))),2)</f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8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9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8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9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8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9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8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9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8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9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8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9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8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9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8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9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8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9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8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9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8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9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8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9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8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9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8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9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8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9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8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9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8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9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8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9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8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9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8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9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8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9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8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9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8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9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8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9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8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9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8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9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8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9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8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9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8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9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8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9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8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9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8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9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8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9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8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9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8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9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8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9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8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9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8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9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8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9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8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9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8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9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8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9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8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9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8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9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8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9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8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9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8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9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8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si="69"/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8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9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8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9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8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9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8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9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8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9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8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9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8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9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8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9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8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9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8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9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8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9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8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9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8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9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8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9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ref="L2192:L2255" si="70"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9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70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ref="H2194:H2257" si="71">ROUND(
IF(L2192="GANCHO",
   IF(I2194&lt;=50,I2194*1.1+4,IF(I2194&lt;=120,I2194*1.1+7,IF(I2194&lt;=250,I2194*1.1+11,I2194*1.1+19))),
IF(L2192="NORMAL",
   IF(I2194&lt;=30,I2194*1.15+2,IF(I2194&lt;=80,I2194*1.15+4,IF(I2194&lt;=150,I2194*1.15+6,I2194*1.15+8))),
IF(L2192="COMPLEMENTO",
   IF(I2194&lt;=25,I2194*1.25+1.5,IF(I2194&lt;=60,I2194*1.25+3,IF(I2194&lt;=120,I2194*1.25+4,I2194*1.25+5))),
""))),2)</f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70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71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70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71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70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71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70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71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70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71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70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71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70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71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70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71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70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71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70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71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70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71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70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71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70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71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70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71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70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71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70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71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70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71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70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71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70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71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70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71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70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71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70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71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70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71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70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71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70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71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70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71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70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71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70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71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70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71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70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71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70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71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70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71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70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71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70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71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70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71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70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71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70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71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70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71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70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71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70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71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70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71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70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71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70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71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70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71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70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71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70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71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70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71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70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si="71"/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70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1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0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1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0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1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0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1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0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1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0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1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0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1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0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1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0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1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0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1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0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1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0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1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0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1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0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1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ref="L2256:L2319" si="72"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1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2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ref="H2258:H2321" si="73">ROUND(
IF(L2256="GANCHO",
   IF(I2258&lt;=50,I2258*1.1+4,IF(I2258&lt;=120,I2258*1.1+7,IF(I2258&lt;=250,I2258*1.1+11,I2258*1.1+19))),
IF(L2256="NORMAL",
   IF(I2258&lt;=30,I2258*1.15+2,IF(I2258&lt;=80,I2258*1.15+4,IF(I2258&lt;=150,I2258*1.15+6,I2258*1.15+8))),
IF(L2256="COMPLEMENTO",
   IF(I2258&lt;=25,I2258*1.25+1.5,IF(I2258&lt;=60,I2258*1.25+3,IF(I2258&lt;=120,I2258*1.25+4,I2258*1.25+5))),
""))),2)</f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2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3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2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3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2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3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2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3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2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3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2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3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2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3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2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3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2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3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2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3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2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3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2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3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2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3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2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3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2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3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2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3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2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3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2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3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2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3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2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3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2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3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2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3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2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3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2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3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2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3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2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3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2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3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2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3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2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3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2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3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2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3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2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3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2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3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2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3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2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3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2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3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2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3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2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3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2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3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2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3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2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3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2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3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2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3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2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3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2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3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2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3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2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3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2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si="73"/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2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3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2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3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2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3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2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3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2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3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2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3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2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3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2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3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2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3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2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3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2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3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2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3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2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3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2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3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ref="L2320:L2383" si="74"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3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4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ref="H2322:H2385" si="75">ROUND(
IF(L2320="GANCHO",
   IF(I2322&lt;=50,I2322*1.1+4,IF(I2322&lt;=120,I2322*1.1+7,IF(I2322&lt;=250,I2322*1.1+11,I2322*1.1+19))),
IF(L2320="NORMAL",
   IF(I2322&lt;=30,I2322*1.15+2,IF(I2322&lt;=80,I2322*1.15+4,IF(I2322&lt;=150,I2322*1.15+6,I2322*1.15+8))),
IF(L2320="COMPLEMENTO",
   IF(I2322&lt;=25,I2322*1.25+1.5,IF(I2322&lt;=60,I2322*1.25+3,IF(I2322&lt;=120,I2322*1.25+4,I2322*1.25+5))),
""))),2)</f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4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5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4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5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4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5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4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5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4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5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4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5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4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5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4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5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4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5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4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5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4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5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4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5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4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5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4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5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4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5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4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5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4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5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4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5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4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5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4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5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4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5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4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5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4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5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4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5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4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5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4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5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4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5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4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5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4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5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4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5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4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5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4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5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4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5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4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5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4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5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4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5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4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5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4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5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4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5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4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5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4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5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4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5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4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5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4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5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4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5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4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5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4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5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4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si="75"/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4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5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4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5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4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5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4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5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4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5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4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5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4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5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4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5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4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5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4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5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4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5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4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5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4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5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4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5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ref="L2384:L2405" si="76">IF(
OR(
ISNUMBER(SEARCH("BACKPACK",B2386)),
ISNUMBER(SEARCH("MOCHILA",B2386)),
ISNUMBER(SEARCH("FUNDA",B2386)),
ISNUMBER(SEARCH("ESTUCHE",B2386)),
ISNUMBER(SEARCH("BOOK COVER",B2386)),
ISNUMBER(SEARCH("KEYBOARD PARA TABLET",B2386)),
ISNUMBER(SEARCH("FLIP TABLET",B2386)),
ISNUMBER(SEARCH("CASE FOR TABLET",B2386)),
ISNUMBER(SEARCH("CABLE",B2386)),
ISNUMBER(SEARCH("ADAPTADOR",B2386)),
ISNUMBER(SEARCH("HUB",B2386)),
ISNUMBER(SEARCH("DOCK",B2386)),
ISNUMBER(SEARCH("MOUSE PAD",B2386)),
ISNUMBER(SEARCH("MOUSEPAD",B2386)),
ISNUMBER(SEARCH("SOPORTE",B2386)),
ISNUMBER(SEARCH("STAND",B2386)),
ISNUMBER(SEARCH("TRAVEL ADAPTER",B2386)),
ISNUMBER(SEARCH("RJ45",B2386)),
ISNUMBER(SEARCH("USB-C",B2386)),
ISNUMBER(SEARCH("USB WIFI",B2386)),
ISNUMBER(SEARCH("POWERBANK",B2386)),
ISNUMBER(SEARCH("CARGADOR",B2386)),
ISNUMBER(SEARCH("COOLER PARA NB",B2386)),
ISNUMBER(SEARCH("SOPORTE PARA NB",B2386)),
ISNUMBER(SEARCH("WEBCAM",B2386)),
ISNUMBER(SEARCH("WEB CAM",B2386)),
ISNUMBER(SEARCH("MOUSE",B2386)),
ISNUMBER(SEARCH("TECLADO",B2386))
),
"COMPLEMENTO",
IF(
OR(
LEFT(A2386,2)="NB",
LEFT(A2386,2)="PC",
LEFT(A2386,2)="WS",
LEFT(A2386,2)="TB",
LEFT(A2386,3)="CEL",
LEFT(A2386,3)="MON",
LEFT(A2386,3)="PRE",
LEFT(A2386,3)="PRH",
ISNUMBER(SEARCH("NOTEBOOK",B2386)),
ISNUMBER(SEARCH("LAPTOP",B2386)),
ISNUMBER(SEARCH("MONITOR",B2386)),
ISNUMBER(SEARCH("TABLET",B2386)),
ISNUMBER(SEARCH("SMARTPH",B2386)),
ISNUMBER(SEARCH("IMPRESORA",B2386)),
ISNUMBER(SEARCH("MULTIFUNCIONAL",B2386)),
ISNUMBER(SEARCH("AIO",B2386))
),
"GANCHO",
"NORMAL"
)
)</f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5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6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ref="H2386:H2407" si="77">ROUND(
IF(L2384="GANCHO",
   IF(I2386&lt;=50,I2386*1.1+4,IF(I2386&lt;=120,I2386*1.1+7,IF(I2386&lt;=250,I2386*1.1+11,I2386*1.1+19))),
IF(L2384="NORMAL",
   IF(I2386&lt;=30,I2386*1.15+2,IF(I2386&lt;=80,I2386*1.15+4,IF(I2386&lt;=150,I2386*1.15+6,I2386*1.15+8))),
IF(L2384="COMPLEMENTO",
   IF(I2386&lt;=25,I2386*1.25+1.5,IF(I2386&lt;=60,I2386*1.25+3,IF(I2386&lt;=120,I2386*1.25+4,I2386*1.25+5))),
""))),2)</f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6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7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6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7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6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7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6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7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6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7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6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7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6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7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6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7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6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7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6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7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6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7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6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7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6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7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6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7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6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7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6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7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6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7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6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7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6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7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6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>
        <f t="shared" si="77"/>
        <v>2</v>
      </c>
      <c r="I2406" s="9">
        <f>($K$2+0.02)*Tabla1[[#This Row],[PRECIO $]]*1.18</f>
        <v>0</v>
      </c>
      <c r="J2406" s="7">
        <f>+Tabla1[[#This Row],[PRECIO EN SOLES]]-Tabla1[[#This Row],[PC]]</f>
        <v>2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>
        <f t="shared" si="77"/>
        <v>2</v>
      </c>
      <c r="I2407" s="9">
        <f>($K$2+0.02)*Tabla1[[#This Row],[PRECIO $]]*1.18</f>
        <v>0</v>
      </c>
      <c r="J2407" s="7">
        <f>+Tabla1[[#This Row],[PRECIO EN SOLES]]-Tabla1[[#This Row],[PC]]</f>
        <v>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topLeftCell="AB15" workbookViewId="0">
      <selection activeCell="AO35" sqref="AO35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4175</v>
      </c>
      <c r="C1" s="1" t="s">
        <v>4176</v>
      </c>
      <c r="D1" s="1" t="s">
        <v>2770</v>
      </c>
      <c r="E1" s="1" t="s">
        <v>43</v>
      </c>
      <c r="F1" s="1" t="s">
        <v>41</v>
      </c>
      <c r="G1" s="1" t="s">
        <v>29</v>
      </c>
      <c r="H1" s="1" t="s">
        <v>627</v>
      </c>
      <c r="I1" s="1" t="s">
        <v>625</v>
      </c>
      <c r="J1" s="1" t="s">
        <v>624</v>
      </c>
      <c r="K1" s="1" t="s">
        <v>46</v>
      </c>
      <c r="L1" s="1" t="s">
        <v>45</v>
      </c>
      <c r="M1" s="1" t="s">
        <v>12</v>
      </c>
      <c r="N1" s="1" t="s">
        <v>626</v>
      </c>
      <c r="O1" s="1" t="s">
        <v>628</v>
      </c>
      <c r="P1" s="1" t="s">
        <v>629</v>
      </c>
      <c r="Q1" s="1" t="s">
        <v>19</v>
      </c>
      <c r="R1" s="1" t="s">
        <v>11</v>
      </c>
      <c r="S1" s="1" t="s">
        <v>8</v>
      </c>
      <c r="T1" s="1" t="s">
        <v>2805</v>
      </c>
      <c r="U1" s="1" t="s">
        <v>600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2806</v>
      </c>
      <c r="AN1" s="1" t="s">
        <v>7010</v>
      </c>
      <c r="AO1" s="1" t="s">
        <v>4380</v>
      </c>
      <c r="AP1" s="1" t="s">
        <v>4468</v>
      </c>
      <c r="AQ1" s="1" t="s">
        <v>4819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2026-03-17T02:32:56Z</dcterms:modified>
</cp:coreProperties>
</file>