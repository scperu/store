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 Line - 2026\"/>
    </mc:Choice>
  </mc:AlternateContent>
  <xr:revisionPtr revIDLastSave="0" documentId="13_ncr:1_{760D16A8-406F-44B3-A5F5-5029EE811A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filtro" sheetId="2" r:id="rId2"/>
    <sheet name="promo" sheetId="4" r:id="rId3"/>
    <sheet name="recom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H2406" i="1"/>
  <c r="H2407" i="1"/>
  <c r="I17" i="1"/>
  <c r="I1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L2" i="1"/>
  <c r="I2" i="1"/>
  <c r="H1540" i="1" l="1"/>
  <c r="J1540" i="1" s="1"/>
  <c r="H1541" i="1"/>
  <c r="H1542" i="1"/>
  <c r="H1543" i="1"/>
  <c r="J1543" i="1" s="1"/>
  <c r="H1544" i="1"/>
  <c r="J1544" i="1" s="1"/>
  <c r="H1545" i="1"/>
  <c r="H1546" i="1"/>
  <c r="J1546" i="1" s="1"/>
  <c r="H1547" i="1"/>
  <c r="J1547" i="1" s="1"/>
  <c r="H1548" i="1"/>
  <c r="J1548" i="1" s="1"/>
  <c r="H1549" i="1"/>
  <c r="H1550" i="1"/>
  <c r="H1551" i="1"/>
  <c r="J1551" i="1" s="1"/>
  <c r="H1552" i="1"/>
  <c r="H1553" i="1"/>
  <c r="H1554" i="1"/>
  <c r="J1554" i="1" s="1"/>
  <c r="H1555" i="1"/>
  <c r="J1555" i="1" s="1"/>
  <c r="H1556" i="1"/>
  <c r="J1556" i="1" s="1"/>
  <c r="H1557" i="1"/>
  <c r="H1558" i="1"/>
  <c r="J1558" i="1" s="1"/>
  <c r="H1559" i="1"/>
  <c r="J1559" i="1" s="1"/>
  <c r="H1560" i="1"/>
  <c r="J1560" i="1" s="1"/>
  <c r="H1561" i="1"/>
  <c r="H1562" i="1"/>
  <c r="J1562" i="1" s="1"/>
  <c r="H1563" i="1"/>
  <c r="J1563" i="1" s="1"/>
  <c r="H1564" i="1"/>
  <c r="H1565" i="1"/>
  <c r="H1566" i="1"/>
  <c r="J1566" i="1" s="1"/>
  <c r="H1567" i="1"/>
  <c r="J1567" i="1" s="1"/>
  <c r="H1568" i="1"/>
  <c r="J1568" i="1" s="1"/>
  <c r="H1569" i="1"/>
  <c r="H1570" i="1"/>
  <c r="H1571" i="1"/>
  <c r="J1571" i="1" s="1"/>
  <c r="H1572" i="1"/>
  <c r="J1572" i="1" s="1"/>
  <c r="H1573" i="1"/>
  <c r="H1574" i="1"/>
  <c r="J1574" i="1" s="1"/>
  <c r="H1575" i="1"/>
  <c r="J1575" i="1" s="1"/>
  <c r="H1576" i="1"/>
  <c r="H1577" i="1"/>
  <c r="H1578" i="1"/>
  <c r="J1578" i="1" s="1"/>
  <c r="H1579" i="1"/>
  <c r="J1579" i="1" s="1"/>
  <c r="H1580" i="1"/>
  <c r="J1580" i="1" s="1"/>
  <c r="H1581" i="1"/>
  <c r="H1582" i="1"/>
  <c r="H1583" i="1"/>
  <c r="J1583" i="1" s="1"/>
  <c r="H1584" i="1"/>
  <c r="H1585" i="1"/>
  <c r="H1586" i="1"/>
  <c r="H1587" i="1"/>
  <c r="J1587" i="1" s="1"/>
  <c r="H1588" i="1"/>
  <c r="J1588" i="1" s="1"/>
  <c r="H1589" i="1"/>
  <c r="H1590" i="1"/>
  <c r="J1590" i="1" s="1"/>
  <c r="H1591" i="1"/>
  <c r="J1591" i="1" s="1"/>
  <c r="H1592" i="1"/>
  <c r="J1592" i="1" s="1"/>
  <c r="H1593" i="1"/>
  <c r="H1594" i="1"/>
  <c r="H1595" i="1"/>
  <c r="J1595" i="1" s="1"/>
  <c r="H1596" i="1"/>
  <c r="J1596" i="1" s="1"/>
  <c r="H1597" i="1"/>
  <c r="H1598" i="1"/>
  <c r="J1598" i="1" s="1"/>
  <c r="H1599" i="1"/>
  <c r="J1599" i="1" s="1"/>
  <c r="H1600" i="1"/>
  <c r="H1601" i="1"/>
  <c r="H1602" i="1"/>
  <c r="H1603" i="1"/>
  <c r="J1603" i="1" s="1"/>
  <c r="H1604" i="1"/>
  <c r="J1604" i="1" s="1"/>
  <c r="H1605" i="1"/>
  <c r="H1606" i="1"/>
  <c r="J1606" i="1" s="1"/>
  <c r="H1607" i="1"/>
  <c r="J1607" i="1" s="1"/>
  <c r="H1608" i="1"/>
  <c r="J1608" i="1" s="1"/>
  <c r="H1609" i="1"/>
  <c r="H1610" i="1"/>
  <c r="H1611" i="1"/>
  <c r="J1611" i="1" s="1"/>
  <c r="H1612" i="1"/>
  <c r="J1612" i="1" s="1"/>
  <c r="H1613" i="1"/>
  <c r="H1614" i="1"/>
  <c r="J1614" i="1" s="1"/>
  <c r="H1615" i="1"/>
  <c r="J1615" i="1" s="1"/>
  <c r="H1616" i="1"/>
  <c r="H1617" i="1"/>
  <c r="H1618" i="1"/>
  <c r="J1618" i="1" s="1"/>
  <c r="H1619" i="1"/>
  <c r="J1619" i="1" s="1"/>
  <c r="H1620" i="1"/>
  <c r="J1620" i="1" s="1"/>
  <c r="H1621" i="1"/>
  <c r="H1622" i="1"/>
  <c r="H1623" i="1"/>
  <c r="J1623" i="1" s="1"/>
  <c r="H1624" i="1"/>
  <c r="J1624" i="1" s="1"/>
  <c r="H1625" i="1"/>
  <c r="H1626" i="1"/>
  <c r="J1626" i="1" s="1"/>
  <c r="H1627" i="1"/>
  <c r="J1627" i="1" s="1"/>
  <c r="H1628" i="1"/>
  <c r="J1628" i="1" s="1"/>
  <c r="H1629" i="1"/>
  <c r="H1630" i="1"/>
  <c r="H1631" i="1"/>
  <c r="J1631" i="1" s="1"/>
  <c r="H1632" i="1"/>
  <c r="H1633" i="1"/>
  <c r="H1634" i="1"/>
  <c r="J1634" i="1" s="1"/>
  <c r="H1635" i="1"/>
  <c r="J1635" i="1" s="1"/>
  <c r="H1636" i="1"/>
  <c r="J1636" i="1" s="1"/>
  <c r="H1637" i="1"/>
  <c r="H1638" i="1"/>
  <c r="H1639" i="1"/>
  <c r="J1639" i="1" s="1"/>
  <c r="H1640" i="1"/>
  <c r="J1640" i="1" s="1"/>
  <c r="H1641" i="1"/>
  <c r="H1642" i="1"/>
  <c r="J1642" i="1" s="1"/>
  <c r="H1643" i="1"/>
  <c r="J1643" i="1" s="1"/>
  <c r="H1644" i="1"/>
  <c r="J1644" i="1" s="1"/>
  <c r="H1645" i="1"/>
  <c r="H1646" i="1"/>
  <c r="H1647" i="1"/>
  <c r="J1647" i="1" s="1"/>
  <c r="H1648" i="1"/>
  <c r="H1649" i="1"/>
  <c r="H1650" i="1"/>
  <c r="H1651" i="1"/>
  <c r="J1651" i="1" s="1"/>
  <c r="H1652" i="1"/>
  <c r="J1652" i="1" s="1"/>
  <c r="H1653" i="1"/>
  <c r="H1654" i="1"/>
  <c r="J1654" i="1" s="1"/>
  <c r="H1655" i="1"/>
  <c r="J1655" i="1" s="1"/>
  <c r="H1656" i="1"/>
  <c r="J1656" i="1" s="1"/>
  <c r="H1657" i="1"/>
  <c r="H1658" i="1"/>
  <c r="H1659" i="1"/>
  <c r="J1659" i="1" s="1"/>
  <c r="H1660" i="1"/>
  <c r="J1660" i="1" s="1"/>
  <c r="H1661" i="1"/>
  <c r="H1662" i="1"/>
  <c r="J1662" i="1" s="1"/>
  <c r="H1663" i="1"/>
  <c r="J1663" i="1" s="1"/>
  <c r="H1664" i="1"/>
  <c r="H1665" i="1"/>
  <c r="H1666" i="1"/>
  <c r="H1667" i="1"/>
  <c r="J1667" i="1" s="1"/>
  <c r="H1668" i="1"/>
  <c r="J1668" i="1" s="1"/>
  <c r="H1669" i="1"/>
  <c r="H1670" i="1"/>
  <c r="J1670" i="1" s="1"/>
  <c r="H1671" i="1"/>
  <c r="J1671" i="1" s="1"/>
  <c r="H1672" i="1"/>
  <c r="J1672" i="1" s="1"/>
  <c r="H1673" i="1"/>
  <c r="H1674" i="1"/>
  <c r="H1675" i="1"/>
  <c r="J1675" i="1" s="1"/>
  <c r="H1676" i="1"/>
  <c r="J1676" i="1" s="1"/>
  <c r="H1677" i="1"/>
  <c r="H1679" i="1"/>
  <c r="J1679" i="1" s="1"/>
  <c r="H1680" i="1"/>
  <c r="J1680" i="1" s="1"/>
  <c r="H1683" i="1"/>
  <c r="H1684" i="1"/>
  <c r="H1686" i="1"/>
  <c r="J1686" i="1" s="1"/>
  <c r="H1688" i="1"/>
  <c r="J1688" i="1" s="1"/>
  <c r="H1690" i="1"/>
  <c r="J1690" i="1" s="1"/>
  <c r="H1692" i="1"/>
  <c r="J1692" i="1" s="1"/>
  <c r="H1695" i="1"/>
  <c r="J1695" i="1" s="1"/>
  <c r="H1696" i="1"/>
  <c r="J1696" i="1" s="1"/>
  <c r="H1698" i="1"/>
  <c r="J1698" i="1" s="1"/>
  <c r="H1700" i="1"/>
  <c r="J1700" i="1" s="1"/>
  <c r="H1702" i="1"/>
  <c r="J1702" i="1" s="1"/>
  <c r="H1704" i="1"/>
  <c r="J1704" i="1" s="1"/>
  <c r="H1707" i="1"/>
  <c r="J1707" i="1" s="1"/>
  <c r="H1709" i="1"/>
  <c r="J1709" i="1" s="1"/>
  <c r="H1711" i="1"/>
  <c r="J1711" i="1" s="1"/>
  <c r="H1713" i="1"/>
  <c r="J1713" i="1" s="1"/>
  <c r="H1715" i="1"/>
  <c r="J1715" i="1" s="1"/>
  <c r="H1717" i="1"/>
  <c r="J1717" i="1" s="1"/>
  <c r="H1719" i="1"/>
  <c r="J1719" i="1" s="1"/>
  <c r="H1721" i="1"/>
  <c r="J1721" i="1" s="1"/>
  <c r="H1722" i="1"/>
  <c r="J1722" i="1" s="1"/>
  <c r="H1724" i="1"/>
  <c r="J1724" i="1" s="1"/>
  <c r="H1726" i="1"/>
  <c r="J1726" i="1" s="1"/>
  <c r="H1728" i="1"/>
  <c r="J1728" i="1" s="1"/>
  <c r="H1730" i="1"/>
  <c r="J1730" i="1" s="1"/>
  <c r="H1732" i="1"/>
  <c r="J1732" i="1" s="1"/>
  <c r="H1734" i="1"/>
  <c r="J1734" i="1" s="1"/>
  <c r="H1736" i="1"/>
  <c r="J1736" i="1" s="1"/>
  <c r="H1738" i="1"/>
  <c r="J1738" i="1" s="1"/>
  <c r="H1740" i="1"/>
  <c r="J1740" i="1" s="1"/>
  <c r="H1742" i="1"/>
  <c r="J1742" i="1" s="1"/>
  <c r="H1744" i="1"/>
  <c r="J1744" i="1" s="1"/>
  <c r="H1746" i="1"/>
  <c r="J1746" i="1" s="1"/>
  <c r="H1748" i="1"/>
  <c r="J1748" i="1" s="1"/>
  <c r="H1750" i="1"/>
  <c r="J1750" i="1" s="1"/>
  <c r="H1752" i="1"/>
  <c r="J1752" i="1" s="1"/>
  <c r="H1754" i="1"/>
  <c r="J1754" i="1" s="1"/>
  <c r="H1756" i="1"/>
  <c r="J1756" i="1" s="1"/>
  <c r="H1758" i="1"/>
  <c r="J1758" i="1" s="1"/>
  <c r="H1760" i="1"/>
  <c r="J1760" i="1" s="1"/>
  <c r="H1762" i="1"/>
  <c r="J1762" i="1" s="1"/>
  <c r="H1764" i="1"/>
  <c r="J1764" i="1" s="1"/>
  <c r="H1766" i="1"/>
  <c r="J1766" i="1" s="1"/>
  <c r="H1768" i="1"/>
  <c r="J1768" i="1" s="1"/>
  <c r="H1770" i="1"/>
  <c r="J1770" i="1" s="1"/>
  <c r="H1772" i="1"/>
  <c r="J1772" i="1" s="1"/>
  <c r="H1774" i="1"/>
  <c r="J1774" i="1" s="1"/>
  <c r="H1776" i="1"/>
  <c r="J1776" i="1" s="1"/>
  <c r="H1778" i="1"/>
  <c r="J1778" i="1" s="1"/>
  <c r="H1780" i="1"/>
  <c r="J1780" i="1" s="1"/>
  <c r="H1782" i="1"/>
  <c r="J1782" i="1" s="1"/>
  <c r="H1784" i="1"/>
  <c r="J1784" i="1" s="1"/>
  <c r="H1786" i="1"/>
  <c r="J1786" i="1" s="1"/>
  <c r="H1788" i="1"/>
  <c r="J1788" i="1" s="1"/>
  <c r="H1790" i="1"/>
  <c r="J1790" i="1" s="1"/>
  <c r="H1792" i="1"/>
  <c r="J1792" i="1" s="1"/>
  <c r="H1794" i="1"/>
  <c r="J1794" i="1" s="1"/>
  <c r="H1796" i="1"/>
  <c r="J1796" i="1" s="1"/>
  <c r="H1799" i="1"/>
  <c r="J1799" i="1" s="1"/>
  <c r="H1801" i="1"/>
  <c r="J1801" i="1" s="1"/>
  <c r="H1803" i="1"/>
  <c r="J1803" i="1" s="1"/>
  <c r="H1805" i="1"/>
  <c r="J1805" i="1" s="1"/>
  <c r="H1678" i="1"/>
  <c r="J1678" i="1" s="1"/>
  <c r="H1681" i="1"/>
  <c r="J1681" i="1" s="1"/>
  <c r="H1682" i="1"/>
  <c r="J1682" i="1" s="1"/>
  <c r="H1685" i="1"/>
  <c r="J1685" i="1" s="1"/>
  <c r="H1687" i="1"/>
  <c r="J1687" i="1" s="1"/>
  <c r="H1689" i="1"/>
  <c r="J1689" i="1" s="1"/>
  <c r="H1691" i="1"/>
  <c r="J1691" i="1" s="1"/>
  <c r="H1693" i="1"/>
  <c r="J1693" i="1" s="1"/>
  <c r="H1694" i="1"/>
  <c r="J1694" i="1" s="1"/>
  <c r="H1697" i="1"/>
  <c r="J1697" i="1" s="1"/>
  <c r="H1699" i="1"/>
  <c r="J1699" i="1" s="1"/>
  <c r="H1701" i="1"/>
  <c r="J1701" i="1" s="1"/>
  <c r="H1703" i="1"/>
  <c r="J1703" i="1" s="1"/>
  <c r="H1705" i="1"/>
  <c r="J1705" i="1" s="1"/>
  <c r="H1706" i="1"/>
  <c r="J1706" i="1" s="1"/>
  <c r="H1708" i="1"/>
  <c r="J1708" i="1" s="1"/>
  <c r="H1710" i="1"/>
  <c r="J1710" i="1" s="1"/>
  <c r="H1712" i="1"/>
  <c r="J1712" i="1" s="1"/>
  <c r="H1714" i="1"/>
  <c r="J1714" i="1" s="1"/>
  <c r="H1716" i="1"/>
  <c r="J1716" i="1" s="1"/>
  <c r="H1718" i="1"/>
  <c r="J1718" i="1" s="1"/>
  <c r="H1720" i="1"/>
  <c r="J1720" i="1" s="1"/>
  <c r="H1723" i="1"/>
  <c r="J1723" i="1" s="1"/>
  <c r="H1725" i="1"/>
  <c r="J1725" i="1" s="1"/>
  <c r="H1727" i="1"/>
  <c r="J1727" i="1" s="1"/>
  <c r="H1729" i="1"/>
  <c r="J1729" i="1" s="1"/>
  <c r="H1731" i="1"/>
  <c r="J1731" i="1" s="1"/>
  <c r="H1733" i="1"/>
  <c r="J1733" i="1" s="1"/>
  <c r="H1735" i="1"/>
  <c r="J1735" i="1" s="1"/>
  <c r="H1737" i="1"/>
  <c r="J1737" i="1" s="1"/>
  <c r="H1739" i="1"/>
  <c r="J1739" i="1" s="1"/>
  <c r="H1741" i="1"/>
  <c r="J1741" i="1" s="1"/>
  <c r="H1743" i="1"/>
  <c r="J1743" i="1" s="1"/>
  <c r="H1745" i="1"/>
  <c r="J1745" i="1" s="1"/>
  <c r="H1747" i="1"/>
  <c r="J1747" i="1" s="1"/>
  <c r="H1749" i="1"/>
  <c r="J1749" i="1" s="1"/>
  <c r="H1751" i="1"/>
  <c r="J1751" i="1" s="1"/>
  <c r="H1753" i="1"/>
  <c r="J1753" i="1" s="1"/>
  <c r="H1755" i="1"/>
  <c r="J1755" i="1" s="1"/>
  <c r="H1757" i="1"/>
  <c r="J1757" i="1" s="1"/>
  <c r="H1759" i="1"/>
  <c r="J1759" i="1" s="1"/>
  <c r="H1761" i="1"/>
  <c r="J1761" i="1" s="1"/>
  <c r="H1763" i="1"/>
  <c r="J1763" i="1" s="1"/>
  <c r="H1765" i="1"/>
  <c r="J1765" i="1" s="1"/>
  <c r="H1767" i="1"/>
  <c r="J1767" i="1" s="1"/>
  <c r="H1769" i="1"/>
  <c r="J1769" i="1" s="1"/>
  <c r="H1771" i="1"/>
  <c r="J1771" i="1" s="1"/>
  <c r="H1773" i="1"/>
  <c r="J1773" i="1" s="1"/>
  <c r="H1775" i="1"/>
  <c r="J1775" i="1" s="1"/>
  <c r="H1777" i="1"/>
  <c r="J1777" i="1" s="1"/>
  <c r="H1779" i="1"/>
  <c r="J1779" i="1" s="1"/>
  <c r="H1781" i="1"/>
  <c r="J1781" i="1" s="1"/>
  <c r="H1783" i="1"/>
  <c r="J1783" i="1" s="1"/>
  <c r="H1785" i="1"/>
  <c r="J1785" i="1" s="1"/>
  <c r="H1787" i="1"/>
  <c r="J1787" i="1" s="1"/>
  <c r="H1789" i="1"/>
  <c r="J1789" i="1" s="1"/>
  <c r="H1791" i="1"/>
  <c r="J1791" i="1" s="1"/>
  <c r="H1793" i="1"/>
  <c r="J1793" i="1" s="1"/>
  <c r="H1795" i="1"/>
  <c r="J1795" i="1" s="1"/>
  <c r="H1797" i="1"/>
  <c r="J1797" i="1" s="1"/>
  <c r="H1798" i="1"/>
  <c r="J1798" i="1" s="1"/>
  <c r="H1800" i="1"/>
  <c r="J1800" i="1" s="1"/>
  <c r="H1802" i="1"/>
  <c r="J1802" i="1" s="1"/>
  <c r="H1804" i="1"/>
  <c r="J1804" i="1" s="1"/>
  <c r="H3" i="1"/>
  <c r="J3" i="1" s="1"/>
  <c r="H4" i="1"/>
  <c r="J4" i="1" s="1"/>
  <c r="H5" i="1"/>
  <c r="J5" i="1" s="1"/>
  <c r="H6" i="1"/>
  <c r="J6" i="1" s="1"/>
  <c r="H7" i="1"/>
  <c r="J7" i="1" s="1"/>
  <c r="H17" i="1"/>
  <c r="J17" i="1" s="1"/>
  <c r="H16" i="1"/>
  <c r="J16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1895" i="1"/>
  <c r="J1895" i="1" s="1"/>
  <c r="H1896" i="1"/>
  <c r="J1896" i="1" s="1"/>
  <c r="H1897" i="1"/>
  <c r="J1897" i="1" s="1"/>
  <c r="H1898" i="1"/>
  <c r="J1898" i="1" s="1"/>
  <c r="H1899" i="1"/>
  <c r="J1899" i="1" s="1"/>
  <c r="H1900" i="1"/>
  <c r="J1900" i="1" s="1"/>
  <c r="H1901" i="1"/>
  <c r="J1901" i="1" s="1"/>
  <c r="H1902" i="1"/>
  <c r="J1902" i="1" s="1"/>
  <c r="H1903" i="1"/>
  <c r="J1903" i="1" s="1"/>
  <c r="H1904" i="1"/>
  <c r="J1904" i="1" s="1"/>
  <c r="H1905" i="1"/>
  <c r="J1905" i="1" s="1"/>
  <c r="H1906" i="1"/>
  <c r="J1906" i="1" s="1"/>
  <c r="H1907" i="1"/>
  <c r="J1907" i="1" s="1"/>
  <c r="H1908" i="1"/>
  <c r="J1908" i="1" s="1"/>
  <c r="H1909" i="1"/>
  <c r="J1909" i="1" s="1"/>
  <c r="H1910" i="1"/>
  <c r="J1910" i="1" s="1"/>
  <c r="H1911" i="1"/>
  <c r="J1911" i="1" s="1"/>
  <c r="H1912" i="1"/>
  <c r="J1912" i="1" s="1"/>
  <c r="H1913" i="1"/>
  <c r="J1913" i="1" s="1"/>
  <c r="H1914" i="1"/>
  <c r="J1914" i="1" s="1"/>
  <c r="H1915" i="1"/>
  <c r="J1915" i="1" s="1"/>
  <c r="H1916" i="1"/>
  <c r="J1916" i="1" s="1"/>
  <c r="H1917" i="1"/>
  <c r="J1917" i="1" s="1"/>
  <c r="H1918" i="1"/>
  <c r="J1918" i="1" s="1"/>
  <c r="H1919" i="1"/>
  <c r="J1919" i="1" s="1"/>
  <c r="H1920" i="1"/>
  <c r="J1920" i="1" s="1"/>
  <c r="H1921" i="1"/>
  <c r="J1921" i="1" s="1"/>
  <c r="H1922" i="1"/>
  <c r="J1922" i="1" s="1"/>
  <c r="H1923" i="1"/>
  <c r="J1923" i="1" s="1"/>
  <c r="H1924" i="1"/>
  <c r="J1924" i="1" s="1"/>
  <c r="H1925" i="1"/>
  <c r="J1925" i="1" s="1"/>
  <c r="H1926" i="1"/>
  <c r="J1926" i="1" s="1"/>
  <c r="H1927" i="1"/>
  <c r="J1927" i="1" s="1"/>
  <c r="H1928" i="1"/>
  <c r="J1928" i="1" s="1"/>
  <c r="H1929" i="1"/>
  <c r="J1929" i="1" s="1"/>
  <c r="H1930" i="1"/>
  <c r="J1930" i="1" s="1"/>
  <c r="H1931" i="1"/>
  <c r="J1931" i="1" s="1"/>
  <c r="H1932" i="1"/>
  <c r="J1932" i="1" s="1"/>
  <c r="H1933" i="1"/>
  <c r="J1933" i="1" s="1"/>
  <c r="H1934" i="1"/>
  <c r="J1934" i="1" s="1"/>
  <c r="H1935" i="1"/>
  <c r="J1935" i="1" s="1"/>
  <c r="H1936" i="1"/>
  <c r="J1936" i="1" s="1"/>
  <c r="H1937" i="1"/>
  <c r="J1937" i="1" s="1"/>
  <c r="H1938" i="1"/>
  <c r="J1938" i="1" s="1"/>
  <c r="H1939" i="1"/>
  <c r="J1939" i="1" s="1"/>
  <c r="H1940" i="1"/>
  <c r="J1940" i="1" s="1"/>
  <c r="H1941" i="1"/>
  <c r="J1941" i="1" s="1"/>
  <c r="H1942" i="1"/>
  <c r="J1942" i="1" s="1"/>
  <c r="H1943" i="1"/>
  <c r="J1943" i="1" s="1"/>
  <c r="H1944" i="1"/>
  <c r="J1944" i="1" s="1"/>
  <c r="H1945" i="1"/>
  <c r="J1945" i="1" s="1"/>
  <c r="H1946" i="1"/>
  <c r="J1946" i="1" s="1"/>
  <c r="H1947" i="1"/>
  <c r="J1947" i="1" s="1"/>
  <c r="H1948" i="1"/>
  <c r="J1948" i="1" s="1"/>
  <c r="H1949" i="1"/>
  <c r="J1949" i="1" s="1"/>
  <c r="H1950" i="1"/>
  <c r="J1950" i="1" s="1"/>
  <c r="H1951" i="1"/>
  <c r="J1951" i="1" s="1"/>
  <c r="H1952" i="1"/>
  <c r="J1952" i="1" s="1"/>
  <c r="H1953" i="1"/>
  <c r="J1953" i="1" s="1"/>
  <c r="H1954" i="1"/>
  <c r="J1954" i="1" s="1"/>
  <c r="H1955" i="1"/>
  <c r="J1955" i="1" s="1"/>
  <c r="H1956" i="1"/>
  <c r="J1956" i="1" s="1"/>
  <c r="H1957" i="1"/>
  <c r="J1957" i="1" s="1"/>
  <c r="H1958" i="1"/>
  <c r="J1958" i="1" s="1"/>
  <c r="H1959" i="1"/>
  <c r="J1959" i="1" s="1"/>
  <c r="H1960" i="1"/>
  <c r="J1960" i="1" s="1"/>
  <c r="H1961" i="1"/>
  <c r="J1961" i="1" s="1"/>
  <c r="H1962" i="1"/>
  <c r="J1962" i="1" s="1"/>
  <c r="H1963" i="1"/>
  <c r="J1963" i="1" s="1"/>
  <c r="H1964" i="1"/>
  <c r="J1964" i="1" s="1"/>
  <c r="H1965" i="1"/>
  <c r="J1965" i="1" s="1"/>
  <c r="H1966" i="1"/>
  <c r="J1966" i="1" s="1"/>
  <c r="H1967" i="1"/>
  <c r="J1967" i="1" s="1"/>
  <c r="H1968" i="1"/>
  <c r="J1968" i="1" s="1"/>
  <c r="H1969" i="1"/>
  <c r="J1969" i="1" s="1"/>
  <c r="H1970" i="1"/>
  <c r="J1970" i="1" s="1"/>
  <c r="H1971" i="1"/>
  <c r="J1971" i="1" s="1"/>
  <c r="H1972" i="1"/>
  <c r="J1972" i="1" s="1"/>
  <c r="H1973" i="1"/>
  <c r="J1973" i="1" s="1"/>
  <c r="H1974" i="1"/>
  <c r="J1974" i="1" s="1"/>
  <c r="H1975" i="1"/>
  <c r="J1975" i="1" s="1"/>
  <c r="H1976" i="1"/>
  <c r="J1976" i="1" s="1"/>
  <c r="H1977" i="1"/>
  <c r="J1977" i="1" s="1"/>
  <c r="H1978" i="1"/>
  <c r="J1978" i="1" s="1"/>
  <c r="H1979" i="1"/>
  <c r="J1979" i="1" s="1"/>
  <c r="H1980" i="1"/>
  <c r="J1980" i="1" s="1"/>
  <c r="H1981" i="1"/>
  <c r="J1981" i="1" s="1"/>
  <c r="H1982" i="1"/>
  <c r="J1982" i="1" s="1"/>
  <c r="H1983" i="1"/>
  <c r="J1983" i="1" s="1"/>
  <c r="H1984" i="1"/>
  <c r="J1984" i="1" s="1"/>
  <c r="H1985" i="1"/>
  <c r="J1985" i="1" s="1"/>
  <c r="H1986" i="1"/>
  <c r="J1986" i="1" s="1"/>
  <c r="H1987" i="1"/>
  <c r="J1987" i="1" s="1"/>
  <c r="H1988" i="1"/>
  <c r="J1988" i="1" s="1"/>
  <c r="H1989" i="1"/>
  <c r="J1989" i="1" s="1"/>
  <c r="H1990" i="1"/>
  <c r="J1990" i="1" s="1"/>
  <c r="H1991" i="1"/>
  <c r="J1991" i="1" s="1"/>
  <c r="H1992" i="1"/>
  <c r="J1992" i="1" s="1"/>
  <c r="H1993" i="1"/>
  <c r="J1993" i="1" s="1"/>
  <c r="H1994" i="1"/>
  <c r="J1994" i="1" s="1"/>
  <c r="H1995" i="1"/>
  <c r="J1995" i="1" s="1"/>
  <c r="H1996" i="1"/>
  <c r="J1996" i="1" s="1"/>
  <c r="H1997" i="1"/>
  <c r="J1997" i="1" s="1"/>
  <c r="H1998" i="1"/>
  <c r="J1998" i="1" s="1"/>
  <c r="H1999" i="1"/>
  <c r="J1999" i="1" s="1"/>
  <c r="H2000" i="1"/>
  <c r="J2000" i="1" s="1"/>
  <c r="H2001" i="1"/>
  <c r="J2001" i="1" s="1"/>
  <c r="H2002" i="1"/>
  <c r="J2002" i="1" s="1"/>
  <c r="H2003" i="1"/>
  <c r="J2003" i="1" s="1"/>
  <c r="H2004" i="1"/>
  <c r="J2004" i="1" s="1"/>
  <c r="H2005" i="1"/>
  <c r="J2005" i="1" s="1"/>
  <c r="H2006" i="1"/>
  <c r="J2006" i="1" s="1"/>
  <c r="H2007" i="1"/>
  <c r="J2007" i="1" s="1"/>
  <c r="H2008" i="1"/>
  <c r="J2008" i="1" s="1"/>
  <c r="H2009" i="1"/>
  <c r="J2009" i="1" s="1"/>
  <c r="H2010" i="1"/>
  <c r="J2010" i="1" s="1"/>
  <c r="H2011" i="1"/>
  <c r="J2011" i="1" s="1"/>
  <c r="H2012" i="1"/>
  <c r="J2012" i="1" s="1"/>
  <c r="H2013" i="1"/>
  <c r="J2013" i="1" s="1"/>
  <c r="H2014" i="1"/>
  <c r="J2014" i="1" s="1"/>
  <c r="H2015" i="1"/>
  <c r="J2015" i="1" s="1"/>
  <c r="H2016" i="1"/>
  <c r="J2016" i="1" s="1"/>
  <c r="H2017" i="1"/>
  <c r="J2017" i="1" s="1"/>
  <c r="H2018" i="1"/>
  <c r="J2018" i="1" s="1"/>
  <c r="H2019" i="1"/>
  <c r="J2019" i="1" s="1"/>
  <c r="H2020" i="1"/>
  <c r="J2020" i="1" s="1"/>
  <c r="H2021" i="1"/>
  <c r="J2021" i="1" s="1"/>
  <c r="H2022" i="1"/>
  <c r="J2022" i="1" s="1"/>
  <c r="H2023" i="1"/>
  <c r="J2023" i="1" s="1"/>
  <c r="H2024" i="1"/>
  <c r="J2024" i="1" s="1"/>
  <c r="H2025" i="1"/>
  <c r="J2025" i="1" s="1"/>
  <c r="H2026" i="1"/>
  <c r="J2026" i="1" s="1"/>
  <c r="H2027" i="1"/>
  <c r="J2027" i="1" s="1"/>
  <c r="H2028" i="1"/>
  <c r="J2028" i="1" s="1"/>
  <c r="H2029" i="1"/>
  <c r="J2029" i="1" s="1"/>
  <c r="H2030" i="1"/>
  <c r="J2030" i="1" s="1"/>
  <c r="H2031" i="1"/>
  <c r="J2031" i="1" s="1"/>
  <c r="H2032" i="1"/>
  <c r="J2032" i="1" s="1"/>
  <c r="H2033" i="1"/>
  <c r="J2033" i="1" s="1"/>
  <c r="H2034" i="1"/>
  <c r="J2034" i="1" s="1"/>
  <c r="H2035" i="1"/>
  <c r="J2035" i="1" s="1"/>
  <c r="H2036" i="1"/>
  <c r="J2036" i="1" s="1"/>
  <c r="H2037" i="1"/>
  <c r="J2037" i="1" s="1"/>
  <c r="H2038" i="1"/>
  <c r="J2038" i="1" s="1"/>
  <c r="H2039" i="1"/>
  <c r="J2039" i="1" s="1"/>
  <c r="H2040" i="1"/>
  <c r="J2040" i="1" s="1"/>
  <c r="H2041" i="1"/>
  <c r="J2041" i="1" s="1"/>
  <c r="H2042" i="1"/>
  <c r="J2042" i="1" s="1"/>
  <c r="H2043" i="1"/>
  <c r="J2043" i="1" s="1"/>
  <c r="H2044" i="1"/>
  <c r="J2044" i="1" s="1"/>
  <c r="H2045" i="1"/>
  <c r="J2045" i="1" s="1"/>
  <c r="H2046" i="1"/>
  <c r="J2046" i="1" s="1"/>
  <c r="H2047" i="1"/>
  <c r="J2047" i="1" s="1"/>
  <c r="H2048" i="1"/>
  <c r="J2048" i="1" s="1"/>
  <c r="H2049" i="1"/>
  <c r="J2049" i="1" s="1"/>
  <c r="H2050" i="1"/>
  <c r="J2050" i="1" s="1"/>
  <c r="H2051" i="1"/>
  <c r="J2051" i="1" s="1"/>
  <c r="H2052" i="1"/>
  <c r="J2052" i="1" s="1"/>
  <c r="H2053" i="1"/>
  <c r="J2053" i="1" s="1"/>
  <c r="H2054" i="1"/>
  <c r="J2054" i="1" s="1"/>
  <c r="H2055" i="1"/>
  <c r="J2055" i="1" s="1"/>
  <c r="H2056" i="1"/>
  <c r="J2056" i="1" s="1"/>
  <c r="H2057" i="1"/>
  <c r="J2057" i="1" s="1"/>
  <c r="H2058" i="1"/>
  <c r="J2058" i="1" s="1"/>
  <c r="H2059" i="1"/>
  <c r="J2059" i="1" s="1"/>
  <c r="H2060" i="1"/>
  <c r="J2060" i="1" s="1"/>
  <c r="H2061" i="1"/>
  <c r="J2061" i="1" s="1"/>
  <c r="H2062" i="1"/>
  <c r="J2062" i="1" s="1"/>
  <c r="H2063" i="1"/>
  <c r="J2063" i="1" s="1"/>
  <c r="H2064" i="1"/>
  <c r="J2064" i="1" s="1"/>
  <c r="H2065" i="1"/>
  <c r="J2065" i="1" s="1"/>
  <c r="H2066" i="1"/>
  <c r="J2066" i="1" s="1"/>
  <c r="H2067" i="1"/>
  <c r="J2067" i="1" s="1"/>
  <c r="H2068" i="1"/>
  <c r="J2068" i="1" s="1"/>
  <c r="H2069" i="1"/>
  <c r="J2069" i="1" s="1"/>
  <c r="H2070" i="1"/>
  <c r="J2070" i="1" s="1"/>
  <c r="H2071" i="1"/>
  <c r="J2071" i="1" s="1"/>
  <c r="H2072" i="1"/>
  <c r="J2072" i="1" s="1"/>
  <c r="H2073" i="1"/>
  <c r="J2073" i="1" s="1"/>
  <c r="H2074" i="1"/>
  <c r="J2074" i="1" s="1"/>
  <c r="H2075" i="1"/>
  <c r="J2075" i="1" s="1"/>
  <c r="H2076" i="1"/>
  <c r="J2076" i="1" s="1"/>
  <c r="H2077" i="1"/>
  <c r="J2077" i="1" s="1"/>
  <c r="H2078" i="1"/>
  <c r="J2078" i="1" s="1"/>
  <c r="H2079" i="1"/>
  <c r="J2079" i="1" s="1"/>
  <c r="H2080" i="1"/>
  <c r="J2080" i="1" s="1"/>
  <c r="H2081" i="1"/>
  <c r="J2081" i="1" s="1"/>
  <c r="H2082" i="1"/>
  <c r="J2082" i="1" s="1"/>
  <c r="H2083" i="1"/>
  <c r="J2083" i="1" s="1"/>
  <c r="H2084" i="1"/>
  <c r="J2084" i="1" s="1"/>
  <c r="H2085" i="1"/>
  <c r="J2085" i="1" s="1"/>
  <c r="H2086" i="1"/>
  <c r="J2086" i="1" s="1"/>
  <c r="H2087" i="1"/>
  <c r="J2087" i="1" s="1"/>
  <c r="H2088" i="1"/>
  <c r="J2088" i="1" s="1"/>
  <c r="H2089" i="1"/>
  <c r="J2089" i="1" s="1"/>
  <c r="H2090" i="1"/>
  <c r="J2090" i="1" s="1"/>
  <c r="H2091" i="1"/>
  <c r="J2091" i="1" s="1"/>
  <c r="H2092" i="1"/>
  <c r="J2092" i="1" s="1"/>
  <c r="H2093" i="1"/>
  <c r="J2093" i="1" s="1"/>
  <c r="H2094" i="1"/>
  <c r="J2094" i="1" s="1"/>
  <c r="H2095" i="1"/>
  <c r="J2095" i="1" s="1"/>
  <c r="H2096" i="1"/>
  <c r="J2096" i="1" s="1"/>
  <c r="H2097" i="1"/>
  <c r="J2097" i="1" s="1"/>
  <c r="H2098" i="1"/>
  <c r="J2098" i="1" s="1"/>
  <c r="H2099" i="1"/>
  <c r="J2099" i="1" s="1"/>
  <c r="H2100" i="1"/>
  <c r="J2100" i="1" s="1"/>
  <c r="H2101" i="1"/>
  <c r="J2101" i="1" s="1"/>
  <c r="H2102" i="1"/>
  <c r="J2102" i="1" s="1"/>
  <c r="H2103" i="1"/>
  <c r="J2103" i="1" s="1"/>
  <c r="H2104" i="1"/>
  <c r="J2104" i="1" s="1"/>
  <c r="H2105" i="1"/>
  <c r="J2105" i="1" s="1"/>
  <c r="H2106" i="1"/>
  <c r="J2106" i="1" s="1"/>
  <c r="H2107" i="1"/>
  <c r="J2107" i="1" s="1"/>
  <c r="H2108" i="1"/>
  <c r="J2108" i="1" s="1"/>
  <c r="H2109" i="1"/>
  <c r="J2109" i="1" s="1"/>
  <c r="H2110" i="1"/>
  <c r="J2110" i="1" s="1"/>
  <c r="H2111" i="1"/>
  <c r="J2111" i="1" s="1"/>
  <c r="H2112" i="1"/>
  <c r="J2112" i="1" s="1"/>
  <c r="H2113" i="1"/>
  <c r="J2113" i="1" s="1"/>
  <c r="H2114" i="1"/>
  <c r="J2114" i="1" s="1"/>
  <c r="H2115" i="1"/>
  <c r="J2115" i="1" s="1"/>
  <c r="H2116" i="1"/>
  <c r="J2116" i="1" s="1"/>
  <c r="H2117" i="1"/>
  <c r="J2117" i="1" s="1"/>
  <c r="H2118" i="1"/>
  <c r="J2118" i="1" s="1"/>
  <c r="H2119" i="1"/>
  <c r="J2119" i="1" s="1"/>
  <c r="H2120" i="1"/>
  <c r="J2120" i="1" s="1"/>
  <c r="H2121" i="1"/>
  <c r="J2121" i="1" s="1"/>
  <c r="H2122" i="1"/>
  <c r="J2122" i="1" s="1"/>
  <c r="H2123" i="1"/>
  <c r="J2123" i="1" s="1"/>
  <c r="H2124" i="1"/>
  <c r="J2124" i="1" s="1"/>
  <c r="H2125" i="1"/>
  <c r="J2125" i="1" s="1"/>
  <c r="H2126" i="1"/>
  <c r="J2126" i="1" s="1"/>
  <c r="H2127" i="1"/>
  <c r="J2127" i="1" s="1"/>
  <c r="H2128" i="1"/>
  <c r="J2128" i="1" s="1"/>
  <c r="H2129" i="1"/>
  <c r="J2129" i="1" s="1"/>
  <c r="H2130" i="1"/>
  <c r="J2130" i="1" s="1"/>
  <c r="H2131" i="1"/>
  <c r="J2131" i="1" s="1"/>
  <c r="H2132" i="1"/>
  <c r="J2132" i="1" s="1"/>
  <c r="H2133" i="1"/>
  <c r="J2133" i="1" s="1"/>
  <c r="H2134" i="1"/>
  <c r="J2134" i="1" s="1"/>
  <c r="H2135" i="1"/>
  <c r="J2135" i="1" s="1"/>
  <c r="H2136" i="1"/>
  <c r="J2136" i="1" s="1"/>
  <c r="H2137" i="1"/>
  <c r="J2137" i="1" s="1"/>
  <c r="H2138" i="1"/>
  <c r="J2138" i="1" s="1"/>
  <c r="H2139" i="1"/>
  <c r="J2139" i="1" s="1"/>
  <c r="H2140" i="1"/>
  <c r="J2140" i="1" s="1"/>
  <c r="H2141" i="1"/>
  <c r="J2141" i="1" s="1"/>
  <c r="H2142" i="1"/>
  <c r="J2142" i="1" s="1"/>
  <c r="H2143" i="1"/>
  <c r="J2143" i="1" s="1"/>
  <c r="H2144" i="1"/>
  <c r="J2144" i="1" s="1"/>
  <c r="H2145" i="1"/>
  <c r="J2145" i="1" s="1"/>
  <c r="H2146" i="1"/>
  <c r="J2146" i="1" s="1"/>
  <c r="H2147" i="1"/>
  <c r="J2147" i="1" s="1"/>
  <c r="H2148" i="1"/>
  <c r="J2148" i="1" s="1"/>
  <c r="H2149" i="1"/>
  <c r="J2149" i="1" s="1"/>
  <c r="H2150" i="1"/>
  <c r="J2150" i="1" s="1"/>
  <c r="H2151" i="1"/>
  <c r="J2151" i="1" s="1"/>
  <c r="H2152" i="1"/>
  <c r="J2152" i="1" s="1"/>
  <c r="H2153" i="1"/>
  <c r="J2153" i="1" s="1"/>
  <c r="H2154" i="1"/>
  <c r="J2154" i="1" s="1"/>
  <c r="H2155" i="1"/>
  <c r="J2155" i="1" s="1"/>
  <c r="H2156" i="1"/>
  <c r="J2156" i="1" s="1"/>
  <c r="H2157" i="1"/>
  <c r="J2157" i="1" s="1"/>
  <c r="H2158" i="1"/>
  <c r="J2158" i="1" s="1"/>
  <c r="H2159" i="1"/>
  <c r="J2159" i="1" s="1"/>
  <c r="H2160" i="1"/>
  <c r="J2160" i="1" s="1"/>
  <c r="H2161" i="1"/>
  <c r="J2161" i="1" s="1"/>
  <c r="H2162" i="1"/>
  <c r="J2162" i="1" s="1"/>
  <c r="H2163" i="1"/>
  <c r="J2163" i="1" s="1"/>
  <c r="H2164" i="1"/>
  <c r="J2164" i="1" s="1"/>
  <c r="H2165" i="1"/>
  <c r="J2165" i="1" s="1"/>
  <c r="H2166" i="1"/>
  <c r="J2166" i="1" s="1"/>
  <c r="H2167" i="1"/>
  <c r="J2167" i="1" s="1"/>
  <c r="H2168" i="1"/>
  <c r="J2168" i="1" s="1"/>
  <c r="H2169" i="1"/>
  <c r="J2169" i="1" s="1"/>
  <c r="H2170" i="1"/>
  <c r="J2170" i="1" s="1"/>
  <c r="H2171" i="1"/>
  <c r="J2171" i="1" s="1"/>
  <c r="H2172" i="1"/>
  <c r="J2172" i="1" s="1"/>
  <c r="H2173" i="1"/>
  <c r="J2173" i="1" s="1"/>
  <c r="H2174" i="1"/>
  <c r="J2174" i="1" s="1"/>
  <c r="H2175" i="1"/>
  <c r="J2175" i="1" s="1"/>
  <c r="H2176" i="1"/>
  <c r="J2176" i="1" s="1"/>
  <c r="H2177" i="1"/>
  <c r="J2177" i="1" s="1"/>
  <c r="H2178" i="1"/>
  <c r="J2178" i="1" s="1"/>
  <c r="H2179" i="1"/>
  <c r="J2179" i="1" s="1"/>
  <c r="H2180" i="1"/>
  <c r="J2180" i="1" s="1"/>
  <c r="H2181" i="1"/>
  <c r="J2181" i="1" s="1"/>
  <c r="H2182" i="1"/>
  <c r="J2182" i="1" s="1"/>
  <c r="H2183" i="1"/>
  <c r="J2183" i="1" s="1"/>
  <c r="H2184" i="1"/>
  <c r="J2184" i="1" s="1"/>
  <c r="H2185" i="1"/>
  <c r="J2185" i="1" s="1"/>
  <c r="H2186" i="1"/>
  <c r="J2186" i="1" s="1"/>
  <c r="H2187" i="1"/>
  <c r="J2187" i="1" s="1"/>
  <c r="H2188" i="1"/>
  <c r="J2188" i="1" s="1"/>
  <c r="H2189" i="1"/>
  <c r="J2189" i="1" s="1"/>
  <c r="H2190" i="1"/>
  <c r="J2190" i="1" s="1"/>
  <c r="H2191" i="1"/>
  <c r="J2191" i="1" s="1"/>
  <c r="H2192" i="1"/>
  <c r="J2192" i="1" s="1"/>
  <c r="H2193" i="1"/>
  <c r="J2193" i="1" s="1"/>
  <c r="H2194" i="1"/>
  <c r="J2194" i="1" s="1"/>
  <c r="H2195" i="1"/>
  <c r="J2195" i="1" s="1"/>
  <c r="H2196" i="1"/>
  <c r="J2196" i="1" s="1"/>
  <c r="H2197" i="1"/>
  <c r="J2197" i="1" s="1"/>
  <c r="H2198" i="1"/>
  <c r="J2198" i="1" s="1"/>
  <c r="H2199" i="1"/>
  <c r="J2199" i="1" s="1"/>
  <c r="H2200" i="1"/>
  <c r="J2200" i="1" s="1"/>
  <c r="H2201" i="1"/>
  <c r="J2201" i="1" s="1"/>
  <c r="H2202" i="1"/>
  <c r="J2202" i="1" s="1"/>
  <c r="H2203" i="1"/>
  <c r="J2203" i="1" s="1"/>
  <c r="H2204" i="1"/>
  <c r="J2204" i="1" s="1"/>
  <c r="H2205" i="1"/>
  <c r="J2205" i="1" s="1"/>
  <c r="H2206" i="1"/>
  <c r="J2206" i="1" s="1"/>
  <c r="H2207" i="1"/>
  <c r="J2207" i="1" s="1"/>
  <c r="H2208" i="1"/>
  <c r="J2208" i="1" s="1"/>
  <c r="H2209" i="1"/>
  <c r="J2209" i="1" s="1"/>
  <c r="H2210" i="1"/>
  <c r="J2210" i="1" s="1"/>
  <c r="H2211" i="1"/>
  <c r="J2211" i="1" s="1"/>
  <c r="H2212" i="1"/>
  <c r="J2212" i="1" s="1"/>
  <c r="H2213" i="1"/>
  <c r="J2213" i="1" s="1"/>
  <c r="H2214" i="1"/>
  <c r="J2214" i="1" s="1"/>
  <c r="H2215" i="1"/>
  <c r="J2215" i="1" s="1"/>
  <c r="H2216" i="1"/>
  <c r="J2216" i="1" s="1"/>
  <c r="H2217" i="1"/>
  <c r="J2217" i="1" s="1"/>
  <c r="H2218" i="1"/>
  <c r="J2218" i="1" s="1"/>
  <c r="H2219" i="1"/>
  <c r="J2219" i="1" s="1"/>
  <c r="H2220" i="1"/>
  <c r="J2220" i="1" s="1"/>
  <c r="H2221" i="1"/>
  <c r="J2221" i="1" s="1"/>
  <c r="H2222" i="1"/>
  <c r="J2222" i="1" s="1"/>
  <c r="H2223" i="1"/>
  <c r="J2223" i="1" s="1"/>
  <c r="H2224" i="1"/>
  <c r="J2224" i="1" s="1"/>
  <c r="H2225" i="1"/>
  <c r="J2225" i="1" s="1"/>
  <c r="H2226" i="1"/>
  <c r="J2226" i="1" s="1"/>
  <c r="H2227" i="1"/>
  <c r="J2227" i="1" s="1"/>
  <c r="H2228" i="1"/>
  <c r="J2228" i="1" s="1"/>
  <c r="H2229" i="1"/>
  <c r="J2229" i="1" s="1"/>
  <c r="H2230" i="1"/>
  <c r="J2230" i="1" s="1"/>
  <c r="H2231" i="1"/>
  <c r="J2231" i="1" s="1"/>
  <c r="H2232" i="1"/>
  <c r="J2232" i="1" s="1"/>
  <c r="H2233" i="1"/>
  <c r="J2233" i="1" s="1"/>
  <c r="H2234" i="1"/>
  <c r="J2234" i="1" s="1"/>
  <c r="H2235" i="1"/>
  <c r="J2235" i="1" s="1"/>
  <c r="H2236" i="1"/>
  <c r="J2236" i="1" s="1"/>
  <c r="H2237" i="1"/>
  <c r="J2237" i="1" s="1"/>
  <c r="H2238" i="1"/>
  <c r="J2238" i="1" s="1"/>
  <c r="H2239" i="1"/>
  <c r="J2239" i="1" s="1"/>
  <c r="H2240" i="1"/>
  <c r="J2240" i="1" s="1"/>
  <c r="H2241" i="1"/>
  <c r="J2241" i="1" s="1"/>
  <c r="H2242" i="1"/>
  <c r="J2242" i="1" s="1"/>
  <c r="H2243" i="1"/>
  <c r="J2243" i="1" s="1"/>
  <c r="H2244" i="1"/>
  <c r="J2244" i="1" s="1"/>
  <c r="H2245" i="1"/>
  <c r="J2245" i="1" s="1"/>
  <c r="H2246" i="1"/>
  <c r="J2246" i="1" s="1"/>
  <c r="H2247" i="1"/>
  <c r="J2247" i="1" s="1"/>
  <c r="H2248" i="1"/>
  <c r="J2248" i="1" s="1"/>
  <c r="H2249" i="1"/>
  <c r="J2249" i="1" s="1"/>
  <c r="H2250" i="1"/>
  <c r="J2250" i="1" s="1"/>
  <c r="H2251" i="1"/>
  <c r="J2251" i="1" s="1"/>
  <c r="H2252" i="1"/>
  <c r="J2252" i="1" s="1"/>
  <c r="H2253" i="1"/>
  <c r="J2253" i="1" s="1"/>
  <c r="H2254" i="1"/>
  <c r="J2254" i="1" s="1"/>
  <c r="H2255" i="1"/>
  <c r="J2255" i="1" s="1"/>
  <c r="H2256" i="1"/>
  <c r="J2256" i="1" s="1"/>
  <c r="H2257" i="1"/>
  <c r="J2257" i="1" s="1"/>
  <c r="H2258" i="1"/>
  <c r="J2258" i="1" s="1"/>
  <c r="H2259" i="1"/>
  <c r="J2259" i="1" s="1"/>
  <c r="H2260" i="1"/>
  <c r="J2260" i="1" s="1"/>
  <c r="H2261" i="1"/>
  <c r="J2261" i="1" s="1"/>
  <c r="H2262" i="1"/>
  <c r="J2262" i="1" s="1"/>
  <c r="H2263" i="1"/>
  <c r="J2263" i="1" s="1"/>
  <c r="H2264" i="1"/>
  <c r="J2264" i="1" s="1"/>
  <c r="H2265" i="1"/>
  <c r="J2265" i="1" s="1"/>
  <c r="H2266" i="1"/>
  <c r="J2266" i="1" s="1"/>
  <c r="H2267" i="1"/>
  <c r="J2267" i="1" s="1"/>
  <c r="H2268" i="1"/>
  <c r="J2268" i="1" s="1"/>
  <c r="H2269" i="1"/>
  <c r="J2269" i="1" s="1"/>
  <c r="H2270" i="1"/>
  <c r="J2270" i="1" s="1"/>
  <c r="H2271" i="1"/>
  <c r="J2271" i="1" s="1"/>
  <c r="H2272" i="1"/>
  <c r="J2272" i="1" s="1"/>
  <c r="H2273" i="1"/>
  <c r="J2273" i="1" s="1"/>
  <c r="H2274" i="1"/>
  <c r="J2274" i="1" s="1"/>
  <c r="H2275" i="1"/>
  <c r="J2275" i="1" s="1"/>
  <c r="H2276" i="1"/>
  <c r="J2276" i="1" s="1"/>
  <c r="H2277" i="1"/>
  <c r="J2277" i="1" s="1"/>
  <c r="H2278" i="1"/>
  <c r="J2278" i="1" s="1"/>
  <c r="H2279" i="1"/>
  <c r="J2279" i="1" s="1"/>
  <c r="H2280" i="1"/>
  <c r="J2280" i="1" s="1"/>
  <c r="H2281" i="1"/>
  <c r="J2281" i="1" s="1"/>
  <c r="H2282" i="1"/>
  <c r="J2282" i="1" s="1"/>
  <c r="H2283" i="1"/>
  <c r="J2283" i="1" s="1"/>
  <c r="H2284" i="1"/>
  <c r="J2284" i="1" s="1"/>
  <c r="H2285" i="1"/>
  <c r="J2285" i="1" s="1"/>
  <c r="H2286" i="1"/>
  <c r="J2286" i="1" s="1"/>
  <c r="H2287" i="1"/>
  <c r="J2287" i="1" s="1"/>
  <c r="H2288" i="1"/>
  <c r="J2288" i="1" s="1"/>
  <c r="H2289" i="1"/>
  <c r="J2289" i="1" s="1"/>
  <c r="H2290" i="1"/>
  <c r="J2290" i="1" s="1"/>
  <c r="H2291" i="1"/>
  <c r="J2291" i="1" s="1"/>
  <c r="H2292" i="1"/>
  <c r="J2292" i="1" s="1"/>
  <c r="H2293" i="1"/>
  <c r="J2293" i="1" s="1"/>
  <c r="H2294" i="1"/>
  <c r="J2294" i="1" s="1"/>
  <c r="H2295" i="1"/>
  <c r="J2295" i="1" s="1"/>
  <c r="H2296" i="1"/>
  <c r="J2296" i="1" s="1"/>
  <c r="H2297" i="1"/>
  <c r="J2297" i="1" s="1"/>
  <c r="H2298" i="1"/>
  <c r="J2298" i="1" s="1"/>
  <c r="H2299" i="1"/>
  <c r="J2299" i="1" s="1"/>
  <c r="H2300" i="1"/>
  <c r="J2300" i="1" s="1"/>
  <c r="H2301" i="1"/>
  <c r="J2301" i="1" s="1"/>
  <c r="H2302" i="1"/>
  <c r="J2302" i="1" s="1"/>
  <c r="H2303" i="1"/>
  <c r="J2303" i="1" s="1"/>
  <c r="H2304" i="1"/>
  <c r="J2304" i="1" s="1"/>
  <c r="H2305" i="1"/>
  <c r="J2305" i="1" s="1"/>
  <c r="H2306" i="1"/>
  <c r="J2306" i="1" s="1"/>
  <c r="H2307" i="1"/>
  <c r="J2307" i="1" s="1"/>
  <c r="H2308" i="1"/>
  <c r="J2308" i="1" s="1"/>
  <c r="H2309" i="1"/>
  <c r="J2309" i="1" s="1"/>
  <c r="H2310" i="1"/>
  <c r="J2310" i="1" s="1"/>
  <c r="H2311" i="1"/>
  <c r="J2311" i="1" s="1"/>
  <c r="H2312" i="1"/>
  <c r="J2312" i="1" s="1"/>
  <c r="H2313" i="1"/>
  <c r="J2313" i="1" s="1"/>
  <c r="H2314" i="1"/>
  <c r="J2314" i="1" s="1"/>
  <c r="H2315" i="1"/>
  <c r="J2315" i="1" s="1"/>
  <c r="H2316" i="1"/>
  <c r="J2316" i="1" s="1"/>
  <c r="H2317" i="1"/>
  <c r="J2317" i="1" s="1"/>
  <c r="H2318" i="1"/>
  <c r="J2318" i="1" s="1"/>
  <c r="H2319" i="1"/>
  <c r="J2319" i="1" s="1"/>
  <c r="H2320" i="1"/>
  <c r="J2320" i="1" s="1"/>
  <c r="H2321" i="1"/>
  <c r="J2321" i="1" s="1"/>
  <c r="H2322" i="1"/>
  <c r="J2322" i="1" s="1"/>
  <c r="H2323" i="1"/>
  <c r="J2323" i="1" s="1"/>
  <c r="H2324" i="1"/>
  <c r="J2324" i="1" s="1"/>
  <c r="H2325" i="1"/>
  <c r="J2325" i="1" s="1"/>
  <c r="H2326" i="1"/>
  <c r="J2326" i="1" s="1"/>
  <c r="H2327" i="1"/>
  <c r="J2327" i="1" s="1"/>
  <c r="H2328" i="1"/>
  <c r="J2328" i="1" s="1"/>
  <c r="H2329" i="1"/>
  <c r="J2329" i="1" s="1"/>
  <c r="H2330" i="1"/>
  <c r="J2330" i="1" s="1"/>
  <c r="H2331" i="1"/>
  <c r="J2331" i="1" s="1"/>
  <c r="H2332" i="1"/>
  <c r="J2332" i="1" s="1"/>
  <c r="H2333" i="1"/>
  <c r="J2333" i="1" s="1"/>
  <c r="H2334" i="1"/>
  <c r="J2334" i="1" s="1"/>
  <c r="H2335" i="1"/>
  <c r="J2335" i="1" s="1"/>
  <c r="H2336" i="1"/>
  <c r="J2336" i="1" s="1"/>
  <c r="H2337" i="1"/>
  <c r="J2337" i="1" s="1"/>
  <c r="H2338" i="1"/>
  <c r="J2338" i="1" s="1"/>
  <c r="H2339" i="1"/>
  <c r="J2339" i="1" s="1"/>
  <c r="H2340" i="1"/>
  <c r="J2340" i="1" s="1"/>
  <c r="H2341" i="1"/>
  <c r="J2341" i="1" s="1"/>
  <c r="H2342" i="1"/>
  <c r="J2342" i="1" s="1"/>
  <c r="H2343" i="1"/>
  <c r="J2343" i="1" s="1"/>
  <c r="H2344" i="1"/>
  <c r="J2344" i="1" s="1"/>
  <c r="H2345" i="1"/>
  <c r="J2345" i="1" s="1"/>
  <c r="H2346" i="1"/>
  <c r="J2346" i="1" s="1"/>
  <c r="H2347" i="1"/>
  <c r="J2347" i="1" s="1"/>
  <c r="H2348" i="1"/>
  <c r="J2348" i="1" s="1"/>
  <c r="H2349" i="1"/>
  <c r="J2349" i="1" s="1"/>
  <c r="H2350" i="1"/>
  <c r="J2350" i="1" s="1"/>
  <c r="H2351" i="1"/>
  <c r="J2351" i="1" s="1"/>
  <c r="H2352" i="1"/>
  <c r="J2352" i="1" s="1"/>
  <c r="H2353" i="1"/>
  <c r="J2353" i="1" s="1"/>
  <c r="H2354" i="1"/>
  <c r="J2354" i="1" s="1"/>
  <c r="H2355" i="1"/>
  <c r="J2355" i="1" s="1"/>
  <c r="H2356" i="1"/>
  <c r="J2356" i="1" s="1"/>
  <c r="H2357" i="1"/>
  <c r="J2357" i="1" s="1"/>
  <c r="H2358" i="1"/>
  <c r="J2358" i="1" s="1"/>
  <c r="H2359" i="1"/>
  <c r="J2359" i="1" s="1"/>
  <c r="H2360" i="1"/>
  <c r="J2360" i="1" s="1"/>
  <c r="H2361" i="1"/>
  <c r="J2361" i="1" s="1"/>
  <c r="H2362" i="1"/>
  <c r="J2362" i="1" s="1"/>
  <c r="H2363" i="1"/>
  <c r="J2363" i="1" s="1"/>
  <c r="H2364" i="1"/>
  <c r="J2364" i="1" s="1"/>
  <c r="H2365" i="1"/>
  <c r="J2365" i="1" s="1"/>
  <c r="H2366" i="1"/>
  <c r="J2366" i="1" s="1"/>
  <c r="H2367" i="1"/>
  <c r="J2367" i="1" s="1"/>
  <c r="H2368" i="1"/>
  <c r="J2368" i="1" s="1"/>
  <c r="H2369" i="1"/>
  <c r="J2369" i="1" s="1"/>
  <c r="H2370" i="1"/>
  <c r="J2370" i="1" s="1"/>
  <c r="H2371" i="1"/>
  <c r="J2371" i="1" s="1"/>
  <c r="H2372" i="1"/>
  <c r="J2372" i="1" s="1"/>
  <c r="H2373" i="1"/>
  <c r="J2373" i="1" s="1"/>
  <c r="H2374" i="1"/>
  <c r="J2374" i="1" s="1"/>
  <c r="H2375" i="1"/>
  <c r="J2375" i="1" s="1"/>
  <c r="H2376" i="1"/>
  <c r="J2376" i="1" s="1"/>
  <c r="H2377" i="1"/>
  <c r="J2377" i="1" s="1"/>
  <c r="H2378" i="1"/>
  <c r="J2378" i="1" s="1"/>
  <c r="H2379" i="1"/>
  <c r="J2379" i="1" s="1"/>
  <c r="H2380" i="1"/>
  <c r="J2380" i="1" s="1"/>
  <c r="H2381" i="1"/>
  <c r="J2381" i="1" s="1"/>
  <c r="H2382" i="1"/>
  <c r="J2382" i="1" s="1"/>
  <c r="H2383" i="1"/>
  <c r="J2383" i="1" s="1"/>
  <c r="H2384" i="1"/>
  <c r="J2384" i="1" s="1"/>
  <c r="H2385" i="1"/>
  <c r="J2385" i="1" s="1"/>
  <c r="H2386" i="1"/>
  <c r="J2386" i="1" s="1"/>
  <c r="H2387" i="1"/>
  <c r="J2387" i="1" s="1"/>
  <c r="H2388" i="1"/>
  <c r="J2388" i="1" s="1"/>
  <c r="H2389" i="1"/>
  <c r="J2389" i="1" s="1"/>
  <c r="H2390" i="1"/>
  <c r="J2390" i="1" s="1"/>
  <c r="H2391" i="1"/>
  <c r="J2391" i="1" s="1"/>
  <c r="H2392" i="1"/>
  <c r="J2392" i="1" s="1"/>
  <c r="H2393" i="1"/>
  <c r="J2393" i="1" s="1"/>
  <c r="H2394" i="1"/>
  <c r="J2394" i="1" s="1"/>
  <c r="H2395" i="1"/>
  <c r="J2395" i="1" s="1"/>
  <c r="H2396" i="1"/>
  <c r="J2396" i="1" s="1"/>
  <c r="H2397" i="1"/>
  <c r="J2397" i="1" s="1"/>
  <c r="H2398" i="1"/>
  <c r="J2398" i="1" s="1"/>
  <c r="H2399" i="1"/>
  <c r="J2399" i="1" s="1"/>
  <c r="H2400" i="1"/>
  <c r="J2400" i="1" s="1"/>
  <c r="H2401" i="1"/>
  <c r="J2401" i="1" s="1"/>
  <c r="H2402" i="1"/>
  <c r="J2402" i="1" s="1"/>
  <c r="H2403" i="1"/>
  <c r="J2403" i="1" s="1"/>
  <c r="H2404" i="1"/>
  <c r="J2404" i="1" s="1"/>
  <c r="H2405" i="1"/>
  <c r="J2405" i="1" s="1"/>
  <c r="H907" i="1"/>
  <c r="J907" i="1" s="1"/>
  <c r="H908" i="1"/>
  <c r="J908" i="1" s="1"/>
  <c r="H909" i="1"/>
  <c r="J909" i="1" s="1"/>
  <c r="H910" i="1"/>
  <c r="J910" i="1" s="1"/>
  <c r="H911" i="1"/>
  <c r="J911" i="1" s="1"/>
  <c r="H912" i="1"/>
  <c r="J912" i="1" s="1"/>
  <c r="H913" i="1"/>
  <c r="J913" i="1" s="1"/>
  <c r="H914" i="1"/>
  <c r="J914" i="1" s="1"/>
  <c r="H915" i="1"/>
  <c r="J915" i="1" s="1"/>
  <c r="H916" i="1"/>
  <c r="J916" i="1" s="1"/>
  <c r="H917" i="1"/>
  <c r="J917" i="1" s="1"/>
  <c r="H918" i="1"/>
  <c r="J918" i="1" s="1"/>
  <c r="H919" i="1"/>
  <c r="J919" i="1" s="1"/>
  <c r="H920" i="1"/>
  <c r="J920" i="1" s="1"/>
  <c r="H921" i="1"/>
  <c r="J921" i="1" s="1"/>
  <c r="H922" i="1"/>
  <c r="J922" i="1" s="1"/>
  <c r="H923" i="1"/>
  <c r="J923" i="1" s="1"/>
  <c r="H924" i="1"/>
  <c r="J924" i="1" s="1"/>
  <c r="H925" i="1"/>
  <c r="J925" i="1" s="1"/>
  <c r="H926" i="1"/>
  <c r="J926" i="1" s="1"/>
  <c r="H927" i="1"/>
  <c r="J927" i="1" s="1"/>
  <c r="H928" i="1"/>
  <c r="J928" i="1" s="1"/>
  <c r="H929" i="1"/>
  <c r="J929" i="1" s="1"/>
  <c r="H930" i="1"/>
  <c r="J930" i="1" s="1"/>
  <c r="H931" i="1"/>
  <c r="J931" i="1" s="1"/>
  <c r="H932" i="1"/>
  <c r="J932" i="1" s="1"/>
  <c r="H933" i="1"/>
  <c r="J933" i="1" s="1"/>
  <c r="H934" i="1"/>
  <c r="J934" i="1" s="1"/>
  <c r="H935" i="1"/>
  <c r="J935" i="1" s="1"/>
  <c r="H936" i="1"/>
  <c r="J936" i="1" s="1"/>
  <c r="H937" i="1"/>
  <c r="J937" i="1" s="1"/>
  <c r="H938" i="1"/>
  <c r="J938" i="1" s="1"/>
  <c r="H939" i="1"/>
  <c r="J939" i="1" s="1"/>
  <c r="H940" i="1"/>
  <c r="J940" i="1" s="1"/>
  <c r="H941" i="1"/>
  <c r="J941" i="1" s="1"/>
  <c r="H942" i="1"/>
  <c r="J942" i="1" s="1"/>
  <c r="H943" i="1"/>
  <c r="J943" i="1" s="1"/>
  <c r="H944" i="1"/>
  <c r="J944" i="1" s="1"/>
  <c r="H945" i="1"/>
  <c r="J945" i="1" s="1"/>
  <c r="H946" i="1"/>
  <c r="J946" i="1" s="1"/>
  <c r="H947" i="1"/>
  <c r="J947" i="1" s="1"/>
  <c r="H948" i="1"/>
  <c r="J948" i="1" s="1"/>
  <c r="H949" i="1"/>
  <c r="J949" i="1" s="1"/>
  <c r="H950" i="1"/>
  <c r="J950" i="1" s="1"/>
  <c r="H951" i="1"/>
  <c r="J951" i="1" s="1"/>
  <c r="H952" i="1"/>
  <c r="J952" i="1" s="1"/>
  <c r="H953" i="1"/>
  <c r="J953" i="1" s="1"/>
  <c r="H954" i="1"/>
  <c r="J954" i="1" s="1"/>
  <c r="H955" i="1"/>
  <c r="J955" i="1" s="1"/>
  <c r="H956" i="1"/>
  <c r="J956" i="1" s="1"/>
  <c r="H957" i="1"/>
  <c r="J957" i="1" s="1"/>
  <c r="H958" i="1"/>
  <c r="J958" i="1" s="1"/>
  <c r="H959" i="1"/>
  <c r="J959" i="1" s="1"/>
  <c r="H960" i="1"/>
  <c r="J960" i="1" s="1"/>
  <c r="H961" i="1"/>
  <c r="J961" i="1" s="1"/>
  <c r="H962" i="1"/>
  <c r="J962" i="1" s="1"/>
  <c r="H963" i="1"/>
  <c r="J963" i="1" s="1"/>
  <c r="H964" i="1"/>
  <c r="J964" i="1" s="1"/>
  <c r="H965" i="1"/>
  <c r="J965" i="1" s="1"/>
  <c r="H966" i="1"/>
  <c r="J966" i="1" s="1"/>
  <c r="H967" i="1"/>
  <c r="J967" i="1" s="1"/>
  <c r="H968" i="1"/>
  <c r="J968" i="1" s="1"/>
  <c r="H969" i="1"/>
  <c r="J969" i="1" s="1"/>
  <c r="H970" i="1"/>
  <c r="J970" i="1" s="1"/>
  <c r="H971" i="1"/>
  <c r="J971" i="1" s="1"/>
  <c r="H972" i="1"/>
  <c r="J972" i="1" s="1"/>
  <c r="H973" i="1"/>
  <c r="J973" i="1" s="1"/>
  <c r="H974" i="1"/>
  <c r="J974" i="1" s="1"/>
  <c r="H975" i="1"/>
  <c r="J975" i="1" s="1"/>
  <c r="H976" i="1"/>
  <c r="J976" i="1" s="1"/>
  <c r="H977" i="1"/>
  <c r="J977" i="1" s="1"/>
  <c r="H978" i="1"/>
  <c r="J978" i="1" s="1"/>
  <c r="H979" i="1"/>
  <c r="J979" i="1" s="1"/>
  <c r="H980" i="1"/>
  <c r="J980" i="1" s="1"/>
  <c r="H981" i="1"/>
  <c r="J981" i="1" s="1"/>
  <c r="H982" i="1"/>
  <c r="J982" i="1" s="1"/>
  <c r="H983" i="1"/>
  <c r="J983" i="1" s="1"/>
  <c r="H984" i="1"/>
  <c r="J984" i="1" s="1"/>
  <c r="H985" i="1"/>
  <c r="J985" i="1" s="1"/>
  <c r="H986" i="1"/>
  <c r="J986" i="1" s="1"/>
  <c r="H987" i="1"/>
  <c r="J987" i="1" s="1"/>
  <c r="H988" i="1"/>
  <c r="J988" i="1" s="1"/>
  <c r="H989" i="1"/>
  <c r="J989" i="1" s="1"/>
  <c r="H990" i="1"/>
  <c r="J990" i="1" s="1"/>
  <c r="H991" i="1"/>
  <c r="J991" i="1" s="1"/>
  <c r="H992" i="1"/>
  <c r="J992" i="1" s="1"/>
  <c r="H993" i="1"/>
  <c r="J993" i="1" s="1"/>
  <c r="H994" i="1"/>
  <c r="J994" i="1" s="1"/>
  <c r="H995" i="1"/>
  <c r="J995" i="1" s="1"/>
  <c r="H996" i="1"/>
  <c r="J996" i="1" s="1"/>
  <c r="H997" i="1"/>
  <c r="J997" i="1" s="1"/>
  <c r="H998" i="1"/>
  <c r="J998" i="1" s="1"/>
  <c r="H999" i="1"/>
  <c r="J999" i="1" s="1"/>
  <c r="H1000" i="1"/>
  <c r="J1000" i="1" s="1"/>
  <c r="H1001" i="1"/>
  <c r="J1001" i="1" s="1"/>
  <c r="H1002" i="1"/>
  <c r="J1002" i="1" s="1"/>
  <c r="H1003" i="1"/>
  <c r="J1003" i="1" s="1"/>
  <c r="H1004" i="1"/>
  <c r="J1004" i="1" s="1"/>
  <c r="H1005" i="1"/>
  <c r="J1005" i="1" s="1"/>
  <c r="H1006" i="1"/>
  <c r="J1006" i="1" s="1"/>
  <c r="H1007" i="1"/>
  <c r="J1007" i="1" s="1"/>
  <c r="H1008" i="1"/>
  <c r="J1008" i="1" s="1"/>
  <c r="H1009" i="1"/>
  <c r="J1009" i="1" s="1"/>
  <c r="H1010" i="1"/>
  <c r="J1010" i="1" s="1"/>
  <c r="H1011" i="1"/>
  <c r="J1011" i="1" s="1"/>
  <c r="H1012" i="1"/>
  <c r="J1012" i="1" s="1"/>
  <c r="H1013" i="1"/>
  <c r="J1013" i="1" s="1"/>
  <c r="H1014" i="1"/>
  <c r="J1014" i="1" s="1"/>
  <c r="H1015" i="1"/>
  <c r="J1015" i="1" s="1"/>
  <c r="H1016" i="1"/>
  <c r="J1016" i="1" s="1"/>
  <c r="H1017" i="1"/>
  <c r="J1017" i="1" s="1"/>
  <c r="H1018" i="1"/>
  <c r="J1018" i="1" s="1"/>
  <c r="H1019" i="1"/>
  <c r="J1019" i="1" s="1"/>
  <c r="H1020" i="1"/>
  <c r="J1020" i="1" s="1"/>
  <c r="H1021" i="1"/>
  <c r="J1021" i="1" s="1"/>
  <c r="H1022" i="1"/>
  <c r="J1022" i="1" s="1"/>
  <c r="H1023" i="1"/>
  <c r="J1023" i="1" s="1"/>
  <c r="H1024" i="1"/>
  <c r="J1024" i="1" s="1"/>
  <c r="H1025" i="1"/>
  <c r="J1025" i="1" s="1"/>
  <c r="H1026" i="1"/>
  <c r="J1026" i="1" s="1"/>
  <c r="H1027" i="1"/>
  <c r="J1027" i="1" s="1"/>
  <c r="H1028" i="1"/>
  <c r="J1028" i="1" s="1"/>
  <c r="H1029" i="1"/>
  <c r="J1029" i="1" s="1"/>
  <c r="H1030" i="1"/>
  <c r="J1030" i="1" s="1"/>
  <c r="H1031" i="1"/>
  <c r="J1031" i="1" s="1"/>
  <c r="H1032" i="1"/>
  <c r="J1032" i="1" s="1"/>
  <c r="H1033" i="1"/>
  <c r="J1033" i="1" s="1"/>
  <c r="H1034" i="1"/>
  <c r="J1034" i="1" s="1"/>
  <c r="H1035" i="1"/>
  <c r="J1035" i="1" s="1"/>
  <c r="H1036" i="1"/>
  <c r="J1036" i="1" s="1"/>
  <c r="H1037" i="1"/>
  <c r="J1037" i="1" s="1"/>
  <c r="H1038" i="1"/>
  <c r="J1038" i="1" s="1"/>
  <c r="H1039" i="1"/>
  <c r="J1039" i="1" s="1"/>
  <c r="H1040" i="1"/>
  <c r="J1040" i="1" s="1"/>
  <c r="H1041" i="1"/>
  <c r="J1041" i="1" s="1"/>
  <c r="H1042" i="1"/>
  <c r="J1042" i="1" s="1"/>
  <c r="H1043" i="1"/>
  <c r="J1043" i="1" s="1"/>
  <c r="H1044" i="1"/>
  <c r="J1044" i="1" s="1"/>
  <c r="H1045" i="1"/>
  <c r="J1045" i="1" s="1"/>
  <c r="H1046" i="1"/>
  <c r="J1046" i="1" s="1"/>
  <c r="H1047" i="1"/>
  <c r="J1047" i="1" s="1"/>
  <c r="H1048" i="1"/>
  <c r="J1048" i="1" s="1"/>
  <c r="H1049" i="1"/>
  <c r="J1049" i="1" s="1"/>
  <c r="H1050" i="1"/>
  <c r="J1050" i="1" s="1"/>
  <c r="H1051" i="1"/>
  <c r="J1051" i="1" s="1"/>
  <c r="H1052" i="1"/>
  <c r="J1052" i="1" s="1"/>
  <c r="H1053" i="1"/>
  <c r="J1053" i="1" s="1"/>
  <c r="H1054" i="1"/>
  <c r="J1054" i="1" s="1"/>
  <c r="H1055" i="1"/>
  <c r="J1055" i="1" s="1"/>
  <c r="H1056" i="1"/>
  <c r="J1056" i="1" s="1"/>
  <c r="H1057" i="1"/>
  <c r="J1057" i="1" s="1"/>
  <c r="H1058" i="1"/>
  <c r="J1058" i="1" s="1"/>
  <c r="H1059" i="1"/>
  <c r="J1059" i="1" s="1"/>
  <c r="H1060" i="1"/>
  <c r="J1060" i="1" s="1"/>
  <c r="H1061" i="1"/>
  <c r="J1061" i="1" s="1"/>
  <c r="H1062" i="1"/>
  <c r="J1062" i="1" s="1"/>
  <c r="H1063" i="1"/>
  <c r="J1063" i="1" s="1"/>
  <c r="H1064" i="1"/>
  <c r="J1064" i="1" s="1"/>
  <c r="H1065" i="1"/>
  <c r="J1065" i="1" s="1"/>
  <c r="H1066" i="1"/>
  <c r="J1066" i="1" s="1"/>
  <c r="H1067" i="1"/>
  <c r="J1067" i="1" s="1"/>
  <c r="H1068" i="1"/>
  <c r="J1068" i="1" s="1"/>
  <c r="H1069" i="1"/>
  <c r="J1069" i="1" s="1"/>
  <c r="H1070" i="1"/>
  <c r="J1070" i="1" s="1"/>
  <c r="H1071" i="1"/>
  <c r="J1071" i="1" s="1"/>
  <c r="H1072" i="1"/>
  <c r="J1072" i="1" s="1"/>
  <c r="H1073" i="1"/>
  <c r="J1073" i="1" s="1"/>
  <c r="H1074" i="1"/>
  <c r="J1074" i="1" s="1"/>
  <c r="H1075" i="1"/>
  <c r="J1075" i="1" s="1"/>
  <c r="H1076" i="1"/>
  <c r="J1076" i="1" s="1"/>
  <c r="H1077" i="1"/>
  <c r="J1077" i="1" s="1"/>
  <c r="H1078" i="1"/>
  <c r="J1078" i="1" s="1"/>
  <c r="H1079" i="1"/>
  <c r="J1079" i="1" s="1"/>
  <c r="H1080" i="1"/>
  <c r="J1080" i="1" s="1"/>
  <c r="H1081" i="1"/>
  <c r="J1081" i="1" s="1"/>
  <c r="H1082" i="1"/>
  <c r="J1082" i="1" s="1"/>
  <c r="H1083" i="1"/>
  <c r="J1083" i="1" s="1"/>
  <c r="H1084" i="1"/>
  <c r="J1084" i="1" s="1"/>
  <c r="H1085" i="1"/>
  <c r="J1085" i="1" s="1"/>
  <c r="H1086" i="1"/>
  <c r="J1086" i="1" s="1"/>
  <c r="H1087" i="1"/>
  <c r="J1087" i="1" s="1"/>
  <c r="H1088" i="1"/>
  <c r="J1088" i="1" s="1"/>
  <c r="H1089" i="1"/>
  <c r="J1089" i="1" s="1"/>
  <c r="H1090" i="1"/>
  <c r="J1090" i="1" s="1"/>
  <c r="H1091" i="1"/>
  <c r="J1091" i="1" s="1"/>
  <c r="H1092" i="1"/>
  <c r="J1092" i="1" s="1"/>
  <c r="H1093" i="1"/>
  <c r="J1093" i="1" s="1"/>
  <c r="H1094" i="1"/>
  <c r="J1094" i="1" s="1"/>
  <c r="H1095" i="1"/>
  <c r="J1095" i="1" s="1"/>
  <c r="H1096" i="1"/>
  <c r="J1096" i="1" s="1"/>
  <c r="H1097" i="1"/>
  <c r="J1097" i="1" s="1"/>
  <c r="H1098" i="1"/>
  <c r="J1098" i="1" s="1"/>
  <c r="H1099" i="1"/>
  <c r="J1099" i="1" s="1"/>
  <c r="H1100" i="1"/>
  <c r="J1100" i="1" s="1"/>
  <c r="H1101" i="1"/>
  <c r="J1101" i="1" s="1"/>
  <c r="H1102" i="1"/>
  <c r="J1102" i="1" s="1"/>
  <c r="H1103" i="1"/>
  <c r="J1103" i="1" s="1"/>
  <c r="H1104" i="1"/>
  <c r="J1104" i="1" s="1"/>
  <c r="H1105" i="1"/>
  <c r="J1105" i="1" s="1"/>
  <c r="H1106" i="1"/>
  <c r="J1106" i="1" s="1"/>
  <c r="H1107" i="1"/>
  <c r="J1107" i="1" s="1"/>
  <c r="H1108" i="1"/>
  <c r="J1108" i="1" s="1"/>
  <c r="H1109" i="1"/>
  <c r="J1109" i="1" s="1"/>
  <c r="H1110" i="1"/>
  <c r="J1110" i="1" s="1"/>
  <c r="H1111" i="1"/>
  <c r="J1111" i="1" s="1"/>
  <c r="H1112" i="1"/>
  <c r="J1112" i="1" s="1"/>
  <c r="H1113" i="1"/>
  <c r="J1113" i="1" s="1"/>
  <c r="H1114" i="1"/>
  <c r="J1114" i="1" s="1"/>
  <c r="H1115" i="1"/>
  <c r="J1115" i="1" s="1"/>
  <c r="H1116" i="1"/>
  <c r="J1116" i="1" s="1"/>
  <c r="H1117" i="1"/>
  <c r="J1117" i="1" s="1"/>
  <c r="H1118" i="1"/>
  <c r="J1118" i="1" s="1"/>
  <c r="H1119" i="1"/>
  <c r="J1119" i="1" s="1"/>
  <c r="H1120" i="1"/>
  <c r="J1120" i="1" s="1"/>
  <c r="H1121" i="1"/>
  <c r="J1121" i="1" s="1"/>
  <c r="H1122" i="1"/>
  <c r="J1122" i="1" s="1"/>
  <c r="H1123" i="1"/>
  <c r="J1123" i="1" s="1"/>
  <c r="H1124" i="1"/>
  <c r="J1124" i="1" s="1"/>
  <c r="H1125" i="1"/>
  <c r="J1125" i="1" s="1"/>
  <c r="H1126" i="1"/>
  <c r="J1126" i="1" s="1"/>
  <c r="H1127" i="1"/>
  <c r="J1127" i="1" s="1"/>
  <c r="H1128" i="1"/>
  <c r="J1128" i="1" s="1"/>
  <c r="H1129" i="1"/>
  <c r="J1129" i="1" s="1"/>
  <c r="H1130" i="1"/>
  <c r="J1130" i="1" s="1"/>
  <c r="H1131" i="1"/>
  <c r="J1131" i="1" s="1"/>
  <c r="H1132" i="1"/>
  <c r="J1132" i="1" s="1"/>
  <c r="H1133" i="1"/>
  <c r="J1133" i="1" s="1"/>
  <c r="H1134" i="1"/>
  <c r="J1134" i="1" s="1"/>
  <c r="H1135" i="1"/>
  <c r="J1135" i="1" s="1"/>
  <c r="H1136" i="1"/>
  <c r="J1136" i="1" s="1"/>
  <c r="H1137" i="1"/>
  <c r="J1137" i="1" s="1"/>
  <c r="H1138" i="1"/>
  <c r="J1138" i="1" s="1"/>
  <c r="H1139" i="1"/>
  <c r="J1139" i="1" s="1"/>
  <c r="H1140" i="1"/>
  <c r="J1140" i="1" s="1"/>
  <c r="H1141" i="1"/>
  <c r="J1141" i="1" s="1"/>
  <c r="H1142" i="1"/>
  <c r="J1142" i="1" s="1"/>
  <c r="H1143" i="1"/>
  <c r="J1143" i="1" s="1"/>
  <c r="H1144" i="1"/>
  <c r="J1144" i="1" s="1"/>
  <c r="H1145" i="1"/>
  <c r="J1145" i="1" s="1"/>
  <c r="H1146" i="1"/>
  <c r="J1146" i="1" s="1"/>
  <c r="H1147" i="1"/>
  <c r="J1147" i="1" s="1"/>
  <c r="H1148" i="1"/>
  <c r="J1148" i="1" s="1"/>
  <c r="H1149" i="1"/>
  <c r="J1149" i="1" s="1"/>
  <c r="H1150" i="1"/>
  <c r="J1150" i="1" s="1"/>
  <c r="H1151" i="1"/>
  <c r="J1151" i="1" s="1"/>
  <c r="H1152" i="1"/>
  <c r="J1152" i="1" s="1"/>
  <c r="H1153" i="1"/>
  <c r="J1153" i="1" s="1"/>
  <c r="H1154" i="1"/>
  <c r="J1154" i="1" s="1"/>
  <c r="H1155" i="1"/>
  <c r="J1155" i="1" s="1"/>
  <c r="H1156" i="1"/>
  <c r="J1156" i="1" s="1"/>
  <c r="H1157" i="1"/>
  <c r="J1157" i="1" s="1"/>
  <c r="H1158" i="1"/>
  <c r="J1158" i="1" s="1"/>
  <c r="H1159" i="1"/>
  <c r="J1159" i="1" s="1"/>
  <c r="H1160" i="1"/>
  <c r="J1160" i="1" s="1"/>
  <c r="H1161" i="1"/>
  <c r="J1161" i="1" s="1"/>
  <c r="H1162" i="1"/>
  <c r="J1162" i="1" s="1"/>
  <c r="H1163" i="1"/>
  <c r="J1163" i="1" s="1"/>
  <c r="H1164" i="1"/>
  <c r="J1164" i="1" s="1"/>
  <c r="H1165" i="1"/>
  <c r="J1165" i="1" s="1"/>
  <c r="H1166" i="1"/>
  <c r="J1166" i="1" s="1"/>
  <c r="H1167" i="1"/>
  <c r="J1167" i="1" s="1"/>
  <c r="H1168" i="1"/>
  <c r="J1168" i="1" s="1"/>
  <c r="H1169" i="1"/>
  <c r="J1169" i="1" s="1"/>
  <c r="H1170" i="1"/>
  <c r="J1170" i="1" s="1"/>
  <c r="H1171" i="1"/>
  <c r="J1171" i="1" s="1"/>
  <c r="H1172" i="1"/>
  <c r="J1172" i="1" s="1"/>
  <c r="H1173" i="1"/>
  <c r="J1173" i="1" s="1"/>
  <c r="H1174" i="1"/>
  <c r="J1174" i="1" s="1"/>
  <c r="H1175" i="1"/>
  <c r="J1175" i="1" s="1"/>
  <c r="H1176" i="1"/>
  <c r="J1176" i="1" s="1"/>
  <c r="H1177" i="1"/>
  <c r="J1177" i="1" s="1"/>
  <c r="H1178" i="1"/>
  <c r="J1178" i="1" s="1"/>
  <c r="H1179" i="1"/>
  <c r="J1179" i="1" s="1"/>
  <c r="H1180" i="1"/>
  <c r="J1180" i="1" s="1"/>
  <c r="H1181" i="1"/>
  <c r="J1181" i="1" s="1"/>
  <c r="H1182" i="1"/>
  <c r="J1182" i="1" s="1"/>
  <c r="H1183" i="1"/>
  <c r="J1183" i="1" s="1"/>
  <c r="H1184" i="1"/>
  <c r="J1184" i="1" s="1"/>
  <c r="H1185" i="1"/>
  <c r="J1185" i="1" s="1"/>
  <c r="H1186" i="1"/>
  <c r="J1186" i="1" s="1"/>
  <c r="H1187" i="1"/>
  <c r="J1187" i="1" s="1"/>
  <c r="H1188" i="1"/>
  <c r="J1188" i="1" s="1"/>
  <c r="H1189" i="1"/>
  <c r="J1189" i="1" s="1"/>
  <c r="H1190" i="1"/>
  <c r="J1190" i="1" s="1"/>
  <c r="H1191" i="1"/>
  <c r="J1191" i="1" s="1"/>
  <c r="H1192" i="1"/>
  <c r="J1192" i="1" s="1"/>
  <c r="H1193" i="1"/>
  <c r="J1193" i="1" s="1"/>
  <c r="H1194" i="1"/>
  <c r="J1194" i="1" s="1"/>
  <c r="H1195" i="1"/>
  <c r="J1195" i="1" s="1"/>
  <c r="H1196" i="1"/>
  <c r="J1196" i="1" s="1"/>
  <c r="H1197" i="1"/>
  <c r="J1197" i="1" s="1"/>
  <c r="H1198" i="1"/>
  <c r="J1198" i="1" s="1"/>
  <c r="H1199" i="1"/>
  <c r="J1199" i="1" s="1"/>
  <c r="H1200" i="1"/>
  <c r="J1200" i="1" s="1"/>
  <c r="H1201" i="1"/>
  <c r="J1201" i="1" s="1"/>
  <c r="H1202" i="1"/>
  <c r="J1202" i="1" s="1"/>
  <c r="H1203" i="1"/>
  <c r="J1203" i="1" s="1"/>
  <c r="H1204" i="1"/>
  <c r="J1204" i="1" s="1"/>
  <c r="H1205" i="1"/>
  <c r="J1205" i="1" s="1"/>
  <c r="H1206" i="1"/>
  <c r="J1206" i="1" s="1"/>
  <c r="H1207" i="1"/>
  <c r="J1207" i="1" s="1"/>
  <c r="H1208" i="1"/>
  <c r="J1208" i="1" s="1"/>
  <c r="H1209" i="1"/>
  <c r="J1209" i="1" s="1"/>
  <c r="H1210" i="1"/>
  <c r="J1210" i="1" s="1"/>
  <c r="H1211" i="1"/>
  <c r="J1211" i="1" s="1"/>
  <c r="H1212" i="1"/>
  <c r="J1212" i="1" s="1"/>
  <c r="H1213" i="1"/>
  <c r="J1213" i="1" s="1"/>
  <c r="H1214" i="1"/>
  <c r="J1214" i="1" s="1"/>
  <c r="H1215" i="1"/>
  <c r="J1215" i="1" s="1"/>
  <c r="H1216" i="1"/>
  <c r="J1216" i="1" s="1"/>
  <c r="H1217" i="1"/>
  <c r="J1217" i="1" s="1"/>
  <c r="H1218" i="1"/>
  <c r="J1218" i="1" s="1"/>
  <c r="H1219" i="1"/>
  <c r="J1219" i="1" s="1"/>
  <c r="H1220" i="1"/>
  <c r="J1220" i="1" s="1"/>
  <c r="H1221" i="1"/>
  <c r="J1221" i="1" s="1"/>
  <c r="H1222" i="1"/>
  <c r="J1222" i="1" s="1"/>
  <c r="H1223" i="1"/>
  <c r="J1223" i="1" s="1"/>
  <c r="H1224" i="1"/>
  <c r="J1224" i="1" s="1"/>
  <c r="H1225" i="1"/>
  <c r="J1225" i="1" s="1"/>
  <c r="H1226" i="1"/>
  <c r="J1226" i="1" s="1"/>
  <c r="H1227" i="1"/>
  <c r="J1227" i="1" s="1"/>
  <c r="H1228" i="1"/>
  <c r="J1228" i="1" s="1"/>
  <c r="H1229" i="1"/>
  <c r="J1229" i="1" s="1"/>
  <c r="H1230" i="1"/>
  <c r="J1230" i="1" s="1"/>
  <c r="H1231" i="1"/>
  <c r="J1231" i="1" s="1"/>
  <c r="H1232" i="1"/>
  <c r="J1232" i="1" s="1"/>
  <c r="H1233" i="1"/>
  <c r="J1233" i="1" s="1"/>
  <c r="H1234" i="1"/>
  <c r="J1234" i="1" s="1"/>
  <c r="H1235" i="1"/>
  <c r="J1235" i="1" s="1"/>
  <c r="H1236" i="1"/>
  <c r="J1236" i="1" s="1"/>
  <c r="H1237" i="1"/>
  <c r="J1237" i="1" s="1"/>
  <c r="H1238" i="1"/>
  <c r="J1238" i="1" s="1"/>
  <c r="H1239" i="1"/>
  <c r="J1239" i="1" s="1"/>
  <c r="H1240" i="1"/>
  <c r="J1240" i="1" s="1"/>
  <c r="H1241" i="1"/>
  <c r="J1241" i="1" s="1"/>
  <c r="H1242" i="1"/>
  <c r="J1242" i="1" s="1"/>
  <c r="H1243" i="1"/>
  <c r="J1243" i="1" s="1"/>
  <c r="H1244" i="1"/>
  <c r="J1244" i="1" s="1"/>
  <c r="H1245" i="1"/>
  <c r="J1245" i="1" s="1"/>
  <c r="H1246" i="1"/>
  <c r="J1246" i="1" s="1"/>
  <c r="H1247" i="1"/>
  <c r="J1247" i="1" s="1"/>
  <c r="H1248" i="1"/>
  <c r="J1248" i="1" s="1"/>
  <c r="H1249" i="1"/>
  <c r="J1249" i="1" s="1"/>
  <c r="H1250" i="1"/>
  <c r="J1250" i="1" s="1"/>
  <c r="H1251" i="1"/>
  <c r="J1251" i="1" s="1"/>
  <c r="H1252" i="1"/>
  <c r="J1252" i="1" s="1"/>
  <c r="H1253" i="1"/>
  <c r="J1253" i="1" s="1"/>
  <c r="H1254" i="1"/>
  <c r="J1254" i="1" s="1"/>
  <c r="H1255" i="1"/>
  <c r="J1255" i="1" s="1"/>
  <c r="H1256" i="1"/>
  <c r="J1256" i="1" s="1"/>
  <c r="H1257" i="1"/>
  <c r="J1257" i="1" s="1"/>
  <c r="H1258" i="1"/>
  <c r="J1258" i="1" s="1"/>
  <c r="H1259" i="1"/>
  <c r="J1259" i="1" s="1"/>
  <c r="H1260" i="1"/>
  <c r="J1260" i="1" s="1"/>
  <c r="H1261" i="1"/>
  <c r="J1261" i="1" s="1"/>
  <c r="H1262" i="1"/>
  <c r="J1262" i="1" s="1"/>
  <c r="H1263" i="1"/>
  <c r="J1263" i="1" s="1"/>
  <c r="H1264" i="1"/>
  <c r="J1264" i="1" s="1"/>
  <c r="H1265" i="1"/>
  <c r="J1265" i="1" s="1"/>
  <c r="H1266" i="1"/>
  <c r="J1266" i="1" s="1"/>
  <c r="H1267" i="1"/>
  <c r="J1267" i="1" s="1"/>
  <c r="H1268" i="1"/>
  <c r="J1268" i="1" s="1"/>
  <c r="H1269" i="1"/>
  <c r="J1269" i="1" s="1"/>
  <c r="H1270" i="1"/>
  <c r="J1270" i="1" s="1"/>
  <c r="H1271" i="1"/>
  <c r="J1271" i="1" s="1"/>
  <c r="H1272" i="1"/>
  <c r="J1272" i="1" s="1"/>
  <c r="H1273" i="1"/>
  <c r="J1273" i="1" s="1"/>
  <c r="H1274" i="1"/>
  <c r="J1274" i="1" s="1"/>
  <c r="H1275" i="1"/>
  <c r="J1275" i="1" s="1"/>
  <c r="H1276" i="1"/>
  <c r="J1276" i="1" s="1"/>
  <c r="H1277" i="1"/>
  <c r="J1277" i="1" s="1"/>
  <c r="H1278" i="1"/>
  <c r="J1278" i="1" s="1"/>
  <c r="H1279" i="1"/>
  <c r="J1279" i="1" s="1"/>
  <c r="H1280" i="1"/>
  <c r="J1280" i="1" s="1"/>
  <c r="H1281" i="1"/>
  <c r="J1281" i="1" s="1"/>
  <c r="H1282" i="1"/>
  <c r="J1282" i="1" s="1"/>
  <c r="H1283" i="1"/>
  <c r="J1283" i="1" s="1"/>
  <c r="H1284" i="1"/>
  <c r="J1284" i="1" s="1"/>
  <c r="H1285" i="1"/>
  <c r="J1285" i="1" s="1"/>
  <c r="H1286" i="1"/>
  <c r="J1286" i="1" s="1"/>
  <c r="H1287" i="1"/>
  <c r="J1287" i="1" s="1"/>
  <c r="H1288" i="1"/>
  <c r="J1288" i="1" s="1"/>
  <c r="H1289" i="1"/>
  <c r="J1289" i="1" s="1"/>
  <c r="H1290" i="1"/>
  <c r="J1290" i="1" s="1"/>
  <c r="H1291" i="1"/>
  <c r="J1291" i="1" s="1"/>
  <c r="H1292" i="1"/>
  <c r="J1292" i="1" s="1"/>
  <c r="H1293" i="1"/>
  <c r="J1293" i="1" s="1"/>
  <c r="H1294" i="1"/>
  <c r="J1294" i="1" s="1"/>
  <c r="H1295" i="1"/>
  <c r="J1295" i="1" s="1"/>
  <c r="H1296" i="1"/>
  <c r="J1296" i="1" s="1"/>
  <c r="H1297" i="1"/>
  <c r="J1297" i="1" s="1"/>
  <c r="H1298" i="1"/>
  <c r="J1298" i="1" s="1"/>
  <c r="H1299" i="1"/>
  <c r="J1299" i="1" s="1"/>
  <c r="H1300" i="1"/>
  <c r="J1300" i="1" s="1"/>
  <c r="H1301" i="1"/>
  <c r="J1301" i="1" s="1"/>
  <c r="H1302" i="1"/>
  <c r="J1302" i="1" s="1"/>
  <c r="H1303" i="1"/>
  <c r="J1303" i="1" s="1"/>
  <c r="H1304" i="1"/>
  <c r="J1304" i="1" s="1"/>
  <c r="H1305" i="1"/>
  <c r="J1305" i="1" s="1"/>
  <c r="H1306" i="1"/>
  <c r="J1306" i="1" s="1"/>
  <c r="H1307" i="1"/>
  <c r="J1307" i="1" s="1"/>
  <c r="H1308" i="1"/>
  <c r="J1308" i="1" s="1"/>
  <c r="H1309" i="1"/>
  <c r="J1309" i="1" s="1"/>
  <c r="H1310" i="1"/>
  <c r="J1310" i="1" s="1"/>
  <c r="H1311" i="1"/>
  <c r="J1311" i="1" s="1"/>
  <c r="H1312" i="1"/>
  <c r="J1312" i="1" s="1"/>
  <c r="H1313" i="1"/>
  <c r="J1313" i="1" s="1"/>
  <c r="H1314" i="1"/>
  <c r="J1314" i="1" s="1"/>
  <c r="H1315" i="1"/>
  <c r="J1315" i="1" s="1"/>
  <c r="H1316" i="1"/>
  <c r="J1316" i="1" s="1"/>
  <c r="H1317" i="1"/>
  <c r="J1317" i="1" s="1"/>
  <c r="H1318" i="1"/>
  <c r="J1318" i="1" s="1"/>
  <c r="H1319" i="1"/>
  <c r="J1319" i="1" s="1"/>
  <c r="H1320" i="1"/>
  <c r="J1320" i="1" s="1"/>
  <c r="H1321" i="1"/>
  <c r="J1321" i="1" s="1"/>
  <c r="H1322" i="1"/>
  <c r="J1322" i="1" s="1"/>
  <c r="H1323" i="1"/>
  <c r="J1323" i="1" s="1"/>
  <c r="H1324" i="1"/>
  <c r="J1324" i="1" s="1"/>
  <c r="H1325" i="1"/>
  <c r="J1325" i="1" s="1"/>
  <c r="H1326" i="1"/>
  <c r="J1326" i="1" s="1"/>
  <c r="H1327" i="1"/>
  <c r="J1327" i="1" s="1"/>
  <c r="H1328" i="1"/>
  <c r="J1328" i="1" s="1"/>
  <c r="H1329" i="1"/>
  <c r="J1329" i="1" s="1"/>
  <c r="H1330" i="1"/>
  <c r="J1330" i="1" s="1"/>
  <c r="H1331" i="1"/>
  <c r="J1331" i="1" s="1"/>
  <c r="H1332" i="1"/>
  <c r="J1332" i="1" s="1"/>
  <c r="H1333" i="1"/>
  <c r="J1333" i="1" s="1"/>
  <c r="H1334" i="1"/>
  <c r="J1334" i="1" s="1"/>
  <c r="H1335" i="1"/>
  <c r="J1335" i="1" s="1"/>
  <c r="H1336" i="1"/>
  <c r="J1336" i="1" s="1"/>
  <c r="H1337" i="1"/>
  <c r="J1337" i="1" s="1"/>
  <c r="H1338" i="1"/>
  <c r="J1338" i="1" s="1"/>
  <c r="H1339" i="1"/>
  <c r="J1339" i="1" s="1"/>
  <c r="H1340" i="1"/>
  <c r="J1340" i="1" s="1"/>
  <c r="H1341" i="1"/>
  <c r="J1341" i="1" s="1"/>
  <c r="H1342" i="1"/>
  <c r="J1342" i="1" s="1"/>
  <c r="H1343" i="1"/>
  <c r="J1343" i="1" s="1"/>
  <c r="H1344" i="1"/>
  <c r="J1344" i="1" s="1"/>
  <c r="H1345" i="1"/>
  <c r="J1345" i="1" s="1"/>
  <c r="H1346" i="1"/>
  <c r="J1346" i="1" s="1"/>
  <c r="H1347" i="1"/>
  <c r="J1347" i="1" s="1"/>
  <c r="H1348" i="1"/>
  <c r="J1348" i="1" s="1"/>
  <c r="H1349" i="1"/>
  <c r="J1349" i="1" s="1"/>
  <c r="H1350" i="1"/>
  <c r="J1350" i="1" s="1"/>
  <c r="H1351" i="1"/>
  <c r="J1351" i="1" s="1"/>
  <c r="H1352" i="1"/>
  <c r="J1352" i="1" s="1"/>
  <c r="H1353" i="1"/>
  <c r="J1353" i="1" s="1"/>
  <c r="H1354" i="1"/>
  <c r="J1354" i="1" s="1"/>
  <c r="H1355" i="1"/>
  <c r="J1355" i="1" s="1"/>
  <c r="H1356" i="1"/>
  <c r="J1356" i="1" s="1"/>
  <c r="H1357" i="1"/>
  <c r="J1357" i="1" s="1"/>
  <c r="H1358" i="1"/>
  <c r="J1358" i="1" s="1"/>
  <c r="H1359" i="1"/>
  <c r="J1359" i="1" s="1"/>
  <c r="H1360" i="1"/>
  <c r="J1360" i="1" s="1"/>
  <c r="H1361" i="1"/>
  <c r="J1361" i="1" s="1"/>
  <c r="H1362" i="1"/>
  <c r="J1362" i="1" s="1"/>
  <c r="H1363" i="1"/>
  <c r="J1363" i="1" s="1"/>
  <c r="H1364" i="1"/>
  <c r="J1364" i="1" s="1"/>
  <c r="H1365" i="1"/>
  <c r="J1365" i="1" s="1"/>
  <c r="H1366" i="1"/>
  <c r="J1366" i="1" s="1"/>
  <c r="H1367" i="1"/>
  <c r="J1367" i="1" s="1"/>
  <c r="H1368" i="1"/>
  <c r="J1368" i="1" s="1"/>
  <c r="H1369" i="1"/>
  <c r="J1369" i="1" s="1"/>
  <c r="H1370" i="1"/>
  <c r="J1370" i="1" s="1"/>
  <c r="H1371" i="1"/>
  <c r="J1371" i="1" s="1"/>
  <c r="H1372" i="1"/>
  <c r="J1372" i="1" s="1"/>
  <c r="H1373" i="1"/>
  <c r="J1373" i="1" s="1"/>
  <c r="H1374" i="1"/>
  <c r="J1374" i="1" s="1"/>
  <c r="H1375" i="1"/>
  <c r="J1375" i="1" s="1"/>
  <c r="H1376" i="1"/>
  <c r="J1376" i="1" s="1"/>
  <c r="H1377" i="1"/>
  <c r="J1377" i="1" s="1"/>
  <c r="H1378" i="1"/>
  <c r="J1378" i="1" s="1"/>
  <c r="H1379" i="1"/>
  <c r="J1379" i="1" s="1"/>
  <c r="H1380" i="1"/>
  <c r="J1380" i="1" s="1"/>
  <c r="H1381" i="1"/>
  <c r="J1381" i="1" s="1"/>
  <c r="H1382" i="1"/>
  <c r="J1382" i="1" s="1"/>
  <c r="H1383" i="1"/>
  <c r="J1383" i="1" s="1"/>
  <c r="H1384" i="1"/>
  <c r="J1384" i="1" s="1"/>
  <c r="H1385" i="1"/>
  <c r="J1385" i="1" s="1"/>
  <c r="H1386" i="1"/>
  <c r="J1386" i="1" s="1"/>
  <c r="H1387" i="1"/>
  <c r="J1387" i="1" s="1"/>
  <c r="H1388" i="1"/>
  <c r="J1388" i="1" s="1"/>
  <c r="H1389" i="1"/>
  <c r="J1389" i="1" s="1"/>
  <c r="H1390" i="1"/>
  <c r="J1390" i="1" s="1"/>
  <c r="H1391" i="1"/>
  <c r="J1391" i="1" s="1"/>
  <c r="H1392" i="1"/>
  <c r="J1392" i="1" s="1"/>
  <c r="H1393" i="1"/>
  <c r="J1393" i="1" s="1"/>
  <c r="H1394" i="1"/>
  <c r="J1394" i="1" s="1"/>
  <c r="H1395" i="1"/>
  <c r="J1395" i="1" s="1"/>
  <c r="H1396" i="1"/>
  <c r="J1396" i="1" s="1"/>
  <c r="H1397" i="1"/>
  <c r="J1397" i="1" s="1"/>
  <c r="H1398" i="1"/>
  <c r="J1398" i="1" s="1"/>
  <c r="H1399" i="1"/>
  <c r="J1399" i="1" s="1"/>
  <c r="H1400" i="1"/>
  <c r="J1400" i="1" s="1"/>
  <c r="H1401" i="1"/>
  <c r="J1401" i="1" s="1"/>
  <c r="H1402" i="1"/>
  <c r="J1402" i="1" s="1"/>
  <c r="H1403" i="1"/>
  <c r="J1403" i="1" s="1"/>
  <c r="H1404" i="1"/>
  <c r="J1404" i="1" s="1"/>
  <c r="H1405" i="1"/>
  <c r="J1405" i="1" s="1"/>
  <c r="H1406" i="1"/>
  <c r="J1406" i="1" s="1"/>
  <c r="H1407" i="1"/>
  <c r="J1407" i="1" s="1"/>
  <c r="H1408" i="1"/>
  <c r="J1408" i="1" s="1"/>
  <c r="H1409" i="1"/>
  <c r="J1409" i="1" s="1"/>
  <c r="H1410" i="1"/>
  <c r="J1410" i="1" s="1"/>
  <c r="H1411" i="1"/>
  <c r="J1411" i="1" s="1"/>
  <c r="H1412" i="1"/>
  <c r="J1412" i="1" s="1"/>
  <c r="H1413" i="1"/>
  <c r="J1413" i="1" s="1"/>
  <c r="H1414" i="1"/>
  <c r="J1414" i="1" s="1"/>
  <c r="H1415" i="1"/>
  <c r="J1415" i="1" s="1"/>
  <c r="H1416" i="1"/>
  <c r="J1416" i="1" s="1"/>
  <c r="H1417" i="1"/>
  <c r="J1417" i="1" s="1"/>
  <c r="H1418" i="1"/>
  <c r="J1418" i="1" s="1"/>
  <c r="H1419" i="1"/>
  <c r="J1419" i="1" s="1"/>
  <c r="H1420" i="1"/>
  <c r="J1420" i="1" s="1"/>
  <c r="H1421" i="1"/>
  <c r="J1421" i="1" s="1"/>
  <c r="H1422" i="1"/>
  <c r="J1422" i="1" s="1"/>
  <c r="H1423" i="1"/>
  <c r="J1423" i="1" s="1"/>
  <c r="H1424" i="1"/>
  <c r="J1424" i="1" s="1"/>
  <c r="H1425" i="1"/>
  <c r="J1425" i="1" s="1"/>
  <c r="H1426" i="1"/>
  <c r="J1426" i="1" s="1"/>
  <c r="H1427" i="1"/>
  <c r="J1427" i="1" s="1"/>
  <c r="H1428" i="1"/>
  <c r="J1428" i="1" s="1"/>
  <c r="H1429" i="1"/>
  <c r="J1429" i="1" s="1"/>
  <c r="H1430" i="1"/>
  <c r="J1430" i="1" s="1"/>
  <c r="H1431" i="1"/>
  <c r="J1431" i="1" s="1"/>
  <c r="H1432" i="1"/>
  <c r="J1432" i="1" s="1"/>
  <c r="H1433" i="1"/>
  <c r="J1433" i="1" s="1"/>
  <c r="H1434" i="1"/>
  <c r="J1434" i="1" s="1"/>
  <c r="H1435" i="1"/>
  <c r="J1435" i="1" s="1"/>
  <c r="H1436" i="1"/>
  <c r="J1436" i="1" s="1"/>
  <c r="H1437" i="1"/>
  <c r="J1437" i="1" s="1"/>
  <c r="H1438" i="1"/>
  <c r="J1438" i="1" s="1"/>
  <c r="H1439" i="1"/>
  <c r="J1439" i="1" s="1"/>
  <c r="H1440" i="1"/>
  <c r="J1440" i="1" s="1"/>
  <c r="H1441" i="1"/>
  <c r="J1441" i="1" s="1"/>
  <c r="H1442" i="1"/>
  <c r="J1442" i="1" s="1"/>
  <c r="H1443" i="1"/>
  <c r="J1443" i="1" s="1"/>
  <c r="H1444" i="1"/>
  <c r="J1444" i="1" s="1"/>
  <c r="H1445" i="1"/>
  <c r="J1445" i="1" s="1"/>
  <c r="H1446" i="1"/>
  <c r="J1446" i="1" s="1"/>
  <c r="H1447" i="1"/>
  <c r="J1447" i="1" s="1"/>
  <c r="H1448" i="1"/>
  <c r="J1448" i="1" s="1"/>
  <c r="H1449" i="1"/>
  <c r="J1449" i="1" s="1"/>
  <c r="H1450" i="1"/>
  <c r="J1450" i="1" s="1"/>
  <c r="H1451" i="1"/>
  <c r="J1451" i="1" s="1"/>
  <c r="H1452" i="1"/>
  <c r="J1452" i="1" s="1"/>
  <c r="H1453" i="1"/>
  <c r="J1453" i="1" s="1"/>
  <c r="H1454" i="1"/>
  <c r="J1454" i="1" s="1"/>
  <c r="H1455" i="1"/>
  <c r="J1455" i="1" s="1"/>
  <c r="H1456" i="1"/>
  <c r="J1456" i="1" s="1"/>
  <c r="H1457" i="1"/>
  <c r="J1457" i="1" s="1"/>
  <c r="H1458" i="1"/>
  <c r="J1458" i="1" s="1"/>
  <c r="H1459" i="1"/>
  <c r="J1459" i="1" s="1"/>
  <c r="H1460" i="1"/>
  <c r="J1460" i="1" s="1"/>
  <c r="H1461" i="1"/>
  <c r="J1461" i="1" s="1"/>
  <c r="H1462" i="1"/>
  <c r="J1462" i="1" s="1"/>
  <c r="H1463" i="1"/>
  <c r="J1463" i="1" s="1"/>
  <c r="H1464" i="1"/>
  <c r="J1464" i="1" s="1"/>
  <c r="H1465" i="1"/>
  <c r="J1465" i="1" s="1"/>
  <c r="H1466" i="1"/>
  <c r="J1466" i="1" s="1"/>
  <c r="H1467" i="1"/>
  <c r="J1467" i="1" s="1"/>
  <c r="H1468" i="1"/>
  <c r="J1468" i="1" s="1"/>
  <c r="H1469" i="1"/>
  <c r="J1469" i="1" s="1"/>
  <c r="H1470" i="1"/>
  <c r="J1470" i="1" s="1"/>
  <c r="H1471" i="1"/>
  <c r="J1471" i="1" s="1"/>
  <c r="H1472" i="1"/>
  <c r="J1472" i="1" s="1"/>
  <c r="H1473" i="1"/>
  <c r="J1473" i="1" s="1"/>
  <c r="H1474" i="1"/>
  <c r="J1474" i="1" s="1"/>
  <c r="H1475" i="1"/>
  <c r="J1475" i="1" s="1"/>
  <c r="H1476" i="1"/>
  <c r="J1476" i="1" s="1"/>
  <c r="H1477" i="1"/>
  <c r="J1477" i="1" s="1"/>
  <c r="H1478" i="1"/>
  <c r="J1478" i="1" s="1"/>
  <c r="H1479" i="1"/>
  <c r="J1479" i="1" s="1"/>
  <c r="H1480" i="1"/>
  <c r="J1480" i="1" s="1"/>
  <c r="H1481" i="1"/>
  <c r="J1481" i="1" s="1"/>
  <c r="H1482" i="1"/>
  <c r="J1482" i="1" s="1"/>
  <c r="H1483" i="1"/>
  <c r="J1483" i="1" s="1"/>
  <c r="H1484" i="1"/>
  <c r="J1484" i="1" s="1"/>
  <c r="H1485" i="1"/>
  <c r="J1485" i="1" s="1"/>
  <c r="H1486" i="1"/>
  <c r="J1486" i="1" s="1"/>
  <c r="H1487" i="1"/>
  <c r="J1487" i="1" s="1"/>
  <c r="H1488" i="1"/>
  <c r="J1488" i="1" s="1"/>
  <c r="H1489" i="1"/>
  <c r="J1489" i="1" s="1"/>
  <c r="H1490" i="1"/>
  <c r="J1490" i="1" s="1"/>
  <c r="H1491" i="1"/>
  <c r="J1491" i="1" s="1"/>
  <c r="H1492" i="1"/>
  <c r="J1492" i="1" s="1"/>
  <c r="H1493" i="1"/>
  <c r="J1493" i="1" s="1"/>
  <c r="H1494" i="1"/>
  <c r="J1494" i="1" s="1"/>
  <c r="H1495" i="1"/>
  <c r="J1495" i="1" s="1"/>
  <c r="H1496" i="1"/>
  <c r="J1496" i="1" s="1"/>
  <c r="H1497" i="1"/>
  <c r="J1497" i="1" s="1"/>
  <c r="H1498" i="1"/>
  <c r="J1498" i="1" s="1"/>
  <c r="H1499" i="1"/>
  <c r="J1499" i="1" s="1"/>
  <c r="H1500" i="1"/>
  <c r="J1500" i="1" s="1"/>
  <c r="H1501" i="1"/>
  <c r="J1501" i="1" s="1"/>
  <c r="H1502" i="1"/>
  <c r="J1502" i="1" s="1"/>
  <c r="H1503" i="1"/>
  <c r="J1503" i="1" s="1"/>
  <c r="H1504" i="1"/>
  <c r="J1504" i="1" s="1"/>
  <c r="H1505" i="1"/>
  <c r="J1505" i="1" s="1"/>
  <c r="H1506" i="1"/>
  <c r="J1506" i="1" s="1"/>
  <c r="H1507" i="1"/>
  <c r="J1507" i="1" s="1"/>
  <c r="H1508" i="1"/>
  <c r="J1508" i="1" s="1"/>
  <c r="H1509" i="1"/>
  <c r="J1509" i="1" s="1"/>
  <c r="H1510" i="1"/>
  <c r="J1510" i="1" s="1"/>
  <c r="H1511" i="1"/>
  <c r="J1511" i="1" s="1"/>
  <c r="H1512" i="1"/>
  <c r="J1512" i="1" s="1"/>
  <c r="H1513" i="1"/>
  <c r="J1513" i="1" s="1"/>
  <c r="H1514" i="1"/>
  <c r="J1514" i="1" s="1"/>
  <c r="H1515" i="1"/>
  <c r="J1515" i="1" s="1"/>
  <c r="H1516" i="1"/>
  <c r="J1516" i="1" s="1"/>
  <c r="H1517" i="1"/>
  <c r="J1517" i="1" s="1"/>
  <c r="H1518" i="1"/>
  <c r="J1518" i="1" s="1"/>
  <c r="H1519" i="1"/>
  <c r="J1519" i="1" s="1"/>
  <c r="H1520" i="1"/>
  <c r="J1520" i="1" s="1"/>
  <c r="H1521" i="1"/>
  <c r="J1521" i="1" s="1"/>
  <c r="H1522" i="1"/>
  <c r="J1522" i="1" s="1"/>
  <c r="H1523" i="1"/>
  <c r="J1523" i="1" s="1"/>
  <c r="H1524" i="1"/>
  <c r="J1524" i="1" s="1"/>
  <c r="H1525" i="1"/>
  <c r="J1525" i="1" s="1"/>
  <c r="H1526" i="1"/>
  <c r="J1526" i="1" s="1"/>
  <c r="H1527" i="1"/>
  <c r="J1527" i="1" s="1"/>
  <c r="H1528" i="1"/>
  <c r="J1528" i="1" s="1"/>
  <c r="H1529" i="1"/>
  <c r="J1529" i="1" s="1"/>
  <c r="H1530" i="1"/>
  <c r="J1530" i="1" s="1"/>
  <c r="H1531" i="1"/>
  <c r="J1531" i="1" s="1"/>
  <c r="H1532" i="1"/>
  <c r="J1532" i="1" s="1"/>
  <c r="H1533" i="1"/>
  <c r="J1533" i="1" s="1"/>
  <c r="H1534" i="1"/>
  <c r="J1534" i="1" s="1"/>
  <c r="H1535" i="1"/>
  <c r="J1535" i="1" s="1"/>
  <c r="H1536" i="1"/>
  <c r="J1536" i="1" s="1"/>
  <c r="H1537" i="1"/>
  <c r="J1537" i="1" s="1"/>
  <c r="H1538" i="1"/>
  <c r="J1538" i="1" s="1"/>
  <c r="H1539" i="1"/>
  <c r="J1539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136" i="1"/>
  <c r="J136" i="1" s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174" i="1"/>
  <c r="J174" i="1" s="1"/>
  <c r="H175" i="1"/>
  <c r="J175" i="1" s="1"/>
  <c r="H176" i="1"/>
  <c r="J176" i="1" s="1"/>
  <c r="H177" i="1"/>
  <c r="J177" i="1" s="1"/>
  <c r="H178" i="1"/>
  <c r="J178" i="1" s="1"/>
  <c r="H179" i="1"/>
  <c r="J179" i="1" s="1"/>
  <c r="H180" i="1"/>
  <c r="J180" i="1" s="1"/>
  <c r="H181" i="1"/>
  <c r="J181" i="1" s="1"/>
  <c r="H182" i="1"/>
  <c r="J182" i="1" s="1"/>
  <c r="H183" i="1"/>
  <c r="J183" i="1" s="1"/>
  <c r="H184" i="1"/>
  <c r="J184" i="1" s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J196" i="1" s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J202" i="1" s="1"/>
  <c r="H203" i="1"/>
  <c r="J203" i="1" s="1"/>
  <c r="H204" i="1"/>
  <c r="J204" i="1" s="1"/>
  <c r="H205" i="1"/>
  <c r="J205" i="1" s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H217" i="1"/>
  <c r="J217" i="1" s="1"/>
  <c r="H218" i="1"/>
  <c r="J218" i="1" s="1"/>
  <c r="H219" i="1"/>
  <c r="J219" i="1" s="1"/>
  <c r="H220" i="1"/>
  <c r="J220" i="1" s="1"/>
  <c r="H221" i="1"/>
  <c r="J221" i="1" s="1"/>
  <c r="H222" i="1"/>
  <c r="J222" i="1" s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J242" i="1" s="1"/>
  <c r="H243" i="1"/>
  <c r="J243" i="1" s="1"/>
  <c r="H244" i="1"/>
  <c r="J244" i="1" s="1"/>
  <c r="H245" i="1"/>
  <c r="J245" i="1" s="1"/>
  <c r="H246" i="1"/>
  <c r="J246" i="1" s="1"/>
  <c r="H247" i="1"/>
  <c r="J247" i="1" s="1"/>
  <c r="H248" i="1"/>
  <c r="J248" i="1" s="1"/>
  <c r="H249" i="1"/>
  <c r="J249" i="1" s="1"/>
  <c r="H250" i="1"/>
  <c r="J250" i="1" s="1"/>
  <c r="H251" i="1"/>
  <c r="J251" i="1" s="1"/>
  <c r="H252" i="1"/>
  <c r="J252" i="1" s="1"/>
  <c r="H253" i="1"/>
  <c r="J253" i="1" s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J260" i="1" s="1"/>
  <c r="H261" i="1"/>
  <c r="J261" i="1" s="1"/>
  <c r="H262" i="1"/>
  <c r="J262" i="1" s="1"/>
  <c r="H263" i="1"/>
  <c r="J263" i="1" s="1"/>
  <c r="H264" i="1"/>
  <c r="J264" i="1" s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J278" i="1" s="1"/>
  <c r="H279" i="1"/>
  <c r="J279" i="1" s="1"/>
  <c r="H280" i="1"/>
  <c r="J280" i="1" s="1"/>
  <c r="H281" i="1"/>
  <c r="J281" i="1" s="1"/>
  <c r="H282" i="1"/>
  <c r="J282" i="1" s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J289" i="1" s="1"/>
  <c r="H290" i="1"/>
  <c r="J290" i="1" s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J313" i="1" s="1"/>
  <c r="H314" i="1"/>
  <c r="J314" i="1" s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J320" i="1" s="1"/>
  <c r="H321" i="1"/>
  <c r="J321" i="1" s="1"/>
  <c r="H322" i="1"/>
  <c r="J322" i="1" s="1"/>
  <c r="H323" i="1"/>
  <c r="J323" i="1" s="1"/>
  <c r="H324" i="1"/>
  <c r="J324" i="1" s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J339" i="1" s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J359" i="1" s="1"/>
  <c r="H360" i="1"/>
  <c r="J360" i="1" s="1"/>
  <c r="H361" i="1"/>
  <c r="J361" i="1" s="1"/>
  <c r="H362" i="1"/>
  <c r="J362" i="1" s="1"/>
  <c r="H363" i="1"/>
  <c r="J363" i="1" s="1"/>
  <c r="H364" i="1"/>
  <c r="J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J397" i="1" s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J403" i="1" s="1"/>
  <c r="H404" i="1"/>
  <c r="J404" i="1" s="1"/>
  <c r="H405" i="1"/>
  <c r="J405" i="1" s="1"/>
  <c r="H406" i="1"/>
  <c r="J406" i="1" s="1"/>
  <c r="H407" i="1"/>
  <c r="J407" i="1" s="1"/>
  <c r="H408" i="1"/>
  <c r="J408" i="1" s="1"/>
  <c r="H409" i="1"/>
  <c r="J409" i="1" s="1"/>
  <c r="H410" i="1"/>
  <c r="J410" i="1" s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J421" i="1" s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J430" i="1" s="1"/>
  <c r="H431" i="1"/>
  <c r="J431" i="1" s="1"/>
  <c r="H432" i="1"/>
  <c r="J432" i="1" s="1"/>
  <c r="H433" i="1"/>
  <c r="J433" i="1" s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J442" i="1" s="1"/>
  <c r="H443" i="1"/>
  <c r="J443" i="1" s="1"/>
  <c r="H444" i="1"/>
  <c r="J444" i="1" s="1"/>
  <c r="H445" i="1"/>
  <c r="J445" i="1" s="1"/>
  <c r="H446" i="1"/>
  <c r="J446" i="1" s="1"/>
  <c r="H447" i="1"/>
  <c r="J447" i="1" s="1"/>
  <c r="H448" i="1"/>
  <c r="J448" i="1" s="1"/>
  <c r="H449" i="1"/>
  <c r="J449" i="1" s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J459" i="1" s="1"/>
  <c r="H460" i="1"/>
  <c r="J460" i="1" s="1"/>
  <c r="H461" i="1"/>
  <c r="J461" i="1" s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J469" i="1" s="1"/>
  <c r="H470" i="1"/>
  <c r="J470" i="1" s="1"/>
  <c r="H471" i="1"/>
  <c r="J471" i="1" s="1"/>
  <c r="H472" i="1"/>
  <c r="J472" i="1" s="1"/>
  <c r="H473" i="1"/>
  <c r="J473" i="1" s="1"/>
  <c r="H474" i="1"/>
  <c r="J474" i="1" s="1"/>
  <c r="H475" i="1"/>
  <c r="J475" i="1" s="1"/>
  <c r="H476" i="1"/>
  <c r="J476" i="1" s="1"/>
  <c r="H477" i="1"/>
  <c r="J477" i="1" s="1"/>
  <c r="H478" i="1"/>
  <c r="J478" i="1" s="1"/>
  <c r="H479" i="1"/>
  <c r="J479" i="1" s="1"/>
  <c r="H480" i="1"/>
  <c r="J480" i="1" s="1"/>
  <c r="H481" i="1"/>
  <c r="J481" i="1" s="1"/>
  <c r="H482" i="1"/>
  <c r="J482" i="1" s="1"/>
  <c r="H483" i="1"/>
  <c r="J483" i="1" s="1"/>
  <c r="H484" i="1"/>
  <c r="J484" i="1" s="1"/>
  <c r="H485" i="1"/>
  <c r="J485" i="1" s="1"/>
  <c r="H486" i="1"/>
  <c r="J486" i="1" s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J493" i="1" s="1"/>
  <c r="H494" i="1"/>
  <c r="J494" i="1" s="1"/>
  <c r="H495" i="1"/>
  <c r="J495" i="1" s="1"/>
  <c r="H496" i="1"/>
  <c r="J496" i="1" s="1"/>
  <c r="H497" i="1"/>
  <c r="J497" i="1" s="1"/>
  <c r="H498" i="1"/>
  <c r="J498" i="1" s="1"/>
  <c r="H499" i="1"/>
  <c r="J499" i="1" s="1"/>
  <c r="H500" i="1"/>
  <c r="J500" i="1" s="1"/>
  <c r="H501" i="1"/>
  <c r="J501" i="1" s="1"/>
  <c r="H502" i="1"/>
  <c r="J502" i="1" s="1"/>
  <c r="H503" i="1"/>
  <c r="J503" i="1" s="1"/>
  <c r="H504" i="1"/>
  <c r="J504" i="1" s="1"/>
  <c r="H505" i="1"/>
  <c r="J505" i="1" s="1"/>
  <c r="H506" i="1"/>
  <c r="J506" i="1" s="1"/>
  <c r="H507" i="1"/>
  <c r="J507" i="1" s="1"/>
  <c r="H508" i="1"/>
  <c r="J508" i="1" s="1"/>
  <c r="H509" i="1"/>
  <c r="J509" i="1" s="1"/>
  <c r="H510" i="1"/>
  <c r="J510" i="1" s="1"/>
  <c r="H511" i="1"/>
  <c r="J511" i="1" s="1"/>
  <c r="H512" i="1"/>
  <c r="J512" i="1" s="1"/>
  <c r="H513" i="1"/>
  <c r="J513" i="1" s="1"/>
  <c r="H514" i="1"/>
  <c r="J514" i="1" s="1"/>
  <c r="H515" i="1"/>
  <c r="J515" i="1" s="1"/>
  <c r="H516" i="1"/>
  <c r="J516" i="1" s="1"/>
  <c r="H517" i="1"/>
  <c r="J517" i="1" s="1"/>
  <c r="H518" i="1"/>
  <c r="J518" i="1" s="1"/>
  <c r="H519" i="1"/>
  <c r="J519" i="1" s="1"/>
  <c r="H520" i="1"/>
  <c r="J520" i="1" s="1"/>
  <c r="H521" i="1"/>
  <c r="J521" i="1" s="1"/>
  <c r="H522" i="1"/>
  <c r="J522" i="1" s="1"/>
  <c r="H523" i="1"/>
  <c r="J523" i="1" s="1"/>
  <c r="H524" i="1"/>
  <c r="J524" i="1" s="1"/>
  <c r="H525" i="1"/>
  <c r="J525" i="1" s="1"/>
  <c r="H526" i="1"/>
  <c r="J526" i="1" s="1"/>
  <c r="H527" i="1"/>
  <c r="J527" i="1" s="1"/>
  <c r="H528" i="1"/>
  <c r="J528" i="1" s="1"/>
  <c r="H529" i="1"/>
  <c r="J529" i="1" s="1"/>
  <c r="H530" i="1"/>
  <c r="J530" i="1" s="1"/>
  <c r="H531" i="1"/>
  <c r="J531" i="1" s="1"/>
  <c r="H532" i="1"/>
  <c r="J532" i="1" s="1"/>
  <c r="H533" i="1"/>
  <c r="J533" i="1" s="1"/>
  <c r="H534" i="1"/>
  <c r="J534" i="1" s="1"/>
  <c r="H535" i="1"/>
  <c r="J535" i="1" s="1"/>
  <c r="H536" i="1"/>
  <c r="J536" i="1" s="1"/>
  <c r="H537" i="1"/>
  <c r="J537" i="1" s="1"/>
  <c r="H538" i="1"/>
  <c r="J538" i="1" s="1"/>
  <c r="H539" i="1"/>
  <c r="J539" i="1" s="1"/>
  <c r="H540" i="1"/>
  <c r="J540" i="1" s="1"/>
  <c r="H541" i="1"/>
  <c r="J541" i="1" s="1"/>
  <c r="H542" i="1"/>
  <c r="J542" i="1" s="1"/>
  <c r="H543" i="1"/>
  <c r="J543" i="1" s="1"/>
  <c r="H544" i="1"/>
  <c r="J544" i="1" s="1"/>
  <c r="H545" i="1"/>
  <c r="J545" i="1" s="1"/>
  <c r="H546" i="1"/>
  <c r="J546" i="1" s="1"/>
  <c r="H547" i="1"/>
  <c r="J547" i="1" s="1"/>
  <c r="H548" i="1"/>
  <c r="J548" i="1" s="1"/>
  <c r="H549" i="1"/>
  <c r="J549" i="1" s="1"/>
  <c r="H550" i="1"/>
  <c r="J550" i="1" s="1"/>
  <c r="H551" i="1"/>
  <c r="J551" i="1" s="1"/>
  <c r="H552" i="1"/>
  <c r="J552" i="1" s="1"/>
  <c r="H553" i="1"/>
  <c r="J553" i="1" s="1"/>
  <c r="H554" i="1"/>
  <c r="J554" i="1" s="1"/>
  <c r="H555" i="1"/>
  <c r="J555" i="1" s="1"/>
  <c r="H556" i="1"/>
  <c r="J556" i="1" s="1"/>
  <c r="H557" i="1"/>
  <c r="J557" i="1" s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J565" i="1" s="1"/>
  <c r="H566" i="1"/>
  <c r="J566" i="1" s="1"/>
  <c r="H567" i="1"/>
  <c r="J567" i="1" s="1"/>
  <c r="H568" i="1"/>
  <c r="J568" i="1" s="1"/>
  <c r="H569" i="1"/>
  <c r="J569" i="1" s="1"/>
  <c r="H570" i="1"/>
  <c r="J570" i="1" s="1"/>
  <c r="H571" i="1"/>
  <c r="J571" i="1" s="1"/>
  <c r="H572" i="1"/>
  <c r="J572" i="1" s="1"/>
  <c r="H573" i="1"/>
  <c r="J573" i="1" s="1"/>
  <c r="H574" i="1"/>
  <c r="J574" i="1" s="1"/>
  <c r="H575" i="1"/>
  <c r="J575" i="1" s="1"/>
  <c r="H576" i="1"/>
  <c r="J576" i="1" s="1"/>
  <c r="H577" i="1"/>
  <c r="J577" i="1" s="1"/>
  <c r="H578" i="1"/>
  <c r="J578" i="1" s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J589" i="1" s="1"/>
  <c r="H590" i="1"/>
  <c r="J590" i="1" s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601" i="1"/>
  <c r="J601" i="1" s="1"/>
  <c r="H602" i="1"/>
  <c r="J602" i="1" s="1"/>
  <c r="H603" i="1"/>
  <c r="J603" i="1" s="1"/>
  <c r="H604" i="1"/>
  <c r="J604" i="1" s="1"/>
  <c r="H605" i="1"/>
  <c r="J605" i="1" s="1"/>
  <c r="H606" i="1"/>
  <c r="J606" i="1" s="1"/>
  <c r="H607" i="1"/>
  <c r="J607" i="1" s="1"/>
  <c r="H608" i="1"/>
  <c r="J608" i="1" s="1"/>
  <c r="H609" i="1"/>
  <c r="J609" i="1" s="1"/>
  <c r="H610" i="1"/>
  <c r="J610" i="1" s="1"/>
  <c r="H611" i="1"/>
  <c r="J611" i="1" s="1"/>
  <c r="H612" i="1"/>
  <c r="J612" i="1" s="1"/>
  <c r="H613" i="1"/>
  <c r="J613" i="1" s="1"/>
  <c r="H614" i="1"/>
  <c r="J614" i="1" s="1"/>
  <c r="H615" i="1"/>
  <c r="J615" i="1" s="1"/>
  <c r="H616" i="1"/>
  <c r="J616" i="1" s="1"/>
  <c r="H617" i="1"/>
  <c r="J617" i="1" s="1"/>
  <c r="H618" i="1"/>
  <c r="J618" i="1" s="1"/>
  <c r="H619" i="1"/>
  <c r="J619" i="1" s="1"/>
  <c r="H620" i="1"/>
  <c r="J620" i="1" s="1"/>
  <c r="H621" i="1"/>
  <c r="J621" i="1" s="1"/>
  <c r="H622" i="1"/>
  <c r="J622" i="1" s="1"/>
  <c r="H623" i="1"/>
  <c r="J623" i="1" s="1"/>
  <c r="H624" i="1"/>
  <c r="J624" i="1" s="1"/>
  <c r="H625" i="1"/>
  <c r="J625" i="1" s="1"/>
  <c r="H626" i="1"/>
  <c r="J626" i="1" s="1"/>
  <c r="H627" i="1"/>
  <c r="J627" i="1" s="1"/>
  <c r="H628" i="1"/>
  <c r="J628" i="1" s="1"/>
  <c r="H629" i="1"/>
  <c r="J629" i="1" s="1"/>
  <c r="H630" i="1"/>
  <c r="J630" i="1" s="1"/>
  <c r="H631" i="1"/>
  <c r="J631" i="1" s="1"/>
  <c r="H632" i="1"/>
  <c r="J632" i="1" s="1"/>
  <c r="H633" i="1"/>
  <c r="J633" i="1" s="1"/>
  <c r="H634" i="1"/>
  <c r="J634" i="1" s="1"/>
  <c r="H635" i="1"/>
  <c r="J635" i="1" s="1"/>
  <c r="H636" i="1"/>
  <c r="J636" i="1" s="1"/>
  <c r="H637" i="1"/>
  <c r="J637" i="1" s="1"/>
  <c r="H638" i="1"/>
  <c r="J638" i="1" s="1"/>
  <c r="H639" i="1"/>
  <c r="J639" i="1" s="1"/>
  <c r="H640" i="1"/>
  <c r="J640" i="1" s="1"/>
  <c r="H641" i="1"/>
  <c r="J641" i="1" s="1"/>
  <c r="H642" i="1"/>
  <c r="J642" i="1" s="1"/>
  <c r="H643" i="1"/>
  <c r="J643" i="1" s="1"/>
  <c r="H644" i="1"/>
  <c r="J644" i="1" s="1"/>
  <c r="H645" i="1"/>
  <c r="J645" i="1" s="1"/>
  <c r="H646" i="1"/>
  <c r="J646" i="1" s="1"/>
  <c r="H647" i="1"/>
  <c r="J647" i="1" s="1"/>
  <c r="H648" i="1"/>
  <c r="J648" i="1" s="1"/>
  <c r="H649" i="1"/>
  <c r="J649" i="1" s="1"/>
  <c r="H650" i="1"/>
  <c r="J650" i="1" s="1"/>
  <c r="H651" i="1"/>
  <c r="J651" i="1" s="1"/>
  <c r="H652" i="1"/>
  <c r="J652" i="1" s="1"/>
  <c r="H653" i="1"/>
  <c r="J653" i="1" s="1"/>
  <c r="H654" i="1"/>
  <c r="J654" i="1" s="1"/>
  <c r="H655" i="1"/>
  <c r="J655" i="1" s="1"/>
  <c r="H656" i="1"/>
  <c r="J656" i="1" s="1"/>
  <c r="H657" i="1"/>
  <c r="J657" i="1" s="1"/>
  <c r="H658" i="1"/>
  <c r="J658" i="1" s="1"/>
  <c r="H659" i="1"/>
  <c r="J659" i="1" s="1"/>
  <c r="H660" i="1"/>
  <c r="J660" i="1" s="1"/>
  <c r="H661" i="1"/>
  <c r="J661" i="1" s="1"/>
  <c r="H662" i="1"/>
  <c r="J662" i="1" s="1"/>
  <c r="H663" i="1"/>
  <c r="J663" i="1" s="1"/>
  <c r="H664" i="1"/>
  <c r="J664" i="1" s="1"/>
  <c r="H665" i="1"/>
  <c r="J665" i="1" s="1"/>
  <c r="H666" i="1"/>
  <c r="J666" i="1" s="1"/>
  <c r="H667" i="1"/>
  <c r="J667" i="1" s="1"/>
  <c r="H668" i="1"/>
  <c r="J668" i="1" s="1"/>
  <c r="H669" i="1"/>
  <c r="J669" i="1" s="1"/>
  <c r="H670" i="1"/>
  <c r="J670" i="1" s="1"/>
  <c r="H671" i="1"/>
  <c r="J671" i="1" s="1"/>
  <c r="H672" i="1"/>
  <c r="J672" i="1" s="1"/>
  <c r="H673" i="1"/>
  <c r="J673" i="1" s="1"/>
  <c r="H674" i="1"/>
  <c r="J674" i="1" s="1"/>
  <c r="H675" i="1"/>
  <c r="J675" i="1" s="1"/>
  <c r="H676" i="1"/>
  <c r="J676" i="1" s="1"/>
  <c r="H677" i="1"/>
  <c r="J677" i="1" s="1"/>
  <c r="H678" i="1"/>
  <c r="J678" i="1" s="1"/>
  <c r="H679" i="1"/>
  <c r="J679" i="1" s="1"/>
  <c r="H680" i="1"/>
  <c r="J680" i="1" s="1"/>
  <c r="H681" i="1"/>
  <c r="J681" i="1" s="1"/>
  <c r="H682" i="1"/>
  <c r="J682" i="1" s="1"/>
  <c r="H683" i="1"/>
  <c r="J683" i="1" s="1"/>
  <c r="H684" i="1"/>
  <c r="J684" i="1" s="1"/>
  <c r="H685" i="1"/>
  <c r="J685" i="1" s="1"/>
  <c r="H686" i="1"/>
  <c r="J686" i="1" s="1"/>
  <c r="H687" i="1"/>
  <c r="J687" i="1" s="1"/>
  <c r="H688" i="1"/>
  <c r="J688" i="1" s="1"/>
  <c r="H689" i="1"/>
  <c r="J689" i="1" s="1"/>
  <c r="H690" i="1"/>
  <c r="J690" i="1" s="1"/>
  <c r="H691" i="1"/>
  <c r="J691" i="1" s="1"/>
  <c r="H692" i="1"/>
  <c r="J692" i="1" s="1"/>
  <c r="H693" i="1"/>
  <c r="J693" i="1" s="1"/>
  <c r="H694" i="1"/>
  <c r="J694" i="1" s="1"/>
  <c r="H695" i="1"/>
  <c r="J695" i="1" s="1"/>
  <c r="H696" i="1"/>
  <c r="J696" i="1" s="1"/>
  <c r="H697" i="1"/>
  <c r="J697" i="1" s="1"/>
  <c r="H698" i="1"/>
  <c r="J698" i="1" s="1"/>
  <c r="H699" i="1"/>
  <c r="J699" i="1" s="1"/>
  <c r="H700" i="1"/>
  <c r="J700" i="1" s="1"/>
  <c r="H701" i="1"/>
  <c r="J701" i="1" s="1"/>
  <c r="H702" i="1"/>
  <c r="J702" i="1" s="1"/>
  <c r="H703" i="1"/>
  <c r="J703" i="1" s="1"/>
  <c r="H704" i="1"/>
  <c r="J704" i="1" s="1"/>
  <c r="H705" i="1"/>
  <c r="J705" i="1" s="1"/>
  <c r="H706" i="1"/>
  <c r="J706" i="1" s="1"/>
  <c r="H707" i="1"/>
  <c r="J707" i="1" s="1"/>
  <c r="H708" i="1"/>
  <c r="J708" i="1" s="1"/>
  <c r="H709" i="1"/>
  <c r="J709" i="1" s="1"/>
  <c r="H710" i="1"/>
  <c r="J710" i="1" s="1"/>
  <c r="H711" i="1"/>
  <c r="J711" i="1" s="1"/>
  <c r="H712" i="1"/>
  <c r="J712" i="1" s="1"/>
  <c r="H713" i="1"/>
  <c r="J713" i="1" s="1"/>
  <c r="H714" i="1"/>
  <c r="J714" i="1" s="1"/>
  <c r="H715" i="1"/>
  <c r="J715" i="1" s="1"/>
  <c r="H716" i="1"/>
  <c r="J716" i="1" s="1"/>
  <c r="H717" i="1"/>
  <c r="J717" i="1" s="1"/>
  <c r="H718" i="1"/>
  <c r="J718" i="1" s="1"/>
  <c r="H719" i="1"/>
  <c r="J719" i="1" s="1"/>
  <c r="H720" i="1"/>
  <c r="J720" i="1" s="1"/>
  <c r="H721" i="1"/>
  <c r="J721" i="1" s="1"/>
  <c r="H722" i="1"/>
  <c r="J722" i="1" s="1"/>
  <c r="H723" i="1"/>
  <c r="J723" i="1" s="1"/>
  <c r="H724" i="1"/>
  <c r="J724" i="1" s="1"/>
  <c r="H725" i="1"/>
  <c r="J725" i="1" s="1"/>
  <c r="H726" i="1"/>
  <c r="J726" i="1" s="1"/>
  <c r="H727" i="1"/>
  <c r="J727" i="1" s="1"/>
  <c r="H728" i="1"/>
  <c r="J728" i="1" s="1"/>
  <c r="H729" i="1"/>
  <c r="J729" i="1" s="1"/>
  <c r="H730" i="1"/>
  <c r="J730" i="1" s="1"/>
  <c r="H731" i="1"/>
  <c r="J731" i="1" s="1"/>
  <c r="H732" i="1"/>
  <c r="J732" i="1" s="1"/>
  <c r="H733" i="1"/>
  <c r="J733" i="1" s="1"/>
  <c r="H734" i="1"/>
  <c r="J734" i="1" s="1"/>
  <c r="H735" i="1"/>
  <c r="J735" i="1" s="1"/>
  <c r="H736" i="1"/>
  <c r="J736" i="1" s="1"/>
  <c r="H737" i="1"/>
  <c r="J737" i="1" s="1"/>
  <c r="H738" i="1"/>
  <c r="J738" i="1" s="1"/>
  <c r="H739" i="1"/>
  <c r="J739" i="1" s="1"/>
  <c r="H740" i="1"/>
  <c r="J740" i="1" s="1"/>
  <c r="H741" i="1"/>
  <c r="J741" i="1" s="1"/>
  <c r="H742" i="1"/>
  <c r="J742" i="1" s="1"/>
  <c r="H743" i="1"/>
  <c r="J743" i="1" s="1"/>
  <c r="H744" i="1"/>
  <c r="J744" i="1" s="1"/>
  <c r="H745" i="1"/>
  <c r="J745" i="1" s="1"/>
  <c r="H746" i="1"/>
  <c r="J746" i="1" s="1"/>
  <c r="H747" i="1"/>
  <c r="J747" i="1" s="1"/>
  <c r="H748" i="1"/>
  <c r="J748" i="1" s="1"/>
  <c r="H749" i="1"/>
  <c r="J749" i="1" s="1"/>
  <c r="H750" i="1"/>
  <c r="J750" i="1" s="1"/>
  <c r="H751" i="1"/>
  <c r="J751" i="1" s="1"/>
  <c r="H752" i="1"/>
  <c r="J752" i="1" s="1"/>
  <c r="H753" i="1"/>
  <c r="J753" i="1" s="1"/>
  <c r="H754" i="1"/>
  <c r="J754" i="1" s="1"/>
  <c r="H755" i="1"/>
  <c r="J755" i="1" s="1"/>
  <c r="H756" i="1"/>
  <c r="J756" i="1" s="1"/>
  <c r="H757" i="1"/>
  <c r="J757" i="1" s="1"/>
  <c r="H758" i="1"/>
  <c r="J758" i="1" s="1"/>
  <c r="H759" i="1"/>
  <c r="J759" i="1" s="1"/>
  <c r="H760" i="1"/>
  <c r="J760" i="1" s="1"/>
  <c r="H761" i="1"/>
  <c r="J761" i="1" s="1"/>
  <c r="H762" i="1"/>
  <c r="J762" i="1" s="1"/>
  <c r="H763" i="1"/>
  <c r="J763" i="1" s="1"/>
  <c r="H764" i="1"/>
  <c r="J764" i="1" s="1"/>
  <c r="H765" i="1"/>
  <c r="J765" i="1" s="1"/>
  <c r="H766" i="1"/>
  <c r="J766" i="1" s="1"/>
  <c r="H767" i="1"/>
  <c r="J767" i="1" s="1"/>
  <c r="H768" i="1"/>
  <c r="J768" i="1" s="1"/>
  <c r="H769" i="1"/>
  <c r="J769" i="1" s="1"/>
  <c r="H770" i="1"/>
  <c r="J770" i="1" s="1"/>
  <c r="H771" i="1"/>
  <c r="J771" i="1" s="1"/>
  <c r="H772" i="1"/>
  <c r="J772" i="1" s="1"/>
  <c r="H773" i="1"/>
  <c r="J773" i="1" s="1"/>
  <c r="H774" i="1"/>
  <c r="J774" i="1" s="1"/>
  <c r="H775" i="1"/>
  <c r="J775" i="1" s="1"/>
  <c r="H776" i="1"/>
  <c r="J776" i="1" s="1"/>
  <c r="H777" i="1"/>
  <c r="J777" i="1" s="1"/>
  <c r="H778" i="1"/>
  <c r="J778" i="1" s="1"/>
  <c r="H779" i="1"/>
  <c r="J779" i="1" s="1"/>
  <c r="H780" i="1"/>
  <c r="J780" i="1" s="1"/>
  <c r="H781" i="1"/>
  <c r="J781" i="1" s="1"/>
  <c r="H782" i="1"/>
  <c r="J782" i="1" s="1"/>
  <c r="H783" i="1"/>
  <c r="J783" i="1" s="1"/>
  <c r="H784" i="1"/>
  <c r="J784" i="1" s="1"/>
  <c r="H785" i="1"/>
  <c r="J785" i="1" s="1"/>
  <c r="H786" i="1"/>
  <c r="J786" i="1" s="1"/>
  <c r="H787" i="1"/>
  <c r="J787" i="1" s="1"/>
  <c r="H788" i="1"/>
  <c r="J788" i="1" s="1"/>
  <c r="H789" i="1"/>
  <c r="J789" i="1" s="1"/>
  <c r="H790" i="1"/>
  <c r="J790" i="1" s="1"/>
  <c r="H791" i="1"/>
  <c r="J791" i="1" s="1"/>
  <c r="H792" i="1"/>
  <c r="J792" i="1" s="1"/>
  <c r="H793" i="1"/>
  <c r="J793" i="1" s="1"/>
  <c r="H794" i="1"/>
  <c r="J794" i="1" s="1"/>
  <c r="H795" i="1"/>
  <c r="J795" i="1" s="1"/>
  <c r="H796" i="1"/>
  <c r="J796" i="1" s="1"/>
  <c r="H797" i="1"/>
  <c r="J797" i="1" s="1"/>
  <c r="H798" i="1"/>
  <c r="J798" i="1" s="1"/>
  <c r="H799" i="1"/>
  <c r="J799" i="1" s="1"/>
  <c r="H800" i="1"/>
  <c r="J800" i="1" s="1"/>
  <c r="H801" i="1"/>
  <c r="J801" i="1" s="1"/>
  <c r="H802" i="1"/>
  <c r="J802" i="1" s="1"/>
  <c r="H803" i="1"/>
  <c r="J803" i="1" s="1"/>
  <c r="H804" i="1"/>
  <c r="J804" i="1" s="1"/>
  <c r="H805" i="1"/>
  <c r="J805" i="1" s="1"/>
  <c r="H806" i="1"/>
  <c r="J806" i="1" s="1"/>
  <c r="H807" i="1"/>
  <c r="J807" i="1" s="1"/>
  <c r="H808" i="1"/>
  <c r="J808" i="1" s="1"/>
  <c r="H809" i="1"/>
  <c r="J809" i="1" s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J817" i="1" s="1"/>
  <c r="H818" i="1"/>
  <c r="J818" i="1" s="1"/>
  <c r="H819" i="1"/>
  <c r="J819" i="1" s="1"/>
  <c r="H820" i="1"/>
  <c r="J820" i="1" s="1"/>
  <c r="H821" i="1"/>
  <c r="J821" i="1" s="1"/>
  <c r="H822" i="1"/>
  <c r="J822" i="1" s="1"/>
  <c r="H823" i="1"/>
  <c r="J823" i="1" s="1"/>
  <c r="H824" i="1"/>
  <c r="J824" i="1" s="1"/>
  <c r="H825" i="1"/>
  <c r="J825" i="1" s="1"/>
  <c r="H826" i="1"/>
  <c r="J826" i="1" s="1"/>
  <c r="H827" i="1"/>
  <c r="J827" i="1" s="1"/>
  <c r="H828" i="1"/>
  <c r="J828" i="1" s="1"/>
  <c r="H829" i="1"/>
  <c r="J829" i="1" s="1"/>
  <c r="H830" i="1"/>
  <c r="J830" i="1" s="1"/>
  <c r="H831" i="1"/>
  <c r="J831" i="1" s="1"/>
  <c r="H832" i="1"/>
  <c r="J832" i="1" s="1"/>
  <c r="H833" i="1"/>
  <c r="J833" i="1" s="1"/>
  <c r="H834" i="1"/>
  <c r="J834" i="1" s="1"/>
  <c r="H835" i="1"/>
  <c r="J835" i="1" s="1"/>
  <c r="H836" i="1"/>
  <c r="J836" i="1" s="1"/>
  <c r="H837" i="1"/>
  <c r="J837" i="1" s="1"/>
  <c r="H838" i="1"/>
  <c r="J838" i="1" s="1"/>
  <c r="H839" i="1"/>
  <c r="J839" i="1" s="1"/>
  <c r="H840" i="1"/>
  <c r="J840" i="1" s="1"/>
  <c r="H841" i="1"/>
  <c r="J841" i="1" s="1"/>
  <c r="H842" i="1"/>
  <c r="J842" i="1" s="1"/>
  <c r="H843" i="1"/>
  <c r="J843" i="1" s="1"/>
  <c r="H844" i="1"/>
  <c r="J844" i="1" s="1"/>
  <c r="H845" i="1"/>
  <c r="J845" i="1" s="1"/>
  <c r="H846" i="1"/>
  <c r="J846" i="1" s="1"/>
  <c r="H847" i="1"/>
  <c r="J847" i="1" s="1"/>
  <c r="H848" i="1"/>
  <c r="J848" i="1" s="1"/>
  <c r="H849" i="1"/>
  <c r="J849" i="1" s="1"/>
  <c r="H850" i="1"/>
  <c r="J850" i="1" s="1"/>
  <c r="H851" i="1"/>
  <c r="J851" i="1" s="1"/>
  <c r="H852" i="1"/>
  <c r="J852" i="1" s="1"/>
  <c r="H853" i="1"/>
  <c r="J853" i="1" s="1"/>
  <c r="H854" i="1"/>
  <c r="J854" i="1" s="1"/>
  <c r="H855" i="1"/>
  <c r="J855" i="1" s="1"/>
  <c r="H856" i="1"/>
  <c r="J856" i="1" s="1"/>
  <c r="H857" i="1"/>
  <c r="J857" i="1" s="1"/>
  <c r="H858" i="1"/>
  <c r="J858" i="1" s="1"/>
  <c r="H859" i="1"/>
  <c r="J859" i="1" s="1"/>
  <c r="H860" i="1"/>
  <c r="J860" i="1" s="1"/>
  <c r="H861" i="1"/>
  <c r="J861" i="1" s="1"/>
  <c r="H862" i="1"/>
  <c r="J862" i="1" s="1"/>
  <c r="H863" i="1"/>
  <c r="J863" i="1" s="1"/>
  <c r="H864" i="1"/>
  <c r="J864" i="1" s="1"/>
  <c r="H865" i="1"/>
  <c r="J865" i="1" s="1"/>
  <c r="H866" i="1"/>
  <c r="J866" i="1" s="1"/>
  <c r="H867" i="1"/>
  <c r="J867" i="1" s="1"/>
  <c r="H868" i="1"/>
  <c r="J868" i="1" s="1"/>
  <c r="H869" i="1"/>
  <c r="J869" i="1" s="1"/>
  <c r="H870" i="1"/>
  <c r="J870" i="1" s="1"/>
  <c r="H871" i="1"/>
  <c r="J871" i="1" s="1"/>
  <c r="H872" i="1"/>
  <c r="J872" i="1" s="1"/>
  <c r="H873" i="1"/>
  <c r="J873" i="1" s="1"/>
  <c r="H874" i="1"/>
  <c r="J874" i="1" s="1"/>
  <c r="H875" i="1"/>
  <c r="J875" i="1" s="1"/>
  <c r="H876" i="1"/>
  <c r="J876" i="1" s="1"/>
  <c r="H877" i="1"/>
  <c r="J877" i="1" s="1"/>
  <c r="H878" i="1"/>
  <c r="J878" i="1" s="1"/>
  <c r="H879" i="1"/>
  <c r="J879" i="1" s="1"/>
  <c r="H880" i="1"/>
  <c r="J880" i="1" s="1"/>
  <c r="H881" i="1"/>
  <c r="J881" i="1" s="1"/>
  <c r="H882" i="1"/>
  <c r="J882" i="1" s="1"/>
  <c r="H883" i="1"/>
  <c r="J883" i="1" s="1"/>
  <c r="H884" i="1"/>
  <c r="J884" i="1" s="1"/>
  <c r="H885" i="1"/>
  <c r="J885" i="1" s="1"/>
  <c r="H886" i="1"/>
  <c r="J886" i="1" s="1"/>
  <c r="H887" i="1"/>
  <c r="J887" i="1" s="1"/>
  <c r="H888" i="1"/>
  <c r="J888" i="1" s="1"/>
  <c r="H889" i="1"/>
  <c r="J889" i="1" s="1"/>
  <c r="H890" i="1"/>
  <c r="J890" i="1" s="1"/>
  <c r="H891" i="1"/>
  <c r="J891" i="1" s="1"/>
  <c r="H892" i="1"/>
  <c r="J892" i="1" s="1"/>
  <c r="H893" i="1"/>
  <c r="J893" i="1" s="1"/>
  <c r="H894" i="1"/>
  <c r="J894" i="1" s="1"/>
  <c r="H895" i="1"/>
  <c r="J895" i="1" s="1"/>
  <c r="H896" i="1"/>
  <c r="J896" i="1" s="1"/>
  <c r="H897" i="1"/>
  <c r="J897" i="1" s="1"/>
  <c r="H898" i="1"/>
  <c r="J898" i="1" s="1"/>
  <c r="H899" i="1"/>
  <c r="J899" i="1" s="1"/>
  <c r="H900" i="1"/>
  <c r="J900" i="1" s="1"/>
  <c r="H901" i="1"/>
  <c r="J901" i="1" s="1"/>
  <c r="H902" i="1"/>
  <c r="J902" i="1" s="1"/>
  <c r="H903" i="1"/>
  <c r="J903" i="1" s="1"/>
  <c r="H904" i="1"/>
  <c r="J904" i="1" s="1"/>
  <c r="H905" i="1"/>
  <c r="J905" i="1" s="1"/>
  <c r="H906" i="1"/>
  <c r="J906" i="1" s="1"/>
  <c r="H1806" i="1"/>
  <c r="J1806" i="1" s="1"/>
  <c r="H1807" i="1"/>
  <c r="J1807" i="1" s="1"/>
  <c r="H1808" i="1"/>
  <c r="J1808" i="1" s="1"/>
  <c r="H1809" i="1"/>
  <c r="J1809" i="1" s="1"/>
  <c r="H1810" i="1"/>
  <c r="J1810" i="1" s="1"/>
  <c r="H1811" i="1"/>
  <c r="J1811" i="1" s="1"/>
  <c r="H1812" i="1"/>
  <c r="J1812" i="1" s="1"/>
  <c r="H1813" i="1"/>
  <c r="J1813" i="1" s="1"/>
  <c r="H1814" i="1"/>
  <c r="J1814" i="1" s="1"/>
  <c r="H1815" i="1"/>
  <c r="J1815" i="1" s="1"/>
  <c r="H1816" i="1"/>
  <c r="J1816" i="1" s="1"/>
  <c r="H1817" i="1"/>
  <c r="J1817" i="1" s="1"/>
  <c r="H1818" i="1"/>
  <c r="J1818" i="1" s="1"/>
  <c r="H1819" i="1"/>
  <c r="J1819" i="1" s="1"/>
  <c r="H1820" i="1"/>
  <c r="J1820" i="1" s="1"/>
  <c r="H1821" i="1"/>
  <c r="J1821" i="1" s="1"/>
  <c r="H1822" i="1"/>
  <c r="J1822" i="1" s="1"/>
  <c r="H1823" i="1"/>
  <c r="J1823" i="1" s="1"/>
  <c r="H1824" i="1"/>
  <c r="J1824" i="1" s="1"/>
  <c r="H1825" i="1"/>
  <c r="J1825" i="1" s="1"/>
  <c r="H1826" i="1"/>
  <c r="J1826" i="1" s="1"/>
  <c r="H1827" i="1"/>
  <c r="J1827" i="1" s="1"/>
  <c r="H1828" i="1"/>
  <c r="J1828" i="1" s="1"/>
  <c r="H1829" i="1"/>
  <c r="J1829" i="1" s="1"/>
  <c r="H1830" i="1"/>
  <c r="J1830" i="1" s="1"/>
  <c r="H1831" i="1"/>
  <c r="J1831" i="1" s="1"/>
  <c r="H1832" i="1"/>
  <c r="J1832" i="1" s="1"/>
  <c r="H1833" i="1"/>
  <c r="J1833" i="1" s="1"/>
  <c r="H1834" i="1"/>
  <c r="J1834" i="1" s="1"/>
  <c r="H1835" i="1"/>
  <c r="J1835" i="1" s="1"/>
  <c r="H1836" i="1"/>
  <c r="J1836" i="1" s="1"/>
  <c r="H1837" i="1"/>
  <c r="H1838" i="1"/>
  <c r="J1838" i="1" s="1"/>
  <c r="H1839" i="1"/>
  <c r="J1839" i="1" s="1"/>
  <c r="H1840" i="1"/>
  <c r="J1840" i="1" s="1"/>
  <c r="H1841" i="1"/>
  <c r="J1841" i="1" s="1"/>
  <c r="H1842" i="1"/>
  <c r="J1842" i="1" s="1"/>
  <c r="H1843" i="1"/>
  <c r="J1843" i="1" s="1"/>
  <c r="H1844" i="1"/>
  <c r="J1844" i="1" s="1"/>
  <c r="H1845" i="1"/>
  <c r="J1845" i="1" s="1"/>
  <c r="H1846" i="1"/>
  <c r="J1846" i="1" s="1"/>
  <c r="H1847" i="1"/>
  <c r="J1847" i="1" s="1"/>
  <c r="H1848" i="1"/>
  <c r="J1848" i="1" s="1"/>
  <c r="H1849" i="1"/>
  <c r="J1849" i="1" s="1"/>
  <c r="H1850" i="1"/>
  <c r="J1850" i="1" s="1"/>
  <c r="H1851" i="1"/>
  <c r="J1851" i="1" s="1"/>
  <c r="H1852" i="1"/>
  <c r="J1852" i="1" s="1"/>
  <c r="H1853" i="1"/>
  <c r="J1853" i="1" s="1"/>
  <c r="H1854" i="1"/>
  <c r="J1854" i="1" s="1"/>
  <c r="H1855" i="1"/>
  <c r="J1855" i="1" s="1"/>
  <c r="H1856" i="1"/>
  <c r="H1857" i="1"/>
  <c r="J1857" i="1" s="1"/>
  <c r="H1858" i="1"/>
  <c r="J1858" i="1" s="1"/>
  <c r="H1859" i="1"/>
  <c r="J1859" i="1" s="1"/>
  <c r="H1860" i="1"/>
  <c r="J1860" i="1" s="1"/>
  <c r="H1861" i="1"/>
  <c r="J1861" i="1" s="1"/>
  <c r="H1862" i="1"/>
  <c r="J1862" i="1" s="1"/>
  <c r="H1863" i="1"/>
  <c r="J1863" i="1" s="1"/>
  <c r="H1864" i="1"/>
  <c r="J1864" i="1" s="1"/>
  <c r="H1865" i="1"/>
  <c r="J1865" i="1" s="1"/>
  <c r="H1866" i="1"/>
  <c r="J1866" i="1" s="1"/>
  <c r="H1867" i="1"/>
  <c r="J1867" i="1" s="1"/>
  <c r="H1868" i="1"/>
  <c r="J1868" i="1" s="1"/>
  <c r="H1869" i="1"/>
  <c r="J1869" i="1" s="1"/>
  <c r="H1870" i="1"/>
  <c r="J1870" i="1" s="1"/>
  <c r="H1871" i="1"/>
  <c r="J1871" i="1" s="1"/>
  <c r="H1872" i="1"/>
  <c r="J1872" i="1" s="1"/>
  <c r="H1873" i="1"/>
  <c r="J1873" i="1" s="1"/>
  <c r="H1874" i="1"/>
  <c r="J1874" i="1" s="1"/>
  <c r="H1875" i="1"/>
  <c r="J1875" i="1" s="1"/>
  <c r="H1876" i="1"/>
  <c r="J1876" i="1" s="1"/>
  <c r="H1877" i="1"/>
  <c r="J1877" i="1" s="1"/>
  <c r="H1878" i="1"/>
  <c r="J1878" i="1" s="1"/>
  <c r="H1879" i="1"/>
  <c r="J1879" i="1" s="1"/>
  <c r="H1880" i="1"/>
  <c r="J1880" i="1" s="1"/>
  <c r="H1881" i="1"/>
  <c r="J1881" i="1" s="1"/>
  <c r="H1882" i="1"/>
  <c r="J1882" i="1" s="1"/>
  <c r="H1883" i="1"/>
  <c r="J1883" i="1" s="1"/>
  <c r="H1884" i="1"/>
  <c r="J1884" i="1" s="1"/>
  <c r="H1885" i="1"/>
  <c r="J1885" i="1" s="1"/>
  <c r="H1886" i="1"/>
  <c r="J1886" i="1" s="1"/>
  <c r="H1887" i="1"/>
  <c r="J1887" i="1" s="1"/>
  <c r="H1888" i="1"/>
  <c r="J1888" i="1" s="1"/>
  <c r="H1889" i="1"/>
  <c r="J1889" i="1" s="1"/>
  <c r="H1890" i="1"/>
  <c r="J1890" i="1" s="1"/>
  <c r="H1891" i="1"/>
  <c r="J1891" i="1" s="1"/>
  <c r="H1892" i="1"/>
  <c r="J1892" i="1" s="1"/>
  <c r="H1893" i="1"/>
  <c r="J1893" i="1" s="1"/>
  <c r="H1894" i="1"/>
  <c r="J1894" i="1" s="1"/>
  <c r="J1837" i="1"/>
  <c r="J1856" i="1"/>
  <c r="H2" i="1"/>
  <c r="J2" i="1" s="1"/>
  <c r="J1581" i="1"/>
  <c r="J1582" i="1"/>
  <c r="J1584" i="1"/>
  <c r="J1585" i="1"/>
  <c r="J1586" i="1"/>
  <c r="J1589" i="1"/>
  <c r="J1593" i="1"/>
  <c r="J1594" i="1"/>
  <c r="J1597" i="1"/>
  <c r="J1600" i="1"/>
  <c r="J1601" i="1"/>
  <c r="J1602" i="1"/>
  <c r="J1605" i="1"/>
  <c r="J1609" i="1"/>
  <c r="J1610" i="1"/>
  <c r="J1613" i="1"/>
  <c r="J1616" i="1"/>
  <c r="J1617" i="1"/>
  <c r="J1621" i="1"/>
  <c r="J1622" i="1"/>
  <c r="J1625" i="1"/>
  <c r="J1629" i="1"/>
  <c r="J1630" i="1"/>
  <c r="J1632" i="1"/>
  <c r="J1633" i="1"/>
  <c r="J1637" i="1"/>
  <c r="J1638" i="1"/>
  <c r="J1641" i="1"/>
  <c r="J1645" i="1"/>
  <c r="J1646" i="1"/>
  <c r="J1648" i="1"/>
  <c r="J1649" i="1"/>
  <c r="J1650" i="1"/>
  <c r="J1653" i="1"/>
  <c r="J1657" i="1"/>
  <c r="J1658" i="1"/>
  <c r="J1661" i="1"/>
  <c r="J1664" i="1"/>
  <c r="J1665" i="1"/>
  <c r="J1666" i="1"/>
  <c r="J1669" i="1"/>
  <c r="J1673" i="1"/>
  <c r="J1674" i="1"/>
  <c r="J1677" i="1"/>
  <c r="J1683" i="1"/>
  <c r="J1684" i="1"/>
  <c r="J2406" i="1"/>
  <c r="J2407" i="1"/>
  <c r="J1541" i="1"/>
  <c r="J1545" i="1"/>
  <c r="J1549" i="1"/>
  <c r="J1553" i="1"/>
  <c r="J1557" i="1"/>
  <c r="J1561" i="1"/>
  <c r="J1565" i="1"/>
  <c r="J1570" i="1"/>
  <c r="J1576" i="1"/>
  <c r="J1542" i="1"/>
  <c r="J1550" i="1"/>
  <c r="J1552" i="1"/>
  <c r="J1564" i="1"/>
  <c r="J1569" i="1"/>
  <c r="J1573" i="1"/>
  <c r="J1577" i="1"/>
</calcChain>
</file>

<file path=xl/sharedStrings.xml><?xml version="1.0" encoding="utf-8"?>
<sst xmlns="http://schemas.openxmlformats.org/spreadsheetml/2006/main" count="9113" uniqueCount="7186">
  <si>
    <t>CODIGO</t>
  </si>
  <si>
    <t>DESCRIPCION</t>
  </si>
  <si>
    <t>STOCK</t>
  </si>
  <si>
    <t>PRECIO $</t>
  </si>
  <si>
    <t>MARCA</t>
  </si>
  <si>
    <t>MINI CODIGO</t>
  </si>
  <si>
    <t>DETALLES</t>
  </si>
  <si>
    <t>PRECIO EN SOLES</t>
  </si>
  <si>
    <t>MULTIMEDIA</t>
  </si>
  <si>
    <t>REDES</t>
  </si>
  <si>
    <t>Fuentes de Poder</t>
  </si>
  <si>
    <t>ACCESORIOS</t>
  </si>
  <si>
    <t>COMPUTADORAS</t>
  </si>
  <si>
    <t>Consolas</t>
  </si>
  <si>
    <t>Procesadores</t>
  </si>
  <si>
    <t>Digital Signage</t>
  </si>
  <si>
    <t>Fan Cooler CPU</t>
  </si>
  <si>
    <t>Dispositivos de Imagenes</t>
  </si>
  <si>
    <t>Impresion de Manualidades</t>
  </si>
  <si>
    <t>Impresoras</t>
  </si>
  <si>
    <t>Motherboard</t>
  </si>
  <si>
    <t>Servidores</t>
  </si>
  <si>
    <t>Smart Home</t>
  </si>
  <si>
    <t>Storage</t>
  </si>
  <si>
    <t>Suministros</t>
  </si>
  <si>
    <t>Tablets</t>
  </si>
  <si>
    <t>Telefonos</t>
  </si>
  <si>
    <t>Televisores</t>
  </si>
  <si>
    <t>UPS/ESTABILIZADORES</t>
  </si>
  <si>
    <t>DD EXTERNOS</t>
  </si>
  <si>
    <t>Columna4</t>
  </si>
  <si>
    <t>Columna5</t>
  </si>
  <si>
    <t>Columna6</t>
  </si>
  <si>
    <t>Columna7</t>
  </si>
  <si>
    <t>Columna8</t>
  </si>
  <si>
    <t>Columna9</t>
  </si>
  <si>
    <t>Columna10</t>
  </si>
  <si>
    <t>NOTEBOOK</t>
  </si>
  <si>
    <t>DD EXT</t>
  </si>
  <si>
    <t>RAM LAPTOP</t>
  </si>
  <si>
    <t>LAPTOP</t>
  </si>
  <si>
    <t>NVME</t>
  </si>
  <si>
    <t>PROMO</t>
  </si>
  <si>
    <t>SSD</t>
  </si>
  <si>
    <t>T. VIDEO</t>
  </si>
  <si>
    <t>MF SD</t>
  </si>
  <si>
    <t>MF USB</t>
  </si>
  <si>
    <t>T.C.</t>
  </si>
  <si>
    <t>PC</t>
  </si>
  <si>
    <t>G</t>
  </si>
  <si>
    <t>MSWBKTE1236S</t>
  </si>
  <si>
    <t>ACCTE7130N</t>
  </si>
  <si>
    <t>SIXS</t>
  </si>
  <si>
    <t>RAM PC</t>
  </si>
  <si>
    <t>RAM NB</t>
  </si>
  <si>
    <t>MONITORES</t>
  </si>
  <si>
    <t>TARJETAS DE VIDEO</t>
  </si>
  <si>
    <t>DD INTERNO</t>
  </si>
  <si>
    <t>CASE</t>
  </si>
  <si>
    <t>Acces_Lap</t>
  </si>
  <si>
    <t>MOUSE</t>
  </si>
  <si>
    <t>Teclados</t>
  </si>
  <si>
    <t>Laptop Gamer</t>
  </si>
  <si>
    <t>Laptops</t>
  </si>
  <si>
    <t>Mouse gamer TEROS TE-1211G, 7 botones, RGB, negro</t>
  </si>
  <si>
    <t xml:space="preserve">	Cooler TEROS TE-7130N, compatible con notebooks de hasta 15.6", 3 fan de 11 cm</t>
  </si>
  <si>
    <t xml:space="preserve">Cooler TEROS TE-7130N con interfaz USB, nivel de ruido de 17-20 dBA y flujo de aire de 63-85 CFM. Velocidad de ventiladores ajustable entre 1000-1300 RPM, fabricado en aleación de metal y plástico ABS. </t>
  </si>
  <si>
    <t>MSCBKTE1211G</t>
  </si>
  <si>
    <t xml:space="preserve">Mejora tu nivel de juego con el Mouse Gamer TEROS TE-1211G. Equipado con el potente sensor óptico Sunplus 6651, ofrece un rango de DPI ajustable desde 800 hasta 12800 para máxima precisión. </t>
  </si>
  <si>
    <t>MMHSTE8120N</t>
  </si>
  <si>
    <t>Auriculares Gaming TEROS TE-8120N estéreo, micrófono, conector USB, Negro, Luces RGB</t>
  </si>
  <si>
    <t>MMSPTE6030N</t>
  </si>
  <si>
    <t>Parlante Teros TE6030N, 3W, Led Indicador Azul</t>
  </si>
  <si>
    <t>Parlantes Teros TE-6030, sistema 2.0, control de volumen, conector 3.5mm</t>
  </si>
  <si>
    <t>Teclado estándar TEROS TE-4067S, USB 2.0, negro</t>
  </si>
  <si>
    <t>Telado estándar en español TEROS TE-4067S de 105 teclas de conexión USB 2.0 con 3 luces indicadoras color verde:</t>
  </si>
  <si>
    <t>KBCBKTE4067S</t>
  </si>
  <si>
    <t>KBMSWSTE4061N</t>
  </si>
  <si>
    <t>Kit Inalámbrico Teclado + Mouse TEROS TE-4061N, 2.4GHz, receptor nano USB, negro</t>
  </si>
  <si>
    <t>El kit inalámbrico TEROS TE-4061N incluye un teclado y un mouse diseñados para ofrecer funcionalidad y comodidad.</t>
  </si>
  <si>
    <t>NBACTE9023GR</t>
  </si>
  <si>
    <t>Backpack Teros City TE-ACS9023GR, para Notebooks de hasta 15.6", Color Gris</t>
  </si>
  <si>
    <t>Mochila TEROS TE-ACS9023GR, para notebook de hasta 15.6",con tres bolsillos con cremallera, bolsillo frontal con organizadores y bolsillo trasero oculto.</t>
  </si>
  <si>
    <t>SC+</t>
  </si>
  <si>
    <t>Seguridad</t>
  </si>
  <si>
    <t>SSD256GBWM100</t>
  </si>
  <si>
    <t>Unidad en estado Solido (SSD) Biwin M100, 256GB, SATA III (6.0Gb/s), 2.5"</t>
  </si>
  <si>
    <t>SSD960GMSSPS270</t>
  </si>
  <si>
    <t>Unidad de estado sólido externo MSI SPATIUM S27 SATA 25" 960GB</t>
  </si>
  <si>
    <t>Velocidad de escritura: 550 MB/s, Velocidad de lectura: 470 MB/s.</t>
  </si>
  <si>
    <t xml:space="preserve"> Con velocidades de lectura de 500 MB/s y escritura de 450 MB/s</t>
  </si>
  <si>
    <t>Kaspersky</t>
  </si>
  <si>
    <t>Case gamer TEROS TE-1311G, Mid Tower, USB 3.0 / USB 2.0, audio, ventilador ARGB, blanco</t>
  </si>
  <si>
    <t>CASE ATX TE1311 WHITE</t>
  </si>
  <si>
    <t>CSA00WHTE1311G</t>
  </si>
  <si>
    <t>SKU</t>
  </si>
  <si>
    <t>SSDWDS250G5G0A</t>
  </si>
  <si>
    <t>SSD WD GREEN 250GB SATA</t>
  </si>
  <si>
    <t>Unidad de estado sólido interno Western Digital WD Green SATA SSD 2.5”- 250 GB, 545 MB/s</t>
  </si>
  <si>
    <t>Tarjeta de Memoria Kingston 128GB MicroSD Canvas Select Plus -150MB/seg - UHS-I Clase 10</t>
  </si>
  <si>
    <t>ACKTSDCS3128GB</t>
  </si>
  <si>
    <t>MICROSDXC KT SELECT PLUS 128GB</t>
  </si>
  <si>
    <t>ACKTDT70128GB</t>
  </si>
  <si>
    <t>KING USB DT70/128GB</t>
  </si>
  <si>
    <t>Memoria Flash USB Kingston DataTraveler 70, 128GB, USB-C 3.2 Gen1 presentación en colgador</t>
  </si>
  <si>
    <t>NBACTE9024BR</t>
  </si>
  <si>
    <t>BACKPACK TEROS WORK PERUVIAN</t>
  </si>
  <si>
    <t>Backpack Teros Work Peruvian TE-ACS9024BR, para Notebooks de hasta 15.6"</t>
  </si>
  <si>
    <t>BUY</t>
  </si>
  <si>
    <t>SMHOENTE9102W</t>
  </si>
  <si>
    <t>TOMACORRIENTE TE9102W</t>
  </si>
  <si>
    <t>Tomacorriente inteligente TEROS TE9102W, incluye 2 x tomas / 2 x USB / Wi-Fi, color blanco</t>
  </si>
  <si>
    <t>ACLEN4X41C12468</t>
  </si>
  <si>
    <t>Mochila Lenovo Thinkpad Essential de (16" / 40.6cm), Color (Negro / Rojo) (ECO)</t>
  </si>
  <si>
    <t>THINK ESSENTIAL16 BACKPACK ECO</t>
  </si>
  <si>
    <t>Mouse inalámbrico TEROS TE-1236S, RGB, Blanco, 6 botones con rueda</t>
  </si>
  <si>
    <t>MOUSE WIRELESS TE1236 BLANCO</t>
  </si>
  <si>
    <t>USB KT DT EXODIA S 128GB 3.2</t>
  </si>
  <si>
    <t>acktdtxs128gbt</t>
  </si>
  <si>
    <t>Memoria Flash USB Kingston DataTraveler Exodia S, 128GB, interfaz: USB 3.2 Gen 1, Verde</t>
  </si>
  <si>
    <t>ACCTE8083N</t>
  </si>
  <si>
    <t> HUDS EXHIBIDOR S WATCH TE8083</t>
  </si>
  <si>
    <t>TEROS</t>
  </si>
  <si>
    <t>Hub USB de 7 puertos TEROS TE-8083N, USB 2.0 de 6puertos y USB 3.0 de 1 puerto[@@@]De</t>
  </si>
  <si>
    <t>ACC05BQFIL027</t>
  </si>
  <si>
    <t> PLA BQ 1,75MM PURE WHITE 1KG</t>
  </si>
  <si>
    <t>ZZ OTRAS MARCAS</t>
  </si>
  <si>
    <t>ACC05BQFIL029</t>
  </si>
  <si>
    <t> PLA BQ 1,75MM RUBY RED 1KG</t>
  </si>
  <si>
    <t>ACCADVKBSP5737</t>
  </si>
  <si>
    <t> KEYBOARD PARA TABLET SP5737</t>
  </si>
  <si>
    <t>ADVANCE COMPUTER CORP</t>
  </si>
  <si>
    <t>Estuche Advance para tablet SP5737 con teclado micro usb, coral[@@@]Optimiza tu produ</t>
  </si>
  <si>
    <t>ACCGD7177</t>
  </si>
  <si>
    <t> KIDS CAMARA PRINTER</t>
  </si>
  <si>
    <t>DELTRON</t>
  </si>
  <si>
    <t>ACCGDCALC2807N</t>
  </si>
  <si>
    <t> GD CALCULADORA NEGRA</t>
  </si>
  <si>
    <t>ACCGDCALC2807W</t>
  </si>
  <si>
    <t> GD CALCULADORA BLANCA</t>
  </si>
  <si>
    <t>ACCHP2GU07AA</t>
  </si>
  <si>
    <t> ADJUSTABLE HEIGHT STAND PROONE</t>
  </si>
  <si>
    <t>HP COMERCIAL</t>
  </si>
  <si>
    <t>Soporte de altura ajustable HP, Vesa 100x100, Negro.[@@@]</t>
  </si>
  <si>
    <t>ACCLNERVINYLRPM</t>
  </si>
  <si>
    <t> CLEANERVINYL RPM</t>
  </si>
  <si>
    <t>Accesorio CleanerVinyl RPM, Control de velocidad de giro de la barra de discos.[@@@]P</t>
  </si>
  <si>
    <t>ACCMPCABLEMMAUD</t>
  </si>
  <si>
    <t> CABLE MONOPRICE MM COAXIAL A/V</t>
  </si>
  <si>
    <t>ACCNCTHERMPASTE</t>
  </si>
  <si>
    <t> THERMAL PASTE NT-H1 3.5GR</t>
  </si>
  <si>
    <t>NOCTUA</t>
  </si>
  <si>
    <t>Noctua NT-H1, Pasta compuesta térmica de calidad profesional (3.5 gr)[@@@]NT-H1 de No</t>
  </si>
  <si>
    <t>ACCNCTHPAST10GR</t>
  </si>
  <si>
    <t> THERMAL PASTE NT-H1 10GR</t>
  </si>
  <si>
    <t>Noctua NT-H1, Pasta compuesta térmica de calidad profesional (10 gr)[@@@]NT-H1 de Noc</t>
  </si>
  <si>
    <t>ACCNCTPNTH210GR</t>
  </si>
  <si>
    <t> THERMAL PASTE PRO-G NT-H2 10GR</t>
  </si>
  <si>
    <t>Noctua NT-H2, Pasta compuesta térmica de calidad profesional (10 gr)[@@@]NT-H2 es la</t>
  </si>
  <si>
    <t>ACCNCTPNTH235GR</t>
  </si>
  <si>
    <t> THERMAL PASTE PRO-G NT-H2 3.5G</t>
  </si>
  <si>
    <t>Noctua NT-H2, Pasta compuesta térmica de calidad profesional (3.5 gr)[@@@]NT-H2 es la</t>
  </si>
  <si>
    <t>ACCNECKFANW</t>
  </si>
  <si>
    <t> VENTILADOR DE CUELLO BLANCO</t>
  </si>
  <si>
    <t>ACCSWCAMMOUNT</t>
  </si>
  <si>
    <t> SWIVEL CAMERA MOUNT</t>
  </si>
  <si>
    <t>ACCTE8082T</t>
  </si>
  <si>
    <t> EXHIBIDOR SMART WATCH TE8082</t>
  </si>
  <si>
    <t>Exhibidor Smart Watch TE8082[@@@]El exhibidor Smart Watch TE8082 es un elegante sopor</t>
  </si>
  <si>
    <t>ACCTHERMALPAD3P</t>
  </si>
  <si>
    <t> THERMAL PAD 10CM X 10CM 3-PACK</t>
  </si>
  <si>
    <t>ACCZZDCPOWPLUGS</t>
  </si>
  <si>
    <t> DC POWER PLUGS</t>
  </si>
  <si>
    <t>Conector Plug CUI Inc. PP-019, 1.1 / 2.8 mm, Niquel, PVC, Negro, 100M Ohm, 16V/4A.[@@</t>
  </si>
  <si>
    <t>ACZZSTI85-0200R</t>
  </si>
  <si>
    <t> SYMBOL SYNAPSE ADAPTER</t>
  </si>
  <si>
    <t>GORRODLTBLUE</t>
  </si>
  <si>
    <t> GORRO DELTRON BLUE</t>
  </si>
  <si>
    <t>GORROLNVBLACK</t>
  </si>
  <si>
    <t> GORRO LENOVO BLACK</t>
  </si>
  <si>
    <t>GORROLNVRED</t>
  </si>
  <si>
    <t> GORRO LENOVO RED</t>
  </si>
  <si>
    <t>GORROMSCFBROWN</t>
  </si>
  <si>
    <t> GORRO MICROSOFT BROWN</t>
  </si>
  <si>
    <t>GORROTEROSBWRD</t>
  </si>
  <si>
    <t> GORRO TEROS BROWN RED</t>
  </si>
  <si>
    <t>GORROTEROSRDBW</t>
  </si>
  <si>
    <t>ZZACCGD7177</t>
  </si>
  <si>
    <t>ZZCHARGERFP</t>
  </si>
  <si>
    <t> CHARGER SMAPLES FOR FEATURE PH</t>
  </si>
  <si>
    <t>ZZEARPHONESFP</t>
  </si>
  <si>
    <t> EARPHONES SAMPLES FOR FEATURE</t>
  </si>
  <si>
    <t>ZZHEADPHH5500</t>
  </si>
  <si>
    <t> HEADPHONES USB H5500</t>
  </si>
  <si>
    <t>ZZHEADPHJACK35</t>
  </si>
  <si>
    <t> HEADPHONES JACK 3.5 H5500</t>
  </si>
  <si>
    <t>ZZISDTVUNER</t>
  </si>
  <si>
    <t> ISDTV TUNER S/M S/M</t>
  </si>
  <si>
    <t>ZZNOTEBOOKW16-B</t>
  </si>
  <si>
    <t> 13.3 INCH APL NITEBOOK WHITE</t>
  </si>
  <si>
    <t>ZZTVTUNNER-B</t>
  </si>
  <si>
    <t> DIGITAL TV TUNNER</t>
  </si>
  <si>
    <t>Digital TV Tunner Advance, HD, PVR ,micro-USB, Compatible con Android.[@@@]</t>
  </si>
  <si>
    <t>ZZUSBCABLE</t>
  </si>
  <si>
    <t> USB CABLES FOR HAD HARD DRIVE</t>
  </si>
  <si>
    <t>ZZUSBCABLESFP</t>
  </si>
  <si>
    <t> USB CABLES SAMPLES FOR FEATURE</t>
  </si>
  <si>
    <t>ZZWIFISMART701U</t>
  </si>
  <si>
    <t> FREE APP WIFI SMART OUTLET</t>
  </si>
  <si>
    <t>ZZWIFISMART702U</t>
  </si>
  <si>
    <t>ZZWIREDHEADPH</t>
  </si>
  <si>
    <t> WIRED HEADPHONE JACK 3.5 918</t>
  </si>
  <si>
    <t>ZZWRITINGTABLET</t>
  </si>
  <si>
    <t> LCD WRITING TABLET 10 GREEN</t>
  </si>
  <si>
    <t>ZZZCAM720VR</t>
  </si>
  <si>
    <t> 720 VR CAMERA SPORTS</t>
  </si>
  <si>
    <t>ZZZSAMR20LG</t>
  </si>
  <si>
    <t> MOBILE CHARGING SUITCASE</t>
  </si>
  <si>
    <t>ZZZZCASE</t>
  </si>
  <si>
    <t> SAMPLE OF CASES MARK: SUPER CA</t>
  </si>
  <si>
    <t>COOLER MASTER</t>
  </si>
  <si>
    <t>ACHPGM110AA</t>
  </si>
  <si>
    <t> AC HP ESATA PCI CABLE KIT</t>
  </si>
  <si>
    <t>Kit de cables PCI eSATA HP (GM110AA), para convertir 2 puertos SATA internos en exter</t>
  </si>
  <si>
    <t>ACCADPTUSB3USB2</t>
  </si>
  <si>
    <t> USB 3.0 HEADR/USB 2.0 MB ADPTR</t>
  </si>
  <si>
    <t>TRIPP-LITE</t>
  </si>
  <si>
    <t>ACCTLU320006BK</t>
  </si>
  <si>
    <t> CABLE USB 3.0 SUPERSPEED 1.83M</t>
  </si>
  <si>
    <t>Cable USB 3.0 Tripp-Lite U320-006-BK, Negro, SuperSpeed, A/A, 1.83 mts, 28/24 AWG.[@@</t>
  </si>
  <si>
    <t>ACCZZMHLHDCABLE</t>
  </si>
  <si>
    <t> MHL MUSB HDMI HDTV CABLE</t>
  </si>
  <si>
    <t>ACTE70207W</t>
  </si>
  <si>
    <t> ADAPTADOR DE CORRIENTE GAN 65W</t>
  </si>
  <si>
    <t>Cargador USB-A USB-C TEROS TE-70207W, GaN, PD 65W, blanco[@@@]Potencia y eficiencia e</t>
  </si>
  <si>
    <t>ACTE70209W</t>
  </si>
  <si>
    <t> CABLE USB C-C TEROS 60W 3A</t>
  </si>
  <si>
    <t>Cable USB TEROS TE-70209W, Tipo C a Tipo C, 3A, 60W Máx, blanco[@@@]Conecta y carga t</t>
  </si>
  <si>
    <t>ACTE70212W</t>
  </si>
  <si>
    <t> CABLE TIPO C A LIGHTNING</t>
  </si>
  <si>
    <t>Cable USB TEROS TE-70212W, Tipo C a Lightning, 3A, 20W Máx, blanco y plateado[@@@]Con</t>
  </si>
  <si>
    <t>ZZTE70207WM</t>
  </si>
  <si>
    <t>WESTERN DIGITAL</t>
  </si>
  <si>
    <t>ACCTLB020U1619K</t>
  </si>
  <si>
    <t> NETDIRECTOR 16-PORT 1U RACK-MO</t>
  </si>
  <si>
    <t>Consola KVM Tripp-Lite para instalación en rack de 1U de 16 puertos Netdirector/LCD d</t>
  </si>
  <si>
    <t>ACCSRCOOLNET2LX</t>
  </si>
  <si>
    <t> TARJETA RED/SNMP PARA UNID AIR</t>
  </si>
  <si>
    <t>Módulo de Interfaz de Red / SNMP de Plataforma LX- Administración Remota de Enfriamie</t>
  </si>
  <si>
    <t>ACCTLSRCOOL7KDU</t>
  </si>
  <si>
    <t> SMARTRACK EXHAUST DUCT KIT</t>
  </si>
  <si>
    <t>Juego de ducto de descarga SmartRack Kit.[@@@]</t>
  </si>
  <si>
    <t>SWDGCHR-193-01</t>
  </si>
  <si>
    <t> HMP LIFECYCLE HANDLING FEE</t>
  </si>
  <si>
    <t>Dialogic HMP Lifecycle Handling Fee[@@@]</t>
  </si>
  <si>
    <t>AAJBLQUANTUM610</t>
  </si>
  <si>
    <t> HEADPHONE GAMING QUANTUM 610</t>
  </si>
  <si>
    <t>JBL</t>
  </si>
  <si>
    <t>Auriculares integrales para gaming y micrófono JBL Quantum 610 Inalambricos (2.4 GHz)</t>
  </si>
  <si>
    <t>ACCGXD1P47518</t>
  </si>
  <si>
    <t> YOGA TRUE WIRELESS STEREO EARB</t>
  </si>
  <si>
    <t>LENOVO - IDEA</t>
  </si>
  <si>
    <t>Auriculares (In-Ear) con 3 mics design ENC, Lenovo TWS YOGA PC Edition, Interfaz Blue</t>
  </si>
  <si>
    <t>ACCORE9901</t>
  </si>
  <si>
    <t> ELGATO PROTECTOR CHOQUE WAVE</t>
  </si>
  <si>
    <t>CORSAIR</t>
  </si>
  <si>
    <t>Elgato Shock Mount (Soporte de suspensión antivibración)[@@@]Audio sin ruidos: reduce</t>
  </si>
  <si>
    <t>ACCLEN4XD1R3139</t>
  </si>
  <si>
    <t> LENOVO TWS EARBUDS X9 EDITION</t>
  </si>
  <si>
    <t>LENOVO - THINKPAD</t>
  </si>
  <si>
    <t>Auriculares Lenovo TWS (edición X9)[@@@]Los auriculares Lenovo TWS (Edición X9) se ha</t>
  </si>
  <si>
    <t>ACCTE8074GR</t>
  </si>
  <si>
    <t> TWS TEROS TE-8074GR</t>
  </si>
  <si>
    <t>Audífonos TEROS TE-8074GR, Bluetooth, TWS, Rosa/Dorado[@@@]Los audífonos bluetooth TE</t>
  </si>
  <si>
    <t>MMHWTE8038N</t>
  </si>
  <si>
    <t> AUDíFONO TE-8038 BLK TITANIUM</t>
  </si>
  <si>
    <t>Audífono inalámbricos TEROS TE-8038N, USB-C, Negro Titanium[@@@]Descubre los audífono</t>
  </si>
  <si>
    <t>MMHWTE8038NE</t>
  </si>
  <si>
    <t> AUDíFONO TE-8038 GREY TITANIUM</t>
  </si>
  <si>
    <t>Audífono inalámbricos TEROS TE-8038NE, USB-C, Natural Titanium[@@@]Descubre los audíf</t>
  </si>
  <si>
    <t>MMHWTE8038RS</t>
  </si>
  <si>
    <t> AUDíFONO TE-8038 ROSE TITANIUM</t>
  </si>
  <si>
    <t>Audífono inalámbricos TEROS TE-8038RS, USB-C, Rose Titanium[@@@]Descubre los audífono</t>
  </si>
  <si>
    <t>MMHWTE8038W</t>
  </si>
  <si>
    <t> AUDíFONO TE8038 WHITE TITANIUM</t>
  </si>
  <si>
    <t>Audífono inalámbricos TEROS TE-8038W, USB-C, Blanco Titanium[@@@]Descubre los audífon</t>
  </si>
  <si>
    <t>MMHWTE8039C</t>
  </si>
  <si>
    <t> AUDíFONO TE-8039CS EMPRESARIAL</t>
  </si>
  <si>
    <t>Audífono TEROS TE-8039CS, USB, Negro[@@@]Descubrelos audífonos TEROS TE-8039CS, ideal</t>
  </si>
  <si>
    <t>MMLEN4XD1P83425</t>
  </si>
  <si>
    <t> LEN USB-A WIRED STEREO HEADSET</t>
  </si>
  <si>
    <t>Auriculares Stereo con micrófono Lenovo Gen 2, Interfaz USB-A[@@@]Los auriculares est</t>
  </si>
  <si>
    <t>MMLENGXD1E71385</t>
  </si>
  <si>
    <t> LENOVO 110 STEREO USB HEADSET</t>
  </si>
  <si>
    <t>Auriculares Estereo con Microfono Lenovo 110, Interfaz USB Tipo-A, Color Cloud Grey (</t>
  </si>
  <si>
    <t>MMMCLOGSTHEH112</t>
  </si>
  <si>
    <t> LOGITECH HEADSET H390 USB</t>
  </si>
  <si>
    <t>LOGITECH</t>
  </si>
  <si>
    <t>Auriculares Estereo (On-Ear) con microfono Logitech H390, Interfaz USB-A, Color negro</t>
  </si>
  <si>
    <t>MMTWSHTE80712RS</t>
  </si>
  <si>
    <t> TWS TE-80712 ROSE TITANIUM</t>
  </si>
  <si>
    <t>Audífonos Inalámbricos TEROS TE-80712RS, Bluetooth, Carga Tipo C, Rose Titanium[@@@]D</t>
  </si>
  <si>
    <t>MPCMTG009USBBLK</t>
  </si>
  <si>
    <t> CMTECK USB COMPUTER MICROPHONE</t>
  </si>
  <si>
    <t>MMSPLBBV310GR</t>
  </si>
  <si>
    <t> SPEAKER BT LB BV310 GR</t>
  </si>
  <si>
    <t>LANDBYTE</t>
  </si>
  <si>
    <t>Parlante inalámbrico LandByte BV310, Bluetooth, Iluminación Led, recargable.[@@@]Cone</t>
  </si>
  <si>
    <t>MMSPTE6013N</t>
  </si>
  <si>
    <t> KARAOKE TE-6013N 6W USB/FM/BT</t>
  </si>
  <si>
    <t>Parlante Karaoke Inalámbrico TEROS TE-6013N, BT 5.4, 10W, USB, Iluminación LED[@@@]An</t>
  </si>
  <si>
    <t>MMSPTE6018R</t>
  </si>
  <si>
    <t> P TEROS TE6018R MERRY CHRISTMA</t>
  </si>
  <si>
    <t>Parlante Inalámbrico Merry Christmas TEROS TE-6018R, Bluetooth 5.3, Tipo USB-C, Color</t>
  </si>
  <si>
    <t>MMSPTE6045N</t>
  </si>
  <si>
    <t> PARLANTE TEROS TE6045N BT 60W</t>
  </si>
  <si>
    <t>Parlante TEROS TE-6045N, color negro, 60 W[@@@]Potencia tu música con el Parlante Blu</t>
  </si>
  <si>
    <t>MMSPTE6046B</t>
  </si>
  <si>
    <t> PARLANTE TEROS TE6046N BT 40W</t>
  </si>
  <si>
    <t>Parlante Ultra TE-6046B, color azul, 40W[@@@]El parlante Bluetooth TEROS TE-6046B de</t>
  </si>
  <si>
    <t>MMSPTE6046N</t>
  </si>
  <si>
    <t>Parlante Ultra TE-6046N, color negro, 40 W[@@@]Disfruta de un sonido potente con el P</t>
  </si>
  <si>
    <t>MMSPTE6047N</t>
  </si>
  <si>
    <t> PARLANTE TEROS PILL 6047 20W</t>
  </si>
  <si>
    <t>Parlante Inalámbrico Teros TE6047N, 20W, BT: 5.3,Iluminación RGB, Color Negro[@@@]Dis</t>
  </si>
  <si>
    <t>MMVP6049BLK</t>
  </si>
  <si>
    <t> TEROS VIBE SERIES 60W BLACK</t>
  </si>
  <si>
    <t>Parlante Inalámbrico Teros Vibes VB-6049BLK, 60W,BT 5.3, 4000 MAH, USB, Luces LED, Ne</t>
  </si>
  <si>
    <t>MMVP6049OR</t>
  </si>
  <si>
    <t> TEROS VIBE SERIES 60W ORANGE</t>
  </si>
  <si>
    <t>Parlante Inalámbrico Teros Vibes VB-6049, 60W, BT5.3, 4000 MAH, USB, Luces LED, Orang</t>
  </si>
  <si>
    <t>ZZMMSPTE6046NTO</t>
  </si>
  <si>
    <t> ZZPARLANT TE6046N 40W(TOSHIBA)</t>
  </si>
  <si>
    <t>TOSHIBA - STORAGE</t>
  </si>
  <si>
    <t>ZZTE6046NM</t>
  </si>
  <si>
    <t>BBADVMP6560</t>
  </si>
  <si>
    <t> BB NUC I5-12 0+0 FREE</t>
  </si>
  <si>
    <t>Mini PC Advance NUC Core i5-12450H hasta 4.4GHz, 8C/12T, Intel UHD, HDMI, DP, USB 3.0</t>
  </si>
  <si>
    <t>BBASNUC13PI5134</t>
  </si>
  <si>
    <t> BB AS NUC I5-13420H 4.60G DDR4</t>
  </si>
  <si>
    <t>ASUS</t>
  </si>
  <si>
    <t>BBASNUC14RVSU91</t>
  </si>
  <si>
    <t> BB AS NUC U9 185H 2.3GHZ DDR5</t>
  </si>
  <si>
    <t>Barebone-Mini PC ASUS NUC 14 Pro+ Ultra9 Slim, Core Ultra 9 185H 2.3/5.1GHz/6C/24MB C</t>
  </si>
  <si>
    <t>BBASNUC9185HD5</t>
  </si>
  <si>
    <t> BB AS NUC CORE U9 185H 5.10 D5</t>
  </si>
  <si>
    <t>BBASNUCC3100U5</t>
  </si>
  <si>
    <t> BB AS NUC CORE 3 100U 4.7G DR5</t>
  </si>
  <si>
    <t>Barebone ASUS NUC 15 Pro, Intel Core 3 100U 1.2 /4.7GHz/6C/8T/10MB Smart Cache[@@@]La</t>
  </si>
  <si>
    <t>BBASNUCC5210HL</t>
  </si>
  <si>
    <t> BB AS NUC CORE 5 210H 4.8G DR5</t>
  </si>
  <si>
    <t>Barebone ASUS NUC 15 Pro Slim, Intel Core 5 210H 2.2 / 4.8GHz/8C/12T/12MB Smart Cache</t>
  </si>
  <si>
    <t>BBASNUCC7240H5L</t>
  </si>
  <si>
    <t> BB AS NUC CORE 7 240H 5.2G DR5</t>
  </si>
  <si>
    <t>Barebone ASUS NUC 15 Pro Slim, Intel Core 7 240H 2.5 / 5.2GHz/10C/16T/24MB Smart Cach</t>
  </si>
  <si>
    <t>MSI</t>
  </si>
  <si>
    <t>BBMSCU51215UD4</t>
  </si>
  <si>
    <t> BB MS CUBI5 I3-1215U 4.40G DR4</t>
  </si>
  <si>
    <t>Barebone MSI Cubi 5 12M, Intel Core i3-1215U de hasta 4.40GHz (6 Nucleos/8 subproceso</t>
  </si>
  <si>
    <t>BBMSCU51235UD4</t>
  </si>
  <si>
    <t> BB MS CUBI5 I5-1235U 4.40G DR4</t>
  </si>
  <si>
    <t>Barebone MSI Cubi 5 12M, Intel Core i5-1235U de hasta 4.40GHz (10 Nucleos/12 subproce</t>
  </si>
  <si>
    <t>BBMSCU51255UD4</t>
  </si>
  <si>
    <t> BB MS CUBI5 I7-1255U 4.70G DR4</t>
  </si>
  <si>
    <t>Barebone MSI Cubi 5 12M, Intel Core i7-1255U de hasta 4.70GHz (10 Nucleos/12 subproce</t>
  </si>
  <si>
    <t>ACCLEN4XC1Q4495</t>
  </si>
  <si>
    <t> LENOVO FHD WEBCAM</t>
  </si>
  <si>
    <t>Camara Web Lenovo FHD (1920x1080@30 fps), Interfaz: USB 2.0 Tipo-A, Color negro[@@@]L</t>
  </si>
  <si>
    <t>MMTE9072</t>
  </si>
  <si>
    <t> WEB CAM 2K TEROS TE-9072</t>
  </si>
  <si>
    <t>Webcam TEROS TE-9072, 2K, micrófono incorporado, USB 2.0[@@@]Trabaja con casi todas l</t>
  </si>
  <si>
    <t>MMTE9073N</t>
  </si>
  <si>
    <t> WEB CAM 4K TEROS TE-9073N</t>
  </si>
  <si>
    <t>Webcam TEROS TE-9073N, 4K, micrófono incorporado,USB 2.0[@@@]Descubre la cámara web T</t>
  </si>
  <si>
    <t>ZZACCAMDTRSCRRN</t>
  </si>
  <si>
    <t> ZZ CARRYON AMD/TEROS DARK GREN</t>
  </si>
  <si>
    <t>NBACTE9015BG</t>
  </si>
  <si>
    <t> PORTACABLES TE-ACS9015</t>
  </si>
  <si>
    <t>Cartuchera / Estuche / Organizador / Portacables TEROS TE-ACS9015, beige[@@@]Cartuche</t>
  </si>
  <si>
    <t>NBACTE9016BL</t>
  </si>
  <si>
    <t> PORTACABLES TE-ACS9016</t>
  </si>
  <si>
    <t>Cartuchera / Estuche / Organizador / Portacables TEROS TE-ACS9016, azul[@@@]Cartucher</t>
  </si>
  <si>
    <t>NBACTE9017DB</t>
  </si>
  <si>
    <t> PORTACABLES TE-ACS9017DB</t>
  </si>
  <si>
    <t>Cartuchera / Estuche / Organizador / Portacables TEROS TE-ACS9017DB, azul marino[@@@]</t>
  </si>
  <si>
    <t>ZZTEACS9017DBM</t>
  </si>
  <si>
    <t>CSATXADV1154N</t>
  </si>
  <si>
    <t> CASE ADV1154N PSU 550W</t>
  </si>
  <si>
    <t>CSATXADV1154NNO SE DEBE TRANSFERIR A NINGUNA SUCURSAL, CASE PARA ENSAMBLAJE DE COMPUT</t>
  </si>
  <si>
    <t>CSA25BKTE1036S</t>
  </si>
  <si>
    <t> CASE STD ATX TE1036 250W BK</t>
  </si>
  <si>
    <t>Case TEROS TE-1036S, Factor de forma ATX, 250 W, USB 3.0 / 2.0, audio, negro.[@@@]El</t>
  </si>
  <si>
    <t>CSA25BKTE1037S</t>
  </si>
  <si>
    <t> CASE STD ATX TE1037 250W BK</t>
  </si>
  <si>
    <t>Case Teros TE-1037S, Factor de forma ATX, 250 W, USB 3.0 / 2.0, Audio, Negro.[@@@]El</t>
  </si>
  <si>
    <t>CSA25BKTE1038S</t>
  </si>
  <si>
    <t> CASE STD ATX TE1038 250W BK</t>
  </si>
  <si>
    <t>Case TEROS TE-1038S, Factor de forma ATX, 250 W, USB 3.0 / 2.0, audio, negro.[@@@]El</t>
  </si>
  <si>
    <t>CSM45BKTE1319G</t>
  </si>
  <si>
    <t> CASE MICRO ATX 450W TE1319G</t>
  </si>
  <si>
    <t>Case Gamer Teros TE-1319G, Mid Tower, 450W, USB 3.0 / 2.0, Audio, Negro[@@@]El case g</t>
  </si>
  <si>
    <t>CSCME301KGNNS00</t>
  </si>
  <si>
    <t> CASE GAM CM ELITE 301 MIC ATX</t>
  </si>
  <si>
    <t>Case Cooler Master Elite 301, MiniTower, Negro, ATX, USB 3.2 Gen 1 Tipo-C / Tipo-A, A</t>
  </si>
  <si>
    <t>CSM25BKTE1033S</t>
  </si>
  <si>
    <t> CASE STD MICRO ATX 250W TE1033</t>
  </si>
  <si>
    <t>Case TEROS TE-1033S, Mini Tower ATX, 250 W, USB 3.0 / 2.0, audio HD, negro[@@@]Presen</t>
  </si>
  <si>
    <t>CSM25BKTE1034S</t>
  </si>
  <si>
    <t> CASE STD MICRO ATX 250W TE1034</t>
  </si>
  <si>
    <t>Case TEROS TE-1034S, Mini Tower ATX, 250 W, USB 3.0 / 2.0, audio HD, negro[@@@]Presen</t>
  </si>
  <si>
    <t>CSM25BKTE1035S</t>
  </si>
  <si>
    <t> CASE STD MICRO ATX 250W TE1035</t>
  </si>
  <si>
    <t>Case TEROS TE-1035S, Mini Tower ATX, 250 W, USB 3.0 / 2.0, audio HD, negro[@@@]Presen</t>
  </si>
  <si>
    <t>CSS25BKTE1032S</t>
  </si>
  <si>
    <t> CASE STD SLIM TE1032S 250W BK</t>
  </si>
  <si>
    <t>Case Teros TE-1032S, Slim, 250 W, USB 3.2 / USB 2.0, Audio HD, DVD, Negro[@@@]Present</t>
  </si>
  <si>
    <t>CSS25BKTE1039S</t>
  </si>
  <si>
    <t> CASE STD SLIM TE1039 250W BK</t>
  </si>
  <si>
    <t>Case Teros TE-1039S, Slim, 250 W, USB 3.0 / USB 2.0, Audio HD, DVD, Negro[@@@]Present</t>
  </si>
  <si>
    <t>CSA00BKTE1321G</t>
  </si>
  <si>
    <t> CASE GM ATX TE1321 BLACK</t>
  </si>
  <si>
    <t>Case Gamer Teros TE-1321G, Mid Tower, USB 3.0 / USB 2.0, Audio, Ventilador RGB, Negro</t>
  </si>
  <si>
    <t>CSA00BKTE1323G</t>
  </si>
  <si>
    <t> CASE STD ATX TE1323 BLACK</t>
  </si>
  <si>
    <t>Case sin fuente gamer TEROS TE-1323G, ITX, M-ATX,ATX, 3.5" y 2.5", negro[@@@]Potencia</t>
  </si>
  <si>
    <t>CSA00WHTE1329G</t>
  </si>
  <si>
    <t> CASE GM ATX TE1329 WHITE</t>
  </si>
  <si>
    <t>Case sin fuente Gamer TEROS TE-1329G, ITX, M-ATX,ATX, 3.5" y 2.5", Blanco[@@@]Arma tu</t>
  </si>
  <si>
    <t>CSASA31PBKARGB</t>
  </si>
  <si>
    <t> CS AS A31 PLUS ATX BLACK ARGB</t>
  </si>
  <si>
    <t>Case ASUS A31 PLUS Case Black[@@@]Motherboard - Factor de Forma soportados: mini-ITX,</t>
  </si>
  <si>
    <t>CSASA31PWTARGB</t>
  </si>
  <si>
    <t> CS AS A31 PLUS ATX WHITE ARGB</t>
  </si>
  <si>
    <t>Case ASUS A31 PLUS Case White[@@@]Motherboard - Factor de Forma soportados: mini-ITX,</t>
  </si>
  <si>
    <t>CSASPA401WOBE</t>
  </si>
  <si>
    <t> CS AS PA401 WOOD BEIGE ATX</t>
  </si>
  <si>
    <t>Case ASUS ProArt PA401 Wood Edition Beige - Tempered Glass Panel[@@@]Motherboard - Fa</t>
  </si>
  <si>
    <t>CSATXTE1175N</t>
  </si>
  <si>
    <t> CASE GM TEROS MID TOWER TE1175</t>
  </si>
  <si>
    <t>Case Gamer Teros TE1175N, Mid Tower, Negro, USB 3.0, USB 2.0, Audio.[@@@]Panel latera</t>
  </si>
  <si>
    <t>CSGBC102GI</t>
  </si>
  <si>
    <t> CS GB C102 GLASS ICE MATX</t>
  </si>
  <si>
    <t>GIGABYTE</t>
  </si>
  <si>
    <t>Case GIGABYTE C102 GLASS ICE, Mid Tower[@@@]Puertos: 2 x USB 3.2 Gen 1 Type-A / Com</t>
  </si>
  <si>
    <t>CSGBC201PN</t>
  </si>
  <si>
    <t> CS GB C201P M-ATX ARGB BLACK</t>
  </si>
  <si>
    <t>Case GIGABYTE GB-C201P PANORAMIC, Mid Tower, Compatible con mini-ITX/m-ATX, Color neg</t>
  </si>
  <si>
    <t>CSGBC201PW</t>
  </si>
  <si>
    <t> CS GB C201P M-ATX ARGB WHITE</t>
  </si>
  <si>
    <t>Case GIGABYTE GB-C201P PANORAMIC, Mid Tower, Compatible con mini-ITX/m-ATX, Color bla</t>
  </si>
  <si>
    <t>CSGBC500PIST</t>
  </si>
  <si>
    <t> GB C500 PANORAMIC STEALTH ICE</t>
  </si>
  <si>
    <t>Case GIGABYTE C500 PANORAMIC STEALTH ICE, Mid Tower[@@@]Puertos: 2 x USB 3.2 Gen 1 Ty</t>
  </si>
  <si>
    <t>ACCAXADDS539USB</t>
  </si>
  <si>
    <t> 2XUSB2.0, 2XUSB3 ASSEMBY FOR D</t>
  </si>
  <si>
    <t>Panel USB de case, Advance DS-539, USB 2.0 / 3.0.[@@@]Compatible con el case CSAXDKAD</t>
  </si>
  <si>
    <t>ASROCK</t>
  </si>
  <si>
    <t>PSUA10BKTE1328G</t>
  </si>
  <si>
    <t> PSU GM ATX 1000W TE1328 BK</t>
  </si>
  <si>
    <t>Fuente de Alimentación Gamer Teros TE-1328G, Formato ATX, 1000W 80 Plus Gold 155-240V</t>
  </si>
  <si>
    <t>PSUA25BKTE1324S</t>
  </si>
  <si>
    <t> PSU STD ATX 250W TE1324 BK</t>
  </si>
  <si>
    <t>Fuente de alimentación TEROS TE-1324S, Formato ATX, 250W, 115V / 230V[@@@]Descubre la</t>
  </si>
  <si>
    <t>PSARCL-650B</t>
  </si>
  <si>
    <t> PSU AR 650W NM 80+B CL-650B</t>
  </si>
  <si>
    <t>Fuente de alimentación Asrock, 650W, ATX, 80 PlusBronze.[@@@]1 conector ATX 24/20 pin</t>
  </si>
  <si>
    <t>PSARPG-1000G</t>
  </si>
  <si>
    <t> PS AR 1000W 80+G FM PG-1000G</t>
  </si>
  <si>
    <t>Fuente de alimentación Asrock PG-1000G, 1000W, ATX, 80 Plus Gold.[@@@]1 conector ATX</t>
  </si>
  <si>
    <t>PSARPG-850PSF</t>
  </si>
  <si>
    <t> PSU AR PG-850P 80+P FM SFX</t>
  </si>
  <si>
    <t>PSARPRO-850B</t>
  </si>
  <si>
    <t> PSU AR PRO-850B 80+ BRONZE</t>
  </si>
  <si>
    <t>Fuente de alimentación Asrock, PRO-850B, 850 W, ATX, 80 Plus Bronze.[@@@]1 conector A</t>
  </si>
  <si>
    <t>PSARSL-1000GW</t>
  </si>
  <si>
    <t> PSU AR 1000W FM 80+G SL-1000GW</t>
  </si>
  <si>
    <t>Fuente de alimentación Asrock, 1000W, ATX, 80 Plus Gold.[@@@]1 conector ATX 24/20 pin</t>
  </si>
  <si>
    <t>PSARSL-1000P</t>
  </si>
  <si>
    <t> PSU AR SL-1000P 80+P FM</t>
  </si>
  <si>
    <t>PSARSL-1200P</t>
  </si>
  <si>
    <t> PSU AR SL-1200P 80+P FM</t>
  </si>
  <si>
    <t>PSARSL-650G</t>
  </si>
  <si>
    <t> PS AR 650W 80+G FM SL-650G</t>
  </si>
  <si>
    <t>Fuente de alimentación Asrock SL-650G, 650W, ATX,80 Plus Gold.[@@@]1 conector ATX 24/</t>
  </si>
  <si>
    <t>PSARSL-750G</t>
  </si>
  <si>
    <t> PS AR 750W 80+G FM SL-750G</t>
  </si>
  <si>
    <t>Fuente de alimentación Asrock SL-750G, 750W, ATX,80 Plus Gold.[@@@]1 conector ATX 24/</t>
  </si>
  <si>
    <t>PSARTC-1300T</t>
  </si>
  <si>
    <t> PSU AR 1300W FM 80+T TC-1300T</t>
  </si>
  <si>
    <t>Fuente de alimentación Asrock, TC-1300T, 1300W, ATX, 80 Plus Titanium.[@@@]1 conector</t>
  </si>
  <si>
    <t>PSARTC-1650T</t>
  </si>
  <si>
    <t> PSU AR 1650W FM 80+T TC-1650T</t>
  </si>
  <si>
    <t>Fuente de alimentación Asrock, TC-1650T, 1650W, ATX, 80 Plus Titanium.[@@@]1 conector</t>
  </si>
  <si>
    <t>PSASAP-750G</t>
  </si>
  <si>
    <t> PSU AS PRIME AP-750G 80+G FM W</t>
  </si>
  <si>
    <t>Fuente de alimentación ASUS AP-750G Gold, 80 PLUS, 750 W, Formato ATX.[@@@]Con soport</t>
  </si>
  <si>
    <t>PSASTUFGMG750G</t>
  </si>
  <si>
    <t> PSU AS TUF-GAMING-750G 80+G</t>
  </si>
  <si>
    <t>PSGBAE1000PMPG5</t>
  </si>
  <si>
    <t> PS GB AE1000PM PG5 80+ PLATINU</t>
  </si>
  <si>
    <t>Fuente de alimentación Gigabyte GP-AE1000PM PG5, 1000W, 80 PLUS Platinum, Formato ATX</t>
  </si>
  <si>
    <t>PSGBAE850PMPG5I</t>
  </si>
  <si>
    <t> PS GB AE850PM PG5 ICE 80+PLATI</t>
  </si>
  <si>
    <t>Fuente de alimentación Gigabyte GP-AE850PM PG5 ICE, 850W, 80 PLUS Platinum, Formato A</t>
  </si>
  <si>
    <t>PSGBP550SS</t>
  </si>
  <si>
    <t> PS GB P550 550W 80+ SILVER</t>
  </si>
  <si>
    <t>Fuente de alimentación Gigabyte P550SS, 550W, 80 PLUS Silver, Formato ATX.[@@@]</t>
  </si>
  <si>
    <t>PSGBP550SSICE</t>
  </si>
  <si>
    <t> PS GB P550S 550W 80+ SILVER</t>
  </si>
  <si>
    <t>Fuente de alimentación Gigabyte P550SS ICE , 550W, 80 PLUS Silver, Formato ATX.[@@@]</t>
  </si>
  <si>
    <t>PSGBP650SS</t>
  </si>
  <si>
    <t> PS GB P650 650W 80+ SILVER</t>
  </si>
  <si>
    <t>Fuente de alimentación Gigabyte P650SS , 650W, 80PLUS Siver, Formato ATX.[@@@]</t>
  </si>
  <si>
    <t>PSGBP650SSICE</t>
  </si>
  <si>
    <t>Fuente de alimentación Gigabyte P650SS ICE , 650W, ATX, 80 Plus Silver.[@@@]1 conecto</t>
  </si>
  <si>
    <t>PSGBP750BS</t>
  </si>
  <si>
    <t> PSU GB P750BS 750W 80P BRONZE</t>
  </si>
  <si>
    <t>Fuente de alimentación Gigabyte P750BS, 750W, ATX, 80 Plus Bronze, 100V ~ 240VAC.[@@@</t>
  </si>
  <si>
    <t>PSGBUD1600PMPG5</t>
  </si>
  <si>
    <t> PS GB UD1600PM PG5 1600W 80+PL</t>
  </si>
  <si>
    <t>Fuente de alimentación GIGABYTE UD1600PM PG5 AI TOP, 80 PLUS Platinum, 1600W, Formato</t>
  </si>
  <si>
    <t>PSGBUD750GMPG5W</t>
  </si>
  <si>
    <t> MB GB UD750GM PG5 ICE 80+G</t>
  </si>
  <si>
    <t>Fuente de alimentación GIGABYTE UD750GM PG5 V2 ICE 750W, 80 PLUS Gold, Formato ATX.[@</t>
  </si>
  <si>
    <t>PSGBUD850GMPG5I</t>
  </si>
  <si>
    <t> PSU GB UD850GM PG5 ICE 80+G FM</t>
  </si>
  <si>
    <t>PREPFX2190II</t>
  </si>
  <si>
    <t> IMP EPSON FX-2190 II USB</t>
  </si>
  <si>
    <t>EPSON - COMERCIAL</t>
  </si>
  <si>
    <t>Impresora matricial Epson FX-2190II, matriz de 9 pines, Paralelo / USB 2.0.[@@@]Impre</t>
  </si>
  <si>
    <t>PREPFX890II</t>
  </si>
  <si>
    <t> IMP EPSON FX-890II PTR UPS</t>
  </si>
  <si>
    <t>Impresora matricial Epson FX-890II, matriz de 9 pines, Paralelo / USB 2.0, 100V - 240</t>
  </si>
  <si>
    <t>PREPLQ590II</t>
  </si>
  <si>
    <t> IMP EPSON LQ-590II</t>
  </si>
  <si>
    <t>Impresora matricial Epson LQ-590II, matriz de 24 pines, Paralelo / USB 2.0, 100V - 24</t>
  </si>
  <si>
    <t>BIDC11CJ80201</t>
  </si>
  <si>
    <t> IMPRESORA DE SUBLIMACIóN F170</t>
  </si>
  <si>
    <t>Impresora de Sublimacion Epson SureColor F170, Interfaz USB 2.0, Inalambrica (802.11b</t>
  </si>
  <si>
    <t>PREPTM-P80II</t>
  </si>
  <si>
    <t> RECIBOS MOBILINK TM-P80II PLUS</t>
  </si>
  <si>
    <t>Impresora Térmica de recibos EPSON Mobilink TM-P80II, Interfaz: USB-C / Bluetooth 5.0</t>
  </si>
  <si>
    <t>PREPTMM30III</t>
  </si>
  <si>
    <t> TM-M30III WIFI+BT+USB</t>
  </si>
  <si>
    <t>Impresora Térmica Tiketera Epson TM-M30III, Interfaz (Modelo Wifi + Bluetooth)[@@@]Co</t>
  </si>
  <si>
    <t>PREPTMM30IIIETH</t>
  </si>
  <si>
    <t> TéRMICA DE RECIBOS TM-M30III</t>
  </si>
  <si>
    <t>Impresora termica Epson TM-m30III, Ethernet (10/100 Base-T/TX) /USB-C/USB-B/USB-A[@@@</t>
  </si>
  <si>
    <t>PTICKC31CJ99001</t>
  </si>
  <si>
    <t> TM-P20II-001 USB+BT</t>
  </si>
  <si>
    <t>ZZMSET120AB650</t>
  </si>
  <si>
    <t> ETIQUETA MSI P/CASE 120A 650W</t>
  </si>
  <si>
    <t>PCLENF0J6000CLD</t>
  </si>
  <si>
    <t> AIO LEN 23.8 CELN100/8/512/FRE</t>
  </si>
  <si>
    <t>All-in-One Lenovo A100, 23.8" FHD IPS, Celeron N100 hasta 3.4GHz, 8GB DDR4-3200 (SO-D</t>
  </si>
  <si>
    <t>PCAS90PT03X7M07</t>
  </si>
  <si>
    <t> AIO ASUS 23.8 C5-210H/8/512/FR</t>
  </si>
  <si>
    <t>ASUS - COMERCIAL</t>
  </si>
  <si>
    <t>AIO ASUS P440VAK-WPC1770, 23.8" FHD IPS, Core 5-210H 2.4/4.8GHz, 8GB DDR5, 512GB SSD[</t>
  </si>
  <si>
    <t>PCAS90PT03W6M02</t>
  </si>
  <si>
    <t> AIO ASUS 27 C7-240H/16/1T/FREE</t>
  </si>
  <si>
    <t>AIO ASUS P470VAK-BPE3540, 27" FHD IPS, Core 7-240H hasta 5.2GHz, 16GB DDR5, 1TB SSD[@</t>
  </si>
  <si>
    <t>PCAS90PT03W7M02</t>
  </si>
  <si>
    <t>AIO ASUS P470VAK-WPE0810, 27" FHD IPS, Core 7-240H de hasta 5.2GHz, 16GB DDR5, 1TB SS</t>
  </si>
  <si>
    <t>PCLEN12SD009DLS</t>
  </si>
  <si>
    <t> AIO NEO 50A C7/16/1/W11P/3Y</t>
  </si>
  <si>
    <t>AIO Lenovo ThinkCentre neo 50a 24 Gen 5, 23.8" FHD IPS Core 7 240H 2.5/5.2G 16GB DDR5</t>
  </si>
  <si>
    <t>PCLENF0J6002KLD</t>
  </si>
  <si>
    <t> AIO LEN 23.8 I3N305/8/512/W11H</t>
  </si>
  <si>
    <t>All-in-One Lenovo A100, 23.8" FHD IPS Core i3-N305 hasta 3.8GHz 8GB DDR4-3200MHz (SO-</t>
  </si>
  <si>
    <t>PCAD1AO750D10B7</t>
  </si>
  <si>
    <t> AIO AO7560 I5 12/16GB/512GB/LX</t>
  </si>
  <si>
    <t>All-in-One Advance AIO AO7560, 23.8" IPS, Intel I5-12400 2.50-4.4GHz, 16GB DDR5, SSD</t>
  </si>
  <si>
    <t>PCAS90PT03X7M02</t>
  </si>
  <si>
    <t> AIO ASUS 23.8 I513420H/8/512/F</t>
  </si>
  <si>
    <t>AIO ASUS P440VAK-WPC0230 23.8" FHD IPS, Core i5-13420H hasta 4.6GHz, 8GB DDR5, 512GB</t>
  </si>
  <si>
    <t>PCLENF0HM00MWLD</t>
  </si>
  <si>
    <t> AIO 27 I5-13420H/16/512/FREE</t>
  </si>
  <si>
    <t>All-in-One Lenovo IdeaCentre 27IRH9 27" FHD IPS Core i5-13420H hasta 4.6GHz 16GB DDR5</t>
  </si>
  <si>
    <t>PCLENF0HN00U5LD</t>
  </si>
  <si>
    <t> AIO 23.8 CI5-13420H/8/512/W11H</t>
  </si>
  <si>
    <t>AIO Lenovo IdeaCentre 24IRH9, 23.8” FHD IPS, Corei5-13420H hasta 4.6GHz, 8GB DDR5 SOD</t>
  </si>
  <si>
    <t>PCAD1AO771D10B7</t>
  </si>
  <si>
    <t> AIO AO7570 I7 12/32GB/512GB/LX</t>
  </si>
  <si>
    <t>All-in-One Advance AIO AO7570, 23.8" IPS, Intel I7-12700 2.10-4.9GHz, 32GB DDR5, SSD</t>
  </si>
  <si>
    <t>PCLENF0HM00XKLD</t>
  </si>
  <si>
    <t> AIO 27 CI7-13620H/16/512/FREE</t>
  </si>
  <si>
    <t>All-in-One Lenovo IdeaCentre AIO 27IRH9 27" FHD IPS Core i7-13620H hasta 4.9GHz 16GB</t>
  </si>
  <si>
    <t>PCLENF0HM00XLLD</t>
  </si>
  <si>
    <t> AIO 27 CI7-13620H/16/512/W11H</t>
  </si>
  <si>
    <t>PCLENF0HN009XLD</t>
  </si>
  <si>
    <t> AIO 23.8 LE I7-13H/16/512/W11H</t>
  </si>
  <si>
    <t>All-in-One Lenovo IdeaCentre AIO 24IRH9 23.8" FHDIPS Core i7-13620H hasta 4.9G 16GB D</t>
  </si>
  <si>
    <t>PCLENF0HR009TLD</t>
  </si>
  <si>
    <t> AIO LEN 23.8 R5-7HS/16/512/FRE</t>
  </si>
  <si>
    <t>All-in-One Lenovo IdeaCentre AIO 24ARR9, 23.8" FHD IPS Ryzen 5 7535HS 3.3/4.5GHz 16GB</t>
  </si>
  <si>
    <t>PCLENF0HR009ULD</t>
  </si>
  <si>
    <t> AIO LEN 23.8 R5-7HS/8/512/W11H</t>
  </si>
  <si>
    <t>All-in-One Lenovo IdeaCentre AIO 24ARR9, 23.8" FHD IPS Ryzen 5 7535HS 3.3/4.5GHz, 8GB</t>
  </si>
  <si>
    <t>PCLENF0HQ0096LD</t>
  </si>
  <si>
    <t> AIO LEN 27 R7-7/16/512/FREE</t>
  </si>
  <si>
    <t>PCLENF0HR009SLD</t>
  </si>
  <si>
    <t> AIO LEN 23.8 R7-7/16/512/W11H</t>
  </si>
  <si>
    <t>All-in-One Lenovo IdeaCentre 24ARR9, 23.8" FHD IPS, AMD Ryzen 7 7735HS 4.75GHZ, 16GB</t>
  </si>
  <si>
    <t>PCHPBM6P4LAABM</t>
  </si>
  <si>
    <t> AIO 27 OMNI U5-125H/16/1/W11H</t>
  </si>
  <si>
    <t>HP CONSUMO</t>
  </si>
  <si>
    <t>All-in-One HP OmniStudio X CS0252LA, 27" FHD IPS,Core Ultra 5 125H hasta 4.5GHz,16GB,</t>
  </si>
  <si>
    <t>PCHPCCL7U6LTABM</t>
  </si>
  <si>
    <t> AIO 23.8 /U7-265T/24/512/W11P</t>
  </si>
  <si>
    <t>AIO HP ProStudio 4 G1i con IA, 23.8" FHD IPS, Core Ultra 7 265T 5.2GHz/24GB DDR5/512G</t>
  </si>
  <si>
    <t>PCAD1VO123001R3</t>
  </si>
  <si>
    <t> PC VO1230 R 3200G/16G/512/LX</t>
  </si>
  <si>
    <t>PC Advance VO1230, AMD RYZEN 3 3200G 3.60.GHz AMDAM4 TDP 65 Watt 4 Core, 4MB L3[@@@]1</t>
  </si>
  <si>
    <t>PCAD1VO125001R5</t>
  </si>
  <si>
    <t> PC VO1250 R5600GT/16G/512/LX</t>
  </si>
  <si>
    <t>PC Advance VO1250, AMD RYZEN 5 5600GT 3.60.GHz AMD AM4 TDP 65 Watt 6 Core, 16MB L3[@@</t>
  </si>
  <si>
    <t>PCAD1VOR50J30B5</t>
  </si>
  <si>
    <t> PC VI5500 R5-5500/32G/512/FREE</t>
  </si>
  <si>
    <t>PCHPAF9W4LTABM</t>
  </si>
  <si>
    <t> PC HP ELITE805 R5-8/16/1/W11P</t>
  </si>
  <si>
    <t>Computadora HP Elite SFF 805 G9, AMD Ryzen 5 8600G 4.3/5.0GHz, 16GB DDR5-5600[@@@]Alm</t>
  </si>
  <si>
    <t>PCAD1VO105020H0</t>
  </si>
  <si>
    <t> PC VO1050 CI5-12/8GB/512G/LX</t>
  </si>
  <si>
    <t>PCAD1VOM146201</t>
  </si>
  <si>
    <t> PC VM1462 CI5 14/16GB/512GB/LX</t>
  </si>
  <si>
    <t>PC Advance Vission VM1462, Intel i5-14450HX 2.40.GHz P-core 4.80GHz 20MB Cache[@@@]16</t>
  </si>
  <si>
    <t>PCAD1VOM147001</t>
  </si>
  <si>
    <t> PC VM1470 CI7 13/8GB/1TB/LX</t>
  </si>
  <si>
    <t>PCLEN91DF0042PT</t>
  </si>
  <si>
    <t> LOQ TWR/R7-8745HX/16/1/V8/FREE</t>
  </si>
  <si>
    <t>PC Gaming Lenovo LOQ TOWER 26ADR10, RYZEN 7 8745HX 3.6/5.1GHZ,16GB DDR5[@@@]Potencia</t>
  </si>
  <si>
    <t>PCTRC5TE8103G</t>
  </si>
  <si>
    <t> PC TE-8103G CU5/16GB/500G/UBUN</t>
  </si>
  <si>
    <t>PC TEROS TE-8103G, Intel Core U5 225F 3.30/4.90GHz, 16GB DDR5-5600, RTX 5050 8GB, GDD</t>
  </si>
  <si>
    <t>PCAS90PF05E1M00</t>
  </si>
  <si>
    <t> PC SFF ASUS U7-265/16/1T/W11P</t>
  </si>
  <si>
    <t>PC SFF ASUS D700SF-007265038X, Core Ultra 7 265 2.4/5.3GHz, 16GB DDR5-5600MT/s,1TB SS</t>
  </si>
  <si>
    <t>PCHPC85ZYLAABM</t>
  </si>
  <si>
    <t> PC HP ED 8G1I/U7-265/16/1/W11P</t>
  </si>
  <si>
    <t>Computadora HP EliteDesk 8 AI SFF G1i, Core Ultra7 265 2.4/5.3GHz 16GB (1x16GB) DDR5-</t>
  </si>
  <si>
    <t>PCLEN13DL0008LD</t>
  </si>
  <si>
    <t> PC NEO 50S/U7-265/16G/1T/FREE</t>
  </si>
  <si>
    <t>Computadora Lenovo Thinkcentre Neo 50S Gen 6,CoreU7 265 5.3GHZ, 16GB DDR5-5600MHZ[@@@</t>
  </si>
  <si>
    <t>Computadora Lenovo ThinkCentre NEO 50S Gen 6, Core U7-265 5.3GHz, 16GB DDR5-5600MHZ[@</t>
  </si>
  <si>
    <t>PCLEN13DL000JLS</t>
  </si>
  <si>
    <t> PC NEO50S/U7-265/16/1/DVD/W11P</t>
  </si>
  <si>
    <t>WSHPA24Y2LTABM</t>
  </si>
  <si>
    <t> WKS HP Z2MINI I7-14/16/1/V4/WP</t>
  </si>
  <si>
    <t>Workstation HP Z2 Mini G9, Core i7-14700 hasta 5.4GHz, 16GB (1x16GB) DDR5-5600MHz SOD</t>
  </si>
  <si>
    <t>WSHPBK8S6LTABM</t>
  </si>
  <si>
    <t> WKS HP Z2/U9-285/16/1T/V8/W11P</t>
  </si>
  <si>
    <t>Workstation HP Z2 SFF G1i, Core Ultra 9 285 2.5/5.4GHz /16GB DDR5/1TB SSD M.2/DVD-Wri</t>
  </si>
  <si>
    <t>WSHPBK8S9LTABM</t>
  </si>
  <si>
    <t> WS HP Z2/U9-285K/32/1/V16/W11P</t>
  </si>
  <si>
    <t>Workstation HP Z2 SFF G1i, Core Ultra 9 285K hasta 5.7GHz/32GB DDR5/1TB SSD M.2/DVD-W</t>
  </si>
  <si>
    <t>WSHPBP1Q1LTABM</t>
  </si>
  <si>
    <t> WS HP Z2/U7-265/32/1/V16/W11P</t>
  </si>
  <si>
    <t>Workstation HP Z2 Tower G1i, Core Ultra 7 265 2.4/ 5.3GHz/32GB DDR5/1TB SSD M.2/DVD-R</t>
  </si>
  <si>
    <t>WSHPC08VPLTABM</t>
  </si>
  <si>
    <t> WS HP Z2/U7-265K/32/1/V12/W11P</t>
  </si>
  <si>
    <t>Workstation HP Z2 Tower G1i, Core Ultra 7 265K 3.9 / 5.5GHz/32GB DDR5/1TB SSD M.2/DVD</t>
  </si>
  <si>
    <t>WSLEN30HS001HLM</t>
  </si>
  <si>
    <t> WKS P3 U7-265K/32/1T/V16/W11P</t>
  </si>
  <si>
    <t>Workstation Lenovo ThinkStation P3 Tower Gen 2, Core Ultra 7 265K hasta 5.5GHz 32GB D</t>
  </si>
  <si>
    <t>WSLEN30JR000TLM</t>
  </si>
  <si>
    <t> WKS P2/U7-265K VPRO/32/1/V8/WP</t>
  </si>
  <si>
    <t>Workstation Lenovo ThinkStation P2 Tower Gen 2, Core Ultra 7 265K hasta 5.5GHz 32GB D</t>
  </si>
  <si>
    <t>WSLEN30JR000ULM</t>
  </si>
  <si>
    <t> WKS P2/U7-265KVPRO/32/1/V16/WP</t>
  </si>
  <si>
    <t>WSLEN30JR000VLM</t>
  </si>
  <si>
    <t> WKS P2/U9_285KVPRO/32/1/V16/WP</t>
  </si>
  <si>
    <t>Workstation Lenovo ThinkStation P2 Tower Core Ultra 9 285K hasta 5.7GHz 32GB DDR5-560</t>
  </si>
  <si>
    <t>WSLEN30JR000WLM</t>
  </si>
  <si>
    <t> WKS P2 U7-265K/16/512/V4/W11P</t>
  </si>
  <si>
    <t>Workstation Lenovo ThinkStation P2 Tower Gen 2, Core Ultra 7 265K hasta 5.5GHz 16GB D</t>
  </si>
  <si>
    <t>MMMSJTFOPROWL</t>
  </si>
  <si>
    <t> MSI GAMEPAD FORCE PRO WIRELESS</t>
  </si>
  <si>
    <t>Gamepad MSI Force PRO Wireless (Inalambrico) 2.4GHz / Bluetooth / USB 2.0 (USB-C)[@@@</t>
  </si>
  <si>
    <t>PREPL1250-N</t>
  </si>
  <si>
    <t> IMP EPSON L1250</t>
  </si>
  <si>
    <t>EPSON</t>
  </si>
  <si>
    <t>Impresora de tinta Epson EcoTank L1250, Imprime /Inalambrica / USB de alta velocidad[</t>
  </si>
  <si>
    <t>PREPM1120-N</t>
  </si>
  <si>
    <t> IMP EPSON M1120 MONOFUNCIONAL</t>
  </si>
  <si>
    <t>Impresora de tinta continua Epson EcoTank M1120, 32 ppm, 1440x720 dpi, USB 2.0 / Wi-F</t>
  </si>
  <si>
    <t>PREPL3210-N</t>
  </si>
  <si>
    <t> IMP EPSON MULTIFUNC L3210</t>
  </si>
  <si>
    <t>Multifuncional de tinta Epson EcoTank L3210, Imprime / Escanea / Copia / USB[@@@]Velo</t>
  </si>
  <si>
    <t>PREPL3250-N</t>
  </si>
  <si>
    <t> IMP EPSON MULTIFUN L3250</t>
  </si>
  <si>
    <t>Multifuncional de tinta Epson L3250, USB de alta velocidad (compatible con USB 2.0)[@</t>
  </si>
  <si>
    <t>PREPL3250-OEM</t>
  </si>
  <si>
    <t>PREPL5590-N</t>
  </si>
  <si>
    <t> IMPRESORA EPSON MULTIFU L5590</t>
  </si>
  <si>
    <t>Impresora Multifuncional Epson EcoTank L5590, Imprime/Escanea/Copia/Fax/USB/LAN/Wi-Fi</t>
  </si>
  <si>
    <t>PREPL6370</t>
  </si>
  <si>
    <t> IMPRESORA EPSON MULTIFUN L6370</t>
  </si>
  <si>
    <t>Multifuncional de tinta Epson EcoTank L6370, imprime/escanea/copia/Wi-Fi/Ethernet/USB</t>
  </si>
  <si>
    <t>PREPM2170-N</t>
  </si>
  <si>
    <t> IMP EPSON M2170 MULTIFUNCIONAL</t>
  </si>
  <si>
    <t>Multifuncional de tinta Epson EcoTank ET-M2170, imprime/escanea/copia, USB/LAN/WiFi.[</t>
  </si>
  <si>
    <t>PREPWFCM3170-N</t>
  </si>
  <si>
    <t> IMP EPSON WORKFORCE-M3170-N</t>
  </si>
  <si>
    <t>Multifuncional de tinta Epson EcoTank ET-M3170, imprime/escanea/copia/fax, USB/LAN/Wi</t>
  </si>
  <si>
    <t>PRHP4A8D4A</t>
  </si>
  <si>
    <t> PRINTER HP SMART TANK 581</t>
  </si>
  <si>
    <t>Impresora All-in-one de tinta HP Smart Tank 581, Imprime/Escanea/Copia/Wi-Fi/USB 2.0[</t>
  </si>
  <si>
    <t>PRHP4SB24A</t>
  </si>
  <si>
    <t> PRINT HP SMART TANK 530</t>
  </si>
  <si>
    <t>Impresora All-in-one de tinta HP Smart Tank 530, Imprime/Escanea/Copia/Wi-Fi/BT/USB 2</t>
  </si>
  <si>
    <t>PRHPST585A</t>
  </si>
  <si>
    <t> IMPRESORA HP SMART TANK 585</t>
  </si>
  <si>
    <t>ACARCHL240DIG</t>
  </si>
  <si>
    <t> COOLER AR AIO CL 240 DIGITAL</t>
  </si>
  <si>
    <t>Refrigeracion líquida 240mm para CPU ASRock Challenger 240 Digital[@@@]El refrigerado</t>
  </si>
  <si>
    <t>ACARCHL240DIGW</t>
  </si>
  <si>
    <t> COOLER AR AIO CL 240 DIG WHITE</t>
  </si>
  <si>
    <t>ACCPUTE8164N</t>
  </si>
  <si>
    <t> COOLER PARA CPU TE-8164N LIQU</t>
  </si>
  <si>
    <t>Cooler para procesador Teros TE-8164N, Intel y AMD, TDP 265W Máx, 24, líquida[@@@]Man</t>
  </si>
  <si>
    <t>ACGBLQGME240</t>
  </si>
  <si>
    <t> COOLER GB AIO GME 240</t>
  </si>
  <si>
    <t>Refrigerador líquido de CPU GIGABYTE GP-GIGABYTE GME 240[@@@]El refrigerador de líqui</t>
  </si>
  <si>
    <t>ACGBLQGME240W</t>
  </si>
  <si>
    <t> COOLER GB AIO GME 240 WHITE</t>
  </si>
  <si>
    <t>Refrigerador líquido de CPU GIGABYTE GP-GIGABYTE GME 240 WHITE[@@@]El refrigerador de</t>
  </si>
  <si>
    <t>ACMSCORLQA1324W</t>
  </si>
  <si>
    <t> COOLER MSI MAG CLQD A13 240 W</t>
  </si>
  <si>
    <t>Refrigeracion líquida MSI MAG CORELIQUID A13 240 WHITE / Cantidad de ventiladores: 2[</t>
  </si>
  <si>
    <t>ACMSCORLQE240W</t>
  </si>
  <si>
    <t> COOLER MSI AIO CORELIQUID E240</t>
  </si>
  <si>
    <t>Refrigeracion líquida MSI MAG CORELIQUID E240 / Cantidad de ventiladores: 2, Color Bl</t>
  </si>
  <si>
    <t>ACMSCRLQA12240N</t>
  </si>
  <si>
    <t> COOLER MSI MAG CLQD A12 240 N</t>
  </si>
  <si>
    <t>Refrigeracion líquida MSI MAG CORELIQUID A12 240,Cantidad de ventiladores: 2[@@@]La S</t>
  </si>
  <si>
    <t>ACCMMLWD24MA18P</t>
  </si>
  <si>
    <t> MASTERLIQUID 240L ARGB SPTRUM</t>
  </si>
  <si>
    <t>Refrigeracion líquida Cooler Master MasterLiquid 240L Core ARGB, Numero de ventilador</t>
  </si>
  <si>
    <t>ACARCLPURE360</t>
  </si>
  <si>
    <t> COOLER AR AIO CL PURE 360</t>
  </si>
  <si>
    <t>ACARPRO360ARGB</t>
  </si>
  <si>
    <t> COOLER AR AIO PRO 360 ARGB</t>
  </si>
  <si>
    <t>Refrigeracion líquida 360mm para CPU ASRock Pro 360 ARGB[@@@]El refrigerador líquido</t>
  </si>
  <si>
    <t>ACGBLQGME360N</t>
  </si>
  <si>
    <t> COOLER GB AIO GME 360 BLACK</t>
  </si>
  <si>
    <t>Refrigerador líquido de CPU GIGABYTE GP-GIGABYTE GME 360[@@@]El refrigerador de líqui</t>
  </si>
  <si>
    <t>ACGBLQGME360W</t>
  </si>
  <si>
    <t> COOLER GB AIO GME 360 WHITE</t>
  </si>
  <si>
    <t>Refrigerador líquido de CPU GIGABYTE GP-GIGABYTE GME 360 WHITE[@@@]El refrigerador de</t>
  </si>
  <si>
    <t>ACMSCORLQA12360</t>
  </si>
  <si>
    <t> COOLER MSI MAG CLQD A12 360 N</t>
  </si>
  <si>
    <t>Refrigerador líquido de CPU MSI MAG CORELIQUID A12 360[@@@]El refrigerador de líquido</t>
  </si>
  <si>
    <t>ACMSCORLQA13360</t>
  </si>
  <si>
    <t> COOLER MSI MAG CLQD A13 360 N</t>
  </si>
  <si>
    <t>Refrigerador líquido de CPU MSI MAG CORELIQUID A13 360[@@@]El refrigerador de líquido</t>
  </si>
  <si>
    <t>ACMSCORLQC360V2</t>
  </si>
  <si>
    <t> COOLER MSI MAG CLQD C360 V2</t>
  </si>
  <si>
    <t>Refrigerador líquido de CPU MSI MAG CORELIQUID C360 V2[@@@]El refrigerador líquido MA</t>
  </si>
  <si>
    <t>CPAM4R55500</t>
  </si>
  <si>
    <t> PROC AMD RYZEN 5 5500 3.60GHZ</t>
  </si>
  <si>
    <t>AMD-ADVANCED MICRO DEVICE</t>
  </si>
  <si>
    <t>Procesador AMD Ryzen 5 5500, 3.60 / 4.20 GHz, 16MB L3 Cache, 6-Cores, AM4, 7nm, 65W.[</t>
  </si>
  <si>
    <t>CPAM4R55500X3D</t>
  </si>
  <si>
    <t> PROC AMD RYZEN 5 5500X3D 3.0GH</t>
  </si>
  <si>
    <t>Procesador AMD Ryzen 5 5500X3D, 3.00 / 4.00 GHz, 96MB L3 Cache, 6-Cores, AM4, 7nm, 10</t>
  </si>
  <si>
    <t>CPAM4R55600GT</t>
  </si>
  <si>
    <t> PROC AMD RYZEN 5 5600GT 3.60GZ</t>
  </si>
  <si>
    <t>Procesador AMD Ryzen 5 5600GT, 3.60 / 4.60 GHz, 16MB L3, 6 Core, AM4, 7nm, 65W.[@@@]I</t>
  </si>
  <si>
    <t>CPAM5R57600</t>
  </si>
  <si>
    <t> PROC AMD RYZEN 5 7600 3.80GHZ</t>
  </si>
  <si>
    <t>Procesador AMD Ryzen 5 7600 3.8/5.1GHz, 32MB L3, 6-Core, AM5, 65W.[@@@]Integra contro</t>
  </si>
  <si>
    <t>CPAM5R57600X</t>
  </si>
  <si>
    <t> PROC AMD RYZEN 5 7600X 4.70GZ</t>
  </si>
  <si>
    <t>Procesador AMD Ryzen 5 7600X 4.7/5.3GHz, 32MB L3,6-Core, AM5, 5nm, 105W.[@@@]Integra</t>
  </si>
  <si>
    <t>CPAM5R58500G</t>
  </si>
  <si>
    <t> PROC AMD RYZEN 5 8500G 3.50GHZ</t>
  </si>
  <si>
    <t>Procesador AMD Ryzen 5 8500G 3.50 / 5.00 GHz, 16MB L3 Cache, 6-Cores, 4nm, TDP: 65W[@</t>
  </si>
  <si>
    <t>CPAM5R58600G</t>
  </si>
  <si>
    <t> PROC AMD RYZEN 5 8600G 4.30GHZ</t>
  </si>
  <si>
    <t>Procesador AMD Ryzen 5 8600G 4.30 / 5.00 GHz, 16MB L3 Cache, 6-Cores, 4nm, TDP: 65W[@</t>
  </si>
  <si>
    <t>CPAM5R59600X</t>
  </si>
  <si>
    <t> PROC AMD RYZEN 5 9600X 3.90GHZ</t>
  </si>
  <si>
    <t>Procesador AMD Ryzen 5 9600X 3.90 / 5.40 GHz, 32MB L3 Cache, 6-Cores, 4nm, TDP: 65W[@</t>
  </si>
  <si>
    <t>CPAM4NR75700</t>
  </si>
  <si>
    <t> PROC AMD RYZEN 7 5700 3.7GHZ</t>
  </si>
  <si>
    <t>Procesador AMD Ryzen 7 5700, 3.70 / 4.60GHz, 16MBL3, 8-Core, AM4, 7nm, 65W.[@@@]No In</t>
  </si>
  <si>
    <t>CPAM4R75700G</t>
  </si>
  <si>
    <t> PROC AMD RYZEN 7 5700G 3.80GHZ</t>
  </si>
  <si>
    <t>Procesador AMD Ryzen 7 5700G, 3.80 / 4.60GHz, 16MB L3, 8-Core, AM4, 7nm, 65W.[@@@]Inc</t>
  </si>
  <si>
    <t>CPAM4R75700X</t>
  </si>
  <si>
    <t> PROC AMD RYZEN 7 5700X 3.40GHZ</t>
  </si>
  <si>
    <t>Procesador AMD Ryzen 7 5700X, 3.40 / 4.60GHz, 32MB L3 Cache, 8-Core, AM4, 7nm, 65W.[@</t>
  </si>
  <si>
    <t>CPAM5NR77700</t>
  </si>
  <si>
    <t> PROC AMD RYZEN 7 7700 3.80GHZ</t>
  </si>
  <si>
    <t>Procesador AMD Ryzen 7 7700 3.8 / 5.3GHz, 32MB L3, 8-Cores, AM5, 65W.[@@@]Integra con</t>
  </si>
  <si>
    <t>CPAM5R77700X</t>
  </si>
  <si>
    <t> PROC AMD RYZEN 7 7700X 4.50GZ</t>
  </si>
  <si>
    <t>Procesador AMD Ryzen 7 7700X 4.5/5.4GHz, 32MB L3,8-Core, AM5, 105W.[@@@]Integra contr</t>
  </si>
  <si>
    <t>CPAM5R77800X3D</t>
  </si>
  <si>
    <t> PROC AMD RYZEN 7 7800X3D 4.2GH</t>
  </si>
  <si>
    <t>Procesador AMD Ryzen 7 7800X3D 4.20 / 5.00 GHz, 96MB L3 Cache, 8-Cores, 5nm, TDP: 120</t>
  </si>
  <si>
    <t>CPAM5R78700F</t>
  </si>
  <si>
    <t> PROC AMD RYZEN 7 8700F 4.10GHZ</t>
  </si>
  <si>
    <t>Procesador AMD Ryzen 7 8700F 4.10 / 5.00 GHz, 16MB L3 Cache, 8-Cores, 4nm, TDP: 65W[@</t>
  </si>
  <si>
    <t>CPAM5SR78700G</t>
  </si>
  <si>
    <t> PROC AMD RYZEN 7 8700G 4.20GHZ</t>
  </si>
  <si>
    <t>Procesador AMD Ryzen 7 8700G 4.20 / 5.10 GHz, 16MB L3 Cache, 8-Cores, 4nm, TDP: 65W[@</t>
  </si>
  <si>
    <t>CPAM5R79700X</t>
  </si>
  <si>
    <t> PROC AMD RYZEN 7 9700X 3.80GHZ</t>
  </si>
  <si>
    <t>Procesador AMD Ryzen 7 9700X 3.80 / 5.50 GHz, 32MB L3 Cache, 6-Cores, 4nm, TDP: 65W[@</t>
  </si>
  <si>
    <t>CPAM5R79800X3D</t>
  </si>
  <si>
    <t> PROC AMD RYZEN 7 9800X3D 4.70G</t>
  </si>
  <si>
    <t>Procesador AMD Ryzen 7 9800X3D, 4.7GHz, 96MB L3, 8 Core, AM5, 4nm, 120W.[@@@]Integra</t>
  </si>
  <si>
    <t>CPAM5R79850X3D</t>
  </si>
  <si>
    <t> PROC AMD RYZEN 7 9850X3D 4.70G</t>
  </si>
  <si>
    <t>Procesador AMD Ryzen 7 9850X3D, 4.7 / 5.6GHz, 96MB Cache L3, 8-Cores, AM5, 4nm, TDP:</t>
  </si>
  <si>
    <t>CPAM4R95900XT</t>
  </si>
  <si>
    <t> PROC AMD RYZEN 9 5900XT 3.30GZ</t>
  </si>
  <si>
    <t>Procesador AMD Ryzen 9 5900XT, 3.30 GHz, 64MB L3,16 Core, AM4, 7nm, 105W.[@@@]No inco</t>
  </si>
  <si>
    <t>CPAM5R97900X</t>
  </si>
  <si>
    <t> PROC AMD RYZEN 9 7900X 4.70GZ</t>
  </si>
  <si>
    <t>Procesador AMD Ryzen 9 7900X 4.7/5.6GHz, 64MB L3,12-Core, AM5, 5nm, 170W.[@@@]Integra</t>
  </si>
  <si>
    <t>CPAM5R9900X3D</t>
  </si>
  <si>
    <t> PROC AMD RYZEN 9 9900X3D 4.4GH</t>
  </si>
  <si>
    <t>Procesador AMD Ryzen 9 9900X3D 4.40 / 5.50 GHz, 128 MB L3 Cache, 12-Cores, 4nm, TDP:</t>
  </si>
  <si>
    <t>CPAM5R99900X</t>
  </si>
  <si>
    <t> PROC AMD RYZEN 9 9900X 4.40GHZ</t>
  </si>
  <si>
    <t>Procesador AMD Ryzen 9 9900X 4.40 / 5.60 GHz, 64MB L3 Cache, 12-Cores, 4nm, TDP: 120W</t>
  </si>
  <si>
    <t>CPAM5R99950X</t>
  </si>
  <si>
    <t> PROC AMD RYZEN 9 9950X 4.30GHZ</t>
  </si>
  <si>
    <t>Procesador AMD Ryzen 9 9950X 4.30 / 5.70 GHz, 64MB L3 Cache, 16-Cores, 4nm, TDP: 170W</t>
  </si>
  <si>
    <t>CPAM5R99950X3D</t>
  </si>
  <si>
    <t> PROC AMD RYZEN 9 9950X3D 4.3GH</t>
  </si>
  <si>
    <t>Procesador AMD Ryzen 9 9950X3D 4.30 / 5.70 GHz, 128 MB L3 Cache, 16-Cores, 4nm, TDP:</t>
  </si>
  <si>
    <t>INTEL CORP</t>
  </si>
  <si>
    <t>CPILI312100F</t>
  </si>
  <si>
    <t> PROC INT CORE I3-12100F 4.30GZ</t>
  </si>
  <si>
    <t>Procesador Intel Core i3-12100F, 3.30/4.30GHz, 12MB SmartCaché, LGA1700, Intel 7(10nm</t>
  </si>
  <si>
    <t>INTEL OEM</t>
  </si>
  <si>
    <t>CPILI314100F</t>
  </si>
  <si>
    <t> PROC INT CORE I3-14100F 3.50GZ</t>
  </si>
  <si>
    <t>Procesador Intel Core i3-14100F 3.50/4.70GHz, 12 MB Intel Smart Caché, LGA1700, 58W/1</t>
  </si>
  <si>
    <t>CPILI512400F</t>
  </si>
  <si>
    <t> PROC INT CORE I5-12400F 2.50GZ</t>
  </si>
  <si>
    <t>Procesador Intel Core i5-12400F, 2.50/4.40GHz, 18MB Caché L3, LGA1700, 117W, Intel 7(</t>
  </si>
  <si>
    <t>CPITI512400T</t>
  </si>
  <si>
    <t> PROC IN COR I5-12400 2.5G TRAY</t>
  </si>
  <si>
    <t>Procesador Intel Core i5-12400, 2.50/4.40GHz 18MBSmartCaché, LGA1700, 117W, Intel 7(1</t>
  </si>
  <si>
    <t>CPITI512400T2</t>
  </si>
  <si>
    <t>CPILI514400</t>
  </si>
  <si>
    <t> PROC INT CORE I5-14400 2.50GHZ</t>
  </si>
  <si>
    <t>Procesador Intel Core i5-14400 2.50/4.70GHz, 20 MB Intel Smart Caché, LGA1700, 65W/14</t>
  </si>
  <si>
    <t>CPILI514400F</t>
  </si>
  <si>
    <t> PROC INT CORE I5-14400F 2.50GZ</t>
  </si>
  <si>
    <t>Procesador Intel Core i5-14400F 2.50/4.70GHz, 20 MB Intel Smart Caché, LGA1700, 65W/1</t>
  </si>
  <si>
    <t>CPILI514600KF</t>
  </si>
  <si>
    <t> PROC INT CORE I5-14600KF 3.50G</t>
  </si>
  <si>
    <t>Procesador Intel Core i5-14600KF 3.50/5.30GHz, 24MB Intel Smart Caché, LGA1700, 125W/</t>
  </si>
  <si>
    <t>CPILI712700</t>
  </si>
  <si>
    <t> PROC INT CORE I7-12700 2.10GHZ</t>
  </si>
  <si>
    <t>Procesador Intel Core i7-12700 2.10/4.90GHz, 25MBSmartCaché, LGA1700, 65W, Intel 7(10</t>
  </si>
  <si>
    <t>CPILI714700F</t>
  </si>
  <si>
    <t> PROC INT CORE I7-14700F 2.10GZ</t>
  </si>
  <si>
    <t>Procesador Intel Core i7-14700F 2.10/5.40GHz, 33 MB Intel Smart Caché, LGA1700, 65W/2</t>
  </si>
  <si>
    <t>CPILI714700K</t>
  </si>
  <si>
    <t> PROC INT CORE I7-14700K 3.40G</t>
  </si>
  <si>
    <t>Procesador Intel Core i7-14700K 3.40/5.60GHz, 33 MB Intel Smart Caché, LGA1700, 125W/</t>
  </si>
  <si>
    <t>CPITI714700T</t>
  </si>
  <si>
    <t> PROC INT CORE I7-14700 2.1 OEM</t>
  </si>
  <si>
    <t>CPILI914900</t>
  </si>
  <si>
    <t> PROC INT CORE I9-14900 2.0GHZ</t>
  </si>
  <si>
    <t>Procesador Intel Core i9-14900 2.00/5.80GHz, 36 MB Intel Smart Caché, LGA1700, 65W/21</t>
  </si>
  <si>
    <t>CPILI914900F</t>
  </si>
  <si>
    <t> PROC INT CORE I9-14900F 2.0GHZ</t>
  </si>
  <si>
    <t>Procesador Intel Core i9-14900F 2.00/5.80GHz, 36 MB Intel Smart Caché, LGA1700, 65W/2</t>
  </si>
  <si>
    <t>CPILI914900K</t>
  </si>
  <si>
    <t> PROC INT CORE I9-14900K 3.20G</t>
  </si>
  <si>
    <t>Procesador Intel Core i9-14900K 3.20/6.00GHz, 36 MB Intel Smart Caché, LGA1700, 125W/</t>
  </si>
  <si>
    <t>CPILI914900KF</t>
  </si>
  <si>
    <t> PROC INT CORE I9-14900KF 3.20G</t>
  </si>
  <si>
    <t>Procesador Intel Core i9-14900KF 3.20/6.00GHz, 36MB Intel Smart Caché, LGA1700, 125W/</t>
  </si>
  <si>
    <t>CPILI914900KS</t>
  </si>
  <si>
    <t> PROC INT CORE I9-14900KS 3.20G</t>
  </si>
  <si>
    <t>Procesador Intel Core i9-14900KS 3.20/6.20GHz, 36MB Intel Smart Caché, LGA1700, 150W/</t>
  </si>
  <si>
    <t>CPILU5225</t>
  </si>
  <si>
    <t> PROC INT COR ULTRA 5 225 3.30G</t>
  </si>
  <si>
    <t>Procesador Intel Core Ultra 5 225 3.30/4.90GHz, 20 MB Intel Smart Caché, LGA1851[@@@]</t>
  </si>
  <si>
    <t>CPILU5225F</t>
  </si>
  <si>
    <t> PROC INT COR ULTRA 5 225F 3.3G</t>
  </si>
  <si>
    <t>Procesador Intel Core Ultra 5 225F 3.30/4.90GHz, 20 MB Intel Smart Caché, LGA1851[@@@</t>
  </si>
  <si>
    <t>CPILU5245K</t>
  </si>
  <si>
    <t> PROC INT COR ULT 5 245K 4.20GZ</t>
  </si>
  <si>
    <t>Procesador Intel Core Ultra 5 245K 4.20/5.20GHz, 24 MB Intel Smart Caché, LGA1851[@@@</t>
  </si>
  <si>
    <t>CPILU5245KF</t>
  </si>
  <si>
    <t> PROC INT COR ULT 5 245KF 4.20G</t>
  </si>
  <si>
    <t>Procesador Intel Core Ultra 5 245KF 4.20/5.20GHz,24 MB Intel Smart Caché, LGA1851[@@@</t>
  </si>
  <si>
    <t>CPILU5250KFP</t>
  </si>
  <si>
    <t> PROC INT COR ULT 5 250KF PLUS</t>
  </si>
  <si>
    <t>CPILU7265</t>
  </si>
  <si>
    <t> PROC INT CORE ULT 7 265 2.40G</t>
  </si>
  <si>
    <t>Procesador Intel Core Ultra 7 265 2.40/5.30GHz, 30 MB Intel Smart Caché, LGA1851[@@@]</t>
  </si>
  <si>
    <t>CPILU7265F</t>
  </si>
  <si>
    <t> PROC INT CORE ULT 7 265F 2.40G</t>
  </si>
  <si>
    <t>Procesador Intel Core Ultra 7 265F 2.40/5.30GHz, 30 MB Intel Smart Caché, LGA1851[@@@</t>
  </si>
  <si>
    <t>CPILU7265KF</t>
  </si>
  <si>
    <t> PROC INT COR ULT 7 265KF 3.90G</t>
  </si>
  <si>
    <t>Procesador Intel Core Ultra 7 265KF 3.90/5.50GHz,30 MB Intel Smart Caché, LGA1851[@@@</t>
  </si>
  <si>
    <t>CPILU9285</t>
  </si>
  <si>
    <t> PROC INT CORE ULT 9 285 2.50GZ</t>
  </si>
  <si>
    <t>Procesador Intel Core Ultra 9 285 2.50/5.60GHz, 40 MB Intel Smart Caché, LGA1851[@@@]</t>
  </si>
  <si>
    <t>CPILU9285K</t>
  </si>
  <si>
    <t> PROC INT COR ULT 9 285K 3.70G</t>
  </si>
  <si>
    <t>Procesador Intel Core Ultra 9 285K 3.70/5.70GHz, 36 MB Intel Smart Caché, LGA1851[@@@</t>
  </si>
  <si>
    <t>HDIST12TBNASVN8</t>
  </si>
  <si>
    <t> HD SEA IRONWOLF 12TB SATA NAS</t>
  </si>
  <si>
    <t>SEAGATE</t>
  </si>
  <si>
    <t>Disco duro Seagate Ironwolf 3.5 Sata 6.0 Gb/s, 12TB, caché 256 MB[@@@]Almacena y prot</t>
  </si>
  <si>
    <t>HDITOMG11ACA16T</t>
  </si>
  <si>
    <t> HD TOSHIBA MG11 HE 16TB 3.5\"</t>
  </si>
  <si>
    <t>Disco duro Toshiba MG11ACA16TE, 16TB, SATA 6GB/s,3.5", 7200rpm, Cache: 1024MB[@@@]</t>
  </si>
  <si>
    <t>HDITOWG81GXZSTB</t>
  </si>
  <si>
    <t> HD TOSHIBA N300 PRO 16TB NAS</t>
  </si>
  <si>
    <t>HDITOWG82AXZSTB</t>
  </si>
  <si>
    <t> HD TOSHIBA N300 PRO 20TB NAS</t>
  </si>
  <si>
    <t>HDITOWG82CXZSTB</t>
  </si>
  <si>
    <t> HD TOSHIBA N300 PRO 22TB SATA</t>
  </si>
  <si>
    <t>Disco duro Toshiba N300 PRO, 22TB, SATA 6.0 Gb/s,7200rpm, 1024MB Cache, 3.5"[@@@]</t>
  </si>
  <si>
    <t>HDIWD120EFGX</t>
  </si>
  <si>
    <t> HD WD RED PLUS 12TB SATA</t>
  </si>
  <si>
    <t>Disco duro Western Digital Red Plus NAS WD120EFGX, 12TB, SATA, 7200rpm, 3.5", Cache 5</t>
  </si>
  <si>
    <t>HDIWD122KFBX</t>
  </si>
  <si>
    <t> HD WD 12TB RED PRO SATA 7200</t>
  </si>
  <si>
    <t>Disco duro Western Digital Red Pro NAS, WD122KFBX12TB SATA 6Gb/s 7200rpm 3.5" 512MB C</t>
  </si>
  <si>
    <t>HDIWD23PURZ</t>
  </si>
  <si>
    <t> HD WD PURPLE 2TB SATA</t>
  </si>
  <si>
    <t>Disco duro Western Digital WD Purple, 2TB, SATA 6.0 Gb/s, 64MB Cache, 5400 rpm, 3.5".</t>
  </si>
  <si>
    <t>HD1TOCA10XK3AA</t>
  </si>
  <si>
    <t> HD EXT CANVIO ADVANCE 1TB - BL</t>
  </si>
  <si>
    <t>Disco Duro Externo Toshiba Portátil Canvio Advance, 1 TB, USB 3.0 / 2.0, Color: Negro</t>
  </si>
  <si>
    <t>HD1TOCA10XR3AA</t>
  </si>
  <si>
    <t> HD EXT CANVIO ADVANCE 1TB - RD</t>
  </si>
  <si>
    <t>HD2TOCA20XK3AA</t>
  </si>
  <si>
    <t> HD EXT CANVIO ADVANCE 2TB - BL</t>
  </si>
  <si>
    <t>Disco Duro Externo Toshiba Portátil Canvio Advance, 2 TB, USB 3.0 / 2.0, Color: Negro</t>
  </si>
  <si>
    <t>HD2TOCA20XW3AA</t>
  </si>
  <si>
    <t> HD EXT CANVIO ADVANCE 2TB - WT</t>
  </si>
  <si>
    <t>Disco Duro Externo Toshiba Portátil Canvio Advance, 2 TB, USB 3.0 / 2.0, Color: Blanc</t>
  </si>
  <si>
    <t>HDDHDTP320XK3AA</t>
  </si>
  <si>
    <t> HD EXT CANVIO READY 2TB 3.0</t>
  </si>
  <si>
    <t>Disco duro externo Toshiba Canvio Ready 2TB, USB 3.0/2.0, Plug &amp; Play, Negro[@@@]</t>
  </si>
  <si>
    <t>HDESTGX1000400</t>
  </si>
  <si>
    <t> HDE SEAGATE PORTABLE 1TB 2.5"</t>
  </si>
  <si>
    <t>Disco duro externo portatil Seagate STGX1000400, 1TB, 2.5", USB 3.0 SuperSpeed[@@@]</t>
  </si>
  <si>
    <t>HDESTGX2000400</t>
  </si>
  <si>
    <t>  HDE SEAGATE PORTABLE 2TB 2.5"</t>
  </si>
  <si>
    <t>Disco duro externo portatil Seagate STGX2000400, 2TB, USB 3.0, Negro[@@@]</t>
  </si>
  <si>
    <t>HDESTGX5000400</t>
  </si>
  <si>
    <t> HDE SEAGATE PORTABLE 5TB 2.5"</t>
  </si>
  <si>
    <t>Disco duro externo portatil Seagate STGX5000400, 5TB, USB 3.0, Negro[@@@]</t>
  </si>
  <si>
    <t>HDESTKP10000400</t>
  </si>
  <si>
    <t> HDE SEAGATE EXPANSION 10TB 3.0</t>
  </si>
  <si>
    <t>Disco duro externo Seagate Expansion Desktop, 10TB, 3.5", 5400rpm, USB 3.0 (Hasta 5Gb</t>
  </si>
  <si>
    <t>ACSSDKTSNABR235</t>
  </si>
  <si>
    <t> BRACKET KINGSTON 2.5'' TO 3.5'</t>
  </si>
  <si>
    <t>KINGSTON</t>
  </si>
  <si>
    <t>Bracket Kingston SNA-BR2/35 de 2.5" a 3.5", con tornillos.[@@@]</t>
  </si>
  <si>
    <t>SSDKTXS10001TB</t>
  </si>
  <si>
    <t> SSD EXT KING XS1000 1TB 3.2</t>
  </si>
  <si>
    <t>Unidad en estado sólido externa Kingston XS1000, 1TB, USB 3.2 Gen 2 Tipo-C[@@@]Veloci</t>
  </si>
  <si>
    <t>SSDKTXS1000R1TB</t>
  </si>
  <si>
    <t> SSD EXT KING XS1000 1TB RED</t>
  </si>
  <si>
    <t>Unidad en estado sólido externa Kingston XS1000, 1TB, USB 3.2 Gen 2 Tipo-C, Color Roj</t>
  </si>
  <si>
    <t>SSDKTXS1000R2TB</t>
  </si>
  <si>
    <t> SSD EXT KING XS1000 2TB RED</t>
  </si>
  <si>
    <t>Unidad en estado sólido externa Kingston XS1000, 2TB, USB 3.2 Gen 2 Tipo-C, Color Roj</t>
  </si>
  <si>
    <t>SSDKTXS20001000</t>
  </si>
  <si>
    <t> SSD EXT KING XS2000 1TB 3.2</t>
  </si>
  <si>
    <t>Unidad en estado sólido externa Kingston XS2000, 1TB, USB 3.2 Gen 2x2 Tipo-C[@@@]Velo</t>
  </si>
  <si>
    <t>SSDSDSSDE301T00</t>
  </si>
  <si>
    <t> SSD EXT SANDISK FORTNITE 1TB</t>
  </si>
  <si>
    <t>SANDISK</t>
  </si>
  <si>
    <t>SSD portátil Sandisk Fortnite Peely Edition, 1 TB, USB 3.2 Gen 2, Protección contra c</t>
  </si>
  <si>
    <t>MMCRDVDGP65NB60</t>
  </si>
  <si>
    <t> DVD RW USB LG 8X SLIM GP65NB60</t>
  </si>
  <si>
    <t>LG ELECTRONICS</t>
  </si>
  <si>
    <t>DVD SuperMultil LG GP65NB60, externo, 8X, USB 2.0.[@@@]Formatos soportados M-DISC / C</t>
  </si>
  <si>
    <t>ERPSMAKS500PRO</t>
  </si>
  <si>
    <t> E. DE ENERGIA MARSTERK S500PRO</t>
  </si>
  <si>
    <t>MARSTEK</t>
  </si>
  <si>
    <t>Estación de Energía Portátil Expandible MARSTEK SATURN Pro Series S500Pro[@@@]Energiz</t>
  </si>
  <si>
    <t>ERPSTE7201N</t>
  </si>
  <si>
    <t> PANEL SOLAR TEROS TE7201N 30W</t>
  </si>
  <si>
    <t>Panel solar portátil TEROS TE-7201N, 30 W[@@@]Aprovecha la energía solar con el Panel</t>
  </si>
  <si>
    <t>CDP CHICAGO DIGITAL POWER</t>
  </si>
  <si>
    <t>PSSTIE1042S</t>
  </si>
  <si>
    <t> ESTB 1KVA FASE SOLIDO FES-10</t>
  </si>
  <si>
    <t>ELISE</t>
  </si>
  <si>
    <t>Estabilizador de Voltaje Elise - Fase FES-10, Estado Sólido, Potencia: 1KVA = 1000VA[</t>
  </si>
  <si>
    <t>PSSTIE60</t>
  </si>
  <si>
    <t> ESTB 6KVA SOLIDO LCR60-4.5%</t>
  </si>
  <si>
    <t>Estabilizador ELISE - IEDA POWER SAFE LCR60-4.5%,Solido, Monofásico, 6.0KVA.[@@@]Tecn</t>
  </si>
  <si>
    <t>PSSTIELCR10K45</t>
  </si>
  <si>
    <t> EST MON IEDA 10KVA LCR10K-4.5%</t>
  </si>
  <si>
    <t>Estabilizador Elise Ieda Poder Safe LCR10K-4.5%, Solido, 10kVA, 220V, Bornes de salid</t>
  </si>
  <si>
    <t>PSTE7180N</t>
  </si>
  <si>
    <t> ESTABILIZAD TE7180N AVR-1200VA</t>
  </si>
  <si>
    <t>Estabilizador de voltaje TEROS TE-7180 AVR1200VA / 600W 184-276 VAC[@@@]Protege tus e</t>
  </si>
  <si>
    <t>PSTRANSFTAMF10</t>
  </si>
  <si>
    <t> TRANS AISL 1KVA IN220V/220V</t>
  </si>
  <si>
    <t>Transformador de aislamiento monofásico 1KVA</t>
  </si>
  <si>
    <t>PSTRANSFTAMF15</t>
  </si>
  <si>
    <t> TRAN AISLAM TAMF-15 IN220/220V</t>
  </si>
  <si>
    <t>Transformador de aislamiento monofásico 1.5KVA</t>
  </si>
  <si>
    <t>ZZTE7180M</t>
  </si>
  <si>
    <t>ACCFANIDIS40TX</t>
  </si>
  <si>
    <t> FAN-COOLER IS-40-XT BLACK</t>
  </si>
  <si>
    <t>ACCNCFANNHU12AC</t>
  </si>
  <si>
    <t> FAN-C NC NH-U12A CHROMAX.BLK</t>
  </si>
  <si>
    <t>Fan-Cooler Noctua NH-U12A chromax.black, Dual para CPU (120mm/Negro/22.6 dB)[@@@]El N</t>
  </si>
  <si>
    <t>ACCNCFANNHU12AP</t>
  </si>
  <si>
    <t> FAN-C NC NH-U12A PREMIUM</t>
  </si>
  <si>
    <t>Fan-Cooler Noctua NH-U12A NF-A12x25 PWM, Dual, Premium para CPU (120mm/Marron/22.6 dB</t>
  </si>
  <si>
    <t>ACCNCFANNHU14S</t>
  </si>
  <si>
    <t> FAN-C NC NH-U14S PREMIUM</t>
  </si>
  <si>
    <t>ACCPUTE8161N</t>
  </si>
  <si>
    <t> COOLER PARA CPU TE-8161N AIRE</t>
  </si>
  <si>
    <t>Cooler para procesador TEROS TE-8161N, Intel, TDP90W Máx, aire[@@@]Mantén tu equipo f</t>
  </si>
  <si>
    <t>ACCPUTE8166N</t>
  </si>
  <si>
    <t> COOLER PARA CPU TE-8166N AIRE</t>
  </si>
  <si>
    <t>Fan Cooler para procesador TEROS TE-8166N Intel yAMD TDP 200W Máx aire[@@@]Mantén tu</t>
  </si>
  <si>
    <t>GEEPC11C55801-2</t>
  </si>
  <si>
    <t> GARANTIA EXT. LQ-590 2 AÑOS</t>
  </si>
  <si>
    <t>GEEPSNEPPVPMLB1</t>
  </si>
  <si>
    <t> GE POWERLITE S, X, W SERIES</t>
  </si>
  <si>
    <t>GEHPU7A14E</t>
  </si>
  <si>
    <t> HP 3Y NBD + DMR LSRJT M725 MFP</t>
  </si>
  <si>
    <t>GARANTIA EXTENDIDA - HP 3Y NBD + DMR LSRJT M725 MFP[@@@]</t>
  </si>
  <si>
    <t>GEHPU8C89E</t>
  </si>
  <si>
    <t> HP CAREPACK 3 LASER JET M830</t>
  </si>
  <si>
    <t>GEHPU9BA7E</t>
  </si>
  <si>
    <t> SERVICIO HP AL SIGUIENTE DíA</t>
  </si>
  <si>
    <t>GEHPUM957E</t>
  </si>
  <si>
    <t> 3Y ADP PLUS RETURN TO DEPOT</t>
  </si>
  <si>
    <t>Garantía extendida HP UM957E, 3 años, Protección contra daños accidentales en Noteboo</t>
  </si>
  <si>
    <t>GELEN5PS0L30075</t>
  </si>
  <si>
    <t> GE LENOVO ACCIDENTAL DAMAGE PR</t>
  </si>
  <si>
    <t>GELEN5WS1S88528</t>
  </si>
  <si>
    <t> 3Y ONSITE PROD EXCHA UPG 3YB</t>
  </si>
  <si>
    <t>GESRVH8QV5E</t>
  </si>
  <si>
    <t> HPE 5Y FC 24X7 DL380 GEN10 SVC</t>
  </si>
  <si>
    <t>HP ENTERPRISE - SERVIDORES</t>
  </si>
  <si>
    <t>LICHPEHF9B4E</t>
  </si>
  <si>
    <t> ARUBA 3Y FC NBD EXCH HW 2930F</t>
  </si>
  <si>
    <t>HP ENTERPRISE - NETWORKING</t>
  </si>
  <si>
    <t>NWRKSUPZD12051Y</t>
  </si>
  <si>
    <t> PARTNERSUPPORT ZD1205(VIRTUAL)</t>
  </si>
  <si>
    <t>RUCKUS</t>
  </si>
  <si>
    <t>Licencia de Soporte Ruckus WatchDog Partner, paraZoneDirector 1205, 1 año.[@@@]</t>
  </si>
  <si>
    <t>SWHPBD707AAE</t>
  </si>
  <si>
    <t> VMW VSPHERE ESS 3YR E-LTU</t>
  </si>
  <si>
    <t>SWHPEH33BDE</t>
  </si>
  <si>
    <t> HPE 5Y TC ESS DL20 GEN10 PLUS</t>
  </si>
  <si>
    <t>SWHPEHC5N8E</t>
  </si>
  <si>
    <t> HPE 3 YEAR FOUNDATIONCARE DL20</t>
  </si>
  <si>
    <t>ZGEU10N3E</t>
  </si>
  <si>
    <t> 3 YRS NEXT BUSINESS DAY ONSITE</t>
  </si>
  <si>
    <t>ZZGEEPFX890-2</t>
  </si>
  <si>
    <t> EPSON GE FX-890 2 AÑOS</t>
  </si>
  <si>
    <t>GARANTIA EXT EP FX-890 24M</t>
  </si>
  <si>
    <t>ZZGEEPTMU220PA</t>
  </si>
  <si>
    <t> GARANTIA EXTEN TMU220PA</t>
  </si>
  <si>
    <t>GARANTIA EXTEN TMU220PA 1 ANO</t>
  </si>
  <si>
    <t>ZZGEHPH8QP7E</t>
  </si>
  <si>
    <t> HPE 3Y FC 24X7 DL380 GEN10 SVC</t>
  </si>
  <si>
    <t>ZZGEHPU4391E</t>
  </si>
  <si>
    <t> HP 3Y NEXTBUS ONSITE</t>
  </si>
  <si>
    <t>C-PACK PORTATIL NX7000 3-3-3</t>
  </si>
  <si>
    <t>ZZGEHPU4414E</t>
  </si>
  <si>
    <t> HP GE NOTEBOOK ONLY SVC 3YR</t>
  </si>
  <si>
    <t>C-PACK PORTATIL N610C 9-9-3</t>
  </si>
  <si>
    <t>ZZGEHPU4523E</t>
  </si>
  <si>
    <t> HPE STARTUP ML350(P) SVC</t>
  </si>
  <si>
    <t>C-PACK SERVIDOR ML350 HW INSTA</t>
  </si>
  <si>
    <t>ZZGEHPU4817E</t>
  </si>
  <si>
    <t> CPE 3Y RTNTODEPOT PAV/PRE NK</t>
  </si>
  <si>
    <t>CPE 3Y RTNTODEPOT PAV/PRE NK</t>
  </si>
  <si>
    <t>ZZGEHPU6G23E</t>
  </si>
  <si>
    <t> HP Startup ML310e Service</t>
  </si>
  <si>
    <t>ZZGEHPU7AL9E</t>
  </si>
  <si>
    <t> HP 3Y 24X7 DL360 GEN9 FC SVC</t>
  </si>
  <si>
    <t>HP 3 year 24x7 DL360 Gen9 Foundation Care Service[@@@]</t>
  </si>
  <si>
    <t>ZZGEHPU7AZ7E</t>
  </si>
  <si>
    <t> HP 3Y 24X7 DL160 GEN9 FC SVC</t>
  </si>
  <si>
    <t>HP 3 year 24x7 DL160 Gen9 Foundation Care Service[@@@]</t>
  </si>
  <si>
    <t>ZZGEHPUC807E</t>
  </si>
  <si>
    <t> HP 3y 9x5 Nbd On-Site PROMO NB</t>
  </si>
  <si>
    <t>HP 3y 9x5 Next business day On-Site PROMO Notebook Only SVC for Regular 1 year warran</t>
  </si>
  <si>
    <t>ZZGELEN72H9990</t>
  </si>
  <si>
    <t> 3Y INSITU 24X7X4 (MIDDLE SERV)</t>
  </si>
  <si>
    <t>LENOVO - SYSTEMX</t>
  </si>
  <si>
    <t>ACCEPELPFT01</t>
  </si>
  <si>
    <t> MóDULO TACTIL INTERACT ELPFT01</t>
  </si>
  <si>
    <t>ACCEPV13H010L68</t>
  </si>
  <si>
    <t> LÁMPARA POWERLITE CINEMA 3010+</t>
  </si>
  <si>
    <t>Lampara de reemplazo Epson ELPLP68, 230 W UHE, para Epson EH / ELP / PowerLite.[@@@]</t>
  </si>
  <si>
    <t>ACCTE9062W</t>
  </si>
  <si>
    <t> ECRAN MANUAL TE9062W</t>
  </si>
  <si>
    <t>Ecran TEROS TE-9062W, 1.92 x 1.92 mts, 1:1, 107" blanco mate[@@@]Mejora tus presentac</t>
  </si>
  <si>
    <t>MACEPV13H0L0L91</t>
  </si>
  <si>
    <t> LáMPARA DE REEMPLAZO ELPLP91</t>
  </si>
  <si>
    <t>MMACEP13H010L48</t>
  </si>
  <si>
    <t> LAMP EPSON PROY1716 V13H010L48</t>
  </si>
  <si>
    <t>Lampara EPSON ELPLP48 Replacement Projector, para proyectores EPSON PowerLite 1716/ 1</t>
  </si>
  <si>
    <t>ZZZMALETINPROY</t>
  </si>
  <si>
    <t> PROMOCIONAL MALETIN PROYECTOR</t>
  </si>
  <si>
    <t>MSEPDS770II</t>
  </si>
  <si>
    <t> ESCANER DE DOCUMENTOS DS-770II</t>
  </si>
  <si>
    <t>Escáner de documentos Epson DS-770 II USB 3.0 de alta velocidad, Sensor Optico Color</t>
  </si>
  <si>
    <t>MSEPDS970</t>
  </si>
  <si>
    <t> SCANNER EPSON DS-970</t>
  </si>
  <si>
    <t>Escáner para grupos de trabajo Epson DS-970 600dpi, 85 ppm / 170 ipm, USB 3.0 / 2.0[@</t>
  </si>
  <si>
    <t>SCEPB11B273201</t>
  </si>
  <si>
    <t> ESCANER EPSON DS-1730</t>
  </si>
  <si>
    <t>Escaner de documentos de cama plana a color EpsonDS-1730, Duplex , Interfaz: USB 2.0[</t>
  </si>
  <si>
    <t>MMV11HA08520</t>
  </si>
  <si>
    <t> POWER LITE 750F PROJECTOR</t>
  </si>
  <si>
    <t>Proyector Laser PowerLite EB-750F FHD 1080p, de tiro ultracorto con inalámbrico integ</t>
  </si>
  <si>
    <t>MMVDEL630SU</t>
  </si>
  <si>
    <t> PROYECTOR EPSON P.LITE L630SU</t>
  </si>
  <si>
    <t>Proyector Laser de corto alcance PowerLite L630SUFHD WUXGA, HDMIx2, VGAx2, LAN (RJ-45</t>
  </si>
  <si>
    <t>MMVDEPFH02</t>
  </si>
  <si>
    <t> PROY EPSON EPIQVISION FH02</t>
  </si>
  <si>
    <t>Proyector Portátil EpiqVision FH02 con Android TV, Smart, FHD 1080p de hasta 300", 3L</t>
  </si>
  <si>
    <t>MMVDEPFH54</t>
  </si>
  <si>
    <t> PROYECTOR POWERLITE EPSON FH54</t>
  </si>
  <si>
    <t>MMVDEPL210W</t>
  </si>
  <si>
    <t> PROYECTOR POWERLITE L210W</t>
  </si>
  <si>
    <t>Proyector Laser PowerLite L210W WXGA 3LCD, Wi-Fi,HDMI x2, Computer in x1, LAN (RJ-45)</t>
  </si>
  <si>
    <t>MMVDEPPEF21W</t>
  </si>
  <si>
    <t> PROYECTOR EF-21 WHITE</t>
  </si>
  <si>
    <t>Proyector Láser Pórtatil Smart Epson EpiqVision EF21, Color Blanco Diamante[@@@]Disfr</t>
  </si>
  <si>
    <t>MMVDEPPL118</t>
  </si>
  <si>
    <t> PROY. POWERLITE 118 3LCD XGA</t>
  </si>
  <si>
    <t>Proyector PowerLite 118 3LCD XGA, HDMI x2, VGA x2, LAN (RJ-45), USB[@@@]Sistema de pr</t>
  </si>
  <si>
    <t>MMVDEPPWE24</t>
  </si>
  <si>
    <t> PROYECTOR POWERLITE E24</t>
  </si>
  <si>
    <t>MMVDEPW55</t>
  </si>
  <si>
    <t> PROYECTOR POWERLITE W55+</t>
  </si>
  <si>
    <t>MMVDEPX49</t>
  </si>
  <si>
    <t> PROYECTOR PL X49 3LCD XGA</t>
  </si>
  <si>
    <t>Proyector Epson PowerLite X49, 3600 Lúmenes, 1024x768, XGA, Parlante Monoaural: 5W x</t>
  </si>
  <si>
    <t>PREPSCT3170M</t>
  </si>
  <si>
    <t> IMP EPSON SURECOLOR T3170M</t>
  </si>
  <si>
    <t>PRCR2009241</t>
  </si>
  <si>
    <t> PRENSA DE CALOR PARA GORRAS</t>
  </si>
  <si>
    <t>CRICUT</t>
  </si>
  <si>
    <t>Cricut | Prensa de Calor para Gorras Hat Press[@@@]</t>
  </si>
  <si>
    <t>PREPLQ2090II</t>
  </si>
  <si>
    <t> IMP EPSON LQ-2090II</t>
  </si>
  <si>
    <t>Impresora matricial Epson LQ-2090II, matriz de 24pines, Paralelo / USB 2.0.[@@@]Impre</t>
  </si>
  <si>
    <t>PREHPMFP3303FDW</t>
  </si>
  <si>
    <t> COLOR LASERJET PRO MFP 3303FDW</t>
  </si>
  <si>
    <t>Impresora HP Color LaserJet Pro MFP 3303fdw (Imprime/Escanea/Copia/Fax), USB 2.0/LAN/</t>
  </si>
  <si>
    <t>PRHP111W</t>
  </si>
  <si>
    <t> HP LASER 111W PRINTER</t>
  </si>
  <si>
    <t>Impresora HP LaserJet Monocromatica M111w, Imprime/Wi-Fi/Wi-Fi Direct/Bluetooth/USB 2</t>
  </si>
  <si>
    <t>PRHPLPM501</t>
  </si>
  <si>
    <t> HP LASERJET PRO M501DN PRINTER</t>
  </si>
  <si>
    <t>Impresora HP LaserJet Pro M501dn, 45 ppm, 4800x600 dpi, LAN/USB.[@@@]Solo imprime en</t>
  </si>
  <si>
    <t>PRHPLJMFP4103FD</t>
  </si>
  <si>
    <t> PRINT LASERJET PRO HP 4103FDW</t>
  </si>
  <si>
    <t>Impresora Monocromatica HP LaserJet Pro MFP 4103fdw, Imprime/Copia/Escanea/Fax/USB 2.</t>
  </si>
  <si>
    <t>PRHPLM432FDN</t>
  </si>
  <si>
    <t> HP LASER MULTIFUNCIÓN 432FDN</t>
  </si>
  <si>
    <t>Impresora Monocromatica multifunción HP Laser 432fdn, (1200 x 1200 dpi), USB 2.0, Eth</t>
  </si>
  <si>
    <t>PREPEM-C8100</t>
  </si>
  <si>
    <t> IMPRESORA MULTIFUNCIONAL WORKF</t>
  </si>
  <si>
    <t>Multifuncional de tinta Epson WorkForce Pro EM-C8100, Imprime/Escanea/Copia/Fax/LAN/W</t>
  </si>
  <si>
    <t>ZZPRHPAIOA9J40A</t>
  </si>
  <si>
    <t> IMP HP ENVY 5530 WIRELESS AIO</t>
  </si>
  <si>
    <t>BIDC31CG62054</t>
  </si>
  <si>
    <t> EPSON TM-H6000V MULTIFUN POS</t>
  </si>
  <si>
    <t>Impresora EPSON TM-H6000V multifunción de recibospara el sector financiero y minorist</t>
  </si>
  <si>
    <t>PRADV7011N</t>
  </si>
  <si>
    <t> TERMICA USB+BT 90 MM/S</t>
  </si>
  <si>
    <t>Impresora termica Inalámbrica Advance ADV-7011, velocidad de impresion 90 mm/seg[@@@]</t>
  </si>
  <si>
    <t>PRADV8010NOP</t>
  </si>
  <si>
    <t> TERMICA USB+LAN 300 MM/S</t>
  </si>
  <si>
    <t>PRADV8011N</t>
  </si>
  <si>
    <t>Impresora térmica ADV-8011N Advance, 300mm/s, 203DPI[@@@]Impresora térmica ADV-8011N</t>
  </si>
  <si>
    <t>PRADV9010NOP</t>
  </si>
  <si>
    <t> PR IMPRESORA DE ETIQUETAS 80MM</t>
  </si>
  <si>
    <t>PRADV9026N</t>
  </si>
  <si>
    <t> IMPRESORA TéRMICA DUAL 80 MM</t>
  </si>
  <si>
    <t>PRC31CL26042AD</t>
  </si>
  <si>
    <t> TM-U220IIA USB</t>
  </si>
  <si>
    <t>PREPCW-C6500AU</t>
  </si>
  <si>
    <t> IMP DE ETIQUETAS CW-C6500AU</t>
  </si>
  <si>
    <t>Impresora de Inyección de tinta a color ColorWorks CW-C6500A con Cortador Automático.</t>
  </si>
  <si>
    <t>PREPTC31CL45001</t>
  </si>
  <si>
    <t> IMP TERMICA TM-T20IVL</t>
  </si>
  <si>
    <t>Impresora termica Epson TM-T20IVL, Interfaz: USB+Serial (RS-232C)[@@@]La impresora té</t>
  </si>
  <si>
    <t>PREPTC31CL47022</t>
  </si>
  <si>
    <t> TM-T20IV USB+SERIAL+ETHERNET</t>
  </si>
  <si>
    <t>Impresora termica Epson TM-T20IV-SP, Interfaz: USB+Ethernet+Serial (RS-232C)[@@@]La E</t>
  </si>
  <si>
    <t>PREPTM-T88VII</t>
  </si>
  <si>
    <t> IMPRESORA TERMICA TM-T88VII</t>
  </si>
  <si>
    <t>Impresora Térmica Epson TM-T88VII, Interfaz: USB integrado + Ethernet integrado+Seria</t>
  </si>
  <si>
    <t>PREPTM-U295-272</t>
  </si>
  <si>
    <t> IMPRESORA TERMICA TM-U295-272</t>
  </si>
  <si>
    <t>Impresora termica Epson TM-U295-272, Interfaz: Serial (RS-232C)[@@@]Una impresora de</t>
  </si>
  <si>
    <t>PTEC31CL45002</t>
  </si>
  <si>
    <t> TM-T20VL-002: RED</t>
  </si>
  <si>
    <t>ACCADV5421BK</t>
  </si>
  <si>
    <t> ACC CAJA DE DINERO C/RJ11</t>
  </si>
  <si>
    <t>Caja para efectivo Advance ADV-5421, 4 ranuras, RJ11, Negro[@@@]Organizte de manera s</t>
  </si>
  <si>
    <t>ACCADV6406BK</t>
  </si>
  <si>
    <t> CAJERO 8 SLOTS C/RJ11</t>
  </si>
  <si>
    <t>Caja para efectivo Advance ADV-6406, 5 ranuras, RJ11, Negro[@@@]Mantén el control de</t>
  </si>
  <si>
    <t>ACCADVTP7011N</t>
  </si>
  <si>
    <t> PAPEL TERMICO 70GR (5 ROLLOS)</t>
  </si>
  <si>
    <t>ACCADVTP8010N1</t>
  </si>
  <si>
    <t>ACCADVTP8011N</t>
  </si>
  <si>
    <t>ACCEPC33S021601</t>
  </si>
  <si>
    <t> MAINTENANCE BOX FOR C4000</t>
  </si>
  <si>
    <t>ACPRHPCF338A</t>
  </si>
  <si>
    <t> HP LASERJET MFP M525 CABINET</t>
  </si>
  <si>
    <t>Gabinete para HP LaserJet M525 MFP (CF338A)[@@@]Compatible con HP LaserJet Enterprise</t>
  </si>
  <si>
    <t>BIDC825343</t>
  </si>
  <si>
    <t> ADAPTADOR DE PODER PS-180-343</t>
  </si>
  <si>
    <t>PRACCABLEUSB2</t>
  </si>
  <si>
    <t> CABLE USB 2.0 PARA IMPRESORA</t>
  </si>
  <si>
    <t>Cable USB 2.0 Para Impresora</t>
  </si>
  <si>
    <t>PRACHPQ7549A</t>
  </si>
  <si>
    <t> HP AUTO DUPLEX FOR LJ 5200</t>
  </si>
  <si>
    <t>Unidades de impresión a doble cara HP (Q7549A)- Para LaserJet serie 5200 // Multifun</t>
  </si>
  <si>
    <t>STEPC33S020580</t>
  </si>
  <si>
    <t> CAJA DE MANT TM-C3500</t>
  </si>
  <si>
    <t>STEPC33S021501</t>
  </si>
  <si>
    <t> TANQUE DE MANT. SJMB6000/6500</t>
  </si>
  <si>
    <t>DNVAH064</t>
  </si>
  <si>
    <t> SERVER HOUSING 64K</t>
  </si>
  <si>
    <t>DELTRON PC</t>
  </si>
  <si>
    <t>SWKL4541DDEFS</t>
  </si>
  <si>
    <t> SMALL OFFICE 5PC+1SERVIDOR 1ÑO</t>
  </si>
  <si>
    <t>KASPERSKY</t>
  </si>
  <si>
    <t>Software Kaspersky Small Office Security, para 5 PCs+1 Serv, Lic 1 año, Producto Virt</t>
  </si>
  <si>
    <t>SWKL4541DDKFS</t>
  </si>
  <si>
    <t> SMALL OFFICE 10PC+1SERV 1AÑO</t>
  </si>
  <si>
    <t>Software Kaspersky Small Office Security, para 10PCs+1 Serv, Lic 1 año, Producto Virt</t>
  </si>
  <si>
    <t>SWKL4541DDMFS</t>
  </si>
  <si>
    <t> KASPERSKY SMALL OFFICE SEC 15P</t>
  </si>
  <si>
    <t>Software Kaspersky Small Office Security, para 15PCs, Licencia 1 año, Producto Virtua</t>
  </si>
  <si>
    <t>SWKL4541DDNFS</t>
  </si>
  <si>
    <t> KASPERSKY SMALL OFFICE SEC 20P</t>
  </si>
  <si>
    <t>Software Kaspersky Small Office Security, para 20PCs, Licencia 1 año, Producto Virtua</t>
  </si>
  <si>
    <t>SWKL4541DDPFS</t>
  </si>
  <si>
    <t> KASPERSKY SMALL OFFICE SEC 25P</t>
  </si>
  <si>
    <t>Software Kaspersky Small Office Security, para 25PCs, Licencia 1 año, Producto Virtua</t>
  </si>
  <si>
    <t>SWKL4541DDQFS</t>
  </si>
  <si>
    <t> KASPERSKY SMALL OFFICE SEC 50P</t>
  </si>
  <si>
    <t>Software Kaspersky Small Office Security, para 50PCs, Licencia 1 año, Producto Virtua</t>
  </si>
  <si>
    <t>SWKL1041DDAFS1</t>
  </si>
  <si>
    <t> KASPERSKY STANDARD LATAM 1-DVC</t>
  </si>
  <si>
    <t>Antivirus Kaspersky Standard, para 1 PC, Lic 1 año, Producto Virtual.[@@@]</t>
  </si>
  <si>
    <t>SWKL1041DDAFS9</t>
  </si>
  <si>
    <t>SWKL1041DDCFS1</t>
  </si>
  <si>
    <t> KASPERSKY STANDARD LATAM 3-DVC</t>
  </si>
  <si>
    <t>Antivirus Kaspersky Standard, para 3 PCs, Lic 1 año, Producto Virtual.[@@@]</t>
  </si>
  <si>
    <t>SWKL1041DDEFS1</t>
  </si>
  <si>
    <t> KASPERSKY STANDARD LATAM 5-DVC</t>
  </si>
  <si>
    <t>Antivirus Kaspersky Standard, para 5 PCs, Lic 1 año, Producto Virtual.[@@@]</t>
  </si>
  <si>
    <t>SWKL1041DDKFS1</t>
  </si>
  <si>
    <t> KASPERSKY STANDARD LATAM 10DVC</t>
  </si>
  <si>
    <t>Antivirus Kaspersky Standard, para 10 PCs, Lic 1 año, Producto Virtual.[@@@]</t>
  </si>
  <si>
    <t>SWKL1042DDAFS1</t>
  </si>
  <si>
    <t> KASPERSKY PLUS LATAM 1-DVC</t>
  </si>
  <si>
    <t>Antivirus Kaspersky Plus, para 1 PC, Lic 1 año, Producto Virtual.[@@@]</t>
  </si>
  <si>
    <t>SWKL1042DDCFS1</t>
  </si>
  <si>
    <t> KASPERSKY PLUS LATAM 3-DVC</t>
  </si>
  <si>
    <t>Antivirus Kaspersky Plus, para 3 PCs, Lic 1 año, Producto Virtual.[@@@]</t>
  </si>
  <si>
    <t>SWKL1042DDEFS1</t>
  </si>
  <si>
    <t> KASPERSKY PLUS LATAM 5-DVC</t>
  </si>
  <si>
    <t>Antivirus Kaspersky Plus, para 5 PCs, Lic 1 año, Producto Virtual.[@@@]</t>
  </si>
  <si>
    <t>SWKL1042DDKFS1</t>
  </si>
  <si>
    <t> KASPERSKY PLUS LATAM 10-DVC</t>
  </si>
  <si>
    <t>Antivirus Kaspersky Plus, para 10 PCs, Lic 1 año,Producto Virtual.[@@@]</t>
  </si>
  <si>
    <t>SWKL1047DDCFS1</t>
  </si>
  <si>
    <t> KASPERSKY PREMIUM CUSTOMER 3DV</t>
  </si>
  <si>
    <t>Antivirus Kaspersky Premium, para 3 PCs, Lic 1 año, Producto Virtual.[@@@]</t>
  </si>
  <si>
    <t>SWKL1047DDEFS</t>
  </si>
  <si>
    <t> KASPERSKY PREMIUM 5PC 1AñO</t>
  </si>
  <si>
    <t>Antivirus Kaspersky Premium, para 5 PCs, Lic 1 año, Producto Virtual.[@@@]</t>
  </si>
  <si>
    <t>SWKL1987DDEFS</t>
  </si>
  <si>
    <t> KSEC2 LATAM 5-DVC 1-USER 1Y</t>
  </si>
  <si>
    <t>SWKL4541DDEFR</t>
  </si>
  <si>
    <t> KASPERSKY SMALL OFFICE SECURIT</t>
  </si>
  <si>
    <t>ZZKL1042DDEFS</t>
  </si>
  <si>
    <t> KASPERSKY PLUS 2022 5_DEVICE</t>
  </si>
  <si>
    <t>MICROSOFT OEM</t>
  </si>
  <si>
    <t>ZZLENKL1041DDAF</t>
  </si>
  <si>
    <t> KASPERSKY STANDAR 1PC 1Y (LEN)</t>
  </si>
  <si>
    <t>ZZZKL4541DDEFS</t>
  </si>
  <si>
    <t> KSP SMALL OFFICE 1Y 5PC 1SRV</t>
  </si>
  <si>
    <t>ACCCR2003546</t>
  </si>
  <si>
    <t> CR PACK MATS FOR CUTTER</t>
  </si>
  <si>
    <t>ACCCR2003919</t>
  </si>
  <si>
    <t> CRICUT KNIFE BLADE REPLACEMENT</t>
  </si>
  <si>
    <t>ACCPR2007120</t>
  </si>
  <si>
    <t> CRICUT JOY SMART PERMANENT VIN</t>
  </si>
  <si>
    <t>Cricut | Vinilo Permanente Smart | Muestrario Elegancia | 13.9cm x 30.4cm[@@@]</t>
  </si>
  <si>
    <t>ACCPR2007145</t>
  </si>
  <si>
    <t> CRICUT JOY SMART PERMANENT SHI</t>
  </si>
  <si>
    <t>Cricut | Vinilo Permanente Smart Shimmer | Color Dorado | 13.9cm x 1.21m[@@@]</t>
  </si>
  <si>
    <t>ACCPR2007353</t>
  </si>
  <si>
    <t>Cricut | Vinilo Permanente Smart | Color Blanco |Rollo de Mejor Valor 13.9cm x 3m[@@@</t>
  </si>
  <si>
    <t>ACCPR2007809</t>
  </si>
  <si>
    <t> CRICUT JOY CARD MAT 4.5X6.25IN</t>
  </si>
  <si>
    <t>Cricut | Tapete para Tarjetas | 11.4cm x 15.8cm |Compatible con Cricut Joy[@@@]</t>
  </si>
  <si>
    <t>ACCPR2008743</t>
  </si>
  <si>
    <t> KIT DE HERRAMIENTAS CRICUT DTC</t>
  </si>
  <si>
    <t>Cricut | Paquete de Materiales Esenciales[@@@]</t>
  </si>
  <si>
    <t>ACCPR2009056</t>
  </si>
  <si>
    <t> CRICUT JOY FOIL TRANSFER KIT</t>
  </si>
  <si>
    <t>Cricut | Kit de Transferencia para Foil | Compatible con Cricut Joy[@@@]</t>
  </si>
  <si>
    <t>ACCPR2010042</t>
  </si>
  <si>
    <t> CRICUT JOY SMART LABEL WRITABL</t>
  </si>
  <si>
    <t>Cricut | Vinilo Permanente Escribible Smart Label| Color Plateado | 13.9cm x 33cm[@@@</t>
  </si>
  <si>
    <t>MBARB760MCD4BLK</t>
  </si>
  <si>
    <t> MB AR B760M-C/D4 DDR4 BULK OEM</t>
  </si>
  <si>
    <t>Motherboard ASROCK B760M-C/D4, Chipset Intel B760, LGA1700, mATX[@@@]Soporta Procesad</t>
  </si>
  <si>
    <t>MBASH610MFD4R20</t>
  </si>
  <si>
    <t> MB AS H610M-F S/V/L DDR4 R2.0</t>
  </si>
  <si>
    <t>Motherboard ASUS PRIME H610M-F D4 R2.0, Chipset Intel H610, LGA1700, micro-ATX[@@@]So</t>
  </si>
  <si>
    <t>MBGBB760MD3HPD4</t>
  </si>
  <si>
    <t> MB GB B760M D3HP S/V/L DDR4</t>
  </si>
  <si>
    <t>Motherboard Gigabyte B760M D3HP DDR4, Chipset Intel B760, LGA1700, mATX[@@@]Soporta P</t>
  </si>
  <si>
    <t>MBGBB760MHD4</t>
  </si>
  <si>
    <t> MB GB B760M H S/V/L DDR4</t>
  </si>
  <si>
    <t>Motherboard Gigabyte B760M H DDR4, Chipset Intel B760, LGA1700, mATX[@@@]Soporta Proc</t>
  </si>
  <si>
    <t>MBGBB760MKV2D4</t>
  </si>
  <si>
    <t> MB GB B760M K V2 S/V/L DDR4</t>
  </si>
  <si>
    <t>Motherboard Gigabyte B760M K V2 DDR4, Chipset Intel B760, LGA1700, mATX[@@@]Soporta P</t>
  </si>
  <si>
    <t>MBGBH610MKD4</t>
  </si>
  <si>
    <t> MB GB H610M-K S/V/L DDR4</t>
  </si>
  <si>
    <t>Motherboard Gigabyte H610M K DDR4 (rev. 1.0) Chipset Intel H610, LGA1700, Micro ATX[@</t>
  </si>
  <si>
    <t>MBMSB760M-ED4</t>
  </si>
  <si>
    <t> MB MS PRO B760M-E S/V/L DDR4</t>
  </si>
  <si>
    <t>Motherboard MSI PRO PRO B760M-E DDR4, Chipset Intel B760, LGA1700, HDMI, VGA, mATX.[@</t>
  </si>
  <si>
    <t>MBMSH610M-ADDR4</t>
  </si>
  <si>
    <t> MB MS PRO H610M-A S/V/L DDR4</t>
  </si>
  <si>
    <t>Motherboard MSI PRO H610M-A DDR4, Chipset Intel H610, LGA1700, mATX[@@@]Soporta Proce</t>
  </si>
  <si>
    <t>MBMSH610M-SDDR4</t>
  </si>
  <si>
    <t> MB MS H610M-S S/V/L DDR4</t>
  </si>
  <si>
    <t>Motherboard MSI PRO H610M-S DDR4, Chipset Intel H610, LGA1700, mATX[@@@]Soporta Proce</t>
  </si>
  <si>
    <t>MBASB760M-A</t>
  </si>
  <si>
    <t> MB AS PRIME B760M-A S/V/L DDR5</t>
  </si>
  <si>
    <t>Motherboard ASUS PRIME B760M-A Chipset Intel B760, LGA1700, Micro ATX[@@@]Soporta Pro</t>
  </si>
  <si>
    <t>MBASH610M-KD5</t>
  </si>
  <si>
    <t> MB AS H610M-K S/V/L DDR5</t>
  </si>
  <si>
    <t>Motherboard ASUS PRIME H610M-K, Chipset Intel H610, LGA1700, Micro ATX[@@@]Soporta Pr</t>
  </si>
  <si>
    <t>MBGBB760DS3HWFG</t>
  </si>
  <si>
    <t> MB GB B760M DS3H WF6E GEN5 DR5</t>
  </si>
  <si>
    <t>MBGBB760MD3HPD5</t>
  </si>
  <si>
    <t> MB GB B760M D3HP S/V/L DDR5</t>
  </si>
  <si>
    <t>Motherboard Gigabyte B760M D3HP, Chipset Intel B760, LGA1700, Micro ATX[@@@]Soporta P</t>
  </si>
  <si>
    <t>MBGBB760MDS3HG5</t>
  </si>
  <si>
    <t> MB GB B760M DS3H GEN5 DDR5</t>
  </si>
  <si>
    <t>Motherboard Gigabyte B760M DS3H GEN5, Chipset Intel B760, LGA1700, mATX[@@@]Soporta P</t>
  </si>
  <si>
    <t>MBGBB760MED5</t>
  </si>
  <si>
    <t> MB GB B760M E S/V/L DDR5</t>
  </si>
  <si>
    <t>Motherboard Gigabyte B760M E (rev. 1.0) Chipset Intel B760, LGA1700, Micro ATX[@@@]So</t>
  </si>
  <si>
    <t>MBGBH610MKV2D5</t>
  </si>
  <si>
    <t> MB GB H610M K V2 S/V/L DDR5</t>
  </si>
  <si>
    <t>Motherboard Gigabyte H610M K V2, Chipset Intel H610, LGA1700, Micro ATX[@@@]Soporta P</t>
  </si>
  <si>
    <t>MBMSB760M-E</t>
  </si>
  <si>
    <t> MB MS PRO B760M-E S/V/L DDR5</t>
  </si>
  <si>
    <t>Motherboard MSI PRO B760M-E, Chipset Intel B760, LGA1700, HDMI, VGA, mATX[@@@]Soporta</t>
  </si>
  <si>
    <t>MBASB760MPLWF2</t>
  </si>
  <si>
    <t> MB AS TUF GAMING B760M-PLUS WF</t>
  </si>
  <si>
    <t>Motherboard ASUS TUF GAMING B760M-PLUS WIFI II, Chipset Intel B760, LGA1700, ATX[@@@]</t>
  </si>
  <si>
    <t>MBASB760TFGMPWF</t>
  </si>
  <si>
    <t> MB AS TUF GMG B760-PLUS WF DR5</t>
  </si>
  <si>
    <t>Motherboard ASUS TUF GAMING B760-PLUS WIFI, Chipset Intel B760, LGA1700, ATX[@@@]Sopo</t>
  </si>
  <si>
    <t>MBGBB860MAEWF6E</t>
  </si>
  <si>
    <t> MB GB B860M A ELITE WIFI6E DR5</t>
  </si>
  <si>
    <t>Motherboard GIGABYTE B860M AORUS ELITE WIFI6E, Chipset Intel B860, LGA1851, HDMI, DP,</t>
  </si>
  <si>
    <t>MBGBZ790AOELTAX</t>
  </si>
  <si>
    <t> MB GB Z790 AORUS ELITE AX DDR5</t>
  </si>
  <si>
    <t>Motherboard Gigabyte Z790 AORUS ELITE AX (rev. 1.0), Chipset Intel Z790, LGA1700, ATX</t>
  </si>
  <si>
    <t>MBGBZ790MAELAXI</t>
  </si>
  <si>
    <t> MB GB Z790M A ELITE AX ICE DR5</t>
  </si>
  <si>
    <t>Motherboard Gigabyte Z790M AORUS ELITE AX ICE, Chipset Intel Z790, LGA1700, mATX[@@@]</t>
  </si>
  <si>
    <t>MBARB860M-H2</t>
  </si>
  <si>
    <t> MB AR B860M-H2 S/V/L DDR5</t>
  </si>
  <si>
    <t>Motherboard ASROCK B860M-H2, Chipset Intel B860, LGA 1851, 2xHDMI, mATX[@@@]Soporta P</t>
  </si>
  <si>
    <t>MBARB860MPRATPM</t>
  </si>
  <si>
    <t> MB AR B860M PRO-A/TPM SVL DDR5</t>
  </si>
  <si>
    <t>MBARB860MXG5WF</t>
  </si>
  <si>
    <t> MB AR B860M-X GEN5 WIFI DDR5</t>
  </si>
  <si>
    <t>MBARH810M-X</t>
  </si>
  <si>
    <t> MB AR H810M-X S/V/L DDR5</t>
  </si>
  <si>
    <t>Motherboard ASROCK H810M-X, Chipset Intel H810, LGA 1851, 1xVGA, 1xHDMI, 1xDP, mATX[@</t>
  </si>
  <si>
    <t>MBASPRH810M-E</t>
  </si>
  <si>
    <t> MB AS PRIME H810M-E S/V/L DDR5</t>
  </si>
  <si>
    <t>Motherboard ASUS PRIME H810M-E, Chipset Intel H810, LGA 1851, mATX[@@@]Soporta Proces</t>
  </si>
  <si>
    <t>MBASZ890-PWIFI</t>
  </si>
  <si>
    <t> MB AS PRIME Z890-P WIFI DDR5</t>
  </si>
  <si>
    <t>Motherboard ASUS PRIME Z890-P WIFI, Chipset IntelZ890, LGA 1851, HDMI, DP, ATX[@@@]So</t>
  </si>
  <si>
    <t>MBGBB860DS3H</t>
  </si>
  <si>
    <t> MB GB B860M DS3H S/V/L DDR5</t>
  </si>
  <si>
    <t>Motherboard GIGABYTE B860M DS3H, Chipset Intel B860, LGA 1851, 1 x HDMI, 2 x DP, mATX</t>
  </si>
  <si>
    <t>MBGBB860ME</t>
  </si>
  <si>
    <t> MB GB B860M E S/V/L DDR5</t>
  </si>
  <si>
    <t>Motherboard GIGABYTE B860M E, Chipset Intel B860,LGA 1851, HDMI, DP, mATX[@@@]Soporta</t>
  </si>
  <si>
    <t>MBGBB860MK</t>
  </si>
  <si>
    <t> MB GB B860M K S/V/L DDR5</t>
  </si>
  <si>
    <t>Motherboard GIGABYTE B860M K, Chipset Intel B860,LGA 1851, HDMI, mATX[@@@]Soporta Pro</t>
  </si>
  <si>
    <t>MBGBH810MK</t>
  </si>
  <si>
    <t> MB GB H810M K S/V/L DDR5</t>
  </si>
  <si>
    <t>Motherboard GIGABYTE H810M K, Chipset Intel H810,LGA 1851, micro-ATX[@@@]Soporta Proc</t>
  </si>
  <si>
    <t>MBGBZ890AXAITOP</t>
  </si>
  <si>
    <t> MB GB Z890 A XTREME AI TOP DR5</t>
  </si>
  <si>
    <t>MBGBZ890UDWF6E</t>
  </si>
  <si>
    <t> MB GB Z890 UD WIFI6E DDR5</t>
  </si>
  <si>
    <t>Motherboard GIGABYTE Z890 UD WIFI6E, Chipset Intel Z890, LGA 1851, DP, ATX[@@@]Soport</t>
  </si>
  <si>
    <t>MBMSB860M-EPRO</t>
  </si>
  <si>
    <t> MB MS PRO B860M-E S/V/L DDR5</t>
  </si>
  <si>
    <t>MBMSH810M-BPRO</t>
  </si>
  <si>
    <t> MB MS PRO H810M-B S/V/L DDR5</t>
  </si>
  <si>
    <t>Motherboard MSI PRO H810M-B, Chipset Intel H810, LGA 1851, HDMI, DP, mATX[@@@]Soporta</t>
  </si>
  <si>
    <t>MBMSH810M-EPRO</t>
  </si>
  <si>
    <t> MB MS PRO H810M-E S/V/L DDR5</t>
  </si>
  <si>
    <t>MBARB860CHALWFW</t>
  </si>
  <si>
    <t> MB AR B860 CHALLENGER WIFI WHI</t>
  </si>
  <si>
    <t>MBARZ890NOVAWF</t>
  </si>
  <si>
    <t> MB AR Z890 NOVA WIFI DDR5</t>
  </si>
  <si>
    <t>Motherboard ASROCK Z890 Nova WiFi, Chipset Intel Z890, LGA 1851, HDMI, ATX[@@@]Soport</t>
  </si>
  <si>
    <t>MBARZ890PRORSWF</t>
  </si>
  <si>
    <t> MB AR Z890 PRO RS WIFI</t>
  </si>
  <si>
    <t>Motherboard ASROCK Z890 Pro RS WiFi, Chipset Intel Z890, LGA 1851, HDMI, DP, ATX[@@@]</t>
  </si>
  <si>
    <t>MBARZ890TAICHI</t>
  </si>
  <si>
    <t> MB AR Z890 TAICHI S/V/L DDR5</t>
  </si>
  <si>
    <t>MBASB860-AGMGWF</t>
  </si>
  <si>
    <t> MB AS STRIX B860-A GAMING WIFI</t>
  </si>
  <si>
    <t>Motherboard ASUS ROG STRIX B860-A GAMING WIFI, Chipset Intel B860, LGA 1851, HDMI, DP</t>
  </si>
  <si>
    <t>MBASB860-FGMGWF</t>
  </si>
  <si>
    <t> MB AS STRIX B860-F GAMING WIFI</t>
  </si>
  <si>
    <t>Motherboard ASUS ROG STRIX B860-F GAMING WIFI, Chipset Intel B860, LGA 1851, HDMI, DP</t>
  </si>
  <si>
    <t>MBASMAXZ890HERO</t>
  </si>
  <si>
    <t> MB AS ROG MAXIMUS Z890 HERO D5</t>
  </si>
  <si>
    <t>Motherboard ASUS ROG MAXIMUS Z890 HERO, Chipset Intel Z890, LGA 1851, HDMI, ATX[@@@]S</t>
  </si>
  <si>
    <t>MBASZ890-EGMGWF</t>
  </si>
  <si>
    <t> MB AS STRIX Z890-E GAMING WIFI</t>
  </si>
  <si>
    <t>Motherboard ASUS ROG STRIX Z890-E GAMING WIFI, Chipset Intel Z890, LGA 1851, HDMI, DP</t>
  </si>
  <si>
    <t> MB AS STRIX Z890-F GAMING WIFI</t>
  </si>
  <si>
    <t>Motherboard ASUS ROG STRIX Z890-F GAMING WIFI, Chipset Intel Z890, LGA 1851, HDMI, DP</t>
  </si>
  <si>
    <t>MBASZ890-FGMGWF</t>
  </si>
  <si>
    <t>MBASZ890PLWIFI</t>
  </si>
  <si>
    <t> MB AS TUF GAMING Z890 PLUS WF</t>
  </si>
  <si>
    <t>Motherboard ASUS TUF GAMING Z890-PLUS WIFI, Chipset Intel Z890, LGA 1851, HDMI, DP, A</t>
  </si>
  <si>
    <t>MBGBZ890AELWF7</t>
  </si>
  <si>
    <t> MB GB Z890 A ELITE WIFI7 DDR5</t>
  </si>
  <si>
    <t>Motherboard GIGABYTE Z890 AORUS ELITE WIFI7, Chipset Intel Z890, LGA 1851, ATX[@@@]So</t>
  </si>
  <si>
    <t>MBGBZ890AEROG</t>
  </si>
  <si>
    <t> MB GB Z890 AERO G DDR5</t>
  </si>
  <si>
    <t>Motherboard GIGABYTE Z890 AERO G, Chipset Intel Z890, LGA 1851, HDMI, ATX[@@@]Soporta</t>
  </si>
  <si>
    <t>MBGBZ890AEWF7I</t>
  </si>
  <si>
    <t> MB GB Z890 A ELITE WF7 ICE DR5</t>
  </si>
  <si>
    <t>MBGBZ890AORMSTR</t>
  </si>
  <si>
    <t> MB GB Z890 AORUS MASTER DDR5</t>
  </si>
  <si>
    <t>Motherboard GIGABYTE Z890 AORUS MASTER, Chipset Intel Z890, LGA 1851, ATX[@@@]Soporta</t>
  </si>
  <si>
    <t>MBGBZ890APROICE</t>
  </si>
  <si>
    <t> MB GB Z890 AORUS PRO ICE DDR5</t>
  </si>
  <si>
    <t>Motherboard GIGABYTE Z890 AORUS PRO ICE, Chipset Intel Z890, LGA 1851, mATX[@@@]Sopor</t>
  </si>
  <si>
    <t>MBGBZ890EAGWF7</t>
  </si>
  <si>
    <t> MB GB Z890 EAGLE WIFI7 DDR5</t>
  </si>
  <si>
    <t>Motherboard GIGABYTE Z890 EAGLE WIFI7, Chipset Intel Z890, LGA 1851, DP, ATX[@@@]Sopo</t>
  </si>
  <si>
    <t>MBGBZ890MAEWF7</t>
  </si>
  <si>
    <t> MB GB Z890M A ELITE WIFI7 DDR5</t>
  </si>
  <si>
    <t>Motherboard GIGABYTE Z890M AORUS ELITE WIFI7, Chipset Intel Z890, LGA 1851, mATX[@@@]</t>
  </si>
  <si>
    <t>MBGBZ890MTAITOP</t>
  </si>
  <si>
    <t> MB GB Z890 A MASTER AI TOP DR5</t>
  </si>
  <si>
    <t>MBARB450MHDVR4</t>
  </si>
  <si>
    <t> MB AR B450M-HDV S/V/L DDR4</t>
  </si>
  <si>
    <t>Motherboard ASROCK B450M-HDV R4.0, Chipset AMD B450, Socket AMD AM4, mATX[@@@]Soporta</t>
  </si>
  <si>
    <t>MBASA520M-K</t>
  </si>
  <si>
    <t> MB AS PRIME A520M-K SVL DDR4</t>
  </si>
  <si>
    <t>Motherboard ASUS PRIME A520M-K, Chipset AMD A520,Socket AMD AM4, Micro ATX[@@@]Soport</t>
  </si>
  <si>
    <t>MBASA520M-KCSM</t>
  </si>
  <si>
    <t> MB AS A520M-K/CSM S/V/L DDR4</t>
  </si>
  <si>
    <t>Motherboard ASUS PRIME A520M-K/CSM, Chipset AMD A520, Socket AMD AM4, mATX[@@@]Soport</t>
  </si>
  <si>
    <t>MBASB550M-AAC</t>
  </si>
  <si>
    <t> MB AS PRIME B550M-A AC SVL DR4</t>
  </si>
  <si>
    <t>Motherboard Asus PRIME B550M-A AC, Chipset AMD B550, Socket AMD AM4, mATX[@@@]Soporta</t>
  </si>
  <si>
    <t>MBGBA520MKV2</t>
  </si>
  <si>
    <t> MB GB A520M K AM4 S/V/L DDR4</t>
  </si>
  <si>
    <t>Motherboard Gigabyte A520M K V2 (rev. 1.0) Chipset AMD A520, Socket AM4, Micro ATX[@@</t>
  </si>
  <si>
    <t>MBGBB550MK</t>
  </si>
  <si>
    <t> MB GB B550M K AM4 S/V/L DDR4</t>
  </si>
  <si>
    <t>Motherboard Gigabyte B550M K (rev. 1.0) Chipset AMD B550, Socket AM4, Micro ATX[@@@]S</t>
  </si>
  <si>
    <t>MBMSB550M-APRO</t>
  </si>
  <si>
    <t> MB MS B550M-A PRO S/V/L DDR4</t>
  </si>
  <si>
    <t>Motherboard MSI B550M-A PRO, AMD B550, AM4, DDR4,HDMI, DVI-D, LAN, USB 3.2 GEN1, M-AT</t>
  </si>
  <si>
    <t>MBASB550M-KARGB</t>
  </si>
  <si>
    <t> MB AS B550M-K ARGB S/V/L DDR4</t>
  </si>
  <si>
    <t>Motherboard Asus PRIME B550M-K ARGB, Chipset AMD B550, Socket AMD AM4, mATX[@@@]Sopor</t>
  </si>
  <si>
    <t>MBASB550TFPLWF2</t>
  </si>
  <si>
    <t> MB AS TUF GAMING B550-PLUS WF</t>
  </si>
  <si>
    <t>Motherboard ASUS TUF GAMING B550-PLUS WIFI II, Chipset AMD B550, Socket AMD AM4, ATX[</t>
  </si>
  <si>
    <t>MBGBB550AOELAX2</t>
  </si>
  <si>
    <t> MB GB B550 AOR ELITE AX V2 DR4</t>
  </si>
  <si>
    <t>Motherboard Gigabyte B550 AORUS ELITE AX V2 (rev.1.0) Chipset AMD B550 Socket AMD AM4</t>
  </si>
  <si>
    <t>MBGBB550EAGWF6</t>
  </si>
  <si>
    <t> MB GB B550 EAGLE WIFI6 DDR4</t>
  </si>
  <si>
    <t>Motherboard Gigabyte B550 EAGLE WIFI6, Chipset AMD B550, Socket AM4, ATX[@@@]Soporta</t>
  </si>
  <si>
    <t>MBGBB550GMGXV2</t>
  </si>
  <si>
    <t> MB GB B550 GAMING X V2 DDR4</t>
  </si>
  <si>
    <t>Motherboard Gigabyte B550 GAMING X V2 (rev. 1.0),Chipset AMD B550, Socket AMD AM4, AT</t>
  </si>
  <si>
    <t>MBGBB550MDS3HAR</t>
  </si>
  <si>
    <t> MB GB B550M DS3H AC R2 DDR4</t>
  </si>
  <si>
    <t>Motherboard Gigabyte B550M DS3H AC R2, Chipset AMD B550 Socket AMD AM4, micro-ATX[@@@</t>
  </si>
  <si>
    <t>MBMSB550GMGPLUS</t>
  </si>
  <si>
    <t> MB MSI B550 GAMING PLUS SVL D4</t>
  </si>
  <si>
    <t>Motherboard MSI MPG B550 GAMING PLUS AMD B550 AM4Socket, HDMI, DP, USB 3.2 Gen 2[@@@]</t>
  </si>
  <si>
    <t>MBARB850M-XR20</t>
  </si>
  <si>
    <t> MB AR B850M-X S/V/L DDR5</t>
  </si>
  <si>
    <t>Motherboard ASROCK B850M-X R2.0, Chipset AMD B850, Socket AMD AM5, mATX[@@@]Soporta P</t>
  </si>
  <si>
    <t>MBARB850MXWFR20</t>
  </si>
  <si>
    <t> MB AR B850M-X WIFI S/V/L DDR5</t>
  </si>
  <si>
    <t>Motherboard ASROCK B850M-X WiFi R2.0, Chipset AMDB850, Socket AMD AM5, mATX[@@@]Sopor</t>
  </si>
  <si>
    <t>MBARB850ROCKWF7</t>
  </si>
  <si>
    <t> MB AR B850 ROCK S/V/L WIFI 7</t>
  </si>
  <si>
    <t>MBASB650M-AII</t>
  </si>
  <si>
    <t> MB AS PRIME B650M-A II SVL DR5</t>
  </si>
  <si>
    <t>Motherboard ASUS PRIME B650M-A II , Chipset AMD B650, Socket AM5, Micro ATX[@@@]Sopor</t>
  </si>
  <si>
    <t>MBASB650M-F</t>
  </si>
  <si>
    <t> MB AS PRIME B650M-F SVL DDR5</t>
  </si>
  <si>
    <t>Motherboard ASUS PRIME B650M-F, Chipset AMD B650,Socket AMD AM5, mATX[@@@]Soporta Pro</t>
  </si>
  <si>
    <t>MBGBA620MS2H</t>
  </si>
  <si>
    <t> MB GB A620M S2H S/V/L DDR5</t>
  </si>
  <si>
    <t>Motherboard Gigabyte A620M S2H (rev. 1.0) ChipsetAMD A620, Socket AM5, Micro ATX[@@@]</t>
  </si>
  <si>
    <t>MBGBB650MD3HPAX</t>
  </si>
  <si>
    <t> MB GB B650M D3HP AX WIFI DDR5</t>
  </si>
  <si>
    <t>Motherboard Gigabyte B650M D3HP AX, Chipset AMD B650, Socket AMD AM5, mATX[@@@]Soport</t>
  </si>
  <si>
    <t>MBGBB650MDS3HG1</t>
  </si>
  <si>
    <t> MB GB B650M-DS3H S/V/L DDR5</t>
  </si>
  <si>
    <t>Motherboard Gigabyte B650M DS3H, Chipset AMD B650, Socket AMD AM5, mATX[@@@]Soporta P</t>
  </si>
  <si>
    <t>MBGBB650MK</t>
  </si>
  <si>
    <t> MB GB B650M K S/V/L DDR5</t>
  </si>
  <si>
    <t>Motherboard Gigabyte B650M K, AM5, DDR5, HDMI, DP, HD Audio.[@@@]Soporta Procesadores</t>
  </si>
  <si>
    <t>MBGBB840MD3HPW6</t>
  </si>
  <si>
    <t> MB GB B840M D3HP WF6E SVL DDR5</t>
  </si>
  <si>
    <t>Motherboard GIGABYTE B840M D3HP WIFI6E, Chipset AMD B840, Socket AMD AM5, mATX[@@@]So</t>
  </si>
  <si>
    <t>MBGBB840MDS3H</t>
  </si>
  <si>
    <t> MB GB B840M DS3H S/V/L DDR5</t>
  </si>
  <si>
    <t>Motherboard GIGABYTE B840M DS3H, Chipset AMD B840, Socket AMD AM5, mATX[@@@]Soporta P</t>
  </si>
  <si>
    <t>MBGBB840MH</t>
  </si>
  <si>
    <t> MB GB B840M H S/V/L DDR5</t>
  </si>
  <si>
    <t>Motherboard GIGABYTE B840M H, Chipset AMD B840, Socket AMD AM5, mATX[@@@]Soporta Proc</t>
  </si>
  <si>
    <t>MBMSA620MBPROEV</t>
  </si>
  <si>
    <t> MB MS PRO A620AM-B EVO SVL DR5</t>
  </si>
  <si>
    <t>Motherboard MSI PRO A620AM-B EVO, Chipset AMD A620A, Socket AM5, HDMI, VGA, mATX[@@@]</t>
  </si>
  <si>
    <t>MBMSB650M-BPRO</t>
  </si>
  <si>
    <t> MB MS PRO B650M-B S/V/L DDR5</t>
  </si>
  <si>
    <t>Motherboard MSI PRO B650M-B, Chipset AMD B650, Socket AMD AM5, mATX[@@@]Soporta Proce</t>
  </si>
  <si>
    <t>MBMSB840M-BPRO</t>
  </si>
  <si>
    <t> MB MS PRO B840M-B S/V/L DDR5</t>
  </si>
  <si>
    <t>Motherboard MSI PRO B840M-B, Chipset AMD B840, Socket AMD AM5, mATX[@@@]Soporta Proce</t>
  </si>
  <si>
    <t>MBMSB840M-PWF6P</t>
  </si>
  <si>
    <t> MB MS PRO B840M-P WIFI6E DDR5</t>
  </si>
  <si>
    <t>Motherboard MSI PRO B840M-P WIFI6E, Chipset AMD B840, Socket AMD AM5, mATX[@@@]Soport</t>
  </si>
  <si>
    <t>MBMSX870EPWFPRO</t>
  </si>
  <si>
    <t> MB MS PRO X870E-P WIFI DDR5</t>
  </si>
  <si>
    <t>Motherboard MSI PRO X870E-P WIFI, Chipset AMD X870E, Socket AMD AM5, ATX[@@@]Soporta</t>
  </si>
  <si>
    <t>MBARB850MROCKWF</t>
  </si>
  <si>
    <t> MB AR B850M ROCK WIFI SVL DDR5</t>
  </si>
  <si>
    <t>MBARX870ETAILTE</t>
  </si>
  <si>
    <t> MB AR X870E TAICHI LITE DDR5</t>
  </si>
  <si>
    <t>Motherboard ASROCK X870E Taichi Lite, Chipset AMDX870E, Socket AMD AM5, EATX[@@@]Sopo</t>
  </si>
  <si>
    <t>MBARX870LIVMXWF</t>
  </si>
  <si>
    <t> MB AR X870 LIVEMIXER WIFI DDR5</t>
  </si>
  <si>
    <t>MBARX870NOVAWF</t>
  </si>
  <si>
    <t> MB AR X870 NOVA WIFI SVL DDR5</t>
  </si>
  <si>
    <t>MBARX870PRORSWF</t>
  </si>
  <si>
    <t> MB AR X870 PRO RS WIFI DDR5</t>
  </si>
  <si>
    <t>Motherboard ASROCK X870 Pro RS WiFi, Chipset AMD X870, Socket AMD AM5, ATX[@@@]Soport</t>
  </si>
  <si>
    <t>MBARX870STLEGWF</t>
  </si>
  <si>
    <t> MB AR X870 STEEL LEGEND WF DR5</t>
  </si>
  <si>
    <t>Motherboard ASROCK X870 Steel Legend WiFi, Chipset AMD X870, Socket AMD AM5, ATX[@@@]</t>
  </si>
  <si>
    <t>MBASA620M-PWIFI</t>
  </si>
  <si>
    <t> MB AS A620M-PLUS WIFI SVL DDR5</t>
  </si>
  <si>
    <t>Motherboard Asus TUF GAMING A620M-PLUS WIFI, Chipset AMD B620, AMD Socket AM5, mATX[@</t>
  </si>
  <si>
    <t>MBASB650EEGMGWF</t>
  </si>
  <si>
    <t> MB AS B650E-E GAMING WIFI DDR5</t>
  </si>
  <si>
    <t>Motherboard ASUS ROG STRIX B650E-E GAMING WIFI, Chipset AMD B650, Socket AMD AM5, ATX</t>
  </si>
  <si>
    <t>MBASB650EMEWIFI</t>
  </si>
  <si>
    <t> MB AS TUF GAMING B650EM-E WIFI</t>
  </si>
  <si>
    <t>Motherboard Asus TUF GAMING B650EM-E WIFI, Chipset AMD B650, AMD Socket AM5, mATX[@@@</t>
  </si>
  <si>
    <t>MBASB650MAYWWF</t>
  </si>
  <si>
    <t> MB AS B650M-AYW WIFI SVL DDR5</t>
  </si>
  <si>
    <t>Motherboard Asus B650M-AYW WIFI, Chipset AMD B650, AMD Socket AM5, mATX[@@@]Soporta P</t>
  </si>
  <si>
    <t>MBASB850-AGMGWF</t>
  </si>
  <si>
    <t> MB AS STRIX B850-A GAMING WIFI</t>
  </si>
  <si>
    <t>Motherboard ASUS ROG STRIX B850-A GAMING WIFI, Chipset AMD B850, Socket AMD AM5, ATX[</t>
  </si>
  <si>
    <t>MBASB850-EGMGWF</t>
  </si>
  <si>
    <t> MB AS STRIX B850-E GAMING WIFI</t>
  </si>
  <si>
    <t>Motherboard ASUS ROG STRIX B850-E GAMING WIFI, Chipset AMD B850, Socket AMD AM5, ATX[</t>
  </si>
  <si>
    <t>MBASB850M-AWIFI</t>
  </si>
  <si>
    <t> MB AS PRIME B850M-A WIFI DDR5</t>
  </si>
  <si>
    <t>Motherboard ASUS PRIME B850M-A WIFI, Chipset AMD B850, Socket AMD AM5, mATX[@@@]Sopor</t>
  </si>
  <si>
    <t>MBASB850M-PLWF</t>
  </si>
  <si>
    <t> MB AS TUF GAMING B850M-PLUS WF</t>
  </si>
  <si>
    <t>Motherboard ASUS TUF GAMING B850M-PLUS WIFI, Chipset AMD B850, Socket AMD AM5, mATX[@</t>
  </si>
  <si>
    <t>MBASB850PLUSWF</t>
  </si>
  <si>
    <t> MB AS TUF GAMING B850-PLUS WF</t>
  </si>
  <si>
    <t>Motherboard ASUS TUF GAMING B850-PLUS WIFI , Chipset AMD B850, Socket AMD AM5, ATX[@@</t>
  </si>
  <si>
    <t>MBASX870-AGMGFW</t>
  </si>
  <si>
    <t> MB AS ROG STRIX X870-A GMG WF</t>
  </si>
  <si>
    <t>Motherboard ASUS ROG STRIX X870-A GAMING WIFI, Chipset AMD X870, Socket AMD AM5, ATX[</t>
  </si>
  <si>
    <t>MBASX870-PLUSWF</t>
  </si>
  <si>
    <t> MB AS TUF GAMING X870-PLUS WF</t>
  </si>
  <si>
    <t>Motherboard ASUS TUF GAMING X870-PLUS WIFI, Chipset AMD X870, Socket AMD AM5, ATX[@@@</t>
  </si>
  <si>
    <t>MBASX870-PWIFI</t>
  </si>
  <si>
    <t> MB AS PRIME X870-P WIFI SVL D5</t>
  </si>
  <si>
    <t>Motherboard ASUS PRIME X870-P WIFI, Chipset AMD X870, Socket AMD AM5, ATX[@@@]Soporta</t>
  </si>
  <si>
    <t>MBASX870EEGMGWF</t>
  </si>
  <si>
    <t> MB AS ROG STRIX X870E-E GMG WF</t>
  </si>
  <si>
    <t>Motherboard ASUS ROG STRIX X870E-E GAMING WIFI, Chipset AMD X870E, Socket AMD AM5, AT</t>
  </si>
  <si>
    <t>MBGBB650AORAXIC</t>
  </si>
  <si>
    <t> MB GB B650 AOR ELITE AX ICE D5</t>
  </si>
  <si>
    <t>Motherboard Gigabyte B650 AORUS ELITE AX ICE, Chipset AMD B650, Socket AMD AM5, ATX[@</t>
  </si>
  <si>
    <t>MBGBB650EAGLEAX</t>
  </si>
  <si>
    <t> MB GB B650 EAGLE AX S/V/L DDR5</t>
  </si>
  <si>
    <t>Motherboard Gigabyte B650 EAGLE AX, Chipset AMD B650, Socket AMD AM5, ATX[@@@]Soporta</t>
  </si>
  <si>
    <t>MBGBB650GMXAXV2</t>
  </si>
  <si>
    <t> MB GB B650 GAMING X AX V2 DDR5</t>
  </si>
  <si>
    <t>Motherboard Gigabyte B650 GAMING X AX V2, ChipsetAMD B650, Socket AMD AM5, ATX[@@@]So</t>
  </si>
  <si>
    <t>MBGBB650MAELAXI</t>
  </si>
  <si>
    <t> MB GB B650M A ELITE AX ICE DR5</t>
  </si>
  <si>
    <t>Motherboard Gigabyte B650M AORUS ELITE AX ICE, Chipset AMD B650, Socket AMD AM5, mATX</t>
  </si>
  <si>
    <t>MBGBB650MAOELAX</t>
  </si>
  <si>
    <t> MB GB B650M AORUS ELITE AX DR5</t>
  </si>
  <si>
    <t>Motherboard Gigabyte B650M AORUS ELITE AX, Chipset AMD B650, Socket AMD AM5, mATX[@@@</t>
  </si>
  <si>
    <t>MBGBB650MGMGPWF</t>
  </si>
  <si>
    <t> MB GB B650M GAMING PLUS WF DR5</t>
  </si>
  <si>
    <t>Motherboard Gigabyte B650M GAMING PLUS WIFI, Chipset AMD B650, Socket AMD AM5, mATX[@</t>
  </si>
  <si>
    <t>MBGBB840MAEWF6E</t>
  </si>
  <si>
    <t> MB GB B840M A ELT WIFI6E DDR5</t>
  </si>
  <si>
    <t>Motherboard GIGABYTE B840M AORUS ELITE WIFI6E, Chipset AMD B840, Socket AMD AM5, micr</t>
  </si>
  <si>
    <t>MBGBB850AEWF7</t>
  </si>
  <si>
    <t> MB GB B850 A ELITE WF7 DDR5</t>
  </si>
  <si>
    <t>Motherboard GIGABYTE B850 AORUS ELITE WIFI7, Chipset AMD B850, Socket AMD AM5, ATX[@@</t>
  </si>
  <si>
    <t>MBGBB850AEWF7I</t>
  </si>
  <si>
    <t> MB GB B850 A ELITE WF7 ICE DR5</t>
  </si>
  <si>
    <t>Motherboard GIGABYTE B850 AORUS ELITE WIFI7 ICE, Chipset AMD B850, Socket AMD AM5, AT</t>
  </si>
  <si>
    <t>MBGBB850MAEW6EI</t>
  </si>
  <si>
    <t> MB GB B850M A ELT WF6E ICE DR5</t>
  </si>
  <si>
    <t>Motherboard GIGABYTE B850M AORUS ELITE WIFI6E ICE, Chipset AMD B850, Socket AMD AM5,</t>
  </si>
  <si>
    <t>MBGBB850MAEWF6E</t>
  </si>
  <si>
    <t> MB GB B850M AORUS ELITE WF6E</t>
  </si>
  <si>
    <t>MBGBB850MAEWF7P</t>
  </si>
  <si>
    <t> MB GB B850M A ELITE WF7 WAIFU</t>
  </si>
  <si>
    <t>Motherboard GIGABYTE B850M AORUS ELITE WIFI7 ICE-P, Chipset AMD B850, Socket AMD AM5,</t>
  </si>
  <si>
    <t>MBGBB850MD3HP</t>
  </si>
  <si>
    <t> MB GB B850M D3HP S/V/L DDR5</t>
  </si>
  <si>
    <t>Motherboard GIGABYTE B850M D3HP, Chipset AMD B850, Socket AMD AM5, mATX[@@@]Soporta P</t>
  </si>
  <si>
    <t>MBGBB850MEAWF6E</t>
  </si>
  <si>
    <t> MB GB B850M EAGLE WF6E DDR5</t>
  </si>
  <si>
    <t>Motherboard GIGABYTE B850M EAGLE WIFI6E, Chipset AMD B850, Socket AMD AM5, mATX[@@@]S</t>
  </si>
  <si>
    <t>MBGBX870AELTWF7</t>
  </si>
  <si>
    <t> MB GB X870 AORUS EL WIFI7 DDR5</t>
  </si>
  <si>
    <t>Motherboard GIGABYTE X870 AORUS ELITE WIFI7, Chipset AMD X870, Socket AMD AM5, ATX[@@</t>
  </si>
  <si>
    <t>MBGBX870AELWF7I</t>
  </si>
  <si>
    <t> MB GB X870 AOR ELT WF7 ICE DR5</t>
  </si>
  <si>
    <t>Motherboard GIGABYTE X870 AORUS ELITE WIFI7 ICE, Chipset AMD X870, Socket AMD AM5, AT</t>
  </si>
  <si>
    <t>MBGBX870EAEWF7W</t>
  </si>
  <si>
    <t> MB GB X870E A ELITE WF7 ICE D5</t>
  </si>
  <si>
    <t>Motherboard GIGABYTE X870E AORUS ELITE WIFI7, Chipset AMD X870E, Socket AMD AM5, ATX[</t>
  </si>
  <si>
    <t>MBGBX870EAGWF7</t>
  </si>
  <si>
    <t> MB GB X870 EAGLE WIFI7 DDR5</t>
  </si>
  <si>
    <t>Motherboard GIGABYTE X870 EAGLE WIFI7, Chipset AMD X870, Socket AMD AM5, ATX[@@@]Sopo</t>
  </si>
  <si>
    <t>MBGBX870EALTX3D</t>
  </si>
  <si>
    <t> MB GB X870E AORUS ELITE X3D D5</t>
  </si>
  <si>
    <t>MBGBX870EAOPRI</t>
  </si>
  <si>
    <t> MB GB X870E AORUS PRO ICE DDR5</t>
  </si>
  <si>
    <t>Motherboard GIGABYTE X870E AORUS PRO ICE, ChipsetAMD X870E, Socket AMD AM5, ATX[@@@]S</t>
  </si>
  <si>
    <t>MBGBX870GMGXWF7</t>
  </si>
  <si>
    <t> MB GB X870 GAMING X WIFI7 DDR5</t>
  </si>
  <si>
    <t>Motherboard GIGABYTE X870 GAMING X WIFI7, ChipsetAMD X870, Socket AMD AM5, ATX[@@@]So</t>
  </si>
  <si>
    <t>MBGBX870MAELWF7</t>
  </si>
  <si>
    <t> MB GB X870M A ELITE WF7 DDR5</t>
  </si>
  <si>
    <t>Motherboard GIGABYTE X870M AORUS ELITE WIFI7, Chipset AMD X870, Socket AMD AM5, mATX[</t>
  </si>
  <si>
    <t>MBGBX870MAEWF7I</t>
  </si>
  <si>
    <t>Motherboard GIGABYTE X870M AORUS ELITE WIFI7 ICE,Chipset AMD X870, Socket AMD AM5, M-</t>
  </si>
  <si>
    <t>MBMSB650IEDGEWF</t>
  </si>
  <si>
    <t> MB MS MPG B650I EDGE WIFI DDR5</t>
  </si>
  <si>
    <t>Motherboard MSI MPG B650I EDGE WIFI, Chipset AMD B650, Socket AMD AM5, mini-ITX[@@@]S</t>
  </si>
  <si>
    <t>MBMSX870-PWIFI</t>
  </si>
  <si>
    <t> MB MS PRO X870-P WIFI SVL DDR5</t>
  </si>
  <si>
    <t>Motherboard MSI PRO X870-P WIFI, Chipset AMD X870, Socket AMD AM5, ATX[@@@]Soporta Pr</t>
  </si>
  <si>
    <t>MBMSX870ECARBWF</t>
  </si>
  <si>
    <t> MB MS MPG X870E CARBON WIFI</t>
  </si>
  <si>
    <t>Motherboard MSI MPG X870E CARBON WIFI, Chipset AMD X870E, Socket AMD AM5, ATX[@@@]Sop</t>
  </si>
  <si>
    <t>MBMSX870EGMGPWF</t>
  </si>
  <si>
    <t> MB MS X870E GAMING PLUS WIFI</t>
  </si>
  <si>
    <t>Motherboard MSI X870E GAMING PLUS WIFI, Chipset AMD X870E, Socket AMD AM5, ATX[@@@]So</t>
  </si>
  <si>
    <t>MBMSX870GMGPLWF</t>
  </si>
  <si>
    <t> MB MS X870 GAMING PLUS WF DDR5</t>
  </si>
  <si>
    <t>Motherboard MSI X870 GAMING PLUS WIFI, Chipset AMD X870, Socket AMD AM5, ATX[@@@]Sopo</t>
  </si>
  <si>
    <t>MBADI514450HXD4</t>
  </si>
  <si>
    <t>MBARW790WSR20</t>
  </si>
  <si>
    <t> MB AR W790 WS R2.0 LGA4677 DR5</t>
  </si>
  <si>
    <t>Motherboard ASROCK W790 WS R2.0, Chipset Intel W790, LGA4677, E-ATX[@@@]Soporta Proce</t>
  </si>
  <si>
    <t>ACCVCRAET200</t>
  </si>
  <si>
    <t> VOLTCRAFT ET-200</t>
  </si>
  <si>
    <t>VOLTCRAFT</t>
  </si>
  <si>
    <t>Tester de Aislamiento Digital (Megaóhmetro) VOLTCRAFT ET-200 50V/100V/250V/500V/1000V</t>
  </si>
  <si>
    <t>ME16GKCP432NS8</t>
  </si>
  <si>
    <t> MEM RAM 16G KCP 3.20GHZ DDR4</t>
  </si>
  <si>
    <t>Memoria DIMM Kingston, 16GB DDR4-3200MT/s PC4-25600, CL22, 1.2V, 288-Pin, Non-ECC[@@@</t>
  </si>
  <si>
    <t>ME16GKF432C16B1</t>
  </si>
  <si>
    <t> MEM RAM 16G FURY BEAST 3.2G D4</t>
  </si>
  <si>
    <t>Memoria Kingston Fury Beast, 16GB, DDR4, 3200 MHz, PC4-25600, CL16, 1.35V.[@@@]</t>
  </si>
  <si>
    <t>ME16GTCHC22DC01</t>
  </si>
  <si>
    <t> MEM 16G (2X8) TG T-CREATE 3.2G</t>
  </si>
  <si>
    <t>TEAMGROUP</t>
  </si>
  <si>
    <t>Memoria TEAMGROUP T-CREATE Classic DDR4, 16GB (2x8GB) DDR4-3200MHz, CL-22, 1.2V[@@@]</t>
  </si>
  <si>
    <t>ME16KF432C16BB2</t>
  </si>
  <si>
    <t> MEM RAM 16G BEAST RGB 3.20G D4</t>
  </si>
  <si>
    <t>Memoria Kingston Fury Beast RGB BLACK, 16GB DDR4 3200 MT/s, PC4-25600, CL16, 1.35V.[@</t>
  </si>
  <si>
    <t>ME16KTL-TS432E</t>
  </si>
  <si>
    <t> ME RAM 16G KTL-TS432E 3.20G D4</t>
  </si>
  <si>
    <t>Memoria UDIMM Kingston 16GB DDR4-3200 MHz (PC4-25600), CL22, 1.20V, 288-pines, ECC[@@</t>
  </si>
  <si>
    <t>ME16TET32UN4C16</t>
  </si>
  <si>
    <t> MEM RAM 16G TE TIT 3.20GHZ DR4</t>
  </si>
  <si>
    <t>Memoria RAM Teros Titan 16GB DDR4-3200MHz, PC4-25600, CL17/CL16, 1.2/1.35V, Negro[@@@</t>
  </si>
  <si>
    <t>ME16TGD416G3200</t>
  </si>
  <si>
    <t> MEM RAM 16G T-ELITE 3.20G DDR4</t>
  </si>
  <si>
    <t>Memoria TeamGroup ELITE 16GB, DDR4-3200 MHz, 1.2V, CL22-22-22-52[@@@]</t>
  </si>
  <si>
    <t>ME16XP320SGAMBK</t>
  </si>
  <si>
    <t> MEM RAM 16G XPG GAMMIX D20 3.2</t>
  </si>
  <si>
    <t>ADATA</t>
  </si>
  <si>
    <t>Memoria ADATA XPG GAMMIX D20 16GB DDR4-3200MHz PC4-25600, CL16, 1.35V, 288-pines[@@@]</t>
  </si>
  <si>
    <t>ME8GCOX4M1E3200</t>
  </si>
  <si>
    <t> MEM RAM 8G COR VENG 3.20G DDR4</t>
  </si>
  <si>
    <t>Memoria UDIMM Corsair Vengeance LPX 8GB (1x8GB) DDR4-3200 PC4-25600, CL16, 1.35V, Bla</t>
  </si>
  <si>
    <t>ME8GHSARM32UND4</t>
  </si>
  <si>
    <t> MEM RAM 8G HIK ARM 3.20GH DDR4</t>
  </si>
  <si>
    <t>HIKSEMI</t>
  </si>
  <si>
    <t>Memoria HIKSEMI ARMOR 8GB DDR4-3200MHz PC4-25600,CL18, 1.35V, UDIMM, Negro[@@@]</t>
  </si>
  <si>
    <t>ME8GKF432C16BB8</t>
  </si>
  <si>
    <t> MEM RAM 8G FURY BEAST 3.20G D4</t>
  </si>
  <si>
    <t>Memoria Kingston Fury Beast, 8GB, DDR4-3200MT/s, PC4-25600, CL16, 1.35V,288-Pines, XM</t>
  </si>
  <si>
    <t>ME8GTFYD48G32TF</t>
  </si>
  <si>
    <t> MEM RAM 8G TF TUF 3.20GZ DDR4</t>
  </si>
  <si>
    <t>Memoria TG T-Force Vulcan TUF, 8GB DDR4-3200 MHz,CL16, 1.35V[@@@]</t>
  </si>
  <si>
    <t>ME8GXP320SGAMBK</t>
  </si>
  <si>
    <t> MEM RAM 8G XPG GAMMIX D20 3.20</t>
  </si>
  <si>
    <t>Memoria ADATA XPG GAMMIX D20 8GB DDR4-3200MHz PC4-25600, CL16, 1.35V, 288-pines[@@@]</t>
  </si>
  <si>
    <t>ME16GTF3600HCDW</t>
  </si>
  <si>
    <t> MEM RAM 16G(2X8)TF DEL RGB 3.6</t>
  </si>
  <si>
    <t>Memoria TEAMGROUP T-FORCE DELTA RGB 16GB (2 x 8GB) DDR4-3600MHz, CL18, 1.35V, RGB, Bl</t>
  </si>
  <si>
    <t>ME16KF436C18B-B</t>
  </si>
  <si>
    <t> MEM RAM 16G BEAST RGB 3.60G D4</t>
  </si>
  <si>
    <t>ME16KF436C18BB2</t>
  </si>
  <si>
    <t>Memoria Kingston Fury Beast RGB BLACK, 16GB, DDR4-3600MT/s, PC4-28800, CL18, 1.35V,No</t>
  </si>
  <si>
    <t>ME8GKF436C17BB8</t>
  </si>
  <si>
    <t> MEM RAM 8G FURY BEAST 3.60G D4</t>
  </si>
  <si>
    <t>Memoria Kingston Fury Beast, 8GB, DDR4 3600 MT/s,PC4-28800, CL17, 1.35V.[@@@]</t>
  </si>
  <si>
    <t>ME16HSARM48UND5</t>
  </si>
  <si>
    <t> MEM RAM 16G HIK ARM 4.80G DDR5</t>
  </si>
  <si>
    <t>Memoria UDIMM HIKSEMI FUTURE 16GB DDR5-4800MHz PC5-38400, 1.1V, 288-pines[@@@]</t>
  </si>
  <si>
    <t>ME16CMX5M1B5600</t>
  </si>
  <si>
    <t> MEM RAM 16GB COR VENG 5.60GHZ</t>
  </si>
  <si>
    <t>Memoria Corsair Vengeance 16GB (1 x 16GB), DDR5-5600MHz, CL40, 1.25V[@@@]Compatibilid</t>
  </si>
  <si>
    <t>ME16CMX5M1B56RG</t>
  </si>
  <si>
    <t> MEM RAM 16G COR VENG RGB 5.60</t>
  </si>
  <si>
    <t>Memoria CORSAIR VENGEANCE RGB DDR5, 16GB DDR5-5600MHz, PC5-44800, CL40, 1.25V[@@@]</t>
  </si>
  <si>
    <t>ME16GKF556C40BB</t>
  </si>
  <si>
    <t> MEM RAM 16G FURY 5.60GHZ DDR5</t>
  </si>
  <si>
    <t>Memoria Kingston Fury Beast 16GB DDR5-5600MT/s, PC5-44800, CL40, 1.25V, 288-Pin, DIMM</t>
  </si>
  <si>
    <t>ME16GKF556C4ARG</t>
  </si>
  <si>
    <t> MEM RAM 16G KF BEAST RGB 5.6GZ</t>
  </si>
  <si>
    <t>Memoria Kingston Fury Beast 16GB DDR5-5600MT/s PC5-44800 CL40, 1.25V, 288-Pin, XMP 3.</t>
  </si>
  <si>
    <t>ME16KF556C36BWE</t>
  </si>
  <si>
    <t> MEM RAM 16G KF 5.60M WHITE DR5</t>
  </si>
  <si>
    <t>Memoria Kingston Fury Beast, 16GB DDR5 -5600MT/s,CL36, 1.25 V[@@@]Lleva tu rendimient</t>
  </si>
  <si>
    <t>ME16PASL560081H</t>
  </si>
  <si>
    <t> MEM RAM 16G PA SL 5.60GHZ DDR5</t>
  </si>
  <si>
    <t>PATRIOT</t>
  </si>
  <si>
    <t>Memoria UDIMM Patriot Signature Line Premium DDR516GB (1x16GB) PC5-44800, CL46, 1.1v</t>
  </si>
  <si>
    <t>ME16TFV5600HC36</t>
  </si>
  <si>
    <t> MEM RAM 16G TF VULCAN 5.60GHZ</t>
  </si>
  <si>
    <t>Memoria TEAMGROUP T-Force VULCAN DDR5 16GB DDR5-5600 MHz, CL36, 1.2V[@@@]</t>
  </si>
  <si>
    <t>ME16TFVA5600HCN</t>
  </si>
  <si>
    <t> MEM RAM 16G TF VULCAN ALP 5.6G</t>
  </si>
  <si>
    <t>Memoria TEAMGROUP VULCANα DDR5, 16GB (1x16GB) DDR5-5600MHz PC5-44800, CL40, 1.2V</t>
  </si>
  <si>
    <t>ME32KCP556UD8</t>
  </si>
  <si>
    <t> MEM RAM 32G KCP556UD8 5.6G DR5</t>
  </si>
  <si>
    <t>Memoria Kingston 32GB, DDR5-5600 MT/s, PC5-44800,CL46, 1.1V, 288-pin, 2Rx8, Non-ECC[@</t>
  </si>
  <si>
    <t>ME32KF556C40BB2</t>
  </si>
  <si>
    <t> MEM RAM 32G FURY 5.60G DDR5</t>
  </si>
  <si>
    <t>Memoria Kingston Fury Beast 32GB DDR5-5600MT/s, PC5-44800, CL40, 1.25V, 288-Pin[@@@]</t>
  </si>
  <si>
    <t>ME8GKCP556US6</t>
  </si>
  <si>
    <t> MEM RAM 8G KCP556US6 5.6G DDR5</t>
  </si>
  <si>
    <t>Memoria Kingston 8GB, DDR5-5600 MT/s, PC5-44800, CL46, 1.1V, 288-pin, 1Rx16, Non-ECC[</t>
  </si>
  <si>
    <t>ME8GKF556C40BF</t>
  </si>
  <si>
    <t> MEM RAM 8G KF BEAST 5.60GHZ D5</t>
  </si>
  <si>
    <t>Memoria Kingston Fury Beast 8GB DDR5-5600MT/s, PC5-44800, CL40, 1.25V, 288-Pin, Non-E</t>
  </si>
  <si>
    <t>ME8GTFV5600HC40</t>
  </si>
  <si>
    <t> MEM RAM 8G TF VULCAN 5.60G DR5</t>
  </si>
  <si>
    <t>ME16CMX5M1E60Z3</t>
  </si>
  <si>
    <t> MEM RAM 16G COR 6.00GTS DDR5</t>
  </si>
  <si>
    <t>Memoria Corsair Vengeance, 16GB(1x16GB) DDR5-6000MHZ, CL36, 1.35V[@@@]Potencia y rend</t>
  </si>
  <si>
    <t>ME16GTFV6000HC3</t>
  </si>
  <si>
    <t> MEM RAM 16G TF VULCAN 6.0GZ D5</t>
  </si>
  <si>
    <t>Memoria TEAMGROUP T-FORCE VULCAN DDR5 16GB (1 x 16GB) DDR5-6000MHz, CL38, 1.25V[@@@]</t>
  </si>
  <si>
    <t>ME16HX5M1E600RN</t>
  </si>
  <si>
    <t> MEM RAM CO 16G VENG RGB 6.0MTS</t>
  </si>
  <si>
    <t>Memoria Corsair Vengeance RGB DDR5, 16GB DDR5-5600MHz, PC5-48000, CL36, 1.35V[@@@]La</t>
  </si>
  <si>
    <t>ME16KF560C36BBE</t>
  </si>
  <si>
    <t> MEM RAM 16G KF 6.00GHZ DDR5</t>
  </si>
  <si>
    <t>Memoria Kingston Fury Beast 16GB DDR5-6000MT/s, PC5-48000, CL36, 1.35V, 288-Pin[@@@]</t>
  </si>
  <si>
    <t>ME16KF560C36BBR</t>
  </si>
  <si>
    <t> MEM RAM 16G KF RGB 6.0G DDR5</t>
  </si>
  <si>
    <t>Memoria Kingston Fury Beast 16GB DDR5-6000MT/s, PC5-48000, CL36, 1.35V, 288-Pin, RGB[</t>
  </si>
  <si>
    <t>ME16KF560C36BWR</t>
  </si>
  <si>
    <t>Memoria Kingston Fury, 16GB, DDR5-6000 MT/s, PC5-48000, CL36, 1.35V, RGB.[@@@]</t>
  </si>
  <si>
    <t>ME32PRBL9BWR378</t>
  </si>
  <si>
    <t> MEM RAM 32G(2X16) PRE RGB 6.0G</t>
  </si>
  <si>
    <t>PREDATOR</t>
  </si>
  <si>
    <t>Memoria U-DIMM Predator Vesta II RGB, 32GB (2x16GB) DDR5-6000MHz, PC5-48000, CL32, 1.</t>
  </si>
  <si>
    <t>ME32PRBL9BWR379</t>
  </si>
  <si>
    <t>ME64BWDW100RGBN</t>
  </si>
  <si>
    <t> MEM RAM 64G(2X32) BW DW100 RGB</t>
  </si>
  <si>
    <t>BIWIN</t>
  </si>
  <si>
    <t>Memoria UDIMM Biwin Black Opal DW100 RGB, 64GB (2x32GB) DDR5-6000, PC5-48000, CL30, 1</t>
  </si>
  <si>
    <t>ME8GKF560C36BBE</t>
  </si>
  <si>
    <t> MEM RAM 8G KF BEAST 6.00G DDR5</t>
  </si>
  <si>
    <t>Memoria DIMM Kingston FURY Beast 8GB DDR5-6000MT/s PC5-48000, 1Rx16, CL36, 1.35V, 288</t>
  </si>
  <si>
    <t>ME8GTFV6000HC38</t>
  </si>
  <si>
    <t> MEM RAM 8G TF VULCAN 6.00G DR5</t>
  </si>
  <si>
    <t>Memoria TeamGroup T-Force Vulcan 8GB (1x8GB) DDR5-6000MHZ, CL38, 1.25V[@@@]Optimiza e</t>
  </si>
  <si>
    <t>ME16GKF564C32RA</t>
  </si>
  <si>
    <t> MEM RAM 16G KF REN RGB 6.4G D5</t>
  </si>
  <si>
    <t>Memoria Kingston Fury Renegade, 16GB, DDR5 6400 MHz, PC5-51200, CL32, 1.4V, RGB.[@@@]</t>
  </si>
  <si>
    <t>ME16KF564C32BBE</t>
  </si>
  <si>
    <t> MEM RAM 16G KF 6.40GTS DDR5</t>
  </si>
  <si>
    <t>Memoria DIMM Kingston Fury Beast 16GB DDR5-6400MT/s, PC5-51200, CL32, 1.1V, 288-pin,</t>
  </si>
  <si>
    <t>ME16KF564C32BRG</t>
  </si>
  <si>
    <t> MEM RAM 16G KF RGB 6.40G N</t>
  </si>
  <si>
    <t>Memoria DIMM Kingston Fury Beast, 16GB DDR5-6400,PC5-51200 CL32, 1Rx8, 1.4V, 288-pin,</t>
  </si>
  <si>
    <t>ME16KF572C38RSA</t>
  </si>
  <si>
    <t> MEM RAM 16G KF REN RGB 7.20GHZ</t>
  </si>
  <si>
    <t>Memoria Kingston Fury Renegade, 16GB DDR5-7200MT/s, CL38,1.45V, RGB[@@@]Lleva tu rend</t>
  </si>
  <si>
    <t>ME16KF572C38RWA</t>
  </si>
  <si>
    <t> MEM RAM 16G KF REN RGB 7.20G W</t>
  </si>
  <si>
    <t>Memoria Kingston Fury Renegade, 16GB DDR5-7200MT/s, CL38, 1.45V, RGB[@@@]Optimiza tu</t>
  </si>
  <si>
    <t>ME16KF576C38RSA</t>
  </si>
  <si>
    <t> MEM RAM 16G KF REN RGB 7.60G N</t>
  </si>
  <si>
    <t>Memoria RAM Kingston KF576C38RSA-16, 16GB DDR5-7600 MHZ, CL38, 1.45V[@@@]Lleva tu ren</t>
  </si>
  <si>
    <t>ME32TFXA7600HC3</t>
  </si>
  <si>
    <t> MEM RAM 32G(2X16) XTREEM 7.60G</t>
  </si>
  <si>
    <t>Memoria TEAMGROUP XTREEM ARGB DDR5 32GB (2x16GB) DDR5-7600MHz, PC5-60800, CL36, 1.4V[</t>
  </si>
  <si>
    <t>ME16KF580C38RSA</t>
  </si>
  <si>
    <t> MEM RAM 16G KF REN RGB 8.00G N</t>
  </si>
  <si>
    <t>ACKTSDCG4128GB</t>
  </si>
  <si>
    <t> MICROSD KT CANVAS GO PLUS 128G</t>
  </si>
  <si>
    <t>Memoria Flash microSD Kingston Canvas Go! Plus, 128GB, con adaptador SD[@@@]Dimension</t>
  </si>
  <si>
    <t>ACKTSDCG4512GB</t>
  </si>
  <si>
    <t> MICROSD KT CANVAS GO PLUS 512G</t>
  </si>
  <si>
    <t>Tarjeta de Memoria Kingston Micro SD 512GB CanvasGo! Plus[@@@]Lleva tu contenido al s</t>
  </si>
  <si>
    <t>ACKTSDCS3256GB</t>
  </si>
  <si>
    <t> MICROSDXC KT SELECT PLUS 256GB</t>
  </si>
  <si>
    <t>Tarjeta de Memoria Kingston 256GB MicroSD Canvas Select Plus -150MB/seg - UHS-I Clase</t>
  </si>
  <si>
    <t>ACKTSDCS3512GB</t>
  </si>
  <si>
    <t> MICROSDXC KT SELECT PLUS 512GB</t>
  </si>
  <si>
    <t>Tarjeta de Memoria Kingston 512GB MicroSD Canvas Select Plus -150MB/seg - UHS-I Clase</t>
  </si>
  <si>
    <t>ACKTSDS364GB</t>
  </si>
  <si>
    <t> SD KING CANVAS SELECT + 64GB</t>
  </si>
  <si>
    <t>Memoria Card SD Kingston SD Canvas Select Plus, 64GB, categoría de velocidad: UHS-I/U</t>
  </si>
  <si>
    <t>MSDSQXFN512G</t>
  </si>
  <si>
    <t> MICROSD SANDISK EXPRESS 512GB</t>
  </si>
  <si>
    <t>Memoria Flash SanDisk microSD Express 512GB, Interfaz: PCIe Gen 3[@@@]Rendimiento de</t>
  </si>
  <si>
    <t>MSDWDD100T1P0C</t>
  </si>
  <si>
    <t> MICROSD PURPLE 1TB SC QD10</t>
  </si>
  <si>
    <t>Memoria Flash microSD WD Purple SC QD101, 1TB, Tipo: microSDXC, SDA 6.0[@@@]La tarjet</t>
  </si>
  <si>
    <t>MSSDSDQAS4064G</t>
  </si>
  <si>
    <t> MICROSD SANDISK VIDEO 64GB</t>
  </si>
  <si>
    <t>ACCDTMC3G2128G</t>
  </si>
  <si>
    <t> USB DT MICRO 3.2 METAL 128GB</t>
  </si>
  <si>
    <t>Memoria Flash Kingston DataTraveler Micro Unidad Flash USB Ultrapequeño con Metal Pre</t>
  </si>
  <si>
    <t>ACCDTMC3G2256G</t>
  </si>
  <si>
    <t> USB DT MICRO 3.2 METAL 256GB</t>
  </si>
  <si>
    <t>ACCDTMC3G264GB</t>
  </si>
  <si>
    <t> USB DT MICRO 3.2 METAL 64GB</t>
  </si>
  <si>
    <t>ACCKCU2L647LN</t>
  </si>
  <si>
    <t> USB DTXM 64GB NEON PINK</t>
  </si>
  <si>
    <t>Memoria Flash USB DataTraveler Exodia M, 64GB, USB 3.2 Gen 1 (Tipo-A) Neon Pink (Rosa</t>
  </si>
  <si>
    <t>ACCKCU2L647LP</t>
  </si>
  <si>
    <t> USB DTXM 64GB NEON PURPLE</t>
  </si>
  <si>
    <t>Memoria Flash USB DataTraveler Exodia M, 64GB, USB 3.2 Gen 1 (Tipo-A) Neon Purple (Mo</t>
  </si>
  <si>
    <t>ACCKDT70256GB</t>
  </si>
  <si>
    <t> KING USB DT70/256GB</t>
  </si>
  <si>
    <t>Memoria Flash USB Kingston DataTraveler 70, 256GBUSB-C 3.2 Gen 1[@@@]</t>
  </si>
  <si>
    <t>ACDTSE9G3128GB</t>
  </si>
  <si>
    <t> USB KT DT SE9G3 128GB GEN1 3.2</t>
  </si>
  <si>
    <t>Memoria Flash USB Kingston DataTraveler SE9 G3, 128GB, USB 3.2 Gen 1 (Tipo-A)[@@@]Vel</t>
  </si>
  <si>
    <t>ACDTSE9G3256GB</t>
  </si>
  <si>
    <t> USB KT DT SE9G3 256GB GEN1 3.2</t>
  </si>
  <si>
    <t>Memoria Flash USB Kingston DataTraveler SE9 G3, 256GB, USB 3.2 Gen 1 (Tipo-A)[@@@]Vel</t>
  </si>
  <si>
    <t>ACDTSE9G3512GB</t>
  </si>
  <si>
    <t> USB KT DT SE9G3 512GB GEN1 3.2</t>
  </si>
  <si>
    <t>Memoria Flash USB Kingston DataTraveler SE9 G3, 512GB, USB 3.2 Gen 1 (Tipo-A)[@@@]Vel</t>
  </si>
  <si>
    <t>ACKDTSE9G364GB</t>
  </si>
  <si>
    <t> USB KT DT SE9G3 64GB GEN1 3.2</t>
  </si>
  <si>
    <t>Memoria Flash USB Kingston DataTraveler SE9 G3, 64GB, USB 3.2 Gen 1 (Tipo-A)[@@@]Velo</t>
  </si>
  <si>
    <t>ACKTDTKN128GB</t>
  </si>
  <si>
    <t> USB KT DTKN 128GB 3.2 GEN1</t>
  </si>
  <si>
    <t>Memoria Flash USB Kingston DataTraveler Kyson 128GB, USB 3.2 Gen 1, Color Plata.[@@@]</t>
  </si>
  <si>
    <t>ACKTDTKN256GB</t>
  </si>
  <si>
    <t> USB KT DTKN 256GB 3.2 GEN1</t>
  </si>
  <si>
    <t>Unidad Flash USB Kingston DataTraveler Kyson, 256GB, Interfaz: USB 3.2 Gen 1[@@@]La u</t>
  </si>
  <si>
    <t>ACKTDTKN512GB</t>
  </si>
  <si>
    <t> USB KT DTKN 512GB 3.2 GEN1</t>
  </si>
  <si>
    <t>Unidad Flash USB Kingston DataTraveler Kyson, 512GB, Interfaz: USB 3.2 Gen 1[@@@]La U</t>
  </si>
  <si>
    <t>ACKTDTKN64GB</t>
  </si>
  <si>
    <t> USB KT DTKN 64GB 3.2 GEN1</t>
  </si>
  <si>
    <t>Memoria Flash USB Kingston DataTraveler Kyson, 64GB, USB 3.2 Gen 1, Plata[@@@]Present</t>
  </si>
  <si>
    <t>ACKTDTX128GB</t>
  </si>
  <si>
    <t> USB KINGSTON DTX/128GB 3.2</t>
  </si>
  <si>
    <t>Memoria Flash USB Kingston DataTraveler Exodia 128GB, USB 3.2 Gen 1, Color Amarillo.[</t>
  </si>
  <si>
    <t>ACKTDTX256GB</t>
  </si>
  <si>
    <t> USB KINGSTON DTX/256GB 3.2</t>
  </si>
  <si>
    <t>Memoria Flash USB Kingston DataTraveler Exodia 256GB, USB 3.2 Gen 1, Color Rojo.[@@@]</t>
  </si>
  <si>
    <t>ME4GHSHIKS16Z1</t>
  </si>
  <si>
    <t> MEM RAM 4G HIK SOD 1.60G DDR3</t>
  </si>
  <si>
    <t>Memoria SODIMM HIKSEMI 4GB DDR3-1600MHz PC3-12800, CL11, 1.35V[@@@]</t>
  </si>
  <si>
    <t>ME4GTGD3L4G1600</t>
  </si>
  <si>
    <t> MEM RAM 4G TEAM SODIMM 1.6G D3</t>
  </si>
  <si>
    <t>Memoria TG Elite SODIMM DDR3 4GB DDR3-1600 MHz, CL-11, 1.35V[@@@]</t>
  </si>
  <si>
    <t>ZZMELEN70M60573</t>
  </si>
  <si>
    <t> MEM RAM 4G LE 2.40G SODIMM DR4</t>
  </si>
  <si>
    <t>LENOVO - STORAGE</t>
  </si>
  <si>
    <t>ME16HSHIKS26Z1</t>
  </si>
  <si>
    <t> MEM RAM 16G HIK SOD 2.66G DDR4</t>
  </si>
  <si>
    <t>Memoria SODIMM HIKSEMI 16GB DDR4-2666MHz PC4-21300, CL19, 1.2V, 260-pines[@@@]</t>
  </si>
  <si>
    <t>ZZMELEN70R38789</t>
  </si>
  <si>
    <t> MEM RAM 4G LE 2.66G SODIMM DR4</t>
  </si>
  <si>
    <t>ME16GTG3200C22S</t>
  </si>
  <si>
    <t> MEM RAM TG 16G SODIMM 3.20GHZ</t>
  </si>
  <si>
    <t>Memoria SO-DIMM TeamGroup Elite, 16GB DDR4-3200MHz (PC4-25600) 1.2V, CL22[@@@]</t>
  </si>
  <si>
    <t>ME16HSHIKS32Z1</t>
  </si>
  <si>
    <t> MEM RAM 16G HIK SOD 3.20G DDR4</t>
  </si>
  <si>
    <t>Memoria SODIMM HIKSEMI 16GB DDR4-3200MHz PC4-25600, CL22, 1.2V[@@@]</t>
  </si>
  <si>
    <t>ME16KCP432SS816</t>
  </si>
  <si>
    <t> MEM RAM 16G KING KCP SOD 3.20G</t>
  </si>
  <si>
    <t>Memoria SODIMM Kingston KCP432SS8/16, 16GB, DDR4-3200MT/s, CL22, 1.2V, 260-pin, Non-E</t>
  </si>
  <si>
    <t>ME16KVR32S22SOD</t>
  </si>
  <si>
    <t> MEM RAM 16G KING SODIMM 3.20GT</t>
  </si>
  <si>
    <t>Memoria SODIMM Kingston KVR32S22D8/16, 16GB DDR4-3200MT/s, CL22, 1.2V, 260-pin, Non-E</t>
  </si>
  <si>
    <t>ME8GKCP432SS8</t>
  </si>
  <si>
    <t> MEM RAM 8G KCP 3.20G SOD DDR4</t>
  </si>
  <si>
    <t>Memoria SODIMM Kingston KCP432SS8/8, 8GB, DDR4-3200MHz, CL22, 1RX8, 1.2V, 260-pin, No</t>
  </si>
  <si>
    <t>ME8GKF432S20IB</t>
  </si>
  <si>
    <t> MEM RAM 8G FURY SODIMM 3.20GHZ</t>
  </si>
  <si>
    <t>Memoria SODIMM Kingston Fury Impact, 8GB, DDR4, 3200MT/s, PC4-25600, CL20, 1.2V.[@@@]</t>
  </si>
  <si>
    <t>ME8GKVR32S22S88</t>
  </si>
  <si>
    <t> MEM RAM 8G KING SODIMM 3.20GHZ</t>
  </si>
  <si>
    <t>Memoria SODIMM Kingston, 8GB DDR4-3200MT/s PC4-25600, CL22, 1.2V, 2Rx8, 260-Pin, Non-</t>
  </si>
  <si>
    <t>ME16GKF548S38IB</t>
  </si>
  <si>
    <t> MEM RAM 16G KF IMP 4.8G SOD D5</t>
  </si>
  <si>
    <t>Memoria SO-DIMM Kingston Fury Impact 16GB DDR5-4800MT/s, PC5-38400, CL38, 1.1V, 262-p</t>
  </si>
  <si>
    <t>ME16GKF556S40IB</t>
  </si>
  <si>
    <t> MEM RAM 16G KF IMP 5.6G SOD D5</t>
  </si>
  <si>
    <t>Memoria SO-DIMM Kingston Fury Impact 16GB DDR5-5600MT/s, PC5-44800, CL40, 1.1V, 262-p</t>
  </si>
  <si>
    <t>ME16KCP556SS85</t>
  </si>
  <si>
    <t> MEM RAM 16G KCP 5.60G SOD DDR5</t>
  </si>
  <si>
    <t>Memoria SO-DIMM Kingston 16GB DDR5-5600MT/s, PC5-44800, CL46, 1.1V, 262-pin, Non-ECC[</t>
  </si>
  <si>
    <t>ME16KVR56S46BS8</t>
  </si>
  <si>
    <t> MEM RAM 16G KVR SOD 5.60G DDR5</t>
  </si>
  <si>
    <t>Memoria SODIMM Kingston 16GB DDR5-5600MT/s, PC5-44800, CL46, 1.1V, 262-pin, 1Rx8, Non</t>
  </si>
  <si>
    <t>ME24CMX5M1A560S</t>
  </si>
  <si>
    <t> MEM RAM 24G COR SOD 5.60M DDR5</t>
  </si>
  <si>
    <t>Memoria Corsair Vengeance, 24GB (1x24GB) DDR5-5600MHZ, CL48, 1.10V[@@@]Impulsa el ren</t>
  </si>
  <si>
    <t>ME32KCP556SD8</t>
  </si>
  <si>
    <t> MEM RAM 32G KCP 5.60G SOD DDR5</t>
  </si>
  <si>
    <t>Memoria SO-DIMM Kingston 32GB DDR5-5600MT/s, PC5-44800, CL46, 1.1V, 262-pin, Non-ECC[</t>
  </si>
  <si>
    <t>ME32KVR56S46BD8</t>
  </si>
  <si>
    <t> MEM RAM 32G KVR SODIMM 5.60GHZ</t>
  </si>
  <si>
    <t>ME8GKCP556SS6</t>
  </si>
  <si>
    <t> MEM RAM 8G KCP SODIMM 5.6G DR5</t>
  </si>
  <si>
    <t>Memoria SODIMM Kingston 8GB DDR5-5600MT/s, PC5-44800, CL46, 1.1V, 262-pin, 1Rx16, Non</t>
  </si>
  <si>
    <t>ME8GKVR56S46BS6</t>
  </si>
  <si>
    <t> MEM RAM 8G KVR 5.60G SODIM DR5</t>
  </si>
  <si>
    <t>Memoria SODIMM Kingston 8GB DDR5-5600MT/s, PC5-44800, CL46, 1.1V, 1Rx16, 262-pin[@@@]</t>
  </si>
  <si>
    <t>ME16KVR64V52BS8</t>
  </si>
  <si>
    <t> MEM RAM 16G KVR 6.40MT CSOD D5</t>
  </si>
  <si>
    <t>Memoria SO-DIMM Kingston 16GB DDR5-6400MT/s, PC5-51200, CL52, 1.1V, 262-pin, 1Rx8, No</t>
  </si>
  <si>
    <t>ME32KVR64V52BD8</t>
  </si>
  <si>
    <t> MEM RAM 32G KVR 6.40MT CSOD D5</t>
  </si>
  <si>
    <t>Memoria Kingston ValueRAM, 32GB DDR5-6400MT/s, CL52, 1.1V[@@@]Maximiza el rendimiento</t>
  </si>
  <si>
    <t>ME8GKVR64V52BS6</t>
  </si>
  <si>
    <t> MEM RAM 8G KVR 6.40MTS CSOD D5</t>
  </si>
  <si>
    <t>Memoria Kingston ValueRAM, 8GB DDR5-6400MT/s, CL52, 1.1V[@@@]Potencia y rendimiento c</t>
  </si>
  <si>
    <t>ACCADVCUPB</t>
  </si>
  <si>
    <t> TAZA ADV A INOXIDABLE 600ML</t>
  </si>
  <si>
    <t>ACCGDCUPSMART</t>
  </si>
  <si>
    <t> OPEN EAR HEARPHONE CAP</t>
  </si>
  <si>
    <t>ACCGDE13C</t>
  </si>
  <si>
    <t> LENTES DE SOL CON AUDIO E13C</t>
  </si>
  <si>
    <t>El material de nylon y resistente, puede resistirla radiación ultravioleta UV400[@@@]</t>
  </si>
  <si>
    <t>ACCGDG05T3</t>
  </si>
  <si>
    <t> LENTES DE SOL CON AUDIO G05T3</t>
  </si>
  <si>
    <t>ACCGDTPSOL</t>
  </si>
  <si>
    <t> TAPA SOL DELTRON AZUL</t>
  </si>
  <si>
    <t>ACCGDXV15W</t>
  </si>
  <si>
    <t> LE DE SOL C AUDIO Y CAN DEP W</t>
  </si>
  <si>
    <t>ACCHALFBIKEN</t>
  </si>
  <si>
    <t> BICICLETA DE PIE NEGRO</t>
  </si>
  <si>
    <t>ACCHALFBIKER</t>
  </si>
  <si>
    <t> BICICLETA DE PIE ROJO</t>
  </si>
  <si>
    <t>ACCKITTOOL</t>
  </si>
  <si>
    <t> KIT DE HERRAMIENTAS</t>
  </si>
  <si>
    <t>ACCLAPICEROADV</t>
  </si>
  <si>
    <t> LAPICERO ADVANCE</t>
  </si>
  <si>
    <t>ACCNECKFANBL</t>
  </si>
  <si>
    <t> VENTILADOR DE CUELLO AZUL</t>
  </si>
  <si>
    <t>ACCPENGDNFC</t>
  </si>
  <si>
    <t> LAPICERO DELTRON BLUE NFC</t>
  </si>
  <si>
    <t>ACCPRTGD156</t>
  </si>
  <si>
    <t> GD PROTECTOR NB 15.6\''</t>
  </si>
  <si>
    <t>ACCTEBOTTLER</t>
  </si>
  <si>
    <t> BOT TEROS A INOXIDABLE 1200ML</t>
  </si>
  <si>
    <t>ACCTECUPR</t>
  </si>
  <si>
    <t> TAZA TEROS A INOXIDABLE 600ML</t>
  </si>
  <si>
    <t>ACCTEJACKET</t>
  </si>
  <si>
    <t> JACKET TEROS BLACK</t>
  </si>
  <si>
    <t>ACCTEJACKETR</t>
  </si>
  <si>
    <t> JACKET TEROS RED</t>
  </si>
  <si>
    <t>ACCTEJACKETW</t>
  </si>
  <si>
    <t> JACKET TEROS WHITE</t>
  </si>
  <si>
    <t>ACCTEROSTPSOL</t>
  </si>
  <si>
    <t> TEROS TAPA SOL</t>
  </si>
  <si>
    <t>ACDELTRONBAGECO</t>
  </si>
  <si>
    <t> BOLSA ECO DELTRON 50X40X15</t>
  </si>
  <si>
    <t>ACGDTABLEP</t>
  </si>
  <si>
    <t> MESA PORTATIL PLAPTOP</t>
  </si>
  <si>
    <t>ACGDTOURPOLMLHL</t>
  </si>
  <si>
    <t> POLO C MANGA L GD TOURS H L</t>
  </si>
  <si>
    <t>ACGDTOURPOLMLHM</t>
  </si>
  <si>
    <t>ACGDTOURPOLOMLM</t>
  </si>
  <si>
    <t> POLO C MANGA L GD TOURS</t>
  </si>
  <si>
    <t>ACLENOVOBOLSAG</t>
  </si>
  <si>
    <t> BOLSA LENOVO 50 X 40 CM GREEN</t>
  </si>
  <si>
    <t>ACLENOVOBOLSAR</t>
  </si>
  <si>
    <t> BOLSA LENOVO 50 X 40 CM IDEA</t>
  </si>
  <si>
    <t>ACPINADVCORAZON</t>
  </si>
  <si>
    <t> PIN LOGO ADVANCE CORAZON</t>
  </si>
  <si>
    <t>ACPINLOGOADV</t>
  </si>
  <si>
    <t> PIN LOGO ADVANCE</t>
  </si>
  <si>
    <t>ACPOLOGDTOURL</t>
  </si>
  <si>
    <t> POLO TOURS DELTRON L</t>
  </si>
  <si>
    <t>ACPOLOTECUELLO</t>
  </si>
  <si>
    <t> POLO TEROS CON CUELLO ROJO</t>
  </si>
  <si>
    <t>ACTEPOLMLHL</t>
  </si>
  <si>
    <t> POLO C MANGA L TEROS L</t>
  </si>
  <si>
    <t>ACTEPOLMLHM</t>
  </si>
  <si>
    <t> POLO C MANGA L TEROS H M</t>
  </si>
  <si>
    <t>ACTEPOLMLL</t>
  </si>
  <si>
    <t>ACTEPOLMLM</t>
  </si>
  <si>
    <t> POLO C MANGA L TEROS M</t>
  </si>
  <si>
    <t>ACTEROSECO15PEN</t>
  </si>
  <si>
    <t> BOLSA ECOLOGICA TEROS PERU N</t>
  </si>
  <si>
    <t>ACTEROSECO15PER</t>
  </si>
  <si>
    <t> BOLSA ECOLOGICA TEROS PERU R</t>
  </si>
  <si>
    <t>ZZAMPLIFDELTRON</t>
  </si>
  <si>
    <t> MERCH AMPLIFICADR DELTRON</t>
  </si>
  <si>
    <t>ZZBALANZAVIAJED</t>
  </si>
  <si>
    <t> BALANZA VIAJERA DELTRON</t>
  </si>
  <si>
    <t>ZZBOLSABD</t>
  </si>
  <si>
    <t> BOLSA GD</t>
  </si>
  <si>
    <t>ZZBOLSADELTRON2</t>
  </si>
  <si>
    <t> BOLSAS PAPEL DELTRON</t>
  </si>
  <si>
    <t>ZZBOLSATELAMICR</t>
  </si>
  <si>
    <t> BOLSA TELA MICROSOFT</t>
  </si>
  <si>
    <t>ZZBOTINOXIDABLE</t>
  </si>
  <si>
    <t> BOTELLA INOXIDABLE DELTRON</t>
  </si>
  <si>
    <t>ZZBOTTROJOLENOV</t>
  </si>
  <si>
    <t> BOTELLA ROJO LENOVO</t>
  </si>
  <si>
    <t>LENOVO</t>
  </si>
  <si>
    <t>ZZCANGURODELTRO</t>
  </si>
  <si>
    <t> CANGURO DELTRON</t>
  </si>
  <si>
    <t>ZZCHALECOTOSHIB</t>
  </si>
  <si>
    <t> CHALECO NEGRO TOSHIBA</t>
  </si>
  <si>
    <t>TOSHIBA</t>
  </si>
  <si>
    <t>ZZGIFT100EPSONC</t>
  </si>
  <si>
    <t> GIFT DE REGALO EPSON CON26</t>
  </si>
  <si>
    <t>ZZGIFTTAILOY100</t>
  </si>
  <si>
    <t> GIFT TAILOY 100 LENOVO</t>
  </si>
  <si>
    <t>ZZGORROMSFDELTR</t>
  </si>
  <si>
    <t> GORROS MICROSOFT</t>
  </si>
  <si>
    <t>ZZGUIABOLSILLOA</t>
  </si>
  <si>
    <t> GUI DE BOLSILLO AMD - DELTRON</t>
  </si>
  <si>
    <t>ZZLANYARDAMDDEL</t>
  </si>
  <si>
    <t> LANYARD AMD</t>
  </si>
  <si>
    <t>ZZLANYARDELTRON</t>
  </si>
  <si>
    <t> LANYAR TOUR DELTRON</t>
  </si>
  <si>
    <t>ZZLAPICEROAMD</t>
  </si>
  <si>
    <t> LAPICERO BASICOS AMD</t>
  </si>
  <si>
    <t>ZZLAPICEROSANDI</t>
  </si>
  <si>
    <t> LAPICERO ROJO SANDISK</t>
  </si>
  <si>
    <t>ZZLIBRETAAMD</t>
  </si>
  <si>
    <t> LIBRETA AMD</t>
  </si>
  <si>
    <t>ZZLIBRETASANDIS</t>
  </si>
  <si>
    <t> LIBRETA ROJA SANDISK</t>
  </si>
  <si>
    <t>ZZLIBRETASNEGRO</t>
  </si>
  <si>
    <t> LIBRETAS NEGRO LG</t>
  </si>
  <si>
    <t>ZZLLAVEROHP</t>
  </si>
  <si>
    <t> LLAVERO HP</t>
  </si>
  <si>
    <t>ZZLONCHERALGNEG</t>
  </si>
  <si>
    <t> LONCHERO NEGRA LG</t>
  </si>
  <si>
    <t>ZZMMSPTE6018R</t>
  </si>
  <si>
    <t> PARLANTE TEROS MERRY CHRIST</t>
  </si>
  <si>
    <t>ZZMOUSEPADDELTR</t>
  </si>
  <si>
    <t> MOUSE PAD DELTRON</t>
  </si>
  <si>
    <t>ZZMUGNEGROLG</t>
  </si>
  <si>
    <t> MUG NEGRO LG</t>
  </si>
  <si>
    <t>ZZPINGUINOSANVA</t>
  </si>
  <si>
    <t> PINGÜINO SAN VALENTÍN MS</t>
  </si>
  <si>
    <t>ZZPLANNERSDELTR</t>
  </si>
  <si>
    <t> PLANNERS DELTRON 2026</t>
  </si>
  <si>
    <t>ZZPOLERACELESTE</t>
  </si>
  <si>
    <t> POLERA CELESTE MICROSOFT</t>
  </si>
  <si>
    <t>ZZPOLERANARANJA</t>
  </si>
  <si>
    <t> POLERA NARANJA MICROSOFT</t>
  </si>
  <si>
    <t>ZZPOLOAMD</t>
  </si>
  <si>
    <t> POLO BASICO AMD</t>
  </si>
  <si>
    <t>ZZPOLOBLANCOEPS</t>
  </si>
  <si>
    <t> POLO BLANCO EPSON INDUSTRIAL</t>
  </si>
  <si>
    <t>ZZPOLOCAMISEROA</t>
  </si>
  <si>
    <t> POLO CAMISERO AMD</t>
  </si>
  <si>
    <t>ZZPOLOCELESTEMI</t>
  </si>
  <si>
    <t> POLO CELESTE MICROSOFT</t>
  </si>
  <si>
    <t>ZZPOLOCICLISMOD</t>
  </si>
  <si>
    <t> POLO CICLISMO DELTRON</t>
  </si>
  <si>
    <t>ZZPOLOCUELLOAZU</t>
  </si>
  <si>
    <t> POLO AZUL EPSON 26</t>
  </si>
  <si>
    <t>ZZPOLOCUELLOVMT</t>
  </si>
  <si>
    <t> POLO CUELLO V MUJER NEGRO</t>
  </si>
  <si>
    <t>ZZPOLOPIQUEAZUL</t>
  </si>
  <si>
    <t> POLO PÍQUE AZUL EPSON</t>
  </si>
  <si>
    <t>EPSON - CONSUMO</t>
  </si>
  <si>
    <t>ZZRESALTADOREPS</t>
  </si>
  <si>
    <t> RESALTADOR EPSON</t>
  </si>
  <si>
    <t>ZZTARJETA220HPC</t>
  </si>
  <si>
    <t> TARJETA 220 HP COMERCIAL</t>
  </si>
  <si>
    <t>ZZTARJETA30HPCO</t>
  </si>
  <si>
    <t> TARJETA 30 HP COMERCIAL</t>
  </si>
  <si>
    <t>ZZTASASLOGIT</t>
  </si>
  <si>
    <t> TASA LOGITECH</t>
  </si>
  <si>
    <t>ZZTOMATODOLGBLA</t>
  </si>
  <si>
    <t> TOMATODO BLANCO LG</t>
  </si>
  <si>
    <t>ZZTOMATODOMICRO</t>
  </si>
  <si>
    <t> TOMATODO MICROSOFT</t>
  </si>
  <si>
    <t>ZZVENTILADORPOR</t>
  </si>
  <si>
    <t> VENTILADOR PORTATIL DELTRON</t>
  </si>
  <si>
    <t>ZZZBOTSPKBL19</t>
  </si>
  <si>
    <t> BOTTLE W/SPEAKER 530ML DELTRON</t>
  </si>
  <si>
    <t>ZZZDELLANYARD19</t>
  </si>
  <si>
    <t> 3 IN 1 NYLON LANYARD CABLE ADV</t>
  </si>
  <si>
    <t>ZZZNZXTTSHIRT</t>
  </si>
  <si>
    <t> TSHIRT NZXT MERCHANDISING</t>
  </si>
  <si>
    <t>NZXT</t>
  </si>
  <si>
    <t>ZZZTEROSLBRTA</t>
  </si>
  <si>
    <t> LIBRETA ECOLOGICA MOD. CH-BF55</t>
  </si>
  <si>
    <t>ZZZYELDUCK19</t>
  </si>
  <si>
    <t> PROTECTOR LITTLE YELLOW DUCK</t>
  </si>
  <si>
    <t>ZZZZADVLBRTA</t>
  </si>
  <si>
    <t>NBACKTE9047SK</t>
  </si>
  <si>
    <t> BACKPACK TEROS CITY III SKY BL</t>
  </si>
  <si>
    <t>Backpack Teros City III TE-9047SK, para Notebooksde hasta 15.6" - Color Azul Claro[@@</t>
  </si>
  <si>
    <t>NBACKTE9048NV</t>
  </si>
  <si>
    <t> BACKPACK TEROS CITY III NAVY</t>
  </si>
  <si>
    <t>Backpack Teros City III Navy TE9048NV, para Notebooks de hasta 15.6", Color Azul[@@@]</t>
  </si>
  <si>
    <t>NBACKTE9049RD</t>
  </si>
  <si>
    <t> BACKPACK ROSEANN II RED</t>
  </si>
  <si>
    <t>Backpack Teros Roseann II TE-9049RD, para Notebooks de hasta 14.1", Color Rojo[@@@]Lu</t>
  </si>
  <si>
    <t>NBACKTE9050BK</t>
  </si>
  <si>
    <t> BACKPACK ROSEANN II BLACK</t>
  </si>
  <si>
    <t>Backpack Teros Roseann II TE-9050BK, para Notebooks de hasta 14.1" - Color Black[@@@]</t>
  </si>
  <si>
    <t>NBACKTE9051BL</t>
  </si>
  <si>
    <t> BACKPACK ROSEANN II BLUE</t>
  </si>
  <si>
    <t>Backpack Teros Roseann II TE-9051BL, para Notebooks de hasta 14.1" - Color Azul[@@@]O</t>
  </si>
  <si>
    <t>NBACTE9018BK</t>
  </si>
  <si>
    <t> BACKPACK TEROS GAMER VISION</t>
  </si>
  <si>
    <t>Backpack Teros Gamer Vision TE-ACS9018BK, para Notebooks de hasta 15.6"[@@@]Mochila G</t>
  </si>
  <si>
    <t>NBACTE9019BL</t>
  </si>
  <si>
    <t> BACKPACK TEROS NOVA BLUE/BROWN</t>
  </si>
  <si>
    <t>Backpack Teros Nova TE-ACS9019, para Notebooks dehasta 15.6", Color Azul/Marrón[@@@]E</t>
  </si>
  <si>
    <t> BACKPACK TEROS NOVA GREY/BROWN</t>
  </si>
  <si>
    <t>NBACTE90282BL</t>
  </si>
  <si>
    <t> BACKPACK TEROS CITY II-2 BLUE</t>
  </si>
  <si>
    <t>Backpack Teros City II TE-9028-2B, para Notebooksde hasta 15.6" - Color Azul[@@@]Llev</t>
  </si>
  <si>
    <t>NBACTE90282GR</t>
  </si>
  <si>
    <t> BACKPACK TEROS CITY II-2 GREY</t>
  </si>
  <si>
    <t>Backpack Teros City II TE-9028-2GR, para Notebooks de hasta 15.6" - Color Gris[@@@]Mu</t>
  </si>
  <si>
    <t>NBACTE9028GR</t>
  </si>
  <si>
    <t> BACKPACK TEROS CITY II GREY</t>
  </si>
  <si>
    <t>Backpack Teros City II TE-9028GR, para Notebooks de hasta 15.6" Color Gris[@@@]Descub</t>
  </si>
  <si>
    <t>NBACTE9030BK</t>
  </si>
  <si>
    <t> BACKPACK TEROS ELITE BLACK</t>
  </si>
  <si>
    <t>Backpack Teros Elite TE-9030BK, para notebooks dehasta 17", Color Negro[@@@]Descubre</t>
  </si>
  <si>
    <t>NBACTE9031BL</t>
  </si>
  <si>
    <t> BACKPACK TEROS CITY II BLACK</t>
  </si>
  <si>
    <t>Backpack Teros City II TE-9031BL, para Notebooks de hasta 15.6", Negro[@@@]Lleva todo</t>
  </si>
  <si>
    <t>NBACTE9032GR</t>
  </si>
  <si>
    <t> BACKPACK TEROS CITY II GREEN</t>
  </si>
  <si>
    <t>Backpack Teros City II TE-9032GR, Para Notebooks de hasta 15.6", Color Verde[@@@]Llev</t>
  </si>
  <si>
    <t>NBACTE9033AG</t>
  </si>
  <si>
    <t> BACKPACK TEROS CITY II ASHGREY</t>
  </si>
  <si>
    <t>Backpack Teros City II TE-9033AG, para Notebooks de hasta 15.6", Griss Ceniza[@@@]Mué</t>
  </si>
  <si>
    <t>NBACTE9034BK</t>
  </si>
  <si>
    <t> BACKPACK TE9034BK HYDRATION</t>
  </si>
  <si>
    <t>Mochila de Hidratación Teros TE-9034BK, incluye bolsa de agua de 2L, Poliéster[@@@]Ma</t>
  </si>
  <si>
    <t>NBACTE9035BL</t>
  </si>
  <si>
    <t> BACKPACK TEROS ELITE BLUE</t>
  </si>
  <si>
    <t>Backpack Teros Elite TE-9035BL, para Notebooks dehasta 17", Color Azul[@@@]Descubre l</t>
  </si>
  <si>
    <t>NBACTE9037BK</t>
  </si>
  <si>
    <t> BACKPACK TEROS TRAVEL 15.6 BLK</t>
  </si>
  <si>
    <t>Travel Backpack Teros TE9037BK, para Notebooks dehasta 15.6", Color Black[@@@]Explora</t>
  </si>
  <si>
    <t>NBACTE9038BW</t>
  </si>
  <si>
    <t> BACKPACK TEROS TRAVEL 15.6 BRW</t>
  </si>
  <si>
    <t>Travel Backpack Teros TE-9038BW, para Notebooks de hasta 15.6", Color Brown[@@@]Viaja</t>
  </si>
  <si>
    <t>NBACTE9040DG</t>
  </si>
  <si>
    <t> BACKPACK TEROS TRAVEL DARK GR</t>
  </si>
  <si>
    <t>Backpack Teros City II TE-9040DG, Para Notebooks de hasta 15.6", Color Verde[@@@]Vers</t>
  </si>
  <si>
    <t>ZZACTE9046BG</t>
  </si>
  <si>
    <t> BACKPACK TEROS CITY III BEIGE</t>
  </si>
  <si>
    <t>ZZACTEACS9019</t>
  </si>
  <si>
    <t>ZZACTEACS9020</t>
  </si>
  <si>
    <t>ZZMSTE9037BK</t>
  </si>
  <si>
    <t>ZZMSTE9038BW</t>
  </si>
  <si>
    <t>ZZNBACTE9024TOS</t>
  </si>
  <si>
    <t> ZZ MOCHILA TEROS WORK(TOSHIBA)</t>
  </si>
  <si>
    <t>ZZNBACTE9037BK</t>
  </si>
  <si>
    <t> ZZ MOCHILA TRAV 15.6 (TOSHIBA)</t>
  </si>
  <si>
    <t>ZZTE9040BSM</t>
  </si>
  <si>
    <t> BACKPACK TEROS BLACK</t>
  </si>
  <si>
    <t>MON236CADV2452S</t>
  </si>
  <si>
    <t> MON ADV 24\'\' FHD 100HZ 1MS C</t>
  </si>
  <si>
    <t>Monitor Curvo Advance ADV-2452S, 23.6" FHD VA, 100Hz, 1ms, HDMI, DP, Parlante, Negro[</t>
  </si>
  <si>
    <t>MON238CTE2403S</t>
  </si>
  <si>
    <t> MON TE 24\'' FHD 144HZ 1MS CV</t>
  </si>
  <si>
    <t>MON27CADV2751S</t>
  </si>
  <si>
    <t> MON ADV 27' FHD 100HZ 1MS CVO</t>
  </si>
  <si>
    <t>MON34LG34G600AB</t>
  </si>
  <si>
    <t> MON LG LED 34" VA CURVO 160HZ</t>
  </si>
  <si>
    <t>Monitor Gaming LG UltraGear G6, 34” Curvo/WQHD/VA/160Hz/1ms MBR/HDMI x2/DP/Headphone-</t>
  </si>
  <si>
    <t>MO24MSMAG242C</t>
  </si>
  <si>
    <t> MON 24 MS MAG 242C FHD 180H 1M</t>
  </si>
  <si>
    <t>Monitor MSI MAG 242C Curvo (1500R) 23.6”, FHD VA,HDMI / DP / Headphone-Out[@@@]El mon</t>
  </si>
  <si>
    <t>MON27CTE2788G</t>
  </si>
  <si>
    <t> MON TE 27\'' FHD 200HZ 1MS CV</t>
  </si>
  <si>
    <t>Monitor Curvo Gaming Teros TE-2788G, 27" FHD VA, 200 HZ, 1 MS,HDMI, DP, Audio Out[@@@</t>
  </si>
  <si>
    <t>ZZMON315CTE3219</t>
  </si>
  <si>
    <t> ZZ MON CURV TE-3219G (TOSHIBA)</t>
  </si>
  <si>
    <t>ZZMONTERTE3215G</t>
  </si>
  <si>
    <t> ZZ MONITOR GAM TEROS BY AMD</t>
  </si>
  <si>
    <t>MO24ASVG249Q5A</t>
  </si>
  <si>
    <t> MON 24 AS VG249Q5A FHD 200H 1M</t>
  </si>
  <si>
    <t>Monitor Plano ASUS TUF Gaming VG249Q5A 23.8" FHD/IPS/HDMIx2/DP/Earphone-out/Parlante(</t>
  </si>
  <si>
    <t>MO25GBGS25F2</t>
  </si>
  <si>
    <t> MON 25 GB GS25F2 1MS 200HZ</t>
  </si>
  <si>
    <t>MO25MSMP251E14L</t>
  </si>
  <si>
    <t> MON 25 MS PRO MP251 E14L FHD</t>
  </si>
  <si>
    <t>Monitor Plano Gaming MSI PRO MP251 E14L, 24.5" FHD IPS, 144Hz, HDMI x1, VGA x1[@@@]El</t>
  </si>
  <si>
    <t>MON245FTE2475G</t>
  </si>
  <si>
    <t> MON TE 24\'\' FHD 180HZ 1MS FL</t>
  </si>
  <si>
    <t>Monitor plano gaming TEROS TE-2475G 24.5" FHD VA 180Hz 1ms HDMI DP AUDIO OUT negro[@@</t>
  </si>
  <si>
    <t>MO27GBGS27FA</t>
  </si>
  <si>
    <t> MON 27 GB GS27FA FHD 1MS 180HZ</t>
  </si>
  <si>
    <t>MO27GBGS27QA</t>
  </si>
  <si>
    <t> MON 27 GB GS27QA 2K 1MS 180HZ</t>
  </si>
  <si>
    <t>MO27GBGS27QX</t>
  </si>
  <si>
    <t> MON 27 GB GS27QX 2K 240HZ 1MS</t>
  </si>
  <si>
    <t>MO27GBM27Q2ICE</t>
  </si>
  <si>
    <t> MON 27 GB M27Q2 ICE 2K 200H 1M</t>
  </si>
  <si>
    <t>MON27FTE2754G</t>
  </si>
  <si>
    <t> MON TE 27\'' QHD 200HZ 1MS FT</t>
  </si>
  <si>
    <t>Monitor Plano Gaming TEROS TE-2754G, 27" QHD IPS,200Hz, 1ms, HDMI, DP, AUDIO OUT[@@@]</t>
  </si>
  <si>
    <t>MON27FTE2786G</t>
  </si>
  <si>
    <t> MON TE 27\'' FHD 200HZ 1MS FT</t>
  </si>
  <si>
    <t>Monitor Plano Gaming TEROS TE-2786G, 27" FHD IPS,200Hz, 1ms, HDMI, DP, Audio Out[@@@]</t>
  </si>
  <si>
    <t>MON27LG27G411A</t>
  </si>
  <si>
    <t> MON GAM LED 27 IPS 144HZ 1 MS</t>
  </si>
  <si>
    <t>Monitor LG 27G411A-B, 27”/FHD/IPS/144Hz/HDMI/DP/USB/Headphones-out (3-polos, Solo Son</t>
  </si>
  <si>
    <t>MON27LG27G610AB</t>
  </si>
  <si>
    <t> MON LG GAM 27 IPS 200H 1MS QHD</t>
  </si>
  <si>
    <t>Monitor Gaming LG UltraGear G6, 27” QHD/IPS/200Hz/1ms (GtG)/HDMI x2/DP/Headphone-out[</t>
  </si>
  <si>
    <t>MONSMLS27DG612S</t>
  </si>
  <si>
    <t> MON SAMSUNG LS27DG612SLXPE</t>
  </si>
  <si>
    <t>SAMSUNG</t>
  </si>
  <si>
    <t>Monitor plano gaming SAMSUNG Odyssey OLED G6, 27"QHD, 240Hz, HDMI, DP[@@@]Experimenta</t>
  </si>
  <si>
    <t>MO32GBGS32Q</t>
  </si>
  <si>
    <t> MON 32 GB GS32Q 2K 1MS 165HZ</t>
  </si>
  <si>
    <t>MOV32LG32GS75Q</t>
  </si>
  <si>
    <t> MON LED GAMING 31.5" 32GS75Q</t>
  </si>
  <si>
    <t>Monitor LG Gaming 31.5" UltraGear QHD IPS (2560x1440), 180Hz, HDMIx2/DPx1/Headphone-O</t>
  </si>
  <si>
    <t>MO22ASVT229H</t>
  </si>
  <si>
    <t> MON 21.5 AS VT229H TACTIL FHD</t>
  </si>
  <si>
    <t>Monitor Plano Multitactil ASUS VT229H, 21.5" FHD IPS (1920x1080) /HDMI x1/VGA x1[@@@]</t>
  </si>
  <si>
    <t>MO22ASVT229H-B</t>
  </si>
  <si>
    <t>MONHP9U5B0UTABA</t>
  </si>
  <si>
    <t> MON HP 21.5 SERIE 3 PRO 322PF</t>
  </si>
  <si>
    <t>Monitor Plano HP Serie 3 Pro 322pf, 21.5" WLED/FHD/IPS/100Hz/Antirreflectante/HDMI/DP</t>
  </si>
  <si>
    <t>MONHPB0BN7UTABA</t>
  </si>
  <si>
    <t> HP 21.5 S3PRO 322PH/HDMI/DP/VG</t>
  </si>
  <si>
    <t>Monitor Full HD de la serie HP 3 Pro de 21.5 pulgadas - 322ph, FHD/IPS/HDMI/DP/VGA[@@</t>
  </si>
  <si>
    <t>MONLE63B0MAR6LA</t>
  </si>
  <si>
    <t> T22I-30 21.5 VGA/DP/HDMI/USB</t>
  </si>
  <si>
    <t>Monitor Lenovo ThinkVision T22i-30, 21.5" 1920x1080 WLED IPS HDMI/DP/VGA Color Raven</t>
  </si>
  <si>
    <t>MONLE64C9MAR6LA</t>
  </si>
  <si>
    <t> MON LE 21.5 E22-40/VGA/HDMI/DP</t>
  </si>
  <si>
    <t>Monitor Lenovo ThinkVision E22-40, 21.5" 1920x1080 WLED IPS, HDMI/DP/VGA Color Raven</t>
  </si>
  <si>
    <t>MONSMLS22D400GA</t>
  </si>
  <si>
    <t> MON SAMSUNG LS22D400GALXPE</t>
  </si>
  <si>
    <t>Monitor plano SAMSUNG Essential Monitor S4, 22" FHD IPS, 100Hz, HDMI, DP[@@@]El monit</t>
  </si>
  <si>
    <t>ZZMONTE2130C</t>
  </si>
  <si>
    <t> MON TE 21.5 FHD 100HZ 5MS (HP)</t>
  </si>
  <si>
    <t>MON238FADV2454S</t>
  </si>
  <si>
    <t> MON ADV 24\'' FHD 144HZ 1MS FT</t>
  </si>
  <si>
    <t>MON238FTE2415S</t>
  </si>
  <si>
    <t> MON TE 24 FHD 120HZ 1MS FLAT</t>
  </si>
  <si>
    <t>MON238FTE2416CS</t>
  </si>
  <si>
    <t> MON TE 24 QHD 100HZ 1MS CAM/MI</t>
  </si>
  <si>
    <t>MON238FTE2417S</t>
  </si>
  <si>
    <t> MON TE 24\'' FHD 144HZ 1MS FT</t>
  </si>
  <si>
    <t>MONHP169L0AAABA</t>
  </si>
  <si>
    <t> E24MV G4 CONFERENCING MONITOR</t>
  </si>
  <si>
    <t>Monitor HP E24mv G4, 23.8" FHD (1920x1080) IPS, HDMI/VGA/DP/USB-A 3.1 Gen 1(4)[@@@]In</t>
  </si>
  <si>
    <t>MONHP6N6E6AAABA</t>
  </si>
  <si>
    <t> MON HP 23.8 E24T G5 TOUCH</t>
  </si>
  <si>
    <t>Monitor HP E24t G5 TOUCH, 23.8” FHD IPS(1920x1080) DP / HDMI / USB-A x4 / USB-B[@@@]E</t>
  </si>
  <si>
    <t>MONHP8X534AAABA</t>
  </si>
  <si>
    <t> MON HP SERIE 7 PRO 724PN WUXGA</t>
  </si>
  <si>
    <t>Monitor Plano HP Serie 7 Pro 24"- 724pn, WUXGA/IPS/Antirreflectante/HDMI/DP/USB-A/USB</t>
  </si>
  <si>
    <t>MONHP8Y2F7AAABA</t>
  </si>
  <si>
    <t> HP 24'' SERIE 7 PRO 724PU WUXG</t>
  </si>
  <si>
    <t>Monitor HP WUXGA de la serie HP 7 Pro 24" - 724puWUXGA/IPS/HDMI/DP/USB-C/USB-A/RJ-45[</t>
  </si>
  <si>
    <t>MONHP9D9A7AAABA</t>
  </si>
  <si>
    <t> HP MON 24 S5 PRO 524PN/HDMI/DP</t>
  </si>
  <si>
    <t>Monitor HP WUXGA de la serie 5 Pro de 24" - 524pnWUXGA/IPS/HDMI/DP/USB-B/USB-A x4[@@@</t>
  </si>
  <si>
    <t>MONHP9D9L6UTABA</t>
  </si>
  <si>
    <t> HP MON 23.8 S5 PRO 524PF</t>
  </si>
  <si>
    <t>Monitor Plano HP Serie 5 Pro 524pf 23.8" WLED/FHD/IPS/Antirreflectante/HDMI/DP/USB-A/</t>
  </si>
  <si>
    <t>MONHP9U5C1AAABA</t>
  </si>
  <si>
    <t> MON HP 23.8 SERIE 3 PRO 324PV</t>
  </si>
  <si>
    <t>Monitor Plano HP Serie 3 Pro 324pv, 23.8" WLED/FHD/VA/100Hz/Antirreflectante/HDMI/VGA</t>
  </si>
  <si>
    <t>MONHP9U5J5UTABA</t>
  </si>
  <si>
    <t> HP 23.8 S3PRO324PF/VGA/HDMI/DP</t>
  </si>
  <si>
    <t>Monitor Plano HP Series 3 Pro 324pf, 23.8” FHD IPS (1920x1080@100Hz) DP / HDMI/ VGA[@</t>
  </si>
  <si>
    <t>MONLE62C5GAR1LA</t>
  </si>
  <si>
    <t> T24T-20 TOUCH 23.8/VGA/DP/HDMI</t>
  </si>
  <si>
    <t>Monitor Lenovo ThinkVision T24t-20, 23.8" 1920x1080 WLED IPS HDMI/DP/USB-C 3.2 Gen 1[</t>
  </si>
  <si>
    <t>MONLE64A4MARXLA</t>
  </si>
  <si>
    <t> T24-40 23.8 FHD HDMI/DP/VG/USB</t>
  </si>
  <si>
    <t>Monitor Lenovo ThinkVision T24-40 23.8" WLED IPS HDMIx1/DPx1/VGAx1/USB-Ax3/USB-Bx1/US</t>
  </si>
  <si>
    <t>MONLE64B2GAR1LA</t>
  </si>
  <si>
    <t> MON LE 23.8 P24Q-40/DP/HDMI/US</t>
  </si>
  <si>
    <t>Monitor Plano Lenovo ThinkVision P24Q-40, 23.8" QHD/IPS/HDMI/DP/DP-OUT/USB-A/USB-B/US</t>
  </si>
  <si>
    <t>MONLE64B5KAR1LA</t>
  </si>
  <si>
    <t> MON LEN 23.8 S24-4E VGA/HDMI</t>
  </si>
  <si>
    <t>Monitor Plano Lenovo ThinkVision S24-4e, 23.8" WLED FHD IPS/HDMI/VGA[@@@]El monitor L</t>
  </si>
  <si>
    <t>MONLE64B6MAR1LA</t>
  </si>
  <si>
    <t> MON 23.8 T24-4V WEBCAM+MIC</t>
  </si>
  <si>
    <t>Monitor Lenovo ThinkVision T24-4v, 23.8" WLED FHD/IPS/HDMI/DP/VGA/USB-A x3/USB-B/USB-</t>
  </si>
  <si>
    <t>MONLE64BAMAR1LA</t>
  </si>
  <si>
    <t> MON LE 23.8 E24-40 DP/HDMI/VGA</t>
  </si>
  <si>
    <t>Monitor Plano Lenovo ThinkVision E24-40, 23.8" WLED FHD IPS/HDMI/DP/VGA/Parlantes (2W</t>
  </si>
  <si>
    <t>MONLE67DDKAC6LA</t>
  </si>
  <si>
    <t> MON LE 23.8 L24-4C HDMI/VGA/3Y</t>
  </si>
  <si>
    <t>Monitor Plano Lenovo L24-4C, 23.8" (1920 x 1080) WLED FHD IPS, 144HZ, HDMI, VGA[@@@]O</t>
  </si>
  <si>
    <t>MONLE68C2KAC1LA</t>
  </si>
  <si>
    <t> MON LE 23.8 L24-4E/HDMI/VGA</t>
  </si>
  <si>
    <t>Monitor Plano Lenovo L24-4e,23.8" (1920 x 1080) WLED FHD IPS, HDMI, VGA[@@@]Equipa tu</t>
  </si>
  <si>
    <t>MO25GBGS25F14</t>
  </si>
  <si>
    <t> MON 25 GB GS25F14 FHD 144HZ 1M</t>
  </si>
  <si>
    <t>MONLE64B9GAR1LA</t>
  </si>
  <si>
    <t> MON LE 23.8 T24D-40/HDMI/DP/US</t>
  </si>
  <si>
    <t>MON27FADV2755S</t>
  </si>
  <si>
    <t> MON ADV 27\'' FHD 144HZ 1MS FT</t>
  </si>
  <si>
    <t>MON27FTE2714S</t>
  </si>
  <si>
    <t> MON TE 27\'' FHD 144HZ 1MS FT</t>
  </si>
  <si>
    <t>MON27FTE2715CS</t>
  </si>
  <si>
    <t> MON TE 27 QHD 100HZ 1MS CAM/MI</t>
  </si>
  <si>
    <t>Monitor Plano Corporativo TEROS TE-2715CS, QHD IPS, 100Hz, HDMI, DP, Audio Out, Cámar</t>
  </si>
  <si>
    <t>MON27LG27G440AB</t>
  </si>
  <si>
    <t> MON LED 27 IPS FHD 240HZ PIVOT</t>
  </si>
  <si>
    <t>MON27LG27U411AB</t>
  </si>
  <si>
    <t> MON LG 27 IPS 120HZ 5MS FHD</t>
  </si>
  <si>
    <t>Monitor LG 27” FHD/IPS/120Hz/HDMI/VGA/Headphone-out[@@@]Monitor LG 27" IPS FHD con P/</t>
  </si>
  <si>
    <t>MON27LG27U631A</t>
  </si>
  <si>
    <t> MONITOR LED 27\" IPS QHD 100HZ</t>
  </si>
  <si>
    <t>Monitor Plano LG 27U631A-B, 27" QHD IPS,100 Hz, HDMI, HDR10, HDR, USB-C: 15W[@@@]El m</t>
  </si>
  <si>
    <t>MONHPB0CG3UTABA</t>
  </si>
  <si>
    <t> MO HP 27 PRO 327PF/DP/HDMI/VGA</t>
  </si>
  <si>
    <t>Monitor Full HD de la serie HP 3 Pro de 27 pulgadas - 327pf, FHD/IPS/HDMI/VGA/Display</t>
  </si>
  <si>
    <t>MONLE64A5MAR6LA</t>
  </si>
  <si>
    <t> MON LEN THINKVISION T27-40 FHD</t>
  </si>
  <si>
    <t>Monitor Plano Lenovo ThinkVision T27-40, 27" WLEDFHD IPS/HDMI/DP/VGA/USB-C/USB-B/USB-</t>
  </si>
  <si>
    <t>MONLE64B8UAR1LA</t>
  </si>
  <si>
    <t> MON LE T27QD-4V/WEBCAM/DP/HDMI</t>
  </si>
  <si>
    <t>Monitor Plano Lenovo ThinkVision T27QD-4v, 27" WLED QHD/IPS/HDMI/DP/DP-OUT/USB-C/RJ45</t>
  </si>
  <si>
    <t>MONLE64BCMAR4LA</t>
  </si>
  <si>
    <t> MON LEN 27 E27-40 DP/HDMI/VGA</t>
  </si>
  <si>
    <t>Monitor Lenovo ThinkVision E27-40, 27" WLED/FHD/IPS/HDMI x1/DP x1/VGA x1/Parlantes: 2</t>
  </si>
  <si>
    <t>MONLE64BEKAR1LA</t>
  </si>
  <si>
    <t> MON LEN 27 S27-4E/HDMI/VGA/3Y</t>
  </si>
  <si>
    <t>Monitor Plano Lenovo ThinkVision S27-4e, 27" WLED/FHD/IPS/HDMI/VGA[@@@]El monitor Len</t>
  </si>
  <si>
    <t>MONLE67DEKAC1LA</t>
  </si>
  <si>
    <t> MON LEN L27-4C FHD/HDMI/VGA/3Y</t>
  </si>
  <si>
    <t>Monitor Plano Lenovo L27-4C, 27" (1920x1080) WLEDFHD IPS,144 HZ, HDMI, VGA[@@@]Disfru</t>
  </si>
  <si>
    <t>MONLE68CDKAC1LA</t>
  </si>
  <si>
    <t> MON LEN L27-4E FHD/HDMI/VGA/3Y</t>
  </si>
  <si>
    <t>Monitor Plano Lenovo L27-4E, 27"(1920x1080) WLED FHD IPS, 100HZ, HDMI, VGA[@@@]Mejora</t>
  </si>
  <si>
    <t>MONLEN63DFKAR4L</t>
  </si>
  <si>
    <t> MON LEN S27I-30 27INCH</t>
  </si>
  <si>
    <t>Monitor Lenovo ThinkVision S27i-30, 27" WLED IPS FHD (1920 x 1080), HDMI x2/VGA x1[@@</t>
  </si>
  <si>
    <t>MOV27LG27US500</t>
  </si>
  <si>
    <t> MON LG 27US500 PLANO 27 UHD 4K</t>
  </si>
  <si>
    <t>Monitor LG 27US500-W Plano 27” UHD 4K IPS / HDMI x2 / DP / Audio-Out[@@@]Monitor plan</t>
  </si>
  <si>
    <t>MON29LG29U531AW</t>
  </si>
  <si>
    <t> MON LED 29\" 21:9 100HZ, W/S</t>
  </si>
  <si>
    <t>Monitor UltraWide LG 29U531A-W, 29" WFHD IPS,100 Hz, HDMI,DP, HDR10, HDR, USB-C[@@@]E</t>
  </si>
  <si>
    <t>MONLE64B0ZAR1LA</t>
  </si>
  <si>
    <t> MON LE T32UD-40/DP/HDMI/USB</t>
  </si>
  <si>
    <t>Monitor Plano Lenovo ThinkVision T32UD-40, 31" WLED UHD/IPS/HDMI/DP/USB-C/USB-A/RJ45[</t>
  </si>
  <si>
    <t>MON34LG34U511AB</t>
  </si>
  <si>
    <t> MON LG IPS 34\" 100HZ HDMI DP</t>
  </si>
  <si>
    <t>Monitor LG 34U511A-B, 34”/WFHD/IPS/100Hz/HDMI/DP/Headphones-out (3-polos, Solo Sonido</t>
  </si>
  <si>
    <t>MONLE62CAUAR1US</t>
  </si>
  <si>
    <t> THINKVISION M15 15.6” FHD MOBI</t>
  </si>
  <si>
    <t>Monitor Lenovo ThinkVision M15 15.6" WLED IPS 1920x1080, 2x USB-C 3.2 G1 (DP 1.2 Alt</t>
  </si>
  <si>
    <t>MONSALG55UH5QE</t>
  </si>
  <si>
    <t> MON LG 55" /UHD/500NITS 24X7</t>
  </si>
  <si>
    <t>Monitor Digital Signage LG UHD 4K (3840×2160) 55UH5Q-E[@@@]El LG 55UH5Q-E es monitor</t>
  </si>
  <si>
    <t>MO27ASBE27ACSBK</t>
  </si>
  <si>
    <t> MON 27 AS BE27ACSBK 2K IPS</t>
  </si>
  <si>
    <t>ACCSPKSPMM302</t>
  </si>
  <si>
    <t> SPEAKA PROFESSIONAL SP-MM-302</t>
  </si>
  <si>
    <t>SPEAKA PROFESSIONAL</t>
  </si>
  <si>
    <t>Soporte de escritorio para monitor + Laptop, o 2 monitores Speaka Professional SP-MM-</t>
  </si>
  <si>
    <t>ACCTLP568050</t>
  </si>
  <si>
    <t> CABLE HDMI VID DIG AUDI 15.24M</t>
  </si>
  <si>
    <t>Cable de video Tripp-Lite P568-050, HDMI, HD 1080p, Negro, 15.24 mts.[@@@]</t>
  </si>
  <si>
    <t>ACMSMAGMT201D</t>
  </si>
  <si>
    <t> RACK SOPORTE MSI DUAL MON VESA</t>
  </si>
  <si>
    <t>Brazo soporte dual para monitores MSI MAG MT201D de estructura robusta y facil montaj</t>
  </si>
  <si>
    <t>ACRACKTE7114</t>
  </si>
  <si>
    <t> RACK MON 22-32'' TEROS TE7114</t>
  </si>
  <si>
    <t>Rack para 2 monitores de 22" a 32" / Brazo soporte TEROS TE-7114[@@@]Soporte de escri</t>
  </si>
  <si>
    <t>ACCSPKSPMM710</t>
  </si>
  <si>
    <t> SPEAKA PROFESSIONAL SP-MM-710</t>
  </si>
  <si>
    <t>Soporte de pared + bandeja para teclado para monitor SpeaKa Professional SP-MM-710[@@</t>
  </si>
  <si>
    <t>ACCSPKSPPOS100</t>
  </si>
  <si>
    <t> SPEAKA PROFESSIONAL SP-POS-100</t>
  </si>
  <si>
    <t>Soporte de monitor para terminal POS Speaka Professional SP-POS-100[@@@]El SpeaKa Pro</t>
  </si>
  <si>
    <t>ACCSPKSPPOS200</t>
  </si>
  <si>
    <t> SPEAKA PROFESSIONAL SP-POS-200</t>
  </si>
  <si>
    <t>Soporte de escritorio para sistemas POS Speaka Professional SP-POS-200[@@@]El speaka</t>
  </si>
  <si>
    <t>ACCBKTE9010S</t>
  </si>
  <si>
    <t> RACK PARA PIZARRA DE 75''-86''</t>
  </si>
  <si>
    <t>Rack portátil TEROS TE-9010S para pantalla táctilinteractiva de 75" a "86", negro[@@@</t>
  </si>
  <si>
    <t>DSOPSTEOPSI540</t>
  </si>
  <si>
    <t> OPS I516256 PARA PIZ. INTERACT</t>
  </si>
  <si>
    <t>Módulo de computadora (OPS) TEOPSI540 I5 12450H 16GB DDR4 SSD256GB 4K 60Hz + TPM Wi-F</t>
  </si>
  <si>
    <t>DSOPSTEOPSI542</t>
  </si>
  <si>
    <t> OPS I516512 PARA PIZ. INTERACT</t>
  </si>
  <si>
    <t>Módulo de computadora (OPS) TEOPSI542 I5 13420H 16GB DDR4 SSD512GB 8K 30Hz + TPM Wi-F</t>
  </si>
  <si>
    <t>IBHWIDSH</t>
  </si>
  <si>
    <t> IDEASHARE KEY (TIPO-A)</t>
  </si>
  <si>
    <t>HUAWEI</t>
  </si>
  <si>
    <t>Huawei IdeaShare Key (USB-A) Unidad de transferencia de medios)con Wi‑Fi rápida</t>
  </si>
  <si>
    <t>IBHWIDSHC</t>
  </si>
  <si>
    <t> IDEASHARE KEY（TYPE-C)</t>
  </si>
  <si>
    <t>Huawei IdeaShare Key USB‑C (Unidad de transferencia de medios) con Wi‑Fi</t>
  </si>
  <si>
    <t>SWBW-MIP30PS</t>
  </si>
  <si>
    <t> SOFTWARE DE DIGITAL SIGNAGE</t>
  </si>
  <si>
    <t>Gestor de Carterleria Digital MagicInfo S3 BW-MIP30PS Samsung[@@@]</t>
  </si>
  <si>
    <t>MSSLE4Y51J62544</t>
  </si>
  <si>
    <t> LENOVO PRO BT RECHARGE MOUSE</t>
  </si>
  <si>
    <t>Mouse Lenovo profesional, recargable, Inalambrico(Bluetooth)[@@@]El mouse recargable</t>
  </si>
  <si>
    <t>MSWBKTE1230CS</t>
  </si>
  <si>
    <t> MOUSE WIRELESS TE1230C BK</t>
  </si>
  <si>
    <t>Mouse inalámbrico dual TEROS TE-1230CS, 3 botones, 1200DPI[@@@]Mouse inalámbrico Tero</t>
  </si>
  <si>
    <t>MSWBKTE1231S</t>
  </si>
  <si>
    <t> MOUSE WIRELESS TE1231 BK</t>
  </si>
  <si>
    <t>Mouse inalámbrico TEROS TE-1231S, 2.4GHz, BT 5.0,4 botones, USB, negro[@@@]Disfruta d</t>
  </si>
  <si>
    <t>MSWBLADV1238S</t>
  </si>
  <si>
    <t> MOUSE WIRELESS ADV1238 BLUE</t>
  </si>
  <si>
    <t>Mouse inalámbrico ADV-1238S, USB, 3 botones, azul[@@@]Descubre el mouse inalámbrico</t>
  </si>
  <si>
    <t>MSWBLTE1235S</t>
  </si>
  <si>
    <t> MOUSE STD WIRELESS TE1235 BL</t>
  </si>
  <si>
    <t>Mouse Inalámbrico Teros TE-1235S, 2.4GHz, 6 Botones, USB, Color Azul[@@@]El mouse ina</t>
  </si>
  <si>
    <t>MSWDBKTE1237S</t>
  </si>
  <si>
    <t> MOUSE WIRELESS TE1237 BLACK</t>
  </si>
  <si>
    <t>Mouse Inalámbrico Teros TE-1237S, BT 5.0, 2.4GHz,USB, Color Negro[@@@]Descubre el mou</t>
  </si>
  <si>
    <t>MSWDBLTE1240S</t>
  </si>
  <si>
    <t> MOUSE WIRELESS TE1240 BLUE</t>
  </si>
  <si>
    <t>Mouse Inalámbrico Teros TE-1240S, 2.4GHz, 4 Botones, USB, Color Azul[@@@]Descubre el</t>
  </si>
  <si>
    <t>MSWDPPLTE1239S</t>
  </si>
  <si>
    <t> MOUSE WIRELESS TE1239 PURPLE</t>
  </si>
  <si>
    <t>Mouse Inalámbrico Teros TE-1239S, 2.4GHz, 4 botones, USB, Color Purple[@@@]El mouse i</t>
  </si>
  <si>
    <t>MSWPKTE1234S</t>
  </si>
  <si>
    <t> MOUSE STD WIRELESS TE1234 PK</t>
  </si>
  <si>
    <t>Mouse inalámbrico TEROS TE-1234S, 2.4GHz, 6 botones, USB, rosado[@@@]El mouse inalámb</t>
  </si>
  <si>
    <t>ZZTE1237SM</t>
  </si>
  <si>
    <t>ACCMPBKTE3017S</t>
  </si>
  <si>
    <t> MOUSE PAD STD TE3017 BK</t>
  </si>
  <si>
    <t>Mouse pad TEROS TE-3017S, negro[@@@]Descubre el mouse pad TEROS TE-3017S, diseñado pa</t>
  </si>
  <si>
    <t>ACCMPBKTE3018S</t>
  </si>
  <si>
    <t> MOUSE PAD STD TE3018 BK</t>
  </si>
  <si>
    <t>Mousepad TEROS TE-3018S, diseño impreso[@@@]Descubre el mouse pad TEROS TE-3018S, dis</t>
  </si>
  <si>
    <t>ACCMPBKTE3019S</t>
  </si>
  <si>
    <t> MOUSE PAD STD TE3019 BK</t>
  </si>
  <si>
    <t>Mousepad TEROS TE-3019S, diseño impreso[@@@]Descubre el mouse pad TEROS TE-3019S, dis</t>
  </si>
  <si>
    <t>ACMSASMIKUNC19</t>
  </si>
  <si>
    <t> MOUSEPAD AS NC19 TUF MIKU ED</t>
  </si>
  <si>
    <t>MousePad Asus Tuf Gaming P1 Hatsune Miku Edition 90MP04C0-BPAA00[@@@]Desliza con prec</t>
  </si>
  <si>
    <t>ZZTE3013GM</t>
  </si>
  <si>
    <t> MOUSE PAD GAMER TE3013 BK</t>
  </si>
  <si>
    <t>MSASTUFMIKU</t>
  </si>
  <si>
    <t> MOUSE AS GAMING TUF MIKU MI WL</t>
  </si>
  <si>
    <t>Mouse Asus Tuf Gaming Mini Wireless Hatsune Miku Edition, Inalámbrico USB, Óptico[@@@</t>
  </si>
  <si>
    <t>MSCBKTE1232G</t>
  </si>
  <si>
    <t> MOUSE GAMER USB TE1232 BK</t>
  </si>
  <si>
    <t>Mouse gamer TEROS TE-1232G, DPI hasta 7200, RGB, 7 botones, óptico, negro[@@@]Descubr</t>
  </si>
  <si>
    <t>MSCBKTE1233G</t>
  </si>
  <si>
    <t> MOUSE GAMER USB TE1233 BK</t>
  </si>
  <si>
    <t>Mouse Gamer Teros TE-1233G, DPI hasta 7200, RGB,7Botones, USB, Negro[@@@]Domina tus p</t>
  </si>
  <si>
    <t>MSCBKTE1222S</t>
  </si>
  <si>
    <t> MOUSE STD USBTE1222 BK</t>
  </si>
  <si>
    <t>Mouse óptico TEROS TE-1222S, 800-1200-1600 DPI, USB, 4 botones[@@@]Descubre precisión</t>
  </si>
  <si>
    <t>MSCBKTE1229S</t>
  </si>
  <si>
    <t> MOUSE STD USB TE1229 BK</t>
  </si>
  <si>
    <t>Mouse óptico TEROS TE-1229S, USB, 4 botones, negro[@@@]Descubre el mouse TEROS TE-122</t>
  </si>
  <si>
    <t>MSCGNTE1227S</t>
  </si>
  <si>
    <t> MOUSE STD USB TE1227 GN</t>
  </si>
  <si>
    <t>Mouse óptico TEROS TE-1227S, 800-1200-1600 DPI, USB, 4 botones, color verde[@@@]Disfr</t>
  </si>
  <si>
    <t>MSCPKTE1226S</t>
  </si>
  <si>
    <t> MOUSE STD USB TE1226 PK</t>
  </si>
  <si>
    <t>Mouse Óptico Teros TE-1226S, 800-1200-1600 DPI, USB, 4 Botones, Color Rosado[@@@]Disf</t>
  </si>
  <si>
    <t>MSCWHTE1225S</t>
  </si>
  <si>
    <t> MOUSE STD USB TE1225 WH</t>
  </si>
  <si>
    <t>Mouse óptico TEROS TE-1225S, 800-1200-1600 DPI, USB, 4 botones, color blanco[@@@]Desc</t>
  </si>
  <si>
    <t>MSEP207001</t>
  </si>
  <si>
    <t> PROJECT PRO 2024 ALL LNG</t>
  </si>
  <si>
    <t>MSEP207057</t>
  </si>
  <si>
    <t> PROJECT STANDARD 2024 ALL LNG</t>
  </si>
  <si>
    <t>MSEP207111</t>
  </si>
  <si>
    <t> VISIO PRO 2024 ALL LNG RETAIL</t>
  </si>
  <si>
    <t>MSEP207167</t>
  </si>
  <si>
    <t> VISIO STD 2024 ALL LNG RETAIL</t>
  </si>
  <si>
    <t>MSEP206608</t>
  </si>
  <si>
    <t> OFFICE HOME AND BUSINESS 2024</t>
  </si>
  <si>
    <t>MSEP206800</t>
  </si>
  <si>
    <t> OFFICE HOME 2024 ALL RETAIL</t>
  </si>
  <si>
    <t>MSESDEP232295</t>
  </si>
  <si>
    <t> MICROSOFT 365 FAMILY LIC 1YEAR</t>
  </si>
  <si>
    <t>Licenciamiento Virtual (ESD) Microsoft 365 Familia (Licencia de 12 meses / 1 a 6 usua</t>
  </si>
  <si>
    <t>MSESDEP232316</t>
  </si>
  <si>
    <t> MICROSOFT 365 PERSONAL LIC 1Y</t>
  </si>
  <si>
    <t>Licenciamiento Virtual (ESD) Microsoft 365 Personal (Licencia de 12 meses / 1 usuario</t>
  </si>
  <si>
    <t>MSESDKLQ-00219</t>
  </si>
  <si>
    <t> MS 365 BUS STD RETAIL VIRTUAL</t>
  </si>
  <si>
    <t>Licenciamiento Virtual (ESD) Microsoft 365 Business Standard[@@@]Licencia de suscripc</t>
  </si>
  <si>
    <t>MSESDSPP-00005</t>
  </si>
  <si>
    <t> MS 365 APP FOR BUSINESS VIRTUA</t>
  </si>
  <si>
    <t>Licenciamiento Virtual (ESD) Microsoft 365 Apps for Business[@@@]Licencia de un año p</t>
  </si>
  <si>
    <t>MSESDFQC10572</t>
  </si>
  <si>
    <t> WIN PRO 11 64BIT ALL LNG LIC</t>
  </si>
  <si>
    <t>Sistema Operativo Microsoft Windows Pro 11, 64-bits All Languages PK Lic Online DwnLd</t>
  </si>
  <si>
    <t>MSESDKW900664</t>
  </si>
  <si>
    <t> WIN HOME 11 64BIT ALL LNG PK</t>
  </si>
  <si>
    <t>Sistema Operativo Microsoft Windows Home 11, 64-bits All Languages PK Lic Online DwnL</t>
  </si>
  <si>
    <t>MST38104491</t>
  </si>
  <si>
    <t>  EXCHGSTDCAL 2019 SNGL OLP</t>
  </si>
  <si>
    <t>Microsoft Windows Exchange 2019, 1 Licencia CAL Open Business.[@@@]</t>
  </si>
  <si>
    <t>MST7NQ00806</t>
  </si>
  <si>
    <t> SQLSVRSTDCORE 2016 SNGL OLP 2L</t>
  </si>
  <si>
    <t>Microsoft SQL Server 2016 Standard Core, Open Licence, 2 Core, Single Language.[@@@]</t>
  </si>
  <si>
    <t>MST9EM00652</t>
  </si>
  <si>
    <t> WINSVRSTDCORE 2019 SNGL OLP</t>
  </si>
  <si>
    <t>Microsoft Windows Server 2019 Standar- 16 núcleos[@@@]</t>
  </si>
  <si>
    <t>MSTADVKK600001</t>
  </si>
  <si>
    <t> WINHMENTDSKTP/AIOS 10 OLCOA3</t>
  </si>
  <si>
    <t>Licencia Virtual Windows 10 Home.[@@@]Solo activación AIO Advance, ( existen restricc</t>
  </si>
  <si>
    <t>MSTADVKN900001</t>
  </si>
  <si>
    <t> WIN10 HOME ENTRY NB OLCOA3EM</t>
  </si>
  <si>
    <t>MSTR1805767</t>
  </si>
  <si>
    <t> WINSVRCAL 2019 SNGL OLP NL DVC</t>
  </si>
  <si>
    <t>Microsoft Windows Server 2019 - License - 1 Device CAL.[@@@]Single Language.</t>
  </si>
  <si>
    <t>MSTSWFQC02869</t>
  </si>
  <si>
    <t> WINPRO ALNG UPGRDSAPK MVL PTNR</t>
  </si>
  <si>
    <t>MICROSOFT OEM BRAND</t>
  </si>
  <si>
    <t>Windows PRO Upgrade MVL PtnrsinLrning[@@@]</t>
  </si>
  <si>
    <t>MSTSWP7306285</t>
  </si>
  <si>
    <t> WINSVRSTD 2012R2 SNGL OLP NL 2</t>
  </si>
  <si>
    <t>Microsoft Windows Server 2012 R.2 Standard - Licencia - 2 Procesadores[@@@]Single Lan</t>
  </si>
  <si>
    <t>MSTADVT5D01896</t>
  </si>
  <si>
    <t> OFFICE HOME AND BUSINESS 2013</t>
  </si>
  <si>
    <t>Software Microsoft Office Home and Business 2013,español, DVD.[@@@]</t>
  </si>
  <si>
    <t>SWEP232316TP-EN</t>
  </si>
  <si>
    <t> KIT MS 365 PERSONAL LIC 1Y TP</t>
  </si>
  <si>
    <t>MSFQC10553</t>
  </si>
  <si>
    <t> WIN 11 PRO 64BIT SPANISH LATAM</t>
  </si>
  <si>
    <t>Sistema Operativo Microsoft Windows 11 Pro 64-bitSpanish LATAM OEM DVD[@@@]</t>
  </si>
  <si>
    <t>MSTFQC-01268</t>
  </si>
  <si>
    <t> ADVANCE WIN PRO 7 SP COA</t>
  </si>
  <si>
    <t>Microsoft Windows 7 Pro LATAM Advance (FQC-01268)</t>
  </si>
  <si>
    <t>MSTKW900657</t>
  </si>
  <si>
    <t> WIN 11 HOME 64BIT 1PK DSP OEI</t>
  </si>
  <si>
    <t>Sistema Operativo Microsoft Windows Home 11, 64 bits, español, 1pk, DSP OEM DVD.[@@@]</t>
  </si>
  <si>
    <t>MSEP225197</t>
  </si>
  <si>
    <t> WINDOWS SVR STD 2025 64BIT 1PK</t>
  </si>
  <si>
    <t>Sistema Operativo Microsoft WINDOWS SVR STD 2025 64BIT 1PK Spanish OEM (EP2-25197)[@@</t>
  </si>
  <si>
    <t>MSEP225235</t>
  </si>
  <si>
    <t> SERVER CAL2025 1PK DEVICE CAL</t>
  </si>
  <si>
    <t>Microsoft Windows Server CAL 2025 1PK DEVICE CAL (EP2-25235)[@@@]Es una licencia de a</t>
  </si>
  <si>
    <t>MSEP225271</t>
  </si>
  <si>
    <t> SERVER CAL 2025 1PK USER CAL</t>
  </si>
  <si>
    <t>Microsoft Windows Server CAL 2025 1PK USER CAL (EP2-25271)[@@@]Es una licencia de acc</t>
  </si>
  <si>
    <t>MSEP225418</t>
  </si>
  <si>
    <t> SVR STD 2025 SPANISH OEI 2CR</t>
  </si>
  <si>
    <t>Microsoft Windows SVR STD 2025 SPANISH OEI 2CR (APOS) (EP2-25418)[@@@]Ésta licencia n</t>
  </si>
  <si>
    <t>ZZZADVTBSPTRM</t>
  </si>
  <si>
    <t> SAMPLE TABLET SPTRM</t>
  </si>
  <si>
    <t>ZZZACCSUITCASE</t>
  </si>
  <si>
    <t> USB CHARGING SUITCASE</t>
  </si>
  <si>
    <t>ZZZBB24200116</t>
  </si>
  <si>
    <t> ALL-IN-ONE BAREBONE 23.8</t>
  </si>
  <si>
    <t>ZZZMINIPC200103</t>
  </si>
  <si>
    <t> ZZZ MINI PC F10 WITH 7500U 8G</t>
  </si>
  <si>
    <t>ZZZTEPSUCOOLZER</t>
  </si>
  <si>
    <t> ZZZ POWER SUPPLY</t>
  </si>
  <si>
    <t>ACCVCRAVC252</t>
  </si>
  <si>
    <t> VOLTCRAFT DMM VC252 DIGITAL</t>
  </si>
  <si>
    <t>Multímetro VOLTCRAFT VC252 Digital True RMS LoZ CAT III 600 V Pantalla (cuenta): 4000</t>
  </si>
  <si>
    <t>ACCVCRAVC831</t>
  </si>
  <si>
    <t> VOLTCRAFT DMM VC831 DIGITAL</t>
  </si>
  <si>
    <t>Multímetro VOLTCRAFT VC831 Digital LoZ CAT III 1000V, CAT IV 600V Pantalla (cuenta):</t>
  </si>
  <si>
    <t>NBADVCN4058BK-S</t>
  </si>
  <si>
    <t> NB 2N1 10 CEL 8 128 W11</t>
  </si>
  <si>
    <t>Notebook 2 en 1 Advance CN4058 10.1" Celeron N4020 1.10 GHz 8GB RAM 128GB Pantalla tá</t>
  </si>
  <si>
    <t>NBADVCN4058BKOP</t>
  </si>
  <si>
    <t> NB 2N1 10 CEL 8 128 W11 OPENBO</t>
  </si>
  <si>
    <t>NBLEN82YU00X5LM</t>
  </si>
  <si>
    <t> NB LEN V15 ATHLON/8G/256G/FREE</t>
  </si>
  <si>
    <t>Notebook Lenovo V15 G4 AMN 15.6" FHD TN AMD Athlon Silver 7120U 2.4/3.5GHz 8GB LPDDR5</t>
  </si>
  <si>
    <t>NBLEN82YU017LLM</t>
  </si>
  <si>
    <t> NB LEN V15 R3-7320U/8/512/FREE</t>
  </si>
  <si>
    <t>Notebook Lenovo V15 G4 AMN 15.6" FHD TN AMD Ryzen3 7320U 2.4 / 4.1GHz, 8GB LPDDR5-550</t>
  </si>
  <si>
    <t>NBAS90NX09D1M0E</t>
  </si>
  <si>
    <t> NB ASUS 15.6 PM1 R5-7H/8/512/F</t>
  </si>
  <si>
    <t>Notebook Asus PM1503CDA-S70013, 15.6” LED FHD IPS, AMD Ryzen 5 7535HS 3.3/4.55GHz 8GB</t>
  </si>
  <si>
    <t>NBLEN82YU00XYLM</t>
  </si>
  <si>
    <t> NB LEN V15 R5-7520U/16/512/FRE</t>
  </si>
  <si>
    <t>Notebook Lenovo V15 G4 AMN, 15.6" FHD TN, AMD Ryzen 5 7520U 2.8/4.3GHz, 16GB LPDDR5-4</t>
  </si>
  <si>
    <t>ASUS - CONSUMO</t>
  </si>
  <si>
    <t>NBASUM3406QD28W</t>
  </si>
  <si>
    <t> NB AS ZEN R7-GNG 14 16G 1T W11</t>
  </si>
  <si>
    <t>BBMG101A601-EHX</t>
  </si>
  <si>
    <t> CLAMSHELL PUPIL 106P 2GB/500GB</t>
  </si>
  <si>
    <t>NBADVNV9855SLOP</t>
  </si>
  <si>
    <t> NB ADV 15 CEL 8 256 OPEN BOX</t>
  </si>
  <si>
    <t>NBADVNV9855SLVM</t>
  </si>
  <si>
    <t> NB ADV 15 CEL 8 256 FREE</t>
  </si>
  <si>
    <t>Notebook Advance NV9855 15.6" Celeron N4020 1.10 GHz 8GB RAM 256GB SSD[@@@]Descubre l</t>
  </si>
  <si>
    <t>NBADVNV9857GRY</t>
  </si>
  <si>
    <t>Notebook Advance ADV-NV9857, 15.6" FHD IPS, Celeron N4500 1.1GHZ, 8GB DDR4, 256GB SSD</t>
  </si>
  <si>
    <t>NBLEN83M40016LD</t>
  </si>
  <si>
    <t> NB LEN V15 N100/8/256/FREE</t>
  </si>
  <si>
    <t>Notebook Lenovo V15 G6 ITN, 15.6" FHD TN, Intel N100 hasta 3.4GHz, 8GB DDR5-4800 SODI</t>
  </si>
  <si>
    <t>NBAS90NX0881M2</t>
  </si>
  <si>
    <t> NB AS P1 15.6/C5-210H/16/512/F</t>
  </si>
  <si>
    <t>NB ASUS ExpertBook P1503CVA-S72381, 15.6" FHD IPS, Core 5 210H hasta 4.8GHz, 16GB DDR</t>
  </si>
  <si>
    <t>NBHPC78DYATABM</t>
  </si>
  <si>
    <t> NB HP 250 G10/CORE5/16/512/FRE</t>
  </si>
  <si>
    <t>Notebook HP 250R G10, 15.6" LCD LED HD SVA, Core 5-120U 1.4/5GHz, 16GB DDR4-3200MHz[@</t>
  </si>
  <si>
    <t>NBLEN21SH009PLD</t>
  </si>
  <si>
    <t> NB LEN TB 16 C5-210H/16/1/FREE</t>
  </si>
  <si>
    <t>Notebook ThinkBook 16 G8 IRL Lenovo, 16" WUXGA IPS, Core 5 210H 4.8GHz, 16GB DDR5-560</t>
  </si>
  <si>
    <t>NBLEN83HFS03500</t>
  </si>
  <si>
    <t> NB LE V15 C5210H/8/512/W11_EDU</t>
  </si>
  <si>
    <t>Notebook Lenovo V15 G5 IRL, 15.6" LCD LED FHD, Core 5-210H 2.2 / 4.8GHz, 8GB DDR5-520</t>
  </si>
  <si>
    <t>NBLEN83HFS03B-B</t>
  </si>
  <si>
    <t>NBAS90NX0881M02</t>
  </si>
  <si>
    <t> NB AS P1 15.6/C7-240H/16/512/F</t>
  </si>
  <si>
    <t>NB ASUS Expertbook P1503CVA-S72120, 15.6" FHD IPS, Core 7 240H Hasta 5.2GHZ, 16GB DDR</t>
  </si>
  <si>
    <t>NBHPD2DX8ATABM</t>
  </si>
  <si>
    <t> NB HP 250G10 C7-150U/16/512/FR</t>
  </si>
  <si>
    <t>NBLEN21SH009QLD</t>
  </si>
  <si>
    <t> NB LEN TB 16 C7-240H/16/1/FREE</t>
  </si>
  <si>
    <t>Notebook ThinkBook 16 G8 IRL Lenovo, 16" WUXGA IPS, Core 7 240H 5.2GHz, 16GB DDR5-560</t>
  </si>
  <si>
    <t>NBLEN83GW005MLD</t>
  </si>
  <si>
    <t> NB LEN V15 I3-1315U/8/512/FREE</t>
  </si>
  <si>
    <t>NBLEN83GW005NLD</t>
  </si>
  <si>
    <t> NB LEN V15 I3-1315U/8/256/FREE</t>
  </si>
  <si>
    <t>NBHPB5UW7ATABM</t>
  </si>
  <si>
    <t> NB HP 250G10 I5-13/16/512/FREE</t>
  </si>
  <si>
    <t>Notebook HP 250 G10, 15.6" LCD LED HD SVA, Core i5-1334U 1.30 / 4.60GHz, 16GB DDR4-32</t>
  </si>
  <si>
    <t>NBLEN83K100KKLM</t>
  </si>
  <si>
    <t> NB LEN 15.3 I5-13 24 512 W11</t>
  </si>
  <si>
    <t>Notebook Lenovo IdeaPad Slim 3 15IRH10 15.3" WUXGA IPS Core i5-13420H 2.1/4.6GHz 24GB</t>
  </si>
  <si>
    <t>NBLEN83GW005ELM</t>
  </si>
  <si>
    <t> NB LEN V15 I7-13620H/16/1/W11P</t>
  </si>
  <si>
    <t>Notebook Lenovo V15 G5 IRL, 15.6" FHD TN, Core i7-13620H 2.4/4.9GHz, 16GB DDR5-5200MH</t>
  </si>
  <si>
    <t>NBLEN83GW005FLD</t>
  </si>
  <si>
    <t> NB LEN V15 I7-13620H/16/1T/FRE</t>
  </si>
  <si>
    <t>NBLEN83GW005GLD</t>
  </si>
  <si>
    <t> NB LEN V15 I7-13620H/8/512/FRE</t>
  </si>
  <si>
    <t>Notebook Lenovo V15 G5 IRL, 15.6" FHD TN, Core i7-13620H hasta 4.90GHz, 8GB DDR5-5200</t>
  </si>
  <si>
    <t>NBLEN83GW005HLD</t>
  </si>
  <si>
    <t> NB LEN V15 I7-13620H/16/512/FR</t>
  </si>
  <si>
    <t>NBLEN83K100NALM</t>
  </si>
  <si>
    <t> NB LEN 15 I7-13 16 1T FREE</t>
  </si>
  <si>
    <t>NBLEN21QD0019LM</t>
  </si>
  <si>
    <t> NB LEN T14/U5-225U/16/512/W11P</t>
  </si>
  <si>
    <t>Notebook Lenovo ThinkPad T14 Gen 6 14" WUXGA IPS Core Ultra 5 225U hasta 4.8GHz, 16GB</t>
  </si>
  <si>
    <t>NBLEN21S7000WLM</t>
  </si>
  <si>
    <t> NB LEN L14/U5-225U/16G/1T/W11P</t>
  </si>
  <si>
    <t>NB Lenovo Thinkpad L14 Gen 6, 14" WUXGA IPS, CoreU5 225U 4.8GHZ, 16GB DDR5-5600, 1TB[</t>
  </si>
  <si>
    <t>NBLEN21SB000JLM</t>
  </si>
  <si>
    <t> NB LEN L16/U5-225U/16/512/W11P</t>
  </si>
  <si>
    <t>NB Lenovo Thinkpad L16 Gen 2, 16" WUXGA IPS, Coreu5 225U 4.8GHZ, 16GB DDR5-5600, 512G</t>
  </si>
  <si>
    <t>NBLEN21SJ00B0LM</t>
  </si>
  <si>
    <t> NB LE TB14/U5-255U/16/512/W11P</t>
  </si>
  <si>
    <t>NB Lenovo Thinkbook 14 G8 IAL, 14" WUXGA IPS, Core U5 225U 4.8 GHZ, 16GB DDR5-5600, 5</t>
  </si>
  <si>
    <t>NBAS90NX08L1M02</t>
  </si>
  <si>
    <t> NB AS 14 B3/U7-255H/16/1/W11P</t>
  </si>
  <si>
    <t>NB ASUS Expertbook B3405CCA-LY1868X 14" IPS Core Ultra 7 255H 2.0/5.1GHz, 16GB DDR5[@</t>
  </si>
  <si>
    <t>NBAS90NX08N1M1H</t>
  </si>
  <si>
    <t> NB AS 16 B3/U7-255H/16/1/W11P</t>
  </si>
  <si>
    <t>NB ASUS Expertbook B3605CCA-MB0169X / 16" IPS Core Ultra 7 255H 2.0/5.1GHz, 16GB DDR5</t>
  </si>
  <si>
    <t>NBHPA1UP3LTABM</t>
  </si>
  <si>
    <t> NB HP 840 ULTRA7/16/1SS/W11P/1</t>
  </si>
  <si>
    <t>NB HP EliteBook 840 G11 14" LCD LED WUXGA, CORE ULTRA 7 155U, 4.8GHz, 16GB DDR5-5600M</t>
  </si>
  <si>
    <t>NBHPA24Z6LTABM</t>
  </si>
  <si>
    <t> NB HP 460 ULTRA7/16/1SS/W11P/1</t>
  </si>
  <si>
    <t>NB HP Probook 460 G11 16" LCD LED WUXGA UWVA, CORE ULTRA 7 155U 4.8 GHZ 16GB DDR5 560</t>
  </si>
  <si>
    <t>NBHPA9BS2LTABM</t>
  </si>
  <si>
    <t> NB HP X360 2-IN-1/U7/16/1/W11P</t>
  </si>
  <si>
    <t>NB HP Elite x360 1040 G11, 14" WUXGA UWVA Core Ultra 7-155H 1.4/4.8GHz, 16GB LPDDR5x-</t>
  </si>
  <si>
    <t>NBHPBS6H1LTABM</t>
  </si>
  <si>
    <t> NB HP EB8 14/U7-255U/16/1/W11P</t>
  </si>
  <si>
    <t>NB HP EliteBook 8 G1i 14" WUXGA UWVA, Core Ultra 7 255U 2/5.2GHz, 16GB DDR5, 1TB SSD</t>
  </si>
  <si>
    <t>NBHPBS6H6LTABM</t>
  </si>
  <si>
    <t> NB HP EB8 TOUCH/U7258V/32/1/WP</t>
  </si>
  <si>
    <t>NB HP EliteBook 8 G1i 14" WUXGA IPS Tactil, Core Ultra 7 258V 2.2/4.8GHz, 32GB LPDDR5</t>
  </si>
  <si>
    <t>NBHPBU6Z4LTABM</t>
  </si>
  <si>
    <t> NB HP EB XFLIP/U7-258V/32/1/WP</t>
  </si>
  <si>
    <t>NB HP EliteBook X Flip G1i 14" WUXGA IPS Tactil, Core Ultra 7 258V 2.2/4.8GHz 32GB LP</t>
  </si>
  <si>
    <t>NBLEN21NY0011LM</t>
  </si>
  <si>
    <t> NB X1 CARBON U7_255U/32/1/W11P</t>
  </si>
  <si>
    <t>NB Lenovo ThinkPad X1 Carbon Gen 13, 14" WUXGA IPS Core Ultra 7 255U 5.2GHz, 32GB LPD</t>
  </si>
  <si>
    <t>NBLEN21QD0014LM</t>
  </si>
  <si>
    <t> NB LEN T14/U7-225U/16/512/W11P</t>
  </si>
  <si>
    <t>Notebook Lenovo ThinkPad T14 Gen 6 14" WUXGA IPS Core Ultra 7 255U hasta 5.2GHz, 16GB</t>
  </si>
  <si>
    <t>NBLEN21QD0016LM</t>
  </si>
  <si>
    <t> NB LE T14 U7-255U/32/1/W11P/3Y</t>
  </si>
  <si>
    <t>NBLEN21QF000TLM</t>
  </si>
  <si>
    <t> NB LEN T16/U7-255U/16G/1T/W11P</t>
  </si>
  <si>
    <t>Notebook Lenovo Thinkpad T16 Gen 4, 16" WUXGA IPS, Core u7-255U 5.2GHz, 16GB DDR5-560</t>
  </si>
  <si>
    <t>NBLEN21QF000ULM</t>
  </si>
  <si>
    <t> NB LE T16 U7-255U/32/1/W11P/3Y</t>
  </si>
  <si>
    <t>Notebook Lenovo ThinkPad T16 Gen 4 16" WUXGA IPS,Core Ultra 7 255U hasta 5.2GHz 32GB</t>
  </si>
  <si>
    <t>NBLEN21SB000MLM</t>
  </si>
  <si>
    <t> NB LEN L16/U7-255U/16G/1T/W11P</t>
  </si>
  <si>
    <t>NB Lenovo Thinkpad L16 Gen 2, 16" WUXGA IPS, CoreU7 225U 5.2GHZ, 60HZ, 16GB DDR5-5600</t>
  </si>
  <si>
    <t>NBLEN21SB000NLM</t>
  </si>
  <si>
    <t> NB LEN L16/U7-255U/32G/1T/W11P</t>
  </si>
  <si>
    <t>NB Lenovo Thinkpad L16 Gen 2, 16" WUXGA IPS, CoreU7 255U 5.2 GHz, 32GB DDR5-5600, 1TB</t>
  </si>
  <si>
    <t>NBLEN21SK00CFLM</t>
  </si>
  <si>
    <t> NB LEN TB 16 ULTR7/16/1SS/W11P</t>
  </si>
  <si>
    <t>NB Lenovo ThinkBook 16 G8 IAL, 16" WUXGA IPS, Core Ultra 7 255H de 5.1GHz, 16GB DDR5-</t>
  </si>
  <si>
    <t>NBLEN21SS000KLM</t>
  </si>
  <si>
    <t> NB LEN E16 U7-255H/32/1/W11P/3</t>
  </si>
  <si>
    <t>Notebook Lenovo ThinkPad E16 Gen 3 16" WUXGA IPS Core Ultra 7 255H hasta 5.1GHz, 32GB</t>
  </si>
  <si>
    <t>NBASUX8406CA073</t>
  </si>
  <si>
    <t> NB AS ZEN 14 U9-A 32 1T W11</t>
  </si>
  <si>
    <t>Notebook ASUS UX8406CA-PZ073W 14" 3K OLED Touch Core Ultra 9 285H 2.9/5.4GHz 32GB LPD</t>
  </si>
  <si>
    <t>NBASG835LSA119W</t>
  </si>
  <si>
    <t> NBG ROG 18 U9HX 64 2T V24G W11</t>
  </si>
  <si>
    <t>NB ASUS G835LX-SA119W 18" WQXGA MiniLED/Core Ultra 9 275HX 5.4GHz/64GB DDR5/RTX 5090</t>
  </si>
  <si>
    <t>NBLEN83EY000PLM</t>
  </si>
  <si>
    <t> NBG LEG 18 U9-2HX 64 2T V24G F</t>
  </si>
  <si>
    <t>Notebook Gaming Lenovo LEGION 9 18IAX10, 18" WQUXGA IPS, Core Ultra 9 275HX 5.4GHz, 6</t>
  </si>
  <si>
    <t>NBLEN83EY000RLM</t>
  </si>
  <si>
    <t> NBG LEG 18 U9-2HX 64 2T V24 WH</t>
  </si>
  <si>
    <t>NBLEN83F5000XLM</t>
  </si>
  <si>
    <t> NBG LEG 16 U9-HX 32 1T V16G W1</t>
  </si>
  <si>
    <t>Notebook Lenovo Legion Pro 7 16IAX10H, 16" WQXGA OLED, Core Ultra 9 275HX hasta 5.4GH</t>
  </si>
  <si>
    <t>NBASFX607RL209</t>
  </si>
  <si>
    <t> NBG TUF 16 C5-2 8 512 V6G FREE</t>
  </si>
  <si>
    <t>NB ASUS TUF FX607VJB-RL209 F16 16" WUXGA IPS, Core 5 210H hasta 4.8G/8GB DDR5/RTX 305</t>
  </si>
  <si>
    <t>NBMSICYBB2RWEKG</t>
  </si>
  <si>
    <t> NBG CYB 15 C7-2H 16 512 V8G W1</t>
  </si>
  <si>
    <t>MSI - CONSUMO</t>
  </si>
  <si>
    <t>Notebook Gaming MSI Cyborg 15 B2RWEKG, 15.6" FHD IPS, Core 7-240H hasta 5.2GHz, 16GB</t>
  </si>
  <si>
    <t>NBLEN83GS006WLM</t>
  </si>
  <si>
    <t> NBG LOQ 15 I5-12 8 512 V6G FRE</t>
  </si>
  <si>
    <t>Notebook Lenovo LOQ 15IAX9 15.6" FHD IPS, Core i5-12450HX hasta 4.4GHz 8GB DDR5-4800M</t>
  </si>
  <si>
    <t>NBLEN83GS00TKLM</t>
  </si>
  <si>
    <t> NBG LOQ 15 I5-12 16 512 V6G FR</t>
  </si>
  <si>
    <t>Notebook Gaming Lenovo LOQ 15IAX9, 15.6" FHD IPS,Core i5-12450HX hasta 4.4GHz, 16GB D</t>
  </si>
  <si>
    <t>NBLEN83LY00J9LM</t>
  </si>
  <si>
    <t> NBG LEG 15 I7 16 1T W11H</t>
  </si>
  <si>
    <t>NBMSI15Q342685</t>
  </si>
  <si>
    <t> NBG CYB 15 I7-13 16 512 V8G W1</t>
  </si>
  <si>
    <t>Notebook Gaming MSI Cyborg 15 B13WFKG 15.6" FHD IPS Core i7-13620H hasta 4.9GHz, 16GB</t>
  </si>
  <si>
    <t>NBMSI15Q342686</t>
  </si>
  <si>
    <t>Notebook Gaming MSI Cyborg 15 B13WEKG 15.6" FHD IPS Core i7-13620H hasta 4.9GHz, 16GB</t>
  </si>
  <si>
    <t>NBASG615JMR017W</t>
  </si>
  <si>
    <t> NBG ROG 16 I9-14 16 1T V8G W11</t>
  </si>
  <si>
    <t>Notebook ASUS ROG Strix G16, 16" WUXGA IPS, Core i9-14900HX 2.2 / 5.8GHz, 16GB DDR5-5</t>
  </si>
  <si>
    <t>NBLEN83NN0058LM</t>
  </si>
  <si>
    <t> NBG LEG 16 I9-14 32 1T V8G FRE</t>
  </si>
  <si>
    <t>Notebook Gaming Lenovo Legion Pro 5 16IRX10, 16" WQXGA IPS, Core i9-14900HX 2.2 / 5.8</t>
  </si>
  <si>
    <t>NBHPCW4E3LA</t>
  </si>
  <si>
    <t> NBG OMN 17 R7-AI-3 16 1T V8G F</t>
  </si>
  <si>
    <t>NBG Gaming OMEN 17-db1001la, AMD Ryzen AI 7 350 5.0GHZ, 16GB, 1TB, GeForce RTX 5050 8</t>
  </si>
  <si>
    <t>NBHPCW4G9LA</t>
  </si>
  <si>
    <t> NBG OMN 17 R9-AI-3 32 1T V8G F</t>
  </si>
  <si>
    <t>Notebook HP Gaming OMEN 17-db1002la 17.3" FHD IPSAMD Ryzen AI 9 365 hasta 5GHz, 32GB</t>
  </si>
  <si>
    <t>NBLEN83LT002MLM</t>
  </si>
  <si>
    <t> NBG LEG 16 R9-8 32 1T V8G FREE</t>
  </si>
  <si>
    <t>Notebook Lenovo Legion Pro 5, 16" WQXGA IPS, AMD Ryzen 9 8945HX 2.5/5.4GHz, 32GB DDR5</t>
  </si>
  <si>
    <t>NBAS90NX0741M01</t>
  </si>
  <si>
    <t> NB ASUS B3/I7-13U/32/1/V4/W11P</t>
  </si>
  <si>
    <t>NB ASUS Expertbook B3604CVF-Q90910X 16" Core i7-1355U 1.7/5.0GHz 32GB DDR5, RTX 2050</t>
  </si>
  <si>
    <t>NBAS90NX0741M1</t>
  </si>
  <si>
    <t> NB AS 15.6 B3/I7-13/32/1/V4/FR</t>
  </si>
  <si>
    <t>NB ASUS ExpertBook B3604CVF-Q90910 16" Core i7-1355U 1.7/5.0GHz 32GB DDR5, RTX 2050 4</t>
  </si>
  <si>
    <t>NBWBN4D4LTABM</t>
  </si>
  <si>
    <t> ZBOOK8 G1I/U9-285H/32/1/V4G/WP</t>
  </si>
  <si>
    <t>Notebook WS HP ZBook 8 G1i, 16” WUXGA UWVA, Core Ultra 9 285H 2.9/5.4GHz, 32GB DDR5-5</t>
  </si>
  <si>
    <t>NBWHPA31DRLTABM</t>
  </si>
  <si>
    <t> ZBOOK POWER16 ULTR9/16/1/V6/WP</t>
  </si>
  <si>
    <t>Notebook WS HP ZBook Power 16, 16" WUXGA UWVA, Core Ultra 9-185H 2.3/5.1GHz 16GB DDR5</t>
  </si>
  <si>
    <t>NBWLE21RR0006LM</t>
  </si>
  <si>
    <t> NB WS P16/U7-255HX/32/1/V12/WP</t>
  </si>
  <si>
    <t>Notebook Lenovo ThinkPad P16 Gen 3 16" WUXGA IPS Core Ultra 7 255HX hasta 5.2GHz 32GB</t>
  </si>
  <si>
    <t>ACCLE40AG0090US</t>
  </si>
  <si>
    <t> THINKPAD USB-C DOCK</t>
  </si>
  <si>
    <t>Estación de acoplamiento Lenovo 40AG0090US, VGA /DP / DVI-D/ USB / 3.5MM / LAN.[@@@]</t>
  </si>
  <si>
    <t>ACHPWA995AA-B</t>
  </si>
  <si>
    <t> HP DOCKING STATION 2740P</t>
  </si>
  <si>
    <t>Base de Expansión HP 2740 Ultra-slim, USB / eSATA/ VGA / LAN / DP / DVD / Audio.[@@@]</t>
  </si>
  <si>
    <t>ACLEN40AJ0135-B</t>
  </si>
  <si>
    <t> THINKPAD ULTRA DOCKING STATION</t>
  </si>
  <si>
    <t>Estación de acoplamiento ThinkPad Ultra con puertos DP(2)/HDMI/VGA/LAN/USB-C(2)/USB 3</t>
  </si>
  <si>
    <t>ACNBHPQK639AA</t>
  </si>
  <si>
    <t> HP ST09 Extended Life Notebook</t>
  </si>
  <si>
    <t>Extensor de vida de batería HP ST09, 9 celdas, tipo Lithium Polymer, capacidad 6600 m</t>
  </si>
  <si>
    <t>ACPCHPE0X96AA</t>
  </si>
  <si>
    <t> HP SOLENOID LOCK AND HOOD</t>
  </si>
  <si>
    <t>Sensor de bloqueo de cubierta de solenoide HP.[@@@]</t>
  </si>
  <si>
    <t>NBACHPPB993A</t>
  </si>
  <si>
    <t> HP BATTERY 8 CELL NC6200/8200</t>
  </si>
  <si>
    <t>Bateria HP Travel Li-ion 8-Cell, para Notebooks HP NC4200, NC6100, NC6200, NC8200,</t>
  </si>
  <si>
    <t>ACCLEN40AWGC65W</t>
  </si>
  <si>
    <t> LENOVO 65W ADAPTER (USB TYPE C</t>
  </si>
  <si>
    <t>Adaptador USB-C GaN de Lenovo de 65 W[@@@]El adaptador USB-C GaN de 65 W de Lenovo ma</t>
  </si>
  <si>
    <t>ACCLEN4X11N4021</t>
  </si>
  <si>
    <t> LENOVO USB-C SLIM TRAVEL DOCK</t>
  </si>
  <si>
    <t>Hub de puertos portatil Lenovo, delgado, Interfaz: USB-C, Color Eclipse Black (Negro)</t>
  </si>
  <si>
    <t> COOLER PARA NB RGB TE-7130N</t>
  </si>
  <si>
    <t>Cooler TEROS TE-7130N, compatible con notebooks de hasta 15.6", 3 fan de 11 cm[@@@]Co</t>
  </si>
  <si>
    <t>ACCTE7134N</t>
  </si>
  <si>
    <t> HUB USB TIPO C TE7134N</t>
  </si>
  <si>
    <t>Concentrador de puertos (Hub) TEROS TE-7134N Gen 3 USB-C, 7 en 1[@@@]Descubre el hub</t>
  </si>
  <si>
    <t>ACTLSEC4K</t>
  </si>
  <si>
    <t> CABLE SEGURID C/LLAVE P/LAPTOP</t>
  </si>
  <si>
    <t>Cable de Seguridad con llave para Laptop Tripp-Lite SEC4K, 1.22 m, negro.[@@@]Cable a</t>
  </si>
  <si>
    <t>ACTLSEC6K</t>
  </si>
  <si>
    <t>Cable de Seguridad con llave para Laptop Tripp-Lite SEC6K, 1.83 m, negro.[@@@]Cable a</t>
  </si>
  <si>
    <t>TRPDOCU342SHG01</t>
  </si>
  <si>
    <t> USB 3.0 SUPERSPEED HDMI / VGA</t>
  </si>
  <si>
    <t>Tripp Lite series Estación de conexión Mini USB 3.x (5 Gbps) con HDMI y vídeo VGA, Gb</t>
  </si>
  <si>
    <t>ZZACMPBKTE3018S</t>
  </si>
  <si>
    <t> ZZ MOUSEPAD TEROS BY AMD</t>
  </si>
  <si>
    <t>ZZACCASUTE9042R</t>
  </si>
  <si>
    <t> BACKPACK TE9042R AMD BY TEROS</t>
  </si>
  <si>
    <t>ZZHPACCTE9042R</t>
  </si>
  <si>
    <t>ZZLENGX41C86982</t>
  </si>
  <si>
    <t> ZZMOCHILA LEGION ACT (TOSHIBA)</t>
  </si>
  <si>
    <t>DS75UHDTE7511W</t>
  </si>
  <si>
    <t> PIZ. INTERACTIVA 75\'' UHD 60H</t>
  </si>
  <si>
    <t>Pantalla Táctil Interactiva TEROS TE7511W, 75" D-LED IPS 3840x2160, 8 ms, 8GB, Androi</t>
  </si>
  <si>
    <t>DS86UHDTE8612W</t>
  </si>
  <si>
    <t> PIZ. INTERACTIVA 86\'' UHD 60H</t>
  </si>
  <si>
    <t>Pantalla Táctil Interactiva TEROS TE8612W, 86" D-LED IPS (3840x2160), 8ms, 8GB, Andro</t>
  </si>
  <si>
    <t>ACCVCRAVC371</t>
  </si>
  <si>
    <t> VOLTCRAFT VC371 PINZA AMP</t>
  </si>
  <si>
    <t>Pinza Amperimétrica VOLTCRAFT VC-371 Digital CAT III 600 V Pantalla (cuenta): 4000[@@</t>
  </si>
  <si>
    <t>ACCVCRAVC523</t>
  </si>
  <si>
    <t> VOLTCRAFT VC523 PINZA AMP</t>
  </si>
  <si>
    <t>Pinza amperimétrica VOLTCRAFT VC-523 Digital CAT III 600 V Pantalla (cuenta): 4000[@@</t>
  </si>
  <si>
    <t>DS86UHDTE8614W</t>
  </si>
  <si>
    <t> PANT. INTERACTIVA 86 UHD 60HZ</t>
  </si>
  <si>
    <t>Pantalla Táctil Interactiva Teros TE-8614W, 85.6"D- LED (3840 x 2160),LAN , WLAN, BT5</t>
  </si>
  <si>
    <t>ZZZZCALCU7CANON</t>
  </si>
  <si>
    <t> CALCULADORA CANON F-710</t>
  </si>
  <si>
    <t>PRODUCTOS DE PROMOCION-PU</t>
  </si>
  <si>
    <t>ZZGESIONTECINFO</t>
  </si>
  <si>
    <t> GESTION TECNO DE LA INFORMACIO</t>
  </si>
  <si>
    <t>ZZINFCONTORACLE</t>
  </si>
  <si>
    <t> INFRAESTRUCTUR CONTABLE ORACLE</t>
  </si>
  <si>
    <t>ZZKBPRIMEPR5145</t>
  </si>
  <si>
    <t> KEYBOARDS FOR PRIME PR5145</t>
  </si>
  <si>
    <t>ZZPLASTORGBINBY</t>
  </si>
  <si>
    <t> PLASTIC STORAGE BIN - 27 GLNS</t>
  </si>
  <si>
    <t>ZZSEGURIDADCCTV</t>
  </si>
  <si>
    <t> SEGURIDAD A INSTALACIONES CCTV</t>
  </si>
  <si>
    <t>ZZZ56628SERG</t>
  </si>
  <si>
    <t> SERVICIO SERIGRAFIADO DE MONIT</t>
  </si>
  <si>
    <t>ZZZZCABLEUTP</t>
  </si>
  <si>
    <t> CABLE UTP PATCH CORD 3MTS 5E</t>
  </si>
  <si>
    <t>ZZMASKN95M6</t>
  </si>
  <si>
    <t> MASK KN95 40UNID X CAJA</t>
  </si>
  <si>
    <t>Mascarilla Protectora KN95, Caja x 40 unidades - Color Blanco[@@@]Eficiencia de filtr</t>
  </si>
  <si>
    <t>ACCHPER6P67A</t>
  </si>
  <si>
    <t> AP-POE-ATSR 1P SR 802.3AT 30W</t>
  </si>
  <si>
    <t>ACCHPER9M77A</t>
  </si>
  <si>
    <t> ARUBA INSTANT ON 802.3AT POE I</t>
  </si>
  <si>
    <t>ACCHUPOEADP56V</t>
  </si>
  <si>
    <t> POE+ADAPTER(56V/35W AD-560062T</t>
  </si>
  <si>
    <t>Adaptador PoE+ (56V/35W AD-560062T0E) Huawei eKitEngine[@@@]Adaptador PoE+ (56V/35W A</t>
  </si>
  <si>
    <t>NW806RUNL3U00</t>
  </si>
  <si>
    <t> END USER SUPPORT - UNLEASHED</t>
  </si>
  <si>
    <t>Soporte para usuario final Ruckus unleashed AP premium, 3 años.[@@@]</t>
  </si>
  <si>
    <t>NW82311003RDY</t>
  </si>
  <si>
    <t> REDUNDANT ZD1100 SUPPORT RENEW</t>
  </si>
  <si>
    <t>Licencia de Actualización Ruckus Partner WatchDog, Zone Director ZD1100, 3 años.[@@@]</t>
  </si>
  <si>
    <t>NWL09-VSCG-WW00</t>
  </si>
  <si>
    <t> VSCG 3.0 OR NEWER VIRTUAL APPL</t>
  </si>
  <si>
    <t>Licencia Ruckus Virtual SmartCell Gateway, 1 Instancia, compatible con AP Administrad</t>
  </si>
  <si>
    <t>NWRK82210193L00</t>
  </si>
  <si>
    <t> PART SUPP RENEW ZD1106-25 UPGR</t>
  </si>
  <si>
    <t>Licencia de Actualización Ruckus Partner WatchDog, para ZoneDirector 1106, 1 AP, 1 añ</t>
  </si>
  <si>
    <t>NWRKS02-VSCG-3L</t>
  </si>
  <si>
    <t> PARTNER SUPPORT - VSCG-RTU, 3</t>
  </si>
  <si>
    <t>Asistencia Premium Ruckus Wireless Partner WatchDog, Virtual SmartZone, 3 años.[@@@]S</t>
  </si>
  <si>
    <t>NWS0200015LSG</t>
  </si>
  <si>
    <t> PARTNER SUPPORT PER SZ/(V)SCG</t>
  </si>
  <si>
    <t>Soporte Premium de Partner de Ruckus Wireless WatchDog, S02-0001-5LSG, 5 años.[@@@]</t>
  </si>
  <si>
    <t>PSHU02312WSY</t>
  </si>
  <si>
    <t> 12V AC-DC ADAPTER (USA HW-1202</t>
  </si>
  <si>
    <t>Adaptador de corriente (AC-DC) 12V Huawei eKitEngine (USA HW-120200U1W)[@@@]Adaptador</t>
  </si>
  <si>
    <t>ADUSBAC13U</t>
  </si>
  <si>
    <t> USB WIFI 5 - AC1300 DUAL-BY400</t>
  </si>
  <si>
    <t>D-LINK</t>
  </si>
  <si>
    <t>Adaptador D-Link USB AC1300 WI-FI 5 AC13U[@@@]Potencia tu conexión con el adaptador U</t>
  </si>
  <si>
    <t>APHUAP761</t>
  </si>
  <si>
    <t> WIRELESS LAN EQUIPMENT,AP761</t>
  </si>
  <si>
    <t>Outdoor AP (Punto de acceso exterior) Huawei eKitEngine AP761[@@@]Punto de acceso ext</t>
  </si>
  <si>
    <t>NWHPER2H28A</t>
  </si>
  <si>
    <t> ARUBA AP-505 (RW) UNIFIED AP</t>
  </si>
  <si>
    <t>Access Point HPE Aruba AP-505 (RW) Dual Radio 2x2802.11ax con antenas internas.[@@@]L</t>
  </si>
  <si>
    <t>NWHPER7J27A</t>
  </si>
  <si>
    <t> ARUBA AP-635 RW</t>
  </si>
  <si>
    <t>APHPES1T23A</t>
  </si>
  <si>
    <t> HPE NW ION AP (RW) AP32</t>
  </si>
  <si>
    <t>APHUAP160</t>
  </si>
  <si>
    <t> WIRELESS LAN EQUIPMENT,AP160</t>
  </si>
  <si>
    <t>Wall Plate AP (Access Point de pared) Huawei eKitEngine AP160[@@@]AP de pared 86x86 |</t>
  </si>
  <si>
    <t>APHUAP266</t>
  </si>
  <si>
    <t> WIRELESS LAN EQUIPMENT,AP266</t>
  </si>
  <si>
    <t>Wall Plate AP (Access Point de pared) Huawei eKitEngine AP266[@@@]AP de pared | Wi-Fi</t>
  </si>
  <si>
    <t>APHUAP271E</t>
  </si>
  <si>
    <t> WALL PLATE AP271E | WI-FI 7</t>
  </si>
  <si>
    <t>Wall Plate AP (Access Point de pared) Huawei eKitEngine AP271E[@@@]AP de pared | Wi-F</t>
  </si>
  <si>
    <t>APHUAP361</t>
  </si>
  <si>
    <t> WIRELESS LAN EQUIPMENT,AP361</t>
  </si>
  <si>
    <t>Access Point Huawei eKitEngine AP361, 2.4G: 802.11b/g/n/ax , 5G: 802.11a/n/ac/ac Wave</t>
  </si>
  <si>
    <t>APHUAP371</t>
  </si>
  <si>
    <t> WIRELESS LAN EQUIPMENT,AP371</t>
  </si>
  <si>
    <t>Settled AP (Punto de acceso establecido) Huawei eKitEngine AP371[@@@]Punto de acceso</t>
  </si>
  <si>
    <t>APHUAP772</t>
  </si>
  <si>
    <t> OUTDOOR AP,AP 772</t>
  </si>
  <si>
    <t>Outdoor AP (Punto de acceso exterior) Huawei eKitEngine AP772[@@@]Punto de acceso ext</t>
  </si>
  <si>
    <t>NWDLDAP1610</t>
  </si>
  <si>
    <t>D-LINK AC1200 WiFi Range Extender (DAP‑1610, Amplificador de señal Wi-Fi)[@@@]E</t>
  </si>
  <si>
    <t>NWDLRTDWR-932C</t>
  </si>
  <si>
    <t> 4G LTE MOBILE WIFI HOTSPOT 150</t>
  </si>
  <si>
    <t>Punto de acceso Movil (Hotspot) D-Link DWR-932C Wi-Fi Mobile 4G LTE 150 Mbps[@@@]Llev</t>
  </si>
  <si>
    <t>NWHPES3J35A-1</t>
  </si>
  <si>
    <t> AP-635 TRI RADIO 2X2 APIN0635</t>
  </si>
  <si>
    <t>NWHPER4H17A</t>
  </si>
  <si>
    <t> ARUBA AP-575 OUTDOOR APEX0575</t>
  </si>
  <si>
    <t>NWDLE15</t>
  </si>
  <si>
    <t> E15 AX1500 WI-FI 6 AI RANGE EX</t>
  </si>
  <si>
    <t>NWDLG403</t>
  </si>
  <si>
    <t> N300ROUTER 4G SMART</t>
  </si>
  <si>
    <t>Router D-Link 4G Smart N300 G403, 4 x LAN 10/100 Mbps, 1 x WAN 10/100 Mbps[@@@]Disfru</t>
  </si>
  <si>
    <t>NWDLM15</t>
  </si>
  <si>
    <t> AX1500 MESH M15 (2 PIECES)</t>
  </si>
  <si>
    <t>Router D-Link AX1500 Mesh, 1 x Puerto Gigabit Ethernet LAN/1 x Puerto Gigabit Etherne</t>
  </si>
  <si>
    <t>NWDLM15-1</t>
  </si>
  <si>
    <t> AX1500 MESH ROUTER (1 PIECE)</t>
  </si>
  <si>
    <t>NWDLM15-3</t>
  </si>
  <si>
    <t> AX1500 MESH ROUTER (3 PIECES)</t>
  </si>
  <si>
    <t>NWDLM30</t>
  </si>
  <si>
    <t> AX3000 WI-FI 6 SMART MESH</t>
  </si>
  <si>
    <t>Router D-Link M30 Smart Mesh Wi-Fi 6 AX3000 de Doble Banda[@@@]El D-Link M30 Smart Me</t>
  </si>
  <si>
    <t>NWDLRTR12</t>
  </si>
  <si>
    <t> AC1200 WI-FI 6 AI ROUTER</t>
  </si>
  <si>
    <t>Router D-Link Smart AC1200 R12, 4 x LAN 10/100/1000Mbps, 1 x WAN 10/100/1000Mbps, 2.4</t>
  </si>
  <si>
    <t>NWDLRTR15</t>
  </si>
  <si>
    <t> SMART ROUTER MESH R15 AX1500 W</t>
  </si>
  <si>
    <t>Router D-Link R15 AX1500 WI-FI 6 AI / 2.4/5GHz / 4 Antenas Externas[@@@]El router D-L</t>
  </si>
  <si>
    <t>NWDLRTR32</t>
  </si>
  <si>
    <t> SMART ROUTER MESH R32 AX3200 W</t>
  </si>
  <si>
    <t>Router D-Link Eagle Pro AI AX3200 Smart / 2,4/5GHz / 4 Antenas Ext. Doble Banda[@@@]P</t>
  </si>
  <si>
    <t>RTDLDIR-2150</t>
  </si>
  <si>
    <t> ROUTER WI-FI GIGABIT AC2100</t>
  </si>
  <si>
    <t>Router D-Link DIR-2150 Wi-Fi Gigabit AC2100[@@@]El DIR-2150 ofrece un rendimiento de</t>
  </si>
  <si>
    <t>RTDLKG530</t>
  </si>
  <si>
    <t> ROUTER 5G - AX3000</t>
  </si>
  <si>
    <t>Router D-Link G530 5G NR AX3000 Wi-Fi 6[@@@]En áreas que carecen de una infraestructu</t>
  </si>
  <si>
    <t>NWDLDWA548</t>
  </si>
  <si>
    <t> WIRELESS N300 PCI-E ADAPTER</t>
  </si>
  <si>
    <t>Tarjeta Wireless D-Link DWA-548, 802.11g/n, 300 Mbps, PCI-e, 2dBi.[@@@]2 antenas desm</t>
  </si>
  <si>
    <t>NWWRLSFSN300</t>
  </si>
  <si>
    <t> TARJETA WIRELESS N 2.4GHZ PCIE</t>
  </si>
  <si>
    <t>ACCDLDUBE130</t>
  </si>
  <si>
    <t> ADAPTADOR RJ45 A TYPE-C</t>
  </si>
  <si>
    <t>Adaptador D-Link USB-C Gigabit Ethernet LAN / DUB-E130[@@@]Conecta tu PC o laptop a r</t>
  </si>
  <si>
    <t>ACCHPEJL251A</t>
  </si>
  <si>
    <t> HPE X140 40G QSFP+</t>
  </si>
  <si>
    <t>ACCHPER0G64A</t>
  </si>
  <si>
    <t> HPE AP-310-MNT-W3 AP MOUNT KIT</t>
  </si>
  <si>
    <t>ACCHU02311VGN</t>
  </si>
  <si>
    <t> SFP+HIGH SPEED DEDICATED STACK</t>
  </si>
  <si>
    <t>Cable de apilamiento (Stack Cable) Huawei eKitEngine SFP+STACK-CU1M5[@@@]Cable de api</t>
  </si>
  <si>
    <t>ACCHUAC650128AP</t>
  </si>
  <si>
    <t> WIRELESS ACCESS CONTROLLER</t>
  </si>
  <si>
    <t>Wireless Access Controller (Controlador de red inalámbrica) Huawei eKitEngine AC650-1</t>
  </si>
  <si>
    <t>ACCWHPEJL087A-1</t>
  </si>
  <si>
    <t> ARUBA X372 54VDC 1050W PS</t>
  </si>
  <si>
    <t>NW82212013L00</t>
  </si>
  <si>
    <t> PART SUPP RENEW ZD1200 1 UPGRA</t>
  </si>
  <si>
    <t>Renovación de Licencia de Soporte Ruckus Partner WatchDog, para ZD 1200, 1 AP, 3 años</t>
  </si>
  <si>
    <t>NWDLDGS3124LIC</t>
  </si>
  <si>
    <t> LICENCE FOR DGS-3120-24TC-SI</t>
  </si>
  <si>
    <t>Licencia de Actualización D-Link DGS-3120-24TC, Imagen Estandar (SI) a Mejorada (EI).</t>
  </si>
  <si>
    <t>NWDXSPWR300AC</t>
  </si>
  <si>
    <t> 300W AC POWER SUPPLY</t>
  </si>
  <si>
    <t>Fuente de alimentación Modular D-Link DXS-PWR300AC, 300W, 85V ~ 264VAC.[@@@]Compatibl</t>
  </si>
  <si>
    <t>NWHPEJL083A</t>
  </si>
  <si>
    <t> ARUBA 3810M/2930M 4SFP+ MACSEC</t>
  </si>
  <si>
    <t>HPE 3810M Aruba (JL083A), 4 SFP+, velocidad de transferencia 10 Gbps.[@@@]</t>
  </si>
  <si>
    <t>NWHPEJL087A</t>
  </si>
  <si>
    <t> ARUBA X372 54VDC 1050W</t>
  </si>
  <si>
    <t>Fuente de alimentación HPE Aruba X372, 1050W, voltaje de entrada 110V - 240VAC.[@@@]</t>
  </si>
  <si>
    <t>NWHPEJL448A</t>
  </si>
  <si>
    <t> ARUBA X2C2 RJ45 TO DB9 CONSOLE</t>
  </si>
  <si>
    <t>Cable consola HPE Aruba X2C2 (JL448A), RJ-45 a DB-9.[@@@]</t>
  </si>
  <si>
    <t>NWHPEJY926AAE</t>
  </si>
  <si>
    <t> ARUBA CENTRAL DM 1 TOKEN 3Y</t>
  </si>
  <si>
    <t>NWHPJD096C</t>
  </si>
  <si>
    <t> HP X240 10G SFP+ SFP+ 1.2M DAC</t>
  </si>
  <si>
    <t>HP X240 10G SFP + a SFP + 1,2 m cable de cobre de conexión directa (JD096C).</t>
  </si>
  <si>
    <t>NWHPJD118B</t>
  </si>
  <si>
    <t> HP X120 1G SFP LC SX TRANSCEIV</t>
  </si>
  <si>
    <t>Módulo de transceptor SFP HP X120, puerto LC, velocidad de transferencia 1Gbps.</t>
  </si>
  <si>
    <t>NWHPJL669B</t>
  </si>
  <si>
    <t> X751 FRONT TO BACK FAN TRAY</t>
  </si>
  <si>
    <t>NWRKPLANNER11AC</t>
  </si>
  <si>
    <t> PLANNER NEW SOFTWARE 11AC</t>
  </si>
  <si>
    <t>Software Ruckus ZonePlanner, ideal para diseñar la implementación de Access Point Wir</t>
  </si>
  <si>
    <t>NWSHDCS-6501LH</t>
  </si>
  <si>
    <t> CAMARA 2K PAN &amp; TILT WIFI</t>
  </si>
  <si>
    <t>Camara de seguridad Inteligente D-Link DCS-6501LH, Resolucion 2K/Wi-Fi/Bluetooth LE 5</t>
  </si>
  <si>
    <t>NWDLDIR615</t>
  </si>
  <si>
    <t> D-LINK WIRLES N ROUTER DIR-615</t>
  </si>
  <si>
    <t>Router D-Link DIR-615 Wireless N 300, 1 WAN (10/100 BASE-TX) + 4 LAN (10/100 BASE-TX)</t>
  </si>
  <si>
    <t>RTHUS380-S8P2T</t>
  </si>
  <si>
    <t> ROUTER S380-S8P2T</t>
  </si>
  <si>
    <t>Gateway Multi-Service (Puerta de enlace multiservicio) Huawei eKitEngine S380-S8P2T[@</t>
  </si>
  <si>
    <t>RTHUS380-S8T2T</t>
  </si>
  <si>
    <t> ROUTER S380-S8T2T</t>
  </si>
  <si>
    <t>Gateway Multi-Service (Puerta de enlace multiservicio) Huawei eKitEngine S380-S8T2T[@</t>
  </si>
  <si>
    <t>NW80231003L00</t>
  </si>
  <si>
    <t> PARTNER SUPPORT ZD3000 100 UPG</t>
  </si>
  <si>
    <t>Licencia de soporte Ruckus Partner WatrchDog, Actualización para ZD 3000, 3 años.[@@@</t>
  </si>
  <si>
    <t>NW806RUNL1U00</t>
  </si>
  <si>
    <t> END USER SUPPORT - UNLEASHED A</t>
  </si>
  <si>
    <t>Soporte de usuario para Unleashed puntos de acceso, 1 año.[@@@]</t>
  </si>
  <si>
    <t>NWRK822110630</t>
  </si>
  <si>
    <t> PART SUPP RENEW ZD1106 3YR</t>
  </si>
  <si>
    <t>Renovación de Soporte Premiun Ruckus WatchDog Partner, para ZoneDirector 1106, 3 años</t>
  </si>
  <si>
    <t>NWRK9090100ZD00</t>
  </si>
  <si>
    <t> ZD 3000 100 AP LICENSE UPGRADE</t>
  </si>
  <si>
    <t>Actualización de licencia Ruckus ZoneDirector 3000, 100 Access Point ZoneFlex adicion</t>
  </si>
  <si>
    <t>NWRKR0001-SG00</t>
  </si>
  <si>
    <t> SZ/VSCG3.X AP LIC (VIRTUAL)</t>
  </si>
  <si>
    <t>Licencia de Administración Ruckus, para AP SZ-100/ vSZ 3.x, solo 1 Access Point.[@@@]</t>
  </si>
  <si>
    <t>NWRKRS02-0001-3</t>
  </si>
  <si>
    <t>Soporte técnico Ruckus WatchDog, Usuario final, Virtual SmartCell Gateway, 3 años.[@@</t>
  </si>
  <si>
    <t>NWRKRS104-3000</t>
  </si>
  <si>
    <t> PARTNER SUPPORT - SZ104, 3YR</t>
  </si>
  <si>
    <t>Asistencia Premium de Ruckus Wireless Partner WatchDog, 3 años, para SmartZone 100.[@</t>
  </si>
  <si>
    <t>NWS2200015LSG</t>
  </si>
  <si>
    <t> PTNR SPRT RENEW PER SZ/(V)SCG</t>
  </si>
  <si>
    <t>Soporte técnico Ruckus WatchDog, renovación de soporte , 5 años[@@@]</t>
  </si>
  <si>
    <t>NWS22S1045000</t>
  </si>
  <si>
    <t> PART SUPP RENEW - SZ104, 5YR</t>
  </si>
  <si>
    <t>Soporte técnico Ruckus WatchDog, Usuario final, reemplazo anticipado de piezas , 1 añ</t>
  </si>
  <si>
    <t>SECHPES0G33A</t>
  </si>
  <si>
    <t> GATEWAY 4-PORT GIGABIT SG1004&amp;</t>
  </si>
  <si>
    <t>SECHPES0G34A</t>
  </si>
  <si>
    <t> SECURE GATEWAY 5-PORT SMARTRAT</t>
  </si>
  <si>
    <t>SECHPES0G34A-B</t>
  </si>
  <si>
    <t>NWDLDGS1510-28P</t>
  </si>
  <si>
    <t> 28-PORT GIGABIT SMART SWITCH</t>
  </si>
  <si>
    <t>Switch administrable D-Link SmartPro DGS-1510, 24LAN GbE, 2 1G-SFP, 2 10G-SFP+.[@@@]</t>
  </si>
  <si>
    <t>NWHPEJL680A</t>
  </si>
  <si>
    <t> ARUBA ION 1930 8G 2SFP SWITCH</t>
  </si>
  <si>
    <t>SWHUS31048T4X</t>
  </si>
  <si>
    <t> SWITCH 48 X 10/100/1000BASE-T</t>
  </si>
  <si>
    <t>Switch Huawei eKitEngine S310-48T4X, 48PT x 10/100/1000BASE-T, 4PT x 10GE SFP+[@@@]Al</t>
  </si>
  <si>
    <t>NWDL3124TCSELIC</t>
  </si>
  <si>
    <t> ENHANCED LIC FOR DGS-3120-24TC</t>
  </si>
  <si>
    <t>Licencia de mejora D-Link DGS-3120-24TC-SE-LIC, 3meses, Administración y seguridad.[@</t>
  </si>
  <si>
    <t>NWHPEJL675A</t>
  </si>
  <si>
    <t> ARUBA 6100 48G CL4 4SFP+ SWCH</t>
  </si>
  <si>
    <t>NWHPER8N85A</t>
  </si>
  <si>
    <t> ARUBA 6000 48G CL4 4SFP SWCH</t>
  </si>
  <si>
    <t>NWHPER8N88A</t>
  </si>
  <si>
    <t> ARUBA 6000 24G 4SFP SWITCH</t>
  </si>
  <si>
    <t>SWHPEJL679A</t>
  </si>
  <si>
    <t> LA ARUBA 6100 12G CL4 2SFP+ 13</t>
  </si>
  <si>
    <t>SWHPER8N88B</t>
  </si>
  <si>
    <t> HPE ARUBA NETWORKING CX 6000 2</t>
  </si>
  <si>
    <t>SWHPER8N89A</t>
  </si>
  <si>
    <t> ARUBA 6000 12G CLASS4 POE 2G/2</t>
  </si>
  <si>
    <t>ACCRFEW700</t>
  </si>
  <si>
    <t> RENKFORCE RF-EW-700 2 PUERTOS</t>
  </si>
  <si>
    <t>RENKFORCE</t>
  </si>
  <si>
    <t>Switch Bidireccional de red Renkforce RF-EW-700 de 2 puertos 2.5G &amp; 5G, Alimentacion</t>
  </si>
  <si>
    <t>ACCRFGES400</t>
  </si>
  <si>
    <t> RENKFORCE RF-GES-400 CON 4 P</t>
  </si>
  <si>
    <t>Switch Gigabit Ethernet Renkforce RF-GES-400 con 4 puertos RJ45 y alimentación por US</t>
  </si>
  <si>
    <t>ACCRFUS500</t>
  </si>
  <si>
    <t> RENKFORCE RF-US-500 5PT SWITCH</t>
  </si>
  <si>
    <t>Switch de red RJ45 Renkforce RF-US-500, de 5 puertos y 1 GBit/s[@@@]Cumple con los es</t>
  </si>
  <si>
    <t>DWDLDES1008C</t>
  </si>
  <si>
    <t> 8-PORT FAST ETHERNET SWITCH</t>
  </si>
  <si>
    <t>Switch D-Link DES-1008C, 8 RJ-45 10/100 Mbps, Auto MDI/MDI-X, Presentación en caja.[@</t>
  </si>
  <si>
    <t>NWDLDGS1008MP</t>
  </si>
  <si>
    <t> 8-PORTS GIGA UNMANA SWI8 POE</t>
  </si>
  <si>
    <t>Switch D-Link DGS-1008MP, 8 RJ-45 10/100/1000 Mbps, PoE.[@@@]</t>
  </si>
  <si>
    <t>NWDLDGS1024D</t>
  </si>
  <si>
    <t> D-LINK SWITCH 24-PORT GIGABIT</t>
  </si>
  <si>
    <t>Switch D-Link DGS-1024D, 24 puertos 10/100/1000Mbps, IEEE 802.3x Control de Flujos, P</t>
  </si>
  <si>
    <t>NWDLDGS105</t>
  </si>
  <si>
    <t> SWITCH D-LINK DGS-105</t>
  </si>
  <si>
    <t>SWDGS1016D</t>
  </si>
  <si>
    <t> 16-PORT 10/1001000MBPS UNMANAG</t>
  </si>
  <si>
    <t>D-Link Port Gigabit Unmanaged Switch DGS-1016D / 16 Puertos[@@@]Optimiza tu red con e</t>
  </si>
  <si>
    <t>SWHUS310S24P4JX</t>
  </si>
  <si>
    <t> SW HUAWEI EKIT S310S-24P4JX</t>
  </si>
  <si>
    <t>Switch Huawei eKitEngine (S310S Series) S310S-24P4JX[@@@]24 x 10/100/1000BASE-T PoE+</t>
  </si>
  <si>
    <t>SWHUS310S24T4JX</t>
  </si>
  <si>
    <t> SW HUAWEI EKIT S310S-24T4JX</t>
  </si>
  <si>
    <t>Switch Huawei eKitEngine (S310S Series) S310S-24T4JX[@@@]24 x 10/100/1000BASE-T ports</t>
  </si>
  <si>
    <t>NWADVDVR1</t>
  </si>
  <si>
    <t> DVR SOLO</t>
  </si>
  <si>
    <t>DVR ADVANCE ADV-DVR1 5 EN 1 DE 4 CANALES ANALÓGICOS/HDCVI/HDTVI/AHD + 1 CANAL IP[@@@]</t>
  </si>
  <si>
    <t>NWHPEJL726B</t>
  </si>
  <si>
    <t> HPE ARUBA NETWORKING CX 6200F</t>
  </si>
  <si>
    <t>SWHPEJL829A</t>
  </si>
  <si>
    <t> HPE NETWORKING COMWARE SW</t>
  </si>
  <si>
    <t>NWHPEJL725B</t>
  </si>
  <si>
    <t> HPE ARUBA CX6200 SWITCH SERIES</t>
  </si>
  <si>
    <t>Switch HPE Aruba Networking CX 6200F 24G Class-4 PoE 4SFP+, Capacidad PoE: 370W[@@@]C</t>
  </si>
  <si>
    <t>NWHPR8Q70A</t>
  </si>
  <si>
    <t> CX 6200M 48G CLASS4 POE 4SFP+</t>
  </si>
  <si>
    <t>NWHPEJ9995A</t>
  </si>
  <si>
    <t> ARUBA 8P 1/2.5/5/XGT POE+</t>
  </si>
  <si>
    <t>NWHPEJL253A</t>
  </si>
  <si>
    <t> ARUBA 2930F 24G 4SFP+ SWCH</t>
  </si>
  <si>
    <t>Switch HPE Aruba 2930F, 24 RJ-45 GbE, 4 SFP+ 1/10GbE.[@@@]Capacidad Switching 128 Gbp</t>
  </si>
  <si>
    <t>NWHPEJL253A-B</t>
  </si>
  <si>
    <t>NWHPEJL259A</t>
  </si>
  <si>
    <t> ARUBA 2930F 24G 4SFP SWCH</t>
  </si>
  <si>
    <t>Switch HPE Aruba 2930F, 24 RJ-45 GbE, 4 SFP.[@@@]Capacidad Switching 56 Gbps, rendimi</t>
  </si>
  <si>
    <t>NWHPEJL259A-B</t>
  </si>
  <si>
    <t>NWHPEJL260A</t>
  </si>
  <si>
    <t> ARUBA 2930F 48G 4SFP SWCH</t>
  </si>
  <si>
    <t>Switch HPE Aruba 2930F, 48 RJ-45 GbE, 4 SFP.[@@@]Capacidad Switching 104 Gbps, rendim</t>
  </si>
  <si>
    <t>NWHPEJL727B</t>
  </si>
  <si>
    <t> HPE ANW 6200F 48G C4 4SFP+370W</t>
  </si>
  <si>
    <t>NWHPR9W86A</t>
  </si>
  <si>
    <t> HPE ARUBA NETWORKING CX 8100</t>
  </si>
  <si>
    <t>SWHUS310S-8P4JX</t>
  </si>
  <si>
    <t> SW HUAWEI EKIT S310S-8P4JX</t>
  </si>
  <si>
    <t>Switch Huawei eKitEngine (S310S Series) S310S-8P4JX[@@@]8 puertos PoE+ 10/100/1000BAS</t>
  </si>
  <si>
    <t>SWHUS310S-8T2X</t>
  </si>
  <si>
    <t> SW HUAWEI EKIT S310S-8T2X</t>
  </si>
  <si>
    <t>Switch Huawei eKitEngine (S310S Series) S310S-8T2X[@@@]8 puertos 10/100/1000BASE-T, 2</t>
  </si>
  <si>
    <t>ACCHUSFP10GSREK</t>
  </si>
  <si>
    <t> OPTICAL TRANSCEIVERSFP-10G-SR-</t>
  </si>
  <si>
    <t>Transceptor (Transceiver) optico Huawei eKitEngine SFP-10G-SR-eKit[@@@]Transceptor óp</t>
  </si>
  <si>
    <t>ACCHUSFPGESXEKI</t>
  </si>
  <si>
    <t>  OPTICAL TRANSCEIVER,SFP-GE-S</t>
  </si>
  <si>
    <t>Transceptor (Transceiver) optico Huawei eKitEngine SFP-GE-SX-eKit[@@@]Transceptor ópt</t>
  </si>
  <si>
    <t>ACCHUSFPGETEKIT</t>
  </si>
  <si>
    <t> OPTICAL TRANSCEIVER SFP-GE-T-E</t>
  </si>
  <si>
    <t>Transceptor (Transceiver) electrico Huawei eKitEngine SFP-GE-T-eKit[@@@]Transceptor e</t>
  </si>
  <si>
    <t>NWDEM432XT</t>
  </si>
  <si>
    <t> TRANSCIEVER DEM-432XT</t>
  </si>
  <si>
    <t>Transceiver D-Link DEM-432XT 10GBase-LR SFP+ (10 Km)[@@@]La serie de módulos SFP+ 10G</t>
  </si>
  <si>
    <t>NWHPJD092B</t>
  </si>
  <si>
    <t> HP X130 10G SFP+ LC SR TRANS</t>
  </si>
  <si>
    <t>HP X130 10G SFP+ LC SR TRANSCEIVEREXT, interfaz de puerto 1 x 10GBase/SR, estandar Et</t>
  </si>
  <si>
    <t>REPADLCDSP4703</t>
  </si>
  <si>
    <t> REP LCD SP4703</t>
  </si>
  <si>
    <t>ACCADAPTER2AM</t>
  </si>
  <si>
    <t> 5V/2AMP CHARGER ANU-388 1.5MT</t>
  </si>
  <si>
    <t>Adaptador de energía Advance AC5020, 110- 220V, 2.0A, 5VDC, 0.4A.[@@@]</t>
  </si>
  <si>
    <t>REPDNGWMPMP228S</t>
  </si>
  <si>
    <t> REP WIRELESS MICROPHONE</t>
  </si>
  <si>
    <t>REPADPCBSP4703</t>
  </si>
  <si>
    <t> REP PCBA SP4703</t>
  </si>
  <si>
    <t>REP00002105</t>
  </si>
  <si>
    <t> FUENTE 300W 110-240V - MD3-D02</t>
  </si>
  <si>
    <t>Fuente de alimentación MD3-D02, 300W, ATX, 100V ~240VAC.[@@@]1 conector ATX 24/20 pin</t>
  </si>
  <si>
    <t>REPADVBPKBLACK</t>
  </si>
  <si>
    <t> REP SPARE PARTS OF BACKPACK</t>
  </si>
  <si>
    <t>REPLENFANCOOLER</t>
  </si>
  <si>
    <t> FAN/HEATSINK THINKPAD X1 YOGA</t>
  </si>
  <si>
    <t>Carbon Fan + Heatsink para Lenovo Thinkpad X1 Yoga / 4ta Gen (20QF, 20QG)[@@@]P/N: 5H</t>
  </si>
  <si>
    <t>REPPWSCHRNBTOS1</t>
  </si>
  <si>
    <t> PWS CHARGER NB TOS TECRA M1</t>
  </si>
  <si>
    <t>ACCHP726537B21</t>
  </si>
  <si>
    <t> HP 9.5MM SATA DVD-RW JB GEN9 K</t>
  </si>
  <si>
    <t>Unidad optica HPE JackBlack Gen9, DVD +/- RW, SATA, 9.5 mm.[@@@]</t>
  </si>
  <si>
    <t>HDD7XB7A00027</t>
  </si>
  <si>
    <t> DISCO 7XB7A00027</t>
  </si>
  <si>
    <t>Disco Duro Lenovo ThinkSystem 1.2TB, 2.5", SAS 12Gb/s, 10000 RPM, Hot-Swap, 512n[@@@]</t>
  </si>
  <si>
    <t>HDDHP861683B21</t>
  </si>
  <si>
    <t> HPE 4TB SATA 7.2K LFF LP DS HD</t>
  </si>
  <si>
    <t>Disco duro HPE 861683-B21, 4TB, SATA 6.0 Gb/s, 7200 RPM, 7.45 ms, 3.5".[@@@]</t>
  </si>
  <si>
    <t>HDDHPEP28352B-B</t>
  </si>
  <si>
    <t> HPE 2.4TB SAS 12G 10K SFF 2.5"</t>
  </si>
  <si>
    <t>Disco duro HPE 2.4TB SAS 12 Gb/s Mission Critical 10K RPM SFF (2.5″</t>
  </si>
  <si>
    <t>HDDHPEP28352B21</t>
  </si>
  <si>
    <t>HDDHPEP28586B-B</t>
  </si>
  <si>
    <t> HPE 1.2TB SAS 12G 10K SFF 2.5\</t>
  </si>
  <si>
    <t>HDDHPEP28586B21</t>
  </si>
  <si>
    <t> HPE 1.2TB SAS 12G 10K SFF 2.5"</t>
  </si>
  <si>
    <t>HDDHPJ9F42A</t>
  </si>
  <si>
    <t> HDD MSA 600GB 12G SAS 15K 2.5I</t>
  </si>
  <si>
    <t>Disco duro HPE J9F42A, 600GB, SAS 6.0, 7200 RPM, SFF, SC,2.5".[@@@]</t>
  </si>
  <si>
    <t>HDDLE4XB7A77446</t>
  </si>
  <si>
    <t> THINKSYSTEM ST50 V2 3.5\'' 2TB</t>
  </si>
  <si>
    <t>ThinkSystem ST50 V2 3.5" 2TB 7.2K SATA 6Gb NHS 512n HDD[@@@]Compatible con ST50</t>
  </si>
  <si>
    <t>HDDLE4XB7A83970</t>
  </si>
  <si>
    <t> THINKSYSTEM 2.5\'' 2.4TB HDD</t>
  </si>
  <si>
    <t>ThinkSystem 2.5" 2.4TB 10K SAS 12Gb Hot Swap 512eHDD v2[@@@]Compatible con: SR630(7Z7</t>
  </si>
  <si>
    <t>HDDLE7XB7A00045</t>
  </si>
  <si>
    <t> 8TB 7.2K SAS 12GB HOT SWAP 512</t>
  </si>
  <si>
    <t>Disco duro Lenovo, 8TB, SAS 12.0 Gb/s, 7200 RPM, 3.5".[@@@]</t>
  </si>
  <si>
    <t>SSDHPEP40502B21</t>
  </si>
  <si>
    <t> HPE 480GB SATA 6G MIXED USE SF</t>
  </si>
  <si>
    <t>SSDHPEP40503B21</t>
  </si>
  <si>
    <t> HPE 960GB SATA MU SFF BC MV SS</t>
  </si>
  <si>
    <t>SSDHPEP40504B21</t>
  </si>
  <si>
    <t> HPE 1.92TBSATA MU SFF BC MV SS</t>
  </si>
  <si>
    <t>Unidad de estado sólido (SSD) para servidores HPE1.92TB, 2.5" SFF (small form factor)</t>
  </si>
  <si>
    <t>SSDHPP40502B21</t>
  </si>
  <si>
    <t>SSDLE4XB7A82261</t>
  </si>
  <si>
    <t> SSD LEN TS 2.5'' 5.4K PRO 1.92</t>
  </si>
  <si>
    <t>Lenovo ThinkSystem 2.5" 5400 PRO 1.92TB Read Intensive SATA 6Gbps Hot-Swap SSD[@@@]</t>
  </si>
  <si>
    <t>ACCHPER2J62A</t>
  </si>
  <si>
    <t> HPE SN1610E 32GB 1P FC HBA</t>
  </si>
  <si>
    <t>MELEN4X77A93556</t>
  </si>
  <si>
    <t> THINKSYSTEM16GB TRUDDR5 5600MH</t>
  </si>
  <si>
    <t>Memoria Lenovo ThinkSystem 16GB TruDDR5 5600MHz (1Rx8) ECC UDIMM-A[@@@]Compatible con</t>
  </si>
  <si>
    <t>MEMHP815098B21</t>
  </si>
  <si>
    <t> 16GB SINGLE RANK X4 DDR4-2666</t>
  </si>
  <si>
    <t>Memoria HPE 815098-B21, 16GB, DDR4, 2666 MHz, PC4-21300, RDIMM, 1.2V[@@@]</t>
  </si>
  <si>
    <t>MEMHPEP06033B21</t>
  </si>
  <si>
    <t> MEMORIA HPE 32GB 2933MHZ</t>
  </si>
  <si>
    <t>MEMHPEP43328B21</t>
  </si>
  <si>
    <t> HPE 32GB (1X32GB) DUAL RANK X8</t>
  </si>
  <si>
    <t>MEMLE4X77A77030</t>
  </si>
  <si>
    <t> THINKSYSTEM 32GB</t>
  </si>
  <si>
    <t>Memoria Lenovo ThinkSystem 32GB TruDDR5-4800MHz (1Rx4) 10x4 RDIMM[@@@]Compatible con</t>
  </si>
  <si>
    <t>MEMLE4X77A9096</t>
  </si>
  <si>
    <t> THINKSYSTEM 32GB TRUDDR5 6400M</t>
  </si>
  <si>
    <t>Memoria Lenovo ThinkSystem 32GB RDIMM TruDDR5-6400MHz, ECC, REG, 1.1V, 2Rx8, 288-pin[</t>
  </si>
  <si>
    <t>MEMLE4X77A99752</t>
  </si>
  <si>
    <t> THINKSYSTEM 32GB TRUDDR5 5600M</t>
  </si>
  <si>
    <t>Memoria Lenovo ThinkSystem 32GB DIMM TruDDR5-5600MHz, ECC, 1.1V, 2Rx8, 288-pin[@@@]Co</t>
  </si>
  <si>
    <t>SVHPEP64706-B21</t>
  </si>
  <si>
    <t> HPE 32GB 2RX8 PC5-5600B-R SMAR</t>
  </si>
  <si>
    <t>Memoria Smart Registered HPE 32GB (1x32GB) DDR5‑5600 Dual Rank x8 CAS‑46&amp;</t>
  </si>
  <si>
    <t>MEMLE4XB7B07589</t>
  </si>
  <si>
    <t> THINKSYSTEM M.2 VA 960GB READ</t>
  </si>
  <si>
    <t>Unidad de disco solido Lenovo ThinkSystem M.2/VA/960GB/Read Intensive/SATA 6Gb/s/NHS[</t>
  </si>
  <si>
    <t>SDDLE4XB7A90875</t>
  </si>
  <si>
    <t> THINKSYSTEM 2.5\''VA 1.92TB RE</t>
  </si>
  <si>
    <t>SSDHPEP47808B21</t>
  </si>
  <si>
    <t> HPE 960GB SATA 6G READ INTENSI</t>
  </si>
  <si>
    <t>Unidad de Disco Solido HPE 960GB SATA 6G Read Intensive LFF LPC Multi Vendor SSD[@@@]</t>
  </si>
  <si>
    <t>SSDLE4XB7A90874</t>
  </si>
  <si>
    <t> SSD LEN 960GB 2.5''SATA III HS</t>
  </si>
  <si>
    <t>Unidad de Disco Solido Lenovo ThinkSystem 2.5" VA960GB Read Intensive SATA 6Gb HS SSD</t>
  </si>
  <si>
    <t>ZZXSERTEC2</t>
  </si>
  <si>
    <t> SERVICIO DE DIAGNOSTICO</t>
  </si>
  <si>
    <t>SERVICIOS E INTANGIBLES</t>
  </si>
  <si>
    <t>ZZPRESACC</t>
  </si>
  <si>
    <t> GAR DE BUEN FUNCIONAMIENTO</t>
  </si>
  <si>
    <t>ZZXCOMISION</t>
  </si>
  <si>
    <t> COMISION POR VENTAS</t>
  </si>
  <si>
    <t>ZZXCONT01</t>
  </si>
  <si>
    <t> ALQUILER</t>
  </si>
  <si>
    <t>ZZXCR0004</t>
  </si>
  <si>
    <t> GASTOS FINANCIEROS</t>
  </si>
  <si>
    <t>ZZXCR0007</t>
  </si>
  <si>
    <t> GASTOS JUDICIALES</t>
  </si>
  <si>
    <t>ZZZZRENOVACION1</t>
  </si>
  <si>
    <t> RENOVACION_SOPORTE_EQUIPOS SH</t>
  </si>
  <si>
    <t>ZZZZRENOVACION2</t>
  </si>
  <si>
    <t>ZZZZSOPORTEVIRT</t>
  </si>
  <si>
    <t> SOPORTE VIRTUAL SH 255-H +</t>
  </si>
  <si>
    <t>SERDATDD10001SA</t>
  </si>
  <si>
    <t> SERV. ANUAL - DATTO NAS DN1000</t>
  </si>
  <si>
    <t>DATTO</t>
  </si>
  <si>
    <t>SERDATTDD10000</t>
  </si>
  <si>
    <t> SERVI MENSUAL DATTO DRIVE 10TB</t>
  </si>
  <si>
    <t>DATTO CLOUD</t>
  </si>
  <si>
    <t>SERDATTDD10001A</t>
  </si>
  <si>
    <t> SERVICIO ANUAL DATTO DRIVE 1TB</t>
  </si>
  <si>
    <t>SERDATTDD5000</t>
  </si>
  <si>
    <t> SERVIC MENSUAL DATTO DRIVE 5TB</t>
  </si>
  <si>
    <t>SERDATTDD5001SA</t>
  </si>
  <si>
    <t> SERV. ANUAL - DATTO NAS DN500</t>
  </si>
  <si>
    <t>ZZXGTOBANC</t>
  </si>
  <si>
    <t> REMBOLSO DE GASTOS FINACIEROS</t>
  </si>
  <si>
    <t>ZZXVTA005</t>
  </si>
  <si>
    <t> ALQUILER DE EQUIPOS DE COMPUTO</t>
  </si>
  <si>
    <t>ZZXVTA008</t>
  </si>
  <si>
    <t> ANTICIPO POR VENTA MERCADERIA</t>
  </si>
  <si>
    <t>SVHPEP89073-DM5</t>
  </si>
  <si>
    <t> HPE PROLIANT ML350 G12 INTEL X</t>
  </si>
  <si>
    <t>SVHPEP89231-DM5</t>
  </si>
  <si>
    <t> HPE PROLIANT DL360 G12 INTELXE</t>
  </si>
  <si>
    <t>SVHPEP89248-DM5</t>
  </si>
  <si>
    <t> HPE PROLIANT DL380 G12 INTELXE</t>
  </si>
  <si>
    <t>SVLEN7DCLA04TLA</t>
  </si>
  <si>
    <t> SR250 V3, 1X6353P 8C 65W 2.7GH</t>
  </si>
  <si>
    <t>Servidor Lenovo ThinkSystem SR250 V3 / 1 x Intel Xeon 6353P 2.7/4.2GHz/8C/16T/65W/Rac</t>
  </si>
  <si>
    <t>SVLEN7DGD1003LA</t>
  </si>
  <si>
    <t> THINKSYSTEM SR650V4,1XINTEL XE</t>
  </si>
  <si>
    <t>Servidor Lenovo ThinkSystem SR650 V4 / 1 x Intel Xeon 6505P 2.2GHz/12C/150W/Rack 2U[@</t>
  </si>
  <si>
    <t>SVLEN7DGD1004LA</t>
  </si>
  <si>
    <t> THINKSYSTEM SR650 V4 6515P 32G</t>
  </si>
  <si>
    <t>Servidor Lenovo ThinkSystem SR650 V4 / 1 x Intel Xeon 6515P 2.3GHz/16C/150W/Rack 2U[@</t>
  </si>
  <si>
    <t>SVLEN7DH4A00GLA</t>
  </si>
  <si>
    <t> THINKSYSTEM ST45 V3</t>
  </si>
  <si>
    <t>Servidor Lenovo ThinkSystem ST45 V3, AMD EPYC 4124P 3.8/5.1GHz/4C/16MB Cache, TDP: 65</t>
  </si>
  <si>
    <t>ACCHP766203B21</t>
  </si>
  <si>
    <t> DL360 GEN9/10 LFF OPT CABLE KI</t>
  </si>
  <si>
    <t>Cable óptico para HPE ProLiant DL360 Generación 9/10, LFF.[@@@]</t>
  </si>
  <si>
    <t>ACCHPEP48918B21</t>
  </si>
  <si>
    <t> HPE DL360 GEN11 STG CNTRL ENAB</t>
  </si>
  <si>
    <t>Kit de cables de habilitación del controlador de almacenamiento HPE ProLiant DL360 Ge</t>
  </si>
  <si>
    <t>ACCHPEP58335B21</t>
  </si>
  <si>
    <t> HPE MR408I-O GEN11 SPDM STORAG</t>
  </si>
  <si>
    <t>Controlador de almacenamiento RAID HPE MR408i‑o Gen11 x8 Lanes 4GB Cache OCP SP</t>
  </si>
  <si>
    <t>ACCLE4XH7A83846</t>
  </si>
  <si>
    <t> V3 1U X16X16 PCIE G4 R1 LP+FH</t>
  </si>
  <si>
    <t>Tarjeta Riser Lenovo ThinkSystem V3 1U x16/x16 PCIe Gen4 Riser1 LP+FH Option Kit[@@@]</t>
  </si>
  <si>
    <t>ACCLE4XH7A96837</t>
  </si>
  <si>
    <t> THINKSYSTEM V4 HOT SWAP M.2 SA</t>
  </si>
  <si>
    <t>ACCLEN39Y7937</t>
  </si>
  <si>
    <t> POWER CABLE 10A C13 TO C14 1.5</t>
  </si>
  <si>
    <t>Cable poder Lenovo 39Y7937, 1.5 mts, 100-250V, 10A, C13 a IEC 320-C14.[@@@]</t>
  </si>
  <si>
    <t>ACCQ764632-B21</t>
  </si>
  <si>
    <t> HP DL360 GEN9 SFF DVD-RW USB</t>
  </si>
  <si>
    <t>HP DL360 Gen9 SFF DVD/USB Universal Media Bay Kit[@@@]</t>
  </si>
  <si>
    <t>ACHPT9074BAE</t>
  </si>
  <si>
    <t> HP INSIGHT CONTROL E-LTU</t>
  </si>
  <si>
    <t>Licencia electrónica de soporte HP Insight Control Environment 24x7 (T9074BAE).[@@@]</t>
  </si>
  <si>
    <t>ACLEN4X97A93517</t>
  </si>
  <si>
    <t> THINKSYSTEM ST50 V3 INTERNAL D</t>
  </si>
  <si>
    <t>ACCHP865408B-B</t>
  </si>
  <si>
    <t> HPE 500W FLEX SLOT PLATINUM HO</t>
  </si>
  <si>
    <t>ACCHP865408B21</t>
  </si>
  <si>
    <t>Fuente de alimentación HPE 865408-B21, 500W, 100V- 240VAC, 80 Plus Platinum, Hot-Plug</t>
  </si>
  <si>
    <t>ACCHP865414B21</t>
  </si>
  <si>
    <t> HPE 800W FS PLAT HT PLG LH PWR</t>
  </si>
  <si>
    <t>Fuente de alimentación HPE 865414-B21, 800W, 100V- 240VAC, 80 Plus Platinium, Hot-Plu</t>
  </si>
  <si>
    <t>ACCHPEP38995B21</t>
  </si>
  <si>
    <t>ACCHPP01366B21</t>
  </si>
  <si>
    <t> 96W SMART STORAGE BATT 145MM C</t>
  </si>
  <si>
    <t>Batería de iones de litio HPE Smart Storage de 96W con kit de cable de 145mm[@@@]El H</t>
  </si>
  <si>
    <t>SWHPC6N36AAE</t>
  </si>
  <si>
    <t> HP INSIGHT CONTROL ML/DL/BL</t>
  </si>
  <si>
    <t>HP Insight Control - licence[@@@]</t>
  </si>
  <si>
    <t>SWHPEP46172DN1</t>
  </si>
  <si>
    <t> HPE MS WS22 ESTIALS ROK 10CORE</t>
  </si>
  <si>
    <t>SWHPEU4507E</t>
  </si>
  <si>
    <t> HPE INSTALLATION AND STARTUP</t>
  </si>
  <si>
    <t>SWHPP00487071</t>
  </si>
  <si>
    <t> MS WS16 (16-CORE) STD ROK ES S</t>
  </si>
  <si>
    <t>Licencia HPE Microsoft Windows Server 2016 Standar, OEM, ROK, 16 Núcleos.[@@@]</t>
  </si>
  <si>
    <t>ACLEN7ZT7A00484</t>
  </si>
  <si>
    <t> THINKSYSTEM BROADCOM 5719 1GBE</t>
  </si>
  <si>
    <t>Tarjeta de red Lenovo ThinkSystem Broadcom 5719, 1GbE (RJ-45), 4-Puertos PCIe Etherne</t>
  </si>
  <si>
    <t>ACCTE8121NV2</t>
  </si>
  <si>
    <t> SILLA GAMER TE-8121N</t>
  </si>
  <si>
    <t>Silla gamer TEROS TE-8121N, negro[@@@]La silla gamer TEROS TE-8121N combina comodidad</t>
  </si>
  <si>
    <t>ACCTE8126B</t>
  </si>
  <si>
    <t> SILLA GAMER TE-8126B</t>
  </si>
  <si>
    <t>Silla gamer TEROS TE-8126B, azul y blanco[@@@]La silla gamer TEROS TE-8126B ofrece un</t>
  </si>
  <si>
    <t>ACCLT7188TY</t>
  </si>
  <si>
    <t> LT7188TY AI TOY BUBU</t>
  </si>
  <si>
    <t>Juguete interactivo con IA Bubú el Búho ChatGPT 4o, App Tuya Smart, 1200mAh, Felpa[@@</t>
  </si>
  <si>
    <t>SWESETENDPROADV</t>
  </si>
  <si>
    <t> ESET ENDPOINT PROTECTION ADV</t>
  </si>
  <si>
    <t>ESET</t>
  </si>
  <si>
    <t>ESET Endpoint Protection Advanced[@@@]</t>
  </si>
  <si>
    <t>SWESETENDPROT</t>
  </si>
  <si>
    <t> ESET ENDPOINT PROTECTION STD</t>
  </si>
  <si>
    <t>ESET Endpoint Protection Standard[@@@]</t>
  </si>
  <si>
    <t>SWNOD32FILESR-B</t>
  </si>
  <si>
    <t> ESET NOD32 FILE SERVER 12MES</t>
  </si>
  <si>
    <t>SWNODS11030050</t>
  </si>
  <si>
    <t>SWS11030050B</t>
  </si>
  <si>
    <t> ESET PROTECT ESSENTIAL ONPREM</t>
  </si>
  <si>
    <t>SWB11010058</t>
  </si>
  <si>
    <t> BD ANT PLUS 1+1PC 12M</t>
  </si>
  <si>
    <t>BIT DEFENDER</t>
  </si>
  <si>
    <t>SWB11010059</t>
  </si>
  <si>
    <t> BD ANTIVIRUS PLUS 3 PCS 12M</t>
  </si>
  <si>
    <t>Software Bitdefender Antivirus Plus, Licencia para 3 PCs, por 12 Meses[@@@]</t>
  </si>
  <si>
    <t>SWB11010061</t>
  </si>
  <si>
    <t> BD PLUS 1 PC 12M BLISTER</t>
  </si>
  <si>
    <t>SWB11010062</t>
  </si>
  <si>
    <t> BD PLUS 1 PC 12M CAJA 2X1</t>
  </si>
  <si>
    <t>SWB11010063</t>
  </si>
  <si>
    <t> BD PLUS 3 PCS 12M</t>
  </si>
  <si>
    <t>SWB11020057</t>
  </si>
  <si>
    <t> BD INTERNET SECURITY 1+1PC 12M</t>
  </si>
  <si>
    <t>Software Bitdefender Internet Security, Licencia para 1PC+1 Adicional, 12 Meses[@@@]</t>
  </si>
  <si>
    <t>SWB11020058</t>
  </si>
  <si>
    <t> BD INTERNET SECURITY 3 PCS 12M</t>
  </si>
  <si>
    <t>Software Bitdefender Internet Security, Licencia para 3 PCs, 12 Meses[@@@]</t>
  </si>
  <si>
    <t>SWB11020059</t>
  </si>
  <si>
    <t> BD INTERNET SECURITY 1PC 12M</t>
  </si>
  <si>
    <t>SWB11030029</t>
  </si>
  <si>
    <t> BD TOTAL SEC PREM VPN 5PC 12M</t>
  </si>
  <si>
    <t>SWB11030033</t>
  </si>
  <si>
    <t> BD TOTAL SEC 3 DISP 12M</t>
  </si>
  <si>
    <t>SWB11030034</t>
  </si>
  <si>
    <t> BD TOTAL SEC 5 DISP 12M</t>
  </si>
  <si>
    <t>SWKL1041D5AFSA</t>
  </si>
  <si>
    <t> KASPERSKY STANDAR 1PC 1Y</t>
  </si>
  <si>
    <t>SWKL1041D5CFSA</t>
  </si>
  <si>
    <t> KASPERSKY STANDAR 3PC 1Y</t>
  </si>
  <si>
    <t>SWKL1041D5KFSA</t>
  </si>
  <si>
    <t> KASPERSKY STANDAR 10PC 1Y</t>
  </si>
  <si>
    <t>SWKL1042D5AFSA</t>
  </si>
  <si>
    <t> KASPERSKY PLUS 1PC 1Y</t>
  </si>
  <si>
    <t>SWKL1042D5CFS</t>
  </si>
  <si>
    <t> KASPERSKY PLUS 3PC 1AñO</t>
  </si>
  <si>
    <t>Kaspersky Plus Edition, para unos 3 dispositivos,Licencia de 1 año[@@@]Compatible con</t>
  </si>
  <si>
    <t>SWKL1042D5CFSA</t>
  </si>
  <si>
    <t> KASPERSKY PLUS 3PC 1Y</t>
  </si>
  <si>
    <t>SWKL1042D5EFSA</t>
  </si>
  <si>
    <t> KASPERSKY PLUS 5PC 1Y</t>
  </si>
  <si>
    <t>SWKL1047D5AFSA</t>
  </si>
  <si>
    <t> KASPERSKY PREMIUM 1PC 1Y</t>
  </si>
  <si>
    <t>SWKL1047D5CFSA</t>
  </si>
  <si>
    <t> KASPERSKY PREMIUM 3PC 1Y</t>
  </si>
  <si>
    <t>SWKL1047D5EFSA</t>
  </si>
  <si>
    <t> KASPERSKY PREMIUM 5PC 1Y</t>
  </si>
  <si>
    <t>SWNODV11030111</t>
  </si>
  <si>
    <t> ESET 2020 MULTIDEVICE 10PC 13M</t>
  </si>
  <si>
    <t>SWS11010230</t>
  </si>
  <si>
    <t> ESET NOD32 3 USER</t>
  </si>
  <si>
    <t>SWS11010233</t>
  </si>
  <si>
    <t>SWS11030185</t>
  </si>
  <si>
    <t> ESET SMALL BUSSINES SEC 5PC 1Y</t>
  </si>
  <si>
    <t>SWS11030192</t>
  </si>
  <si>
    <t> ESET HSEC ESSEN 2025 6D 13M</t>
  </si>
  <si>
    <t>SWS11030194</t>
  </si>
  <si>
    <t> BLISTER ESET FILE SERVER</t>
  </si>
  <si>
    <t>SWS11030200</t>
  </si>
  <si>
    <t> ESET H ESSEN 1 PC (2X1) + 1 MG</t>
  </si>
  <si>
    <t>SWS11030213</t>
  </si>
  <si>
    <t> HOME SECURITY ESSENTIAL 6 DISP</t>
  </si>
  <si>
    <t>SWS11030220</t>
  </si>
  <si>
    <t> ESET HOME SEC ESSEN 2X1 BTS</t>
  </si>
  <si>
    <t>SWS11030221</t>
  </si>
  <si>
    <t> ESET HOME SECURITY PREMIUM BTS</t>
  </si>
  <si>
    <t>SWS11030222</t>
  </si>
  <si>
    <t> ESET HOME SECURITY ULTIMATE F</t>
  </si>
  <si>
    <t>ZZB11010054M</t>
  </si>
  <si>
    <t> BD ANTIVIRUS PLUS 1PC 12M</t>
  </si>
  <si>
    <t>ZZB11020059M</t>
  </si>
  <si>
    <t>ZZDB11911005</t>
  </si>
  <si>
    <t> BD TOTAL SECURITY 5PCS 12M</t>
  </si>
  <si>
    <t>ZZLENB11010054</t>
  </si>
  <si>
    <t> BUNDLE LENOVO BLISTER</t>
  </si>
  <si>
    <t>ZZWDKL1041DDAFS</t>
  </si>
  <si>
    <t> KSP STANDARD 2022 1PC 1Y - WD</t>
  </si>
  <si>
    <t>LICQ9Y73AAE</t>
  </si>
  <si>
    <t> ARUBA CENTRAL 62/29XX F 1Y E-S</t>
  </si>
  <si>
    <t>SWDB11911005</t>
  </si>
  <si>
    <t>SWHNW281AAB1K</t>
  </si>
  <si>
    <t> HP CLASSROOM MANAGER 2.0</t>
  </si>
  <si>
    <t>Software HP Classroom Manager 2.0, 1 Licencia, para PC con Windows.[@@@]Tome el contr</t>
  </si>
  <si>
    <t>SWKL1939DDAFS</t>
  </si>
  <si>
    <t> KASPERSKY INTERNET SECURITY M</t>
  </si>
  <si>
    <t>SWKL1939DDKTS</t>
  </si>
  <si>
    <t> KSP INTERNET SECURITY MUL 10PC</t>
  </si>
  <si>
    <t>SWKL4541DDKFR</t>
  </si>
  <si>
    <t> KASPERSKY SMALL OFFICE 10 PC</t>
  </si>
  <si>
    <t>SWLEN01GU631</t>
  </si>
  <si>
    <t> WIN SVR 2016 STD ADDL LIC 4COR</t>
  </si>
  <si>
    <t>Licencia Lenovo Microsoft Windows Server 2016 Standard, OEM, 4 nucleos adicionales.[@</t>
  </si>
  <si>
    <t>SWWMVS5ESPKITGS</t>
  </si>
  <si>
    <t> BASIC SUPP SUBS VSPHERE PLUS</t>
  </si>
  <si>
    <t>Soporte técnico VMware vSphere Essentials Plus Kit (v. 5), 1 Año, 12x5, respuesta 4 h</t>
  </si>
  <si>
    <t>ZZZSERAPKTRILC</t>
  </si>
  <si>
    <t> APK TRILCE 2017</t>
  </si>
  <si>
    <t>SSD1TBWM100</t>
  </si>
  <si>
    <t> SSD BW M100 1TB SATA 2.5''</t>
  </si>
  <si>
    <t>Unidad en estado Solido (SSD) Biwin M100, 1TB, SATA III (6.0Gb/s), 2.5"[@@@]Mejora el</t>
  </si>
  <si>
    <t>SSD1TTFVULCANZ</t>
  </si>
  <si>
    <t> SSD 1TB T-FORCE VULCAN Z 2.5</t>
  </si>
  <si>
    <t>Unidad en estado solido T-FORCE VULCAN Z, 1TB, SATA 6Gb/s, 2.5", Negro, DC +5V[@@@]Ve</t>
  </si>
  <si>
    <t>SSDHSWAVES1024</t>
  </si>
  <si>
    <t> SSD HIKSEMI WAVE(S) 1024GB</t>
  </si>
  <si>
    <t>Unidad de estado solido Hiksemi HS-SSD Wave (S),1024GB, Sata III, 2.5", 550 MB/S[@@@]</t>
  </si>
  <si>
    <t>SSDHSWAVES512</t>
  </si>
  <si>
    <t> SSD HIKSEMI WAVE(S) 512GB</t>
  </si>
  <si>
    <t>Unidad en estado solido (SSD) HIKSEMI HS-SSD-WAVE(S) 512GB, 2.5", SATA III[@@@]Veloci</t>
  </si>
  <si>
    <t>SSDKTDC600M3840</t>
  </si>
  <si>
    <t> SSD KING DC600M 3.8GB SATA SVR</t>
  </si>
  <si>
    <t>Unidad en estado solido Kingston DC600M 3840GB, SATA Rev. 3.0 (6Gb/seg), 2.5"[@@@]Vel</t>
  </si>
  <si>
    <t>SSDKTDC600M7680</t>
  </si>
  <si>
    <t> SSD KING DC600M 7680GB SATA</t>
  </si>
  <si>
    <t>Unidad en estado solido Kingston DC600M 7680GB, SATA Rev. 3.0 (6Gb/seg), 2.5"[@@@]Vel</t>
  </si>
  <si>
    <t>SSDKTSA400S240G</t>
  </si>
  <si>
    <t> SSD KING 240GB A400 2.5'' SATA</t>
  </si>
  <si>
    <t>Unidad de Estado Solido Kingston A400, 240GB, SATA 6Gb/s, 2.5", 7mm, TLC.[@@@]Velocid</t>
  </si>
  <si>
    <t>SSDKTSA400S480G</t>
  </si>
  <si>
    <t> SSD KING 480GB A400 2.5'' SATA</t>
  </si>
  <si>
    <t>Unidad de Estado Solido Kingston A400, 480GB, SATA 6Gb/s, 2.5", 7mm.[@@@]Velocidad de</t>
  </si>
  <si>
    <t>SSDKTSA400S960G</t>
  </si>
  <si>
    <t> SSD KING 960GB A400 2.5'' SATA</t>
  </si>
  <si>
    <t>Unidad de Estado Solido Kingston A400, 960GB, SATA 6.0 Gb/s, 2.5", 7mm.[@@@]Velocidad</t>
  </si>
  <si>
    <t>SSDSM870EVO500E</t>
  </si>
  <si>
    <t> SSD SAMSUNG 870 EVO 500GB 2.5"</t>
  </si>
  <si>
    <t>Unidad en estado solido Samsung 870 EVO 500GB, 2.5", SATA 6Gb/s[@@@]Velocidad de lect</t>
  </si>
  <si>
    <t>SSDTGT253X6512G</t>
  </si>
  <si>
    <t> SSD TG 512GB CX2 SATA3 2.5''</t>
  </si>
  <si>
    <t>Unidad de estado solido Teamgroup CX2, 512GB, SATA 6.0 Gb/s, 2.5", ECC, DC +5V[@@@]Ve</t>
  </si>
  <si>
    <t>SSDWDS200T5G0A</t>
  </si>
  <si>
    <t> SSD WD GREEN 2TB SATA</t>
  </si>
  <si>
    <t>Unidad en estado solido Western Digital Green, WDS200T5G0A, 2TB, SATA, 2.5", 7mm.[@@@</t>
  </si>
  <si>
    <t>SSD1TTGMP33FP60</t>
  </si>
  <si>
    <t> SSD 1T TG MP33 M.2 NVME PCI3X4</t>
  </si>
  <si>
    <t>Unidad en estado solido MP33 M.2 PCIe SSD, 1TB, DC +3.3V[@@@]Interfaz PCIe 3.0 x4 NVM</t>
  </si>
  <si>
    <t>SSD1TTGNV5000P4</t>
  </si>
  <si>
    <t> SSD 1T TG NV5000 M.2 PCI-E4X4</t>
  </si>
  <si>
    <t>Unidad de estado solido TEAMGROUP NV5000 M.2 PCIe4.0 SSD M.2 1TB, PCIe Gen4x4 con NVM</t>
  </si>
  <si>
    <t>SSD2TTGNV5000M2</t>
  </si>
  <si>
    <t> SSD 2T TG NV5000 M.2 PCI-E4X4</t>
  </si>
  <si>
    <t>Unidad de estado solido TEAMGROUP NV5000 M.2 PCIe4.0 SSD M.2 2TB, PCIe Gen4x4 con NVM</t>
  </si>
  <si>
    <t>SSD500GTGMP44L</t>
  </si>
  <si>
    <t> SSD 500G TG MP44L M.2 PCIE4X4</t>
  </si>
  <si>
    <t>Unidad de estado solido TEAMGROUP MP44L 500GB, M.2, PCI-E 4.0 x4 con NVMe 1.4[@@@]Vel</t>
  </si>
  <si>
    <t>SSD500GTGNV50P4</t>
  </si>
  <si>
    <t> SSD 500GB TG NV5000 M.2 PCI-E4</t>
  </si>
  <si>
    <t>Unidad en estado solido TeamGroup NV5000, 500GB M.2 PCIe SSD, 4,500 MB/s[@@@]mpulsa e</t>
  </si>
  <si>
    <t>SSDKT3000M1024</t>
  </si>
  <si>
    <t> SSD KING KC3000 1024GB NVME M2</t>
  </si>
  <si>
    <t>Unidad en estado solido Kingston KC3000, 1024GB, M.2 2280 PCIe Gen 4.0 NVMe[@@@]Veloc</t>
  </si>
  <si>
    <t>SSDKT3000M4096</t>
  </si>
  <si>
    <t> SSD KING KC3000 4096GB NVME M2</t>
  </si>
  <si>
    <t>Unidad en estado solido Kingston KC3000, 4096GB, M.2 2280 PCIe Gen 4.0 NVMe[@@@]Veloc</t>
  </si>
  <si>
    <t>SSDKTNV3SM32000</t>
  </si>
  <si>
    <t> SSD KT NV3 2TB NVME 2230</t>
  </si>
  <si>
    <t>SSD Kingston NV3 PCIe 4.0 NVMe de 2 TB[@@@]Disfruta de almacenamiento veloz y confiab</t>
  </si>
  <si>
    <t>SSDKTSFYR2S2T0</t>
  </si>
  <si>
    <t> SSD KT FURY RENEG 2TB NVME G5</t>
  </si>
  <si>
    <t>Unidad en estado solido Kingston FURY Renegade G5, 2048GB, M.2 2280, NVMe PCIe 5.0 x4</t>
  </si>
  <si>
    <t>SSDKTSFYR2S4T0</t>
  </si>
  <si>
    <t> SSD KT FURY RENEG 4TB NVME G5</t>
  </si>
  <si>
    <t>Unidad en estado solido Kingston FURY Renegade G5, 4096GB, M.2 2280, NVMe PCIe 5.0 x4</t>
  </si>
  <si>
    <t>SSDKTSFYRDK2000</t>
  </si>
  <si>
    <t> SSD KT FURY R. 2TB NVME W/HTSK</t>
  </si>
  <si>
    <t>Unidad en estado solido Kingston FURY Renegade 2TB, M.2 2280 PCIe 4.0 x4 NVMe.[@@@]Ve</t>
  </si>
  <si>
    <t>SSDKTSFYRSK1000</t>
  </si>
  <si>
    <t> SSD KT FURY R. 1TB NVME W/HTSK</t>
  </si>
  <si>
    <t>Unidad en estado solido Kingston FURY Renegade 1TB, M.2 2280 PCIe 4.0 x4 NVMe.[@@@]Ve</t>
  </si>
  <si>
    <t>SSDKTSNV3M1000</t>
  </si>
  <si>
    <t> SSD KING 1000GB NV3 M.2 NVME</t>
  </si>
  <si>
    <t>Unidad en estado solido Kingston 1000GB NV3 PCIe 4.0 NVMe M.2 SSD[@@@]</t>
  </si>
  <si>
    <t>SSDKTSNV3M2000</t>
  </si>
  <si>
    <t> SSD KING 2000GB NV3 M.2 NVME</t>
  </si>
  <si>
    <t>Unidad en estado solido Kingston 2000GB NV3 PCIe 4.0 NVMe M.2 SSD[@@@]</t>
  </si>
  <si>
    <t>SSDKTSNV3M500</t>
  </si>
  <si>
    <t> SSD KING 500GB NV3 M.2 NVME</t>
  </si>
  <si>
    <t>Unidad en estado solido Kingston 500GB NV3 PCIe 4.0 NVMe M.2 SSD[@@@]</t>
  </si>
  <si>
    <t>SSDWDS100T2G0C</t>
  </si>
  <si>
    <t> SSD WD SN350 1TB GREEN NVME</t>
  </si>
  <si>
    <t>Unidad en estado solido WD Green SN350 NVMe 1TB M.2 2280, PCIe Gen3 x4 NVMe v1.3[@@@]</t>
  </si>
  <si>
    <t>SSDWDS100T4G0E</t>
  </si>
  <si>
    <t> SSD WD GREEN SN3000 1TB NVME</t>
  </si>
  <si>
    <t>Unidad en estado solido WD Green SN3000 NVMe 1TB M.2 2280, PCIe Gen 4.0 x4, NVMe[@@@]</t>
  </si>
  <si>
    <t>SSDWDS500G4G0E</t>
  </si>
  <si>
    <t> SSD WD GREEN SN3000 500GB NVME</t>
  </si>
  <si>
    <t>Unidad en estado solido WD Green SN3000 NVMe 500GB M.2 2280, PCIe Gen 4.0 x4, NVMe[@@</t>
  </si>
  <si>
    <t>ZZSSDSGZP500CV3</t>
  </si>
  <si>
    <t> ZZ SSD BARRACUDA Q5 500G M.2</t>
  </si>
  <si>
    <t>SSD1TTGMS30M2S3</t>
  </si>
  <si>
    <t> SSD 1TB TG MS30 M.2 SATAIII</t>
  </si>
  <si>
    <t>Unidad en estado solido TEAMGROUP 1TB MS30 M.2 2280 SATA III 6Gb/s[@@@]Velocidad de e</t>
  </si>
  <si>
    <t>SSD512GTGMS30M2</t>
  </si>
  <si>
    <t> SSD TG 512G MS30 M.2 SATAIII</t>
  </si>
  <si>
    <t>Unidad en estado solido TEAMGROUP 512GB MS30 M.2 2280 SATA III 6Gb/s[@@@]Velocidad de</t>
  </si>
  <si>
    <t>ACCQNRAILB02</t>
  </si>
  <si>
    <t> QNAP RAIL KIT FOR 2U RACKMOUNT</t>
  </si>
  <si>
    <t>QNAP</t>
  </si>
  <si>
    <t>Kit de rieles estándar | QNAP Rail-B02[@@@]Los kits de rieles de QNAP ayudan a instal</t>
  </si>
  <si>
    <t>NASAS1202T</t>
  </si>
  <si>
    <t> ASUSTOR AS1202T NAS 2 BAY</t>
  </si>
  <si>
    <t>ASUSTOR</t>
  </si>
  <si>
    <t>Servidor NAS ASUSTOR DRIVESTOR 2 Gen2 (AS1202T), Realtek RTD1619B 1.7GHz QC/1GB DDR4</t>
  </si>
  <si>
    <t>NASAS1204T</t>
  </si>
  <si>
    <t> AUSTOR AS1204T NAS 4 BAY</t>
  </si>
  <si>
    <t>Servidor NAS ASUSTOR DRIVESTOR 4 Gen2 (AS1204T), Realtek RTD1619B 1.7GHz QC/1GB DDR4</t>
  </si>
  <si>
    <t>NASAS3302T</t>
  </si>
  <si>
    <t> ASUSTOR AS3302T V2 NAS 2 BAY</t>
  </si>
  <si>
    <t>Servidor NAS ASUSTOR DRIVESTOR 2 Pro Gen2 (AS3302T v2) Realtek RTD1619B 1.7GHz/QC/2GB</t>
  </si>
  <si>
    <t>NASAS5404T</t>
  </si>
  <si>
    <t> ASUSTOR AS5404T NAS 4 BAY</t>
  </si>
  <si>
    <t>Servidor NAS ASUSTOR NIMBUSTOR 4 Gen2 (AS5404T), Celeron N5105/QC/10nm, 4GB RAM DDR4-</t>
  </si>
  <si>
    <t>NASAS6706TV2</t>
  </si>
  <si>
    <t> ASUSTOR AS6706T V2 NAS 6 BAY</t>
  </si>
  <si>
    <t>Servidor NAS ASUSTOR LOCKERSTOR 6 Gen2+ (AS6706T v2), Celeron N5105/QC/10nm, 8GB RAM</t>
  </si>
  <si>
    <t>NASAS6806T</t>
  </si>
  <si>
    <t> ASUSTOR AS6806T NAS 6 BAY</t>
  </si>
  <si>
    <t>Servidor NAS ASUSTOR LOCKERSTOR 6 Gen3 (AS6806T) Ryzen V3C14/QC/10nm, 16GB ECC DDR5-4</t>
  </si>
  <si>
    <t>NASQNTS2648GUS</t>
  </si>
  <si>
    <t> QNAP TS-264 NAS 2 BAY HP</t>
  </si>
  <si>
    <t>Servidor NAS QNAP TS-264-8G, Celeron N5095 4C / 2.9GHz, 8GB RAM, Bahias: 2 x 3.5" SAT</t>
  </si>
  <si>
    <t>NASQNTS432X4GUS</t>
  </si>
  <si>
    <t> QNAP TS-432X NAS 4 BAY</t>
  </si>
  <si>
    <t>Servidor NAS QNAP TS-432X-4G, ARM AL524 4C/2GHz, 4GB RAM SODIMM, Bahias: 4x3.5" SATA[</t>
  </si>
  <si>
    <t>NASQNTS435XEU4G</t>
  </si>
  <si>
    <t> QNAP TS-435XEU NAS 4 BAY</t>
  </si>
  <si>
    <t>Servidor NAS QNAP TS-435XeU-4G, Marvell OCTEON TX2 ARMv8 Cortex-A72 4C/2.2G, 4GB RAM</t>
  </si>
  <si>
    <t>NASQNTS4648GUS</t>
  </si>
  <si>
    <t> QNAP TS-464 NAS 4 BAY</t>
  </si>
  <si>
    <t>Servidor NAS QNAP TS-464-8G, Celeron N5095 4C/2.9GHz, 8GB DDR4 / Bahias: 4 x 3.5" SAT</t>
  </si>
  <si>
    <t>NASQNTS473A8GUS</t>
  </si>
  <si>
    <t> QNAP TS-473A NAS 4 BAY</t>
  </si>
  <si>
    <t>Servidor NAS QNAP TS-473A, AMD Ryzen V1500B/2.2GHz, 8GB DDR4 SODIMM, Bahias: 4 x 3.5"</t>
  </si>
  <si>
    <t>NASQNTS632X4GUS</t>
  </si>
  <si>
    <t> QNAP TS-632X NAS 6 BAY</t>
  </si>
  <si>
    <t>Servidor NAS QNAP TS-632X-4G, ARM AL524 4C/2GHz, 4GB RAM SODIMM, Bahias: 6x3.5" SATA[</t>
  </si>
  <si>
    <t>NASQNTS673A8GUS</t>
  </si>
  <si>
    <t> QNAP TS-673A NAS 6 BAY</t>
  </si>
  <si>
    <t>Servidor NAS QNAP TS-673A-8G, Ryzen V1500B 4C/2.2GHz, 8GB RAM SODIMM, Bahias: 6x3.5"</t>
  </si>
  <si>
    <t>NASQNTS932PX4G</t>
  </si>
  <si>
    <t> QNAP TS-932PX NAS 5(+4) BAY</t>
  </si>
  <si>
    <t>Servidor NAS QNAP TS-932PX-4G ARM Cortex-A57 4C/1.7GHz 4GB DDR4 Bahias: 5x3.5"+4x2.5"</t>
  </si>
  <si>
    <t>SVRQNTS832PXURP</t>
  </si>
  <si>
    <t> QNAP TS-832PXU NAS 8-BAY SMB</t>
  </si>
  <si>
    <t>Servidor NAS QNAP TS-832PXU-RP-4G, AL324 ARM Cortex-A57 4C/1.7G, 4GB DDR4, 8 x3.5" SA</t>
  </si>
  <si>
    <t>SRVWRTD30NWJP</t>
  </si>
  <si>
    <t> ACCESS POINT+CONTENT SRV 500GB</t>
  </si>
  <si>
    <t>Servidor de contenidos+Access Point incorporado WLAN 802.11a/b/g/n/ac, Dual Band 2.4/</t>
  </si>
  <si>
    <t>STEPT12P100</t>
  </si>
  <si>
    <t> TINTA EPSON WF EM-C800 BLACK</t>
  </si>
  <si>
    <t> TINTAS DURABRITE PRO 13K</t>
  </si>
  <si>
    <t>STEPT13K200</t>
  </si>
  <si>
    <t>STEPT13K300</t>
  </si>
  <si>
    <t> TINTAS DURABRITE PRO 13</t>
  </si>
  <si>
    <t>STEPT13K400</t>
  </si>
  <si>
    <t>STEPT49H400</t>
  </si>
  <si>
    <t> EPSON T49H YELLOW INK BOTTLE 1</t>
  </si>
  <si>
    <t>STEPT504120</t>
  </si>
  <si>
    <t> TINTA EPSON NEGRA BOTELLA T504</t>
  </si>
  <si>
    <t>Botella de tinta EPSON T504, color negro, contenido 127ml, para impresoras EPSON L416</t>
  </si>
  <si>
    <t>STEPT504220</t>
  </si>
  <si>
    <t> TINTA EPSON CYAN BOTELLA T504</t>
  </si>
  <si>
    <t>Botella de tinta EPSON T504220-AL, color Cyan, contenido 70ml.[@@@]Para impresoras Ep</t>
  </si>
  <si>
    <t>STEPT504320</t>
  </si>
  <si>
    <t> TINTA EPSON MAGENTA BOTELLA T5</t>
  </si>
  <si>
    <t>Botella de tinta EPSON T504320-AL, color Magenta,contenido 70ml.[@@@]Para impresoras</t>
  </si>
  <si>
    <t>STEPT504420</t>
  </si>
  <si>
    <t> TINTA EPSON AMARILLA T504</t>
  </si>
  <si>
    <t>Botella de tinta EPSON T504420-AL, color amarillo, contenido 70ml.[@@@]Para impresora</t>
  </si>
  <si>
    <t>STEPT544120</t>
  </si>
  <si>
    <t> TINTA EPSON L3110 NEGRO</t>
  </si>
  <si>
    <t>Botella de tinta EPSON T544120-AL, color Negro, contenido 65ml.[@@@]Para impresoras E</t>
  </si>
  <si>
    <t>STEPT544220</t>
  </si>
  <si>
    <t> TINTA EPSON L3110 CIAN</t>
  </si>
  <si>
    <t>Botella de tinta EPSON T544220-AL, color Cian, contenido 65ml.[@@@]Para impresoras Ep</t>
  </si>
  <si>
    <t>STEPT544420</t>
  </si>
  <si>
    <t> TINTA EPSON L3110 AMARILLA</t>
  </si>
  <si>
    <t>Botella de tinta EPSON T544420-AL, color Amarillo, contenido 65ml.[@@@]Para impresora</t>
  </si>
  <si>
    <t>STEPT555320</t>
  </si>
  <si>
    <t> BOTELLA DE TINTA MAG T555320</t>
  </si>
  <si>
    <t>STEPT555520</t>
  </si>
  <si>
    <t> BOTELLA DE TINTA GRIS T555520</t>
  </si>
  <si>
    <t>STEPT664120</t>
  </si>
  <si>
    <t> TINTA EPSON L200 NEGRO</t>
  </si>
  <si>
    <t>Botella de tinta EPSON T664120, color negro, contenido 70ml, para impresoras EPSON L2</t>
  </si>
  <si>
    <t>STEPT664320</t>
  </si>
  <si>
    <t> TINTA EPSON L200 MAGENTA</t>
  </si>
  <si>
    <t>Botella de tinta EPSON T664320, color magenta, contenido 70ml, para impresoras EPSON</t>
  </si>
  <si>
    <t>STEPT664420</t>
  </si>
  <si>
    <t> TINTA EPSON L200 AMARILLO</t>
  </si>
  <si>
    <t>Botella de tinta EPSON T664420, color amarillo, contenido 70ml, para impresoras EPSON</t>
  </si>
  <si>
    <t>STEPT673120</t>
  </si>
  <si>
    <t> TINTA EPSON NEGRA L800</t>
  </si>
  <si>
    <t>Botella de tinta EPSON 673 (T673120), color negro, contenido 70 ml, para impresora L8</t>
  </si>
  <si>
    <t>STEPT673220</t>
  </si>
  <si>
    <t> TINTA EPSON L800 CIAN</t>
  </si>
  <si>
    <t>Botella de tinta EPSON 673 (T673220), color cian, contenido 70 ml, para impresora L80</t>
  </si>
  <si>
    <t>STEPT673320</t>
  </si>
  <si>
    <t> TINTA EPSON L800 MAGENTA</t>
  </si>
  <si>
    <t>Botella de tinta EPSON 673 (T673320), color magenta, contenido 70 ml, para impresora</t>
  </si>
  <si>
    <t>STEPT673420</t>
  </si>
  <si>
    <t> TINTA EPSON L800 AMARILLA</t>
  </si>
  <si>
    <t>Botella de tinta EPSON 673 (T673420), color amarillo, contenido 70 ml, para impresora</t>
  </si>
  <si>
    <t>STEPT673620</t>
  </si>
  <si>
    <t> TINTA EPSON L800 MAGENTA CLARO</t>
  </si>
  <si>
    <t>Botella de tinta EPSON 673 (T673620), color magenta claro, contenido 70 ml, para impr</t>
  </si>
  <si>
    <t>STEPT774120</t>
  </si>
  <si>
    <t> TINTA EPSON NEGRA M105/M205</t>
  </si>
  <si>
    <t>Botella de tinta Epson 774 (T774120), 140ml, tinta negra, para impresoras Epson WorkF</t>
  </si>
  <si>
    <t>STEPTT534120-AL</t>
  </si>
  <si>
    <t> TINTA EN BOTELLA NEGRA M1120-M</t>
  </si>
  <si>
    <t>Botella de tinta EPSON T534120-AL, color negro, contenido 120ml.[@@@]Impresora Epson</t>
  </si>
  <si>
    <t>STEPT05A200</t>
  </si>
  <si>
    <t> TINTA CIAN WF C878R/879R</t>
  </si>
  <si>
    <t>STEPT05A300</t>
  </si>
  <si>
    <t> TINTA MAGENTA WF C878R/879R</t>
  </si>
  <si>
    <t>STEPT05A400</t>
  </si>
  <si>
    <t> TINTA AMARILLA WF C878R/879R</t>
  </si>
  <si>
    <t>STEPT941220AL</t>
  </si>
  <si>
    <t> TINTA EPSON WF-C5710 CYAN</t>
  </si>
  <si>
    <t>Bolsa de tinta EPSON T941220-AL, color cyan.[@@@]Las tintas Epson DURABrite Ultra Pro</t>
  </si>
  <si>
    <t>STEPT942120AL</t>
  </si>
  <si>
    <t> TINTA EPSON WF-C5710 BLACK</t>
  </si>
  <si>
    <t>Bolsa de tinta EPSON T942120-AL, color negro.[@@@]Las tintas Epson DURABrite Ultra Pr</t>
  </si>
  <si>
    <t>STEPT973420</t>
  </si>
  <si>
    <t> WF-C869R YELLOW STANDARD INK P</t>
  </si>
  <si>
    <t>Bolsa de tinta EPSON DURABrite Pro T973420, colorYellow.[@@@]Para Impresora Epson Wor</t>
  </si>
  <si>
    <t>STEPERC-38B</t>
  </si>
  <si>
    <t> CINTA EPSON ERC-38B P/ TM-U220</t>
  </si>
  <si>
    <t>Epson Ribbon Cartridge Cinta de Impresión para TM-U220A, Color Negro - Presentación e</t>
  </si>
  <si>
    <t>STEPS015329</t>
  </si>
  <si>
    <t> CINTA EPSON FX 890</t>
  </si>
  <si>
    <t>Cinta EPSON para impresora FX-890</t>
  </si>
  <si>
    <t>STEPS015335</t>
  </si>
  <si>
    <t> CINTA EPSON FX-2190/LQ-2090</t>
  </si>
  <si>
    <t>Cinta EPSON para impresora FX-2190</t>
  </si>
  <si>
    <t>STEPS015631</t>
  </si>
  <si>
    <t> CINTA EPSON S015631</t>
  </si>
  <si>
    <t>Cartucho de cinta Epson S015631, negro, para Impresora LX-350.[@@@]</t>
  </si>
  <si>
    <t>STEPC13T52L120</t>
  </si>
  <si>
    <t> BLACK GLOSS INK CARTRIDGE FOR</t>
  </si>
  <si>
    <t>STEPC13T52L220</t>
  </si>
  <si>
    <t> CYAN INK CARTRIDGE FOR C4000</t>
  </si>
  <si>
    <t>STEPC13T52L320</t>
  </si>
  <si>
    <t> MAGENTA INK CARTRIDGE FOR C400</t>
  </si>
  <si>
    <t>STEPC13T52L420</t>
  </si>
  <si>
    <t> YELLOW INK CARTRIDGE FOR C4000</t>
  </si>
  <si>
    <t>STEPC13T52L520</t>
  </si>
  <si>
    <t> BLACK MATTE CARTRIDGE FOR CW</t>
  </si>
  <si>
    <t>STEPSJIC35P-C</t>
  </si>
  <si>
    <t> CART. DE TINTA CIAN SJIC35P-C</t>
  </si>
  <si>
    <t>STEPSJIC35P-K</t>
  </si>
  <si>
    <t> CART. DE TINTA NEGRA SJIC35P-K</t>
  </si>
  <si>
    <t>STEPSJIC35P-M</t>
  </si>
  <si>
    <t> CART. DE TINTA MAGEN SJIC35P-M</t>
  </si>
  <si>
    <t>STEPSJIC35P-Y</t>
  </si>
  <si>
    <t> CART. DE TINTA AMARI SJIC35P-Y</t>
  </si>
  <si>
    <t>STEPSJIC35PK</t>
  </si>
  <si>
    <t> CART. DE TINTA NEGRA SJIC35P(K</t>
  </si>
  <si>
    <t>STEPT01D120</t>
  </si>
  <si>
    <t> TINTA DURABRITE ULTRA T01D (B)</t>
  </si>
  <si>
    <t>STEPT01D320</t>
  </si>
  <si>
    <t> TINTA DURABRITE ULTRA T01D (M)</t>
  </si>
  <si>
    <t>STEPT913500</t>
  </si>
  <si>
    <t> CART. DE TINTA CIAN CLARO T913</t>
  </si>
  <si>
    <t>Cartucho de Tinta Epson T913500, Cian Claro, paraImpresora Epson SureColor P5000 Stan</t>
  </si>
  <si>
    <t>STPRCANCL246</t>
  </si>
  <si>
    <t> TINTA CANON CL-246 - COLOR</t>
  </si>
  <si>
    <t>CANON</t>
  </si>
  <si>
    <t>Cartucho de tinta Canon CL-246, Tri-Color, FINE Technology, 180 paginas.[@@@]Compatib</t>
  </si>
  <si>
    <t>SUMEPC33S020577</t>
  </si>
  <si>
    <t> TINTA (K) CARTRIDGE TM-C3500</t>
  </si>
  <si>
    <t>Cartucho de Tinta EPSON color negro para impresoras Epson TM-C3500.[@@@]</t>
  </si>
  <si>
    <t>SUMEPC33S020581</t>
  </si>
  <si>
    <t> TINTA (C) CARTRIDGE TM-C3500</t>
  </si>
  <si>
    <t>Cartucho de Tinta EPSON color Cian para impresoras Epson TM-C3500.[@@@]</t>
  </si>
  <si>
    <t>SUMEPC33S020582</t>
  </si>
  <si>
    <t> TINTA (M) CARTRIDGE TM-C3500</t>
  </si>
  <si>
    <t>Cartucho de Tinta EPSON color Magenta para impresoras Epson TM-C3500.[@@@]</t>
  </si>
  <si>
    <t>SUMEPC33S020583</t>
  </si>
  <si>
    <t> TINTA AMARILLA CARTRIDGE TM-C3</t>
  </si>
  <si>
    <t>Cartucho de Tinta EPSON color Amarillo para impresoras Epson TM-C3500.[@@@]</t>
  </si>
  <si>
    <t>ACCTCTE7056D</t>
  </si>
  <si>
    <t> POWERBANK 10000MAH SLIM</t>
  </si>
  <si>
    <t>Powerbank TEROS TE-7056D, 10000 mAh, (3,85 V/38.5Wh)[@@@]Descubre el powerbank TEROS</t>
  </si>
  <si>
    <t>ACCTCTE7059N</t>
  </si>
  <si>
    <t> POWERBANK PD65W 30000MAH</t>
  </si>
  <si>
    <t>Powerbank TEROS TE-7059N, 30000MAh, USB-A, USB-C,negro[@@@]Mantén tus dispositivos si</t>
  </si>
  <si>
    <t>ACCTE7056N</t>
  </si>
  <si>
    <t> GIMBAL TE7056N CON IA 360º</t>
  </si>
  <si>
    <t>Estabilizador Gimbal de 3 ejes 360º con rastreador IA, TEROS TE-7056N para telefonos[</t>
  </si>
  <si>
    <t>ZZTE7056SM</t>
  </si>
  <si>
    <t>ZZZACCMETALGRPP</t>
  </si>
  <si>
    <t> BLACK METAL GRIPPER</t>
  </si>
  <si>
    <t>TBADVSP3703SL</t>
  </si>
  <si>
    <t> TB ADV 10 WIFI 4 64</t>
  </si>
  <si>
    <t>Tablet Advance SmartPad SP3703 WiFi 10.1" WXGA IPS A333 1.75GHz 4GB 64GB Android 15 g</t>
  </si>
  <si>
    <t>TBADVSP5706SL</t>
  </si>
  <si>
    <t> TB ADV 10 4G 4 64 SLV</t>
  </si>
  <si>
    <t>Tablet Advance SmartPad SP5706 + Teclado, 10.1" WXGA IPS, 4GB RAM, 64GB, Android 13[@</t>
  </si>
  <si>
    <t>TBADVSP5706SL2</t>
  </si>
  <si>
    <t>Tablet Advance SmartPad SP5706, 10.1" WXGA IPS, T310 2.00GHz, 4GB RAM, 64GB, Android</t>
  </si>
  <si>
    <t>TBADVSP57752</t>
  </si>
  <si>
    <t> TB ADV 10'' 2GB 32GB 4G BK</t>
  </si>
  <si>
    <t>Tablet Advance SP5775, 10.1" IPS 1920*1200, 32GB,2GB RAM, Android 10 , Diseño IP54[@@</t>
  </si>
  <si>
    <t>TBLENZADX0126PE</t>
  </si>
  <si>
    <t> TB LEN TB351FU 11'' 2K 8GB 128</t>
  </si>
  <si>
    <t>Tab Lenovo Tab Plus TB351FU, 11.5"/2K/IPS/Touch/Android 14 o sup/8GB LPDDR4x/128GB UF</t>
  </si>
  <si>
    <t>TBLENZAEG0050PE</t>
  </si>
  <si>
    <t> TAB LEN YOGA+ 12.7 16 256 WIFI</t>
  </si>
  <si>
    <t>Tablet Lenovo Yoga Tab Plus 12.7" 3K (2944x1840)LTPS/144Hz/Touch/Android 14 o superio</t>
  </si>
  <si>
    <t>TBLENZAEH0133PE</t>
  </si>
  <si>
    <t> TAB LEN WIFI TB311FU 4 128</t>
  </si>
  <si>
    <t>Tablet Lenovo TB311FU, 10.1" WUXGA (1920x1200)/TFT/LCD/IPS/Touch/Android 14 o superio</t>
  </si>
  <si>
    <t>TBLENZAF10142PE</t>
  </si>
  <si>
    <t> TAB ONE LEN 4G 128G LTE FOLIO</t>
  </si>
  <si>
    <t>Tablet Lenovo Tab One ZAF10142PE, 8.7" HD (1340x800) IPS, 4GB RAM LPDDR4x, 128GB eMMC</t>
  </si>
  <si>
    <t>TBLENZAFM0734PE</t>
  </si>
  <si>
    <t>TBSMX135GZAAPEO</t>
  </si>
  <si>
    <t> SAMSUNG GALAXY TAB A11 LTE</t>
  </si>
  <si>
    <t>Tablet Samsung Galaxy Tab A11, 8.7" 1340x800 (WXGA+) TFT LCD, 4GB RAM / 64GB ROM / 4G</t>
  </si>
  <si>
    <t>TBSMX306BZGAL08</t>
  </si>
  <si>
    <t> SAMSUNG GALAXY TAB ACTIVE 5</t>
  </si>
  <si>
    <t>Tablet Samsung Galaxy Tab Active 5, 8.0" TFT WUXGA (1920x1200), 120Hz, SM-X306BZGAL08</t>
  </si>
  <si>
    <t>TBSMX400NZAAPEO</t>
  </si>
  <si>
    <t> GALAXY TAB S10 LITE 6 128GB</t>
  </si>
  <si>
    <t>Tablet Samsung Galaxy Tab S10 Lite, 10.9" (2112x1320)(WUXGA+) TFT, 6GB RAM + 128GB RO</t>
  </si>
  <si>
    <t>TBSMX526BZAAPEO</t>
  </si>
  <si>
    <t> TAB GALAXY S10 FE 5G 8GB 128GB</t>
  </si>
  <si>
    <t>Tablet Samsung Galaxy Tab S10 FE, 10.9" 2304 x 1440 (WUXGA+) 90Hz, LCD[@@@]Procesador</t>
  </si>
  <si>
    <t>TYSMX356BZGAL08</t>
  </si>
  <si>
    <t> TB SAMSUNG GALAXY ACTIVE 5 PRO</t>
  </si>
  <si>
    <t>Tablet Samsung Galaxy Tab Active5 Pro, 10.1" TFT WUXGA LCD, 120Hz, Android 15.0 o Sup</t>
  </si>
  <si>
    <t>ZZPROTEC9032543</t>
  </si>
  <si>
    <t> DSCTO PROTEC TBADTR4986PNK-G</t>
  </si>
  <si>
    <t>ZZZTBINCARX108</t>
  </si>
  <si>
    <t> TABLET X108</t>
  </si>
  <si>
    <t>ACADVFUNDALILA</t>
  </si>
  <si>
    <t> FUNDA 7'' PULG. LILA 20X16CM</t>
  </si>
  <si>
    <t>Funda para tablet 7", 20 X 16 cm, Lila.[@@@]</t>
  </si>
  <si>
    <t>ACCADRBPR5850PK</t>
  </si>
  <si>
    <t> RUBBER PARA POR5850 PINK</t>
  </si>
  <si>
    <t>Rubber / Estuche de goma para Tablet POR5850, 7",color rosado[@@@]Protege tu tablet A</t>
  </si>
  <si>
    <t>ACCADVTBKB5706</t>
  </si>
  <si>
    <t> ACC ADV TB KEYBOARD SP5706</t>
  </si>
  <si>
    <t>ACCEFBX620PBEGW</t>
  </si>
  <si>
    <t> GALAXY TAB S10FE+ SMRT BOOK CO</t>
  </si>
  <si>
    <t> GALAXY TAB S10FE SMART BOOK CO</t>
  </si>
  <si>
    <t>ACCEFBX710PBEGW</t>
  </si>
  <si>
    <t>ACCFLIPTBSP7345</t>
  </si>
  <si>
    <t> FLIP TABLET ADVANCE SP 7245</t>
  </si>
  <si>
    <t>Flip Cover Advance SP7245, Para tablet de 8", ideal para Advance SmartPad SP7245.[@@@</t>
  </si>
  <si>
    <t>ACCSMBX710PBEGW</t>
  </si>
  <si>
    <t>ACCSMDX620UBEGW</t>
  </si>
  <si>
    <t> GALAXY TAB S10 FE+ BOOK COVER</t>
  </si>
  <si>
    <t>Funda-Teclado Slim Samsung para Galaxy Tab S10 FE+, Color Negro.[@@@]Con esta Funda-T</t>
  </si>
  <si>
    <t>ACCSMDX720UBEGW</t>
  </si>
  <si>
    <t> GALAXY TAB S10 FE BOOKCOVER KB</t>
  </si>
  <si>
    <t>Funda-Teclado Slim Samsung para Galaxy Tab S10 FE, Color Negro.[@@@]Transformá tu tab</t>
  </si>
  <si>
    <t>ACCTB7ESTKB</t>
  </si>
  <si>
    <t> ACC ESTUCHE TB 7.85 WITH KB BT</t>
  </si>
  <si>
    <t>Estuche Advance con teclado Bluetooth, negro.[@@@]Para tablet Advance SmartPad SP7146</t>
  </si>
  <si>
    <t>ACCTBMOUNSTTURQ</t>
  </si>
  <si>
    <t> ACCESORIO TB 7 KIDS ADV TURQUE</t>
  </si>
  <si>
    <t>Protector para tablet Advance Mostrito, 7", anti-impacto, color turquesa[@@@]El Prote</t>
  </si>
  <si>
    <t>ACCZZSW001</t>
  </si>
  <si>
    <t> BIG SPIDER WRAP</t>
  </si>
  <si>
    <t>Tag tipo araña / Exhibidor de seguridad antirrobocon alarma[@@@]El Tag tipo araña / E</t>
  </si>
  <si>
    <t>ACEPT1510XBEGWW</t>
  </si>
  <si>
    <t> SAMSUNG TRAVEL ADAPTER 15W</t>
  </si>
  <si>
    <t>Adaptador de carga rápida 15W para dispositivos compatibles con USB-C.[@@@]Disfruta d</t>
  </si>
  <si>
    <t>ACSMT1510NBEGWW</t>
  </si>
  <si>
    <t> TRAVEL ADAPTER 15W_PD (TA ONLY</t>
  </si>
  <si>
    <t>Cargador Samsung Travel Adapter 15W PD, USB-C, Diseño compacto, Color Negro[@@@]¡Simp</t>
  </si>
  <si>
    <t>ACSMT2510NBEGWW</t>
  </si>
  <si>
    <t> TRAVEL ADAPTER 25W</t>
  </si>
  <si>
    <t>Adaptador de corriente SAMSUNG Travel, hasta 25W,Interfaz USB-C, Color Negro[@@@]Disf</t>
  </si>
  <si>
    <t>ACSMT4511XBEGWW</t>
  </si>
  <si>
    <t> TRAVEL ADAPTER 45W_PD (W/CABLE</t>
  </si>
  <si>
    <t>ZZCASETH5447C</t>
  </si>
  <si>
    <t> CASE FOR TABLET 7\'\' CORAL</t>
  </si>
  <si>
    <t>Funda para tablet Advance TH5447, 7", Coral.[@@@]Protege tu tableta con la funda Adva</t>
  </si>
  <si>
    <t>KBTE4064N</t>
  </si>
  <si>
    <t> TECLADO KB TE-4064N BT</t>
  </si>
  <si>
    <t>Teclado inalámbrico TEROS TE-4064N, 2.4 GHz, bluetooth 3.0 / 5.2, 80 teclas, negro[@@</t>
  </si>
  <si>
    <t>KBWBKTE4074CS</t>
  </si>
  <si>
    <t> TECLADO ESTáNDAR WIRELESS TE40</t>
  </si>
  <si>
    <t>Teclado inalámbrico TEROS TE-4074CS, 2.4Ghz, USB,negro[@@@]Trabaja con comodidad y es</t>
  </si>
  <si>
    <t>KBWBKTE4075S</t>
  </si>
  <si>
    <t>Teclado inalámbrico plegable TEROS TE-4075S, BT 3.0, gris[@@@]Lleva la productividad</t>
  </si>
  <si>
    <t>KBCBKTE4074G</t>
  </si>
  <si>
    <t> TECLADO GAMER USB TE4074 BK</t>
  </si>
  <si>
    <t>Teclado gamer TEROS TE-4074G, RGB, USB 2.0, negro[@@@]Descubre el teclado gamer TEROS</t>
  </si>
  <si>
    <t>ZZKBCBKTE4074G</t>
  </si>
  <si>
    <t> ZZ KB GAMER TE4074 (TOSHIBA)</t>
  </si>
  <si>
    <t>KBTE4065N</t>
  </si>
  <si>
    <t> TECLADO LAVABLE, SELLADO, IPX7</t>
  </si>
  <si>
    <t>Teclado lavable TEROS TE-4065N, IPX7, USB, negro[@@@]Descubre el Teclado TEROS TE-406</t>
  </si>
  <si>
    <t>KBUSBADV628-B</t>
  </si>
  <si>
    <t> TECLADO ADVANCE KB-628</t>
  </si>
  <si>
    <t>Teclado Advance KB-628, Español, Multimedia, Internet, Conexión USB, Negro.[@@@]</t>
  </si>
  <si>
    <t>ZZTE5011CSM</t>
  </si>
  <si>
    <t> KIT TECLADO+MOUSE W TE5011CS</t>
  </si>
  <si>
    <t>ACRACKTE7111</t>
  </si>
  <si>
    <t> RACK P. TV 32-75 TEROS TE7111</t>
  </si>
  <si>
    <t>Rack TEROS TE-7111 para televisor de 32" a 75"[@@@]Optimiza tu espacio con el Rack pa</t>
  </si>
  <si>
    <t>ACRACKTE7112</t>
  </si>
  <si>
    <t> RACK P. TV MOVIL 32''-75''</t>
  </si>
  <si>
    <t>Rack TEROS TE-7112 para televisor retractil de 32" a 75"[@@@]Mejora tu experiencia de</t>
  </si>
  <si>
    <t>ZZZZLSSLF5B1</t>
  </si>
  <si>
    <t> TV WALL MOUNT 80 INCHES SLF5-B</t>
  </si>
  <si>
    <t>PSAUR1500LCDUSB</t>
  </si>
  <si>
    <t> UPS INTERACTIVO 1500VA USB</t>
  </si>
  <si>
    <t>UPS Interactivo Elise Fase, AUR-1500-LCD-USB, 1500 VA / 900 W, Puerto inteligente USB</t>
  </si>
  <si>
    <t>PSAUR850LCDUSB</t>
  </si>
  <si>
    <t> UPS INTERACTIVO C/ USB Y DISPL</t>
  </si>
  <si>
    <t>UPS Interactivo Elise @Fase, AUR-850-LCD-USB, 850VA / 480W, Puerto inteligente USB-HI</t>
  </si>
  <si>
    <t>PSPBOX650</t>
  </si>
  <si>
    <t> UPS INTERACTIVO POWER BOX 650V</t>
  </si>
  <si>
    <t>UPS Interactivo ELISE Serie POWER PBOX-650, 650VA, 360W[@@@]El UPS Elise PBOX-650 es</t>
  </si>
  <si>
    <t>PSUPSRSMART75</t>
  </si>
  <si>
    <t> UPS INTELIGENTE 750VA / 375WAT</t>
  </si>
  <si>
    <t>UPS Interactivo CDP (Chicago Digital Power) R-Smart 751i, 750VA / 375W[@@@]Es un UPS</t>
  </si>
  <si>
    <t>PSUPTLSMX1500LC</t>
  </si>
  <si>
    <t> TL UPS 1500VA/900W LCD TORRE</t>
  </si>
  <si>
    <t>UPS Tripp-Lite SMX1500LCDT, Interactivo, 1500VA, 900W, 220V, 8 tomas C13.[@@@]Pantall</t>
  </si>
  <si>
    <t>PSUPTLX1500LCD</t>
  </si>
  <si>
    <t> UPS 1500VA/900W LCD RACK/TOWER</t>
  </si>
  <si>
    <t>UPS SmartPro Tripp-Lite SMX1500LCD,Linea Interactiva, 1500VA, 900 Watts, Voltaje: 230</t>
  </si>
  <si>
    <t>UPSCDPRUPR1008</t>
  </si>
  <si>
    <t> 1000VA/500W 8 SALIDAS / 5 PORT</t>
  </si>
  <si>
    <t>UPS CDP R-UPR1008i, Interactivo, 1000VA, 500W, 220Vca / 50/60Hz (Ajuste Automático)[@</t>
  </si>
  <si>
    <t>UPSELPBOX-850</t>
  </si>
  <si>
    <t> INTERACTIVO POWER BOX 850 VA</t>
  </si>
  <si>
    <t>UPS Interactivo Elise Serie Power Box, 850VA / 480W, Puerto inteligente USB-HID.[@@@]</t>
  </si>
  <si>
    <t> LíNEA DE UPS INTERACTIVO IPS</t>
  </si>
  <si>
    <t>UPSTIPS-1050LED</t>
  </si>
  <si>
    <t>Línea de UPS Elise Interactivo IPS-1050-LED: 1050VA/ 600 W[@@@]El UPS ELISE IPS-1050-</t>
  </si>
  <si>
    <t>UPSTIPS-1500LED</t>
  </si>
  <si>
    <t>Línea de UPS Elise Interactivo IPS-1500-LED: 1500VA/ 900 W[@@@]El UPS ELISE IPS-1500-</t>
  </si>
  <si>
    <t>UPSTIPS-850-LED</t>
  </si>
  <si>
    <t>Línea de UPS Elise Interactivo IPS-850-LED: 850 VA/ 480 W[@@@]El UPS ELISE IPS-850-LE</t>
  </si>
  <si>
    <t>GAMG-SMART1516I</t>
  </si>
  <si>
    <t> UPS INTELIGENTE 1500VA / 900WA</t>
  </si>
  <si>
    <t>UPS Interactivo CDP (Chicago Digital Power) GSMART 1516i, 1500VA/900W[@@@]Es un UPS I</t>
  </si>
  <si>
    <t>PSELIUDC2KTG2</t>
  </si>
  <si>
    <t> UPS ONLINE TORRE 2KVA-1800W LC</t>
  </si>
  <si>
    <t>UPS Elise UDC-2K-T-G2, On-Line, 2000 VA, 1800 W, 220VAC, Monofásico con tierra, USB.[</t>
  </si>
  <si>
    <t>PSELIUDC3KTG2</t>
  </si>
  <si>
    <t> UPS ONLINE TORRE 3KVA-2700W LC</t>
  </si>
  <si>
    <t>UPS Elise UDC-3K-T-G2, On-Line, 3kVA, 2.7KW, 100V~ 300VAC, Display LCD.[@@@]Interfaz</t>
  </si>
  <si>
    <t>PSELIURT-1K-IOT</t>
  </si>
  <si>
    <t> UPS ON-LINE - IOT PROTOCOL RT</t>
  </si>
  <si>
    <t>UPS Plug &amp; Power Innova Unity IoT URT Series 1kVA, 1000VA, 1000W, 220V, DB-9 RS232/US</t>
  </si>
  <si>
    <t>PSELIURT-2K-IOT</t>
  </si>
  <si>
    <t> PS ON-LINE-IOT PROTOCOL RT2U</t>
  </si>
  <si>
    <t>UPS Plug &amp; Power Innova Unity IoT URT Series 2kVA, 2000VA,2000W, 220V, DB-9 RS 232/US</t>
  </si>
  <si>
    <t>PSELIZEN10K</t>
  </si>
  <si>
    <t> UPS ONLINE SERIE ZEN 10KVA TWR</t>
  </si>
  <si>
    <t>UPS Elise Fase Online Serie Zen 10000VA / 9000W /Bornera Entrada - Salida 60Amp / USB</t>
  </si>
  <si>
    <t>PSELIZEN1K</t>
  </si>
  <si>
    <t> UPS ONLINE SERIE ZEN 1KVA TWR</t>
  </si>
  <si>
    <t>UPS Elise Fase Online Serie Zen 1000VA / 900W / 4tomas de salida NEMA 5-15 / RS232 /</t>
  </si>
  <si>
    <t>PSELIZEN2K</t>
  </si>
  <si>
    <t> UPS ONLINE SERIE ZEN 2KVA TWR</t>
  </si>
  <si>
    <t>UPS Elise Fase Online Serie Zen 2000VA / 1800W / 4 tomas de salida NEMA 5-15 / RS232</t>
  </si>
  <si>
    <t>PSELIZEN3K</t>
  </si>
  <si>
    <t> UPS ONLINE SERIE ZEN 3KVA TWR</t>
  </si>
  <si>
    <t>UPS Elise Fase Online Serie Zen 3000VA / 2700W / 6 tomas de salida NEMA 5-15 / USB[@@</t>
  </si>
  <si>
    <t>PSELIZEN6K</t>
  </si>
  <si>
    <t> UPS ONLINE SERIE ZEN 6KVA TWR</t>
  </si>
  <si>
    <t>UPS Elise Fase Online Serie Zen 6000VA / 5400W / Bornera Entrada - Salida 30Amp / USB</t>
  </si>
  <si>
    <t>PSELURT10KG26U</t>
  </si>
  <si>
    <t> UPS INNOVA PLUG&amp;POWER RT 10KVA</t>
  </si>
  <si>
    <t>UPS On Line Rack/Tower (URT) PLUG &amp; POWER, 10000VA / 10000W, 230V, USB, RS-232 (DB-9)</t>
  </si>
  <si>
    <t>PSTLSUINT2200LC</t>
  </si>
  <si>
    <t> UPS ONLINE RACK 2.2KVA/1980W</t>
  </si>
  <si>
    <t>UPS SmartOnline TrippLite SUINT2200LCD2U, 2200VA,1980W, 230V, 2U.[@@@]UPS de doble co</t>
  </si>
  <si>
    <t>PSUPSCDPUPO113I</t>
  </si>
  <si>
    <t> UPS ONLINE TORR 3KVA/3000W LCD</t>
  </si>
  <si>
    <t>UPS CDP UPO11i(AX), On-Line, 3000VA, 3000W, 220VAC, 6 salidas IEC-C13/14.[@@@]Tecnolo</t>
  </si>
  <si>
    <t>PSUSU6000RT</t>
  </si>
  <si>
    <t> TRIPP LITE SMARTONLINE 6000VA</t>
  </si>
  <si>
    <t>UPS/Doble Conversion/On-line sin Bypass de mantenimiento SmartOnline 6000VA/5400W/208</t>
  </si>
  <si>
    <t>UPSE9106-52127</t>
  </si>
  <si>
    <t> 93T 15KVA IB 1X36X9AH</t>
  </si>
  <si>
    <t>EATON</t>
  </si>
  <si>
    <t>UPS Trifasico Eaton 15kVA, con 1 string de baterias internas (1x36x9Ah)[@@@]El respal</t>
  </si>
  <si>
    <t>UPSE9106-52128</t>
  </si>
  <si>
    <t> 93T 20KVA IB 2X32X7AH</t>
  </si>
  <si>
    <t>UPS Trifasico Eaton 20kVA, con 2 strings de baterias internas (2x32x7Ah)[@@@]El respa</t>
  </si>
  <si>
    <t>UPSE9106-72256</t>
  </si>
  <si>
    <t> 93T 40KVA IB 3X32X9AH</t>
  </si>
  <si>
    <t>UPS Trifasico Eaton 40kVA, con 3 strings de baterias internas (3x32x9Ah)[@@@]El respa</t>
  </si>
  <si>
    <t>ACCDPUPO22PLLK6</t>
  </si>
  <si>
    <t> KIT PARALELA UPS TORRE 6/10KVA</t>
  </si>
  <si>
    <t>ACDPDUMV20HVNET</t>
  </si>
  <si>
    <t> 3.7KW SINGLE-PHASE SWITCHED PD</t>
  </si>
  <si>
    <t>PDU para Rack Eaton Monofásico Controlable de 3.7kW, 24 tomas controlables individual</t>
  </si>
  <si>
    <t>ACELINMCWEBMINI</t>
  </si>
  <si>
    <t> UPS CARD - NETWORK MANAGEMENT</t>
  </si>
  <si>
    <t>ACELPDUV16T15A4</t>
  </si>
  <si>
    <t> PDU-V-16T-15A-4(N5-15R)-12(C13</t>
  </si>
  <si>
    <t>Unidad de distribución de energía ELISE, PDU-V-16T-15A-4(N5-15R)-12(C13)-C20-0U[@@@]M</t>
  </si>
  <si>
    <t>ACELPDUV20</t>
  </si>
  <si>
    <t> PDU-V-20T-15A-6(N5-15R)-12(C13</t>
  </si>
  <si>
    <t>Unidad de distribución de energía ELISE, PDU-V-20T-15A-6(N5-15R)-12(C13)-2(C19)-C20-0</t>
  </si>
  <si>
    <t>ACELPDUV24T15A8</t>
  </si>
  <si>
    <t> PDU-V-24T-15A-8(N5-15R)-12(C13</t>
  </si>
  <si>
    <t>Unidad de distribución de energía ELISE, PDU-V-24T-15A-8(N5-15R)-12(C13)-4(C19)-C20-0</t>
  </si>
  <si>
    <t>ACTLUSA-19HS</t>
  </si>
  <si>
    <t> ADAPT KS USB HS A SERIAL</t>
  </si>
  <si>
    <t>Adaptador Tripp Lite Keyspan de USB de Alta Velocidad a Serial[@@@]</t>
  </si>
  <si>
    <t>PSUTLPDUMV20HV</t>
  </si>
  <si>
    <t> PDU MONO CON MEDIDOR DIGITAL</t>
  </si>
  <si>
    <t>Unidad de distribución de energía Tripp-Lite PDUMV20HV, monofásico con medidor digita</t>
  </si>
  <si>
    <t>TREN744A4920</t>
  </si>
  <si>
    <t> NETWORK-M3</t>
  </si>
  <si>
    <t>Tarjeta de Administracion de red GbE EATON, Ranura: Mini-Slot, Ethernet 10/100/1000Ba</t>
  </si>
  <si>
    <t>UPSACSNMPTXWEBP</t>
  </si>
  <si>
    <t> WEB PRO INTERNAL SLOT MOUNTED</t>
  </si>
  <si>
    <t>Tarjeta de administracion de red CDP SNMP WEB PRO- Solucion de gestion remota[@@@]Tar</t>
  </si>
  <si>
    <t>ZZZZTRANSFORMAD</t>
  </si>
  <si>
    <t> TRANSF 220V A 110V 1200WA</t>
  </si>
  <si>
    <t>PDUASUPER6OMNID</t>
  </si>
  <si>
    <t> PROTECT IT! 230V 6-UNIVERSAL O</t>
  </si>
  <si>
    <t>Tripp Lite series Protector contra sobretensionescon 6 tomacorrientes universales de</t>
  </si>
  <si>
    <t>VD6GARA380CLI</t>
  </si>
  <si>
    <t> VGA 6G AR INTEL CHALL A380</t>
  </si>
  <si>
    <t>Tarjeta de video ASRock Intel Arc A380 ChallengerITX 6GB OC, 6 GB GDDR6, PCI-E 4.0[@@</t>
  </si>
  <si>
    <t>VD12ASRTX5070DO</t>
  </si>
  <si>
    <t> VGA 12G AS RTX5070 DUAL OC</t>
  </si>
  <si>
    <t>Tarjeta de video ASUS DUAL-RTX5070-O12G, 12GB GDDR7, PCIe Gen 5.0[@@@]Puertos: 3 x Di</t>
  </si>
  <si>
    <t>VD12ASRTX5070GT</t>
  </si>
  <si>
    <t> VGA 12G AS RTX5070 TUF OC</t>
  </si>
  <si>
    <t>Tarjeta de video ASUS TUF-RTX5070-O12G-GAMING, 12GB GDDR7, PCIe Gen 5.0[@@@]Puertos:</t>
  </si>
  <si>
    <t>VD12ASRTX5070PO</t>
  </si>
  <si>
    <t> VGA 12G AS RTX5070 PRIME OC</t>
  </si>
  <si>
    <t>Tarjeta de video ASUS PRIME-RTX5070-O12G , 12 GB GDDR7, PCIe Gen 5.0[@@@]Puertos: 3 x</t>
  </si>
  <si>
    <t>VD12GBRTX5070AE</t>
  </si>
  <si>
    <t> VGA 12G GB RTX5070 AERO OC GD7</t>
  </si>
  <si>
    <t>Tarjeta de video GIGABYTE GeForce RTX 5070 AERO OC 12G, 12 GB GDDR7, PCIe Gen 5.0[@@@</t>
  </si>
  <si>
    <t>VD12GBRTX5070AM</t>
  </si>
  <si>
    <t> VGA 12G GB RTX5070 AOR MASTER</t>
  </si>
  <si>
    <t>Tarjeta de video GIGABYTE AORUS GeForce RTX 5070 MASTER 12G, 12 GB GDDR7, PCIe Gen 5.</t>
  </si>
  <si>
    <t>VD12GBRTX5070EI</t>
  </si>
  <si>
    <t> VGA 12G GB RTX5070 EOC ICE D7</t>
  </si>
  <si>
    <t>Tarjeta de video GIGABYTE GeForce RTX 5070 EAGLE OC ICE SFF 12, 12 GB GDDR7, PCIe Gen</t>
  </si>
  <si>
    <t>VD12GBRTX5070EO</t>
  </si>
  <si>
    <t> VGA 12G GB RTX5070 EAGLE OC D7</t>
  </si>
  <si>
    <t>Tarjeta de video GIGABYTE GeForce RTX 5070 EAGLE OC SFF 12G, 12 GB GDDR7, PCIe Gen 5.</t>
  </si>
  <si>
    <t>VD12GBRTX5070GO</t>
  </si>
  <si>
    <t> VGA 12G GB RTX5070 GMG OC GDR7</t>
  </si>
  <si>
    <t>Tarjeta de video GIGABYTE GeForce RTX 5070 GAMINGOC 12G, 12 GB GDDR7, PCIe Gen 5.0[@@</t>
  </si>
  <si>
    <t>VD12MSRTX507WMV</t>
  </si>
  <si>
    <t> VGA 12G MS RTX5070 WOW VOI OC</t>
  </si>
  <si>
    <t>Tarjeta de video MSI GeForce RTX5070 12G WOW MIDNIGHT VOID EDITION OC, 12 GB GDDR7, P</t>
  </si>
  <si>
    <t>VD16ASRTX506TOE</t>
  </si>
  <si>
    <t> VGA 16G AS RTX5060TI 2X EVO OC</t>
  </si>
  <si>
    <t>Tarjeta de video ASUS DUAL-RTX5060TI-O16G-EVO, 16GB GDDR7, PCIe Gen 5.0[@@@]Puertos:</t>
  </si>
  <si>
    <t>VD16ASRTX506TPO</t>
  </si>
  <si>
    <t> VGA 16G AS RTX5060TI PRIME OC</t>
  </si>
  <si>
    <t>Tarjeta de video ASUS PRIME-RTX5060TI-O16G, 16GB GDDR7, PCIe Gen 5.0[@@@]Puertos: 3 x</t>
  </si>
  <si>
    <t>VD16ASRTX507TIP</t>
  </si>
  <si>
    <t> VGA 16G AS RTX5070TI PRIME GD7</t>
  </si>
  <si>
    <t>Tarjeta de video ASUS PRIME-RTX5070TI-O16G, 16GB GDDR7, PCIe Gen 5.0[@@@]Puertos: 3 x</t>
  </si>
  <si>
    <t>VD16ASRTX5080OT</t>
  </si>
  <si>
    <t> VGA 16G AS RTX5080 TUF OC GDR7</t>
  </si>
  <si>
    <t>Tarjeta de video ASUS TUF-RTX5080-O16G-GAMING, 16GB GDDR7, PCIe Gen 5.0[@@@]Puertos:</t>
  </si>
  <si>
    <t>VD16GBRTX506TEI</t>
  </si>
  <si>
    <t> VGA 16G GB RTX5060TI EA OC ICE</t>
  </si>
  <si>
    <t>Tarjeta de video GIGABYTE GeForce RTX 5060 Ti EAGLE OC ICE 16G, 16 GB GDDR7, PCIe 5.0</t>
  </si>
  <si>
    <t>VD16GBRTX507TWF</t>
  </si>
  <si>
    <t> VGA 16G GB RTX5070TI WF3 GDDR7</t>
  </si>
  <si>
    <t>Tarjeta de video GIGABYTE GeForce RTX 5070 Ti WINDFORCE OC V2 16G, 16GB GDDR7 PCIe Ge</t>
  </si>
  <si>
    <t>VD16MSRTX5080I3</t>
  </si>
  <si>
    <t> VGA 16G MS RTX5080 INSP 3X OC</t>
  </si>
  <si>
    <t>Tarjeta de video MSI GeForce RTX 5080 16G INSPIRE3X OC, 16GB GDDR7, PCIe Gen 5.0[@@@]</t>
  </si>
  <si>
    <t>VD32ASRTX5090RA</t>
  </si>
  <si>
    <t> VGA 32G AS RTX5090 ROG ASTRAL</t>
  </si>
  <si>
    <t>Tarjeta de video ASUS ROG Astral GeForce RTX 509032GB GDDR7 OC Edition, PCIe Gen 5.0[</t>
  </si>
  <si>
    <t>VD6GASRTX3050DO</t>
  </si>
  <si>
    <t> VGA 6G AS RTX3050 DUAL OC GDR6</t>
  </si>
  <si>
    <t>Tarjeta de video ASUS Dual GeForce RTX 3050 OC Edition 6GB GDDR6, PCI-E 4.0[@@@]Puert</t>
  </si>
  <si>
    <t>VD6GMSRTX3050LP</t>
  </si>
  <si>
    <t> VGA 6G MS RTX3050 LP GDDR6</t>
  </si>
  <si>
    <t>Tarjeta de video MSI GeForce RTX 3050 LP 6G OC, 6GB GDDR6, PCI-Express Gen 4.0[@@@]Pu</t>
  </si>
  <si>
    <t>VD8GASRTX5050DO</t>
  </si>
  <si>
    <t> VGA 8G AS RTX5050 DUAL OC GDR6</t>
  </si>
  <si>
    <t>Tarjeta de video ASUS DUAL-RTX5050-O8G, GDDR6, PCIe Gen 5.0[@@@]Puertos: 3 x DisplayP</t>
  </si>
  <si>
    <t>VD8GASRTX5060DO</t>
  </si>
  <si>
    <t> VGA 8G AS RTX5060 DUAL OC</t>
  </si>
  <si>
    <t>Tarjeta de video ASUS DUAL-RTX5060-O8G, 8GB GDDR7, PCIe Gen 5.0[@@@]Puertos: 3 x Disp</t>
  </si>
  <si>
    <t>VD8GASRTX506TDO</t>
  </si>
  <si>
    <t> VGA 8G AS RTX5060TI DUAL OC</t>
  </si>
  <si>
    <t>Tarjeta de video ASUS DUAL-RTX5060TI-O8G, 8 GB GDDR7, PCIe Gen 5.0[@@@]Puertos: 3 x D</t>
  </si>
  <si>
    <t>VD8GGBRTX5050GO</t>
  </si>
  <si>
    <t> VGA 8G GB RTX5050 GMG OC GDDR6</t>
  </si>
  <si>
    <t>Tarjeta de video GIGABYTE GeForce RTX 5050 GAMINGOC 8G, 8 GB GDDR6, PCIe Gen 5.0[@@@]</t>
  </si>
  <si>
    <t>VD8GGBRTX5050V2</t>
  </si>
  <si>
    <t> VGA 8G GB RTX5050 WF2 OC GDDR6</t>
  </si>
  <si>
    <t>Tarjeta de video GIGABYTE GeForce RTX 5050 WINDFORCE OC V2 8G, 8GB GDDR6, PCIe 5.0[@@</t>
  </si>
  <si>
    <t>VD8GGBRTX5050W2</t>
  </si>
  <si>
    <t>Tarjeta de video GIGABYTE GeForce RTX 5050 WINDFORCE OC 8G, 8 GB GDDR6, PCIe Gen 5.0[</t>
  </si>
  <si>
    <t>VD8GGBRTX5060AO</t>
  </si>
  <si>
    <t> VGA 8G GB RTX5060 AERO OC GDR7</t>
  </si>
  <si>
    <t>Tarjeta de video GIGABYTE GeForce RTX 5060 AERO OC 8G, 8 GB GDDR7, PCIe Gen 5.0[@@@]P</t>
  </si>
  <si>
    <t>VD8GGBRTX5060EO</t>
  </si>
  <si>
    <t> VGA 8G GB RTX5060 EAGLE OC</t>
  </si>
  <si>
    <t>Tarjeta de video GIGABYTE GeForce RTX 5060 EAGLE OC 8G, 8 GB GDDR7, PCIe Gen 5.0[@@@]</t>
  </si>
  <si>
    <t>VD8GGBRTX5060GO</t>
  </si>
  <si>
    <t> VGA 8G GB RTX5060 GMG OC</t>
  </si>
  <si>
    <t>Tarjeta de video GIGABYTE GeForce RTX 5060 GAMINGOC 8G, 8 GB GDDR7, PCIe Gen 5.0[@@@]</t>
  </si>
  <si>
    <t>VD8GGBRTX5060W2</t>
  </si>
  <si>
    <t> VGA 8G GB RTX5060 WF2 OC GDDR7</t>
  </si>
  <si>
    <t>Tarjeta de video GIGABYTE GeForce RTX 5060 WINDFORCE OC 8G, 8 GB GDDR7, PCIe Gen 5.0[</t>
  </si>
  <si>
    <t>VD8GGBRTX5060WM</t>
  </si>
  <si>
    <t> VGA 8G GB RTX5060 WF2 MAX OC</t>
  </si>
  <si>
    <t>Tarjeta de video GIGABYTE GeForce RTX 5060 WINDFORCE MAX OC 8G, 8 GB GDDR7, PCIe Gen</t>
  </si>
  <si>
    <t>VD8GGBRTX506TAO</t>
  </si>
  <si>
    <t> VGA 8G GB RTX5060TI AERO OC</t>
  </si>
  <si>
    <t>Tarjeta de video GIGABYTE GeForce RTX 5060 Ti AERO OC 8G, 8GB GDDR7, PCIe Gen 5.0[@@@</t>
  </si>
  <si>
    <t>VD8GGBRTX506TEM</t>
  </si>
  <si>
    <t> VGA 8G GB RTX5060TI EAGLE MAX</t>
  </si>
  <si>
    <t>Tarjeta de video GIGABYTE GeForce RTX 5060 Ti EAGLE MAX OC 8G, 8 GB GDDR7, PCIe 5.0[@</t>
  </si>
  <si>
    <t>VD8GGBRTX506TEO</t>
  </si>
  <si>
    <t> VGA 8G GB RTX5060TI EAGLE OC</t>
  </si>
  <si>
    <t>Tarjeta de video GIGABYTE GeForce RTX 5060 Ti EAGLE OC 8G, 8 GB GDDR7, PCIe Gen 5.0[@</t>
  </si>
  <si>
    <t>VD8GGBRTX506TGO</t>
  </si>
  <si>
    <t> VGA 8G GB RTX5060TI GAMING OC</t>
  </si>
  <si>
    <t>Tarjeta de video GIGABYTE GeForce RTX 5060 Ti GAMING OC 8G, 8 GB GDDR7, PCIe Gen 5.0[</t>
  </si>
  <si>
    <t>VD8GGBRTX506TIO</t>
  </si>
  <si>
    <t> VGA 8G GB RTX5060TI ICE OC</t>
  </si>
  <si>
    <t>Tarjeta de video GIGABYTE GeForce RTX 5060 Ti EAGLE OC ICE 8G, 8 GB GDDR7, PCIe Gen 5</t>
  </si>
  <si>
    <t>VD8GGBRTX506TW2</t>
  </si>
  <si>
    <t> VGA 8G GB RTX5060TI WF2 OC</t>
  </si>
  <si>
    <t>Tarjeta de video GIGABYTE GeForce RTX 5060 Ti WINDFORCE OC 8G, 8 GB GDDR7, PCIe Gen 5</t>
  </si>
  <si>
    <t>VD8GMSRTX5050GO</t>
  </si>
  <si>
    <t> VGA 8G MS RTX5050 GMG OC GDDR6</t>
  </si>
  <si>
    <t>Tarjeta de video MSI GeForce RTX 5050 8G GAMING OC, 8 GB GDDR6, PCIe 5.0[@@@]Puertos:</t>
  </si>
  <si>
    <t>VD8GMSRTX5060CY</t>
  </si>
  <si>
    <t> VGA 8G MS RTX5060 CYCLONE OC</t>
  </si>
  <si>
    <t>Tarjeta de video MSI GeForce RTX 5060 8G CYCLONE OC, 8 GB GDDR7, PCIe 5.0[@@@]Puertos</t>
  </si>
  <si>
    <t>VD8GMSRTX5060GO</t>
  </si>
  <si>
    <t> VGA 8G MS RTX5060 GMG OC GDDR7</t>
  </si>
  <si>
    <t>Tarjeta de video MSI GeForce RTX 5060 8G GAMING OC, 8 GB GDDR7, PCIe 5.0[@@@]Puertos:</t>
  </si>
  <si>
    <t>VD8GMSRTX5060GT</t>
  </si>
  <si>
    <t> VGA 8G MS RTX5060 GTR OC GDDR7</t>
  </si>
  <si>
    <t>Tarjeta de video MSI GeForce RTX 5060 8G GAMING TRIO OC, 8 GB GDDR7, PCIe 5.0[@@@]Pue</t>
  </si>
  <si>
    <t>VD8GMSRTX506TGO</t>
  </si>
  <si>
    <t> VGA 8G MS RTX5060TI GAMING OC</t>
  </si>
  <si>
    <t>Tarjeta de video MSI GeForce RTX 5060 Ti 8G GAMING OC, 8 GB GDDR7, PCIe Gen 5.0[@@@]P</t>
  </si>
  <si>
    <t>VD8GMSRTX506TS2</t>
  </si>
  <si>
    <t> VGA 8G MS RTX5060TI SH 2X OC P</t>
  </si>
  <si>
    <t>Tarjeta de video MSI GeForce RTX™ 5060 Ti 8G SHADOW 2X OC PLUS, 8 GB GDDR7, PCIe Gen</t>
  </si>
  <si>
    <t>VD8GMSRTX506TV2</t>
  </si>
  <si>
    <t> VGA 8G MS RTX5060TI V2X OC PLS</t>
  </si>
  <si>
    <t>Tarjeta de video MSI GeForce RTX 5060 Ti 8G VENTUS 2X OC PLUS, 8 GB GDDR7, PCIe Gen 5</t>
  </si>
  <si>
    <t>VD8GMSRTX506V2W</t>
  </si>
  <si>
    <t> VGA 8G MS RTX5060 V2X WHITE</t>
  </si>
  <si>
    <t>Tarjeta de video MSI GeForce RTX 5060 8G VENTUS 2X OC WHITE, 8GB GDDR7, PCIe 5.0 x16</t>
  </si>
  <si>
    <t>VD8GPYRTX5060DO</t>
  </si>
  <si>
    <t> VGA 8G PY RTX5060 DUAL OC</t>
  </si>
  <si>
    <t>PNY TECHNOLOGIES</t>
  </si>
  <si>
    <t>Tarjeta de video PNY GeForce RTX5060 Dual Fan GPU, 8GB GDDR7, PCIe Gen 5[@@@]Puertos:</t>
  </si>
  <si>
    <t>VD8GPYRTX506TDO</t>
  </si>
  <si>
    <t> VGA 8G PY RTX5060TI DUAL OC</t>
  </si>
  <si>
    <t>Tarjeta de video PNY GeForce RTX 5060 Ti OC, 8GB GDDR7, PCI Express 5.0 x8[@@@]Puerto</t>
  </si>
  <si>
    <t>VD12GBRX7700XTG</t>
  </si>
  <si>
    <t> VGA 12G GB RX7700XT GMG GDDR6</t>
  </si>
  <si>
    <t>Tarjeta de video Gigabyte Radeon RX 7700 XT GAMING OC 12G, 12GB GDDR6, PCI-E 4.0[@@@]</t>
  </si>
  <si>
    <t>VD16ARRX906XTSL</t>
  </si>
  <si>
    <t> VGA 16G AR RX9060XT STLEG GDR6</t>
  </si>
  <si>
    <t>Tarjeta de video ASRock AMD Radeon RX 9060 XT Steel Legend 16GB OC, 16 GB GDDR6, PCI-</t>
  </si>
  <si>
    <t>VD16ARRX9070CL</t>
  </si>
  <si>
    <t> VGA 16G AR RX9070 CHL GDDR6</t>
  </si>
  <si>
    <t>Tarjeta de video ASRock AMD Radeon RX 9070 Challenger 16GB, 16GB GDDR6, PCI-E 5.0 x16</t>
  </si>
  <si>
    <t>VD16ARRX9070XMH</t>
  </si>
  <si>
    <t> VGA 16G AR RX9070XT MHW GDDR6</t>
  </si>
  <si>
    <t>Tarjeta de video ASRock AMD Radeon™ RX 9070 XT Monster Hunter Wilds, 16GB GDDR6, PCIe</t>
  </si>
  <si>
    <t>VD16ARRX907XTSD</t>
  </si>
  <si>
    <t> VGA 16G AR RX9070XT SL DARK D6</t>
  </si>
  <si>
    <t>Tarjeta de video AMD Radeon RX 9070 XT Steel Legend Dark 16GB, 16 GB GDDR6, PCI-E 5.0</t>
  </si>
  <si>
    <t>VD16ARRX907XTSL</t>
  </si>
  <si>
    <t> VGA 16G AR RX9070XT ST LEG GD6</t>
  </si>
  <si>
    <t>Tarjeta de video ASRock AMD Radeon RX 9070 XT Steel Legend 16 GB , 16 GB GDDR6, PCI-E</t>
  </si>
  <si>
    <t>VD16ASRX906XTD</t>
  </si>
  <si>
    <t> VGA 16G AS RX9060XT DUAL GDDR6</t>
  </si>
  <si>
    <t>Tarjeta de video ASUS DUAL-RX9060XT-16G, 16 GB GDDR6, PCI-E 5.0[@@@]Puertos: 2 x Disp</t>
  </si>
  <si>
    <t>VD16ASRX9070XTP</t>
  </si>
  <si>
    <t> VGA 16G AS RX9070XT PR OC GDR6</t>
  </si>
  <si>
    <t>Tarjeta de video ASUS PRIME-RX9070XT-O16G, 16 GB GDDR6, PCI-E 5.0[@@@]Puertos: 3 x Di</t>
  </si>
  <si>
    <t>VD16GBRX906XTGO</t>
  </si>
  <si>
    <t> VGA 16G GB RX9060XT GMG OC</t>
  </si>
  <si>
    <t>Tarjeta de video Gigabyte Radeon RX 9060 XT GAMING OC 16G, 16 GB GDDR6, PCI-E 5.0[@@@</t>
  </si>
  <si>
    <t>VD16GBRX9070GO</t>
  </si>
  <si>
    <t> VGA 16G GB RX9070 GMG OC GDDR6</t>
  </si>
  <si>
    <t>Tarjeta de video Gigabyte Radeon RX 9070 GAMING OC 16G, 16 GB GDDR6, PCI-E 5.0[@@@]Pu</t>
  </si>
  <si>
    <t>VD16GBRX9070XTE</t>
  </si>
  <si>
    <t> VGA 16G GB RX9070XT AO ELT GD6</t>
  </si>
  <si>
    <t>Tarjeta de video Gigabyte AORUS Radeon RX 9070 XTELITE 16G , 16 GB GDDR6, PCI-E 5.0[@</t>
  </si>
  <si>
    <t>VD16XFRX906XTM3</t>
  </si>
  <si>
    <t> VGA 16G XF RX9060XT MERC OC D6</t>
  </si>
  <si>
    <t>XFX</t>
  </si>
  <si>
    <t>Tarjeta de video XFX Mercury AMD Radeon RX 9060 XT OC Gaming Edition, 16GB GDDR6, PCI</t>
  </si>
  <si>
    <t>VD16XFRX906XTN3</t>
  </si>
  <si>
    <t> VGA 16G XF RX9060XT 3X GDDR6</t>
  </si>
  <si>
    <t>Tarjeta de video XFX Swift AMD Radeon RX 9060 XT OC Triple Fan Gaming, 16GB GDDR6, PC</t>
  </si>
  <si>
    <t>VD16XFRX906XTW3</t>
  </si>
  <si>
    <t> VGA 16G XF RX9060XT 3X WHITE</t>
  </si>
  <si>
    <t>Tarjeta de video XFX Swift AMD Radeon RX 9060 XT OC White Triple Fan Gaming Edition 1</t>
  </si>
  <si>
    <t>VD16XFRX9070QGN</t>
  </si>
  <si>
    <t> VGA 16G XF RX9070 QS NG OC GD6</t>
  </si>
  <si>
    <t>Tarjeta de video XFX QuickSilver AMD Radeon RX 9070 OC Gaming Edit, 16 GB GDDR6, PCI-</t>
  </si>
  <si>
    <t>VD16XFRX9070XT3</t>
  </si>
  <si>
    <t> VGA 16G XF RX9070XT GMG 3F GD6</t>
  </si>
  <si>
    <t>Tarjeta de video XFX Swift AMD Radeon RX 9070XT Triple Fan Gaming, 16 GB GDDR6, PCI-E</t>
  </si>
  <si>
    <t>VD16XFRX9070XTM</t>
  </si>
  <si>
    <t> VGA 16G XF RX9070XT MAGNET RGB</t>
  </si>
  <si>
    <t>Tarjeta de video XFX Mercury AMD Radeon RX 9070XTOC Magnetic Air, 16 GB GDDR6, PCI-E</t>
  </si>
  <si>
    <t>VD16XFRX9070XTW</t>
  </si>
  <si>
    <t> VGA 16G XF RX9070XT GMG 3F WHI</t>
  </si>
  <si>
    <t>Tarjeta de video XFX Swift AMD Radeon RX 9070XT White Triple Fan Gaming, 16GB DDR6, P</t>
  </si>
  <si>
    <t>VD16XFRX907XTMW</t>
  </si>
  <si>
    <t> VGA 16G XF RX9070XT MERCUR GMG</t>
  </si>
  <si>
    <t>Tarjeta de video XFX Mercury AMD Radeon RX 9070XTOC White Gaming Edition,16GB DDR6, P</t>
  </si>
  <si>
    <t>VD8GARRX906XTSL</t>
  </si>
  <si>
    <t> VGA 8G AR RX9060XT ST LG GDDR6</t>
  </si>
  <si>
    <t>Tarjeta de video ASRock AMD Radeon RX 9060 XT Steel Legend 8GB OC, 8 GB GDDR6, PCI-E</t>
  </si>
  <si>
    <t>VD8GGBRX7600GMO</t>
  </si>
  <si>
    <t> VGA 8G GB RX7600 GAMING OC GD6</t>
  </si>
  <si>
    <t>Tarjeta de video Gigabyte Radeon RX 7600 GAMING OC 8G, 8 GB GDDR6, PCI-e 4.0[@@@]Puer</t>
  </si>
  <si>
    <t>VD8GGBRX906XTGO</t>
  </si>
  <si>
    <t> VGA 8G GB RX9060XT GMOC GDDR6</t>
  </si>
  <si>
    <t>Tarjeta de video Gigabyte Radeon RX 9060 XT GAMING OC 8G, 8 GB GDDR6, PCI-E 5.0[@@@]P</t>
  </si>
  <si>
    <t>VD8GXFRX7600SS</t>
  </si>
  <si>
    <t> VGA 8G XF RX7600 S210 CE GDDR6</t>
  </si>
  <si>
    <t>Tarjeta de video XFX SPEEDSTER SWFT 210 AMD Radeon RX 7600, 8 GB GDDR6 PCI Express 4.</t>
  </si>
  <si>
    <t>VD2GBGT1030D4GL</t>
  </si>
  <si>
    <t> VGA 2G GB GT1030 LP DDR4</t>
  </si>
  <si>
    <t>Tarjeta de video Gigabyte Nvidia GeForce GT 1030,2GB DDR4 64-bit, Low ProFile.[@@@]Pu</t>
  </si>
  <si>
    <t>ACTLSR42UBKD</t>
  </si>
  <si>
    <t> GABINETE 42U DESENSAMBLADO</t>
  </si>
  <si>
    <t>TrippLIte SR42UBKD, Juego de Gabinete de Profundidad Estándar desensamblado de 42U.[@</t>
  </si>
  <si>
    <t>CETLN201025BL</t>
  </si>
  <si>
    <t> CABLE PATCH MOLDEADO SNAGLESS</t>
  </si>
  <si>
    <t>Cable Patch Moldeado Tripp-Lite N201-025-BL, Cat6Gigabit RJ45, Snagless, Azul, 7.5 mt</t>
  </si>
  <si>
    <t>424367</t>
  </si>
  <si>
    <t>179408</t>
  </si>
  <si>
    <t>179409</t>
  </si>
  <si>
    <t>423887</t>
  </si>
  <si>
    <t>496442</t>
  </si>
  <si>
    <t>477431</t>
  </si>
  <si>
    <t>477432</t>
  </si>
  <si>
    <t>260418</t>
  </si>
  <si>
    <t>214228</t>
  </si>
  <si>
    <t>116013</t>
  </si>
  <si>
    <t>463647</t>
  </si>
  <si>
    <t>463649</t>
  </si>
  <si>
    <t>516656</t>
  </si>
  <si>
    <t>516652</t>
  </si>
  <si>
    <t>433319</t>
  </si>
  <si>
    <t>194576</t>
  </si>
  <si>
    <t>424366</t>
  </si>
  <si>
    <t>426681</t>
  </si>
  <si>
    <t>177279</t>
  </si>
  <si>
    <t>90981</t>
  </si>
  <si>
    <t>500618</t>
  </si>
  <si>
    <t>500611</t>
  </si>
  <si>
    <t>500612</t>
  </si>
  <si>
    <t>500613</t>
  </si>
  <si>
    <t>500614</t>
  </si>
  <si>
    <t>500615</t>
  </si>
  <si>
    <t>517465</t>
  </si>
  <si>
    <t>273134</t>
  </si>
  <si>
    <t>273135</t>
  </si>
  <si>
    <t>275718</t>
  </si>
  <si>
    <t>275719</t>
  </si>
  <si>
    <t>252817</t>
  </si>
  <si>
    <t>257309</t>
  </si>
  <si>
    <t>257052</t>
  </si>
  <si>
    <t>209626</t>
  </si>
  <si>
    <t>273137</t>
  </si>
  <si>
    <t>230994</t>
  </si>
  <si>
    <t>230995</t>
  </si>
  <si>
    <t>275720</t>
  </si>
  <si>
    <t>230991</t>
  </si>
  <si>
    <t>210934</t>
  </si>
  <si>
    <t>219309</t>
  </si>
  <si>
    <t>64204</t>
  </si>
  <si>
    <t>68044</t>
  </si>
  <si>
    <t>485373</t>
  </si>
  <si>
    <t>243959</t>
  </si>
  <si>
    <t>186261</t>
  </si>
  <si>
    <t>424450</t>
  </si>
  <si>
    <t>424446</t>
  </si>
  <si>
    <t>426316</t>
  </si>
  <si>
    <t>507163</t>
  </si>
  <si>
    <t>205862</t>
  </si>
  <si>
    <t>367025</t>
  </si>
  <si>
    <t>214496</t>
  </si>
  <si>
    <t>140046</t>
  </si>
  <si>
    <t>498348</t>
  </si>
  <si>
    <t>470577</t>
  </si>
  <si>
    <t>ACCGXD1Q65145</t>
  </si>
  <si>
    <t> LENOVO E310 TRUE WIRELESS EB S</t>
  </si>
  <si>
    <t>482057</t>
  </si>
  <si>
    <t>Auriculares estéreo inalámbricos con microfono Lenovo E310 independientes, color blan</t>
  </si>
  <si>
    <t>ACCGXD1Q65146</t>
  </si>
  <si>
    <t> LENOVO E310 TRUE WIRELESS EB B</t>
  </si>
  <si>
    <t>482058</t>
  </si>
  <si>
    <t>Auriculares estéreo inalámbricos con microfono Lenovo E310 independientes, color negr</t>
  </si>
  <si>
    <t>364035</t>
  </si>
  <si>
    <t>493008</t>
  </si>
  <si>
    <t>422564</t>
  </si>
  <si>
    <t>478257</t>
  </si>
  <si>
    <t>470499</t>
  </si>
  <si>
    <t>MMLEN4XD1Q30302</t>
  </si>
  <si>
    <t> LENOVO WIRELESS STEREO HEADSET</t>
  </si>
  <si>
    <t>479139</t>
  </si>
  <si>
    <t>Auriculares inalámbricos Stereo con micrófono Lenovo, Interfaz USB-C[@@@]Descubre los</t>
  </si>
  <si>
    <t>431359</t>
  </si>
  <si>
    <t>MMLGTC002055</t>
  </si>
  <si>
    <t> ASTRO A10 GEN2 AURICULARES NEG</t>
  </si>
  <si>
    <t>516554</t>
  </si>
  <si>
    <t>Auriculares Gaming Logitech G ASTRO A10 Gen 2, Orientados a Playstation 4 y 5 y PC[@@</t>
  </si>
  <si>
    <t>MMLGTC002069</t>
  </si>
  <si>
    <t> ASTRO A10 GEN2 AURICULARES GRI</t>
  </si>
  <si>
    <t>516555</t>
  </si>
  <si>
    <t>Auriculares Gaming Logitech G ASTRO A10 Gen 2, Orientados a Xbox, Windows, Mac[@@@]Lo</t>
  </si>
  <si>
    <t>441156</t>
  </si>
  <si>
    <t>498145</t>
  </si>
  <si>
    <t>MMLENGXD0T69863</t>
  </si>
  <si>
    <t> MM LEN H300 HEADSET STEREO GAM</t>
  </si>
  <si>
    <t>352969</t>
  </si>
  <si>
    <t>Auriculares Lenovo Gaming Legion H300[@@@]Los auriculares estéreo para juegos Legion</t>
  </si>
  <si>
    <t>MMLENGXD1P46880</t>
  </si>
  <si>
    <t> LENOVO H210 GAMING HEADSET</t>
  </si>
  <si>
    <t>455856</t>
  </si>
  <si>
    <t>Auriculares con micrófono Lenovo H210 gaming[@@@]Los auriculares con micrófono Lenovo</t>
  </si>
  <si>
    <t>MMLENGXD1R34013</t>
  </si>
  <si>
    <t> LENOVO LEGION H410 WIRELESS GM</t>
  </si>
  <si>
    <t>506749</t>
  </si>
  <si>
    <t>Auriculares inalámbricos para juegos Lenovo Legion H410[@@@]Sonido envolvente y rendi</t>
  </si>
  <si>
    <t>478133</t>
  </si>
  <si>
    <t>478135</t>
  </si>
  <si>
    <t>478136</t>
  </si>
  <si>
    <t>478134</t>
  </si>
  <si>
    <t>499785</t>
  </si>
  <si>
    <t>190283</t>
  </si>
  <si>
    <t>409005</t>
  </si>
  <si>
    <t>495426</t>
  </si>
  <si>
    <t>441361</t>
  </si>
  <si>
    <t>472385</t>
  </si>
  <si>
    <t>441362</t>
  </si>
  <si>
    <t>461884</t>
  </si>
  <si>
    <t>506293</t>
  </si>
  <si>
    <t>506291</t>
  </si>
  <si>
    <t>512349</t>
  </si>
  <si>
    <t>507159</t>
  </si>
  <si>
    <t>473088</t>
  </si>
  <si>
    <t>498227</t>
  </si>
  <si>
    <t>478566</t>
  </si>
  <si>
    <t>511808</t>
  </si>
  <si>
    <t>511807</t>
  </si>
  <si>
    <t>511806</t>
  </si>
  <si>
    <t>511800</t>
  </si>
  <si>
    <t>514099</t>
  </si>
  <si>
    <t>514100</t>
  </si>
  <si>
    <t>514101</t>
  </si>
  <si>
    <t>493061</t>
  </si>
  <si>
    <t>CWLENGXC1D66063</t>
  </si>
  <si>
    <t> CáMARA WEB LENOVO 510 FHD</t>
  </si>
  <si>
    <t>488541</t>
  </si>
  <si>
    <t>Cámara Web Lenovo 510 FHD[@@@]Una videocámara compatible con usb video class (UVC) di</t>
  </si>
  <si>
    <t>443813</t>
  </si>
  <si>
    <t>474971</t>
  </si>
  <si>
    <t>516025</t>
  </si>
  <si>
    <t>NBACTE9014GR</t>
  </si>
  <si>
    <t> PORTACABLES TE-ACS9014</t>
  </si>
  <si>
    <t>422975</t>
  </si>
  <si>
    <t>Cartuchera ﻿/ Estuche ﻿/ ﻿Organizador / Portacables TEROS TE-ACS</t>
  </si>
  <si>
    <t>422976</t>
  </si>
  <si>
    <t>422977</t>
  </si>
  <si>
    <t>455432</t>
  </si>
  <si>
    <t>507139</t>
  </si>
  <si>
    <t>379099</t>
  </si>
  <si>
    <t>449993</t>
  </si>
  <si>
    <t>449994</t>
  </si>
  <si>
    <t>449995</t>
  </si>
  <si>
    <t>465174</t>
  </si>
  <si>
    <t>501493</t>
  </si>
  <si>
    <t>448178</t>
  </si>
  <si>
    <t>448185</t>
  </si>
  <si>
    <t>449986</t>
  </si>
  <si>
    <t>444021</t>
  </si>
  <si>
    <t>459563</t>
  </si>
  <si>
    <t>CSS35BKTE1040CS</t>
  </si>
  <si>
    <t> CASE SFF SFF 350W BZ TE1040 BK</t>
  </si>
  <si>
    <t>509492</t>
  </si>
  <si>
    <t>472157</t>
  </si>
  <si>
    <t>478208</t>
  </si>
  <si>
    <t>CSA00WHTE1322G</t>
  </si>
  <si>
    <t> CASE GM ATX TE1322 WHITE</t>
  </si>
  <si>
    <t>472158</t>
  </si>
  <si>
    <t>Case gamer TEROS TE-1322G, Mid Tower, USB 3.0 / USB 2.0, audio, ventilador RGB, blanc</t>
  </si>
  <si>
    <t>495485</t>
  </si>
  <si>
    <t>509351</t>
  </si>
  <si>
    <t>509352</t>
  </si>
  <si>
    <t>509341</t>
  </si>
  <si>
    <t>419698</t>
  </si>
  <si>
    <t>468997</t>
  </si>
  <si>
    <t>508210</t>
  </si>
  <si>
    <t>508211</t>
  </si>
  <si>
    <t>478386</t>
  </si>
  <si>
    <t>233715</t>
  </si>
  <si>
    <t>488876</t>
  </si>
  <si>
    <t>478066</t>
  </si>
  <si>
    <t>474748</t>
  </si>
  <si>
    <t>483337</t>
  </si>
  <si>
    <t>514335</t>
  </si>
  <si>
    <t>510459</t>
  </si>
  <si>
    <t>474848</t>
  </si>
  <si>
    <t>514331</t>
  </si>
  <si>
    <t>514333</t>
  </si>
  <si>
    <t>483345</t>
  </si>
  <si>
    <t>483344</t>
  </si>
  <si>
    <t>474861</t>
  </si>
  <si>
    <t>474858</t>
  </si>
  <si>
    <t>484129</t>
  </si>
  <si>
    <t>491448</t>
  </si>
  <si>
    <t>463053</t>
  </si>
  <si>
    <t>463056</t>
  </si>
  <si>
    <t>448158</t>
  </si>
  <si>
    <t>448160</t>
  </si>
  <si>
    <t>448157</t>
  </si>
  <si>
    <t>448159</t>
  </si>
  <si>
    <t>468996</t>
  </si>
  <si>
    <t>476330</t>
  </si>
  <si>
    <t>511625</t>
  </si>
  <si>
    <t>515328</t>
  </si>
  <si>
    <t>258370</t>
  </si>
  <si>
    <t>247954</t>
  </si>
  <si>
    <t>272697</t>
  </si>
  <si>
    <t>PREPLX350</t>
  </si>
  <si>
    <t> IMP EPSON LX-350 NEGRO 220V</t>
  </si>
  <si>
    <t>107417</t>
  </si>
  <si>
    <t>Impresora de matriz Epson LX-350, matriz de 9 pines, velocidad máxima 347 cps (10 cpi</t>
  </si>
  <si>
    <t>507544</t>
  </si>
  <si>
    <t>BIDC11CJ80201-B</t>
  </si>
  <si>
    <t>518619</t>
  </si>
  <si>
    <t>473429</t>
  </si>
  <si>
    <t>483717</t>
  </si>
  <si>
    <t>467315</t>
  </si>
  <si>
    <t>516840</t>
  </si>
  <si>
    <t>454997</t>
  </si>
  <si>
    <t>468584</t>
  </si>
  <si>
    <t>PCAS90PT03X6M0B</t>
  </si>
  <si>
    <t> AIO ASUS 23.8 C5-210H/16/512/F</t>
  </si>
  <si>
    <t>509871</t>
  </si>
  <si>
    <t>503242</t>
  </si>
  <si>
    <t>503239</t>
  </si>
  <si>
    <t>500471</t>
  </si>
  <si>
    <t>PCAS90PT03W7M0F</t>
  </si>
  <si>
    <t> AIO ASUS 27 C7-240H/16/512/FRE</t>
  </si>
  <si>
    <t>509870</t>
  </si>
  <si>
    <t>488255</t>
  </si>
  <si>
    <t>468577</t>
  </si>
  <si>
    <t>515687</t>
  </si>
  <si>
    <t>472219</t>
  </si>
  <si>
    <t>469602</t>
  </si>
  <si>
    <t>PCLENF0HN00MTLD</t>
  </si>
  <si>
    <t> AIO LEN 23.8 I5-13H/8/512/FREE</t>
  </si>
  <si>
    <t>472563</t>
  </si>
  <si>
    <t>500321</t>
  </si>
  <si>
    <t>515688</t>
  </si>
  <si>
    <t>PCAS90PT03W7M6</t>
  </si>
  <si>
    <t> AIO ASUS 27 I7-1362/16/512/FRE</t>
  </si>
  <si>
    <t>509869</t>
  </si>
  <si>
    <t>502447</t>
  </si>
  <si>
    <t>503330</t>
  </si>
  <si>
    <t>462532</t>
  </si>
  <si>
    <t>PCLENF0HN00MJLD</t>
  </si>
  <si>
    <t> AIO 23.8 I7-13620H/16/512/FREE</t>
  </si>
  <si>
    <t>469595</t>
  </si>
  <si>
    <t>AIO Lenovo IdeaCentre 24IRH9, 23.8" FHD IPS, Corei7-13620H hasta 4.9GHz, 16GB DDR5-52</t>
  </si>
  <si>
    <t>490691</t>
  </si>
  <si>
    <t>490698</t>
  </si>
  <si>
    <t>510257</t>
  </si>
  <si>
    <t>All-in-One Lenovo IdeaCentre 27ARR9, 27" FHD IPS AMD Ryzen 7 7735HS 3.2/4.75GHz, 16GB</t>
  </si>
  <si>
    <t>502887</t>
  </si>
  <si>
    <t>483051</t>
  </si>
  <si>
    <t>504846</t>
  </si>
  <si>
    <t>509397</t>
  </si>
  <si>
    <t>509398</t>
  </si>
  <si>
    <t>512222</t>
  </si>
  <si>
    <t>PC Advance Vission VI5500, AMD RYZEN 5 5500 3.60.GHz 4.20GHz 16MB Cache L3[@@@]32GB D</t>
  </si>
  <si>
    <t>468304</t>
  </si>
  <si>
    <t>511179</t>
  </si>
  <si>
    <t>PC Advance VO1050, INTEL CORE I5 12400 2.50.GHz -4.40GHz TDP 65 Watt 6 Core, 18MB Sma</t>
  </si>
  <si>
    <t>515689</t>
  </si>
  <si>
    <t>516171</t>
  </si>
  <si>
    <t>PC Advance Vission VM1470, Intel i7-13650HX 2.60.GHz - 4.90GHz 24MB Cache[@@@]8GB DDR</t>
  </si>
  <si>
    <t>502454</t>
  </si>
  <si>
    <t>514297</t>
  </si>
  <si>
    <t>PCAD1WO147131U7</t>
  </si>
  <si>
    <t> PC WO1470 U7 265K/16G/500GB/FR</t>
  </si>
  <si>
    <t>517326</t>
  </si>
  <si>
    <t>Workstation Advance WO1470, Intel Core Ultra 7 265K 3.90.GHz 5.50GHz 30MB Cache[@@@]1</t>
  </si>
  <si>
    <t>491054</t>
  </si>
  <si>
    <t>PCHPC09L3LSABM</t>
  </si>
  <si>
    <t> HP PC PRO4 G1I/U7265/16/1/W11P</t>
  </si>
  <si>
    <t>482176</t>
  </si>
  <si>
    <t>Computadora HP ProDesk 4 SFF G1i AI, Core Ultra 7265 2.4/5.3GHz, 16GB(1x16GB)DDR5-560</t>
  </si>
  <si>
    <t>504845</t>
  </si>
  <si>
    <t>501008</t>
  </si>
  <si>
    <t>501011</t>
  </si>
  <si>
    <t>PCAD1WO149002U9</t>
  </si>
  <si>
    <t> PC WO1490 U9 285K/16G/2TB/LX</t>
  </si>
  <si>
    <t>517358</t>
  </si>
  <si>
    <t>Workstation Advance WO1490, Intel Core Ultra 9 285K 3.70.GHz 5.70GHz 36MB Cache[@@@]1</t>
  </si>
  <si>
    <t>463654</t>
  </si>
  <si>
    <t>500148</t>
  </si>
  <si>
    <t>500149</t>
  </si>
  <si>
    <t>503842</t>
  </si>
  <si>
    <t>500150</t>
  </si>
  <si>
    <t>WSLE30JR000WLM</t>
  </si>
  <si>
    <t>517664</t>
  </si>
  <si>
    <t>503359</t>
  </si>
  <si>
    <t>492127</t>
  </si>
  <si>
    <t>496576</t>
  </si>
  <si>
    <t>492154</t>
  </si>
  <si>
    <t>496573</t>
  </si>
  <si>
    <t>492658</t>
  </si>
  <si>
    <t>435998</t>
  </si>
  <si>
    <t>386660</t>
  </si>
  <si>
    <t>385408</t>
  </si>
  <si>
    <t>385522</t>
  </si>
  <si>
    <t>515820</t>
  </si>
  <si>
    <t>435757</t>
  </si>
  <si>
    <t>490368</t>
  </si>
  <si>
    <t>358861</t>
  </si>
  <si>
    <t>412286</t>
  </si>
  <si>
    <t>506190</t>
  </si>
  <si>
    <t>433720</t>
  </si>
  <si>
    <t>PRHP4SB24A-B</t>
  </si>
  <si>
    <t>518635</t>
  </si>
  <si>
    <t>516111</t>
  </si>
  <si>
    <t>510436</t>
  </si>
  <si>
    <t>514336</t>
  </si>
  <si>
    <t>412686</t>
  </si>
  <si>
    <t>479909</t>
  </si>
  <si>
    <t>479911</t>
  </si>
  <si>
    <t>469396</t>
  </si>
  <si>
    <t>441486</t>
  </si>
  <si>
    <t>480316</t>
  </si>
  <si>
    <t>504969</t>
  </si>
  <si>
    <t>510438</t>
  </si>
  <si>
    <t>510435</t>
  </si>
  <si>
    <t>ACASLCPR360ARGW</t>
  </si>
  <si>
    <t> LC AS PRIME 360 ARGB WHITE</t>
  </si>
  <si>
    <t>516105</t>
  </si>
  <si>
    <t>ACASLCRYIII36RX</t>
  </si>
  <si>
    <t> COOLER AS AIO RYU III 360 RG X</t>
  </si>
  <si>
    <t>486095</t>
  </si>
  <si>
    <t>Refrigerador líquido de CPU ASUS ROG RYUJIN III 360 ARGB Extreme[@@@]El refrigerador</t>
  </si>
  <si>
    <t>ACASLCSTIII36RN</t>
  </si>
  <si>
    <t> COOLER AS LC STRIX III 360 RGB</t>
  </si>
  <si>
    <t>486098</t>
  </si>
  <si>
    <t>Refrigerador líquido de CPU ASUS ROG Strix LC III360 ARGB[@@@]El refrigerador de líqu</t>
  </si>
  <si>
    <t>ACASLCTIII360AL</t>
  </si>
  <si>
    <t> COOLER AS LC TUF III 360 ARLCD</t>
  </si>
  <si>
    <t>499380</t>
  </si>
  <si>
    <t>Refrigerador líquido de CPU ASUS TUF Gaming LC III 360 ARGB LCD[@@@]El refrigerador d</t>
  </si>
  <si>
    <t>ACASLCTIII360AW</t>
  </si>
  <si>
    <t> LC AS TUF GMG LCIII 360 ARGB W</t>
  </si>
  <si>
    <t>516103</t>
  </si>
  <si>
    <t>ACASRYIVSLC360A</t>
  </si>
  <si>
    <t> LIQ COOL AS RY IV SLC 360 ARGB</t>
  </si>
  <si>
    <t>509377</t>
  </si>
  <si>
    <t>Refrigerador líquido de CPU ASUS ROG Ryuo IV SLC 360 ARGB[@@@]El ROG Ryuo IV SLC 360</t>
  </si>
  <si>
    <t>491443</t>
  </si>
  <si>
    <t>479912</t>
  </si>
  <si>
    <t>477402</t>
  </si>
  <si>
    <t>464909</t>
  </si>
  <si>
    <t>472564</t>
  </si>
  <si>
    <t>390723</t>
  </si>
  <si>
    <t>487746</t>
  </si>
  <si>
    <t>435463</t>
  </si>
  <si>
    <t>408080</t>
  </si>
  <si>
    <t>401158</t>
  </si>
  <si>
    <t>435460</t>
  </si>
  <si>
    <t>435037</t>
  </si>
  <si>
    <t>450428</t>
  </si>
  <si>
    <t>505026</t>
  </si>
  <si>
    <t>CPAM4NR75800XT</t>
  </si>
  <si>
    <t> PROC AMD RYZEN 7 5800XT 3.80GH</t>
  </si>
  <si>
    <t>496477</t>
  </si>
  <si>
    <t>Procesador AMD Ryzen 7 5800XT, 3.80 / 4.80 GHz, 32MB L3, 8 Core, AM4, 7nm, 105W.[@@@]</t>
  </si>
  <si>
    <t>372527</t>
  </si>
  <si>
    <t>390727</t>
  </si>
  <si>
    <t>514968</t>
  </si>
  <si>
    <t>401073</t>
  </si>
  <si>
    <t>415618</t>
  </si>
  <si>
    <t>443349</t>
  </si>
  <si>
    <t>486503</t>
  </si>
  <si>
    <t>450429</t>
  </si>
  <si>
    <t>461848</t>
  </si>
  <si>
    <t>516364</t>
  </si>
  <si>
    <t>465702</t>
  </si>
  <si>
    <t>401074</t>
  </si>
  <si>
    <t>470369</t>
  </si>
  <si>
    <t>450430</t>
  </si>
  <si>
    <t>452684</t>
  </si>
  <si>
    <t>470368</t>
  </si>
  <si>
    <t>CPAM5R99950X3D2</t>
  </si>
  <si>
    <t> PROC AMD RYZEN 9 9950X3D2 4.3G</t>
  </si>
  <si>
    <t>517486</t>
  </si>
  <si>
    <t>Procesador AMD Ryzen 9 9950X3D2 4.30 / 5.60 GHz, 192 MB L3 Cache, 16-Cores, 4nm, TDP:</t>
  </si>
  <si>
    <t>383117</t>
  </si>
  <si>
    <t>435201</t>
  </si>
  <si>
    <t>CPILI510400TT</t>
  </si>
  <si>
    <t> PROC IN CORE I5-10400T 2.0 OEM</t>
  </si>
  <si>
    <t>373094</t>
  </si>
  <si>
    <t>Procesador Intel Core i5-10400T, 2.00 GHz, 12 MB Caché L3, LGA1200, 35W, 14 nm.[@@@]V</t>
  </si>
  <si>
    <t>383119</t>
  </si>
  <si>
    <t>455908</t>
  </si>
  <si>
    <t>513647</t>
  </si>
  <si>
    <t>435196</t>
  </si>
  <si>
    <t>435197</t>
  </si>
  <si>
    <t>425317</t>
  </si>
  <si>
    <t>384401</t>
  </si>
  <si>
    <t>435199</t>
  </si>
  <si>
    <t>425314</t>
  </si>
  <si>
    <t>513771</t>
  </si>
  <si>
    <t>440804</t>
  </si>
  <si>
    <t>447693</t>
  </si>
  <si>
    <t>425312</t>
  </si>
  <si>
    <t>425313</t>
  </si>
  <si>
    <t>443420</t>
  </si>
  <si>
    <t>470143</t>
  </si>
  <si>
    <t>470152</t>
  </si>
  <si>
    <t>457862</t>
  </si>
  <si>
    <t>457958</t>
  </si>
  <si>
    <t>517028</t>
  </si>
  <si>
    <t>CPILU5250KP</t>
  </si>
  <si>
    <t> PROC INT COR ULT 5 250K PLUS</t>
  </si>
  <si>
    <t>517459</t>
  </si>
  <si>
    <t>477244</t>
  </si>
  <si>
    <t>475160</t>
  </si>
  <si>
    <t>457970</t>
  </si>
  <si>
    <t>CPILU7270KP</t>
  </si>
  <si>
    <t> PROC INT COR ULT 7 270K PLUS</t>
  </si>
  <si>
    <t>517002</t>
  </si>
  <si>
    <t>475155</t>
  </si>
  <si>
    <t>457983</t>
  </si>
  <si>
    <t>368174</t>
  </si>
  <si>
    <t>514219</t>
  </si>
  <si>
    <t>516809</t>
  </si>
  <si>
    <t>516810</t>
  </si>
  <si>
    <t>515406</t>
  </si>
  <si>
    <t>480118</t>
  </si>
  <si>
    <t>499553</t>
  </si>
  <si>
    <t>HDIWD161KFGX</t>
  </si>
  <si>
    <t> HD WD 16TB RED PRO SATA 7200</t>
  </si>
  <si>
    <t>425098</t>
  </si>
  <si>
    <t>Disco duro Western Digital Red Pro NAS, WD161KFGX, 16TB, SATA, 7200rpm, 3.5", Cache 5</t>
  </si>
  <si>
    <t>HDIWD181PURP</t>
  </si>
  <si>
    <t> HD WD PURPLE PRO 18TB SATA</t>
  </si>
  <si>
    <t>478509</t>
  </si>
  <si>
    <t>Disco duro Western Digital WD Purple Pro 18TB, SATA, 7200 rpm, 3.5", 512MB Cache[@@@]</t>
  </si>
  <si>
    <t>HDIWD221PURP</t>
  </si>
  <si>
    <t> HD WD PURPLE PRO 22TB SATA</t>
  </si>
  <si>
    <t>478512</t>
  </si>
  <si>
    <t>Disco duro Western Digital WD Purple Pro 22TB, SATA, 7200 rpm, 3.5", 512MB Cache[@@@]</t>
  </si>
  <si>
    <t>418710</t>
  </si>
  <si>
    <t>HDIWD43PURZ</t>
  </si>
  <si>
    <t> HD WD PURPLE 4TB SATA 256MB</t>
  </si>
  <si>
    <t>418557</t>
  </si>
  <si>
    <t>Disco duro Western Digital WD Purple, 4TB, SATA 6.0 Gb/s, 256MB Cache, 5400 rpm, 3.5"</t>
  </si>
  <si>
    <t>355939</t>
  </si>
  <si>
    <t>355940</t>
  </si>
  <si>
    <t>355943</t>
  </si>
  <si>
    <t>355947</t>
  </si>
  <si>
    <t>399871</t>
  </si>
  <si>
    <t>439204</t>
  </si>
  <si>
    <t>438918</t>
  </si>
  <si>
    <t>438917</t>
  </si>
  <si>
    <t>508730</t>
  </si>
  <si>
    <t>142646</t>
  </si>
  <si>
    <t>ESSDSPSD1TB</t>
  </si>
  <si>
    <t> SSD EXT KING 1TB DUAL USB-AC</t>
  </si>
  <si>
    <t>505888</t>
  </si>
  <si>
    <t>Unidad en estado sólido Dual Portatil Kingston 1TB, Interfaz USB-A, USB-C, USB 3.2 Ge</t>
  </si>
  <si>
    <t>ESSDSPSD2TB</t>
  </si>
  <si>
    <t> SSD EXT KING 2TB DUAL USB-AC</t>
  </si>
  <si>
    <t>505895</t>
  </si>
  <si>
    <t>Unidad en estado sólido Dual Portatil Kingston 2TB, Interfaz USB-A, USB-C, USB 3.2 Ge</t>
  </si>
  <si>
    <t>ESSDSPSD512GB</t>
  </si>
  <si>
    <t> SSD EXT KING 512GB DUAL USB-AC</t>
  </si>
  <si>
    <t>505885</t>
  </si>
  <si>
    <t>Unidad en estado sólido Dual Portatil Kingston 512GB, Interfaz USB-A, USB-C, USB 3.2</t>
  </si>
  <si>
    <t>426259</t>
  </si>
  <si>
    <t>455265</t>
  </si>
  <si>
    <t>455266</t>
  </si>
  <si>
    <t>405499</t>
  </si>
  <si>
    <t>SSDKTXS2000500</t>
  </si>
  <si>
    <t> SSD EXT KING XS2000 500GB 3.2</t>
  </si>
  <si>
    <t>404561</t>
  </si>
  <si>
    <t>Unidad en estado sólido externa Kingston XS2000, 500GB, USB 3.2 Gen 2x2 Tipo-C[@@@]Ve</t>
  </si>
  <si>
    <t>489186</t>
  </si>
  <si>
    <t>146157</t>
  </si>
  <si>
    <t>459402</t>
  </si>
  <si>
    <t>430971</t>
  </si>
  <si>
    <t>21693</t>
  </si>
  <si>
    <t>PSSTIE1042XS-N</t>
  </si>
  <si>
    <t> ESTB 1KVA SOLIDO FXE-10</t>
  </si>
  <si>
    <t>33689</t>
  </si>
  <si>
    <t>Estabilizador Elise - Fase FXE-10, Sólido, 1.0kVA, 4 tomas a 220VAC, 1 toma By-pass.[</t>
  </si>
  <si>
    <t>PSSTIE1542</t>
  </si>
  <si>
    <t> ESTB. 1.5KVA SOLIDO LCR15-4.5%</t>
  </si>
  <si>
    <t>19026</t>
  </si>
  <si>
    <t>Estabilizador Monofasico ELISE IEDA PODER SAFE, LCR15-4.5% Solido, 1.5kVA, 220VAC, 4</t>
  </si>
  <si>
    <t>19047</t>
  </si>
  <si>
    <t>156609</t>
  </si>
  <si>
    <t>468241</t>
  </si>
  <si>
    <t>27517</t>
  </si>
  <si>
    <t>27345</t>
  </si>
  <si>
    <t>PSTRANSFTAMF20</t>
  </si>
  <si>
    <t> TRANS AISL 2KVA IN220/220V</t>
  </si>
  <si>
    <t>27432</t>
  </si>
  <si>
    <t>Transformador de aislamiento monofásico 2KVA</t>
  </si>
  <si>
    <t>UPSRAVR1008I</t>
  </si>
  <si>
    <t> ESTABILIZADOR AUTOMATICO 1000V</t>
  </si>
  <si>
    <t>518200</t>
  </si>
  <si>
    <t>507136</t>
  </si>
  <si>
    <t>485374</t>
  </si>
  <si>
    <t>463642</t>
  </si>
  <si>
    <t>463641</t>
  </si>
  <si>
    <t>516695</t>
  </si>
  <si>
    <t>Fan-Cooler Noctua NH-U14S NF-A15 PWM Premium paraCPU (140mm/Marron/24.6 dBA)[@@@]El N</t>
  </si>
  <si>
    <t>379319</t>
  </si>
  <si>
    <t>478993</t>
  </si>
  <si>
    <t>50622</t>
  </si>
  <si>
    <t>259429</t>
  </si>
  <si>
    <t>168694</t>
  </si>
  <si>
    <t>243780</t>
  </si>
  <si>
    <t>212341</t>
  </si>
  <si>
    <t>217982</t>
  </si>
  <si>
    <t>330300</t>
  </si>
  <si>
    <t>503788</t>
  </si>
  <si>
    <t>251472</t>
  </si>
  <si>
    <t>490998</t>
  </si>
  <si>
    <t>156999</t>
  </si>
  <si>
    <t>127102</t>
  </si>
  <si>
    <t>427239</t>
  </si>
  <si>
    <t>341850</t>
  </si>
  <si>
    <t>455324</t>
  </si>
  <si>
    <t>69922</t>
  </si>
  <si>
    <t>36862</t>
  </si>
  <si>
    <t>248514</t>
  </si>
  <si>
    <t>23041</t>
  </si>
  <si>
    <t>23044</t>
  </si>
  <si>
    <t>24262</t>
  </si>
  <si>
    <t>28432</t>
  </si>
  <si>
    <t>117552</t>
  </si>
  <si>
    <t>144928</t>
  </si>
  <si>
    <t>147329</t>
  </si>
  <si>
    <t>122075</t>
  </si>
  <si>
    <t>224274</t>
  </si>
  <si>
    <t>373184</t>
  </si>
  <si>
    <t>253953</t>
  </si>
  <si>
    <t>446055</t>
  </si>
  <si>
    <t>322250</t>
  </si>
  <si>
    <t>59815</t>
  </si>
  <si>
    <t>173198</t>
  </si>
  <si>
    <t>375272</t>
  </si>
  <si>
    <t>352417</t>
  </si>
  <si>
    <t>503439</t>
  </si>
  <si>
    <t>470475</t>
  </si>
  <si>
    <t>422181</t>
  </si>
  <si>
    <t>MMVDEPEF61R</t>
  </si>
  <si>
    <t> PROY SMART LIFESTUDIO EF61 RED</t>
  </si>
  <si>
    <t>518444</t>
  </si>
  <si>
    <t>MMVDEPEF61WH</t>
  </si>
  <si>
    <t> PROY SMART LIFESTUDIO EF-61 WH</t>
  </si>
  <si>
    <t>517245</t>
  </si>
  <si>
    <t>488738</t>
  </si>
  <si>
    <t>508725</t>
  </si>
  <si>
    <t>416169</t>
  </si>
  <si>
    <t>473998</t>
  </si>
  <si>
    <t>369980</t>
  </si>
  <si>
    <t>504774</t>
  </si>
  <si>
    <t>508724</t>
  </si>
  <si>
    <t>369977</t>
  </si>
  <si>
    <t>439982</t>
  </si>
  <si>
    <t>456804</t>
  </si>
  <si>
    <t>300949</t>
  </si>
  <si>
    <t>468001</t>
  </si>
  <si>
    <t>443683</t>
  </si>
  <si>
    <t>PRHPLJM612DN</t>
  </si>
  <si>
    <t> HP LASERJET ENTERPRISE M612DN</t>
  </si>
  <si>
    <t>378769</t>
  </si>
  <si>
    <t>247641</t>
  </si>
  <si>
    <t>403889</t>
  </si>
  <si>
    <t>392503</t>
  </si>
  <si>
    <t>477462</t>
  </si>
  <si>
    <t>235533</t>
  </si>
  <si>
    <t>502189</t>
  </si>
  <si>
    <t>370832</t>
  </si>
  <si>
    <t>515350</t>
  </si>
  <si>
    <t>478228</t>
  </si>
  <si>
    <t>515348</t>
  </si>
  <si>
    <t>501455</t>
  </si>
  <si>
    <t>Impresora termica Inalámbrica Advance ADV-9026, velocidad de impresion 70 mm/seg[@@@]</t>
  </si>
  <si>
    <t>511390</t>
  </si>
  <si>
    <t>363137</t>
  </si>
  <si>
    <t>500788</t>
  </si>
  <si>
    <t>492489</t>
  </si>
  <si>
    <t>419811</t>
  </si>
  <si>
    <t>413863</t>
  </si>
  <si>
    <t>507353</t>
  </si>
  <si>
    <t>457246</t>
  </si>
  <si>
    <t>478460</t>
  </si>
  <si>
    <t>515741</t>
  </si>
  <si>
    <t>515742</t>
  </si>
  <si>
    <t>503180</t>
  </si>
  <si>
    <t>491426</t>
  </si>
  <si>
    <t>118031</t>
  </si>
  <si>
    <t>502191</t>
  </si>
  <si>
    <t>30287</t>
  </si>
  <si>
    <t>35409</t>
  </si>
  <si>
    <t>363141</t>
  </si>
  <si>
    <t>363152</t>
  </si>
  <si>
    <t>747</t>
  </si>
  <si>
    <t>344273</t>
  </si>
  <si>
    <t>344274</t>
  </si>
  <si>
    <t>345550</t>
  </si>
  <si>
    <t>345551</t>
  </si>
  <si>
    <t>345552</t>
  </si>
  <si>
    <t>345553</t>
  </si>
  <si>
    <t>477900</t>
  </si>
  <si>
    <t>497309</t>
  </si>
  <si>
    <t>477927</t>
  </si>
  <si>
    <t>477938</t>
  </si>
  <si>
    <t>477929</t>
  </si>
  <si>
    <t>477931</t>
  </si>
  <si>
    <t>477932</t>
  </si>
  <si>
    <t>477933</t>
  </si>
  <si>
    <t>477934</t>
  </si>
  <si>
    <t>477935</t>
  </si>
  <si>
    <t>421817</t>
  </si>
  <si>
    <t>477937</t>
  </si>
  <si>
    <t>365197</t>
  </si>
  <si>
    <t>499302</t>
  </si>
  <si>
    <t>491805</t>
  </si>
  <si>
    <t>482625</t>
  </si>
  <si>
    <t>502044</t>
  </si>
  <si>
    <t>499382</t>
  </si>
  <si>
    <t>457610</t>
  </si>
  <si>
    <t>457614</t>
  </si>
  <si>
    <t>457612</t>
  </si>
  <si>
    <t>457540</t>
  </si>
  <si>
    <t>457552</t>
  </si>
  <si>
    <t>457601</t>
  </si>
  <si>
    <t>457615</t>
  </si>
  <si>
    <t>510463</t>
  </si>
  <si>
    <t>MBASB760MAD4CSM</t>
  </si>
  <si>
    <t> MB AS B760M-A D4/CSM SVL DDR4</t>
  </si>
  <si>
    <t>517151</t>
  </si>
  <si>
    <t>476890</t>
  </si>
  <si>
    <t>447946</t>
  </si>
  <si>
    <t>510149</t>
  </si>
  <si>
    <t>475862</t>
  </si>
  <si>
    <t>430192</t>
  </si>
  <si>
    <t>439631</t>
  </si>
  <si>
    <t>510389</t>
  </si>
  <si>
    <t>444853</t>
  </si>
  <si>
    <t>425011</t>
  </si>
  <si>
    <t>490565</t>
  </si>
  <si>
    <t>513319</t>
  </si>
  <si>
    <t>456576</t>
  </si>
  <si>
    <t>498653</t>
  </si>
  <si>
    <t>425211</t>
  </si>
  <si>
    <t>458777</t>
  </si>
  <si>
    <t>453787</t>
  </si>
  <si>
    <t>MBMSH610M-GDDR5</t>
  </si>
  <si>
    <t> MB MS H610M-G S/V/L DDR5</t>
  </si>
  <si>
    <t>436083</t>
  </si>
  <si>
    <t>Motherboard MSI PRO H610M-G,Chipset Intel H610, LGA1700, mATX[@@@]Soporta Procesadore</t>
  </si>
  <si>
    <t>441524</t>
  </si>
  <si>
    <t>413291</t>
  </si>
  <si>
    <t>509785</t>
  </si>
  <si>
    <t>404020</t>
  </si>
  <si>
    <t>448233</t>
  </si>
  <si>
    <t>484279</t>
  </si>
  <si>
    <t>514313</t>
  </si>
  <si>
    <t>514312</t>
  </si>
  <si>
    <t>485016</t>
  </si>
  <si>
    <t>511774</t>
  </si>
  <si>
    <t>458384</t>
  </si>
  <si>
    <t>511621</t>
  </si>
  <si>
    <t>508303</t>
  </si>
  <si>
    <t>479950</t>
  </si>
  <si>
    <t>477331</t>
  </si>
  <si>
    <t>511634</t>
  </si>
  <si>
    <t>469263</t>
  </si>
  <si>
    <t>511476</t>
  </si>
  <si>
    <t>503292</t>
  </si>
  <si>
    <t>511475</t>
  </si>
  <si>
    <t>514320</t>
  </si>
  <si>
    <t>462310</t>
  </si>
  <si>
    <t>458455</t>
  </si>
  <si>
    <t>514301</t>
  </si>
  <si>
    <t>465438</t>
  </si>
  <si>
    <t>465442</t>
  </si>
  <si>
    <t>458386</t>
  </si>
  <si>
    <t>458387</t>
  </si>
  <si>
    <t>458388</t>
  </si>
  <si>
    <t>467761</t>
  </si>
  <si>
    <t>509788</t>
  </si>
  <si>
    <t>458779</t>
  </si>
  <si>
    <t>511636</t>
  </si>
  <si>
    <t>458780</t>
  </si>
  <si>
    <t>501639</t>
  </si>
  <si>
    <t>458781</t>
  </si>
  <si>
    <t>475916</t>
  </si>
  <si>
    <t>511635</t>
  </si>
  <si>
    <t>451645</t>
  </si>
  <si>
    <t>352078</t>
  </si>
  <si>
    <t>479992</t>
  </si>
  <si>
    <t>354055</t>
  </si>
  <si>
    <t>414078</t>
  </si>
  <si>
    <t>414077</t>
  </si>
  <si>
    <t>388986</t>
  </si>
  <si>
    <t>492089</t>
  </si>
  <si>
    <t>434027</t>
  </si>
  <si>
    <t>364528</t>
  </si>
  <si>
    <t>475389</t>
  </si>
  <si>
    <t>364530</t>
  </si>
  <si>
    <t>477345</t>
  </si>
  <si>
    <t>350470</t>
  </si>
  <si>
    <t>491813</t>
  </si>
  <si>
    <t>491818</t>
  </si>
  <si>
    <t>514306</t>
  </si>
  <si>
    <t>435505</t>
  </si>
  <si>
    <t>490566</t>
  </si>
  <si>
    <t>426393</t>
  </si>
  <si>
    <t>458772</t>
  </si>
  <si>
    <t>406382</t>
  </si>
  <si>
    <t>438946</t>
  </si>
  <si>
    <t>513323</t>
  </si>
  <si>
    <t>473836</t>
  </si>
  <si>
    <t>498646</t>
  </si>
  <si>
    <t>505025</t>
  </si>
  <si>
    <t>469101</t>
  </si>
  <si>
    <t>488609</t>
  </si>
  <si>
    <t>483392</t>
  </si>
  <si>
    <t>507800</t>
  </si>
  <si>
    <t>514309</t>
  </si>
  <si>
    <t>460220</t>
  </si>
  <si>
    <t>514302</t>
  </si>
  <si>
    <t>514303</t>
  </si>
  <si>
    <t>456558</t>
  </si>
  <si>
    <t>456559</t>
  </si>
  <si>
    <t>447738</t>
  </si>
  <si>
    <t>401902</t>
  </si>
  <si>
    <t>490567</t>
  </si>
  <si>
    <t>MBASB650M-PWIFI</t>
  </si>
  <si>
    <t> MB AS B650M-PLUS WIFI SVL DDR5</t>
  </si>
  <si>
    <t>447746</t>
  </si>
  <si>
    <t>Motherboard Asus TUF GAMING B650M-PLUS WIFI, Chipset AMD B650, AMD Socket AM5, mATX[@</t>
  </si>
  <si>
    <t>486093</t>
  </si>
  <si>
    <t>465421</t>
  </si>
  <si>
    <t>465422</t>
  </si>
  <si>
    <t>509699</t>
  </si>
  <si>
    <t>465436</t>
  </si>
  <si>
    <t>486094</t>
  </si>
  <si>
    <t>455468</t>
  </si>
  <si>
    <t>455470</t>
  </si>
  <si>
    <t>455465</t>
  </si>
  <si>
    <t>455469</t>
  </si>
  <si>
    <t>463003</t>
  </si>
  <si>
    <t>472427</t>
  </si>
  <si>
    <t>477339</t>
  </si>
  <si>
    <t>472445</t>
  </si>
  <si>
    <t>404019</t>
  </si>
  <si>
    <t>463006</t>
  </si>
  <si>
    <t>477334</t>
  </si>
  <si>
    <t>469284</t>
  </si>
  <si>
    <t>469283</t>
  </si>
  <si>
    <t>472500</t>
  </si>
  <si>
    <t>511591</t>
  </si>
  <si>
    <t>508292</t>
  </si>
  <si>
    <t>472506</t>
  </si>
  <si>
    <t>501632</t>
  </si>
  <si>
    <t>477330</t>
  </si>
  <si>
    <t>463009</t>
  </si>
  <si>
    <t>508603</t>
  </si>
  <si>
    <t>463010</t>
  </si>
  <si>
    <t>515324</t>
  </si>
  <si>
    <t>463014</t>
  </si>
  <si>
    <t>463012</t>
  </si>
  <si>
    <t>508606</t>
  </si>
  <si>
    <t>510132</t>
  </si>
  <si>
    <t>469115</t>
  </si>
  <si>
    <t>456607</t>
  </si>
  <si>
    <t>456601</t>
  </si>
  <si>
    <t>507805</t>
  </si>
  <si>
    <t>465867</t>
  </si>
  <si>
    <t> MB ADV I5-14450HX SVL WF DDR4</t>
  </si>
  <si>
    <t>509585</t>
  </si>
  <si>
    <t>Motherboard ADVANCE MTDK, incorpora procesador Core i5-14450HX 2.40/4.80GHz, HDMI(1)/</t>
  </si>
  <si>
    <t>MBADI713650HXD5</t>
  </si>
  <si>
    <t> MB ADV I7-13650HX SVL WF DDR5</t>
  </si>
  <si>
    <t>518014</t>
  </si>
  <si>
    <t>Motherboard ADVANCE MTDK, incorpora procesador Core i7-13650HX 2.60/4.90GHz, HDMI(1)/</t>
  </si>
  <si>
    <t>468936</t>
  </si>
  <si>
    <t>505031</t>
  </si>
  <si>
    <t>413109</t>
  </si>
  <si>
    <t>377043</t>
  </si>
  <si>
    <t>356000</t>
  </si>
  <si>
    <t>ME16HSARM32UND4</t>
  </si>
  <si>
    <t> MEM RAM 16G HIK ARM 3.20G DDR4</t>
  </si>
  <si>
    <t>491876</t>
  </si>
  <si>
    <t>Memoria HIKSEMI ARMOR 16GB DDR4-3200MHz PC4-25600, CL18, 1.35V, UDIMM, Negro[@@@]</t>
  </si>
  <si>
    <t>424610</t>
  </si>
  <si>
    <t>460569</t>
  </si>
  <si>
    <t>514270</t>
  </si>
  <si>
    <t>364416</t>
  </si>
  <si>
    <t>509713</t>
  </si>
  <si>
    <t>405014</t>
  </si>
  <si>
    <t>491874</t>
  </si>
  <si>
    <t>373165</t>
  </si>
  <si>
    <t>370946</t>
  </si>
  <si>
    <t>509712</t>
  </si>
  <si>
    <t>387134</t>
  </si>
  <si>
    <t>517587</t>
  </si>
  <si>
    <t>424612</t>
  </si>
  <si>
    <t>373167</t>
  </si>
  <si>
    <t>511342</t>
  </si>
  <si>
    <t>468483</t>
  </si>
  <si>
    <t>453744</t>
  </si>
  <si>
    <t>423572</t>
  </si>
  <si>
    <t>397194</t>
  </si>
  <si>
    <t>ME16HSFUT56UND5</t>
  </si>
  <si>
    <t> MEM RAM 16G HIK FUT 5.60G DDR5</t>
  </si>
  <si>
    <t>518018</t>
  </si>
  <si>
    <t>ME16KCP556US8</t>
  </si>
  <si>
    <t> MEM RAM 16G KCP556US8 5.6G DR5</t>
  </si>
  <si>
    <t>462261</t>
  </si>
  <si>
    <t>Memoria Kingston 16GB, DDR5-5600 MT/s, PC5-44800,CL46, 1.1V, 288-pin, 1Rx8, Non-ECC[@</t>
  </si>
  <si>
    <t>512771</t>
  </si>
  <si>
    <t>509201</t>
  </si>
  <si>
    <t>401840</t>
  </si>
  <si>
    <t>417039</t>
  </si>
  <si>
    <t>ME16XP560SLABBK</t>
  </si>
  <si>
    <t> MEM RAM 16G XPG LAN 5.60G DDR5</t>
  </si>
  <si>
    <t>509449</t>
  </si>
  <si>
    <t>Memoria U-DIMM ADATA XPG LANCER BLADE 16GB DDR5-5600MHz PC5-44800, CL46, 1.1V, 288-pi</t>
  </si>
  <si>
    <t>462262</t>
  </si>
  <si>
    <t>507339</t>
  </si>
  <si>
    <t>461657</t>
  </si>
  <si>
    <t>401438</t>
  </si>
  <si>
    <t>514441</t>
  </si>
  <si>
    <t>ME8GXP560SLABBK</t>
  </si>
  <si>
    <t> MEM RAM 8G XPG LAN 5.60G DDR5</t>
  </si>
  <si>
    <t>509708</t>
  </si>
  <si>
    <t>Memoria U-DIMM ADATA XPG LANCER BLADE 8GB DDR5-5600MHz PC5-44800, CL46, 1.1V, 288-pin</t>
  </si>
  <si>
    <t>ME8GXP560SLBBRG</t>
  </si>
  <si>
    <t> MEM RAM 8G XPG LAN RGB 5.60G</t>
  </si>
  <si>
    <t>517062</t>
  </si>
  <si>
    <t>515187</t>
  </si>
  <si>
    <t>424246</t>
  </si>
  <si>
    <t>503154</t>
  </si>
  <si>
    <t>454577</t>
  </si>
  <si>
    <t>454579</t>
  </si>
  <si>
    <t>454580</t>
  </si>
  <si>
    <t>ME16XP600SLABBK</t>
  </si>
  <si>
    <t> MEM RAM 16G XPG LAN 6.00G DDR5</t>
  </si>
  <si>
    <t>517060</t>
  </si>
  <si>
    <t>ME16XP600SLBBRG</t>
  </si>
  <si>
    <t> MEM RAM 16G XPG LAN RGB 6.00G</t>
  </si>
  <si>
    <t>517066</t>
  </si>
  <si>
    <t>ME32KF560C36BRN</t>
  </si>
  <si>
    <t> MEM RAM 32G FURY RGB 6.00G DR5</t>
  </si>
  <si>
    <t>507340</t>
  </si>
  <si>
    <t>Memoria Kingston Fury Beast 32GB DDR5-6000MT/s, PC5-48000, CL36, 1.35V, 288-Pin[@@@]</t>
  </si>
  <si>
    <t>451122</t>
  </si>
  <si>
    <t>451123</t>
  </si>
  <si>
    <t>472686</t>
  </si>
  <si>
    <t>463002</t>
  </si>
  <si>
    <t>514440</t>
  </si>
  <si>
    <t>400847</t>
  </si>
  <si>
    <t>511061</t>
  </si>
  <si>
    <t>483690</t>
  </si>
  <si>
    <t>ME32KF564C32BRG</t>
  </si>
  <si>
    <t> MEM RAM 32G KF RGB 6.40G N</t>
  </si>
  <si>
    <t>483696</t>
  </si>
  <si>
    <t>Memoria DIMM Kingston Fury Beast, 32GB DDR5-6400,PC5-51200 CL32, 2Rx8, 1.4V, 288-pin,</t>
  </si>
  <si>
    <t>ME32KF564C32RSA</t>
  </si>
  <si>
    <t> MEM RAM 32G KF REN RGB 6.40G N</t>
  </si>
  <si>
    <t>473705</t>
  </si>
  <si>
    <t>Memoria DIMM Kingston FURY 32GB DDR5-6400MT/s PC5-51200, 2Rx8, CL32, 1.4V, 288-Pin[@@</t>
  </si>
  <si>
    <t>ME32KF564C32RWA</t>
  </si>
  <si>
    <t> MEM RAM 32G KF REN RGB 6.40G W</t>
  </si>
  <si>
    <t>473704</t>
  </si>
  <si>
    <t>Memoria DIMM Kingston Fury Renegade, 32GB DDR5-6400, PC5-51200, CL32, 2Rx8, 1.4V, 288</t>
  </si>
  <si>
    <t>512182</t>
  </si>
  <si>
    <t>512776</t>
  </si>
  <si>
    <t>514486</t>
  </si>
  <si>
    <t>444796</t>
  </si>
  <si>
    <t>514487</t>
  </si>
  <si>
    <t>479869</t>
  </si>
  <si>
    <t>479871</t>
  </si>
  <si>
    <t>ACKTSDCG464GB</t>
  </si>
  <si>
    <t> MICROSD KT CANVAS GO PLUS 64GB</t>
  </si>
  <si>
    <t>479868</t>
  </si>
  <si>
    <t>Memoria Flash microSD Kingston Canvas Go! Plus, 64GB, con adaptador SD[@@@]Dimensione</t>
  </si>
  <si>
    <t>489486</t>
  </si>
  <si>
    <t>489487</t>
  </si>
  <si>
    <t>497451</t>
  </si>
  <si>
    <t>491717</t>
  </si>
  <si>
    <t>484392</t>
  </si>
  <si>
    <t>505306</t>
  </si>
  <si>
    <t>430503</t>
  </si>
  <si>
    <t>430504</t>
  </si>
  <si>
    <t>430502</t>
  </si>
  <si>
    <t>432076</t>
  </si>
  <si>
    <t>432079</t>
  </si>
  <si>
    <t>419668</t>
  </si>
  <si>
    <t>ACDTDUO3CG3256</t>
  </si>
  <si>
    <t> USB KT DT MICRODUO 3C 256GB</t>
  </si>
  <si>
    <t>419689</t>
  </si>
  <si>
    <t>Memoria Flash USB Kingston 256GB DataTraveler microDuo 3C 200MB/s dual USB-A + USB-C[</t>
  </si>
  <si>
    <t>435728</t>
  </si>
  <si>
    <t>435730</t>
  </si>
  <si>
    <t>435731</t>
  </si>
  <si>
    <t>435727</t>
  </si>
  <si>
    <t>388324</t>
  </si>
  <si>
    <t>480957</t>
  </si>
  <si>
    <t>480959</t>
  </si>
  <si>
    <t>388323</t>
  </si>
  <si>
    <t>363379</t>
  </si>
  <si>
    <t>370095</t>
  </si>
  <si>
    <t>506963</t>
  </si>
  <si>
    <t>364413</t>
  </si>
  <si>
    <t>362081</t>
  </si>
  <si>
    <t>506961</t>
  </si>
  <si>
    <t>362079</t>
  </si>
  <si>
    <t>387130</t>
  </si>
  <si>
    <t>506960</t>
  </si>
  <si>
    <t>394579</t>
  </si>
  <si>
    <t>509918</t>
  </si>
  <si>
    <t>ME8GHSHIKS32Z1</t>
  </si>
  <si>
    <t> MEM RAM 8G HIK SOD 3.20 DDR4</t>
  </si>
  <si>
    <t>506958</t>
  </si>
  <si>
    <t>Memoria SODIMM HIKSEMI 8GB DDR4-3200MHz PC4-25600, CL22, 1.2V[@@@]</t>
  </si>
  <si>
    <t>483697</t>
  </si>
  <si>
    <t>376512</t>
  </si>
  <si>
    <t>383323</t>
  </si>
  <si>
    <t>431029</t>
  </si>
  <si>
    <t>431030</t>
  </si>
  <si>
    <t>ME16HSHIKSO56D5</t>
  </si>
  <si>
    <t> MEM RAM 16G HIK SOD 5.60G DDR5</t>
  </si>
  <si>
    <t>491881</t>
  </si>
  <si>
    <t>Memoria SODIMM HIKSEMI HIKER 16GB DDR5-5600MHz PC5-44800, 1.1V[@@@]</t>
  </si>
  <si>
    <t>430019</t>
  </si>
  <si>
    <t>464448</t>
  </si>
  <si>
    <t>515188</t>
  </si>
  <si>
    <t>443814</t>
  </si>
  <si>
    <t>437496</t>
  </si>
  <si>
    <t>463001</t>
  </si>
  <si>
    <t>468003</t>
  </si>
  <si>
    <t>510564</t>
  </si>
  <si>
    <t>510565</t>
  </si>
  <si>
    <t>510562</t>
  </si>
  <si>
    <t>ACBLOCKGDTOUR</t>
  </si>
  <si>
    <t>475310</t>
  </si>
  <si>
    <t>484074</t>
  </si>
  <si>
    <t>466912</t>
  </si>
  <si>
    <t>466909</t>
  </si>
  <si>
    <t>466908</t>
  </si>
  <si>
    <t>504768</t>
  </si>
  <si>
    <t>466911</t>
  </si>
  <si>
    <t>434855</t>
  </si>
  <si>
    <t>434856</t>
  </si>
  <si>
    <t>476141</t>
  </si>
  <si>
    <t>446926</t>
  </si>
  <si>
    <t>443564</t>
  </si>
  <si>
    <t>501474</t>
  </si>
  <si>
    <t>483700</t>
  </si>
  <si>
    <t>484072</t>
  </si>
  <si>
    <t>484073</t>
  </si>
  <si>
    <t>480576</t>
  </si>
  <si>
    <t>498529</t>
  </si>
  <si>
    <t>480577</t>
  </si>
  <si>
    <t>504769</t>
  </si>
  <si>
    <t>448543</t>
  </si>
  <si>
    <t>497709</t>
  </si>
  <si>
    <t>478395</t>
  </si>
  <si>
    <t>478394</t>
  </si>
  <si>
    <t>478392</t>
  </si>
  <si>
    <t>443429</t>
  </si>
  <si>
    <t>443428</t>
  </si>
  <si>
    <t>449642</t>
  </si>
  <si>
    <t>449641</t>
  </si>
  <si>
    <t>474470</t>
  </si>
  <si>
    <t>459907</t>
  </si>
  <si>
    <t>478396</t>
  </si>
  <si>
    <t>478397</t>
  </si>
  <si>
    <t>478398</t>
  </si>
  <si>
    <t>478399</t>
  </si>
  <si>
    <t>458782</t>
  </si>
  <si>
    <t>458786</t>
  </si>
  <si>
    <t>507742</t>
  </si>
  <si>
    <t>507748</t>
  </si>
  <si>
    <t>315466</t>
  </si>
  <si>
    <t>507743</t>
  </si>
  <si>
    <t>510103</t>
  </si>
  <si>
    <t>507749</t>
  </si>
  <si>
    <t>509469</t>
  </si>
  <si>
    <t>507750</t>
  </si>
  <si>
    <t>476846</t>
  </si>
  <si>
    <t>508612</t>
  </si>
  <si>
    <t>509236</t>
  </si>
  <si>
    <t>513686</t>
  </si>
  <si>
    <t>514225</t>
  </si>
  <si>
    <t>514226</t>
  </si>
  <si>
    <t>507754</t>
  </si>
  <si>
    <t>501143</t>
  </si>
  <si>
    <t>510188</t>
  </si>
  <si>
    <t>500991</t>
  </si>
  <si>
    <t>510187</t>
  </si>
  <si>
    <t>513382</t>
  </si>
  <si>
    <t>423880</t>
  </si>
  <si>
    <t>513390</t>
  </si>
  <si>
    <t>507970</t>
  </si>
  <si>
    <t>507752</t>
  </si>
  <si>
    <t>513383</t>
  </si>
  <si>
    <t>510101</t>
  </si>
  <si>
    <t>507671</t>
  </si>
  <si>
    <t>486652</t>
  </si>
  <si>
    <t>486649</t>
  </si>
  <si>
    <t>500993</t>
  </si>
  <si>
    <t>455842</t>
  </si>
  <si>
    <t>500992</t>
  </si>
  <si>
    <t>480176</t>
  </si>
  <si>
    <t>507751</t>
  </si>
  <si>
    <t>508125</t>
  </si>
  <si>
    <t>511436</t>
  </si>
  <si>
    <t>509542</t>
  </si>
  <si>
    <t>459169</t>
  </si>
  <si>
    <t>478587</t>
  </si>
  <si>
    <t>478584</t>
  </si>
  <si>
    <t>268233</t>
  </si>
  <si>
    <t>513391</t>
  </si>
  <si>
    <t>307774</t>
  </si>
  <si>
    <t>507755</t>
  </si>
  <si>
    <t>310949</t>
  </si>
  <si>
    <t>310106</t>
  </si>
  <si>
    <t>261374</t>
  </si>
  <si>
    <t>418668</t>
  </si>
  <si>
    <t>310119</t>
  </si>
  <si>
    <t>359965</t>
  </si>
  <si>
    <t>ACCGX40Q17225</t>
  </si>
  <si>
    <t> LEN BACKPACK B210 15.6 BLACK</t>
  </si>
  <si>
    <t>470372</t>
  </si>
  <si>
    <t>Mochila Casual Lenovo para Laptop de hasta 15.6” B210, Color Negro[@@@]Lleva tu estil</t>
  </si>
  <si>
    <t>ACCGX40Q17226</t>
  </si>
  <si>
    <t> LEN BACKPACK 15.6 B210 BLUE</t>
  </si>
  <si>
    <t>470374</t>
  </si>
  <si>
    <t>Mochila Casual Lenovo para Laptop de hasta 15.6” B210, Color Azul[@@@]Muévete con est</t>
  </si>
  <si>
    <t>ACCGX40Q17227</t>
  </si>
  <si>
    <t> LEN 15.6\'' NBCBP B210 GREY RO</t>
  </si>
  <si>
    <t>470375</t>
  </si>
  <si>
    <t>Mochila Lenovo 15.6 Casual B210, compatible con portatiles de hasta 15.6"[@@@]La moch</t>
  </si>
  <si>
    <t>ACCGX40Q17230</t>
  </si>
  <si>
    <t> LENOVO MALETIN 15.6 BLUE</t>
  </si>
  <si>
    <t>506698</t>
  </si>
  <si>
    <t>Maletin Lenovo 15.6 Casual Toploader T210, compatible con portatiles de hasta 15.6"[@</t>
  </si>
  <si>
    <t>ACCGX40Q17231</t>
  </si>
  <si>
    <t> LENOVO MALETIN 15.6 GREY</t>
  </si>
  <si>
    <t>506691</t>
  </si>
  <si>
    <t>ACCGX40Q75215</t>
  </si>
  <si>
    <t> LENOVO 15.6” LAPTOP BP B515</t>
  </si>
  <si>
    <t>482042</t>
  </si>
  <si>
    <t>Mochila Lenovo B515 para Laptop de hasta 15.6", Color Negro[@@@]Fabricada con materia</t>
  </si>
  <si>
    <t>ACCGX40Q75216</t>
  </si>
  <si>
    <t> LENOVO 15.6” LAPTOP BP B515 BL</t>
  </si>
  <si>
    <t>482043</t>
  </si>
  <si>
    <t>Mochila Lenovo B515 para Laptop de hasta 15.6", Color Azul[@@@]Fabricada con material</t>
  </si>
  <si>
    <t>ACCGX40V10007</t>
  </si>
  <si>
    <t> MOCHILA ARMORD LEN LEGION 18''</t>
  </si>
  <si>
    <t>470377</t>
  </si>
  <si>
    <t>Mochila Lenovo Armored Backpack II, Poliéster, para notebook de hasta 18”, Negro[@@@]</t>
  </si>
  <si>
    <t>ACCGX41H70101</t>
  </si>
  <si>
    <t> LENOVO GAMING MODERN BACKPACK</t>
  </si>
  <si>
    <t>419880</t>
  </si>
  <si>
    <t>Mochila Moderna Lenovo IdeaPad Gaming (Negro)[@@@]</t>
  </si>
  <si>
    <t>ACCLENGX41M5314</t>
  </si>
  <si>
    <t> LENOVO LEGION 16\'' GAMING GB4</t>
  </si>
  <si>
    <t>431358</t>
  </si>
  <si>
    <t>Mochila Lenovo Legion 16" Gaming Backpack GB400[@@@]La mochila Gamer Lenovo Legion GB</t>
  </si>
  <si>
    <t>ACLENGX41C86982</t>
  </si>
  <si>
    <t> BACKPACK LEGION ACTIVE GAMING</t>
  </si>
  <si>
    <t>442462</t>
  </si>
  <si>
    <t>Mochila Gaming Lenovo Legion Active[@@@]La mochila Lenovo Legion Active Gaming es un</t>
  </si>
  <si>
    <t>ACLENGX41M53147</t>
  </si>
  <si>
    <t> LENOVO LEGION 16\'' GAMING GB7</t>
  </si>
  <si>
    <t>431367</t>
  </si>
  <si>
    <t>Mochila Lenovo Legion 16" Gaming Backpack GB700[@@@]La mochila Gamer Lenovo Legion de</t>
  </si>
  <si>
    <t>NBACKTE9045GR</t>
  </si>
  <si>
    <t> BACKPACK TEROS CITY III GREY</t>
  </si>
  <si>
    <t>496957</t>
  </si>
  <si>
    <t>Backpack Teros City III TE-9045GR, para Notebooksde hasta 15.6" - Color Gris[@@@]Mant</t>
  </si>
  <si>
    <t>NBACKTE9046BG</t>
  </si>
  <si>
    <t>496961</t>
  </si>
  <si>
    <t>Backpack Teros City III TE-9046BG, para Notebooksde hasta 15.6", Color Beige[@@@]Elev</t>
  </si>
  <si>
    <t>496971</t>
  </si>
  <si>
    <t>496967</t>
  </si>
  <si>
    <t>496972</t>
  </si>
  <si>
    <t>496979</t>
  </si>
  <si>
    <t>496993</t>
  </si>
  <si>
    <t>425713</t>
  </si>
  <si>
    <t>440794</t>
  </si>
  <si>
    <t>501337</t>
  </si>
  <si>
    <t>501336</t>
  </si>
  <si>
    <t>467754</t>
  </si>
  <si>
    <t>467756</t>
  </si>
  <si>
    <t>505253</t>
  </si>
  <si>
    <t>505255</t>
  </si>
  <si>
    <t>505258</t>
  </si>
  <si>
    <t>467887</t>
  </si>
  <si>
    <t>475422</t>
  </si>
  <si>
    <t>477800</t>
  </si>
  <si>
    <t>479943</t>
  </si>
  <si>
    <t>505261</t>
  </si>
  <si>
    <t>515441</t>
  </si>
  <si>
    <t>515437</t>
  </si>
  <si>
    <t>515438</t>
  </si>
  <si>
    <t>511402</t>
  </si>
  <si>
    <t>511401</t>
  </si>
  <si>
    <t>512345</t>
  </si>
  <si>
    <t>511026</t>
  </si>
  <si>
    <t>507138</t>
  </si>
  <si>
    <t>452660</t>
  </si>
  <si>
    <t>MON236CADV2456S</t>
  </si>
  <si>
    <t> MON ADV 24\" FHD 144HZ 1MS CV</t>
  </si>
  <si>
    <t>510080</t>
  </si>
  <si>
    <t>Monitor curvo ADVANCE ADV-2456S, 23.6" FHD VA, 144Hz, 1ms, HDMI, DP, Audio out, Parla</t>
  </si>
  <si>
    <t>503461</t>
  </si>
  <si>
    <t>Monitor curvo Teros TE-2403S, 23.8" FHD VA, 144HZ, 1MS, HDMI, DP, Audio out, Parlante</t>
  </si>
  <si>
    <t>452735</t>
  </si>
  <si>
    <t>501348</t>
  </si>
  <si>
    <t>477569</t>
  </si>
  <si>
    <t>MON27CTE2767G</t>
  </si>
  <si>
    <t> MON TE 27\'' FHD 180HZ 1MS CV</t>
  </si>
  <si>
    <t>458867</t>
  </si>
  <si>
    <t>Monitor curvo gaming TEROS TE-2767G 27" QHD VA 180Hz 1ms HDMI DP AUDIO OUT negro[@@@]</t>
  </si>
  <si>
    <t>502228</t>
  </si>
  <si>
    <t>515675</t>
  </si>
  <si>
    <t>507052</t>
  </si>
  <si>
    <t>482038</t>
  </si>
  <si>
    <t>473846</t>
  </si>
  <si>
    <t>512907</t>
  </si>
  <si>
    <t>473245</t>
  </si>
  <si>
    <t>473845</t>
  </si>
  <si>
    <t>473848</t>
  </si>
  <si>
    <t>509386</t>
  </si>
  <si>
    <t>509388</t>
  </si>
  <si>
    <t>482599</t>
  </si>
  <si>
    <t>472200</t>
  </si>
  <si>
    <t>497957</t>
  </si>
  <si>
    <t>503554</t>
  </si>
  <si>
    <t>467931</t>
  </si>
  <si>
    <t>509392</t>
  </si>
  <si>
    <t>446925</t>
  </si>
  <si>
    <t>498193</t>
  </si>
  <si>
    <t>515218</t>
  </si>
  <si>
    <t>475741</t>
  </si>
  <si>
    <t>497674</t>
  </si>
  <si>
    <t>399567</t>
  </si>
  <si>
    <t>501052</t>
  </si>
  <si>
    <t>467929</t>
  </si>
  <si>
    <t>502021</t>
  </si>
  <si>
    <t>480084</t>
  </si>
  <si>
    <t>Monitor plano ADVANCE ADV-2454S, 23.8" FHD IPS, 144Hz, 1ms, HDMI, DP, Audio out, Parl</t>
  </si>
  <si>
    <t>452646</t>
  </si>
  <si>
    <t>Monitor plano TEROS TE-2415S, 23.8" FHD IPS, 120Hz, 1ms, HDMI, DP, Parlantes[@@@]Mejo</t>
  </si>
  <si>
    <t>474345</t>
  </si>
  <si>
    <t>473207</t>
  </si>
  <si>
    <t>Monitor plano TEROS TE-2417S, 23.8" FHD IPS, 144Hz, 1ms, HDMI, DP, Audio out, Parlant</t>
  </si>
  <si>
    <t>389120</t>
  </si>
  <si>
    <t>MONHP64W34AAABA</t>
  </si>
  <si>
    <t> P24H G5 23.8 FHD HDMI/DP/VGA</t>
  </si>
  <si>
    <t>410999</t>
  </si>
  <si>
    <t>Monitor HP P24h G5, 23.8" FHD (1920 x 1080 a 75Hz) IPS, HDMI / VGA / DP, Color Negro.</t>
  </si>
  <si>
    <t>475804</t>
  </si>
  <si>
    <t>MONHP7N914ATABA</t>
  </si>
  <si>
    <t> MONITOR HP P24V G5 FHD 23.8</t>
  </si>
  <si>
    <t>485170</t>
  </si>
  <si>
    <t>Monitor Plano HP P24v G5, 23.8" FHD/VA/Antirreflectante/HDMI/VGA[@@@]Amplía tu visión</t>
  </si>
  <si>
    <t>479304</t>
  </si>
  <si>
    <t>475812</t>
  </si>
  <si>
    <t>489082</t>
  </si>
  <si>
    <t>479297</t>
  </si>
  <si>
    <t>475720</t>
  </si>
  <si>
    <t>475567</t>
  </si>
  <si>
    <t>399565</t>
  </si>
  <si>
    <t>MONLE63D8MAR3LA</t>
  </si>
  <si>
    <t> MON T24V-30 23.8 CAMERA MIC</t>
  </si>
  <si>
    <t>412662</t>
  </si>
  <si>
    <t>Monitor Lenovo ThinkVision T24v-30, 23.8" 1920x1080 WLED IPS HDMI/DP/VGA Color Raven</t>
  </si>
  <si>
    <t>470488</t>
  </si>
  <si>
    <t>497948</t>
  </si>
  <si>
    <t>492161</t>
  </si>
  <si>
    <t>504934</t>
  </si>
  <si>
    <t>496614</t>
  </si>
  <si>
    <t>503334</t>
  </si>
  <si>
    <t>503332</t>
  </si>
  <si>
    <t>509381</t>
  </si>
  <si>
    <t>509674</t>
  </si>
  <si>
    <t>480089</t>
  </si>
  <si>
    <t>Monitor plano Advance ADV-2755S, 27" FHD IPS, 144Hz, 1ms, HDMI, DP, Audio Out, Parlan</t>
  </si>
  <si>
    <t>473259</t>
  </si>
  <si>
    <t>Monitor plano TEROS TE-2714S, 27" FHD IPS, 144Hz,1ms, HDMI, DP, Audio out, Parlantes[</t>
  </si>
  <si>
    <t>474354</t>
  </si>
  <si>
    <t>508880</t>
  </si>
  <si>
    <t>503545</t>
  </si>
  <si>
    <t>489069</t>
  </si>
  <si>
    <t>496739</t>
  </si>
  <si>
    <t>479115</t>
  </si>
  <si>
    <t>496622</t>
  </si>
  <si>
    <t>501053</t>
  </si>
  <si>
    <t>496604</t>
  </si>
  <si>
    <t>503018</t>
  </si>
  <si>
    <t>503017</t>
  </si>
  <si>
    <t>432398</t>
  </si>
  <si>
    <t>468562</t>
  </si>
  <si>
    <t>489072</t>
  </si>
  <si>
    <t>496632</t>
  </si>
  <si>
    <t>491762</t>
  </si>
  <si>
    <t>401144</t>
  </si>
  <si>
    <t>503335</t>
  </si>
  <si>
    <t>MONLE63B0MAR6-B</t>
  </si>
  <si>
    <t>415214</t>
  </si>
  <si>
    <t>431351</t>
  </si>
  <si>
    <t>513541</t>
  </si>
  <si>
    <t>257473</t>
  </si>
  <si>
    <t>483816</t>
  </si>
  <si>
    <t>444863</t>
  </si>
  <si>
    <t>505153</t>
  </si>
  <si>
    <t>505152</t>
  </si>
  <si>
    <t>505151</t>
  </si>
  <si>
    <t>434906</t>
  </si>
  <si>
    <t>455916</t>
  </si>
  <si>
    <t>492365</t>
  </si>
  <si>
    <t>DSOPSTEOPSI743</t>
  </si>
  <si>
    <t> OPS I7-13620H 16+512GB UBUNTU</t>
  </si>
  <si>
    <t>492294</t>
  </si>
  <si>
    <t>Módulo de computadora (OPS) TEOPSI743 I7 13620H 16GB DDR4 SSD512GB 8K 30Hz + TPM Wi-F</t>
  </si>
  <si>
    <t>477485</t>
  </si>
  <si>
    <t>481166</t>
  </si>
  <si>
    <t>219335</t>
  </si>
  <si>
    <t>ACC4Y50X88823</t>
  </si>
  <si>
    <t> BLUETOOTH SILENT MOUSE W/O BAT</t>
  </si>
  <si>
    <t>507194</t>
  </si>
  <si>
    <t>ACCGX30K85315</t>
  </si>
  <si>
    <t> LEN 300 WRCOM M SINBAT</t>
  </si>
  <si>
    <t>470381</t>
  </si>
  <si>
    <t>Mouse Lenovo 300 compacto, inalámbrico (2.4GHz a través de nano receptor USB-A), Negr</t>
  </si>
  <si>
    <t>ACCGY50Z18991</t>
  </si>
  <si>
    <t> MOUSE LEN 530 WIRELESS CHERRY</t>
  </si>
  <si>
    <t>419878</t>
  </si>
  <si>
    <t>Mouse Lenovo 530 Inalambrico/Diseño Ambidextro/Sensor Optico/1200 DPI/Color Rojo Cere</t>
  </si>
  <si>
    <t>ACCGY50Z49090</t>
  </si>
  <si>
    <t> MOUSE LEN 530 WIRELESS GRAPHIT</t>
  </si>
  <si>
    <t>419879</t>
  </si>
  <si>
    <t>Mouse Lenovo 530 Inalambrico/Diseño Ambidextro/Sensor Optico/1200 DPI/Color Grafito.[</t>
  </si>
  <si>
    <t>ACLEN4Y51D20849</t>
  </si>
  <si>
    <t> MS THINK USB-C ESSENTIAL WIREL</t>
  </si>
  <si>
    <t>401355</t>
  </si>
  <si>
    <t>Mouse Lenovo Thinkpad Essential Inalambrico con Receptor USB Tipo-C, Color Negro[@@@]</t>
  </si>
  <si>
    <t>MSGY51S61909</t>
  </si>
  <si>
    <t> LEN 350 BT SILENT MOUSE GREY</t>
  </si>
  <si>
    <t>506722</t>
  </si>
  <si>
    <t>Mouse Lenovo 350 silencioso inalambrico (Dual Bluetooth 5.3) Color gris nube, sin bat</t>
  </si>
  <si>
    <t>MSLENGY50R91292</t>
  </si>
  <si>
    <t> MS LEN 400 WIRELESS MOUSE</t>
  </si>
  <si>
    <t>352962</t>
  </si>
  <si>
    <t>Mouse Inalambrico Lenovo 400, Conexion Inalambrica via Receptor Nano USB, Color negro</t>
  </si>
  <si>
    <t>MSLENGY50Z18985</t>
  </si>
  <si>
    <t> MOUSE LENOVO 530 WIRELESS GREY</t>
  </si>
  <si>
    <t>442460</t>
  </si>
  <si>
    <t>Mouse Lenovo 530, Inalambrico 2.4GHz (Receptor Nano USB), Ambidiestro, Sensor optico[</t>
  </si>
  <si>
    <t>MSLENGY50Z18987</t>
  </si>
  <si>
    <t> MOUSE LENOVO 530 WIRELESS BLUE</t>
  </si>
  <si>
    <t>455846</t>
  </si>
  <si>
    <t>Mouse LENOVO 530, Interfaz sensor óptico, 1200DPI, 3 botones, Color abismo azul[@@@]R</t>
  </si>
  <si>
    <t>MSLENGY51L15687</t>
  </si>
  <si>
    <t> MOUSE LENOVO 300 WIRELES ARTIC</t>
  </si>
  <si>
    <t>431356</t>
  </si>
  <si>
    <t>Mouse Inalambrico Compacto Lenovo 300, Color GrisArtico.[@@@]Conectividad: Receptor I</t>
  </si>
  <si>
    <t>MSLENGY51L15688</t>
  </si>
  <si>
    <t> MOUSE LENOVO 300 WIRELES BLUE</t>
  </si>
  <si>
    <t>431357</t>
  </si>
  <si>
    <t>Mouse Inalambrico Compacto Lenovo 300, Color AzulEscarcha.[@@@]Conectividad: Receptor</t>
  </si>
  <si>
    <t>MSLENGY51P14335</t>
  </si>
  <si>
    <t> MOUSE LENOVO YOGA PRO</t>
  </si>
  <si>
    <t>455854</t>
  </si>
  <si>
    <t>Mouse LENOVO Yoga Pro, Interfaz sensor óptico azul inalámbrico, 6 botones, verde azul</t>
  </si>
  <si>
    <t>447573</t>
  </si>
  <si>
    <t>473584</t>
  </si>
  <si>
    <t>473585</t>
  </si>
  <si>
    <t>479844</t>
  </si>
  <si>
    <t>476854</t>
  </si>
  <si>
    <t>479831</t>
  </si>
  <si>
    <t>479833</t>
  </si>
  <si>
    <t>479832</t>
  </si>
  <si>
    <t>476853</t>
  </si>
  <si>
    <t>507140</t>
  </si>
  <si>
    <t>473432</t>
  </si>
  <si>
    <t>476847</t>
  </si>
  <si>
    <t>476848</t>
  </si>
  <si>
    <t>512804</t>
  </si>
  <si>
    <t>507166</t>
  </si>
  <si>
    <t>512784</t>
  </si>
  <si>
    <t>476849</t>
  </si>
  <si>
    <t>476850</t>
  </si>
  <si>
    <t>MSGY51U28359</t>
  </si>
  <si>
    <t> LEN LEGION M220 WIRELESS RGB</t>
  </si>
  <si>
    <t>506730</t>
  </si>
  <si>
    <t>Mouse para juegos Lenovo Legion M220, inalámbrico, RGB, Tri-Mode (Bluetooth, 2.4G, US</t>
  </si>
  <si>
    <t>MSLENGY51H47354</t>
  </si>
  <si>
    <t> LEN LEGION M600S WIRELESS</t>
  </si>
  <si>
    <t>455857</t>
  </si>
  <si>
    <t>Mouse gamer Lenovo Legion M600s, 6 botones, 19.000 DPI, Optical Pixart 3370[@@@]</t>
  </si>
  <si>
    <t>MSLENGY51M74265</t>
  </si>
  <si>
    <t> MOUSE LENOVO M210 RGB GAMING</t>
  </si>
  <si>
    <t>442459</t>
  </si>
  <si>
    <t>Mouse Lenovo M210 RGB Gaming, Interfaz USB, Sensor Optico PAW3333 de hasta 8000 DPI[@</t>
  </si>
  <si>
    <t>ACLEN4Y51D20850</t>
  </si>
  <si>
    <t> USB-C WIRED COMPACT MOUSE</t>
  </si>
  <si>
    <t>469029</t>
  </si>
  <si>
    <t>Mouse Compacto Lenovo Thinkpad, Interfaz USB-C[@@@]Tanto si tienes la ultrabook más r</t>
  </si>
  <si>
    <t>453370</t>
  </si>
  <si>
    <t>467240</t>
  </si>
  <si>
    <t>455724</t>
  </si>
  <si>
    <t>455723</t>
  </si>
  <si>
    <t>455722</t>
  </si>
  <si>
    <t>MSGX30M39704</t>
  </si>
  <si>
    <t> LENOVO 300 USB MOUSE</t>
  </si>
  <si>
    <t>506708</t>
  </si>
  <si>
    <t>Mouse Lenovo 300, ergonomico, tamaño completo, optico, interfaz USB, color negro.[@@@</t>
  </si>
  <si>
    <t>458324</t>
  </si>
  <si>
    <t>458321</t>
  </si>
  <si>
    <t>458325</t>
  </si>
  <si>
    <t>458322</t>
  </si>
  <si>
    <t>458031</t>
  </si>
  <si>
    <t>458319</t>
  </si>
  <si>
    <t>476382</t>
  </si>
  <si>
    <t>476383</t>
  </si>
  <si>
    <t>351588</t>
  </si>
  <si>
    <t>351591</t>
  </si>
  <si>
    <t>392101</t>
  </si>
  <si>
    <t>392100</t>
  </si>
  <si>
    <t>288486</t>
  </si>
  <si>
    <t>214767</t>
  </si>
  <si>
    <t>281721</t>
  </si>
  <si>
    <t>281609</t>
  </si>
  <si>
    <t>203653</t>
  </si>
  <si>
    <t>279923</t>
  </si>
  <si>
    <t>101442</t>
  </si>
  <si>
    <t>118765</t>
  </si>
  <si>
    <t>108218</t>
  </si>
  <si>
    <t>516920</t>
  </si>
  <si>
    <t>383636</t>
  </si>
  <si>
    <t>49993</t>
  </si>
  <si>
    <t>391256</t>
  </si>
  <si>
    <t>467626</t>
  </si>
  <si>
    <t>471302</t>
  </si>
  <si>
    <t>467624</t>
  </si>
  <si>
    <t>474220</t>
  </si>
  <si>
    <t>330628</t>
  </si>
  <si>
    <t>219911</t>
  </si>
  <si>
    <t>334796</t>
  </si>
  <si>
    <t>333491</t>
  </si>
  <si>
    <t>369132</t>
  </si>
  <si>
    <t>505027</t>
  </si>
  <si>
    <t>505028</t>
  </si>
  <si>
    <t>452336</t>
  </si>
  <si>
    <t>515346</t>
  </si>
  <si>
    <t>422659</t>
  </si>
  <si>
    <t>488151</t>
  </si>
  <si>
    <t>472201</t>
  </si>
  <si>
    <t>NBAS90NX09D1M0L</t>
  </si>
  <si>
    <t> NB AS 15.6 PM1/R5/16/512/FREE</t>
  </si>
  <si>
    <t>509867</t>
  </si>
  <si>
    <t>418120</t>
  </si>
  <si>
    <t>NBAS90NX09D1M0C</t>
  </si>
  <si>
    <t> NB AS 15.6 PM1/R7/16/512/FREE</t>
  </si>
  <si>
    <t>509866</t>
  </si>
  <si>
    <t>503498</t>
  </si>
  <si>
    <t>Notebook Asus Zenbook 14, LED 14" WUXGA OLED, Ryzen AI 7 445 2.0 / 4.6GHz, 16GB LPDDR</t>
  </si>
  <si>
    <t>NBLEN82YY002YLM</t>
  </si>
  <si>
    <t> NB LEN V15 R7-7730U/16/512/FRE</t>
  </si>
  <si>
    <t>451092</t>
  </si>
  <si>
    <t>Notebook Lenovo V15 G4 ABP, 15.6" FHD TN, AMD Ryzen 7 7730U 2.0/4.5GHz, 16GB DDR4-320</t>
  </si>
  <si>
    <t>155882</t>
  </si>
  <si>
    <t>515094</t>
  </si>
  <si>
    <t>480426</t>
  </si>
  <si>
    <t>501189</t>
  </si>
  <si>
    <t>486728</t>
  </si>
  <si>
    <t>509771</t>
  </si>
  <si>
    <t>NBASX1504BQ4164</t>
  </si>
  <si>
    <t> NB AS 15.6 C5-120U 08 512 FREE</t>
  </si>
  <si>
    <t>511758</t>
  </si>
  <si>
    <t>510235</t>
  </si>
  <si>
    <t>NBLE83HFS03B-16</t>
  </si>
  <si>
    <t> NB V15 C5210H/16/512/W11_EDU</t>
  </si>
  <si>
    <t>518103</t>
  </si>
  <si>
    <t>470602</t>
  </si>
  <si>
    <t>491854</t>
  </si>
  <si>
    <t>516681</t>
  </si>
  <si>
    <t>503224</t>
  </si>
  <si>
    <t>509902</t>
  </si>
  <si>
    <t>Notebook HP 250R G10, 15.6" LED Backlit FHD SVA, Core 7 150U hasta 5.4GHz, 16GB DDR5-</t>
  </si>
  <si>
    <t>470603</t>
  </si>
  <si>
    <t>NBASX1605VMB236</t>
  </si>
  <si>
    <t> NB AS 16 C9-270H 16G 512 FREE</t>
  </si>
  <si>
    <t>511735</t>
  </si>
  <si>
    <t>487667</t>
  </si>
  <si>
    <t>Notebook Lenovo V15 G5 IRL, 15.6" FHD TN, Core i3-1315U de hasta 4.5GHz, 8GB DDR5-520</t>
  </si>
  <si>
    <t>487647</t>
  </si>
  <si>
    <t>474303</t>
  </si>
  <si>
    <t>479638</t>
  </si>
  <si>
    <t>487693</t>
  </si>
  <si>
    <t>487688</t>
  </si>
  <si>
    <t>495590</t>
  </si>
  <si>
    <t>487687</t>
  </si>
  <si>
    <t>478497</t>
  </si>
  <si>
    <t>Notebook Lenovo IDEAPAD SLIM 3 15IRH10, 15.3" WUXGA IPS, Core i7 13620H hasta 4.9GHz,</t>
  </si>
  <si>
    <t>NBLEN83K1016ELM</t>
  </si>
  <si>
    <t>512181</t>
  </si>
  <si>
    <t>NB Lenovo IdeaPad Slim 3 15IRH10, 15.3" WUXGA IPS, Core i7 13620H hasta 4.9GHz, 16GB</t>
  </si>
  <si>
    <t>NBLEN83K101FFLM</t>
  </si>
  <si>
    <t> NB LEN 15 I7-13 16 512 FREE</t>
  </si>
  <si>
    <t>512208</t>
  </si>
  <si>
    <t>NBASX1607110W</t>
  </si>
  <si>
    <t> NB AS 16 U5-2H 16 512 W11</t>
  </si>
  <si>
    <t>509475</t>
  </si>
  <si>
    <t>496535</t>
  </si>
  <si>
    <t>496518</t>
  </si>
  <si>
    <t>496525</t>
  </si>
  <si>
    <t>511149</t>
  </si>
  <si>
    <t>509755</t>
  </si>
  <si>
    <t>509747</t>
  </si>
  <si>
    <t>448463</t>
  </si>
  <si>
    <t>448458</t>
  </si>
  <si>
    <t>463716</t>
  </si>
  <si>
    <t>500113</t>
  </si>
  <si>
    <t>496670</t>
  </si>
  <si>
    <t>492207</t>
  </si>
  <si>
    <t>492123</t>
  </si>
  <si>
    <t>496542</t>
  </si>
  <si>
    <t>488226</t>
  </si>
  <si>
    <t>501000</t>
  </si>
  <si>
    <t>488230</t>
  </si>
  <si>
    <t>NBLEN21S7000YLM</t>
  </si>
  <si>
    <t> NB LEN L14/ULT7_255U/16/1/W11P</t>
  </si>
  <si>
    <t>487924</t>
  </si>
  <si>
    <t>504828</t>
  </si>
  <si>
    <t>504829</t>
  </si>
  <si>
    <t>487848</t>
  </si>
  <si>
    <t>498357</t>
  </si>
  <si>
    <t>NBLEN21SY000WLM</t>
  </si>
  <si>
    <t> NB LE E14/U7-255H/16G/1T/W11P</t>
  </si>
  <si>
    <t>512167</t>
  </si>
  <si>
    <t>NB Lenovo ThinkPad E14 Gen 7, 14" WUXGA IPS, CoreUltra 7 255H hasta 5.1GHz 16GB DDR5-</t>
  </si>
  <si>
    <t>NBLEN83HM003ELM</t>
  </si>
  <si>
    <t> NB LEN 15 U7-258V 32 1T W11</t>
  </si>
  <si>
    <t>479637</t>
  </si>
  <si>
    <t>Notebook Lenovo Yoga Slim 7 15ILL9, 15.3" 2.8K WQXGA+ IPS, Core Ultra 7 258V hasta 4.</t>
  </si>
  <si>
    <t>461900</t>
  </si>
  <si>
    <t>473530</t>
  </si>
  <si>
    <t>481359</t>
  </si>
  <si>
    <t>481358</t>
  </si>
  <si>
    <t>469507</t>
  </si>
  <si>
    <t>510377</t>
  </si>
  <si>
    <t>482910</t>
  </si>
  <si>
    <t>NBHPD74JMLA</t>
  </si>
  <si>
    <t> NBG VIC 15 I5-13 8 512 V6G FRE</t>
  </si>
  <si>
    <t>516328</t>
  </si>
  <si>
    <t>434953</t>
  </si>
  <si>
    <t>490370</t>
  </si>
  <si>
    <t>NBASFX608RV314</t>
  </si>
  <si>
    <t> NBG TUF 16 I7-14 16 512 V8G FR</t>
  </si>
  <si>
    <t>511701</t>
  </si>
  <si>
    <t>NB ASUS TUF FX608JHR-RV314 F16 16" WUXGA IPS Corei7-14650HX 5.2GHz/16GB DDR5/RTX 5050</t>
  </si>
  <si>
    <t>NBLEN83JE00Q8LM</t>
  </si>
  <si>
    <t> NBG LOQ 15 I7-13 16 512 V8G FR</t>
  </si>
  <si>
    <t>490371</t>
  </si>
  <si>
    <t>Notebook Gaming Lenovo LOQ 15IRX10, 15.6" FHD IPS, Core i7-13700HX 2.1 /5.0GHz, 16GB</t>
  </si>
  <si>
    <t>492588</t>
  </si>
  <si>
    <t>NB Gaming Lenovo Legion 5 15IRX10, 15.1" WQXGA OLED, Core i7-14700HX 2.1/5.5GHz, 16GB</t>
  </si>
  <si>
    <t>NBLEN83LY00SRLM</t>
  </si>
  <si>
    <t> NBG LEG 15 I7-13 16 1T V8G FRE</t>
  </si>
  <si>
    <t>510063</t>
  </si>
  <si>
    <t>NB Gaming Lenovo Legion 5 15IRX10 15.3" WUXGA IPS, Core i7-13650HX hasta 4.9GHz, 16GB</t>
  </si>
  <si>
    <t>508967</t>
  </si>
  <si>
    <t>508966</t>
  </si>
  <si>
    <t>486056</t>
  </si>
  <si>
    <t>NBASG615L396W</t>
  </si>
  <si>
    <t> NBG ROG 16 I9-14 16 512 V8G W1</t>
  </si>
  <si>
    <t>510055</t>
  </si>
  <si>
    <t>490374</t>
  </si>
  <si>
    <t>NBHPBT4F6LA1</t>
  </si>
  <si>
    <t> NBG VIC 15 R7-7 8 512 V6G FREE</t>
  </si>
  <si>
    <t>515065</t>
  </si>
  <si>
    <t>Notebook Gaming HP Victus 15-FB3019LA, 15.6" FHD IPS, AMD Ryzen 7 7445HS Hasta 4.7GHZ</t>
  </si>
  <si>
    <t>503328</t>
  </si>
  <si>
    <t>NBLEN83JG007VLM</t>
  </si>
  <si>
    <t> NBG LOQ 15 R7-2 16 512 V8G FRE</t>
  </si>
  <si>
    <t>503243</t>
  </si>
  <si>
    <t>NB Gaming Lenovo LOQ 15AHP10, 15.6" FHD IPS, AMD Ryzen 7 250 3.3/5.1GHz, 16GB DDR5-56</t>
  </si>
  <si>
    <t>NBLEN83JG00B1LM</t>
  </si>
  <si>
    <t> NBG LOQ 15 R7-2 16 512 V8G W11</t>
  </si>
  <si>
    <t>502816</t>
  </si>
  <si>
    <t>Notebook Gaming Lenovo LOQ 15AHP10 15.6" FHD IPS,AMD Ryzen 7 250 3.3/5.1GHz, 16GB DDR</t>
  </si>
  <si>
    <t>NBLEN83S0004HLM</t>
  </si>
  <si>
    <t> NBG LOQ 15 R7-7 16 512 V6G FRE</t>
  </si>
  <si>
    <t>503245</t>
  </si>
  <si>
    <t>NB Lenovo LOQ 15ARP10E, 15.6" FHD IPS, AMD Ryzen 7 7735HS 3.2 / 4.75GHz, 16GB DDR5-48</t>
  </si>
  <si>
    <t>503329</t>
  </si>
  <si>
    <t>490381</t>
  </si>
  <si>
    <t>491151</t>
  </si>
  <si>
    <t>509758</t>
  </si>
  <si>
    <t>477747</t>
  </si>
  <si>
    <t>452973</t>
  </si>
  <si>
    <t>NBWLE21QW000ALM</t>
  </si>
  <si>
    <t> NB WS P16S/U7-255H/16/1T/V6/WP</t>
  </si>
  <si>
    <t>512247</t>
  </si>
  <si>
    <t>501040</t>
  </si>
  <si>
    <t>ACCGXH0W29068</t>
  </si>
  <si>
    <t> LEGION GAMING MOUSE PAD XL</t>
  </si>
  <si>
    <t>419881</t>
  </si>
  <si>
    <t>Mouse &amp; Teclado Pad Lenovo Legion Gaming XL[@@@]Para los jugadores que exigen un cont</t>
  </si>
  <si>
    <t>295812</t>
  </si>
  <si>
    <t>ACCLE4X20M26268</t>
  </si>
  <si>
    <t> POWER ADAPTER-AC POWER ADAPTER</t>
  </si>
  <si>
    <t>387463</t>
  </si>
  <si>
    <t>Adaptador de poder (CA) Lenovo 65W estándar,(USB Tipo-C), 5V/2A, 9V/2A, 15V/3A o 20V/</t>
  </si>
  <si>
    <t>ACCLE4X20V24674</t>
  </si>
  <si>
    <t> POWER65W SLIM AC ADAPTER USB-C</t>
  </si>
  <si>
    <t>479145</t>
  </si>
  <si>
    <t>Adaptador de Corriente delgado AC ThinkPad LENOVOde 65W, USB-C[@@@]Descubre el adapta</t>
  </si>
  <si>
    <t>219301</t>
  </si>
  <si>
    <t>394332</t>
  </si>
  <si>
    <t>ACLEN40AY0090US</t>
  </si>
  <si>
    <t> THINKPAD UNIVERSAL USB-C DOCK</t>
  </si>
  <si>
    <t>401367</t>
  </si>
  <si>
    <t>ThinkPad Universal USB-C Dock (Base Universal Multi-Puertos USB-C)[@@@]La forma más i</t>
  </si>
  <si>
    <t>ACLEN4X30M56888</t>
  </si>
  <si>
    <t> MOUSE ESSENTAIL WIRELESS LENOV</t>
  </si>
  <si>
    <t>445499</t>
  </si>
  <si>
    <t>Mouse Lenovo Thinkpad, Inalambrico (Con receptor USB), Ambidiestro, Sensor Optico, Ne</t>
  </si>
  <si>
    <t>ACLEN4XE1F30276</t>
  </si>
  <si>
    <t> NANOSAVER ESSENTIAL CABLE LOCK</t>
  </si>
  <si>
    <t>439697</t>
  </si>
  <si>
    <t>Lenovo NanoSaver Essential Cable Lock (Cable de Seguridad)[@@@]Lenovo Security Cable</t>
  </si>
  <si>
    <t>ACLEN4Y50R20863</t>
  </si>
  <si>
    <t> LENOVO ESSENTIAL USB MOUSE</t>
  </si>
  <si>
    <t>295400</t>
  </si>
  <si>
    <t>Mouse óptico Lenovo Essential, 1600 dpi, USB, Negro, presentación en caja.[@@@]</t>
  </si>
  <si>
    <t>88688</t>
  </si>
  <si>
    <t>142717</t>
  </si>
  <si>
    <t>29560</t>
  </si>
  <si>
    <t>ACC4X90Q59480</t>
  </si>
  <si>
    <t> LENOVO USB-C TO USB-C CABLE 2M</t>
  </si>
  <si>
    <t>507189</t>
  </si>
  <si>
    <t>ACCGXH1C97869</t>
  </si>
  <si>
    <t> LEGION GM CONTROL MOUSEPAD XXL</t>
  </si>
  <si>
    <t>488535</t>
  </si>
  <si>
    <t>Mouse Pad Lenovo Legion Gaming Control XXL[@@@]Laserie de alfombrillas para ratón Leg</t>
  </si>
  <si>
    <t>492972</t>
  </si>
  <si>
    <t>493094</t>
  </si>
  <si>
    <t>ACCTE7020N</t>
  </si>
  <si>
    <t> COOLER PARA NB TE-7020N</t>
  </si>
  <si>
    <t>354199</t>
  </si>
  <si>
    <t>Cooler TEROS TE-7020N, compatible con notebooks de hasta 15.6", 2 fan de 12cm[@@@]Coo</t>
  </si>
  <si>
    <t>368984</t>
  </si>
  <si>
    <t>ACCTE7132N</t>
  </si>
  <si>
    <t> COOLER P NB TEROS TE-7132N</t>
  </si>
  <si>
    <t>418226</t>
  </si>
  <si>
    <t>Cooler TEROS TE-7132N, compatible con notebooks de hasta 15.6", 1 fan de 11 cm[@@@]Op</t>
  </si>
  <si>
    <t>462375</t>
  </si>
  <si>
    <t>325724</t>
  </si>
  <si>
    <t>325726</t>
  </si>
  <si>
    <t>474757</t>
  </si>
  <si>
    <t>507051</t>
  </si>
  <si>
    <t>ACCADVSL1501BG</t>
  </si>
  <si>
    <t> FUNDA PARA LAPTOP COLOR BEIGE</t>
  </si>
  <si>
    <t>508464</t>
  </si>
  <si>
    <t>ACCADVSL1501GRY</t>
  </si>
  <si>
    <t> FUNDA PARA LAPTOP COLOR GREY</t>
  </si>
  <si>
    <t>508463</t>
  </si>
  <si>
    <t>ACCGX40Q17228</t>
  </si>
  <si>
    <t> LEN BACKPACK 15.6 B210 GREEN</t>
  </si>
  <si>
    <t>470376</t>
  </si>
  <si>
    <t>Mochila Casual Lenovo para Laptop de hasta 15.6” B210, Color Verde[@@@]Dale un toque</t>
  </si>
  <si>
    <t>ACCLE4X40T84058</t>
  </si>
  <si>
    <t> ACC LEN BACKPACKS</t>
  </si>
  <si>
    <t>387464</t>
  </si>
  <si>
    <t>Mochila Lenovo B210, Casual, para Equipos Portátiles de hasta 39.6 cm (15.6") Color G</t>
  </si>
  <si>
    <t>ACCLEN4X40T8405</t>
  </si>
  <si>
    <t> ACC LEN BACKPACKS B210 BK</t>
  </si>
  <si>
    <t>395264</t>
  </si>
  <si>
    <t>Mochila Lenovo Casual B210 de 15.6", Color Negro[@@@]</t>
  </si>
  <si>
    <t>ACLEN4X41A30364</t>
  </si>
  <si>
    <t> THINK ESSENTIAL PLUS15.6 BACKP</t>
  </si>
  <si>
    <t>401371</t>
  </si>
  <si>
    <t>Mochila Lenovo Thinkpad Essential Plus de (15.6" / 39.6 cm), Color (Negro / Rojo)[@@@</t>
  </si>
  <si>
    <t> THINK ESSENTIAL16 BACKPACK ECO</t>
  </si>
  <si>
    <t>401370</t>
  </si>
  <si>
    <t>Mochila Lenovo Thinkpad Essential de (16" / 40.6cm), Color (Negro / Rojo) (ECO)[@@@]</t>
  </si>
  <si>
    <t>ACLEN4X41M69794</t>
  </si>
  <si>
    <t> PROFESSIONAL 16-INCH BACKPACK</t>
  </si>
  <si>
    <t>469056</t>
  </si>
  <si>
    <t>Mochila Lenovo Thinkpad Professional 16" Gen 2[@@@]Adopta estilo y sostenibilidad con</t>
  </si>
  <si>
    <t>504677</t>
  </si>
  <si>
    <t>504470</t>
  </si>
  <si>
    <t>511027</t>
  </si>
  <si>
    <t>455911</t>
  </si>
  <si>
    <t>455912</t>
  </si>
  <si>
    <t>505029</t>
  </si>
  <si>
    <t>505030</t>
  </si>
  <si>
    <t>492293</t>
  </si>
  <si>
    <t>48585</t>
  </si>
  <si>
    <t>355430</t>
  </si>
  <si>
    <t>355431</t>
  </si>
  <si>
    <t>151672</t>
  </si>
  <si>
    <t>362287</t>
  </si>
  <si>
    <t>355432</t>
  </si>
  <si>
    <t>325411</t>
  </si>
  <si>
    <t>83810</t>
  </si>
  <si>
    <t>342976</t>
  </si>
  <si>
    <t>374082</t>
  </si>
  <si>
    <t>489872</t>
  </si>
  <si>
    <t>500178</t>
  </si>
  <si>
    <t>254900</t>
  </si>
  <si>
    <t>228594</t>
  </si>
  <si>
    <t>180936</t>
  </si>
  <si>
    <t>228593</t>
  </si>
  <si>
    <t>181078</t>
  </si>
  <si>
    <t>268255</t>
  </si>
  <si>
    <t>500910</t>
  </si>
  <si>
    <t>ADPUSBDLKAN3U</t>
  </si>
  <si>
    <t> USB WIFI 4 - N300 300 MBPS 2.4</t>
  </si>
  <si>
    <t>488868</t>
  </si>
  <si>
    <t>Adaptador D-Link USB N300 WI-FI 4 AN3U[@@@]Mejoratu conexión con el adaptador USB D-L</t>
  </si>
  <si>
    <t>488891</t>
  </si>
  <si>
    <t>ADUSBDLKAX18U</t>
  </si>
  <si>
    <t> USBWIFI 6 - AX1800 DUAL-BY 574</t>
  </si>
  <si>
    <t>488895</t>
  </si>
  <si>
    <t>Adaptador USB D-Link Wi-Fi 6 AX1800 AX18U[@@@]El D-Link AX18U es un adaptador USB Wi-</t>
  </si>
  <si>
    <t>500870</t>
  </si>
  <si>
    <t>NWDLDAP2610</t>
  </si>
  <si>
    <t> ACCES POINT DAP-2610</t>
  </si>
  <si>
    <t>309282</t>
  </si>
  <si>
    <t>Access Point D-Link AC1300, Dual Band 2.4 GHz / 5GHz, 1300 Mbps, 802.11 1a/b/g/n/ac,</t>
  </si>
  <si>
    <t>364168</t>
  </si>
  <si>
    <t>388751</t>
  </si>
  <si>
    <t>APDLKDAPX3060OU</t>
  </si>
  <si>
    <t> AP WIFI AX3000 OUTDOOR NUCLIA</t>
  </si>
  <si>
    <t>516154</t>
  </si>
  <si>
    <t>459995</t>
  </si>
  <si>
    <t>500180</t>
  </si>
  <si>
    <t>500192</t>
  </si>
  <si>
    <t>501065</t>
  </si>
  <si>
    <t>476990</t>
  </si>
  <si>
    <t>500866</t>
  </si>
  <si>
    <t>501064</t>
  </si>
  <si>
    <t>348521</t>
  </si>
  <si>
    <t>468012</t>
  </si>
  <si>
    <t>503839</t>
  </si>
  <si>
    <t>455221</t>
  </si>
  <si>
    <t>401297</t>
  </si>
  <si>
    <t>452732</t>
  </si>
  <si>
    <t>401296</t>
  </si>
  <si>
    <t>442535</t>
  </si>
  <si>
    <t>442536</t>
  </si>
  <si>
    <t>442537</t>
  </si>
  <si>
    <t>NWDLRTM32</t>
  </si>
  <si>
    <t> SMART MESH ROUTER AX3200 WIFI6</t>
  </si>
  <si>
    <t>468006</t>
  </si>
  <si>
    <t>Router D-Link AX3200 Mesh M32 / 2 Gigabit Ethernet LAN / 2 Gigabit Ethernet WAN, 2.4/</t>
  </si>
  <si>
    <t>NWDLRTM322</t>
  </si>
  <si>
    <t> KIT WIFI6 MESHROUTERAX3200 2PA</t>
  </si>
  <si>
    <t>480297</t>
  </si>
  <si>
    <t>Router D-Link Mesh Eagle Pro AI AX3200 / M32-2 / 2.4/5GHz / Pack 2 Unids.[@@@]Conecta</t>
  </si>
  <si>
    <t>468002</t>
  </si>
  <si>
    <t>483999</t>
  </si>
  <si>
    <t>483989</t>
  </si>
  <si>
    <t>499980</t>
  </si>
  <si>
    <t>RTDLKDWR-932W</t>
  </si>
  <si>
    <t> 4GLTE MOBILE WIFI HOTSPOT 150M</t>
  </si>
  <si>
    <t>516191</t>
  </si>
  <si>
    <t>RTDLKG403C</t>
  </si>
  <si>
    <t> SMART ROUTER 4G - N300</t>
  </si>
  <si>
    <t>497796</t>
  </si>
  <si>
    <t>Router D-Link G403C 4G LTE con Wi-Fi 4 a 300 Mbps[@@@]El G403C es una solución ideal</t>
  </si>
  <si>
    <t>497797</t>
  </si>
  <si>
    <t>127787</t>
  </si>
  <si>
    <t>424592</t>
  </si>
  <si>
    <t>ACCDLDUB1312</t>
  </si>
  <si>
    <t> ADAPTADOR USB 3.0 A RJ-45</t>
  </si>
  <si>
    <t>372293</t>
  </si>
  <si>
    <t>Adaptador de red con un puerto USB 3.0 y Puerto RJ-45 10/100/1000 Mbps Gigabit Ethern</t>
  </si>
  <si>
    <t>488896</t>
  </si>
  <si>
    <t>364380</t>
  </si>
  <si>
    <t>326574</t>
  </si>
  <si>
    <t>505994</t>
  </si>
  <si>
    <t>500853</t>
  </si>
  <si>
    <t>501423</t>
  </si>
  <si>
    <t>234625</t>
  </si>
  <si>
    <t>97111</t>
  </si>
  <si>
    <t>324772</t>
  </si>
  <si>
    <t>283773</t>
  </si>
  <si>
    <t>323286</t>
  </si>
  <si>
    <t>242607</t>
  </si>
  <si>
    <t>281726</t>
  </si>
  <si>
    <t>98058</t>
  </si>
  <si>
    <t>63505</t>
  </si>
  <si>
    <t>452119</t>
  </si>
  <si>
    <t>157000</t>
  </si>
  <si>
    <t>491976</t>
  </si>
  <si>
    <t>41639</t>
  </si>
  <si>
    <t>500942</t>
  </si>
  <si>
    <t>500943</t>
  </si>
  <si>
    <t>206720</t>
  </si>
  <si>
    <t>197240</t>
  </si>
  <si>
    <t>221406</t>
  </si>
  <si>
    <t>206719</t>
  </si>
  <si>
    <t>172294</t>
  </si>
  <si>
    <t>173000</t>
  </si>
  <si>
    <t>172298</t>
  </si>
  <si>
    <t>259298</t>
  </si>
  <si>
    <t>259299</t>
  </si>
  <si>
    <t>477936</t>
  </si>
  <si>
    <t>477939</t>
  </si>
  <si>
    <t>490744</t>
  </si>
  <si>
    <t>NWDGS121026</t>
  </si>
  <si>
    <t> SWITCH DGS-1210-26</t>
  </si>
  <si>
    <t>252015</t>
  </si>
  <si>
    <t>Switch D-Link DGS-1210 Series, Capa L2/L3, 24 RJ-45 GbE, 2 puertos SFP 1GbE.[@@@]Capa</t>
  </si>
  <si>
    <t>NWDGS121028MP</t>
  </si>
  <si>
    <t> 24 10/100/1000BASE-T POE + 4 1</t>
  </si>
  <si>
    <t>277695</t>
  </si>
  <si>
    <t>Switch D-Link DGS-1210-28MP, Capa L2, 24 RJ-45 GbE, PoE, 4 puertos GbE/SFP.[@@@]Capac</t>
  </si>
  <si>
    <t>NWDGS121052MP</t>
  </si>
  <si>
    <t> DLINK 52-PTS GIGABIT/4-PTS SFP</t>
  </si>
  <si>
    <t>226113</t>
  </si>
  <si>
    <t>Switch D-Link DGS-1210-52MP, 48 LAN GbE PoE, 4 SFP, Capa 2 / 3.[@@@]Capacidad de fabr</t>
  </si>
  <si>
    <t>NWDLDGS110008P</t>
  </si>
  <si>
    <t> 8 PORTS GIGABIT POE SMART</t>
  </si>
  <si>
    <t>124133</t>
  </si>
  <si>
    <t>Switch D-Link DGS-1100-08P, Capa 2, 8 puertos RJ-45 LAN GbE, PoE, Auto MDI/MDIX.[@@@]</t>
  </si>
  <si>
    <t>NWDLDGS110008V2</t>
  </si>
  <si>
    <t> 8-PORTS GIGABIT EASY SMART</t>
  </si>
  <si>
    <t>399539</t>
  </si>
  <si>
    <t>NWDLDGS121028</t>
  </si>
  <si>
    <t>93508</t>
  </si>
  <si>
    <t>Switch D-LINK DGS-1210-28 Smart Web Switch, 24 puertos 10/100/1000, 4 puertos Gigabit</t>
  </si>
  <si>
    <t>NWDLDGS121028P</t>
  </si>
  <si>
    <t> 28-P GIGA 4-P SFP POE SMART</t>
  </si>
  <si>
    <t>119195</t>
  </si>
  <si>
    <t>Switch D-Link DGS-1210-28P, Capa 2, PoE, 24 RJ-45LAN GbE, 4 puertos SFP, Auto MDI/MDI</t>
  </si>
  <si>
    <t>NWDLDGS121052</t>
  </si>
  <si>
    <t> 52-PORT GIGABIT SMART SWITCH</t>
  </si>
  <si>
    <t>98795</t>
  </si>
  <si>
    <t>Switch D-Link DGS-1210-52 Gigabit Smart Switch, 48 puertos 10/100/1000 Mbps, 4 puert</t>
  </si>
  <si>
    <t>NWDLDGS125028X</t>
  </si>
  <si>
    <t> 24 PUERTOS 10/100/1000BASE-T</t>
  </si>
  <si>
    <t>409213</t>
  </si>
  <si>
    <t>NWDLDGS125052X</t>
  </si>
  <si>
    <t> 48 X 1000BASE-T 4SFP+</t>
  </si>
  <si>
    <t>409215</t>
  </si>
  <si>
    <t>160273</t>
  </si>
  <si>
    <t>345323</t>
  </si>
  <si>
    <t>SWHPER8N87B</t>
  </si>
  <si>
    <t>514223</t>
  </si>
  <si>
    <t>476985</t>
  </si>
  <si>
    <t>NWDGS313030TS</t>
  </si>
  <si>
    <t> SWITCH DGS-3130-30TS</t>
  </si>
  <si>
    <t>332454</t>
  </si>
  <si>
    <t>Switch D-Link DGS-3130-30TS, Administrable, Apilable de capa 3.[@@@]Puertos: 24 x 10/</t>
  </si>
  <si>
    <t>NWDGS313054TS</t>
  </si>
  <si>
    <t> 48G 2 10GBASE-T 4 10G SFP+ POR</t>
  </si>
  <si>
    <t>355499</t>
  </si>
  <si>
    <t>131707</t>
  </si>
  <si>
    <t>380853</t>
  </si>
  <si>
    <t>NWHPEJL677A</t>
  </si>
  <si>
    <t> ARUBA 6100 24G CL4 4SFP+ SWCH</t>
  </si>
  <si>
    <t>380855</t>
  </si>
  <si>
    <t>387072</t>
  </si>
  <si>
    <t>384750</t>
  </si>
  <si>
    <t>401518</t>
  </si>
  <si>
    <t>514221</t>
  </si>
  <si>
    <t>477916</t>
  </si>
  <si>
    <t>505155</t>
  </si>
  <si>
    <t>505156</t>
  </si>
  <si>
    <t>514037</t>
  </si>
  <si>
    <t>222057</t>
  </si>
  <si>
    <t>NWDLDES1005A</t>
  </si>
  <si>
    <t> 5-PORT FAST ETHERNET SWITCH</t>
  </si>
  <si>
    <t>63135</t>
  </si>
  <si>
    <t>Switch D-LINK DES-1005A, 5 Puertos RJ-45 10/100 Mbps, estándares IEEE 802.3/u/x. Pres</t>
  </si>
  <si>
    <t>NWDLDES1018MPV2</t>
  </si>
  <si>
    <t> 16 X 10/100 MBPS POE + 2 X 10/</t>
  </si>
  <si>
    <t>399550</t>
  </si>
  <si>
    <t>NWDLDES1024D</t>
  </si>
  <si>
    <t> SWITCH DLINK 24PT 10/100</t>
  </si>
  <si>
    <t>23974</t>
  </si>
  <si>
    <t>D-Link 24-Port 10/100 MBps RJ-45 Rackmountable Switch - Autovoltaje</t>
  </si>
  <si>
    <t>NWDLDGS1008A</t>
  </si>
  <si>
    <t> 8 PORT GIGA SWITCH</t>
  </si>
  <si>
    <t>117551</t>
  </si>
  <si>
    <t>Switch D-Link DGS-1008A, 8 RJ-45 10/100/1000 Mbps, MDI/MDIX, CSMA/CD.[@@@]Presentació</t>
  </si>
  <si>
    <t>200076</t>
  </si>
  <si>
    <t>41033</t>
  </si>
  <si>
    <t>395680</t>
  </si>
  <si>
    <t>NWDLDGS108</t>
  </si>
  <si>
    <t> SWITCH D-LINK DGS-108</t>
  </si>
  <si>
    <t>395681</t>
  </si>
  <si>
    <t>NWDLKDMS125010S</t>
  </si>
  <si>
    <t> SMART SWITCH - 8X PUERTOS 2.5G</t>
  </si>
  <si>
    <t>516159</t>
  </si>
  <si>
    <t>481721</t>
  </si>
  <si>
    <t>SWDLKDGS-1005D</t>
  </si>
  <si>
    <t> SW 5 PTS 10/100/1000MB NO GEST</t>
  </si>
  <si>
    <t>499981</t>
  </si>
  <si>
    <t>Switch D-Link DGS-1005D, 5 Puertos 10/100/1000Mbps (no Gestionable)[@@@]El D-Link DGS</t>
  </si>
  <si>
    <t>506023</t>
  </si>
  <si>
    <t>506024</t>
  </si>
  <si>
    <t>338876</t>
  </si>
  <si>
    <t>502905</t>
  </si>
  <si>
    <t>491340</t>
  </si>
  <si>
    <t>479883</t>
  </si>
  <si>
    <t>452411</t>
  </si>
  <si>
    <t>380340</t>
  </si>
  <si>
    <t>227018</t>
  </si>
  <si>
    <t>469353</t>
  </si>
  <si>
    <t>226488</t>
  </si>
  <si>
    <t>251046</t>
  </si>
  <si>
    <t>227017</t>
  </si>
  <si>
    <t>444855</t>
  </si>
  <si>
    <t>453532</t>
  </si>
  <si>
    <t>SWDLKDMS125010S</t>
  </si>
  <si>
    <t> SMART SW 8X PUERTOS 2.5G CON 2</t>
  </si>
  <si>
    <t>516158</t>
  </si>
  <si>
    <t>506021</t>
  </si>
  <si>
    <t>506022</t>
  </si>
  <si>
    <t>500909</t>
  </si>
  <si>
    <t>500905</t>
  </si>
  <si>
    <t>500908</t>
  </si>
  <si>
    <t>261155</t>
  </si>
  <si>
    <t>68661</t>
  </si>
  <si>
    <t>386581</t>
  </si>
  <si>
    <t>212075</t>
  </si>
  <si>
    <t>385279</t>
  </si>
  <si>
    <t>386580</t>
  </si>
  <si>
    <t>98869</t>
  </si>
  <si>
    <t>360956</t>
  </si>
  <si>
    <t>402069</t>
  </si>
  <si>
    <t>356100</t>
  </si>
  <si>
    <t>248020</t>
  </si>
  <si>
    <t>356607</t>
  </si>
  <si>
    <t>255499</t>
  </si>
  <si>
    <t>488356</t>
  </si>
  <si>
    <t>398156</t>
  </si>
  <si>
    <t>442948</t>
  </si>
  <si>
    <t>398155</t>
  </si>
  <si>
    <t>268806</t>
  </si>
  <si>
    <t>411619</t>
  </si>
  <si>
    <t>432462</t>
  </si>
  <si>
    <t>265693</t>
  </si>
  <si>
    <t>412789</t>
  </si>
  <si>
    <t>409220</t>
  </si>
  <si>
    <t>468948</t>
  </si>
  <si>
    <t>462022</t>
  </si>
  <si>
    <t>448740</t>
  </si>
  <si>
    <t>445553</t>
  </si>
  <si>
    <t>467176</t>
  </si>
  <si>
    <t>241094</t>
  </si>
  <si>
    <t>395969</t>
  </si>
  <si>
    <t>430395</t>
  </si>
  <si>
    <t>432449</t>
  </si>
  <si>
    <t>499629</t>
  </si>
  <si>
    <t>499631</t>
  </si>
  <si>
    <t>453504</t>
  </si>
  <si>
    <t>499630</t>
  </si>
  <si>
    <t>494965</t>
  </si>
  <si>
    <t>425389</t>
  </si>
  <si>
    <t>481112</t>
  </si>
  <si>
    <t>126238</t>
  </si>
  <si>
    <t>238718</t>
  </si>
  <si>
    <t>22927</t>
  </si>
  <si>
    <t>20554</t>
  </si>
  <si>
    <t>20559</t>
  </si>
  <si>
    <t>466647</t>
  </si>
  <si>
    <t>133013</t>
  </si>
  <si>
    <t>133015</t>
  </si>
  <si>
    <t>133017</t>
  </si>
  <si>
    <t>210778</t>
  </si>
  <si>
    <t>210794</t>
  </si>
  <si>
    <t>210785</t>
  </si>
  <si>
    <t>210790</t>
  </si>
  <si>
    <t>210777</t>
  </si>
  <si>
    <t>229762</t>
  </si>
  <si>
    <t>22381</t>
  </si>
  <si>
    <t>22383</t>
  </si>
  <si>
    <t>SVHPEP84098-DM5</t>
  </si>
  <si>
    <t>  HPE PROLIANT ML110 G11 INTEL</t>
  </si>
  <si>
    <t>510224</t>
  </si>
  <si>
    <t>514182</t>
  </si>
  <si>
    <t>514185</t>
  </si>
  <si>
    <t>514184</t>
  </si>
  <si>
    <t>508617</t>
  </si>
  <si>
    <t>499615</t>
  </si>
  <si>
    <t>509555</t>
  </si>
  <si>
    <t>467175</t>
  </si>
  <si>
    <t>269074</t>
  </si>
  <si>
    <t>433238</t>
  </si>
  <si>
    <t>461708</t>
  </si>
  <si>
    <t>483377</t>
  </si>
  <si>
    <t>513439</t>
  </si>
  <si>
    <t>ACCLE7ZT7A00496</t>
  </si>
  <si>
    <t> THINKSYSTEM BROADCOM NX-E PCIE</t>
  </si>
  <si>
    <t>262616</t>
  </si>
  <si>
    <t>242011</t>
  </si>
  <si>
    <t>148434</t>
  </si>
  <si>
    <t>96430</t>
  </si>
  <si>
    <t>467186</t>
  </si>
  <si>
    <t>356710</t>
  </si>
  <si>
    <t>241121</t>
  </si>
  <si>
    <t>255501</t>
  </si>
  <si>
    <t>405304</t>
  </si>
  <si>
    <t>269582</t>
  </si>
  <si>
    <t>SVLEN4P57A726-B</t>
  </si>
  <si>
    <t> PSU 750W 230V/115V PT GEN2 V3</t>
  </si>
  <si>
    <t>517584</t>
  </si>
  <si>
    <t>LICLE7S1S0007WW</t>
  </si>
  <si>
    <t> WINDOWS SERVER 2025 STANDARD R</t>
  </si>
  <si>
    <t>477279</t>
  </si>
  <si>
    <t>Licencia para Microsoft Windows Server 2025 Standard ROK (16 core) - MultiLang (PE)[@</t>
  </si>
  <si>
    <t>116217</t>
  </si>
  <si>
    <t>402048</t>
  </si>
  <si>
    <t>338878</t>
  </si>
  <si>
    <t>248025</t>
  </si>
  <si>
    <t>256305</t>
  </si>
  <si>
    <t>419710</t>
  </si>
  <si>
    <t>419716</t>
  </si>
  <si>
    <t>494843</t>
  </si>
  <si>
    <t>155195</t>
  </si>
  <si>
    <t>140038</t>
  </si>
  <si>
    <t>377461</t>
  </si>
  <si>
    <t>353004</t>
  </si>
  <si>
    <t>390468</t>
  </si>
  <si>
    <t>392978</t>
  </si>
  <si>
    <t>391305</t>
  </si>
  <si>
    <t>514215</t>
  </si>
  <si>
    <t>512587</t>
  </si>
  <si>
    <t>512588</t>
  </si>
  <si>
    <t>391304</t>
  </si>
  <si>
    <t>391306</t>
  </si>
  <si>
    <t>488198</t>
  </si>
  <si>
    <t>484955</t>
  </si>
  <si>
    <t>512597</t>
  </si>
  <si>
    <t>512603</t>
  </si>
  <si>
    <t>477461</t>
  </si>
  <si>
    <t>477463</t>
  </si>
  <si>
    <t>477465</t>
  </si>
  <si>
    <t>477466</t>
  </si>
  <si>
    <t>415150</t>
  </si>
  <si>
    <t>477467</t>
  </si>
  <si>
    <t>477468</t>
  </si>
  <si>
    <t>477470</t>
  </si>
  <si>
    <t>477471</t>
  </si>
  <si>
    <t>477472</t>
  </si>
  <si>
    <t>343110</t>
  </si>
  <si>
    <t>512365</t>
  </si>
  <si>
    <t>511935</t>
  </si>
  <si>
    <t>SWS11030169</t>
  </si>
  <si>
    <t> ESET HOME SECURITY ULTIMATE 5M</t>
  </si>
  <si>
    <t>433711</t>
  </si>
  <si>
    <t>Software Eset Home Security Ultimate para 5 PCs, Edicion Especial (Licencia de 13 mes</t>
  </si>
  <si>
    <t>469457</t>
  </si>
  <si>
    <t>SWS11030191</t>
  </si>
  <si>
    <t> ESET HOME SEC ESEN 2025 3PC 1Y</t>
  </si>
  <si>
    <t>469451</t>
  </si>
  <si>
    <t>469437</t>
  </si>
  <si>
    <t>471711</t>
  </si>
  <si>
    <t>471703</t>
  </si>
  <si>
    <t>SWS11030202</t>
  </si>
  <si>
    <t> ESET HOME PREMIUM 1 PC 30% OFF</t>
  </si>
  <si>
    <t>471704</t>
  </si>
  <si>
    <t>SWS11030212</t>
  </si>
  <si>
    <t>517135</t>
  </si>
  <si>
    <t>512363</t>
  </si>
  <si>
    <t>SWS11030217</t>
  </si>
  <si>
    <t>517134</t>
  </si>
  <si>
    <t>511939</t>
  </si>
  <si>
    <t>511941</t>
  </si>
  <si>
    <t>511943</t>
  </si>
  <si>
    <t>507169</t>
  </si>
  <si>
    <t>507168</t>
  </si>
  <si>
    <t>503284</t>
  </si>
  <si>
    <t>463638</t>
  </si>
  <si>
    <t>515977</t>
  </si>
  <si>
    <t>371348</t>
  </si>
  <si>
    <t>439325</t>
  </si>
  <si>
    <t>194210</t>
  </si>
  <si>
    <t>355961</t>
  </si>
  <si>
    <t>362219</t>
  </si>
  <si>
    <t>380762</t>
  </si>
  <si>
    <t>235014</t>
  </si>
  <si>
    <t>144946</t>
  </si>
  <si>
    <t>216287</t>
  </si>
  <si>
    <t>473311</t>
  </si>
  <si>
    <t>392570</t>
  </si>
  <si>
    <t>511281</t>
  </si>
  <si>
    <t>501778</t>
  </si>
  <si>
    <t>417370</t>
  </si>
  <si>
    <t>SSDKTDC600M480</t>
  </si>
  <si>
    <t> SSD KING DC600M 480GB SATA</t>
  </si>
  <si>
    <t>417367</t>
  </si>
  <si>
    <t>Unidad en estado solido Kingston DC600M 480GB, SATA Rev. 3.0 (6Gb/seg), 2.5"[@@@]Velo</t>
  </si>
  <si>
    <t>417371</t>
  </si>
  <si>
    <t>240856</t>
  </si>
  <si>
    <t>240857</t>
  </si>
  <si>
    <t>259236</t>
  </si>
  <si>
    <t>SSDKTSKC6002048</t>
  </si>
  <si>
    <t> SSD KING KC600 2048GB SATA 2.5</t>
  </si>
  <si>
    <t>397411</t>
  </si>
  <si>
    <t>Unidad en estado solido Kingston KC600, 2048GB, SATA III (6Gb/Seg)[@@@]Factor de form</t>
  </si>
  <si>
    <t>379505</t>
  </si>
  <si>
    <t>351575</t>
  </si>
  <si>
    <t>488965</t>
  </si>
  <si>
    <t>356643</t>
  </si>
  <si>
    <t>510339</t>
  </si>
  <si>
    <t>506759</t>
  </si>
  <si>
    <t>406966</t>
  </si>
  <si>
    <t>514439</t>
  </si>
  <si>
    <t>381560</t>
  </si>
  <si>
    <t>SSDKT3000M2048</t>
  </si>
  <si>
    <t> SSD KING KC3000 2048GB NVME M2</t>
  </si>
  <si>
    <t>383316</t>
  </si>
  <si>
    <t>Unidad en estado solido Kingston KC3000, 2048GB, M.2 2280 PCIe Gen 4.0 NVMe[@@@]Veloc</t>
  </si>
  <si>
    <t>383317</t>
  </si>
  <si>
    <t>SSDKTKC3000M512</t>
  </si>
  <si>
    <t> SSD KING KC3000 512GB NVME M.2</t>
  </si>
  <si>
    <t>381556</t>
  </si>
  <si>
    <t>Unidad en estado solido Kingston KC3000, 512GB, M.2 2280 PCIe Gen 4.0 NVMe[@@@]Veloci</t>
  </si>
  <si>
    <t>485659</t>
  </si>
  <si>
    <t>SSDKTNV3SM3500</t>
  </si>
  <si>
    <t> SSD KT NV3 500GB NVME 2230</t>
  </si>
  <si>
    <t>485657</t>
  </si>
  <si>
    <t>SSD Kingston NV3 PCIe 4.0 NVMe de 500 GB[@@@]Mejora la velocidad de tu equipo con el</t>
  </si>
  <si>
    <t>478221</t>
  </si>
  <si>
    <t>478222</t>
  </si>
  <si>
    <t>405498</t>
  </si>
  <si>
    <t>405497</t>
  </si>
  <si>
    <t>452109</t>
  </si>
  <si>
    <t>452111</t>
  </si>
  <si>
    <t>452106</t>
  </si>
  <si>
    <t>426363</t>
  </si>
  <si>
    <t>491897</t>
  </si>
  <si>
    <t>491895</t>
  </si>
  <si>
    <t>497715</t>
  </si>
  <si>
    <t>418327</t>
  </si>
  <si>
    <t>348906</t>
  </si>
  <si>
    <t>467943</t>
  </si>
  <si>
    <t>506534</t>
  </si>
  <si>
    <t>506535</t>
  </si>
  <si>
    <t>506536</t>
  </si>
  <si>
    <t>500772</t>
  </si>
  <si>
    <t>506539</t>
  </si>
  <si>
    <t>506540</t>
  </si>
  <si>
    <t>442488</t>
  </si>
  <si>
    <t>463018</t>
  </si>
  <si>
    <t>463020</t>
  </si>
  <si>
    <t>489264</t>
  </si>
  <si>
    <t>447352</t>
  </si>
  <si>
    <t>463019</t>
  </si>
  <si>
    <t>449751</t>
  </si>
  <si>
    <t>442286</t>
  </si>
  <si>
    <t>368172</t>
  </si>
  <si>
    <t>STTBHPC7978A</t>
  </si>
  <si>
    <t> HP ULTRIUM CARTRIDGE UNIV</t>
  </si>
  <si>
    <t>HP ENTERPRISE - STORAGE</t>
  </si>
  <si>
    <t>32516</t>
  </si>
  <si>
    <t>CARTUCHO DE LIMPIEZA HP HEWLETT PACKARD UNIVERSALULTRIUM</t>
  </si>
  <si>
    <t>185606</t>
  </si>
  <si>
    <t>480268</t>
  </si>
  <si>
    <t>486518</t>
  </si>
  <si>
    <t>486520</t>
  </si>
  <si>
    <t>486521</t>
  </si>
  <si>
    <t>441316</t>
  </si>
  <si>
    <t>263584</t>
  </si>
  <si>
    <t>263583</t>
  </si>
  <si>
    <t>263582</t>
  </si>
  <si>
    <t>263581</t>
  </si>
  <si>
    <t>276885</t>
  </si>
  <si>
    <t>276888</t>
  </si>
  <si>
    <t>276890</t>
  </si>
  <si>
    <t>374727</t>
  </si>
  <si>
    <t>374729</t>
  </si>
  <si>
    <t>80876</t>
  </si>
  <si>
    <t>STEPT664220</t>
  </si>
  <si>
    <t> TINTA EPSON L200 CYAN</t>
  </si>
  <si>
    <t>80745</t>
  </si>
  <si>
    <t>Botella de tinta EPSON T664220, color cyan, contenido 70ml, para impresoras EPSON L20</t>
  </si>
  <si>
    <t>80746</t>
  </si>
  <si>
    <t>80747</t>
  </si>
  <si>
    <t>86235</t>
  </si>
  <si>
    <t>86236</t>
  </si>
  <si>
    <t>86237</t>
  </si>
  <si>
    <t>86240</t>
  </si>
  <si>
    <t>86242</t>
  </si>
  <si>
    <t>102193</t>
  </si>
  <si>
    <t>314685</t>
  </si>
  <si>
    <t>372171</t>
  </si>
  <si>
    <t>372172</t>
  </si>
  <si>
    <t>372173</t>
  </si>
  <si>
    <t>302443</t>
  </si>
  <si>
    <t>302422</t>
  </si>
  <si>
    <t>273296</t>
  </si>
  <si>
    <t>37265</t>
  </si>
  <si>
    <t>22688</t>
  </si>
  <si>
    <t>22710</t>
  </si>
  <si>
    <t>107758</t>
  </si>
  <si>
    <t>491418</t>
  </si>
  <si>
    <t>491419</t>
  </si>
  <si>
    <t>491423</t>
  </si>
  <si>
    <t>491424</t>
  </si>
  <si>
    <t>491417</t>
  </si>
  <si>
    <t>363148</t>
  </si>
  <si>
    <t>363144</t>
  </si>
  <si>
    <t>363150</t>
  </si>
  <si>
    <t>363151</t>
  </si>
  <si>
    <t>363147</t>
  </si>
  <si>
    <t>353431</t>
  </si>
  <si>
    <t>353433</t>
  </si>
  <si>
    <t>338100</t>
  </si>
  <si>
    <t>143663</t>
  </si>
  <si>
    <t>312197</t>
  </si>
  <si>
    <t>312196</t>
  </si>
  <si>
    <t>312195</t>
  </si>
  <si>
    <t>311905</t>
  </si>
  <si>
    <t>467811</t>
  </si>
  <si>
    <t>484077</t>
  </si>
  <si>
    <t>481917</t>
  </si>
  <si>
    <t>507165</t>
  </si>
  <si>
    <t>204632</t>
  </si>
  <si>
    <t>484846</t>
  </si>
  <si>
    <t>484956</t>
  </si>
  <si>
    <t>493721</t>
  </si>
  <si>
    <t>351548</t>
  </si>
  <si>
    <t>483757</t>
  </si>
  <si>
    <t>TBLENZAE40162PE</t>
  </si>
  <si>
    <t> TAB LEN IDEA TAB PRO 256 WIFI</t>
  </si>
  <si>
    <t>461515</t>
  </si>
  <si>
    <t>Tablet Lenovo Idea Tab Pro, 12.7" 3K (2944x1840) LTPS/Glossy/Touch/Android 14 o super</t>
  </si>
  <si>
    <t>469621</t>
  </si>
  <si>
    <t>461653</t>
  </si>
  <si>
    <t>492870</t>
  </si>
  <si>
    <t>509757</t>
  </si>
  <si>
    <t>Tablet Lenovo Tab 11" 2.5K (2560x1600)IPS/90Hz/Touch/8GB RAM/128GB ROM/5G/Android 15</t>
  </si>
  <si>
    <t>TBLENZAG70837PE</t>
  </si>
  <si>
    <t> TAB LEN TB361FU 12.1" 8GB 256G</t>
  </si>
  <si>
    <t>502582</t>
  </si>
  <si>
    <t>Tablet Lenovo Tab Plus 12.1" 2.5K (2560x1600) IPS/90Hz/Touch/8GB RAM/256GB ROM, Andro</t>
  </si>
  <si>
    <t>499982</t>
  </si>
  <si>
    <t>438814</t>
  </si>
  <si>
    <t>495515</t>
  </si>
  <si>
    <t>477650</t>
  </si>
  <si>
    <t>TBZAFR0196PER</t>
  </si>
  <si>
    <t> TAB LEN FOLIO 8G 128GB KB+PEN</t>
  </si>
  <si>
    <t>491337</t>
  </si>
  <si>
    <t>Tablet Lenovo Idea Tab ZAFR0196PE 11" 2.5K (2560x1600) IPS, 8GB RAM LPDDR4x, 128GB UF</t>
  </si>
  <si>
    <t>480258</t>
  </si>
  <si>
    <t>288815</t>
  </si>
  <si>
    <t>318976</t>
  </si>
  <si>
    <t>104932</t>
  </si>
  <si>
    <t>432423</t>
  </si>
  <si>
    <t>ACCADVBAGSP5706</t>
  </si>
  <si>
    <t> ACC ADV BAG TB SP5706</t>
  </si>
  <si>
    <t>494844</t>
  </si>
  <si>
    <t>493722</t>
  </si>
  <si>
    <t>513450</t>
  </si>
  <si>
    <t>513449</t>
  </si>
  <si>
    <t>221727</t>
  </si>
  <si>
    <t>504531</t>
  </si>
  <si>
    <t>481406</t>
  </si>
  <si>
    <t>481407</t>
  </si>
  <si>
    <t>137808</t>
  </si>
  <si>
    <t>137571</t>
  </si>
  <si>
    <t>168571</t>
  </si>
  <si>
    <t>435828</t>
  </si>
  <si>
    <t>437382</t>
  </si>
  <si>
    <t>447357</t>
  </si>
  <si>
    <t>442115</t>
  </si>
  <si>
    <t>152603</t>
  </si>
  <si>
    <t>KBLEN4X31R64337</t>
  </si>
  <si>
    <t> LENOVO WIRELESS RECHARGEABLE</t>
  </si>
  <si>
    <t>493073</t>
  </si>
  <si>
    <t>Teclado y mouse inalámbricos recargables profesionales Lenovo (español latino)[@@@]El</t>
  </si>
  <si>
    <t>KBLEN4X31R64500</t>
  </si>
  <si>
    <t> LENOVO ESSENTIAL WIRELESS COMB</t>
  </si>
  <si>
    <t>493072</t>
  </si>
  <si>
    <t>Teclado + Mouse inalámbricos Lenovo Essential Combo Gen2, Negro, Español (LA) 171[@@@</t>
  </si>
  <si>
    <t>KBMLE4X31S04857</t>
  </si>
  <si>
    <t> KIT KEYBOARD+MOUSE WIRELESS</t>
  </si>
  <si>
    <t>518327</t>
  </si>
  <si>
    <t>420227</t>
  </si>
  <si>
    <t>481985</t>
  </si>
  <si>
    <t>486090</t>
  </si>
  <si>
    <t>478258</t>
  </si>
  <si>
    <t>515674</t>
  </si>
  <si>
    <t>KBLENGY41N91858</t>
  </si>
  <si>
    <t> LEN KB LEGION K310 RGB GAMING</t>
  </si>
  <si>
    <t>455855</t>
  </si>
  <si>
    <t>Teclado gamer Lenovo Legion KB310 RGB con cable USB 2.0[@@@]Teclado de alta calidad c</t>
  </si>
  <si>
    <t>420230</t>
  </si>
  <si>
    <t>261201</t>
  </si>
  <si>
    <t>KBLEN4X31R64424</t>
  </si>
  <si>
    <t> ESSENTIAL WIRED COMBO K+M</t>
  </si>
  <si>
    <t>479223</t>
  </si>
  <si>
    <t>Kit de teclado y mouse Essential LENOVO, InterfazUSB-A, Color Negro, En español.[@@@]</t>
  </si>
  <si>
    <t>507162</t>
  </si>
  <si>
    <t>444860</t>
  </si>
  <si>
    <t>444861</t>
  </si>
  <si>
    <t>125200</t>
  </si>
  <si>
    <t>PSAUR1000LCDU-B</t>
  </si>
  <si>
    <t> UPS INTERACTIVO 1KVA USB Y LCD</t>
  </si>
  <si>
    <t>518615</t>
  </si>
  <si>
    <t>364906</t>
  </si>
  <si>
    <t>PSAUR650LCDUSB</t>
  </si>
  <si>
    <t> UPS INTERACTIVO 650VA USB LCD</t>
  </si>
  <si>
    <t>372052</t>
  </si>
  <si>
    <t>UPS Interactivo Elise @Fase, AUR-650-LCD-USB, 650VA / 360W, Puerto inteligente USB-HI</t>
  </si>
  <si>
    <t>457266</t>
  </si>
  <si>
    <t>PSLI504</t>
  </si>
  <si>
    <t> UPS LITIO/INTERC PORT 500VA</t>
  </si>
  <si>
    <t>475483</t>
  </si>
  <si>
    <t>UPS CDP LI504i - Standby con bateria de Litio (LiFePO4) de 12.8V / 51.2Wh, 500VA / 25</t>
  </si>
  <si>
    <t>471402</t>
  </si>
  <si>
    <t>479130</t>
  </si>
  <si>
    <t>122554</t>
  </si>
  <si>
    <t>54137</t>
  </si>
  <si>
    <t>472324</t>
  </si>
  <si>
    <t>469236</t>
  </si>
  <si>
    <t>484867</t>
  </si>
  <si>
    <t>484869</t>
  </si>
  <si>
    <t>484866</t>
  </si>
  <si>
    <t>512248</t>
  </si>
  <si>
    <t>PSELIUDC1KTG2</t>
  </si>
  <si>
    <t> UPS ONLINE TORRE 1KVA-900W LCD</t>
  </si>
  <si>
    <t>228176</t>
  </si>
  <si>
    <t>UPS Elise UDC-1K-T-G2, On-Line, 1kVA, 900W, 100V ~ 300VAC, Display LCD.[@@@]Interfaz</t>
  </si>
  <si>
    <t>228177</t>
  </si>
  <si>
    <t>228180</t>
  </si>
  <si>
    <t>PSELIUDC6KTG</t>
  </si>
  <si>
    <t> UPS IEDA POWER TORRE 6KW LCD</t>
  </si>
  <si>
    <t>272689</t>
  </si>
  <si>
    <t>UPS Elise UDC-6K-T-G2, On-Line, 6000 VA, 6000 W, 176V~264Vac, USB.[@@@]Tecnología de</t>
  </si>
  <si>
    <t>456628</t>
  </si>
  <si>
    <t>456629</t>
  </si>
  <si>
    <t>PSELIURT-3K-IOT</t>
  </si>
  <si>
    <t> IOT PROTOCOL RT 2U 3 KW</t>
  </si>
  <si>
    <t>456633</t>
  </si>
  <si>
    <t>UPS Plug &amp; Power Innova Unity IoT URT Series 3kVA, 3000W, 220V, DB-9 RS232 / USB[@@@]</t>
  </si>
  <si>
    <t>371248</t>
  </si>
  <si>
    <t>371243</t>
  </si>
  <si>
    <t>371244</t>
  </si>
  <si>
    <t>371246</t>
  </si>
  <si>
    <t>371247</t>
  </si>
  <si>
    <t>356251</t>
  </si>
  <si>
    <t>202733</t>
  </si>
  <si>
    <t>221441</t>
  </si>
  <si>
    <t>491513</t>
  </si>
  <si>
    <t>483487</t>
  </si>
  <si>
    <t>483488</t>
  </si>
  <si>
    <t>483489</t>
  </si>
  <si>
    <t>241674</t>
  </si>
  <si>
    <t>ACCELIURTRK13</t>
  </si>
  <si>
    <t> KIT DE MONTAJE EN RACK PARA UP</t>
  </si>
  <si>
    <t>189882</t>
  </si>
  <si>
    <t>ACCPDUMNH20HV</t>
  </si>
  <si>
    <t> PDU MONOFÁSICO MONITOREABLE</t>
  </si>
  <si>
    <t>509273</t>
  </si>
  <si>
    <t>502955</t>
  </si>
  <si>
    <t>273417</t>
  </si>
  <si>
    <t>488280</t>
  </si>
  <si>
    <t>488284</t>
  </si>
  <si>
    <t>488285</t>
  </si>
  <si>
    <t>132740</t>
  </si>
  <si>
    <t>BIDWEBCARDLXE</t>
  </si>
  <si>
    <t> TARJETA DE RED WEBCARDLXE</t>
  </si>
  <si>
    <t>512246</t>
  </si>
  <si>
    <t>124297</t>
  </si>
  <si>
    <t>439340</t>
  </si>
  <si>
    <t>468790</t>
  </si>
  <si>
    <t>72572</t>
  </si>
  <si>
    <t>ACCTLB020U0819K</t>
  </si>
  <si>
    <t> KVM TRIPP CONSOLA 19'' LCD 8P</t>
  </si>
  <si>
    <t>176875</t>
  </si>
  <si>
    <t>Consola KVM TrippLite para instalación en rack de1U de 8 puertos con LCD de 19".[@@@]</t>
  </si>
  <si>
    <t>491478</t>
  </si>
  <si>
    <t>482030</t>
  </si>
  <si>
    <t>492012</t>
  </si>
  <si>
    <t>472576</t>
  </si>
  <si>
    <t>472578</t>
  </si>
  <si>
    <t>VD12ASRTX5070SO</t>
  </si>
  <si>
    <t> VGA 12G AS RTX5070 STRIX OC</t>
  </si>
  <si>
    <t>478139</t>
  </si>
  <si>
    <t>474708</t>
  </si>
  <si>
    <t>513360</t>
  </si>
  <si>
    <t>477316</t>
  </si>
  <si>
    <t>474709</t>
  </si>
  <si>
    <t>474710</t>
  </si>
  <si>
    <t>513446</t>
  </si>
  <si>
    <t>511781</t>
  </si>
  <si>
    <t>476279</t>
  </si>
  <si>
    <t>471055</t>
  </si>
  <si>
    <t>466157</t>
  </si>
  <si>
    <t>501656</t>
  </si>
  <si>
    <t>474727</t>
  </si>
  <si>
    <t>VD16GBRTX507TWS</t>
  </si>
  <si>
    <t>510247</t>
  </si>
  <si>
    <t>Tarjeta de video GIGABYTE GeForce RTX™ 5070 Ti WINDFORCE OC SFF 16G, 16 GB GDDR7, PCI</t>
  </si>
  <si>
    <t>468494</t>
  </si>
  <si>
    <t>471061</t>
  </si>
  <si>
    <t>VD32ASRTX5090TF</t>
  </si>
  <si>
    <t> VGA 32G AS RTX5090 TUF OC GDR7</t>
  </si>
  <si>
    <t>471059</t>
  </si>
  <si>
    <t>Tarjeta de video ASUS TUF-RTX5090-O32G-GAMING, PCIe Gen 5.0[@@@]Puertos: 3 x DisplayP</t>
  </si>
  <si>
    <t>436548</t>
  </si>
  <si>
    <t>443892</t>
  </si>
  <si>
    <t>485711</t>
  </si>
  <si>
    <t>480754</t>
  </si>
  <si>
    <t>479564</t>
  </si>
  <si>
    <t>491394</t>
  </si>
  <si>
    <t>508212</t>
  </si>
  <si>
    <t>491396</t>
  </si>
  <si>
    <t>491392</t>
  </si>
  <si>
    <t>481541</t>
  </si>
  <si>
    <t>481539</t>
  </si>
  <si>
    <t>491391</t>
  </si>
  <si>
    <t>491390</t>
  </si>
  <si>
    <t>484493</t>
  </si>
  <si>
    <t>511626</t>
  </si>
  <si>
    <t>481537</t>
  </si>
  <si>
    <t>481535</t>
  </si>
  <si>
    <t>481536</t>
  </si>
  <si>
    <t>481538</t>
  </si>
  <si>
    <t>509280</t>
  </si>
  <si>
    <t>492655</t>
  </si>
  <si>
    <t>482878</t>
  </si>
  <si>
    <t>482877</t>
  </si>
  <si>
    <t>476085</t>
  </si>
  <si>
    <t>509275</t>
  </si>
  <si>
    <t>476086</t>
  </si>
  <si>
    <t>492656</t>
  </si>
  <si>
    <t>492087</t>
  </si>
  <si>
    <t>511064</t>
  </si>
  <si>
    <t>434111</t>
  </si>
  <si>
    <t>482029</t>
  </si>
  <si>
    <t>496514</t>
  </si>
  <si>
    <t>510441</t>
  </si>
  <si>
    <t>496513</t>
  </si>
  <si>
    <t>483749</t>
  </si>
  <si>
    <t>492013</t>
  </si>
  <si>
    <t>466162</t>
  </si>
  <si>
    <t>501666</t>
  </si>
  <si>
    <t>467599</t>
  </si>
  <si>
    <t>467600</t>
  </si>
  <si>
    <t>484321</t>
  </si>
  <si>
    <t>480636</t>
  </si>
  <si>
    <t>480637</t>
  </si>
  <si>
    <t>484332</t>
  </si>
  <si>
    <t>477287</t>
  </si>
  <si>
    <t>477296</t>
  </si>
  <si>
    <t>477294</t>
  </si>
  <si>
    <t>484351</t>
  </si>
  <si>
    <t>483748</t>
  </si>
  <si>
    <t>436415</t>
  </si>
  <si>
    <t>484486</t>
  </si>
  <si>
    <t>477280</t>
  </si>
  <si>
    <t>259791</t>
  </si>
  <si>
    <t>196764</t>
  </si>
  <si>
    <t>228789</t>
  </si>
  <si>
    <t>ACTLDMCS60100XX</t>
  </si>
  <si>
    <t> HEAVY-DUTY ROLLING TV STAND, H</t>
  </si>
  <si>
    <t>449213</t>
  </si>
  <si>
    <t>Soporte para TV con ruedas TRIPP LITE, soporta pantallas de 60" a 100", hasta 99.8KG[</t>
  </si>
  <si>
    <t>ACCKSHEINSILMAT</t>
  </si>
  <si>
    <t> HEAT INSULATION REPAIR MAT</t>
  </si>
  <si>
    <t>KAISI</t>
  </si>
  <si>
    <t>518440</t>
  </si>
  <si>
    <t>ACCKSSPRYTOOL20</t>
  </si>
  <si>
    <t> PRY TOOL REPAIR KIT 20-IN-1</t>
  </si>
  <si>
    <t>STREBITO</t>
  </si>
  <si>
    <t>518439</t>
  </si>
  <si>
    <t>ACCNDFLTSCRW720</t>
  </si>
  <si>
    <t> FLAT SCREWS KIT - 720PCS</t>
  </si>
  <si>
    <t>NINDEJIN</t>
  </si>
  <si>
    <t>518441</t>
  </si>
  <si>
    <t>ACCSTELCSCR144P</t>
  </si>
  <si>
    <t> MINI ELEC SCREWDRIVER W/SCREWS</t>
  </si>
  <si>
    <t>463632</t>
  </si>
  <si>
    <t>STREBITO 144-in-1 Electric Screwdriver Kit / Mini-destornillador electrico de precisi</t>
  </si>
  <si>
    <t>ACCSTPRECSCRW70</t>
  </si>
  <si>
    <t> MINI ELECTRIC SCREWDRV 70-IN-1</t>
  </si>
  <si>
    <t>518443</t>
  </si>
  <si>
    <t>ACCSTSCREWSET64</t>
  </si>
  <si>
    <t> MICRO SCREWDRIVER SET 64-IN-1</t>
  </si>
  <si>
    <t>518438</t>
  </si>
  <si>
    <t>ACCYMAIRDUSTER</t>
  </si>
  <si>
    <t> SOPLETE DE AIRE RECARGABLE</t>
  </si>
  <si>
    <t>456213</t>
  </si>
  <si>
    <t>Pistola de aire comprimido inalámbrico recargablede 3 velocidades con batería de 7600</t>
  </si>
  <si>
    <t>Case TEROS TE-1040S, TFX, 350 W, USB 3.0 / USB 2.0, soporta ITX / Micro-ATX / Mini-AT</t>
  </si>
  <si>
    <t>CSMSVX300RAFPZN</t>
  </si>
  <si>
    <t> CS MS VELOX 300R AF PZ BLACK</t>
  </si>
  <si>
    <t>490570</t>
  </si>
  <si>
    <t>Case MSI MPG VELOX 300R AIRFLOW PZ / BLACK, Mid-Tower, Mini-ITX, Micro-ATX, ATX, *EAT</t>
  </si>
  <si>
    <t>ZZCSA00BKTE1323</t>
  </si>
  <si>
    <t>518757</t>
  </si>
  <si>
    <t>ZZCSA00WHTE1329</t>
  </si>
  <si>
    <t>518903</t>
  </si>
  <si>
    <t>PSARCL-750B</t>
  </si>
  <si>
    <t> PSU AR 750W NM 80+B CL-750B</t>
  </si>
  <si>
    <t>474747</t>
  </si>
  <si>
    <t>Fuente de alimentación Asrock, 750W, ATX, 80 PlusBronze.[@@@]1 conector ATX 24/20 pin</t>
  </si>
  <si>
    <t>PSARPG-1600G</t>
  </si>
  <si>
    <t> PS AR 1600W 80+G FM PG-1600G</t>
  </si>
  <si>
    <t>483334</t>
  </si>
  <si>
    <t>Fuente de alimentación Asrock, PG-1600G, 1600W, ATX, 80 Plus Gold.[@@@]1 conector ATX</t>
  </si>
  <si>
    <t>PSARPRO-650G</t>
  </si>
  <si>
    <t> PSU AR PRO-650G 80+ GOLD</t>
  </si>
  <si>
    <t>510457</t>
  </si>
  <si>
    <t>Fuente de alimentación Asrock, 650W, ATX, 80 PlusGold.[@@@]1 conector ATX 24/20 pines</t>
  </si>
  <si>
    <t>PSARPRO-850G</t>
  </si>
  <si>
    <t> PSU AR PRO-850G 80+ GOLD</t>
  </si>
  <si>
    <t>510455</t>
  </si>
  <si>
    <t>PSGBP650GPG5</t>
  </si>
  <si>
    <t> PSU GB P650G PG5 80+ GOLD</t>
  </si>
  <si>
    <t>498662</t>
  </si>
  <si>
    <t>Fuente de alimentación Gigabyte P650G PCIE 5.1, 650W, ATX, 80 Plus Gold.[@@@]1 conect</t>
  </si>
  <si>
    <t>PSGBUD1000GMP5W</t>
  </si>
  <si>
    <t> PS GB UD1000GM PG5 ICE 80+G</t>
  </si>
  <si>
    <t>511622</t>
  </si>
  <si>
    <t>Fuente de alimentación GIGABYTE UD1000GM PG5 V2 ICE 1000W, 80 PLUS Gold, Formato ATX.</t>
  </si>
  <si>
    <t>PSGBUD1000GMPG5</t>
  </si>
  <si>
    <t> PS GB 1000W 80+G PCIE GEN 5.0</t>
  </si>
  <si>
    <t>402209</t>
  </si>
  <si>
    <t>Fuente de alimentación Gigabyte UD1000GM PG5, 1000W, 80 PLUS Gold Certified, Formato</t>
  </si>
  <si>
    <t>PSGBUD1300GMPG5</t>
  </si>
  <si>
    <t> PSU GB 1300W UD 80+G FM</t>
  </si>
  <si>
    <t>444528</t>
  </si>
  <si>
    <t>Fuente de alimentación GIGABYTE GP-UD1300GM P, 1300W, 80 PLUS Gold Certified, Formato</t>
  </si>
  <si>
    <t>PSGBUD750GM</t>
  </si>
  <si>
    <t> PSU GB UD750GM 80+ GOLD FM</t>
  </si>
  <si>
    <t>409271</t>
  </si>
  <si>
    <t>Fuente de alimentación Gigabyte GP-UD750GM, 750W,ATX, 80 Plus Gold, 100V ~ 240VAC.[@@</t>
  </si>
  <si>
    <t>PSGBUD750GMPG5</t>
  </si>
  <si>
    <t> PSU GB UD750GM PC5 FM 80+ GOLD</t>
  </si>
  <si>
    <t>449563</t>
  </si>
  <si>
    <t>Fuente de alimentación Gigabyte UD750GM PG5, 750W, 80 PLUS Gold Certified, Formato AT</t>
  </si>
  <si>
    <t>PSGBUD850GMP5V2</t>
  </si>
  <si>
    <t> PSU GB UD850GM PG5 V2 80+G FM</t>
  </si>
  <si>
    <t>515327</t>
  </si>
  <si>
    <t>PRHPWF5890</t>
  </si>
  <si>
    <t> IMPRESORA WORKFORCE WF-C5890</t>
  </si>
  <si>
    <t>418334</t>
  </si>
  <si>
    <t>Impresora Multifuncion Epson WorkForce Pro WF-C5890 Imprime/Escanea/Copia/Fax/LAN/WiF</t>
  </si>
  <si>
    <t>AIO ASUS P440VAK-BPCE060, 23.8" FHD IPS, Core 5 210H hasta 4.8GHz, 16GB DDR5, 512GB S</t>
  </si>
  <si>
    <t>AIO ASUS P470VAK-WPE0810, 27" FHD IPS, Core 7-240H hasta 5.2GHz, 16GB DDR5, 512GB SSD</t>
  </si>
  <si>
    <t>AIO ASUS P470VAK-WPE0210, 27" FHD IPS, Core i7-13620H hasta 4.9GHz, 16GB DDR5, 512GB</t>
  </si>
  <si>
    <t>PCLENF0HR009QLD</t>
  </si>
  <si>
    <t> AIO LEN 23.8 R7-7/16/512/FREE</t>
  </si>
  <si>
    <t>510256</t>
  </si>
  <si>
    <t>PCAD1VO1700BWEA</t>
  </si>
  <si>
    <t> PC VO1760 I7-12/16G/1TSSD/FREE</t>
  </si>
  <si>
    <t>519037</t>
  </si>
  <si>
    <t>PCAD2VP3700FWEC</t>
  </si>
  <si>
    <t> PC VP3780 CI7-14/16GB/1TB/W</t>
  </si>
  <si>
    <t>491718</t>
  </si>
  <si>
    <t>PCED2VO3700KXEC</t>
  </si>
  <si>
    <t> PC VO3780 I7-14/16GB/512GB/LX</t>
  </si>
  <si>
    <t>515744</t>
  </si>
  <si>
    <t>PCLEN13DL000ALD</t>
  </si>
  <si>
    <t> PC NEO 50S/U5-225/16/512/FRE/1</t>
  </si>
  <si>
    <t>512241</t>
  </si>
  <si>
    <t>PCLEN13DL000BLD</t>
  </si>
  <si>
    <t> PC NEO 50S/U5-225/16/1/FREE/1</t>
  </si>
  <si>
    <t>512242</t>
  </si>
  <si>
    <t>PCLEN13DL000CLD</t>
  </si>
  <si>
    <t> PC NEO 50S/U5-225/8/512/FREE/1</t>
  </si>
  <si>
    <t>512240</t>
  </si>
  <si>
    <t>PCLEN12YJ0003LS</t>
  </si>
  <si>
    <t> M70S U7-265 VPRO/16/1/DVD/W11P</t>
  </si>
  <si>
    <t>495377</t>
  </si>
  <si>
    <t>Computadora Lenovo ThinkCentre M70s Gen 6, Core Ultra 7 265 hasta 5.4GHz, 16GB DDR5-5</t>
  </si>
  <si>
    <t>PREPL8160</t>
  </si>
  <si>
    <t> IMP EPSON MULTIFUN L8160</t>
  </si>
  <si>
    <t>368592</t>
  </si>
  <si>
    <t>Multifuncional de tinta Epson EcoTank L8160, imprime/escanea/copia, LAN/Wi-Fi/USB 2.0</t>
  </si>
  <si>
    <t>PRHP1F3Y2A</t>
  </si>
  <si>
    <t> PRINTER HP TINTA 580</t>
  </si>
  <si>
    <t>411028</t>
  </si>
  <si>
    <t>Impresora All-in-one de tinta HP Smart Tank 580, Imprime, Escanea, Copia/Wi-Fi/BT/USB</t>
  </si>
  <si>
    <t>PRHPSMART790</t>
  </si>
  <si>
    <t> HP SMART TANK 790 PREMIUM</t>
  </si>
  <si>
    <t>438929</t>
  </si>
  <si>
    <t>Mltifuncional de tinta HP Smart Tank 790, imprime/escanea/copia/fax/Wi-Fi/USB/Etherne</t>
  </si>
  <si>
    <t>PRHPST585</t>
  </si>
  <si>
    <t>452535</t>
  </si>
  <si>
    <t>Multifuncional de tinta HP Smart Tank 585, Impresión/Escaneo/Copia/Wi-Fi/Bluetooth LE</t>
  </si>
  <si>
    <t>PRHPST725</t>
  </si>
  <si>
    <t> PRINTER HP SMART TANK 725</t>
  </si>
  <si>
    <t>510152</t>
  </si>
  <si>
    <t>Multifuncional de tinta HP Smart Tank 725, Impresión/Escaneo/Copia/Wi-Fi/Bluetooth LE</t>
  </si>
  <si>
    <t>ACCPUTE8163N</t>
  </si>
  <si>
    <t> COOLER PARA CPU TE-8163N LIQU</t>
  </si>
  <si>
    <t>412685</t>
  </si>
  <si>
    <t>Cooler para procesador Teros TE-8163N, Intel y AMD, TDP 155W Máx, líquida[@@@]Mantén</t>
  </si>
  <si>
    <t>Refrigerador líquido para CPU ASUS Prime LC 360 ARGB White Edition[@@@]El Refrigerado</t>
  </si>
  <si>
    <t>Refrigerador líquido para CPU ASUS TUF Gaming LC III 360 ARGB White Edition[@@@]El Re</t>
  </si>
  <si>
    <t>CPAM4R33200G</t>
  </si>
  <si>
    <t> PROC AMD RYZEN 3 3200G 3.60GHZ</t>
  </si>
  <si>
    <t>308114</t>
  </si>
  <si>
    <t>Procesador AMD Ryzen 3 3200G, 3.60GHz, 4MB L3, 4 Core, AM4, 14nm, 65 W.[@@@]Integra v</t>
  </si>
  <si>
    <t>CPILI512400T</t>
  </si>
  <si>
    <t>514125</t>
  </si>
  <si>
    <t>Procesador Intel Core Ultra 5 250KF PLUS 4.2 / 5.3GHz, 30MB Intel Smart Caché, LGA185</t>
  </si>
  <si>
    <t>Procesador Intel Core Ultra 7 270K PLUS 3.7 / 5.5GHz, 36MB Intel Smart Caché, LGA1851</t>
  </si>
  <si>
    <t>HDIWD122PURP</t>
  </si>
  <si>
    <t> HD WD PURPLE PRO 12TB SATA</t>
  </si>
  <si>
    <t>464752</t>
  </si>
  <si>
    <t>Disco duro Western Digital WD Purple Pro 12TB, SATA, 512MB Cache, 7200 rpm, 3.5".[@@@</t>
  </si>
  <si>
    <t>HDIWD40EFZZ</t>
  </si>
  <si>
    <t> HD WD 4TB RED PLUS SATA 5400</t>
  </si>
  <si>
    <t>510178</t>
  </si>
  <si>
    <t>Disco duro Western Digital Red Plus WD40EFZZ, 4TB, SATA, 5400rpm, 3.5", Cache 128MB[@</t>
  </si>
  <si>
    <t>HDIWD64PURZ</t>
  </si>
  <si>
    <t> HD WD PURPLE 6TB SATA 256MB</t>
  </si>
  <si>
    <t>423982</t>
  </si>
  <si>
    <t>Disco duro Western Digital WD Purple, 6TB, SATA 6.0 Gb/s, 5400 RPM, 256MB Cache, 3.5"</t>
  </si>
  <si>
    <t>HDIWD8002PURP</t>
  </si>
  <si>
    <t> HD WD PURPLE PRO 8TB SATA</t>
  </si>
  <si>
    <t>449432</t>
  </si>
  <si>
    <t>Disco duro Western Digital Purple Pro, 8 TB, SATA, 256MB Cache, 7200RPM, 3.5"[@@@]</t>
  </si>
  <si>
    <t>HDIWD80EFPX</t>
  </si>
  <si>
    <t> HD WD 8TB RED PLUS SATA 5640</t>
  </si>
  <si>
    <t>453007</t>
  </si>
  <si>
    <t>Disco Duro Western Digital Red Plus NAS, WD80EFPX8TB SATA 6Gb/s 5640RPM 3.5" 256MB Ca</t>
  </si>
  <si>
    <t>HD1TOCA10XW3AA</t>
  </si>
  <si>
    <t> HD EXT CANVIO ADVANCE 1TB - WT</t>
  </si>
  <si>
    <t>355941</t>
  </si>
  <si>
    <t>Disco Duro Externo Toshiba Portátil Canvio Advance, 1 TB, USB 3.0 / 2.0, Color: Blanc</t>
  </si>
  <si>
    <t>HDE2TBTOHDTB420</t>
  </si>
  <si>
    <t> HD EXT CANVIO BASICS 2TB 2.5''</t>
  </si>
  <si>
    <t>254013</t>
  </si>
  <si>
    <t>Disco duro externo Toshiba Canvio Basic, 2TB, USB3.0, 2.5", Negro.[@@@]</t>
  </si>
  <si>
    <t>HDEHDTX110XK3AA</t>
  </si>
  <si>
    <t> 1TB CANVIO GAMING BLACK</t>
  </si>
  <si>
    <t>372298</t>
  </si>
  <si>
    <t>HDEHDTX120XSCAA</t>
  </si>
  <si>
    <t> HD EXT CANVIO FLEX 2TB SILVER</t>
  </si>
  <si>
    <t>372302</t>
  </si>
  <si>
    <t>Disco Duro Externo Toshiba Portátil Canvio Flex, 2 TB, USB 3.0 / 2.0, Color: Plata[@@</t>
  </si>
  <si>
    <t>HDEHDTX140XK3CA</t>
  </si>
  <si>
    <t> HD EXT CANVIO GAMING 4TB - BL</t>
  </si>
  <si>
    <t>372300</t>
  </si>
  <si>
    <t>Disco Duro Externo Toshiba Portátil Canvio Gaming, 4 TB, USB 3.0 / 2.0, Color: Negro[</t>
  </si>
  <si>
    <t>HDEHDTX140XSCCA</t>
  </si>
  <si>
    <t> HD EXT CANVIO FLEX 4TB SILVER</t>
  </si>
  <si>
    <t>372303</t>
  </si>
  <si>
    <t>Disco Duro Externo Toshiba Portátil Canvio Flex, 4 TB, USB 3.0 / 2.0, Color: Plata[@@</t>
  </si>
  <si>
    <t>HDESTGX4000400</t>
  </si>
  <si>
    <t>  HDE SEAGATE PORTABLE 4TB 2.5"</t>
  </si>
  <si>
    <t>438919</t>
  </si>
  <si>
    <t>Disco duro externo portatil Seagate STGX4000400, 4TB, USB 3.0, Negro[@@@]</t>
  </si>
  <si>
    <t>PSSTIE30</t>
  </si>
  <si>
    <t> ESTB 3KVA SOLIDO LCR30-4.5%</t>
  </si>
  <si>
    <t>19037</t>
  </si>
  <si>
    <t>Estabilizador Monofasico ELISE IEDA PODER SAFE, LCR30-4.5%, Solido, 3kVA, 220VAC, 6 T</t>
  </si>
  <si>
    <t>PSTRANFTAMF35</t>
  </si>
  <si>
    <t> TRANS AIS TAMF35 IN220/OUT220</t>
  </si>
  <si>
    <t>109187</t>
  </si>
  <si>
    <t>Transformador de aislamiento Elise TAMF-35, Monofásico, 3.5kVA, 220V.[@@@]</t>
  </si>
  <si>
    <t>PSTRANSFTAMF30</t>
  </si>
  <si>
    <t> TRAN AISLAM TAMF-30 IN220/220V</t>
  </si>
  <si>
    <t>27518</t>
  </si>
  <si>
    <t>Transformador de aislamiento monofásico 3KVA 220VAC/220VAC</t>
  </si>
  <si>
    <t>Estabilizador automatico de voltaje con supresionde picos CDP RAVR1008i, 1000VA/500Wa</t>
  </si>
  <si>
    <t>HPU86BME</t>
  </si>
  <si>
    <t> 3Y ONSITE W/PREDICTIVE DETECTI</t>
  </si>
  <si>
    <t>468283</t>
  </si>
  <si>
    <t>MMVDEPBL1485F</t>
  </si>
  <si>
    <t> PROYECTOR BRIGHTLINK 1485FI+</t>
  </si>
  <si>
    <t>372183</t>
  </si>
  <si>
    <t>Proyector Epson BrightLink 1485Fi+ interactivo táctil de distancia ultracorta, Luz La</t>
  </si>
  <si>
    <t>MMVDEPL260F</t>
  </si>
  <si>
    <t> PROYECTOR POWERLITE L260F</t>
  </si>
  <si>
    <t>416170</t>
  </si>
  <si>
    <t>Proyector Laser PowerLite L260F 1080p 3LCD, Wi-Fi, HDMI x2, VGA Input x1, LAN (RJ-45)</t>
  </si>
  <si>
    <t>IMPCR2011289</t>
  </si>
  <si>
    <t> CRICUT BUNDLE MAKER 4</t>
  </si>
  <si>
    <t>508934</t>
  </si>
  <si>
    <t>MBGBB760MGPD4</t>
  </si>
  <si>
    <t> MB GB B760M GMG P WIFI DDR4</t>
  </si>
  <si>
    <t>448222</t>
  </si>
  <si>
    <t>Motherboard Gigabyte B760M GAMING PLUS WIFI DDR4,Chipset Intel B760, LGA1700, mATX[@@</t>
  </si>
  <si>
    <t>MBGBZ790EAGLEAX</t>
  </si>
  <si>
    <t> MB GB Z790 EAGLE AX SVL DDR5</t>
  </si>
  <si>
    <t>448223</t>
  </si>
  <si>
    <t>Motherboard Gigabyte Z790 EAGLE AX (rev. 1.0), Chipset Intel Z790, LGA1700, ATX[@@@]S</t>
  </si>
  <si>
    <t>MBGBZ790MAOELAX</t>
  </si>
  <si>
    <t> MB GB Z790M AORUS ELITE AX DR5</t>
  </si>
  <si>
    <t>473844</t>
  </si>
  <si>
    <t>Motherboard Gigabyte Z790M AORUS ELITE AX, Chipset Intel Z790, LGA1700, micro-ATX[@@@</t>
  </si>
  <si>
    <t>MBASB860M-K</t>
  </si>
  <si>
    <t> MB AS PRIME B860M-K SVL DDR5</t>
  </si>
  <si>
    <t>509702</t>
  </si>
  <si>
    <t>Motherboard ASUS PRIME B860M-K, Chipset Intel B860, LGA 1851, HDMI, DP, mATX[@@@]Sopo</t>
  </si>
  <si>
    <t>MBGBB860MD3HP</t>
  </si>
  <si>
    <t> MB GB B860M D3HP S/V/L DDR5</t>
  </si>
  <si>
    <t>498658</t>
  </si>
  <si>
    <t>Motherboard GIGABYTE B860M D3HP, Chipset Intel B860, LGA 1851, HDMI, DP, mATX[@@@]Sop</t>
  </si>
  <si>
    <t>MBGBB860AELWF7I</t>
  </si>
  <si>
    <t> MB GB B860 A ELITE WF7 ICE DR5</t>
  </si>
  <si>
    <t>517357</t>
  </si>
  <si>
    <t>MBGBB860MAEWF6W</t>
  </si>
  <si>
    <t> MB GB B860M A ELT WF6E ICE DR5</t>
  </si>
  <si>
    <t>508388</t>
  </si>
  <si>
    <t>Motherboard GIGABYTE B860M AORUS ELITE WIFI6, Chipset Intel B860, LGA 1851, HDMI, DP,</t>
  </si>
  <si>
    <t>MBGBB860MAORELT</t>
  </si>
  <si>
    <t> MB GB B860M AORUS ELITE DDR5</t>
  </si>
  <si>
    <t>508310</t>
  </si>
  <si>
    <t>Motherboard GIGABYTE B860M AORUS ELITE, Chipset Intel B860, LGA 1851, mATX[@@@]Soport</t>
  </si>
  <si>
    <t>MBGBH810MGMWFG5</t>
  </si>
  <si>
    <t> MB GB H810M GAMING WIFI6 GEN5</t>
  </si>
  <si>
    <t>519178</t>
  </si>
  <si>
    <t>MBGBA520MDS3HAC</t>
  </si>
  <si>
    <t> MB GB A520M DS3H AC S/V/L DDR4</t>
  </si>
  <si>
    <t>447956</t>
  </si>
  <si>
    <t>Motherboard Gigabyte A520M DS3H AC, AM4, DDR4, DVI-D, HDMI, DP, Micro-ATX[@@@]Soporta</t>
  </si>
  <si>
    <t>MBGBA520MDS3HV2</t>
  </si>
  <si>
    <t> MB GB A520M DS3H S/V/L DDR4</t>
  </si>
  <si>
    <t>436419</t>
  </si>
  <si>
    <t>Motherboard Gigabyte A520M DS3H V2 (rev. 1.0), AM4, DDR4, HDMI, DP, HD Audio.[@@@]Sop</t>
  </si>
  <si>
    <t>MBGBX870EAERXWO</t>
  </si>
  <si>
    <t> MB GB X870E AERO X WOOD DDR5</t>
  </si>
  <si>
    <t>517354</t>
  </si>
  <si>
    <t>MBGBX870GMGWF6</t>
  </si>
  <si>
    <t> MB GB X870 GAMING WF6 DDR5</t>
  </si>
  <si>
    <t>463011</t>
  </si>
  <si>
    <t>Motherboard GIGABYTE X870 GAMING WIFI6, Chipset AMD X870, Socket AMD AM5, ATX[@@@]Sop</t>
  </si>
  <si>
    <t>ME16GKF556C40-B</t>
  </si>
  <si>
    <t>519168</t>
  </si>
  <si>
    <t>ME16XP560SLAB-B</t>
  </si>
  <si>
    <t>519160</t>
  </si>
  <si>
    <t>Memoria U-DIMM ADATA XPG LANCER BLADE RGB, 16GB DDR5-5600MHz PC5-44800 CL46, 1.1V, 28</t>
  </si>
  <si>
    <t>Memoria U-DIMM ADATA XPG LANCER BLADE 16GB DDR5-6000MHz PC5-48000, CL48, 1.1V, 288-pi</t>
  </si>
  <si>
    <t>Memoria U-DIMM ADATA XPG LANCER BLADE RGB, 16GB DDR5-6000MHz PC5-48000 CL48, 1.1V, 28</t>
  </si>
  <si>
    <t>ME48BWDW100RGN</t>
  </si>
  <si>
    <t> MEM RAM 48G(2X24)BW DW100 RGB</t>
  </si>
  <si>
    <t>507837</t>
  </si>
  <si>
    <t>ACKTDTX64GB</t>
  </si>
  <si>
    <t> USB KINGSTON DTX/64GB 3.2</t>
  </si>
  <si>
    <t>361634</t>
  </si>
  <si>
    <t>Memoria Flash USB Kingston DataTraveler Exodia 64GB, USB 3.2 Gen 1[@@@]Presentación e</t>
  </si>
  <si>
    <t> CUADERNO TOURS GD</t>
  </si>
  <si>
    <t>Monitor curvo ADVANCE ADV-2751S, 27" FHD VA, 100Hz, 1ms, HDMI, DP, Audio out, Parlant</t>
  </si>
  <si>
    <t>MON27CADV2752S</t>
  </si>
  <si>
    <t> MON ADV 27\'' FHD 144HZ 1MS CV</t>
  </si>
  <si>
    <t>510079</t>
  </si>
  <si>
    <t>Monitor curvo Advance ADV-2752S, 27" FHD VA, 144Hz, 1ms, HDMI, DP, Audio out, Parlant</t>
  </si>
  <si>
    <t>MON27CTE2734S</t>
  </si>
  <si>
    <t> MON TE 27\'' FHD 144HZ 1MS CV</t>
  </si>
  <si>
    <t>503368</t>
  </si>
  <si>
    <t>Monitor curvo Teros TE-2734S, 27" FHD VA, 144HZ, 1MS, HDMI, DP, Audio out[@@@]Lleva t</t>
  </si>
  <si>
    <t>MOV32LG32MR50C</t>
  </si>
  <si>
    <t> MON LG 32" VA CURVO (32MR50C)</t>
  </si>
  <si>
    <t>446923</t>
  </si>
  <si>
    <t>Monitor LG 32MR50C, 31.5" FHD VA (1920x1080), 100Hz, HDMI x1, VGA x1, Headphone-Out x</t>
  </si>
  <si>
    <t>MON238CTE2476G</t>
  </si>
  <si>
    <t> MON TE 24\'' FHD 180HZ 1MS CV</t>
  </si>
  <si>
    <t>486169</t>
  </si>
  <si>
    <t>Monitor curvo gaming TEROS TE-2476G, 23.8" FHD VA, 180Hz, 1ms, HDMI, DP, Audio out[@@</t>
  </si>
  <si>
    <t>MON27CTE2787G</t>
  </si>
  <si>
    <t> MON TE 27\'' FHD 180HZ 1MS CUR</t>
  </si>
  <si>
    <t>484977</t>
  </si>
  <si>
    <t>Monitor curvo gaming TEROS TE-2787G 27" FHD VA 180Hz 1ms HDMI DP AUDIO OUT Negro[@@@]</t>
  </si>
  <si>
    <t>Monitor Lenovo ThinkVision T24D-40, 23.8" 1920x1080 WLED IPS HDMI/DP/RJ-45/Raven Blac</t>
  </si>
  <si>
    <t>MO24ASVA249HG</t>
  </si>
  <si>
    <t> MON 24 AS VA249HG FHD 120HZ 1M</t>
  </si>
  <si>
    <t>511792</t>
  </si>
  <si>
    <t>Monitor Plano Gaming Asus VA249HG, 23.8" FHD IPS,120HZ, 1MS, HDMI, VGA,[@@@]Lleva tu</t>
  </si>
  <si>
    <t>MO24ASVG249QE5A</t>
  </si>
  <si>
    <t> MON 24 AS VG249QE5A FHD 1M 144</t>
  </si>
  <si>
    <t>482046</t>
  </si>
  <si>
    <t>Monitor Plano ASUS TUF Gaming VG249QE5A, 23.8" FHD/IPS/HDMI/DP/Earphone-out/Parlante(</t>
  </si>
  <si>
    <t>MO27ASVG279QE5A</t>
  </si>
  <si>
    <t> MON 27 AS VG279QE5A FHD 1M 144</t>
  </si>
  <si>
    <t>482036</t>
  </si>
  <si>
    <t>Monitor Plano ASUS TUF Gaming VG279QE5A, 27" LED IPS (1920x1080) HDMI/DP/Earphone Jac</t>
  </si>
  <si>
    <t>MO27ASXG27ACMES</t>
  </si>
  <si>
    <t> MON 27 AS XG27ACMES 2K 255HZ</t>
  </si>
  <si>
    <t>515113</t>
  </si>
  <si>
    <t>MO27MS274QRFWX3</t>
  </si>
  <si>
    <t> MON 27 MS 274QRFW X32 2K 320HZ</t>
  </si>
  <si>
    <t>508039</t>
  </si>
  <si>
    <t>Monitor Plano Gamer MSI MAG 274QRFWX32, 27" WQHD FAST IPS, 320HZ, 0.5MS, HDMI, DP[@@@</t>
  </si>
  <si>
    <t>MO27MSMP273WE14</t>
  </si>
  <si>
    <t> MON 27 MS PRO MP273W E14A FHD</t>
  </si>
  <si>
    <t>510739</t>
  </si>
  <si>
    <t>Monitor Plano MSI PRO MP273W E14A, 27" FHD IPS, 144HZ,1MS, HDMI, DP, VGA, Earphone Ou</t>
  </si>
  <si>
    <t>MON27FTE2769G</t>
  </si>
  <si>
    <t> MON TE 27\'' QHD 180HZ 1MS FT</t>
  </si>
  <si>
    <t>461940</t>
  </si>
  <si>
    <t>Monitor Plano Gaming TEROS TE-2769G, 27" QHD IPS,180 Hz, 1ms, HDMI, DP, Audio[@@@]Pot</t>
  </si>
  <si>
    <t>Monitor plano TEROS TE-2416CS, 23.8" QHD IPS, 100Hz, 1ms, HDMI, DP, Cámara, Micrófono</t>
  </si>
  <si>
    <t>Mouse Lenovo ThinkPad silencioso, Sensor optico Azul, Interfaz Bluetooth, Color Negro</t>
  </si>
  <si>
    <t>MSTE5169N</t>
  </si>
  <si>
    <t> MOUSE TEROS TE-5169 VERTICAL</t>
  </si>
  <si>
    <t>420255</t>
  </si>
  <si>
    <t>Mouse Inalámbrico Teros TE-5169N, 2.4G+Bluetooth,2400 DPI, USB, Color Negro[@@@]Poten</t>
  </si>
  <si>
    <t>MSWBKTE1228S</t>
  </si>
  <si>
    <t> MOUSE STD WIRELESS TE1228 BK</t>
  </si>
  <si>
    <t>467239</t>
  </si>
  <si>
    <t>Mouse Inalámbrico Teros TE-1228S, 6 Botones, 2.4GHz, USB, Color Negro[@@@]Descubre el</t>
  </si>
  <si>
    <t>MSWBKTE1249AI</t>
  </si>
  <si>
    <t> AI MOUSE WIRELESS TE1249AI NEG</t>
  </si>
  <si>
    <t>503572</t>
  </si>
  <si>
    <t>Mouse Inalámbrico Teros TE-1249AI, 2.4GHz, 8 botones, IA, DPI 3200, USB, BT[@@@]Poten</t>
  </si>
  <si>
    <t>MSWBKTE1250AI</t>
  </si>
  <si>
    <t> AI MOUSE WIRELESS TE1250AI WHI</t>
  </si>
  <si>
    <t>503652</t>
  </si>
  <si>
    <t>Mouse Inalámbrico Teros TE-1250AI , 2.4GHz, 8 botones, IA, DPI 3200, USB, BT[@@@]Desc</t>
  </si>
  <si>
    <t>ZZMSWBKTE1231S</t>
  </si>
  <si>
    <t>518758</t>
  </si>
  <si>
    <t>ZZMSWDPPLTE1239</t>
  </si>
  <si>
    <t>518756</t>
  </si>
  <si>
    <t>ZZMSCBKTE1229S</t>
  </si>
  <si>
    <t>518755</t>
  </si>
  <si>
    <t>Notebook Asus PM1503CDA-S70514 15.6” LED FHD IPS AMD Ryzen 5 -150 3.3/4.55GHz, 16GB D</t>
  </si>
  <si>
    <t>NBLEN82XQ00LTLM</t>
  </si>
  <si>
    <t> NB 15 R5 8 512 W11 C/MALETIN</t>
  </si>
  <si>
    <t>461376</t>
  </si>
  <si>
    <t>Notebook Lenovo IdeaPad Slim 3 15.6" FHD TN AMD Ryzen 5 7520U 2.8/4.3GHz, 8GB LPDDR5-</t>
  </si>
  <si>
    <t>NBLEN82XQ00N6LM</t>
  </si>
  <si>
    <t> NB LEN 15 R5-72U 16 512 FR C/M</t>
  </si>
  <si>
    <t>467970</t>
  </si>
  <si>
    <t>Notebook Lenovo IdeaPad Slim 3 15.6" FHD TN AMD Ryzen 5 7520U 2.8/4.3GHz, 16GB LPDDR5</t>
  </si>
  <si>
    <t>Notebook Asus PM1503CDA-S70276 15.6” LED FHD IPS AMD Ryzen 7 170 3.2/4.75GHz, 16GB DD</t>
  </si>
  <si>
    <t>NBHPB77CBLTABM</t>
  </si>
  <si>
    <t> NB HP 255G10 R7-7735U/16/512/F</t>
  </si>
  <si>
    <t>510031</t>
  </si>
  <si>
    <t>NBLEN83K600B6LM</t>
  </si>
  <si>
    <t> NB LEN 14 R7-7 16 512 FREE</t>
  </si>
  <si>
    <t>511542</t>
  </si>
  <si>
    <t>NBADVNV9857GRYW</t>
  </si>
  <si>
    <t> NB ADV 15 CEL 8 256 W11H</t>
  </si>
  <si>
    <t>518614</t>
  </si>
  <si>
    <t>NB ASUS Vivobook 15, X1504VA-BQ4164, 15.6" FHD IPS, Core 5-120U 1.4-5.0GHz/8GB DDR5[@</t>
  </si>
  <si>
    <t>NB ASUS Vivobook 16, X1605VAPBF-MB236, 16" WUXGA IPS, Core 9 270H 2.7-5.8GHz/16GB DDR</t>
  </si>
  <si>
    <t>NBLEN83K100KELM</t>
  </si>
  <si>
    <t> NB LEN 15 I5-13 8 512 FREE</t>
  </si>
  <si>
    <t>481852</t>
  </si>
  <si>
    <t>Notebook Lenovo IdeaPad Slim 3, 15.3" WUXGA IPS, Core i5-13420H 2.1/4.6GHz, 8GB DDR5-</t>
  </si>
  <si>
    <t>NBLEN83K10152LM</t>
  </si>
  <si>
    <t> NB LEN 15.3 I5-13 8 512 FREE</t>
  </si>
  <si>
    <t>511498</t>
  </si>
  <si>
    <t>NBLEN83K200BMLM</t>
  </si>
  <si>
    <t> NB LEN 16 I5-13 16 512 FREE</t>
  </si>
  <si>
    <t>512231</t>
  </si>
  <si>
    <t>NB Lenovo IdeaPad Slim 3 15IRH10, 15.3" WUXGA IPS, Core i7-13620H hasta 4.9GHz, 16GB</t>
  </si>
  <si>
    <t>NBHPBN4C8LTABM</t>
  </si>
  <si>
    <t> NB HP EB6 14/U7-255U/16/512/WP</t>
  </si>
  <si>
    <t>500111</t>
  </si>
  <si>
    <t>NB HP EliteBook 6 G1i 14" WUXGA UWVA, Core Ultra 7 255U 2/5.2GHz, 16GB DDR5, 512GB SS</t>
  </si>
  <si>
    <t>NBLEN21SJ00B1LM</t>
  </si>
  <si>
    <t> NB LE TB14/U7-255H/16/512/W11P</t>
  </si>
  <si>
    <t>512159</t>
  </si>
  <si>
    <t>NHPBB2R8LTABM</t>
  </si>
  <si>
    <t> NB HP EBX/U7-268V/32/1/VPRO/WP</t>
  </si>
  <si>
    <t>510061</t>
  </si>
  <si>
    <t>NB HP EliteBook X G1i 14" WUXGA UWVA Tactil, CoreUltra 7 268V 2.2/5GHz, 32GB LPDDR5X[</t>
  </si>
  <si>
    <t>Notebook HP Victus Gaming 15-fa2035la, 15.6” FHD IPS, Core i5-13420H hasta 4.6G, 8GB</t>
  </si>
  <si>
    <t>NB ASUS ROG Strix G16 G615JMR-RV396W/16" WUXGA IPS/Core i9-14900HX 5.8G/16GB DDR5/RTX</t>
  </si>
  <si>
    <t>NBWLE21QU0007LM</t>
  </si>
  <si>
    <t> NBW P14S U7-255H/32/1/V6/W11P</t>
  </si>
  <si>
    <t>503516</t>
  </si>
  <si>
    <t>Notebook Lenovo ThinkPad P14s Gen 6, 14.5" WUXGA IPS, Core Ultra 7 255H 5.1GHz, 32GB</t>
  </si>
  <si>
    <t>NBWLE21RT0009LM</t>
  </si>
  <si>
    <t> NB WS P16V/U7-255H/32/1T/V8/WP</t>
  </si>
  <si>
    <t>512630</t>
  </si>
  <si>
    <t>Cable Lenovo USB-C a USB-C de 2 m[@@@]Mantente conectado con hosts y dispositivos USB</t>
  </si>
  <si>
    <t>ACCKFS5EXT156NB</t>
  </si>
  <si>
    <t> 2-EXTENSOR DE PANTALLA 15.6 NB</t>
  </si>
  <si>
    <t>KEFEYA</t>
  </si>
  <si>
    <t>518437</t>
  </si>
  <si>
    <t>ACCUSB2MNEXTFNB</t>
  </si>
  <si>
    <t> EXTENSOR DE PANTALLA 14'' P/NB</t>
  </si>
  <si>
    <t>449309</t>
  </si>
  <si>
    <t>Extensor de monitor de 14" para portatiles de 13"- 17", FHD (1920x1080), IPS, USB-C/H</t>
  </si>
  <si>
    <t>ACCUSB3MNEXTFNB</t>
  </si>
  <si>
    <t> 2-EXTENSOR DE PANTALLA 14'' NB</t>
  </si>
  <si>
    <t>449310</t>
  </si>
  <si>
    <t>Extensor Dual de monitor 14" para portatiles de 13"-17", FHD (1920x1080), IPS, USB-C/</t>
  </si>
  <si>
    <t> DAP‑1610 AMPLIFICADOR DE</t>
  </si>
  <si>
    <t>NWHPEJ4858D</t>
  </si>
  <si>
    <t> ARUBA 1G SFP LC SX 500M MMF XC</t>
  </si>
  <si>
    <t>284290</t>
  </si>
  <si>
    <t>Modulo transceptor HP Aruba J4858D, 1000Base-SX, GbE, SFP.[@@@]</t>
  </si>
  <si>
    <t>Fuente de poder Lenovo ThinkSystem 750W 230V/115V/80 PLUS Platinum/Hot-Swap Gen2[@@@]</t>
  </si>
  <si>
    <t>SVLEN4P57A72670</t>
  </si>
  <si>
    <t>440174</t>
  </si>
  <si>
    <t>NWSHTE90605W</t>
  </si>
  <si>
    <t> CAMARA SMART 3MP TE90605W</t>
  </si>
  <si>
    <t>463235</t>
  </si>
  <si>
    <t>Cámara inteligente TEROS TE-90605W, resolución 3 MP, Wi-Fi, color blanco[@@@]Descubre</t>
  </si>
  <si>
    <t>Bitdefender Antivirus Plus - Licencia de 1 año para un dispositivo[@@@]El Bitdefender</t>
  </si>
  <si>
    <t>Bitdefender Antivirus Plus - (2 Licencias Independientes x 1) Para un dispositivo x 1</t>
  </si>
  <si>
    <t>Bitdefender Antivirus Plus - Licencia de 1 año para 3 dispositivos[@@@]El Bitdefender</t>
  </si>
  <si>
    <t>Bitdefender Total Security - Licencia de 1 año para 3 dispositivos[@@@]El Bitdefender</t>
  </si>
  <si>
    <t>Bitdefender Total Security - Licencia de 1 año para 5 dispositivos[@@@]El Bitdefender</t>
  </si>
  <si>
    <t>SWS11010227</t>
  </si>
  <si>
    <t> ESET ANT NOD32 1PC (2X1)+1MG</t>
  </si>
  <si>
    <t>471698</t>
  </si>
  <si>
    <t>SWS11010231</t>
  </si>
  <si>
    <t> ESET ANTIVIRUS NOD 32 2026 5PC</t>
  </si>
  <si>
    <t>517230</t>
  </si>
  <si>
    <t> ESET NOD 32 2X1 + 1MBG 2026</t>
  </si>
  <si>
    <t>SWS11030204</t>
  </si>
  <si>
    <t> ESET HOME SEC PREM 1PC 30%OFF</t>
  </si>
  <si>
    <t>485322</t>
  </si>
  <si>
    <t>SWS11030214</t>
  </si>
  <si>
    <t> ESET SEC ESSENTIAL 10 PC 14M</t>
  </si>
  <si>
    <t>510403</t>
  </si>
  <si>
    <t>SWS11030219</t>
  </si>
  <si>
    <t> ESET HSEC PREM 2026 10DISP 14M</t>
  </si>
  <si>
    <t>517232</t>
  </si>
  <si>
    <t> SSD BW M100 256GB SATA 2.5\''</t>
  </si>
  <si>
    <t>473310</t>
  </si>
  <si>
    <t>Unidad en estado Solido (SSD) Biwin M100, 256GB, SATA III (6.0Gb/s), 2.5"[@@@]Dale nu</t>
  </si>
  <si>
    <t>SDDHSENCLOMDR1</t>
  </si>
  <si>
    <t> SSD ENCLOSURE M.2 CON RGB</t>
  </si>
  <si>
    <t>518196</t>
  </si>
  <si>
    <t>SSDHSENCLOMD202</t>
  </si>
  <si>
    <t> SSD HIKSEMI ENCLOSURE M.2</t>
  </si>
  <si>
    <t>518197</t>
  </si>
  <si>
    <t>SSDHSFUTLIT512</t>
  </si>
  <si>
    <t> SSD HIKSEMI FUTURE LITE 512GB</t>
  </si>
  <si>
    <t>511822</t>
  </si>
  <si>
    <t>Unidad de estado solido Hiksemi Future Lite, 512 GB, M.2 2280, GEN 4.0 x 4, 6320 MB/S</t>
  </si>
  <si>
    <t>SSDHSWAVEP256</t>
  </si>
  <si>
    <t> SSD HIKSEMI WAVE (P) 256GB</t>
  </si>
  <si>
    <t>511818</t>
  </si>
  <si>
    <t>Unidad de estado solido Hiksemi Consumo Wave (P),256GB, M.2 2280, PCIe, 2280 MB/S[@@@</t>
  </si>
  <si>
    <t>SSDHSWAVEP512</t>
  </si>
  <si>
    <t> SSD HIKSEMI WAVE (P) 512GB</t>
  </si>
  <si>
    <t>511820</t>
  </si>
  <si>
    <t>Unidad de estado solido Hiksemi Consumo Wave (P),512GB, M.2 2280, PCIe, 2230 MB/S[@@@</t>
  </si>
  <si>
    <t>SSDKTSFYRDK4000</t>
  </si>
  <si>
    <t> SSD KT FURY R. 4TB NVME W/HTSK</t>
  </si>
  <si>
    <t>426745</t>
  </si>
  <si>
    <t>Unidad en estado solido Kingston FURY Renegade 4TB, M.2 2280 PCIe 4.0 x4 NVMe.[@@@]Ve</t>
  </si>
  <si>
    <t>SSDWDS200T3G0C</t>
  </si>
  <si>
    <t> SSD WD SN350 2TB GREEN NVME</t>
  </si>
  <si>
    <t>379635</t>
  </si>
  <si>
    <t>Unidad en estado solido Western Digital Green SN350 NVMe 2TB M.2 2280, PCIe Gen3 x4[@</t>
  </si>
  <si>
    <t>SSDWDS500G2G0C</t>
  </si>
  <si>
    <t> SSD WD SN350 500GB GREEN NVME</t>
  </si>
  <si>
    <t>422502</t>
  </si>
  <si>
    <t>Unidad en estado solido Western Digital Green SN350 NVMe, 500GB M.2 2280[@@@]Interfaz</t>
  </si>
  <si>
    <t>STEPT554120</t>
  </si>
  <si>
    <t> BOTELLA DE TINTA NEGRA T55</t>
  </si>
  <si>
    <t>377036</t>
  </si>
  <si>
    <t>STEPT673520</t>
  </si>
  <si>
    <t> TINTA EPSON L800 CIAN CLARO</t>
  </si>
  <si>
    <t>86241</t>
  </si>
  <si>
    <t>Botella de tinta EPSON 673 (T673520), color cian claro, contenido 70 ml, para impreso</t>
  </si>
  <si>
    <t>STEPERC-32B</t>
  </si>
  <si>
    <t> CINTA EPSON ERC-32B</t>
  </si>
  <si>
    <t>58044</t>
  </si>
  <si>
    <t>Cinta EPSON ERC-32 B, color negro, presentación en caja</t>
  </si>
  <si>
    <t>ACCEPC12C934461</t>
  </si>
  <si>
    <t> CAJA DE MANTENIMIENTO L5590</t>
  </si>
  <si>
    <t>426460</t>
  </si>
  <si>
    <t>ACCTCTE7057N</t>
  </si>
  <si>
    <t> POWERBANK PD3.0 20000MAH</t>
  </si>
  <si>
    <t>474066</t>
  </si>
  <si>
    <t>Powerbank TEROS TE-7057N, 20000MAh, USB-A, USB-C,negro[@@@]Mantén tus dispositivos ca</t>
  </si>
  <si>
    <t>TBLENZAEJ0105PE</t>
  </si>
  <si>
    <t> TAB LEN LTE TB311XU 4G 128G</t>
  </si>
  <si>
    <t>461654</t>
  </si>
  <si>
    <t>Tablet Lenovo Idea 10.1” WUXGA (1920x1200) TFT LCD (IPS) /Touch/Android 14 o Superior</t>
  </si>
  <si>
    <t>TBLENZAF00190PE</t>
  </si>
  <si>
    <t> TAB LEN ONE 8.4 4 128 WIFI GRI</t>
  </si>
  <si>
    <t>469544</t>
  </si>
  <si>
    <t>Tablet Lenovo Tab One ZAF00190PE, 8.7" HD (1340x800) IPS, 4GB RAM LPDDR4x, 128GB eMMC</t>
  </si>
  <si>
    <t> TAB LEN IDEA 8GB 128GB 11' WIF</t>
  </si>
  <si>
    <t>TBZAEJ0105PER</t>
  </si>
  <si>
    <t> TAB TB311XU LEN 4GB 128GB LTE</t>
  </si>
  <si>
    <t>477560</t>
  </si>
  <si>
    <t>Teclado y Mouse inalámbricos multimodo Lenovo ProCombo 6000-LA Español 171 (sin bater</t>
  </si>
  <si>
    <t>KBMSWBKTE4071S</t>
  </si>
  <si>
    <t> TECLADO+MOUSE STD W. TE4071</t>
  </si>
  <si>
    <t>463234</t>
  </si>
  <si>
    <t>Kit teclado y mouse TEROS TE-4071S, inalámbrico, 2.4 GHz, acabado elegante, negro, es</t>
  </si>
  <si>
    <t>VD12ARB580CL</t>
  </si>
  <si>
    <t> VGA 12G AR ARC B580 CHAL GDDR6</t>
  </si>
  <si>
    <t>483754</t>
  </si>
  <si>
    <t>Tarjeta de video ASRock Intel Arc B580 Challenger12GB OC, 12 GB GDDR6, PCI-e 4.0[@@@]</t>
  </si>
  <si>
    <t>VD16ARRX9070XTW</t>
  </si>
  <si>
    <t> VGA 16G AR RX9070XT TAICHI WHI</t>
  </si>
  <si>
    <t>510444</t>
  </si>
  <si>
    <t>Tarjeta de video ASRock AMD Radeon RX 9070 XT Taichi White 16GB OC, 16 GDDR6 PCI-E 5.</t>
  </si>
  <si>
    <t>VD16ARRX907XTTC</t>
  </si>
  <si>
    <t> VGA 16G AR RX9070XT TAICHI GD6</t>
  </si>
  <si>
    <t>499952</t>
  </si>
  <si>
    <t>Tarjeta de video ASRock AMD Radeon RX 9070 XT Taichi 16GB OC, 16GB GDDR6, PCI-E 5.0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</si>
</sst>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S/&quot;\ * #,##0_-;\-&quot;S/&quot;\ * #,##0_-;_-&quot;S/&quot;\ * &quot;-&quot;??_-;_-@_-"/>
    <numFmt numFmtId="165" formatCode="&quot;S/&quot;\ #,##0"/>
    <numFmt numFmtId="166" formatCode="_-[$S/-280A]\ * #,##0_-;\-[$S/-280A]\ * #,##0_-;_-[$S/-280A]\ * &quot;-&quot;??_-;_-@_-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sz val="8"/>
      <color rgb="FF00B050"/>
      <name val="Verdana"/>
      <family val="2"/>
    </font>
    <font>
      <sz val="8"/>
      <color rgb="FFFF3399"/>
      <name val="Verdana"/>
      <family val="2"/>
    </font>
    <font>
      <sz val="8"/>
      <color theme="3" tint="0.39997558519241921"/>
      <name val="Verdana"/>
      <family val="2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33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72"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B050"/>
        <name val="Verdana"/>
        <family val="2"/>
        <scheme val="none"/>
      </font>
      <numFmt numFmtId="165" formatCode="&quot;S/&quot;\ #,##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rgb="FFFF3399"/>
        <name val="Verdana"/>
        <family val="2"/>
        <scheme val="none"/>
      </font>
      <numFmt numFmtId="166" formatCode="_-[$S/-280A]\ * #,##0_-;\-[$S/-280A]\ * #,##0_-;_-[$S/-280A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3" tint="0.39997558519241921"/>
        <name val="Verdana"/>
        <family val="2"/>
        <scheme val="none"/>
      </font>
      <numFmt numFmtId="164" formatCode="_-&quot;S/&quot;\ * #,##0_-;\-&quot;S/&quot;\ * #,##0_-;_-&quot;S/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2E929-B650-4928-A033-F3B04FA1DA9E}" name="Tabla1" displayName="Tabla1" ref="A1:J2407" totalsRowShown="0" headerRowDxfId="71" dataDxfId="69" headerRowBorderDxfId="70" tableBorderDxfId="68">
  <autoFilter ref="A1:J2407" xr:uid="{9152E929-B650-4928-A033-F3B04FA1DA9E}"/>
  <sortState xmlns:xlrd2="http://schemas.microsoft.com/office/spreadsheetml/2017/richdata2" ref="A2:J2407">
    <sortCondition ref="D1:D2407"/>
  </sortState>
  <tableColumns count="10">
    <tableColumn id="1" xr3:uid="{5E7AB560-39D5-48BA-BB2F-55D33E0EF285}" name="CODIGO" dataDxfId="67"/>
    <tableColumn id="2" xr3:uid="{5E327936-82E8-4DDE-88EB-81FF82C89ADB}" name="DESCRIPCION" dataDxfId="66"/>
    <tableColumn id="3" xr3:uid="{12B8D6EE-232C-4DB2-9A27-C4B8E0000BAA}" name="STOCK" dataDxfId="65"/>
    <tableColumn id="4" xr3:uid="{FC7974D2-BFCA-4CF5-9C51-8903B6D3FE40}" name="PRECIO $" dataDxfId="64"/>
    <tableColumn id="5" xr3:uid="{A77B5974-403A-44B5-B0CA-69956CDE9FE3}" name="MARCA" dataDxfId="63"/>
    <tableColumn id="6" xr3:uid="{2162BA3C-E47D-4C33-A039-F58A3774A2DD}" name="MINI CODIGO" dataDxfId="62"/>
    <tableColumn id="7" xr3:uid="{C949476A-A627-4C6B-82A7-EF2C7D592B43}" name="DETALLES" dataDxfId="61"/>
    <tableColumn id="8" xr3:uid="{E975A22D-7BF6-4A02-8E56-104C3DD535C4}" name="PRECIO EN SOLES" dataDxfId="60">
      <calculatedColumnFormula>ROUND(
IF(L2="GANCHO",
   IF(I2&lt;=50,I2*1.1+4,IF(I2&lt;=120,I2*1.1+7,IF(I2&lt;=250,I2*1.1+11,I2*1.1+19))),
IF(L2="NORMAL",
   IF(I2&lt;=30,I2*1.15+2,IF(I2&lt;=80,I2*1.15+4,IF(I2&lt;=150,I2*1.15+6,I2*1.15+8))),
IF(L2="COMPLEMENTO",
   IF(I2&lt;=25,I2*1.25+1.5,IF(I2&lt;=60,I2*1.25+3,IF(I2&lt;=120,I2*1.25+4,I2*1.25+5))),
""))),2)</calculatedColumnFormula>
    </tableColumn>
    <tableColumn id="9" xr3:uid="{226B2EEA-DBB4-4A08-95B7-8D757013498B}" name="PC" dataDxfId="59">
      <calculatedColumnFormula>($K$2+0.02)*Tabla1[[#This Row],[PRECIO $]]*1.18</calculatedColumnFormula>
    </tableColumn>
    <tableColumn id="10" xr3:uid="{CE91A1B4-20E9-4D00-ADDB-592DD1F34BEC}" name="G" dataDxfId="58">
      <calculatedColumnFormula>+Tabla1[[#This Row],[PRECIO EN SOLES]]-Tabla1[[#This Row],[PC]]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5B9343-FFD3-42D8-98A2-F173E1381CF8}" name="Tabla2" displayName="Tabla2" ref="K1:L2405" totalsRowShown="0" headerRowDxfId="57" dataDxfId="56">
  <autoFilter ref="K1:L2405" xr:uid="{455B9343-FFD3-42D8-98A2-F173E1381CF8}"/>
  <tableColumns count="2">
    <tableColumn id="1" xr3:uid="{319D0C3A-2B74-44FD-A882-F467A7D82439}" name="T.C." dataDxfId="55"/>
    <tableColumn id="2" xr3:uid="{86E0757B-80CA-4A7C-8026-52229427F741}" name="SKU" dataDxfId="54">
      <calculatedColumnFormula>IF(
OR(
ISNUMBER(SEARCH("BACKPACK",B2)),
ISNUMBER(SEARCH("MOCHILA",B2)),
ISNUMBER(SEARCH("FUNDA",B2)),
ISNUMBER(SEARCH("ESTUCHE",B2)),
ISNUMBER(SEARCH("BOOK COVER",B2)),
ISNUMBER(SEARCH("KEYBOARD PARA TABLET",B2)),
ISNUMBER(SEARCH("FLIP TABLET",B2)),
ISNUMBER(SEARCH("CASE FOR TABLET",B2)),
ISNUMBER(SEARCH("CABLE",B2)),
ISNUMBER(SEARCH("ADAPTADOR",B2)),
ISNUMBER(SEARCH("HUB",B2)),
ISNUMBER(SEARCH("DOCK",B2)),
ISNUMBER(SEARCH("MOUSE PAD",B2)),
ISNUMBER(SEARCH("MOUSEPAD",B2)),
ISNUMBER(SEARCH("SOPORTE",B2)),
ISNUMBER(SEARCH("STAND",B2)),
ISNUMBER(SEARCH("TRAVEL ADAPTER",B2)),
ISNUMBER(SEARCH("RJ45",B2)),
ISNUMBER(SEARCH("USB-C",B2)),
ISNUMBER(SEARCH("USB WIFI",B2)),
ISNUMBER(SEARCH("POWERBANK",B2)),
ISNUMBER(SEARCH("CARGADOR",B2)),
ISNUMBER(SEARCH("COOLER PARA NB",B2)),
ISNUMBER(SEARCH("SOPORTE PARA NB",B2)),
ISNUMBER(SEARCH("WEBCAM",B2)),
ISNUMBER(SEARCH("WEB CAM",B2)),
ISNUMBER(SEARCH("MOUSE",B2)),
ISNUMBER(SEARCH("TECLADO",B2))
),
"COMPLEMENTO",
IF(
OR(
LEFT(A2,2)="NB",
LEFT(A2,2)="PC",
LEFT(A2,2)="WS",
LEFT(A2,2)="TB",
LEFT(A2,3)="CEL",
LEFT(A2,3)="MON",
LEFT(A2,3)="PRE",
LEFT(A2,3)="PRH",
ISNUMBER(SEARCH("NOTEBOOK",B2)),
ISNUMBER(SEARCH("LAPTOP",B2)),
ISNUMBER(SEARCH("MONITOR",B2)),
ISNUMBER(SEARCH("TABLET",B2)),
ISNUMBER(SEARCH("SMARTPH",B2)),
ISNUMBER(SEARCH("IMPRESORA",B2)),
ISNUMBER(SEARCH("MULTIFUNCIONAL",B2)),
ISNUMBER(SEARCH("AIO",B2))
),
"GANCHO",
"NORMAL"
)
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8E2027-0902-46E1-99DD-F710F491C37E}" name="Tabla3" displayName="Tabla3" ref="A1:AQ419" totalsRowShown="0" headerRowDxfId="53" dataDxfId="52">
  <tableColumns count="43">
    <tableColumn id="32" xr3:uid="{FDDC4F0B-9045-443D-8C76-CA735FA31908}" name="PROMO" dataDxfId="51"/>
    <tableColumn id="39" xr3:uid="{1AC7D975-804D-4302-86F4-1593B71BBDBB}" name="Laptop Gamer" dataDxfId="50"/>
    <tableColumn id="9" xr3:uid="{57B5AA43-5593-4F4F-B2E8-0BD2EF5A44B7}" name="Laptops" dataDxfId="49"/>
    <tableColumn id="28" xr3:uid="{5C8DE879-AEFD-47F7-8695-A8F3FAA60016}" name="Acces_Lap" dataDxfId="48"/>
    <tableColumn id="34" xr3:uid="{968EC682-C88F-4FF5-B53D-55A682D0C85A}" name="SSD" dataDxfId="47"/>
    <tableColumn id="1" xr3:uid="{0AE678DB-A499-4AD9-9166-CDAB74BED2AA}" name="NVME" dataDxfId="46"/>
    <tableColumn id="14" xr3:uid="{C8EEF5B9-F80E-48A2-8313-A9D608020A4B}" name="DD EXTERNOS" dataDxfId="45"/>
    <tableColumn id="29" xr3:uid="{CB483CCA-7E87-4C79-8586-760BEC639CB2}" name="TARJETAS DE VIDEO" dataDxfId="44"/>
    <tableColumn id="35" xr3:uid="{3B5ED23B-04E8-4836-A7B4-DB37438CE75B}" name="RAM NB" dataDxfId="43"/>
    <tableColumn id="38" xr3:uid="{345A0DB8-5FC8-4AB8-B4EE-7E15820DDB6C}" name="RAM PC" dataDxfId="42"/>
    <tableColumn id="2" xr3:uid="{9B8FDC90-F7B0-49FC-A283-A47B4EED5F01}" name="MF USB" dataDxfId="41"/>
    <tableColumn id="37" xr3:uid="{9EE22681-4FCE-4D35-960A-B07FE2E85922}" name="MF SD" dataDxfId="40"/>
    <tableColumn id="10" xr3:uid="{1846EE66-568B-474B-AA84-D2401D0A6F21}" name="COMPUTADORAS" dataDxfId="39"/>
    <tableColumn id="21" xr3:uid="{901B28E7-C96F-4FED-BCB7-7019FC78722D}" name="MONITORES" dataDxfId="38"/>
    <tableColumn id="15" xr3:uid="{F199FE70-04B0-4D28-8DC3-9B4830A55D54}" name="DD INTERNO" dataDxfId="37"/>
    <tableColumn id="5" xr3:uid="{F747F7EC-112B-4D09-9A10-FF73234673AD}" name="CASE" dataDxfId="36"/>
    <tableColumn id="19" xr3:uid="{88E44B5A-B3DA-4C4B-B333-4AC9186FF69F}" name="Impresoras" dataDxfId="35"/>
    <tableColumn id="8" xr3:uid="{489FB847-A50B-4D36-99CF-CDF5FFE308CB}" name="ACCESORIOS" dataDxfId="34"/>
    <tableColumn id="3" xr3:uid="{98D5601F-BC5C-4C0F-84C1-07CE54717DCF}" name="MULTIMEDIA" dataDxfId="33"/>
    <tableColumn id="23" xr3:uid="{00BEC416-4394-46C9-A0DB-D679EA965280}" name="MOUSE" dataDxfId="32"/>
    <tableColumn id="4" xr3:uid="{343C7A80-6334-47AC-BDC0-A5F1083A69CA}" name="SIXS" dataDxfId="31"/>
    <tableColumn id="6" xr3:uid="{CFFDFDA5-D923-4682-AF34-310EB309D152}" name="REDES" dataDxfId="30"/>
    <tableColumn id="7" xr3:uid="{659A6E71-1F64-4D93-BBB0-E895A7156F15}" name="Fuentes de Poder" dataDxfId="29"/>
    <tableColumn id="11" xr3:uid="{C126A45A-BB7E-4E8B-9E9E-7AA494CF3B8D}" name="Consolas" dataDxfId="28"/>
    <tableColumn id="12" xr3:uid="{DD72DD5E-F808-435A-BE66-9EA421857655}" name="Procesadores" dataDxfId="27"/>
    <tableColumn id="13" xr3:uid="{DA7038EB-6CA2-4D01-AB9E-2A99F2B47FA0}" name="Digital Signage" dataDxfId="26"/>
    <tableColumn id="22" xr3:uid="{6197EF5A-F957-466A-867F-DA19F67F4F8D}" name="Motherboard" dataDxfId="25"/>
    <tableColumn id="16" xr3:uid="{60D9B6B6-1108-41B0-9340-387308ACB2C7}" name="Fan Cooler CPU" dataDxfId="24"/>
    <tableColumn id="17" xr3:uid="{3F46C6AF-6314-4E44-9DE8-69E58F0F954D}" name="Dispositivos de Imagenes" dataDxfId="23"/>
    <tableColumn id="18" xr3:uid="{A62B746A-438D-478F-A89F-44CAFAE814B0}" name="Impresion de Manualidades" dataDxfId="22"/>
    <tableColumn id="24" xr3:uid="{1E9385A9-ADFA-4554-AA62-232D9AA271C6}" name="Servidores" dataDxfId="21"/>
    <tableColumn id="25" xr3:uid="{47CA0E50-30E7-41BD-93C0-09324E635653}" name="Smart Home" dataDxfId="20"/>
    <tableColumn id="26" xr3:uid="{4556D782-D861-4AE0-BDD2-065B121CD48A}" name="Storage" dataDxfId="19"/>
    <tableColumn id="27" xr3:uid="{396F33CA-AEA0-4252-AC50-4EAFD3BCB935}" name="Suministros" dataDxfId="18"/>
    <tableColumn id="30" xr3:uid="{2113325D-FB15-4465-95D5-21C7E21B5D71}" name="Telefonos" dataDxfId="17"/>
    <tableColumn id="31" xr3:uid="{AF1C112B-8F8D-4329-8936-653882B2C11D}" name="Televisores" dataDxfId="16"/>
    <tableColumn id="33" xr3:uid="{2B66F5A0-DA48-425A-B904-2776EDE4E644}" name="UPS/ESTABILIZADORES" dataDxfId="15"/>
    <tableColumn id="36" xr3:uid="{18000B52-4B2E-4BD4-A5D3-63E5873AD3EB}" name="Tablets" dataDxfId="14"/>
    <tableColumn id="40" xr3:uid="{15D37735-6E16-4E26-9EB7-71EC677B3142}" name="Teclados" dataDxfId="13"/>
    <tableColumn id="45" xr3:uid="{E16F618C-2D7A-4FF2-A721-513D3DE34EC5}" name="BUY" dataDxfId="12"/>
    <tableColumn id="44" xr3:uid="{5EE1E014-326F-44A2-9183-1BFFA02CFEB2}" name="SC+" dataDxfId="11"/>
    <tableColumn id="20" xr3:uid="{1853BE88-FD07-4930-9CCA-3DC86CFDF1FB}" name="Seguridad" dataDxfId="10"/>
    <tableColumn id="43" xr3:uid="{BF70008E-A2C3-4B72-B605-9FC6A3A70780}" name="Kaspersky" dataDxfId="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97BFBA-AEAD-4D01-9FAD-47DEC03F698B}" name="Tabla5" displayName="Tabla5" ref="A1:J387" totalsRowShown="0">
  <autoFilter ref="A1:J387" xr:uid="{BC97BFBA-AEAD-4D01-9FAD-47DEC03F698B}"/>
  <tableColumns count="10">
    <tableColumn id="3" xr3:uid="{31EEF269-F0FE-4448-81F1-E12874A4F6FB}" name="DD EXT"/>
    <tableColumn id="1" xr3:uid="{B5EAA2FA-F9B2-46A9-977B-7EEC5ADAFCF8}" name="NOTEBOOK" dataDxfId="8"/>
    <tableColumn id="2" xr3:uid="{4BBB542F-D108-4A95-906B-A757D88A3C70}" name="NVME"/>
    <tableColumn id="5" xr3:uid="{5FBA328D-7C7E-4805-A3A5-D560A07D1A24}" name="Columna4"/>
    <tableColumn id="6" xr3:uid="{28BE1B6C-3390-4A1C-A40A-0C3E861668FA}" name="Columna5"/>
    <tableColumn id="7" xr3:uid="{3063AD54-E203-4703-B480-656F81D2FC4A}" name="Columna6"/>
    <tableColumn id="8" xr3:uid="{43AEBD1E-015E-4E70-A957-8F75EAE04D17}" name="Columna7"/>
    <tableColumn id="9" xr3:uid="{4167FC78-C516-4F3A-84BF-F29FA9D01994}" name="Columna8"/>
    <tableColumn id="10" xr3:uid="{D52FF152-B33B-4F55-8DBF-D7508521D1CD}" name="Columna9"/>
    <tableColumn id="11" xr3:uid="{F1849B55-D32C-413E-B33F-42D507174171}" name="Columna10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1F95DB-926D-44AB-A749-4DCED9BC4F79}" name="Tabla4" displayName="Tabla4" ref="A1:F73" totalsRowShown="0" headerRowDxfId="7" dataDxfId="6">
  <autoFilter ref="A1:F73" xr:uid="{D51F95DB-926D-44AB-A749-4DCED9BC4F79}"/>
  <tableColumns count="6">
    <tableColumn id="6" xr3:uid="{9ED63CF7-B524-444C-8650-716135D94C06}" name="DD EXTERNOS" dataDxfId="5"/>
    <tableColumn id="1" xr3:uid="{3791BE44-B364-4C6F-8AC1-1E0C31E91D78}" name="RAM LAPTOP" dataDxfId="4"/>
    <tableColumn id="2" xr3:uid="{098C1C07-807E-44C9-81AE-848AA4C3D502}" name="LAPTOP" dataDxfId="3"/>
    <tableColumn id="3" xr3:uid="{DD64B81B-2B7A-4F4B-A513-222E3B0A4059}" name="NVME" dataDxfId="2"/>
    <tableColumn id="4" xr3:uid="{CBBBCB10-B641-4529-ADD3-2F4EBB0990C6}" name="T. VIDEO" dataDxfId="1"/>
    <tableColumn id="5" xr3:uid="{0A8488E2-CBE8-4985-931D-4E342ED8DAAC}" name="Columna4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07"/>
  <sheetViews>
    <sheetView tabSelected="1" topLeftCell="C1" workbookViewId="0">
      <selection activeCell="L2" sqref="L2:L2405"/>
    </sheetView>
  </sheetViews>
  <sheetFormatPr baseColWidth="10" defaultColWidth="9.140625" defaultRowHeight="15" x14ac:dyDescent="0.25"/>
  <cols>
    <col min="1" max="1" width="19.140625" style="4" bestFit="1" customWidth="1"/>
    <col min="2" max="2" width="38.28515625" style="4" customWidth="1"/>
    <col min="4" max="4" width="11" customWidth="1"/>
    <col min="5" max="5" width="28.7109375" bestFit="1" customWidth="1"/>
    <col min="6" max="6" width="17.7109375" bestFit="1" customWidth="1"/>
    <col min="7" max="7" width="29.85546875" style="4" customWidth="1"/>
    <col min="8" max="8" width="21.7109375" bestFit="1" customWidth="1"/>
    <col min="9" max="9" width="15.5703125" bestFit="1" customWidth="1"/>
    <col min="10" max="10" width="15.140625" bestFit="1" customWidth="1"/>
    <col min="11" max="11" width="8.85546875" bestFit="1" customWidth="1"/>
    <col min="12" max="12" width="15.140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8" t="s">
        <v>48</v>
      </c>
      <c r="J1" s="6" t="s">
        <v>49</v>
      </c>
      <c r="K1" s="14" t="s">
        <v>47</v>
      </c>
      <c r="L1" s="14" t="s">
        <v>95</v>
      </c>
    </row>
    <row r="2" spans="1:12" x14ac:dyDescent="0.25">
      <c r="A2" s="3" t="s">
        <v>51</v>
      </c>
      <c r="B2" s="3" t="s">
        <v>65</v>
      </c>
      <c r="C2" s="1">
        <v>8</v>
      </c>
      <c r="D2" s="1">
        <v>12.6</v>
      </c>
      <c r="E2" s="1"/>
      <c r="F2" s="1">
        <v>368984</v>
      </c>
      <c r="G2" s="3" t="s">
        <v>66</v>
      </c>
      <c r="H2" s="11">
        <f t="shared" ref="H2:H65" si="0">ROUND(
IF(L2="GANCHO",
   IF(I2&lt;=50,I2*1.1+4,IF(I2&lt;=120,I2*1.1+7,IF(I2&lt;=250,I2*1.1+11,I2*1.1+19))),
IF(L2="NORMAL",
   IF(I2&lt;=30,I2*1.15+2,IF(I2&lt;=80,I2*1.15+4,IF(I2&lt;=150,I2*1.15+6,I2*1.15+8))),
IF(L2="COMPLEMENTO",
   IF(I2&lt;=25,I2*1.25+1.5,IF(I2&lt;=60,I2*1.25+3,IF(I2&lt;=120,I2*1.25+4,I2*1.25+5))),
""))),2)</f>
        <v>63.42</v>
      </c>
      <c r="I2" s="9">
        <f>($K$2+0.02)*Tabla1[[#This Row],[PRECIO $]]*1.18</f>
        <v>51.294599999999996</v>
      </c>
      <c r="J2" s="7">
        <f>+Tabla1[[#This Row],[PRECIO EN SOLES]]-Tabla1[[#This Row],[PC]]</f>
        <v>12.125400000000006</v>
      </c>
      <c r="K2" s="15">
        <v>3.43</v>
      </c>
      <c r="L2" s="15" t="str">
        <f>IF(
OR(
ISNUMBER(SEARCH("BACKPACK",B2)),
ISNUMBER(SEARCH("MOCHILA",B2)),
ISNUMBER(SEARCH("FUNDA",B2)),
ISNUMBER(SEARCH("ESTUCHE",B2)),
ISNUMBER(SEARCH("BOOK COVER",B2)),
ISNUMBER(SEARCH("KEYBOARD PARA TABLET",B2)),
ISNUMBER(SEARCH("FLIP TABLET",B2)),
ISNUMBER(SEARCH("CASE FOR TABLET",B2)),
ISNUMBER(SEARCH("CABLE",B2)),
ISNUMBER(SEARCH("ADAPTADOR",B2)),
ISNUMBER(SEARCH("HUB",B2)),
ISNUMBER(SEARCH("DOCK",B2)),
ISNUMBER(SEARCH("MOUSE PAD",B2)),
ISNUMBER(SEARCH("MOUSEPAD",B2)),
ISNUMBER(SEARCH("SOPORTE",B2)),
ISNUMBER(SEARCH("STAND",B2)),
ISNUMBER(SEARCH("TRAVEL ADAPTER",B2)),
ISNUMBER(SEARCH("RJ45",B2)),
ISNUMBER(SEARCH("USB-C",B2)),
ISNUMBER(SEARCH("USB WIFI",B2)),
ISNUMBER(SEARCH("POWERBANK",B2)),
ISNUMBER(SEARCH("CARGADOR",B2)),
ISNUMBER(SEARCH("COOLER PARA NB",B2)),
ISNUMBER(SEARCH("SOPORTE PARA NB",B2)),
ISNUMBER(SEARCH("WEBCAM",B2)),
ISNUMBER(SEARCH("WEB CAM",B2)),
ISNUMBER(SEARCH("MOUSE",B2)),
ISNUMBER(SEARCH("TECLADO",B2))
),
"COMPLEMENTO",
IF(
OR(
LEFT(A2,2)="NB",
LEFT(A2,2)="PC",
LEFT(A2,2)="WS",
LEFT(A2,2)="TB",
LEFT(A2,3)="CEL",
LEFT(A2,3)="MON",
LEFT(A2,3)="PRE",
LEFT(A2,3)="PRH",
ISNUMBER(SEARCH("NOTEBOOK",B2)),
ISNUMBER(SEARCH("LAPTOP",B2)),
ISNUMBER(SEARCH("MONITOR",B2)),
ISNUMBER(SEARCH("TABLET",B2)),
ISNUMBER(SEARCH("SMARTPH",B2)),
ISNUMBER(SEARCH("IMPRESORA",B2)),
ISNUMBER(SEARCH("MULTIFUNCIONAL",B2)),
ISNUMBER(SEARCH("AIO",B2))
),
"GANCHO",
"NORMAL"
)
)</f>
        <v>GANCHO</v>
      </c>
    </row>
    <row r="3" spans="1:12" x14ac:dyDescent="0.25">
      <c r="A3" s="3" t="s">
        <v>67</v>
      </c>
      <c r="B3" s="3" t="s">
        <v>64</v>
      </c>
      <c r="C3" s="1">
        <v>8</v>
      </c>
      <c r="D3" s="1">
        <v>6.7</v>
      </c>
      <c r="E3" s="1"/>
      <c r="F3" s="1">
        <v>426156</v>
      </c>
      <c r="G3" s="3" t="s">
        <v>68</v>
      </c>
      <c r="H3" s="11">
        <f t="shared" si="0"/>
        <v>37.090000000000003</v>
      </c>
      <c r="I3" s="9">
        <f>($K$2+0.02)*Tabla1[[#This Row],[PRECIO $]]*1.18</f>
        <v>27.275700000000001</v>
      </c>
      <c r="J3" s="7">
        <f>+Tabla1[[#This Row],[PRECIO EN SOLES]]-Tabla1[[#This Row],[PC]]</f>
        <v>9.8143000000000029</v>
      </c>
      <c r="K3" s="15"/>
      <c r="L3" s="15" t="str">
        <f t="shared" ref="L3:L66" si="1">IF(
OR(
ISNUMBER(SEARCH("BACKPACK",B3)),
ISNUMBER(SEARCH("MOCHILA",B3)),
ISNUMBER(SEARCH("FUNDA",B3)),
ISNUMBER(SEARCH("ESTUCHE",B3)),
ISNUMBER(SEARCH("BOOK COVER",B3)),
ISNUMBER(SEARCH("KEYBOARD PARA TABLET",B3)),
ISNUMBER(SEARCH("FLIP TABLET",B3)),
ISNUMBER(SEARCH("CASE FOR TABLET",B3)),
ISNUMBER(SEARCH("CABLE",B3)),
ISNUMBER(SEARCH("ADAPTADOR",B3)),
ISNUMBER(SEARCH("HUB",B3)),
ISNUMBER(SEARCH("DOCK",B3)),
ISNUMBER(SEARCH("MOUSE PAD",B3)),
ISNUMBER(SEARCH("MOUSEPAD",B3)),
ISNUMBER(SEARCH("SOPORTE",B3)),
ISNUMBER(SEARCH("STAND",B3)),
ISNUMBER(SEARCH("TRAVEL ADAPTER",B3)),
ISNUMBER(SEARCH("RJ45",B3)),
ISNUMBER(SEARCH("USB-C",B3)),
ISNUMBER(SEARCH("USB WIFI",B3)),
ISNUMBER(SEARCH("POWERBANK",B3)),
ISNUMBER(SEARCH("CARGADOR",B3)),
ISNUMBER(SEARCH("COOLER PARA NB",B3)),
ISNUMBER(SEARCH("SOPORTE PARA NB",B3)),
ISNUMBER(SEARCH("WEBCAM",B3)),
ISNUMBER(SEARCH("WEB CAM",B3)),
ISNUMBER(SEARCH("MOUSE",B3)),
ISNUMBER(SEARCH("TECLADO",B3))
),
"COMPLEMENTO",
IF(
OR(
LEFT(A3,2)="NB",
LEFT(A3,2)="PC",
LEFT(A3,2)="WS",
LEFT(A3,2)="TB",
LEFT(A3,3)="CEL",
LEFT(A3,3)="MON",
LEFT(A3,3)="PRE",
LEFT(A3,3)="PRH",
ISNUMBER(SEARCH("NOTEBOOK",B3)),
ISNUMBER(SEARCH("LAPTOP",B3)),
ISNUMBER(SEARCH("MONITOR",B3)),
ISNUMBER(SEARCH("TABLET",B3)),
ISNUMBER(SEARCH("SMARTPH",B3)),
ISNUMBER(SEARCH("IMPRESORA",B3)),
ISNUMBER(SEARCH("MULTIFUNCIONAL",B3)),
ISNUMBER(SEARCH("AIO",B3))
),
"GANCHO",
"NORMAL"
)
)</f>
        <v>COMPLEMENTO</v>
      </c>
    </row>
    <row r="4" spans="1:12" x14ac:dyDescent="0.25">
      <c r="A4" s="3" t="s">
        <v>69</v>
      </c>
      <c r="B4" s="3" t="s">
        <v>70</v>
      </c>
      <c r="C4" s="1">
        <v>8</v>
      </c>
      <c r="D4" s="1">
        <v>7.7</v>
      </c>
      <c r="E4" s="1"/>
      <c r="F4" s="1">
        <v>369033</v>
      </c>
      <c r="G4" s="3" t="s">
        <v>70</v>
      </c>
      <c r="H4" s="11">
        <f t="shared" si="0"/>
        <v>40.049999999999997</v>
      </c>
      <c r="I4" s="9">
        <f>($K$2+0.02)*Tabla1[[#This Row],[PRECIO $]]*1.18</f>
        <v>31.346699999999998</v>
      </c>
      <c r="J4" s="7">
        <f>+Tabla1[[#This Row],[PRECIO EN SOLES]]-Tabla1[[#This Row],[PC]]</f>
        <v>8.7032999999999987</v>
      </c>
      <c r="K4" s="15"/>
      <c r="L4" s="15" t="str">
        <f t="shared" si="1"/>
        <v>NORMAL</v>
      </c>
    </row>
    <row r="5" spans="1:12" x14ac:dyDescent="0.25">
      <c r="A5" s="3" t="s">
        <v>71</v>
      </c>
      <c r="B5" s="3" t="s">
        <v>72</v>
      </c>
      <c r="C5" s="1">
        <v>8</v>
      </c>
      <c r="D5" s="1">
        <v>3.9</v>
      </c>
      <c r="E5" s="1"/>
      <c r="F5" s="1">
        <v>370926</v>
      </c>
      <c r="G5" s="3" t="s">
        <v>73</v>
      </c>
      <c r="H5" s="11">
        <f t="shared" si="0"/>
        <v>20.260000000000002</v>
      </c>
      <c r="I5" s="9">
        <f>($K$2+0.02)*Tabla1[[#This Row],[PRECIO $]]*1.18</f>
        <v>15.876899999999999</v>
      </c>
      <c r="J5" s="7">
        <f>+Tabla1[[#This Row],[PRECIO EN SOLES]]-Tabla1[[#This Row],[PC]]</f>
        <v>4.3831000000000024</v>
      </c>
      <c r="K5" s="15"/>
      <c r="L5" s="15" t="str">
        <f t="shared" si="1"/>
        <v>NORMAL</v>
      </c>
    </row>
    <row r="6" spans="1:12" x14ac:dyDescent="0.25">
      <c r="A6" s="3" t="s">
        <v>76</v>
      </c>
      <c r="B6" s="3" t="s">
        <v>74</v>
      </c>
      <c r="C6" s="1">
        <v>8</v>
      </c>
      <c r="D6" s="1">
        <v>4.0999999999999996</v>
      </c>
      <c r="E6" s="1"/>
      <c r="F6" s="1">
        <v>427319</v>
      </c>
      <c r="G6" s="3" t="s">
        <v>75</v>
      </c>
      <c r="H6" s="11">
        <f t="shared" si="0"/>
        <v>22.36</v>
      </c>
      <c r="I6" s="9">
        <f>($K$2+0.02)*Tabla1[[#This Row],[PRECIO $]]*1.18</f>
        <v>16.691099999999999</v>
      </c>
      <c r="J6" s="7">
        <f>+Tabla1[[#This Row],[PRECIO EN SOLES]]-Tabla1[[#This Row],[PC]]</f>
        <v>5.6689000000000007</v>
      </c>
      <c r="K6" s="15"/>
      <c r="L6" s="15" t="str">
        <f t="shared" si="1"/>
        <v>COMPLEMENTO</v>
      </c>
    </row>
    <row r="7" spans="1:12" x14ac:dyDescent="0.25">
      <c r="A7" s="3" t="s">
        <v>77</v>
      </c>
      <c r="B7" s="3" t="s">
        <v>78</v>
      </c>
      <c r="C7" s="1">
        <v>8</v>
      </c>
      <c r="D7" s="1">
        <v>5.5</v>
      </c>
      <c r="E7" s="1"/>
      <c r="F7" s="1">
        <v>370420</v>
      </c>
      <c r="G7" s="3" t="s">
        <v>79</v>
      </c>
      <c r="H7" s="11">
        <f t="shared" si="0"/>
        <v>29.49</v>
      </c>
      <c r="I7" s="9">
        <f>($K$2+0.02)*Tabla1[[#This Row],[PRECIO $]]*1.18</f>
        <v>22.390499999999999</v>
      </c>
      <c r="J7" s="7">
        <f>+Tabla1[[#This Row],[PRECIO EN SOLES]]-Tabla1[[#This Row],[PC]]</f>
        <v>7.099499999999999</v>
      </c>
      <c r="K7" s="15"/>
      <c r="L7" s="15" t="str">
        <f t="shared" si="1"/>
        <v>COMPLEMENTO</v>
      </c>
    </row>
    <row r="8" spans="1:12" x14ac:dyDescent="0.25">
      <c r="A8" s="3" t="s">
        <v>80</v>
      </c>
      <c r="B8" s="3" t="s">
        <v>81</v>
      </c>
      <c r="C8" s="1">
        <v>8</v>
      </c>
      <c r="D8" s="1">
        <v>12.5</v>
      </c>
      <c r="E8" s="1"/>
      <c r="F8" s="1">
        <v>440801</v>
      </c>
      <c r="G8" s="3" t="s">
        <v>82</v>
      </c>
      <c r="H8" s="11">
        <f t="shared" si="0"/>
        <v>66.61</v>
      </c>
      <c r="I8" s="9">
        <f>($K$2+0.02)*Tabla1[[#This Row],[PRECIO $]]*1.18</f>
        <v>50.887499999999996</v>
      </c>
      <c r="J8" s="7">
        <f>+Tabla1[[#This Row],[PRECIO EN SOLES]]-Tabla1[[#This Row],[PC]]</f>
        <v>15.722500000000004</v>
      </c>
      <c r="K8" s="15"/>
      <c r="L8" s="15" t="str">
        <f t="shared" si="1"/>
        <v>COMPLEMENTO</v>
      </c>
    </row>
    <row r="9" spans="1:12" x14ac:dyDescent="0.25">
      <c r="A9" s="3" t="s">
        <v>85</v>
      </c>
      <c r="B9" s="3" t="s">
        <v>86</v>
      </c>
      <c r="C9" s="1">
        <v>8</v>
      </c>
      <c r="D9" s="1">
        <v>40.299999999999997</v>
      </c>
      <c r="E9" s="1"/>
      <c r="F9" s="1">
        <v>473310</v>
      </c>
      <c r="G9" s="3" t="s">
        <v>89</v>
      </c>
      <c r="H9" s="11">
        <f t="shared" si="0"/>
        <v>196.67</v>
      </c>
      <c r="I9" s="9">
        <f>($K$2+0.02)*Tabla1[[#This Row],[PRECIO $]]*1.18</f>
        <v>164.06129999999999</v>
      </c>
      <c r="J9" s="7">
        <f>+Tabla1[[#This Row],[PRECIO EN SOLES]]-Tabla1[[#This Row],[PC]]</f>
        <v>32.608699999999999</v>
      </c>
      <c r="K9" s="15"/>
      <c r="L9" s="15" t="str">
        <f t="shared" si="1"/>
        <v>NORMAL</v>
      </c>
    </row>
    <row r="10" spans="1:12" x14ac:dyDescent="0.25">
      <c r="A10" s="3" t="s">
        <v>87</v>
      </c>
      <c r="B10" s="3" t="s">
        <v>88</v>
      </c>
      <c r="C10" s="1">
        <v>8</v>
      </c>
      <c r="D10" s="1">
        <v>100.3</v>
      </c>
      <c r="E10" s="1"/>
      <c r="F10" s="1">
        <v>451520</v>
      </c>
      <c r="G10" s="3" t="s">
        <v>90</v>
      </c>
      <c r="H10" s="11">
        <f t="shared" si="0"/>
        <v>477.57</v>
      </c>
      <c r="I10" s="9">
        <f>($K$2+0.02)*Tabla1[[#This Row],[PRECIO $]]*1.18</f>
        <v>408.32130000000001</v>
      </c>
      <c r="J10" s="7">
        <f>+Tabla1[[#This Row],[PRECIO EN SOLES]]-Tabla1[[#This Row],[PC]]</f>
        <v>69.248699999999985</v>
      </c>
      <c r="K10" s="15"/>
      <c r="L10" s="15" t="str">
        <f t="shared" si="1"/>
        <v>NORMAL</v>
      </c>
    </row>
    <row r="11" spans="1:12" x14ac:dyDescent="0.25">
      <c r="A11" s="3" t="s">
        <v>77</v>
      </c>
      <c r="B11" s="3" t="s">
        <v>78</v>
      </c>
      <c r="C11" s="1">
        <v>8</v>
      </c>
      <c r="D11" s="1">
        <v>5.5</v>
      </c>
      <c r="E11" s="1"/>
      <c r="F11" s="1">
        <v>370420</v>
      </c>
      <c r="G11" s="3" t="s">
        <v>79</v>
      </c>
      <c r="H11" s="11">
        <f t="shared" si="0"/>
        <v>29.49</v>
      </c>
      <c r="I11" s="9">
        <f>($K$2+0.02)*Tabla1[[#This Row],[PRECIO $]]*1.18</f>
        <v>22.390499999999999</v>
      </c>
      <c r="J11" s="7">
        <f>+Tabla1[[#This Row],[PRECIO EN SOLES]]-Tabla1[[#This Row],[PC]]</f>
        <v>7.099499999999999</v>
      </c>
      <c r="K11" s="15"/>
      <c r="L11" s="15" t="str">
        <f t="shared" si="1"/>
        <v>COMPLEMENTO</v>
      </c>
    </row>
    <row r="12" spans="1:12" x14ac:dyDescent="0.25">
      <c r="A12" s="3" t="s">
        <v>94</v>
      </c>
      <c r="B12" s="3" t="s">
        <v>93</v>
      </c>
      <c r="C12" s="1">
        <v>8</v>
      </c>
      <c r="D12" s="1">
        <v>44</v>
      </c>
      <c r="E12" s="1"/>
      <c r="F12" s="1">
        <v>426096</v>
      </c>
      <c r="G12" s="3" t="s">
        <v>92</v>
      </c>
      <c r="H12" s="11">
        <f t="shared" si="0"/>
        <v>213.99</v>
      </c>
      <c r="I12" s="9">
        <f>($K$2+0.02)*Tabla1[[#This Row],[PRECIO $]]*1.18</f>
        <v>179.124</v>
      </c>
      <c r="J12" s="7">
        <f>+Tabla1[[#This Row],[PRECIO EN SOLES]]-Tabla1[[#This Row],[PC]]</f>
        <v>34.866000000000014</v>
      </c>
      <c r="K12" s="15"/>
      <c r="L12" s="15" t="str">
        <f t="shared" si="1"/>
        <v>NORMAL</v>
      </c>
    </row>
    <row r="13" spans="1:12" x14ac:dyDescent="0.25">
      <c r="A13" s="3" t="s">
        <v>96</v>
      </c>
      <c r="B13" s="3" t="s">
        <v>97</v>
      </c>
      <c r="C13" s="1">
        <v>8</v>
      </c>
      <c r="D13" s="1">
        <v>41.3</v>
      </c>
      <c r="E13" s="1"/>
      <c r="F13" s="1">
        <v>488963</v>
      </c>
      <c r="G13" s="3" t="s">
        <v>98</v>
      </c>
      <c r="H13" s="11">
        <f t="shared" si="0"/>
        <v>201.35</v>
      </c>
      <c r="I13" s="9">
        <f>($K$2+0.02)*Tabla1[[#This Row],[PRECIO $]]*1.18</f>
        <v>168.13229999999999</v>
      </c>
      <c r="J13" s="7">
        <f>+Tabla1[[#This Row],[PRECIO EN SOLES]]-Tabla1[[#This Row],[PC]]</f>
        <v>33.217700000000008</v>
      </c>
      <c r="K13" s="15"/>
      <c r="L13" s="15" t="str">
        <f t="shared" si="1"/>
        <v>NORMAL</v>
      </c>
    </row>
    <row r="14" spans="1:12" x14ac:dyDescent="0.25">
      <c r="A14" s="3" t="s">
        <v>100</v>
      </c>
      <c r="B14" s="3" t="s">
        <v>101</v>
      </c>
      <c r="C14" s="1">
        <v>8</v>
      </c>
      <c r="D14" s="1">
        <v>14.51</v>
      </c>
      <c r="E14" s="1"/>
      <c r="F14" s="1">
        <v>489485</v>
      </c>
      <c r="G14" s="3" t="s">
        <v>99</v>
      </c>
      <c r="H14" s="11">
        <f t="shared" si="0"/>
        <v>71.930000000000007</v>
      </c>
      <c r="I14" s="9">
        <f>($K$2+0.02)*Tabla1[[#This Row],[PRECIO $]]*1.18</f>
        <v>59.070209999999996</v>
      </c>
      <c r="J14" s="7">
        <f>+Tabla1[[#This Row],[PRECIO EN SOLES]]-Tabla1[[#This Row],[PC]]</f>
        <v>12.859790000000011</v>
      </c>
      <c r="K14" s="15"/>
      <c r="L14" s="15" t="str">
        <f t="shared" si="1"/>
        <v>NORMAL</v>
      </c>
    </row>
    <row r="15" spans="1:12" x14ac:dyDescent="0.25">
      <c r="A15" s="3" t="s">
        <v>102</v>
      </c>
      <c r="B15" s="3" t="s">
        <v>103</v>
      </c>
      <c r="C15" s="1">
        <v>8</v>
      </c>
      <c r="D15" s="1">
        <v>6.95</v>
      </c>
      <c r="E15" s="1"/>
      <c r="F15" s="1">
        <v>363378</v>
      </c>
      <c r="G15" s="3" t="s">
        <v>104</v>
      </c>
      <c r="H15" s="11">
        <f t="shared" si="0"/>
        <v>34.54</v>
      </c>
      <c r="I15" s="9">
        <f>($K$2+0.02)*Tabla1[[#This Row],[PRECIO $]]*1.18</f>
        <v>28.29345</v>
      </c>
      <c r="J15" s="7">
        <f>+Tabla1[[#This Row],[PRECIO EN SOLES]]-Tabla1[[#This Row],[PC]]</f>
        <v>6.2465499999999992</v>
      </c>
      <c r="K15" s="15"/>
      <c r="L15" s="15" t="str">
        <f t="shared" si="1"/>
        <v>NORMAL</v>
      </c>
    </row>
    <row r="16" spans="1:12" x14ac:dyDescent="0.25">
      <c r="A16" s="3" t="s">
        <v>105</v>
      </c>
      <c r="B16" s="3" t="s">
        <v>106</v>
      </c>
      <c r="C16" s="1">
        <v>8</v>
      </c>
      <c r="D16" s="1">
        <v>15</v>
      </c>
      <c r="E16" s="1"/>
      <c r="F16" s="1">
        <v>451130</v>
      </c>
      <c r="G16" s="3" t="s">
        <v>107</v>
      </c>
      <c r="H16" s="11">
        <f t="shared" si="0"/>
        <v>80.33</v>
      </c>
      <c r="I16" s="9">
        <f>($K$2+0.02)*Tabla1[[#This Row],[PRECIO $]]*1.18</f>
        <v>61.064999999999998</v>
      </c>
      <c r="J16" s="7">
        <f>+Tabla1[[#This Row],[PRECIO EN SOLES]]-Tabla1[[#This Row],[PC]]</f>
        <v>19.265000000000001</v>
      </c>
      <c r="K16" s="15"/>
      <c r="L16" s="15" t="str">
        <f t="shared" si="1"/>
        <v>COMPLEMENTO</v>
      </c>
    </row>
    <row r="17" spans="1:12" x14ac:dyDescent="0.25">
      <c r="A17" s="3" t="s">
        <v>109</v>
      </c>
      <c r="B17" s="3" t="s">
        <v>110</v>
      </c>
      <c r="C17" s="1">
        <v>8</v>
      </c>
      <c r="D17" s="1">
        <v>7.8</v>
      </c>
      <c r="E17" s="1"/>
      <c r="F17" s="1">
        <v>424101</v>
      </c>
      <c r="G17" s="3" t="s">
        <v>111</v>
      </c>
      <c r="H17" s="11">
        <f t="shared" si="0"/>
        <v>40.520000000000003</v>
      </c>
      <c r="I17" s="9">
        <f>($K$2+0.02)*Tabla1[[#This Row],[PRECIO $]]*1.18</f>
        <v>31.753799999999998</v>
      </c>
      <c r="J17" s="7">
        <f>+Tabla1[[#This Row],[PRECIO EN SOLES]]-Tabla1[[#This Row],[PC]]</f>
        <v>8.7662000000000049</v>
      </c>
      <c r="K17" s="15"/>
      <c r="L17" s="15" t="str">
        <f t="shared" si="1"/>
        <v>NORMAL</v>
      </c>
    </row>
    <row r="18" spans="1:12" x14ac:dyDescent="0.25">
      <c r="A18" s="3" t="s">
        <v>112</v>
      </c>
      <c r="B18" s="3" t="s">
        <v>114</v>
      </c>
      <c r="C18" s="1">
        <v>8</v>
      </c>
      <c r="D18" s="1">
        <v>23.7</v>
      </c>
      <c r="E18" s="1"/>
      <c r="F18" s="1">
        <v>401370</v>
      </c>
      <c r="G18" s="3" t="s">
        <v>113</v>
      </c>
      <c r="H18" s="11">
        <f t="shared" si="0"/>
        <v>124.6</v>
      </c>
      <c r="I18" s="9">
        <f>($K$2+0.02)*Tabla1[[#This Row],[PRECIO $]]*1.18</f>
        <v>96.482699999999994</v>
      </c>
      <c r="J18" s="7">
        <f>+Tabla1[[#This Row],[PRECIO EN SOLES]]-Tabla1[[#This Row],[PC]]</f>
        <v>28.1173</v>
      </c>
      <c r="K18" s="15"/>
      <c r="L18" s="15" t="str">
        <f t="shared" si="1"/>
        <v>COMPLEMENTO</v>
      </c>
    </row>
    <row r="19" spans="1:12" x14ac:dyDescent="0.25">
      <c r="A19" s="3" t="s">
        <v>50</v>
      </c>
      <c r="B19" s="3" t="s">
        <v>116</v>
      </c>
      <c r="C19" s="1">
        <v>8</v>
      </c>
      <c r="D19" s="1">
        <v>9.3000000000000007</v>
      </c>
      <c r="E19" s="1"/>
      <c r="F19" s="1">
        <v>477526</v>
      </c>
      <c r="G19" s="3" t="s">
        <v>115</v>
      </c>
      <c r="H19" s="11">
        <f t="shared" si="0"/>
        <v>50.33</v>
      </c>
      <c r="I19" s="9">
        <f>($K$2+0.02)*Tabla1[[#This Row],[PRECIO $]]*1.18</f>
        <v>37.860300000000002</v>
      </c>
      <c r="J19" s="7">
        <f>+Tabla1[[#This Row],[PRECIO EN SOLES]]-Tabla1[[#This Row],[PC]]</f>
        <v>12.469699999999996</v>
      </c>
      <c r="K19" s="15"/>
      <c r="L19" s="15" t="str">
        <f t="shared" si="1"/>
        <v>COMPLEMENTO</v>
      </c>
    </row>
    <row r="20" spans="1:12" x14ac:dyDescent="0.25">
      <c r="A20" s="3" t="s">
        <v>118</v>
      </c>
      <c r="B20" s="3" t="s">
        <v>117</v>
      </c>
      <c r="C20" s="1">
        <v>8</v>
      </c>
      <c r="D20" s="1">
        <v>7.81</v>
      </c>
      <c r="E20" s="1"/>
      <c r="F20" s="1">
        <v>479907</v>
      </c>
      <c r="G20" s="3" t="s">
        <v>119</v>
      </c>
      <c r="H20" s="11">
        <f t="shared" si="0"/>
        <v>40.56</v>
      </c>
      <c r="I20" s="9">
        <f>($K$2+0.02)*Tabla1[[#This Row],[PRECIO $]]*1.18</f>
        <v>31.794509999999999</v>
      </c>
      <c r="J20" s="7">
        <f>+Tabla1[[#This Row],[PRECIO EN SOLES]]-Tabla1[[#This Row],[PC]]</f>
        <v>8.7654900000000033</v>
      </c>
      <c r="K20" s="15"/>
      <c r="L20" s="15" t="str">
        <f t="shared" si="1"/>
        <v>NORMAL</v>
      </c>
    </row>
    <row r="21" spans="1:12" x14ac:dyDescent="0.25">
      <c r="A21" s="3"/>
      <c r="B21" s="3"/>
      <c r="C21" s="1"/>
      <c r="D21" s="1"/>
      <c r="E21" s="1"/>
      <c r="F21" s="1"/>
      <c r="G21" s="3"/>
      <c r="H21" s="11">
        <f t="shared" si="0"/>
        <v>2</v>
      </c>
      <c r="I21" s="9">
        <f>($K$2+0.02)*Tabla1[[#This Row],[PRECIO $]]*1.18</f>
        <v>0</v>
      </c>
      <c r="J21" s="7">
        <f>+Tabla1[[#This Row],[PRECIO EN SOLES]]-Tabla1[[#This Row],[PC]]</f>
        <v>2</v>
      </c>
      <c r="K21" s="15"/>
      <c r="L21" s="15" t="str">
        <f t="shared" si="1"/>
        <v>NORMAL</v>
      </c>
    </row>
    <row r="22" spans="1:12" x14ac:dyDescent="0.25">
      <c r="A22" s="3"/>
      <c r="B22" s="3"/>
      <c r="C22" s="1"/>
      <c r="D22" s="1"/>
      <c r="E22" s="1"/>
      <c r="F22" s="1"/>
      <c r="G22" s="3"/>
      <c r="H22" s="11">
        <f t="shared" si="0"/>
        <v>2</v>
      </c>
      <c r="I22" s="9">
        <f>($K$2+0.02)*Tabla1[[#This Row],[PRECIO $]]*1.18</f>
        <v>0</v>
      </c>
      <c r="J22" s="7">
        <f>+Tabla1[[#This Row],[PRECIO EN SOLES]]-Tabla1[[#This Row],[PC]]</f>
        <v>2</v>
      </c>
      <c r="K22" s="15"/>
      <c r="L22" s="15" t="str">
        <f t="shared" si="1"/>
        <v>NORMAL</v>
      </c>
    </row>
    <row r="23" spans="1:12" x14ac:dyDescent="0.25">
      <c r="A23" s="3"/>
      <c r="B23" s="3"/>
      <c r="C23" s="1"/>
      <c r="D23" s="1"/>
      <c r="E23" s="1"/>
      <c r="F23" s="1"/>
      <c r="G23" s="3"/>
      <c r="H23" s="11">
        <f t="shared" si="0"/>
        <v>2</v>
      </c>
      <c r="I23" s="9">
        <f>($K$2+0.02)*Tabla1[[#This Row],[PRECIO $]]*1.18</f>
        <v>0</v>
      </c>
      <c r="J23" s="7">
        <f>+Tabla1[[#This Row],[PRECIO EN SOLES]]-Tabla1[[#This Row],[PC]]</f>
        <v>2</v>
      </c>
      <c r="K23" s="15"/>
      <c r="L23" s="15" t="str">
        <f t="shared" si="1"/>
        <v>NORMAL</v>
      </c>
    </row>
    <row r="24" spans="1:12" x14ac:dyDescent="0.25">
      <c r="A24" s="3"/>
      <c r="B24" s="3"/>
      <c r="C24" s="1"/>
      <c r="D24" s="1"/>
      <c r="E24" s="1"/>
      <c r="F24" s="1"/>
      <c r="G24" s="3"/>
      <c r="H24" s="11">
        <f t="shared" si="0"/>
        <v>2</v>
      </c>
      <c r="I24" s="9">
        <f>($K$2+0.02)*Tabla1[[#This Row],[PRECIO $]]*1.18</f>
        <v>0</v>
      </c>
      <c r="J24" s="7">
        <f>+Tabla1[[#This Row],[PRECIO EN SOLES]]-Tabla1[[#This Row],[PC]]</f>
        <v>2</v>
      </c>
      <c r="K24" s="15"/>
      <c r="L24" s="15" t="str">
        <f t="shared" si="1"/>
        <v>NORMAL</v>
      </c>
    </row>
    <row r="25" spans="1:12" x14ac:dyDescent="0.25">
      <c r="A25" s="3"/>
      <c r="B25" s="3"/>
      <c r="C25" s="1"/>
      <c r="D25" s="1"/>
      <c r="E25" s="1"/>
      <c r="F25" s="1"/>
      <c r="G25" s="3"/>
      <c r="H25" s="11">
        <f t="shared" si="0"/>
        <v>2</v>
      </c>
      <c r="I25" s="9">
        <f>($K$2+0.02)*Tabla1[[#This Row],[PRECIO $]]*1.18</f>
        <v>0</v>
      </c>
      <c r="J25" s="7">
        <f>+Tabla1[[#This Row],[PRECIO EN SOLES]]-Tabla1[[#This Row],[PC]]</f>
        <v>2</v>
      </c>
      <c r="K25" s="15"/>
      <c r="L25" s="15" t="str">
        <f t="shared" si="1"/>
        <v>NORMAL</v>
      </c>
    </row>
    <row r="26" spans="1:12" x14ac:dyDescent="0.25">
      <c r="A26" s="3" t="s">
        <v>120</v>
      </c>
      <c r="B26" s="3" t="s">
        <v>121</v>
      </c>
      <c r="C26" s="1">
        <v>20</v>
      </c>
      <c r="D26" s="1">
        <v>16</v>
      </c>
      <c r="E26" s="1" t="s">
        <v>122</v>
      </c>
      <c r="F26" s="1" t="s">
        <v>4295</v>
      </c>
      <c r="G26" s="3" t="s">
        <v>123</v>
      </c>
      <c r="H26" s="11">
        <f t="shared" si="0"/>
        <v>78.91</v>
      </c>
      <c r="I26" s="9">
        <f>($K$2+0.02)*Tabla1[[#This Row],[PRECIO $]]*1.18</f>
        <v>65.135999999999996</v>
      </c>
      <c r="J26" s="7">
        <f>+Tabla1[[#This Row],[PRECIO EN SOLES]]-Tabla1[[#This Row],[PC]]</f>
        <v>13.774000000000001</v>
      </c>
      <c r="K26" s="15"/>
      <c r="L26" s="15" t="str">
        <f t="shared" si="1"/>
        <v>NORMAL</v>
      </c>
    </row>
    <row r="27" spans="1:12" x14ac:dyDescent="0.25">
      <c r="A27" s="3" t="s">
        <v>124</v>
      </c>
      <c r="B27" s="3" t="s">
        <v>125</v>
      </c>
      <c r="C27" s="1">
        <v>0</v>
      </c>
      <c r="D27" s="1">
        <v>1100</v>
      </c>
      <c r="E27" s="1" t="s">
        <v>126</v>
      </c>
      <c r="F27" s="1" t="s">
        <v>4296</v>
      </c>
      <c r="G27" s="3"/>
      <c r="H27" s="11">
        <f t="shared" si="0"/>
        <v>5157.82</v>
      </c>
      <c r="I27" s="9">
        <f>($K$2+0.02)*Tabla1[[#This Row],[PRECIO $]]*1.18</f>
        <v>4478.0999999999995</v>
      </c>
      <c r="J27" s="7">
        <f>+Tabla1[[#This Row],[PRECIO EN SOLES]]-Tabla1[[#This Row],[PC]]</f>
        <v>679.72000000000025</v>
      </c>
      <c r="K27" s="15"/>
      <c r="L27" s="15" t="str">
        <f t="shared" si="1"/>
        <v>NORMAL</v>
      </c>
    </row>
    <row r="28" spans="1:12" x14ac:dyDescent="0.25">
      <c r="A28" s="3" t="s">
        <v>127</v>
      </c>
      <c r="B28" s="3" t="s">
        <v>128</v>
      </c>
      <c r="C28" s="1">
        <v>0</v>
      </c>
      <c r="D28" s="1">
        <v>1100</v>
      </c>
      <c r="E28" s="1" t="s">
        <v>126</v>
      </c>
      <c r="F28" s="1" t="s">
        <v>4297</v>
      </c>
      <c r="G28" s="3"/>
      <c r="H28" s="11">
        <f t="shared" si="0"/>
        <v>5157.82</v>
      </c>
      <c r="I28" s="9">
        <f>($K$2+0.02)*Tabla1[[#This Row],[PRECIO $]]*1.18</f>
        <v>4478.0999999999995</v>
      </c>
      <c r="J28" s="7">
        <f>+Tabla1[[#This Row],[PRECIO EN SOLES]]-Tabla1[[#This Row],[PC]]</f>
        <v>679.72000000000025</v>
      </c>
      <c r="K28" s="15"/>
      <c r="L28" s="15" t="str">
        <f t="shared" si="1"/>
        <v>NORMAL</v>
      </c>
    </row>
    <row r="29" spans="1:12" x14ac:dyDescent="0.25">
      <c r="A29" s="3" t="s">
        <v>129</v>
      </c>
      <c r="B29" s="3" t="s">
        <v>130</v>
      </c>
      <c r="C29" s="1">
        <v>20</v>
      </c>
      <c r="D29" s="1">
        <v>10</v>
      </c>
      <c r="E29" s="1" t="s">
        <v>131</v>
      </c>
      <c r="F29" s="1" t="s">
        <v>4298</v>
      </c>
      <c r="G29" s="3" t="s">
        <v>132</v>
      </c>
      <c r="H29" s="11">
        <f t="shared" si="0"/>
        <v>53.89</v>
      </c>
      <c r="I29" s="9">
        <f>($K$2+0.02)*Tabla1[[#This Row],[PRECIO $]]*1.18</f>
        <v>40.71</v>
      </c>
      <c r="J29" s="7">
        <f>+Tabla1[[#This Row],[PRECIO EN SOLES]]-Tabla1[[#This Row],[PC]]</f>
        <v>13.18</v>
      </c>
      <c r="K29" s="15"/>
      <c r="L29" s="15" t="str">
        <f t="shared" si="1"/>
        <v>COMPLEMENTO</v>
      </c>
    </row>
    <row r="30" spans="1:12" x14ac:dyDescent="0.25">
      <c r="A30" s="3" t="s">
        <v>133</v>
      </c>
      <c r="B30" s="3" t="s">
        <v>134</v>
      </c>
      <c r="C30" s="1">
        <v>20</v>
      </c>
      <c r="D30" s="1">
        <v>23.7</v>
      </c>
      <c r="E30" s="1" t="s">
        <v>135</v>
      </c>
      <c r="F30" s="1" t="s">
        <v>4299</v>
      </c>
      <c r="G30" s="3"/>
      <c r="H30" s="11">
        <f t="shared" si="0"/>
        <v>116.96</v>
      </c>
      <c r="I30" s="9">
        <f>($K$2+0.02)*Tabla1[[#This Row],[PRECIO $]]*1.18</f>
        <v>96.482699999999994</v>
      </c>
      <c r="J30" s="7">
        <f>+Tabla1[[#This Row],[PRECIO EN SOLES]]-Tabla1[[#This Row],[PC]]</f>
        <v>20.4773</v>
      </c>
      <c r="K30" s="15"/>
      <c r="L30" s="15" t="str">
        <f t="shared" si="1"/>
        <v>NORMAL</v>
      </c>
    </row>
    <row r="31" spans="1:12" x14ac:dyDescent="0.25">
      <c r="A31" s="3" t="s">
        <v>136</v>
      </c>
      <c r="B31" s="3" t="s">
        <v>137</v>
      </c>
      <c r="C31" s="1">
        <v>20</v>
      </c>
      <c r="D31" s="1">
        <v>5</v>
      </c>
      <c r="E31" s="1" t="s">
        <v>135</v>
      </c>
      <c r="F31" s="1" t="s">
        <v>4300</v>
      </c>
      <c r="G31" s="3"/>
      <c r="H31" s="11">
        <f t="shared" si="0"/>
        <v>25.41</v>
      </c>
      <c r="I31" s="9">
        <f>($K$2+0.02)*Tabla1[[#This Row],[PRECIO $]]*1.18</f>
        <v>20.355</v>
      </c>
      <c r="J31" s="7">
        <f>+Tabla1[[#This Row],[PRECIO EN SOLES]]-Tabla1[[#This Row],[PC]]</f>
        <v>5.0549999999999997</v>
      </c>
      <c r="K31" s="15"/>
      <c r="L31" s="15" t="str">
        <f t="shared" si="1"/>
        <v>NORMAL</v>
      </c>
    </row>
    <row r="32" spans="1:12" x14ac:dyDescent="0.25">
      <c r="A32" s="3" t="s">
        <v>138</v>
      </c>
      <c r="B32" s="3" t="s">
        <v>139</v>
      </c>
      <c r="C32" s="1">
        <v>20</v>
      </c>
      <c r="D32" s="1">
        <v>3</v>
      </c>
      <c r="E32" s="1" t="s">
        <v>135</v>
      </c>
      <c r="F32" s="1" t="s">
        <v>4301</v>
      </c>
      <c r="G32" s="3"/>
      <c r="H32" s="11">
        <f t="shared" si="0"/>
        <v>16.04</v>
      </c>
      <c r="I32" s="9">
        <f>($K$2+0.02)*Tabla1[[#This Row],[PRECIO $]]*1.18</f>
        <v>12.213000000000001</v>
      </c>
      <c r="J32" s="7">
        <f>+Tabla1[[#This Row],[PRECIO EN SOLES]]-Tabla1[[#This Row],[PC]]</f>
        <v>3.8269999999999982</v>
      </c>
      <c r="K32" s="15"/>
      <c r="L32" s="15" t="str">
        <f t="shared" si="1"/>
        <v>NORMAL</v>
      </c>
    </row>
    <row r="33" spans="1:12" x14ac:dyDescent="0.25">
      <c r="A33" s="3" t="s">
        <v>140</v>
      </c>
      <c r="B33" s="3" t="s">
        <v>141</v>
      </c>
      <c r="C33" s="1">
        <v>0</v>
      </c>
      <c r="D33" s="1">
        <v>63.5</v>
      </c>
      <c r="E33" s="1" t="s">
        <v>142</v>
      </c>
      <c r="F33" s="1" t="s">
        <v>4302</v>
      </c>
      <c r="G33" s="3" t="s">
        <v>143</v>
      </c>
      <c r="H33" s="11">
        <f t="shared" si="0"/>
        <v>328.14</v>
      </c>
      <c r="I33" s="9">
        <f>($K$2+0.02)*Tabla1[[#This Row],[PRECIO $]]*1.18</f>
        <v>258.50850000000003</v>
      </c>
      <c r="J33" s="7">
        <f>+Tabla1[[#This Row],[PRECIO EN SOLES]]-Tabla1[[#This Row],[PC]]</f>
        <v>69.63149999999996</v>
      </c>
      <c r="K33" s="15"/>
      <c r="L33" s="15" t="str">
        <f t="shared" si="1"/>
        <v>COMPLEMENTO</v>
      </c>
    </row>
    <row r="34" spans="1:12" x14ac:dyDescent="0.25">
      <c r="A34" s="3" t="s">
        <v>6655</v>
      </c>
      <c r="B34" s="3" t="s">
        <v>6656</v>
      </c>
      <c r="C34" s="1">
        <v>20</v>
      </c>
      <c r="D34" s="1">
        <v>21.2</v>
      </c>
      <c r="E34" s="1" t="s">
        <v>6657</v>
      </c>
      <c r="F34" s="1" t="s">
        <v>6658</v>
      </c>
      <c r="G34" s="3"/>
      <c r="H34" s="11">
        <f t="shared" si="0"/>
        <v>105.25</v>
      </c>
      <c r="I34" s="9">
        <f>($K$2+0.02)*Tabla1[[#This Row],[PRECIO $]]*1.18</f>
        <v>86.305199999999999</v>
      </c>
      <c r="J34" s="7">
        <f>+Tabla1[[#This Row],[PRECIO EN SOLES]]-Tabla1[[#This Row],[PC]]</f>
        <v>18.944800000000001</v>
      </c>
      <c r="K34" s="15"/>
      <c r="L34" s="15" t="str">
        <f t="shared" si="1"/>
        <v>NORMAL</v>
      </c>
    </row>
    <row r="35" spans="1:12" x14ac:dyDescent="0.25">
      <c r="A35" s="3" t="s">
        <v>6659</v>
      </c>
      <c r="B35" s="3" t="s">
        <v>6660</v>
      </c>
      <c r="C35" s="1">
        <v>20</v>
      </c>
      <c r="D35" s="1">
        <v>18.100000000000001</v>
      </c>
      <c r="E35" s="1" t="s">
        <v>6661</v>
      </c>
      <c r="F35" s="1" t="s">
        <v>6662</v>
      </c>
      <c r="G35" s="3"/>
      <c r="H35" s="11">
        <f t="shared" si="0"/>
        <v>88.74</v>
      </c>
      <c r="I35" s="9">
        <f>($K$2+0.02)*Tabla1[[#This Row],[PRECIO $]]*1.18</f>
        <v>73.685100000000006</v>
      </c>
      <c r="J35" s="7">
        <f>+Tabla1[[#This Row],[PRECIO EN SOLES]]-Tabla1[[#This Row],[PC]]</f>
        <v>15.054899999999989</v>
      </c>
      <c r="K35" s="15"/>
      <c r="L35" s="15" t="str">
        <f t="shared" si="1"/>
        <v>NORMAL</v>
      </c>
    </row>
    <row r="36" spans="1:12" x14ac:dyDescent="0.25">
      <c r="A36" s="3" t="s">
        <v>144</v>
      </c>
      <c r="B36" s="3" t="s">
        <v>145</v>
      </c>
      <c r="C36" s="1">
        <v>0</v>
      </c>
      <c r="D36" s="1">
        <v>94</v>
      </c>
      <c r="E36" s="1" t="s">
        <v>126</v>
      </c>
      <c r="F36" s="1" t="s">
        <v>4303</v>
      </c>
      <c r="G36" s="3" t="s">
        <v>146</v>
      </c>
      <c r="H36" s="11">
        <f t="shared" si="0"/>
        <v>448.08</v>
      </c>
      <c r="I36" s="9">
        <f>($K$2+0.02)*Tabla1[[#This Row],[PRECIO $]]*1.18</f>
        <v>382.67399999999998</v>
      </c>
      <c r="J36" s="7">
        <f>+Tabla1[[#This Row],[PRECIO EN SOLES]]-Tabla1[[#This Row],[PC]]</f>
        <v>65.406000000000006</v>
      </c>
      <c r="K36" s="15"/>
      <c r="L36" s="15" t="str">
        <f t="shared" si="1"/>
        <v>NORMAL</v>
      </c>
    </row>
    <row r="37" spans="1:12" x14ac:dyDescent="0.25">
      <c r="A37" s="3" t="s">
        <v>147</v>
      </c>
      <c r="B37" s="3" t="s">
        <v>148</v>
      </c>
      <c r="C37" s="1">
        <v>0</v>
      </c>
      <c r="D37" s="1">
        <v>1100</v>
      </c>
      <c r="E37" s="1" t="s">
        <v>126</v>
      </c>
      <c r="F37" s="1" t="s">
        <v>4304</v>
      </c>
      <c r="G37" s="3"/>
      <c r="H37" s="11">
        <f t="shared" si="0"/>
        <v>5602.63</v>
      </c>
      <c r="I37" s="9">
        <f>($K$2+0.02)*Tabla1[[#This Row],[PRECIO $]]*1.18</f>
        <v>4478.0999999999995</v>
      </c>
      <c r="J37" s="7">
        <f>+Tabla1[[#This Row],[PRECIO EN SOLES]]-Tabla1[[#This Row],[PC]]</f>
        <v>1124.5300000000007</v>
      </c>
      <c r="K37" s="15"/>
      <c r="L37" s="15" t="str">
        <f t="shared" si="1"/>
        <v>COMPLEMENTO</v>
      </c>
    </row>
    <row r="38" spans="1:12" x14ac:dyDescent="0.25">
      <c r="A38" s="3" t="s">
        <v>149</v>
      </c>
      <c r="B38" s="3" t="s">
        <v>150</v>
      </c>
      <c r="C38" s="1">
        <v>20</v>
      </c>
      <c r="D38" s="1">
        <v>14.6</v>
      </c>
      <c r="E38" s="1" t="s">
        <v>151</v>
      </c>
      <c r="F38" s="1" t="s">
        <v>4305</v>
      </c>
      <c r="G38" s="3" t="s">
        <v>152</v>
      </c>
      <c r="H38" s="11">
        <f t="shared" si="0"/>
        <v>72.349999999999994</v>
      </c>
      <c r="I38" s="9">
        <f>($K$2+0.02)*Tabla1[[#This Row],[PRECIO $]]*1.18</f>
        <v>59.436600000000006</v>
      </c>
      <c r="J38" s="7">
        <f>+Tabla1[[#This Row],[PRECIO EN SOLES]]-Tabla1[[#This Row],[PC]]</f>
        <v>12.913399999999989</v>
      </c>
      <c r="K38" s="15"/>
      <c r="L38" s="15" t="str">
        <f t="shared" si="1"/>
        <v>NORMAL</v>
      </c>
    </row>
    <row r="39" spans="1:12" x14ac:dyDescent="0.25">
      <c r="A39" s="3" t="s">
        <v>153</v>
      </c>
      <c r="B39" s="3" t="s">
        <v>154</v>
      </c>
      <c r="C39" s="1">
        <v>20</v>
      </c>
      <c r="D39" s="1">
        <v>28.6</v>
      </c>
      <c r="E39" s="1" t="s">
        <v>151</v>
      </c>
      <c r="F39" s="1" t="s">
        <v>4306</v>
      </c>
      <c r="G39" s="3" t="s">
        <v>155</v>
      </c>
      <c r="H39" s="11">
        <f t="shared" si="0"/>
        <v>139.9</v>
      </c>
      <c r="I39" s="9">
        <f>($K$2+0.02)*Tabla1[[#This Row],[PRECIO $]]*1.18</f>
        <v>116.43060000000001</v>
      </c>
      <c r="J39" s="7">
        <f>+Tabla1[[#This Row],[PRECIO EN SOLES]]-Tabla1[[#This Row],[PC]]</f>
        <v>23.469399999999993</v>
      </c>
      <c r="K39" s="15"/>
      <c r="L39" s="15" t="str">
        <f t="shared" si="1"/>
        <v>NORMAL</v>
      </c>
    </row>
    <row r="40" spans="1:12" x14ac:dyDescent="0.25">
      <c r="A40" s="3" t="s">
        <v>156</v>
      </c>
      <c r="B40" s="3" t="s">
        <v>157</v>
      </c>
      <c r="C40" s="1">
        <v>0</v>
      </c>
      <c r="D40" s="1">
        <v>47.2</v>
      </c>
      <c r="E40" s="1" t="s">
        <v>151</v>
      </c>
      <c r="F40" s="1" t="s">
        <v>4307</v>
      </c>
      <c r="G40" s="3" t="s">
        <v>158</v>
      </c>
      <c r="H40" s="11">
        <f t="shared" si="0"/>
        <v>228.97</v>
      </c>
      <c r="I40" s="9">
        <f>($K$2+0.02)*Tabla1[[#This Row],[PRECIO $]]*1.18</f>
        <v>192.15120000000002</v>
      </c>
      <c r="J40" s="7">
        <f>+Tabla1[[#This Row],[PRECIO EN SOLES]]-Tabla1[[#This Row],[PC]]</f>
        <v>36.818799999999982</v>
      </c>
      <c r="K40" s="15"/>
      <c r="L40" s="15" t="str">
        <f t="shared" si="1"/>
        <v>NORMAL</v>
      </c>
    </row>
    <row r="41" spans="1:12" x14ac:dyDescent="0.25">
      <c r="A41" s="3" t="s">
        <v>159</v>
      </c>
      <c r="B41" s="3" t="s">
        <v>160</v>
      </c>
      <c r="C41" s="1">
        <v>20</v>
      </c>
      <c r="D41" s="1">
        <v>24.6</v>
      </c>
      <c r="E41" s="1" t="s">
        <v>151</v>
      </c>
      <c r="F41" s="1" t="s">
        <v>4308</v>
      </c>
      <c r="G41" s="3" t="s">
        <v>161</v>
      </c>
      <c r="H41" s="11">
        <f t="shared" si="0"/>
        <v>121.17</v>
      </c>
      <c r="I41" s="9">
        <f>($K$2+0.02)*Tabla1[[#This Row],[PRECIO $]]*1.18</f>
        <v>100.14660000000001</v>
      </c>
      <c r="J41" s="7">
        <f>+Tabla1[[#This Row],[PRECIO EN SOLES]]-Tabla1[[#This Row],[PC]]</f>
        <v>21.023399999999995</v>
      </c>
      <c r="K41" s="15"/>
      <c r="L41" s="15" t="str">
        <f t="shared" si="1"/>
        <v>NORMAL</v>
      </c>
    </row>
    <row r="42" spans="1:12" x14ac:dyDescent="0.25">
      <c r="A42" s="3" t="s">
        <v>6663</v>
      </c>
      <c r="B42" s="3" t="s">
        <v>6664</v>
      </c>
      <c r="C42" s="1">
        <v>10</v>
      </c>
      <c r="D42" s="1">
        <v>32.1</v>
      </c>
      <c r="E42" s="1" t="s">
        <v>6665</v>
      </c>
      <c r="F42" s="1" t="s">
        <v>6666</v>
      </c>
      <c r="G42" s="3"/>
      <c r="H42" s="11">
        <f t="shared" si="0"/>
        <v>156.28</v>
      </c>
      <c r="I42" s="9">
        <f>($K$2+0.02)*Tabla1[[#This Row],[PRECIO $]]*1.18</f>
        <v>130.67910000000001</v>
      </c>
      <c r="J42" s="7">
        <f>+Tabla1[[#This Row],[PRECIO EN SOLES]]-Tabla1[[#This Row],[PC]]</f>
        <v>25.600899999999996</v>
      </c>
      <c r="K42" s="15"/>
      <c r="L42" s="15" t="str">
        <f t="shared" si="1"/>
        <v>NORMAL</v>
      </c>
    </row>
    <row r="43" spans="1:12" x14ac:dyDescent="0.25">
      <c r="A43" s="3" t="s">
        <v>162</v>
      </c>
      <c r="B43" s="3" t="s">
        <v>163</v>
      </c>
      <c r="C43" s="1">
        <v>20</v>
      </c>
      <c r="D43" s="1">
        <v>5</v>
      </c>
      <c r="E43" s="1" t="s">
        <v>135</v>
      </c>
      <c r="F43" s="1" t="s">
        <v>4309</v>
      </c>
      <c r="G43" s="3"/>
      <c r="H43" s="11">
        <f t="shared" si="0"/>
        <v>25.41</v>
      </c>
      <c r="I43" s="9">
        <f>($K$2+0.02)*Tabla1[[#This Row],[PRECIO $]]*1.18</f>
        <v>20.355</v>
      </c>
      <c r="J43" s="7">
        <f>+Tabla1[[#This Row],[PRECIO EN SOLES]]-Tabla1[[#This Row],[PC]]</f>
        <v>5.0549999999999997</v>
      </c>
      <c r="K43" s="15"/>
      <c r="L43" s="15" t="str">
        <f t="shared" si="1"/>
        <v>NORMAL</v>
      </c>
    </row>
    <row r="44" spans="1:12" x14ac:dyDescent="0.25">
      <c r="A44" s="3" t="s">
        <v>6667</v>
      </c>
      <c r="B44" s="3" t="s">
        <v>6668</v>
      </c>
      <c r="C44" s="1">
        <v>20</v>
      </c>
      <c r="D44" s="1">
        <v>52.6</v>
      </c>
      <c r="E44" s="1" t="s">
        <v>6661</v>
      </c>
      <c r="F44" s="1" t="s">
        <v>6669</v>
      </c>
      <c r="G44" s="3" t="s">
        <v>6670</v>
      </c>
      <c r="H44" s="11">
        <f t="shared" si="0"/>
        <v>254.25</v>
      </c>
      <c r="I44" s="9">
        <f>($K$2+0.02)*Tabla1[[#This Row],[PRECIO $]]*1.18</f>
        <v>214.13460000000003</v>
      </c>
      <c r="J44" s="7">
        <f>+Tabla1[[#This Row],[PRECIO EN SOLES]]-Tabla1[[#This Row],[PC]]</f>
        <v>40.115399999999966</v>
      </c>
      <c r="K44" s="15"/>
      <c r="L44" s="15" t="str">
        <f t="shared" si="1"/>
        <v>NORMAL</v>
      </c>
    </row>
    <row r="45" spans="1:12" x14ac:dyDescent="0.25">
      <c r="A45" s="3" t="s">
        <v>6671</v>
      </c>
      <c r="B45" s="3" t="s">
        <v>6672</v>
      </c>
      <c r="C45" s="1">
        <v>20</v>
      </c>
      <c r="D45" s="1">
        <v>57.6</v>
      </c>
      <c r="E45" s="1" t="s">
        <v>6661</v>
      </c>
      <c r="F45" s="1" t="s">
        <v>6673</v>
      </c>
      <c r="G45" s="3"/>
      <c r="H45" s="11">
        <f t="shared" si="0"/>
        <v>277.66000000000003</v>
      </c>
      <c r="I45" s="9">
        <f>($K$2+0.02)*Tabla1[[#This Row],[PRECIO $]]*1.18</f>
        <v>234.48960000000002</v>
      </c>
      <c r="J45" s="7">
        <f>+Tabla1[[#This Row],[PRECIO EN SOLES]]-Tabla1[[#This Row],[PC]]</f>
        <v>43.170400000000001</v>
      </c>
      <c r="K45" s="15"/>
      <c r="L45" s="15" t="str">
        <f t="shared" si="1"/>
        <v>NORMAL</v>
      </c>
    </row>
    <row r="46" spans="1:12" x14ac:dyDescent="0.25">
      <c r="A46" s="3" t="s">
        <v>6674</v>
      </c>
      <c r="B46" s="3" t="s">
        <v>6675</v>
      </c>
      <c r="C46" s="1">
        <v>20</v>
      </c>
      <c r="D46" s="1">
        <v>20.100000000000001</v>
      </c>
      <c r="E46" s="1" t="s">
        <v>6661</v>
      </c>
      <c r="F46" s="1" t="s">
        <v>6676</v>
      </c>
      <c r="G46" s="3"/>
      <c r="H46" s="11">
        <f t="shared" si="0"/>
        <v>100.1</v>
      </c>
      <c r="I46" s="9">
        <f>($K$2+0.02)*Tabla1[[#This Row],[PRECIO $]]*1.18</f>
        <v>81.827100000000016</v>
      </c>
      <c r="J46" s="7">
        <f>+Tabla1[[#This Row],[PRECIO EN SOLES]]-Tabla1[[#This Row],[PC]]</f>
        <v>18.272899999999979</v>
      </c>
      <c r="K46" s="15"/>
      <c r="L46" s="15" t="str">
        <f t="shared" si="1"/>
        <v>NORMAL</v>
      </c>
    </row>
    <row r="47" spans="1:12" x14ac:dyDescent="0.25">
      <c r="A47" s="3" t="s">
        <v>164</v>
      </c>
      <c r="B47" s="3" t="s">
        <v>165</v>
      </c>
      <c r="C47" s="1">
        <v>0</v>
      </c>
      <c r="D47" s="1">
        <v>1100</v>
      </c>
      <c r="E47" s="1" t="s">
        <v>126</v>
      </c>
      <c r="F47" s="1" t="s">
        <v>4310</v>
      </c>
      <c r="G47" s="3"/>
      <c r="H47" s="11">
        <f t="shared" si="0"/>
        <v>5157.82</v>
      </c>
      <c r="I47" s="9">
        <f>($K$2+0.02)*Tabla1[[#This Row],[PRECIO $]]*1.18</f>
        <v>4478.0999999999995</v>
      </c>
      <c r="J47" s="7">
        <f>+Tabla1[[#This Row],[PRECIO EN SOLES]]-Tabla1[[#This Row],[PC]]</f>
        <v>679.72000000000025</v>
      </c>
      <c r="K47" s="15"/>
      <c r="L47" s="15" t="str">
        <f t="shared" si="1"/>
        <v>NORMAL</v>
      </c>
    </row>
    <row r="48" spans="1:12" x14ac:dyDescent="0.25">
      <c r="A48" s="3" t="s">
        <v>166</v>
      </c>
      <c r="B48" s="3" t="s">
        <v>167</v>
      </c>
      <c r="C48" s="1">
        <v>20</v>
      </c>
      <c r="D48" s="1">
        <v>12</v>
      </c>
      <c r="E48" s="1" t="s">
        <v>122</v>
      </c>
      <c r="F48" s="1" t="s">
        <v>4311</v>
      </c>
      <c r="G48" s="3" t="s">
        <v>168</v>
      </c>
      <c r="H48" s="11">
        <f t="shared" si="0"/>
        <v>60.18</v>
      </c>
      <c r="I48" s="9">
        <f>($K$2+0.02)*Tabla1[[#This Row],[PRECIO $]]*1.18</f>
        <v>48.852000000000004</v>
      </c>
      <c r="J48" s="7">
        <f>+Tabla1[[#This Row],[PRECIO EN SOLES]]-Tabla1[[#This Row],[PC]]</f>
        <v>11.327999999999996</v>
      </c>
      <c r="K48" s="15"/>
      <c r="L48" s="15" t="str">
        <f t="shared" si="1"/>
        <v>NORMAL</v>
      </c>
    </row>
    <row r="49" spans="1:12" x14ac:dyDescent="0.25">
      <c r="A49" s="3" t="s">
        <v>169</v>
      </c>
      <c r="B49" s="3" t="s">
        <v>170</v>
      </c>
      <c r="C49" s="1">
        <v>0</v>
      </c>
      <c r="D49" s="1">
        <v>1100</v>
      </c>
      <c r="E49" s="1" t="s">
        <v>126</v>
      </c>
      <c r="F49" s="1" t="s">
        <v>4312</v>
      </c>
      <c r="G49" s="3"/>
      <c r="H49" s="11">
        <f t="shared" si="0"/>
        <v>5157.82</v>
      </c>
      <c r="I49" s="9">
        <f>($K$2+0.02)*Tabla1[[#This Row],[PRECIO $]]*1.18</f>
        <v>4478.0999999999995</v>
      </c>
      <c r="J49" s="7">
        <f>+Tabla1[[#This Row],[PRECIO EN SOLES]]-Tabla1[[#This Row],[PC]]</f>
        <v>679.72000000000025</v>
      </c>
      <c r="K49" s="15"/>
      <c r="L49" s="15" t="str">
        <f t="shared" si="1"/>
        <v>NORMAL</v>
      </c>
    </row>
    <row r="50" spans="1:12" x14ac:dyDescent="0.25">
      <c r="A50" s="3" t="s">
        <v>171</v>
      </c>
      <c r="B50" s="3" t="s">
        <v>172</v>
      </c>
      <c r="C50" s="1">
        <v>20</v>
      </c>
      <c r="D50" s="1">
        <v>1.4</v>
      </c>
      <c r="E50" s="1" t="s">
        <v>126</v>
      </c>
      <c r="F50" s="1" t="s">
        <v>4313</v>
      </c>
      <c r="G50" s="3" t="s">
        <v>173</v>
      </c>
      <c r="H50" s="11">
        <f t="shared" si="0"/>
        <v>8.5500000000000007</v>
      </c>
      <c r="I50" s="9">
        <f>($K$2+0.02)*Tabla1[[#This Row],[PRECIO $]]*1.18</f>
        <v>5.6993999999999998</v>
      </c>
      <c r="J50" s="7">
        <f>+Tabla1[[#This Row],[PRECIO EN SOLES]]-Tabla1[[#This Row],[PC]]</f>
        <v>2.8506000000000009</v>
      </c>
      <c r="K50" s="15"/>
      <c r="L50" s="15" t="str">
        <f t="shared" si="1"/>
        <v>NORMAL</v>
      </c>
    </row>
    <row r="51" spans="1:12" x14ac:dyDescent="0.25">
      <c r="A51" s="3" t="s">
        <v>174</v>
      </c>
      <c r="B51" s="3" t="s">
        <v>175</v>
      </c>
      <c r="C51" s="1">
        <v>0</v>
      </c>
      <c r="D51" s="1">
        <v>110</v>
      </c>
      <c r="E51" s="1" t="s">
        <v>126</v>
      </c>
      <c r="F51" s="1" t="s">
        <v>4314</v>
      </c>
      <c r="G51" s="3"/>
      <c r="H51" s="11">
        <f t="shared" si="0"/>
        <v>522.98</v>
      </c>
      <c r="I51" s="9">
        <f>($K$2+0.02)*Tabla1[[#This Row],[PRECIO $]]*1.18</f>
        <v>447.81</v>
      </c>
      <c r="J51" s="7">
        <f>+Tabla1[[#This Row],[PRECIO EN SOLES]]-Tabla1[[#This Row],[PC]]</f>
        <v>75.170000000000016</v>
      </c>
      <c r="K51" s="15"/>
      <c r="L51" s="15" t="str">
        <f t="shared" si="1"/>
        <v>NORMAL</v>
      </c>
    </row>
    <row r="52" spans="1:12" x14ac:dyDescent="0.25">
      <c r="A52" s="3" t="s">
        <v>176</v>
      </c>
      <c r="B52" s="3" t="s">
        <v>177</v>
      </c>
      <c r="C52" s="1">
        <v>20</v>
      </c>
      <c r="D52" s="1">
        <v>4</v>
      </c>
      <c r="E52" s="1" t="s">
        <v>135</v>
      </c>
      <c r="F52" s="1" t="s">
        <v>4315</v>
      </c>
      <c r="G52" s="3"/>
      <c r="H52" s="11">
        <f t="shared" si="0"/>
        <v>20.73</v>
      </c>
      <c r="I52" s="9">
        <f>($K$2+0.02)*Tabla1[[#This Row],[PRECIO $]]*1.18</f>
        <v>16.283999999999999</v>
      </c>
      <c r="J52" s="7">
        <f>+Tabla1[[#This Row],[PRECIO EN SOLES]]-Tabla1[[#This Row],[PC]]</f>
        <v>4.4460000000000015</v>
      </c>
      <c r="K52" s="15"/>
      <c r="L52" s="15" t="str">
        <f t="shared" si="1"/>
        <v>NORMAL</v>
      </c>
    </row>
    <row r="53" spans="1:12" x14ac:dyDescent="0.25">
      <c r="A53" s="3" t="s">
        <v>178</v>
      </c>
      <c r="B53" s="3" t="s">
        <v>179</v>
      </c>
      <c r="C53" s="1">
        <v>20</v>
      </c>
      <c r="D53" s="1">
        <v>6</v>
      </c>
      <c r="E53" s="1" t="s">
        <v>135</v>
      </c>
      <c r="F53" s="1" t="s">
        <v>4316</v>
      </c>
      <c r="G53" s="3"/>
      <c r="H53" s="11">
        <f t="shared" si="0"/>
        <v>30.09</v>
      </c>
      <c r="I53" s="9">
        <f>($K$2+0.02)*Tabla1[[#This Row],[PRECIO $]]*1.18</f>
        <v>24.426000000000002</v>
      </c>
      <c r="J53" s="7">
        <f>+Tabla1[[#This Row],[PRECIO EN SOLES]]-Tabla1[[#This Row],[PC]]</f>
        <v>5.6639999999999979</v>
      </c>
      <c r="K53" s="15"/>
      <c r="L53" s="15" t="str">
        <f t="shared" si="1"/>
        <v>NORMAL</v>
      </c>
    </row>
    <row r="54" spans="1:12" x14ac:dyDescent="0.25">
      <c r="A54" s="3" t="s">
        <v>180</v>
      </c>
      <c r="B54" s="3" t="s">
        <v>181</v>
      </c>
      <c r="C54" s="1">
        <v>20</v>
      </c>
      <c r="D54" s="1">
        <v>4</v>
      </c>
      <c r="E54" s="1" t="s">
        <v>135</v>
      </c>
      <c r="F54" s="1" t="s">
        <v>4317</v>
      </c>
      <c r="G54" s="3"/>
      <c r="H54" s="11">
        <f t="shared" si="0"/>
        <v>20.73</v>
      </c>
      <c r="I54" s="9">
        <f>($K$2+0.02)*Tabla1[[#This Row],[PRECIO $]]*1.18</f>
        <v>16.283999999999999</v>
      </c>
      <c r="J54" s="7">
        <f>+Tabla1[[#This Row],[PRECIO EN SOLES]]-Tabla1[[#This Row],[PC]]</f>
        <v>4.4460000000000015</v>
      </c>
      <c r="K54" s="15"/>
      <c r="L54" s="15" t="str">
        <f t="shared" si="1"/>
        <v>NORMAL</v>
      </c>
    </row>
    <row r="55" spans="1:12" x14ac:dyDescent="0.25">
      <c r="A55" s="3" t="s">
        <v>182</v>
      </c>
      <c r="B55" s="3" t="s">
        <v>183</v>
      </c>
      <c r="C55" s="1">
        <v>20</v>
      </c>
      <c r="D55" s="1">
        <v>4</v>
      </c>
      <c r="E55" s="1" t="s">
        <v>135</v>
      </c>
      <c r="F55" s="1" t="s">
        <v>4318</v>
      </c>
      <c r="G55" s="3"/>
      <c r="H55" s="11">
        <f t="shared" si="0"/>
        <v>20.73</v>
      </c>
      <c r="I55" s="9">
        <f>($K$2+0.02)*Tabla1[[#This Row],[PRECIO $]]*1.18</f>
        <v>16.283999999999999</v>
      </c>
      <c r="J55" s="7">
        <f>+Tabla1[[#This Row],[PRECIO EN SOLES]]-Tabla1[[#This Row],[PC]]</f>
        <v>4.4460000000000015</v>
      </c>
      <c r="K55" s="15"/>
      <c r="L55" s="15" t="str">
        <f t="shared" si="1"/>
        <v>NORMAL</v>
      </c>
    </row>
    <row r="56" spans="1:12" x14ac:dyDescent="0.25">
      <c r="A56" s="3" t="s">
        <v>184</v>
      </c>
      <c r="B56" s="3" t="s">
        <v>185</v>
      </c>
      <c r="C56" s="1">
        <v>20</v>
      </c>
      <c r="D56" s="1">
        <v>4</v>
      </c>
      <c r="E56" s="1" t="s">
        <v>135</v>
      </c>
      <c r="F56" s="1" t="s">
        <v>4319</v>
      </c>
      <c r="G56" s="3"/>
      <c r="H56" s="11">
        <f t="shared" si="0"/>
        <v>20.73</v>
      </c>
      <c r="I56" s="9">
        <f>($K$2+0.02)*Tabla1[[#This Row],[PRECIO $]]*1.18</f>
        <v>16.283999999999999</v>
      </c>
      <c r="J56" s="7">
        <f>+Tabla1[[#This Row],[PRECIO EN SOLES]]-Tabla1[[#This Row],[PC]]</f>
        <v>4.4460000000000015</v>
      </c>
      <c r="K56" s="15"/>
      <c r="L56" s="15" t="str">
        <f t="shared" si="1"/>
        <v>NORMAL</v>
      </c>
    </row>
    <row r="57" spans="1:12" x14ac:dyDescent="0.25">
      <c r="A57" s="3" t="s">
        <v>186</v>
      </c>
      <c r="B57" s="3" t="s">
        <v>185</v>
      </c>
      <c r="C57" s="1">
        <v>0</v>
      </c>
      <c r="D57" s="1">
        <v>4</v>
      </c>
      <c r="E57" s="1" t="s">
        <v>135</v>
      </c>
      <c r="F57" s="1" t="s">
        <v>4320</v>
      </c>
      <c r="G57" s="3"/>
      <c r="H57" s="11">
        <f t="shared" si="0"/>
        <v>20.73</v>
      </c>
      <c r="I57" s="9">
        <f>($K$2+0.02)*Tabla1[[#This Row],[PRECIO $]]*1.18</f>
        <v>16.283999999999999</v>
      </c>
      <c r="J57" s="7">
        <f>+Tabla1[[#This Row],[PRECIO EN SOLES]]-Tabla1[[#This Row],[PC]]</f>
        <v>4.4460000000000015</v>
      </c>
      <c r="K57" s="15"/>
      <c r="L57" s="15" t="str">
        <f t="shared" si="1"/>
        <v>NORMAL</v>
      </c>
    </row>
    <row r="58" spans="1:12" x14ac:dyDescent="0.25">
      <c r="A58" s="3" t="s">
        <v>187</v>
      </c>
      <c r="B58" s="3" t="s">
        <v>134</v>
      </c>
      <c r="C58" s="1">
        <v>20</v>
      </c>
      <c r="D58" s="1">
        <v>666</v>
      </c>
      <c r="E58" s="1" t="s">
        <v>135</v>
      </c>
      <c r="F58" s="1" t="s">
        <v>4321</v>
      </c>
      <c r="G58" s="3"/>
      <c r="H58" s="11">
        <f t="shared" si="0"/>
        <v>3125.98</v>
      </c>
      <c r="I58" s="9">
        <f>($K$2+0.02)*Tabla1[[#This Row],[PRECIO $]]*1.18</f>
        <v>2711.2860000000001</v>
      </c>
      <c r="J58" s="7">
        <f>+Tabla1[[#This Row],[PRECIO EN SOLES]]-Tabla1[[#This Row],[PC]]</f>
        <v>414.69399999999996</v>
      </c>
      <c r="K58" s="15"/>
      <c r="L58" s="15" t="str">
        <f t="shared" si="1"/>
        <v>NORMAL</v>
      </c>
    </row>
    <row r="59" spans="1:12" x14ac:dyDescent="0.25">
      <c r="A59" s="3" t="s">
        <v>188</v>
      </c>
      <c r="B59" s="3" t="s">
        <v>189</v>
      </c>
      <c r="C59" s="1">
        <v>0</v>
      </c>
      <c r="D59" s="1">
        <v>1100</v>
      </c>
      <c r="E59" s="1" t="s">
        <v>126</v>
      </c>
      <c r="F59" s="1" t="s">
        <v>4322</v>
      </c>
      <c r="G59" s="3"/>
      <c r="H59" s="11">
        <f t="shared" si="0"/>
        <v>5157.82</v>
      </c>
      <c r="I59" s="9">
        <f>($K$2+0.02)*Tabla1[[#This Row],[PRECIO $]]*1.18</f>
        <v>4478.0999999999995</v>
      </c>
      <c r="J59" s="7">
        <f>+Tabla1[[#This Row],[PRECIO EN SOLES]]-Tabla1[[#This Row],[PC]]</f>
        <v>679.72000000000025</v>
      </c>
      <c r="K59" s="15"/>
      <c r="L59" s="15" t="str">
        <f t="shared" si="1"/>
        <v>NORMAL</v>
      </c>
    </row>
    <row r="60" spans="1:12" x14ac:dyDescent="0.25">
      <c r="A60" s="3" t="s">
        <v>190</v>
      </c>
      <c r="B60" s="3" t="s">
        <v>191</v>
      </c>
      <c r="C60" s="1">
        <v>0</v>
      </c>
      <c r="D60" s="1">
        <v>1100</v>
      </c>
      <c r="E60" s="1" t="s">
        <v>126</v>
      </c>
      <c r="F60" s="1" t="s">
        <v>4323</v>
      </c>
      <c r="G60" s="3"/>
      <c r="H60" s="11">
        <f t="shared" si="0"/>
        <v>5157.82</v>
      </c>
      <c r="I60" s="9">
        <f>($K$2+0.02)*Tabla1[[#This Row],[PRECIO $]]*1.18</f>
        <v>4478.0999999999995</v>
      </c>
      <c r="J60" s="7">
        <f>+Tabla1[[#This Row],[PRECIO EN SOLES]]-Tabla1[[#This Row],[PC]]</f>
        <v>679.72000000000025</v>
      </c>
      <c r="K60" s="15"/>
      <c r="L60" s="15" t="str">
        <f t="shared" si="1"/>
        <v>NORMAL</v>
      </c>
    </row>
    <row r="61" spans="1:12" x14ac:dyDescent="0.25">
      <c r="A61" s="3" t="s">
        <v>192</v>
      </c>
      <c r="B61" s="3" t="s">
        <v>193</v>
      </c>
      <c r="C61" s="1">
        <v>0</v>
      </c>
      <c r="D61" s="1">
        <v>1100</v>
      </c>
      <c r="E61" s="1" t="s">
        <v>126</v>
      </c>
      <c r="F61" s="1" t="s">
        <v>4324</v>
      </c>
      <c r="G61" s="3"/>
      <c r="H61" s="11">
        <f t="shared" si="0"/>
        <v>5157.82</v>
      </c>
      <c r="I61" s="9">
        <f>($K$2+0.02)*Tabla1[[#This Row],[PRECIO $]]*1.18</f>
        <v>4478.0999999999995</v>
      </c>
      <c r="J61" s="7">
        <f>+Tabla1[[#This Row],[PRECIO EN SOLES]]-Tabla1[[#This Row],[PC]]</f>
        <v>679.72000000000025</v>
      </c>
      <c r="K61" s="15"/>
      <c r="L61" s="15" t="str">
        <f t="shared" si="1"/>
        <v>NORMAL</v>
      </c>
    </row>
    <row r="62" spans="1:12" x14ac:dyDescent="0.25">
      <c r="A62" s="3" t="s">
        <v>194</v>
      </c>
      <c r="B62" s="3" t="s">
        <v>195</v>
      </c>
      <c r="C62" s="1">
        <v>0</v>
      </c>
      <c r="D62" s="1">
        <v>110</v>
      </c>
      <c r="E62" s="1" t="s">
        <v>126</v>
      </c>
      <c r="F62" s="1" t="s">
        <v>4325</v>
      </c>
      <c r="G62" s="3"/>
      <c r="H62" s="11">
        <f t="shared" si="0"/>
        <v>522.98</v>
      </c>
      <c r="I62" s="9">
        <f>($K$2+0.02)*Tabla1[[#This Row],[PRECIO $]]*1.18</f>
        <v>447.81</v>
      </c>
      <c r="J62" s="7">
        <f>+Tabla1[[#This Row],[PRECIO EN SOLES]]-Tabla1[[#This Row],[PC]]</f>
        <v>75.170000000000016</v>
      </c>
      <c r="K62" s="15"/>
      <c r="L62" s="15" t="str">
        <f t="shared" si="1"/>
        <v>NORMAL</v>
      </c>
    </row>
    <row r="63" spans="1:12" x14ac:dyDescent="0.25">
      <c r="A63" s="3" t="s">
        <v>196</v>
      </c>
      <c r="B63" s="3" t="s">
        <v>197</v>
      </c>
      <c r="C63" s="1">
        <v>0</v>
      </c>
      <c r="D63" s="1">
        <v>1100</v>
      </c>
      <c r="E63" s="1" t="s">
        <v>126</v>
      </c>
      <c r="F63" s="1" t="s">
        <v>4326</v>
      </c>
      <c r="G63" s="3"/>
      <c r="H63" s="11">
        <f t="shared" si="0"/>
        <v>5157.82</v>
      </c>
      <c r="I63" s="9">
        <f>($K$2+0.02)*Tabla1[[#This Row],[PRECIO $]]*1.18</f>
        <v>4478.0999999999995</v>
      </c>
      <c r="J63" s="7">
        <f>+Tabla1[[#This Row],[PRECIO EN SOLES]]-Tabla1[[#This Row],[PC]]</f>
        <v>679.72000000000025</v>
      </c>
      <c r="K63" s="15"/>
      <c r="L63" s="15" t="str">
        <f t="shared" si="1"/>
        <v>NORMAL</v>
      </c>
    </row>
    <row r="64" spans="1:12" x14ac:dyDescent="0.25">
      <c r="A64" s="3" t="s">
        <v>198</v>
      </c>
      <c r="B64" s="3" t="s">
        <v>199</v>
      </c>
      <c r="C64" s="1">
        <v>0</v>
      </c>
      <c r="D64" s="1">
        <v>1100</v>
      </c>
      <c r="E64" s="1" t="s">
        <v>126</v>
      </c>
      <c r="F64" s="1" t="s">
        <v>4327</v>
      </c>
      <c r="G64" s="3"/>
      <c r="H64" s="11">
        <f t="shared" si="0"/>
        <v>5157.82</v>
      </c>
      <c r="I64" s="9">
        <f>($K$2+0.02)*Tabla1[[#This Row],[PRECIO $]]*1.18</f>
        <v>4478.0999999999995</v>
      </c>
      <c r="J64" s="7">
        <f>+Tabla1[[#This Row],[PRECIO EN SOLES]]-Tabla1[[#This Row],[PC]]</f>
        <v>679.72000000000025</v>
      </c>
      <c r="K64" s="15"/>
      <c r="L64" s="15" t="str">
        <f t="shared" si="1"/>
        <v>NORMAL</v>
      </c>
    </row>
    <row r="65" spans="1:12" x14ac:dyDescent="0.25">
      <c r="A65" s="3" t="s">
        <v>200</v>
      </c>
      <c r="B65" s="3" t="s">
        <v>201</v>
      </c>
      <c r="C65" s="1">
        <v>0</v>
      </c>
      <c r="D65" s="1">
        <v>110</v>
      </c>
      <c r="E65" s="1" t="s">
        <v>131</v>
      </c>
      <c r="F65" s="1" t="s">
        <v>4328</v>
      </c>
      <c r="G65" s="3" t="s">
        <v>202</v>
      </c>
      <c r="H65" s="11">
        <f t="shared" si="0"/>
        <v>522.98</v>
      </c>
      <c r="I65" s="9">
        <f>($K$2+0.02)*Tabla1[[#This Row],[PRECIO $]]*1.18</f>
        <v>447.81</v>
      </c>
      <c r="J65" s="7">
        <f>+Tabla1[[#This Row],[PRECIO EN SOLES]]-Tabla1[[#This Row],[PC]]</f>
        <v>75.170000000000016</v>
      </c>
      <c r="K65" s="15"/>
      <c r="L65" s="15" t="str">
        <f t="shared" si="1"/>
        <v>NORMAL</v>
      </c>
    </row>
    <row r="66" spans="1:12" x14ac:dyDescent="0.25">
      <c r="A66" s="3" t="s">
        <v>203</v>
      </c>
      <c r="B66" s="3" t="s">
        <v>204</v>
      </c>
      <c r="C66" s="1">
        <v>0</v>
      </c>
      <c r="D66" s="1">
        <v>1100</v>
      </c>
      <c r="E66" s="1" t="s">
        <v>126</v>
      </c>
      <c r="F66" s="1" t="s">
        <v>4329</v>
      </c>
      <c r="G66" s="3"/>
      <c r="H66" s="11">
        <f t="shared" ref="H66:H129" si="2">ROUND(
IF(L66="GANCHO",
   IF(I66&lt;=50,I66*1.1+4,IF(I66&lt;=120,I66*1.1+7,IF(I66&lt;=250,I66*1.1+11,I66*1.1+19))),
IF(L66="NORMAL",
   IF(I66&lt;=30,I66*1.15+2,IF(I66&lt;=80,I66*1.15+4,IF(I66&lt;=150,I66*1.15+6,I66*1.15+8))),
IF(L66="COMPLEMENTO",
   IF(I66&lt;=25,I66*1.25+1.5,IF(I66&lt;=60,I66*1.25+3,IF(I66&lt;=120,I66*1.25+4,I66*1.25+5))),
""))),2)</f>
        <v>5602.63</v>
      </c>
      <c r="I66" s="9">
        <f>($K$2+0.02)*Tabla1[[#This Row],[PRECIO $]]*1.18</f>
        <v>4478.0999999999995</v>
      </c>
      <c r="J66" s="7">
        <f>+Tabla1[[#This Row],[PRECIO EN SOLES]]-Tabla1[[#This Row],[PC]]</f>
        <v>1124.5300000000007</v>
      </c>
      <c r="K66" s="15"/>
      <c r="L66" s="15" t="str">
        <f t="shared" si="1"/>
        <v>COMPLEMENTO</v>
      </c>
    </row>
    <row r="67" spans="1:12" x14ac:dyDescent="0.25">
      <c r="A67" s="3" t="s">
        <v>205</v>
      </c>
      <c r="B67" s="3" t="s">
        <v>206</v>
      </c>
      <c r="C67" s="1">
        <v>0</v>
      </c>
      <c r="D67" s="1">
        <v>1100</v>
      </c>
      <c r="E67" s="1" t="s">
        <v>126</v>
      </c>
      <c r="F67" s="1" t="s">
        <v>4330</v>
      </c>
      <c r="G67" s="3"/>
      <c r="H67" s="11">
        <f t="shared" si="2"/>
        <v>5602.63</v>
      </c>
      <c r="I67" s="9">
        <f>($K$2+0.02)*Tabla1[[#This Row],[PRECIO $]]*1.18</f>
        <v>4478.0999999999995</v>
      </c>
      <c r="J67" s="7">
        <f>+Tabla1[[#This Row],[PRECIO EN SOLES]]-Tabla1[[#This Row],[PC]]</f>
        <v>1124.5300000000007</v>
      </c>
      <c r="K67" s="15"/>
      <c r="L67" s="15" t="str">
        <f t="shared" ref="L67:L130" si="3">IF(
OR(
ISNUMBER(SEARCH("BACKPACK",B67)),
ISNUMBER(SEARCH("MOCHILA",B67)),
ISNUMBER(SEARCH("FUNDA",B67)),
ISNUMBER(SEARCH("ESTUCHE",B67)),
ISNUMBER(SEARCH("BOOK COVER",B67)),
ISNUMBER(SEARCH("KEYBOARD PARA TABLET",B67)),
ISNUMBER(SEARCH("FLIP TABLET",B67)),
ISNUMBER(SEARCH("CASE FOR TABLET",B67)),
ISNUMBER(SEARCH("CABLE",B67)),
ISNUMBER(SEARCH("ADAPTADOR",B67)),
ISNUMBER(SEARCH("HUB",B67)),
ISNUMBER(SEARCH("DOCK",B67)),
ISNUMBER(SEARCH("MOUSE PAD",B67)),
ISNUMBER(SEARCH("MOUSEPAD",B67)),
ISNUMBER(SEARCH("SOPORTE",B67)),
ISNUMBER(SEARCH("STAND",B67)),
ISNUMBER(SEARCH("TRAVEL ADAPTER",B67)),
ISNUMBER(SEARCH("RJ45",B67)),
ISNUMBER(SEARCH("USB-C",B67)),
ISNUMBER(SEARCH("USB WIFI",B67)),
ISNUMBER(SEARCH("POWERBANK",B67)),
ISNUMBER(SEARCH("CARGADOR",B67)),
ISNUMBER(SEARCH("COOLER PARA NB",B67)),
ISNUMBER(SEARCH("SOPORTE PARA NB",B67)),
ISNUMBER(SEARCH("WEBCAM",B67)),
ISNUMBER(SEARCH("WEB CAM",B67)),
ISNUMBER(SEARCH("MOUSE",B67)),
ISNUMBER(SEARCH("TECLADO",B67))
),
"COMPLEMENTO",
IF(
OR(
LEFT(A67,2)="NB",
LEFT(A67,2)="PC",
LEFT(A67,2)="WS",
LEFT(A67,2)="TB",
LEFT(A67,3)="CEL",
LEFT(A67,3)="MON",
LEFT(A67,3)="PRE",
LEFT(A67,3)="PRH",
ISNUMBER(SEARCH("NOTEBOOK",B67)),
ISNUMBER(SEARCH("LAPTOP",B67)),
ISNUMBER(SEARCH("MONITOR",B67)),
ISNUMBER(SEARCH("TABLET",B67)),
ISNUMBER(SEARCH("SMARTPH",B67)),
ISNUMBER(SEARCH("IMPRESORA",B67)),
ISNUMBER(SEARCH("MULTIFUNCIONAL",B67)),
ISNUMBER(SEARCH("AIO",B67))
),
"GANCHO",
"NORMAL"
)
)</f>
        <v>COMPLEMENTO</v>
      </c>
    </row>
    <row r="68" spans="1:12" x14ac:dyDescent="0.25">
      <c r="A68" s="3" t="s">
        <v>207</v>
      </c>
      <c r="B68" s="3" t="s">
        <v>208</v>
      </c>
      <c r="C68" s="1">
        <v>0</v>
      </c>
      <c r="D68" s="1">
        <v>1100</v>
      </c>
      <c r="E68" s="1" t="s">
        <v>126</v>
      </c>
      <c r="F68" s="1" t="s">
        <v>4331</v>
      </c>
      <c r="G68" s="3"/>
      <c r="H68" s="11">
        <f t="shared" si="2"/>
        <v>5157.82</v>
      </c>
      <c r="I68" s="9">
        <f>($K$2+0.02)*Tabla1[[#This Row],[PRECIO $]]*1.18</f>
        <v>4478.0999999999995</v>
      </c>
      <c r="J68" s="7">
        <f>+Tabla1[[#This Row],[PRECIO EN SOLES]]-Tabla1[[#This Row],[PC]]</f>
        <v>679.72000000000025</v>
      </c>
      <c r="K68" s="15"/>
      <c r="L68" s="15" t="str">
        <f t="shared" si="3"/>
        <v>NORMAL</v>
      </c>
    </row>
    <row r="69" spans="1:12" x14ac:dyDescent="0.25">
      <c r="A69" s="3" t="s">
        <v>209</v>
      </c>
      <c r="B69" s="3" t="s">
        <v>208</v>
      </c>
      <c r="C69" s="1">
        <v>0</v>
      </c>
      <c r="D69" s="1">
        <v>1100</v>
      </c>
      <c r="E69" s="1" t="s">
        <v>126</v>
      </c>
      <c r="F69" s="1" t="s">
        <v>4332</v>
      </c>
      <c r="G69" s="3"/>
      <c r="H69" s="11">
        <f t="shared" si="2"/>
        <v>5157.82</v>
      </c>
      <c r="I69" s="9">
        <f>($K$2+0.02)*Tabla1[[#This Row],[PRECIO $]]*1.18</f>
        <v>4478.0999999999995</v>
      </c>
      <c r="J69" s="7">
        <f>+Tabla1[[#This Row],[PRECIO EN SOLES]]-Tabla1[[#This Row],[PC]]</f>
        <v>679.72000000000025</v>
      </c>
      <c r="K69" s="15"/>
      <c r="L69" s="15" t="str">
        <f t="shared" si="3"/>
        <v>NORMAL</v>
      </c>
    </row>
    <row r="70" spans="1:12" x14ac:dyDescent="0.25">
      <c r="A70" s="3" t="s">
        <v>210</v>
      </c>
      <c r="B70" s="3" t="s">
        <v>211</v>
      </c>
      <c r="C70" s="1">
        <v>0</v>
      </c>
      <c r="D70" s="1">
        <v>1100</v>
      </c>
      <c r="E70" s="1" t="s">
        <v>126</v>
      </c>
      <c r="F70" s="1" t="s">
        <v>4333</v>
      </c>
      <c r="G70" s="3"/>
      <c r="H70" s="11">
        <f t="shared" si="2"/>
        <v>5157.82</v>
      </c>
      <c r="I70" s="9">
        <f>($K$2+0.02)*Tabla1[[#This Row],[PRECIO $]]*1.18</f>
        <v>4478.0999999999995</v>
      </c>
      <c r="J70" s="7">
        <f>+Tabla1[[#This Row],[PRECIO EN SOLES]]-Tabla1[[#This Row],[PC]]</f>
        <v>679.72000000000025</v>
      </c>
      <c r="K70" s="15"/>
      <c r="L70" s="15" t="str">
        <f t="shared" si="3"/>
        <v>NORMAL</v>
      </c>
    </row>
    <row r="71" spans="1:12" x14ac:dyDescent="0.25">
      <c r="A71" s="3" t="s">
        <v>212</v>
      </c>
      <c r="B71" s="3" t="s">
        <v>213</v>
      </c>
      <c r="C71" s="1">
        <v>0</v>
      </c>
      <c r="D71" s="1">
        <v>1100</v>
      </c>
      <c r="E71" s="1" t="s">
        <v>126</v>
      </c>
      <c r="F71" s="1" t="s">
        <v>4334</v>
      </c>
      <c r="G71" s="3"/>
      <c r="H71" s="11">
        <f t="shared" si="2"/>
        <v>4944.91</v>
      </c>
      <c r="I71" s="9">
        <f>($K$2+0.02)*Tabla1[[#This Row],[PRECIO $]]*1.18</f>
        <v>4478.0999999999995</v>
      </c>
      <c r="J71" s="7">
        <f>+Tabla1[[#This Row],[PRECIO EN SOLES]]-Tabla1[[#This Row],[PC]]</f>
        <v>466.8100000000004</v>
      </c>
      <c r="K71" s="15"/>
      <c r="L71" s="15" t="str">
        <f t="shared" si="3"/>
        <v>GANCHO</v>
      </c>
    </row>
    <row r="72" spans="1:12" x14ac:dyDescent="0.25">
      <c r="A72" s="3" t="s">
        <v>214</v>
      </c>
      <c r="B72" s="3" t="s">
        <v>215</v>
      </c>
      <c r="C72" s="1">
        <v>0</v>
      </c>
      <c r="D72" s="1">
        <v>1100</v>
      </c>
      <c r="E72" s="1" t="s">
        <v>126</v>
      </c>
      <c r="F72" s="1" t="s">
        <v>4335</v>
      </c>
      <c r="G72" s="3"/>
      <c r="H72" s="11">
        <f t="shared" si="2"/>
        <v>5157.82</v>
      </c>
      <c r="I72" s="9">
        <f>($K$2+0.02)*Tabla1[[#This Row],[PRECIO $]]*1.18</f>
        <v>4478.0999999999995</v>
      </c>
      <c r="J72" s="7">
        <f>+Tabla1[[#This Row],[PRECIO EN SOLES]]-Tabla1[[#This Row],[PC]]</f>
        <v>679.72000000000025</v>
      </c>
      <c r="K72" s="15"/>
      <c r="L72" s="15" t="str">
        <f t="shared" si="3"/>
        <v>NORMAL</v>
      </c>
    </row>
    <row r="73" spans="1:12" x14ac:dyDescent="0.25">
      <c r="A73" s="3" t="s">
        <v>216</v>
      </c>
      <c r="B73" s="3" t="s">
        <v>217</v>
      </c>
      <c r="C73" s="1">
        <v>0</v>
      </c>
      <c r="D73" s="1">
        <v>320</v>
      </c>
      <c r="E73" s="1" t="s">
        <v>126</v>
      </c>
      <c r="F73" s="1" t="s">
        <v>4336</v>
      </c>
      <c r="G73" s="3"/>
      <c r="H73" s="11">
        <f t="shared" si="2"/>
        <v>1506.13</v>
      </c>
      <c r="I73" s="9">
        <f>($K$2+0.02)*Tabla1[[#This Row],[PRECIO $]]*1.18</f>
        <v>1302.72</v>
      </c>
      <c r="J73" s="7">
        <f>+Tabla1[[#This Row],[PRECIO EN SOLES]]-Tabla1[[#This Row],[PC]]</f>
        <v>203.41000000000008</v>
      </c>
      <c r="K73" s="15"/>
      <c r="L73" s="15" t="str">
        <f t="shared" si="3"/>
        <v>NORMAL</v>
      </c>
    </row>
    <row r="74" spans="1:12" x14ac:dyDescent="0.25">
      <c r="A74" s="3" t="s">
        <v>218</v>
      </c>
      <c r="B74" s="3" t="s">
        <v>219</v>
      </c>
      <c r="C74" s="1">
        <v>0</v>
      </c>
      <c r="D74" s="1">
        <v>1100</v>
      </c>
      <c r="E74" s="1" t="s">
        <v>126</v>
      </c>
      <c r="F74" s="1" t="s">
        <v>4337</v>
      </c>
      <c r="G74" s="3"/>
      <c r="H74" s="11">
        <f t="shared" si="2"/>
        <v>5157.82</v>
      </c>
      <c r="I74" s="9">
        <f>($K$2+0.02)*Tabla1[[#This Row],[PRECIO $]]*1.18</f>
        <v>4478.0999999999995</v>
      </c>
      <c r="J74" s="7">
        <f>+Tabla1[[#This Row],[PRECIO EN SOLES]]-Tabla1[[#This Row],[PC]]</f>
        <v>679.72000000000025</v>
      </c>
      <c r="K74" s="15"/>
      <c r="L74" s="15" t="str">
        <f t="shared" si="3"/>
        <v>NORMAL</v>
      </c>
    </row>
    <row r="75" spans="1:12" x14ac:dyDescent="0.25">
      <c r="A75" s="3" t="s">
        <v>221</v>
      </c>
      <c r="B75" s="3" t="s">
        <v>222</v>
      </c>
      <c r="C75" s="1">
        <v>0</v>
      </c>
      <c r="D75" s="1">
        <v>15.7</v>
      </c>
      <c r="E75" s="1" t="s">
        <v>142</v>
      </c>
      <c r="F75" s="1" t="s">
        <v>4338</v>
      </c>
      <c r="G75" s="3" t="s">
        <v>223</v>
      </c>
      <c r="H75" s="11">
        <f t="shared" si="2"/>
        <v>83.89</v>
      </c>
      <c r="I75" s="9">
        <f>($K$2+0.02)*Tabla1[[#This Row],[PRECIO $]]*1.18</f>
        <v>63.914699999999996</v>
      </c>
      <c r="J75" s="7">
        <f>+Tabla1[[#This Row],[PRECIO EN SOLES]]-Tabla1[[#This Row],[PC]]</f>
        <v>19.975300000000004</v>
      </c>
      <c r="K75" s="15"/>
      <c r="L75" s="15" t="str">
        <f t="shared" si="3"/>
        <v>COMPLEMENTO</v>
      </c>
    </row>
    <row r="76" spans="1:12" x14ac:dyDescent="0.25">
      <c r="A76" s="3" t="s">
        <v>224</v>
      </c>
      <c r="B76" s="3" t="s">
        <v>225</v>
      </c>
      <c r="C76" s="1">
        <v>0</v>
      </c>
      <c r="D76" s="1">
        <v>1100</v>
      </c>
      <c r="E76" s="1" t="s">
        <v>126</v>
      </c>
      <c r="F76" s="1" t="s">
        <v>4339</v>
      </c>
      <c r="G76" s="3"/>
      <c r="H76" s="11">
        <f t="shared" si="2"/>
        <v>5157.82</v>
      </c>
      <c r="I76" s="9">
        <f>($K$2+0.02)*Tabla1[[#This Row],[PRECIO $]]*1.18</f>
        <v>4478.0999999999995</v>
      </c>
      <c r="J76" s="7">
        <f>+Tabla1[[#This Row],[PRECIO EN SOLES]]-Tabla1[[#This Row],[PC]]</f>
        <v>679.72000000000025</v>
      </c>
      <c r="K76" s="15"/>
      <c r="L76" s="15" t="str">
        <f t="shared" si="3"/>
        <v>NORMAL</v>
      </c>
    </row>
    <row r="77" spans="1:12" x14ac:dyDescent="0.25">
      <c r="A77" s="3" t="s">
        <v>227</v>
      </c>
      <c r="B77" s="3" t="s">
        <v>228</v>
      </c>
      <c r="C77" s="1">
        <v>20</v>
      </c>
      <c r="D77" s="1">
        <v>3.45</v>
      </c>
      <c r="E77" s="1" t="s">
        <v>226</v>
      </c>
      <c r="F77" s="1" t="s">
        <v>4340</v>
      </c>
      <c r="G77" s="3" t="s">
        <v>229</v>
      </c>
      <c r="H77" s="11">
        <f t="shared" si="2"/>
        <v>19.059999999999999</v>
      </c>
      <c r="I77" s="9">
        <f>($K$2+0.02)*Tabla1[[#This Row],[PRECIO $]]*1.18</f>
        <v>14.044950000000002</v>
      </c>
      <c r="J77" s="7">
        <f>+Tabla1[[#This Row],[PRECIO EN SOLES]]-Tabla1[[#This Row],[PC]]</f>
        <v>5.0150499999999969</v>
      </c>
      <c r="K77" s="15"/>
      <c r="L77" s="15" t="str">
        <f t="shared" si="3"/>
        <v>COMPLEMENTO</v>
      </c>
    </row>
    <row r="78" spans="1:12" x14ac:dyDescent="0.25">
      <c r="A78" s="3" t="s">
        <v>6677</v>
      </c>
      <c r="B78" s="3" t="s">
        <v>6678</v>
      </c>
      <c r="C78" s="1">
        <v>20</v>
      </c>
      <c r="D78" s="1">
        <v>33.6</v>
      </c>
      <c r="E78" s="1" t="s">
        <v>126</v>
      </c>
      <c r="F78" s="1" t="s">
        <v>6679</v>
      </c>
      <c r="G78" s="3" t="s">
        <v>6680</v>
      </c>
      <c r="H78" s="11">
        <f t="shared" si="2"/>
        <v>163.30000000000001</v>
      </c>
      <c r="I78" s="9">
        <f>($K$2+0.02)*Tabla1[[#This Row],[PRECIO $]]*1.18</f>
        <v>136.78560000000002</v>
      </c>
      <c r="J78" s="7">
        <f>+Tabla1[[#This Row],[PRECIO EN SOLES]]-Tabla1[[#This Row],[PC]]</f>
        <v>26.514399999999995</v>
      </c>
      <c r="K78" s="15"/>
      <c r="L78" s="15" t="str">
        <f t="shared" si="3"/>
        <v>NORMAL</v>
      </c>
    </row>
    <row r="79" spans="1:12" x14ac:dyDescent="0.25">
      <c r="A79" s="3" t="s">
        <v>230</v>
      </c>
      <c r="B79" s="3" t="s">
        <v>231</v>
      </c>
      <c r="C79" s="1">
        <v>0</v>
      </c>
      <c r="D79" s="1">
        <v>1100</v>
      </c>
      <c r="E79" s="1" t="s">
        <v>126</v>
      </c>
      <c r="F79" s="1" t="s">
        <v>4341</v>
      </c>
      <c r="G79" s="3"/>
      <c r="H79" s="11">
        <f t="shared" si="2"/>
        <v>5602.63</v>
      </c>
      <c r="I79" s="9">
        <f>($K$2+0.02)*Tabla1[[#This Row],[PRECIO $]]*1.18</f>
        <v>4478.0999999999995</v>
      </c>
      <c r="J79" s="7">
        <f>+Tabla1[[#This Row],[PRECIO EN SOLES]]-Tabla1[[#This Row],[PC]]</f>
        <v>1124.5300000000007</v>
      </c>
      <c r="K79" s="15"/>
      <c r="L79" s="15" t="str">
        <f t="shared" si="3"/>
        <v>COMPLEMENTO</v>
      </c>
    </row>
    <row r="80" spans="1:12" x14ac:dyDescent="0.25">
      <c r="A80" s="3" t="s">
        <v>232</v>
      </c>
      <c r="B80" s="3" t="s">
        <v>233</v>
      </c>
      <c r="C80" s="1">
        <v>20</v>
      </c>
      <c r="D80" s="1">
        <v>10.1</v>
      </c>
      <c r="E80" s="1" t="s">
        <v>122</v>
      </c>
      <c r="F80" s="1" t="s">
        <v>4342</v>
      </c>
      <c r="G80" s="3" t="s">
        <v>234</v>
      </c>
      <c r="H80" s="11">
        <f t="shared" si="2"/>
        <v>54.4</v>
      </c>
      <c r="I80" s="9">
        <f>($K$2+0.02)*Tabla1[[#This Row],[PRECIO $]]*1.18</f>
        <v>41.117099999999994</v>
      </c>
      <c r="J80" s="7">
        <f>+Tabla1[[#This Row],[PRECIO EN SOLES]]-Tabla1[[#This Row],[PC]]</f>
        <v>13.282900000000005</v>
      </c>
      <c r="K80" s="15"/>
      <c r="L80" s="15" t="str">
        <f t="shared" si="3"/>
        <v>COMPLEMENTO</v>
      </c>
    </row>
    <row r="81" spans="1:12" x14ac:dyDescent="0.25">
      <c r="A81" s="3" t="s">
        <v>235</v>
      </c>
      <c r="B81" s="3" t="s">
        <v>236</v>
      </c>
      <c r="C81" s="1">
        <v>20</v>
      </c>
      <c r="D81" s="1">
        <v>1.55</v>
      </c>
      <c r="E81" s="1" t="s">
        <v>122</v>
      </c>
      <c r="F81" s="1" t="s">
        <v>4343</v>
      </c>
      <c r="G81" s="3" t="s">
        <v>237</v>
      </c>
      <c r="H81" s="11">
        <f t="shared" si="2"/>
        <v>9.39</v>
      </c>
      <c r="I81" s="9">
        <f>($K$2+0.02)*Tabla1[[#This Row],[PRECIO $]]*1.18</f>
        <v>6.3100499999999995</v>
      </c>
      <c r="J81" s="7">
        <f>+Tabla1[[#This Row],[PRECIO EN SOLES]]-Tabla1[[#This Row],[PC]]</f>
        <v>3.0799500000000011</v>
      </c>
      <c r="K81" s="15"/>
      <c r="L81" s="15" t="str">
        <f t="shared" si="3"/>
        <v>COMPLEMENTO</v>
      </c>
    </row>
    <row r="82" spans="1:12" x14ac:dyDescent="0.25">
      <c r="A82" s="3" t="s">
        <v>238</v>
      </c>
      <c r="B82" s="3" t="s">
        <v>239</v>
      </c>
      <c r="C82" s="1">
        <v>20</v>
      </c>
      <c r="D82" s="1">
        <v>6.22</v>
      </c>
      <c r="E82" s="1" t="s">
        <v>122</v>
      </c>
      <c r="F82" s="1" t="s">
        <v>4344</v>
      </c>
      <c r="G82" s="3" t="s">
        <v>240</v>
      </c>
      <c r="H82" s="11">
        <f t="shared" si="2"/>
        <v>34.65</v>
      </c>
      <c r="I82" s="9">
        <f>($K$2+0.02)*Tabla1[[#This Row],[PRECIO $]]*1.18</f>
        <v>25.321619999999999</v>
      </c>
      <c r="J82" s="7">
        <f>+Tabla1[[#This Row],[PRECIO EN SOLES]]-Tabla1[[#This Row],[PC]]</f>
        <v>9.3283799999999992</v>
      </c>
      <c r="K82" s="15"/>
      <c r="L82" s="15" t="str">
        <f t="shared" si="3"/>
        <v>COMPLEMENTO</v>
      </c>
    </row>
    <row r="83" spans="1:12" x14ac:dyDescent="0.25">
      <c r="A83" s="3" t="s">
        <v>241</v>
      </c>
      <c r="B83" s="3" t="s">
        <v>233</v>
      </c>
      <c r="C83" s="1">
        <v>0</v>
      </c>
      <c r="D83" s="1">
        <v>999</v>
      </c>
      <c r="E83" s="1" t="s">
        <v>242</v>
      </c>
      <c r="F83" s="1" t="s">
        <v>4345</v>
      </c>
      <c r="G83" s="3"/>
      <c r="H83" s="11">
        <f t="shared" si="2"/>
        <v>5088.66</v>
      </c>
      <c r="I83" s="9">
        <f>($K$2+0.02)*Tabla1[[#This Row],[PRECIO $]]*1.18</f>
        <v>4066.9290000000001</v>
      </c>
      <c r="J83" s="7">
        <f>+Tabla1[[#This Row],[PRECIO EN SOLES]]-Tabla1[[#This Row],[PC]]</f>
        <v>1021.7309999999998</v>
      </c>
      <c r="K83" s="15"/>
      <c r="L83" s="15" t="str">
        <f t="shared" si="3"/>
        <v>COMPLEMENTO</v>
      </c>
    </row>
    <row r="84" spans="1:12" x14ac:dyDescent="0.25">
      <c r="A84" s="3" t="s">
        <v>243</v>
      </c>
      <c r="B84" s="3" t="s">
        <v>244</v>
      </c>
      <c r="C84" s="1">
        <v>2</v>
      </c>
      <c r="D84" s="1">
        <v>1538</v>
      </c>
      <c r="E84" s="1" t="s">
        <v>226</v>
      </c>
      <c r="F84" s="1" t="s">
        <v>4346</v>
      </c>
      <c r="G84" s="3" t="s">
        <v>245</v>
      </c>
      <c r="H84" s="11">
        <f t="shared" si="2"/>
        <v>7208.38</v>
      </c>
      <c r="I84" s="9">
        <f>($K$2+0.02)*Tabla1[[#This Row],[PRECIO $]]*1.18</f>
        <v>6261.1980000000003</v>
      </c>
      <c r="J84" s="7">
        <f>+Tabla1[[#This Row],[PRECIO EN SOLES]]-Tabla1[[#This Row],[PC]]</f>
        <v>947.18199999999979</v>
      </c>
      <c r="K84" s="15"/>
      <c r="L84" s="15" t="str">
        <f t="shared" si="3"/>
        <v>NORMAL</v>
      </c>
    </row>
    <row r="85" spans="1:12" x14ac:dyDescent="0.25">
      <c r="A85" s="3" t="s">
        <v>246</v>
      </c>
      <c r="B85" s="3" t="s">
        <v>247</v>
      </c>
      <c r="C85" s="1">
        <v>3</v>
      </c>
      <c r="D85" s="1">
        <v>198</v>
      </c>
      <c r="E85" s="1" t="s">
        <v>226</v>
      </c>
      <c r="F85" s="1" t="s">
        <v>4347</v>
      </c>
      <c r="G85" s="3" t="s">
        <v>248</v>
      </c>
      <c r="H85" s="11">
        <f t="shared" si="2"/>
        <v>934.97</v>
      </c>
      <c r="I85" s="9">
        <f>($K$2+0.02)*Tabla1[[#This Row],[PRECIO $]]*1.18</f>
        <v>806.05799999999999</v>
      </c>
      <c r="J85" s="7">
        <f>+Tabla1[[#This Row],[PRECIO EN SOLES]]-Tabla1[[#This Row],[PC]]</f>
        <v>128.91200000000003</v>
      </c>
      <c r="K85" s="15"/>
      <c r="L85" s="15" t="str">
        <f t="shared" si="3"/>
        <v>NORMAL</v>
      </c>
    </row>
    <row r="86" spans="1:12" x14ac:dyDescent="0.25">
      <c r="A86" s="3" t="s">
        <v>249</v>
      </c>
      <c r="B86" s="3" t="s">
        <v>250</v>
      </c>
      <c r="C86" s="1">
        <v>1</v>
      </c>
      <c r="D86" s="1">
        <v>153</v>
      </c>
      <c r="E86" s="1" t="s">
        <v>226</v>
      </c>
      <c r="F86" s="1" t="s">
        <v>4348</v>
      </c>
      <c r="G86" s="3" t="s">
        <v>251</v>
      </c>
      <c r="H86" s="11">
        <f t="shared" si="2"/>
        <v>724.29</v>
      </c>
      <c r="I86" s="9">
        <f>($K$2+0.02)*Tabla1[[#This Row],[PRECIO $]]*1.18</f>
        <v>622.86299999999994</v>
      </c>
      <c r="J86" s="7">
        <f>+Tabla1[[#This Row],[PRECIO EN SOLES]]-Tabla1[[#This Row],[PC]]</f>
        <v>101.42700000000002</v>
      </c>
      <c r="K86" s="15"/>
      <c r="L86" s="15" t="str">
        <f t="shared" si="3"/>
        <v>NORMAL</v>
      </c>
    </row>
    <row r="87" spans="1:12" x14ac:dyDescent="0.25">
      <c r="A87" s="3" t="s">
        <v>252</v>
      </c>
      <c r="B87" s="3" t="s">
        <v>253</v>
      </c>
      <c r="C87" s="1">
        <v>1</v>
      </c>
      <c r="D87" s="1">
        <v>254</v>
      </c>
      <c r="E87" s="1" t="s">
        <v>126</v>
      </c>
      <c r="F87" s="1" t="s">
        <v>4349</v>
      </c>
      <c r="G87" s="3" t="s">
        <v>254</v>
      </c>
      <c r="H87" s="11">
        <f t="shared" si="2"/>
        <v>1197.1400000000001</v>
      </c>
      <c r="I87" s="9">
        <f>($K$2+0.02)*Tabla1[[#This Row],[PRECIO $]]*1.18</f>
        <v>1034.0340000000001</v>
      </c>
      <c r="J87" s="7">
        <f>+Tabla1[[#This Row],[PRECIO EN SOLES]]-Tabla1[[#This Row],[PC]]</f>
        <v>163.10599999999999</v>
      </c>
      <c r="K87" s="15"/>
      <c r="L87" s="15" t="str">
        <f t="shared" si="3"/>
        <v>NORMAL</v>
      </c>
    </row>
    <row r="88" spans="1:12" x14ac:dyDescent="0.25">
      <c r="A88" s="3" t="s">
        <v>255</v>
      </c>
      <c r="B88" s="3" t="s">
        <v>256</v>
      </c>
      <c r="C88" s="1">
        <v>3</v>
      </c>
      <c r="D88" s="1">
        <v>126</v>
      </c>
      <c r="E88" s="1" t="s">
        <v>257</v>
      </c>
      <c r="F88" s="1" t="s">
        <v>4350</v>
      </c>
      <c r="G88" s="3" t="s">
        <v>258</v>
      </c>
      <c r="H88" s="11">
        <f t="shared" si="2"/>
        <v>597.89</v>
      </c>
      <c r="I88" s="9">
        <f>($K$2+0.02)*Tabla1[[#This Row],[PRECIO $]]*1.18</f>
        <v>512.94600000000003</v>
      </c>
      <c r="J88" s="7">
        <f>+Tabla1[[#This Row],[PRECIO EN SOLES]]-Tabla1[[#This Row],[PC]]</f>
        <v>84.94399999999996</v>
      </c>
      <c r="K88" s="15"/>
      <c r="L88" s="15" t="str">
        <f t="shared" si="3"/>
        <v>NORMAL</v>
      </c>
    </row>
    <row r="89" spans="1:12" x14ac:dyDescent="0.25">
      <c r="A89" s="3" t="s">
        <v>259</v>
      </c>
      <c r="B89" s="3" t="s">
        <v>260</v>
      </c>
      <c r="C89" s="1">
        <v>20</v>
      </c>
      <c r="D89" s="1">
        <v>53</v>
      </c>
      <c r="E89" s="1" t="s">
        <v>261</v>
      </c>
      <c r="F89" s="1" t="s">
        <v>4351</v>
      </c>
      <c r="G89" s="3" t="s">
        <v>262</v>
      </c>
      <c r="H89" s="11">
        <f t="shared" si="2"/>
        <v>256.13</v>
      </c>
      <c r="I89" s="9">
        <f>($K$2+0.02)*Tabla1[[#This Row],[PRECIO $]]*1.18</f>
        <v>215.76300000000001</v>
      </c>
      <c r="J89" s="7">
        <f>+Tabla1[[#This Row],[PRECIO EN SOLES]]-Tabla1[[#This Row],[PC]]</f>
        <v>40.36699999999999</v>
      </c>
      <c r="K89" s="15"/>
      <c r="L89" s="15" t="str">
        <f t="shared" si="3"/>
        <v>NORMAL</v>
      </c>
    </row>
    <row r="90" spans="1:12" x14ac:dyDescent="0.25">
      <c r="A90" s="3" t="s">
        <v>4352</v>
      </c>
      <c r="B90" s="3" t="s">
        <v>4353</v>
      </c>
      <c r="C90" s="1">
        <v>8</v>
      </c>
      <c r="D90" s="1">
        <v>18.350000000000001</v>
      </c>
      <c r="E90" s="1" t="s">
        <v>261</v>
      </c>
      <c r="F90" s="1" t="s">
        <v>4354</v>
      </c>
      <c r="G90" s="3" t="s">
        <v>4355</v>
      </c>
      <c r="H90" s="11">
        <f t="shared" si="2"/>
        <v>89.91</v>
      </c>
      <c r="I90" s="9">
        <f>($K$2+0.02)*Tabla1[[#This Row],[PRECIO $]]*1.18</f>
        <v>74.702850000000012</v>
      </c>
      <c r="J90" s="7">
        <f>+Tabla1[[#This Row],[PRECIO EN SOLES]]-Tabla1[[#This Row],[PC]]</f>
        <v>15.207149999999984</v>
      </c>
      <c r="K90" s="15"/>
      <c r="L90" s="15" t="str">
        <f t="shared" si="3"/>
        <v>NORMAL</v>
      </c>
    </row>
    <row r="91" spans="1:12" x14ac:dyDescent="0.25">
      <c r="A91" s="3" t="s">
        <v>4356</v>
      </c>
      <c r="B91" s="3" t="s">
        <v>4357</v>
      </c>
      <c r="C91" s="1">
        <v>0</v>
      </c>
      <c r="D91" s="1">
        <v>18.350000000000001</v>
      </c>
      <c r="E91" s="1" t="s">
        <v>261</v>
      </c>
      <c r="F91" s="1" t="s">
        <v>4358</v>
      </c>
      <c r="G91" s="3" t="s">
        <v>4359</v>
      </c>
      <c r="H91" s="11">
        <f t="shared" si="2"/>
        <v>89.91</v>
      </c>
      <c r="I91" s="9">
        <f>($K$2+0.02)*Tabla1[[#This Row],[PRECIO $]]*1.18</f>
        <v>74.702850000000012</v>
      </c>
      <c r="J91" s="7">
        <f>+Tabla1[[#This Row],[PRECIO EN SOLES]]-Tabla1[[#This Row],[PC]]</f>
        <v>15.207149999999984</v>
      </c>
      <c r="K91" s="15"/>
      <c r="L91" s="15" t="str">
        <f t="shared" si="3"/>
        <v>NORMAL</v>
      </c>
    </row>
    <row r="92" spans="1:12" x14ac:dyDescent="0.25">
      <c r="A92" s="3" t="s">
        <v>263</v>
      </c>
      <c r="B92" s="3" t="s">
        <v>264</v>
      </c>
      <c r="C92" s="1">
        <v>20</v>
      </c>
      <c r="D92" s="1">
        <v>29</v>
      </c>
      <c r="E92" s="1" t="s">
        <v>265</v>
      </c>
      <c r="F92" s="1" t="s">
        <v>4360</v>
      </c>
      <c r="G92" s="3" t="s">
        <v>266</v>
      </c>
      <c r="H92" s="11">
        <f t="shared" si="2"/>
        <v>141.77000000000001</v>
      </c>
      <c r="I92" s="9">
        <f>($K$2+0.02)*Tabla1[[#This Row],[PRECIO $]]*1.18</f>
        <v>118.05900000000001</v>
      </c>
      <c r="J92" s="7">
        <f>+Tabla1[[#This Row],[PRECIO EN SOLES]]-Tabla1[[#This Row],[PC]]</f>
        <v>23.710999999999999</v>
      </c>
      <c r="K92" s="15"/>
      <c r="L92" s="15" t="str">
        <f t="shared" si="3"/>
        <v>NORMAL</v>
      </c>
    </row>
    <row r="93" spans="1:12" x14ac:dyDescent="0.25">
      <c r="A93" s="3" t="s">
        <v>267</v>
      </c>
      <c r="B93" s="3" t="s">
        <v>268</v>
      </c>
      <c r="C93" s="1">
        <v>20</v>
      </c>
      <c r="D93" s="1">
        <v>53.6</v>
      </c>
      <c r="E93" s="1" t="s">
        <v>269</v>
      </c>
      <c r="F93" s="1" t="s">
        <v>4361</v>
      </c>
      <c r="G93" s="3" t="s">
        <v>270</v>
      </c>
      <c r="H93" s="11">
        <f t="shared" si="2"/>
        <v>258.94</v>
      </c>
      <c r="I93" s="9">
        <f>($K$2+0.02)*Tabla1[[#This Row],[PRECIO $]]*1.18</f>
        <v>218.2056</v>
      </c>
      <c r="J93" s="7">
        <f>+Tabla1[[#This Row],[PRECIO EN SOLES]]-Tabla1[[#This Row],[PC]]</f>
        <v>40.734399999999994</v>
      </c>
      <c r="K93" s="15"/>
      <c r="L93" s="15" t="str">
        <f t="shared" si="3"/>
        <v>NORMAL</v>
      </c>
    </row>
    <row r="94" spans="1:12" x14ac:dyDescent="0.25">
      <c r="A94" s="3" t="s">
        <v>271</v>
      </c>
      <c r="B94" s="3" t="s">
        <v>272</v>
      </c>
      <c r="C94" s="1">
        <v>20</v>
      </c>
      <c r="D94" s="1">
        <v>9.6</v>
      </c>
      <c r="E94" s="1" t="s">
        <v>122</v>
      </c>
      <c r="F94" s="1" t="s">
        <v>4362</v>
      </c>
      <c r="G94" s="3" t="s">
        <v>273</v>
      </c>
      <c r="H94" s="11">
        <f t="shared" si="2"/>
        <v>48.94</v>
      </c>
      <c r="I94" s="9">
        <f>($K$2+0.02)*Tabla1[[#This Row],[PRECIO $]]*1.18</f>
        <v>39.081599999999995</v>
      </c>
      <c r="J94" s="7">
        <f>+Tabla1[[#This Row],[PRECIO EN SOLES]]-Tabla1[[#This Row],[PC]]</f>
        <v>9.8584000000000032</v>
      </c>
      <c r="K94" s="15"/>
      <c r="L94" s="15" t="str">
        <f t="shared" si="3"/>
        <v>NORMAL</v>
      </c>
    </row>
    <row r="95" spans="1:12" x14ac:dyDescent="0.25">
      <c r="A95" s="3" t="s">
        <v>286</v>
      </c>
      <c r="B95" s="3" t="s">
        <v>287</v>
      </c>
      <c r="C95" s="1">
        <v>20</v>
      </c>
      <c r="D95" s="1">
        <v>14.5</v>
      </c>
      <c r="E95" s="1" t="s">
        <v>122</v>
      </c>
      <c r="F95" s="1" t="s">
        <v>4363</v>
      </c>
      <c r="G95" s="3" t="s">
        <v>288</v>
      </c>
      <c r="H95" s="11">
        <f t="shared" si="2"/>
        <v>71.88</v>
      </c>
      <c r="I95" s="9">
        <f>($K$2+0.02)*Tabla1[[#This Row],[PRECIO $]]*1.18</f>
        <v>59.029500000000006</v>
      </c>
      <c r="J95" s="7">
        <f>+Tabla1[[#This Row],[PRECIO EN SOLES]]-Tabla1[[#This Row],[PC]]</f>
        <v>12.85049999999999</v>
      </c>
      <c r="K95" s="15"/>
      <c r="L95" s="15" t="str">
        <f t="shared" si="3"/>
        <v>NORMAL</v>
      </c>
    </row>
    <row r="96" spans="1:12" x14ac:dyDescent="0.25">
      <c r="A96" s="3" t="s">
        <v>289</v>
      </c>
      <c r="B96" s="3" t="s">
        <v>290</v>
      </c>
      <c r="C96" s="1">
        <v>20</v>
      </c>
      <c r="D96" s="1">
        <v>23.4</v>
      </c>
      <c r="E96" s="1" t="s">
        <v>269</v>
      </c>
      <c r="F96" s="1" t="s">
        <v>4364</v>
      </c>
      <c r="G96" s="3" t="s">
        <v>291</v>
      </c>
      <c r="H96" s="11">
        <f t="shared" si="2"/>
        <v>115.55</v>
      </c>
      <c r="I96" s="9">
        <f>($K$2+0.02)*Tabla1[[#This Row],[PRECIO $]]*1.18</f>
        <v>95.261399999999995</v>
      </c>
      <c r="J96" s="7">
        <f>+Tabla1[[#This Row],[PRECIO EN SOLES]]-Tabla1[[#This Row],[PC]]</f>
        <v>20.288600000000002</v>
      </c>
      <c r="K96" s="15"/>
      <c r="L96" s="15" t="str">
        <f t="shared" si="3"/>
        <v>NORMAL</v>
      </c>
    </row>
    <row r="97" spans="1:12" x14ac:dyDescent="0.25">
      <c r="A97" s="3" t="s">
        <v>4365</v>
      </c>
      <c r="B97" s="3" t="s">
        <v>4366</v>
      </c>
      <c r="C97" s="1">
        <v>20</v>
      </c>
      <c r="D97" s="1">
        <v>44.3</v>
      </c>
      <c r="E97" s="1" t="s">
        <v>269</v>
      </c>
      <c r="F97" s="1" t="s">
        <v>4367</v>
      </c>
      <c r="G97" s="3" t="s">
        <v>4368</v>
      </c>
      <c r="H97" s="11">
        <f t="shared" si="2"/>
        <v>215.4</v>
      </c>
      <c r="I97" s="9">
        <f>($K$2+0.02)*Tabla1[[#This Row],[PRECIO $]]*1.18</f>
        <v>180.34530000000001</v>
      </c>
      <c r="J97" s="7">
        <f>+Tabla1[[#This Row],[PRECIO EN SOLES]]-Tabla1[[#This Row],[PC]]</f>
        <v>35.054699999999997</v>
      </c>
      <c r="K97" s="15"/>
      <c r="L97" s="15" t="str">
        <f t="shared" si="3"/>
        <v>NORMAL</v>
      </c>
    </row>
    <row r="98" spans="1:12" x14ac:dyDescent="0.25">
      <c r="A98" s="3" t="s">
        <v>292</v>
      </c>
      <c r="B98" s="3" t="s">
        <v>293</v>
      </c>
      <c r="C98" s="1">
        <v>20</v>
      </c>
      <c r="D98" s="1">
        <v>30</v>
      </c>
      <c r="E98" s="1" t="s">
        <v>261</v>
      </c>
      <c r="F98" s="1" t="s">
        <v>4369</v>
      </c>
      <c r="G98" s="3" t="s">
        <v>294</v>
      </c>
      <c r="H98" s="11">
        <f t="shared" si="2"/>
        <v>146.44999999999999</v>
      </c>
      <c r="I98" s="9">
        <f>($K$2+0.02)*Tabla1[[#This Row],[PRECIO $]]*1.18</f>
        <v>122.13</v>
      </c>
      <c r="J98" s="7">
        <f>+Tabla1[[#This Row],[PRECIO EN SOLES]]-Tabla1[[#This Row],[PC]]</f>
        <v>24.319999999999993</v>
      </c>
      <c r="K98" s="15"/>
      <c r="L98" s="15" t="str">
        <f t="shared" si="3"/>
        <v>NORMAL</v>
      </c>
    </row>
    <row r="99" spans="1:12" x14ac:dyDescent="0.25">
      <c r="A99" s="3" t="s">
        <v>4370</v>
      </c>
      <c r="B99" s="3" t="s">
        <v>4371</v>
      </c>
      <c r="C99" s="1">
        <v>20</v>
      </c>
      <c r="D99" s="1">
        <v>37.9</v>
      </c>
      <c r="E99" s="1" t="s">
        <v>297</v>
      </c>
      <c r="F99" s="1" t="s">
        <v>4372</v>
      </c>
      <c r="G99" s="3" t="s">
        <v>4373</v>
      </c>
      <c r="H99" s="11">
        <f t="shared" si="2"/>
        <v>185.43</v>
      </c>
      <c r="I99" s="9">
        <f>($K$2+0.02)*Tabla1[[#This Row],[PRECIO $]]*1.18</f>
        <v>154.29089999999999</v>
      </c>
      <c r="J99" s="7">
        <f>+Tabla1[[#This Row],[PRECIO EN SOLES]]-Tabla1[[#This Row],[PC]]</f>
        <v>31.139100000000013</v>
      </c>
      <c r="K99" s="15"/>
      <c r="L99" s="15" t="str">
        <f t="shared" si="3"/>
        <v>NORMAL</v>
      </c>
    </row>
    <row r="100" spans="1:12" x14ac:dyDescent="0.25">
      <c r="A100" s="3" t="s">
        <v>4374</v>
      </c>
      <c r="B100" s="3" t="s">
        <v>4375</v>
      </c>
      <c r="C100" s="1">
        <v>20</v>
      </c>
      <c r="D100" s="1">
        <v>37.9</v>
      </c>
      <c r="E100" s="1" t="s">
        <v>297</v>
      </c>
      <c r="F100" s="1" t="s">
        <v>4376</v>
      </c>
      <c r="G100" s="3" t="s">
        <v>4377</v>
      </c>
      <c r="H100" s="11">
        <f t="shared" si="2"/>
        <v>185.43</v>
      </c>
      <c r="I100" s="9">
        <f>($K$2+0.02)*Tabla1[[#This Row],[PRECIO $]]*1.18</f>
        <v>154.29089999999999</v>
      </c>
      <c r="J100" s="7">
        <f>+Tabla1[[#This Row],[PRECIO EN SOLES]]-Tabla1[[#This Row],[PC]]</f>
        <v>31.139100000000013</v>
      </c>
      <c r="K100" s="15"/>
      <c r="L100" s="15" t="str">
        <f t="shared" si="3"/>
        <v>NORMAL</v>
      </c>
    </row>
    <row r="101" spans="1:12" x14ac:dyDescent="0.25">
      <c r="A101" s="3" t="s">
        <v>295</v>
      </c>
      <c r="B101" s="3" t="s">
        <v>296</v>
      </c>
      <c r="C101" s="1">
        <v>16</v>
      </c>
      <c r="D101" s="1">
        <v>22</v>
      </c>
      <c r="E101" s="1" t="s">
        <v>297</v>
      </c>
      <c r="F101" s="1" t="s">
        <v>4378</v>
      </c>
      <c r="G101" s="3" t="s">
        <v>298</v>
      </c>
      <c r="H101" s="11">
        <f t="shared" si="2"/>
        <v>109</v>
      </c>
      <c r="I101" s="9">
        <f>($K$2+0.02)*Tabla1[[#This Row],[PRECIO $]]*1.18</f>
        <v>89.561999999999998</v>
      </c>
      <c r="J101" s="7">
        <f>+Tabla1[[#This Row],[PRECIO EN SOLES]]-Tabla1[[#This Row],[PC]]</f>
        <v>19.438000000000002</v>
      </c>
      <c r="K101" s="15"/>
      <c r="L101" s="15" t="str">
        <f t="shared" si="3"/>
        <v>NORMAL</v>
      </c>
    </row>
    <row r="102" spans="1:12" x14ac:dyDescent="0.25">
      <c r="A102" s="3" t="s">
        <v>299</v>
      </c>
      <c r="B102" s="3" t="s">
        <v>300</v>
      </c>
      <c r="C102" s="1">
        <v>20</v>
      </c>
      <c r="D102" s="1">
        <v>10.5</v>
      </c>
      <c r="E102" s="1" t="s">
        <v>122</v>
      </c>
      <c r="F102" s="1" t="s">
        <v>4379</v>
      </c>
      <c r="G102" s="3" t="s">
        <v>301</v>
      </c>
      <c r="H102" s="11">
        <f t="shared" si="2"/>
        <v>53.16</v>
      </c>
      <c r="I102" s="9">
        <f>($K$2+0.02)*Tabla1[[#This Row],[PRECIO $]]*1.18</f>
        <v>42.7455</v>
      </c>
      <c r="J102" s="7">
        <f>+Tabla1[[#This Row],[PRECIO EN SOLES]]-Tabla1[[#This Row],[PC]]</f>
        <v>10.414499999999997</v>
      </c>
      <c r="K102" s="15"/>
      <c r="L102" s="15" t="str">
        <f t="shared" si="3"/>
        <v>NORMAL</v>
      </c>
    </row>
    <row r="103" spans="1:12" x14ac:dyDescent="0.25">
      <c r="A103" s="3" t="s">
        <v>4380</v>
      </c>
      <c r="B103" s="3" t="s">
        <v>4381</v>
      </c>
      <c r="C103" s="1">
        <v>20</v>
      </c>
      <c r="D103" s="1">
        <v>62.5</v>
      </c>
      <c r="E103" s="1" t="s">
        <v>261</v>
      </c>
      <c r="F103" s="1" t="s">
        <v>4382</v>
      </c>
      <c r="G103" s="3" t="s">
        <v>4383</v>
      </c>
      <c r="H103" s="11">
        <f t="shared" si="2"/>
        <v>300.60000000000002</v>
      </c>
      <c r="I103" s="9">
        <f>($K$2+0.02)*Tabla1[[#This Row],[PRECIO $]]*1.18</f>
        <v>254.4375</v>
      </c>
      <c r="J103" s="7">
        <f>+Tabla1[[#This Row],[PRECIO EN SOLES]]-Tabla1[[#This Row],[PC]]</f>
        <v>46.162500000000023</v>
      </c>
      <c r="K103" s="15"/>
      <c r="L103" s="15" t="str">
        <f t="shared" si="3"/>
        <v>NORMAL</v>
      </c>
    </row>
    <row r="104" spans="1:12" x14ac:dyDescent="0.25">
      <c r="A104" s="3" t="s">
        <v>4384</v>
      </c>
      <c r="B104" s="3" t="s">
        <v>4385</v>
      </c>
      <c r="C104" s="1">
        <v>20</v>
      </c>
      <c r="D104" s="1">
        <v>33.5</v>
      </c>
      <c r="E104" s="1" t="s">
        <v>261</v>
      </c>
      <c r="F104" s="1" t="s">
        <v>4386</v>
      </c>
      <c r="G104" s="3" t="s">
        <v>4387</v>
      </c>
      <c r="H104" s="11">
        <f t="shared" si="2"/>
        <v>162.84</v>
      </c>
      <c r="I104" s="9">
        <f>($K$2+0.02)*Tabla1[[#This Row],[PRECIO $]]*1.18</f>
        <v>136.3785</v>
      </c>
      <c r="J104" s="7">
        <f>+Tabla1[[#This Row],[PRECIO EN SOLES]]-Tabla1[[#This Row],[PC]]</f>
        <v>26.461500000000001</v>
      </c>
      <c r="K104" s="15"/>
      <c r="L104" s="15" t="str">
        <f t="shared" si="3"/>
        <v>NORMAL</v>
      </c>
    </row>
    <row r="105" spans="1:12" x14ac:dyDescent="0.25">
      <c r="A105" s="3" t="s">
        <v>4388</v>
      </c>
      <c r="B105" s="3" t="s">
        <v>4389</v>
      </c>
      <c r="C105" s="1">
        <v>20</v>
      </c>
      <c r="D105" s="1">
        <v>48.4</v>
      </c>
      <c r="E105" s="1" t="s">
        <v>261</v>
      </c>
      <c r="F105" s="1" t="s">
        <v>4390</v>
      </c>
      <c r="G105" s="3" t="s">
        <v>4391</v>
      </c>
      <c r="H105" s="11">
        <f t="shared" si="2"/>
        <v>234.59</v>
      </c>
      <c r="I105" s="9">
        <f>($K$2+0.02)*Tabla1[[#This Row],[PRECIO $]]*1.18</f>
        <v>197.03639999999999</v>
      </c>
      <c r="J105" s="7">
        <f>+Tabla1[[#This Row],[PRECIO EN SOLES]]-Tabla1[[#This Row],[PC]]</f>
        <v>37.553600000000017</v>
      </c>
      <c r="K105" s="15"/>
      <c r="L105" s="15" t="str">
        <f t="shared" si="3"/>
        <v>NORMAL</v>
      </c>
    </row>
    <row r="106" spans="1:12" x14ac:dyDescent="0.25">
      <c r="A106" s="3" t="s">
        <v>274</v>
      </c>
      <c r="B106" s="3" t="s">
        <v>275</v>
      </c>
      <c r="C106" s="1">
        <v>20</v>
      </c>
      <c r="D106" s="1">
        <v>18.399999999999999</v>
      </c>
      <c r="E106" s="1" t="s">
        <v>122</v>
      </c>
      <c r="F106" s="1" t="s">
        <v>4392</v>
      </c>
      <c r="G106" s="3" t="s">
        <v>276</v>
      </c>
      <c r="H106" s="11">
        <f t="shared" si="2"/>
        <v>90.14</v>
      </c>
      <c r="I106" s="9">
        <f>($K$2+0.02)*Tabla1[[#This Row],[PRECIO $]]*1.18</f>
        <v>74.906399999999991</v>
      </c>
      <c r="J106" s="7">
        <f>+Tabla1[[#This Row],[PRECIO EN SOLES]]-Tabla1[[#This Row],[PC]]</f>
        <v>15.23360000000001</v>
      </c>
      <c r="K106" s="15"/>
      <c r="L106" s="15" t="str">
        <f t="shared" si="3"/>
        <v>NORMAL</v>
      </c>
    </row>
    <row r="107" spans="1:12" x14ac:dyDescent="0.25">
      <c r="A107" s="3" t="s">
        <v>277</v>
      </c>
      <c r="B107" s="3" t="s">
        <v>278</v>
      </c>
      <c r="C107" s="1">
        <v>20</v>
      </c>
      <c r="D107" s="1">
        <v>18.399999999999999</v>
      </c>
      <c r="E107" s="1" t="s">
        <v>122</v>
      </c>
      <c r="F107" s="1" t="s">
        <v>4393</v>
      </c>
      <c r="G107" s="3" t="s">
        <v>279</v>
      </c>
      <c r="H107" s="11">
        <f t="shared" si="2"/>
        <v>90.14</v>
      </c>
      <c r="I107" s="9">
        <f>($K$2+0.02)*Tabla1[[#This Row],[PRECIO $]]*1.18</f>
        <v>74.906399999999991</v>
      </c>
      <c r="J107" s="7">
        <f>+Tabla1[[#This Row],[PRECIO EN SOLES]]-Tabla1[[#This Row],[PC]]</f>
        <v>15.23360000000001</v>
      </c>
      <c r="K107" s="15"/>
      <c r="L107" s="15" t="str">
        <f t="shared" si="3"/>
        <v>NORMAL</v>
      </c>
    </row>
    <row r="108" spans="1:12" x14ac:dyDescent="0.25">
      <c r="A108" s="3" t="s">
        <v>280</v>
      </c>
      <c r="B108" s="3" t="s">
        <v>281</v>
      </c>
      <c r="C108" s="1">
        <v>20</v>
      </c>
      <c r="D108" s="1">
        <v>18.399999999999999</v>
      </c>
      <c r="E108" s="1" t="s">
        <v>122</v>
      </c>
      <c r="F108" s="1" t="s">
        <v>4394</v>
      </c>
      <c r="G108" s="3" t="s">
        <v>282</v>
      </c>
      <c r="H108" s="11">
        <f t="shared" si="2"/>
        <v>90.14</v>
      </c>
      <c r="I108" s="9">
        <f>($K$2+0.02)*Tabla1[[#This Row],[PRECIO $]]*1.18</f>
        <v>74.906399999999991</v>
      </c>
      <c r="J108" s="7">
        <f>+Tabla1[[#This Row],[PRECIO EN SOLES]]-Tabla1[[#This Row],[PC]]</f>
        <v>15.23360000000001</v>
      </c>
      <c r="K108" s="15"/>
      <c r="L108" s="15" t="str">
        <f t="shared" si="3"/>
        <v>NORMAL</v>
      </c>
    </row>
    <row r="109" spans="1:12" x14ac:dyDescent="0.25">
      <c r="A109" s="3" t="s">
        <v>283</v>
      </c>
      <c r="B109" s="3" t="s">
        <v>284</v>
      </c>
      <c r="C109" s="1">
        <v>20</v>
      </c>
      <c r="D109" s="1">
        <v>18.399999999999999</v>
      </c>
      <c r="E109" s="1" t="s">
        <v>122</v>
      </c>
      <c r="F109" s="1" t="s">
        <v>4395</v>
      </c>
      <c r="G109" s="3" t="s">
        <v>285</v>
      </c>
      <c r="H109" s="11">
        <f t="shared" si="2"/>
        <v>90.14</v>
      </c>
      <c r="I109" s="9">
        <f>($K$2+0.02)*Tabla1[[#This Row],[PRECIO $]]*1.18</f>
        <v>74.906399999999991</v>
      </c>
      <c r="J109" s="7">
        <f>+Tabla1[[#This Row],[PRECIO EN SOLES]]-Tabla1[[#This Row],[PC]]</f>
        <v>15.23360000000001</v>
      </c>
      <c r="K109" s="15"/>
      <c r="L109" s="15" t="str">
        <f t="shared" si="3"/>
        <v>NORMAL</v>
      </c>
    </row>
    <row r="110" spans="1:12" x14ac:dyDescent="0.25">
      <c r="A110" s="3" t="s">
        <v>302</v>
      </c>
      <c r="B110" s="3" t="s">
        <v>303</v>
      </c>
      <c r="C110" s="1">
        <v>2</v>
      </c>
      <c r="D110" s="1">
        <v>19.600000000000001</v>
      </c>
      <c r="E110" s="1" t="s">
        <v>126</v>
      </c>
      <c r="F110" s="1" t="s">
        <v>4396</v>
      </c>
      <c r="G110" s="3"/>
      <c r="H110" s="11">
        <f t="shared" si="2"/>
        <v>95.76</v>
      </c>
      <c r="I110" s="9">
        <f>($K$2+0.02)*Tabla1[[#This Row],[PRECIO $]]*1.18</f>
        <v>79.791600000000003</v>
      </c>
      <c r="J110" s="7">
        <f>+Tabla1[[#This Row],[PRECIO EN SOLES]]-Tabla1[[#This Row],[PC]]</f>
        <v>15.968400000000003</v>
      </c>
      <c r="K110" s="15"/>
      <c r="L110" s="15" t="str">
        <f t="shared" si="3"/>
        <v>NORMAL</v>
      </c>
    </row>
    <row r="111" spans="1:12" x14ac:dyDescent="0.25">
      <c r="A111" s="3" t="s">
        <v>304</v>
      </c>
      <c r="B111" s="3" t="s">
        <v>305</v>
      </c>
      <c r="C111" s="1">
        <v>1</v>
      </c>
      <c r="D111" s="1">
        <v>13.5</v>
      </c>
      <c r="E111" s="1" t="s">
        <v>306</v>
      </c>
      <c r="F111" s="1" t="s">
        <v>4397</v>
      </c>
      <c r="G111" s="3" t="s">
        <v>307</v>
      </c>
      <c r="H111" s="11">
        <f t="shared" si="2"/>
        <v>67.2</v>
      </c>
      <c r="I111" s="9">
        <f>($K$2+0.02)*Tabla1[[#This Row],[PRECIO $]]*1.18</f>
        <v>54.958500000000001</v>
      </c>
      <c r="J111" s="7">
        <f>+Tabla1[[#This Row],[PRECIO EN SOLES]]-Tabla1[[#This Row],[PC]]</f>
        <v>12.241500000000002</v>
      </c>
      <c r="K111" s="15"/>
      <c r="L111" s="15" t="str">
        <f t="shared" si="3"/>
        <v>NORMAL</v>
      </c>
    </row>
    <row r="112" spans="1:12" x14ac:dyDescent="0.25">
      <c r="A112" s="3" t="s">
        <v>308</v>
      </c>
      <c r="B112" s="3" t="s">
        <v>309</v>
      </c>
      <c r="C112" s="1">
        <v>20</v>
      </c>
      <c r="D112" s="1">
        <v>11.6</v>
      </c>
      <c r="E112" s="1" t="s">
        <v>122</v>
      </c>
      <c r="F112" s="1" t="s">
        <v>4398</v>
      </c>
      <c r="G112" s="3" t="s">
        <v>310</v>
      </c>
      <c r="H112" s="11">
        <f t="shared" si="2"/>
        <v>58.31</v>
      </c>
      <c r="I112" s="9">
        <f>($K$2+0.02)*Tabla1[[#This Row],[PRECIO $]]*1.18</f>
        <v>47.223600000000005</v>
      </c>
      <c r="J112" s="7">
        <f>+Tabla1[[#This Row],[PRECIO EN SOLES]]-Tabla1[[#This Row],[PC]]</f>
        <v>11.086399999999998</v>
      </c>
      <c r="K112" s="15"/>
      <c r="L112" s="15" t="str">
        <f t="shared" si="3"/>
        <v>NORMAL</v>
      </c>
    </row>
    <row r="113" spans="1:12" x14ac:dyDescent="0.25">
      <c r="A113" s="3" t="s">
        <v>311</v>
      </c>
      <c r="B113" s="3" t="s">
        <v>312</v>
      </c>
      <c r="C113" s="1">
        <v>20</v>
      </c>
      <c r="D113" s="1">
        <v>6.2</v>
      </c>
      <c r="E113" s="1" t="s">
        <v>122</v>
      </c>
      <c r="F113" s="1" t="s">
        <v>4399</v>
      </c>
      <c r="G113" s="3" t="s">
        <v>313</v>
      </c>
      <c r="H113" s="11">
        <f t="shared" si="2"/>
        <v>31.03</v>
      </c>
      <c r="I113" s="9">
        <f>($K$2+0.02)*Tabla1[[#This Row],[PRECIO $]]*1.18</f>
        <v>25.240199999999998</v>
      </c>
      <c r="J113" s="7">
        <f>+Tabla1[[#This Row],[PRECIO EN SOLES]]-Tabla1[[#This Row],[PC]]</f>
        <v>5.7898000000000032</v>
      </c>
      <c r="K113" s="15"/>
      <c r="L113" s="15" t="str">
        <f t="shared" si="3"/>
        <v>NORMAL</v>
      </c>
    </row>
    <row r="114" spans="1:12" x14ac:dyDescent="0.25">
      <c r="A114" s="3" t="s">
        <v>314</v>
      </c>
      <c r="B114" s="3" t="s">
        <v>315</v>
      </c>
      <c r="C114" s="1">
        <v>0</v>
      </c>
      <c r="D114" s="1">
        <v>41.4</v>
      </c>
      <c r="E114" s="1" t="s">
        <v>122</v>
      </c>
      <c r="F114" s="1" t="s">
        <v>4400</v>
      </c>
      <c r="G114" s="3" t="s">
        <v>316</v>
      </c>
      <c r="H114" s="11">
        <f t="shared" si="2"/>
        <v>201.82</v>
      </c>
      <c r="I114" s="9">
        <f>($K$2+0.02)*Tabla1[[#This Row],[PRECIO $]]*1.18</f>
        <v>168.5394</v>
      </c>
      <c r="J114" s="7">
        <f>+Tabla1[[#This Row],[PRECIO EN SOLES]]-Tabla1[[#This Row],[PC]]</f>
        <v>33.280599999999993</v>
      </c>
      <c r="K114" s="15"/>
      <c r="L114" s="15" t="str">
        <f t="shared" si="3"/>
        <v>NORMAL</v>
      </c>
    </row>
    <row r="115" spans="1:12" x14ac:dyDescent="0.25">
      <c r="A115" s="3" t="s">
        <v>317</v>
      </c>
      <c r="B115" s="3" t="s">
        <v>318</v>
      </c>
      <c r="C115" s="1">
        <v>0</v>
      </c>
      <c r="D115" s="1">
        <v>25</v>
      </c>
      <c r="E115" s="1" t="s">
        <v>122</v>
      </c>
      <c r="F115" s="1" t="s">
        <v>4401</v>
      </c>
      <c r="G115" s="3" t="s">
        <v>319</v>
      </c>
      <c r="H115" s="11">
        <f t="shared" si="2"/>
        <v>123.04</v>
      </c>
      <c r="I115" s="9">
        <f>($K$2+0.02)*Tabla1[[#This Row],[PRECIO $]]*1.18</f>
        <v>101.77499999999999</v>
      </c>
      <c r="J115" s="7">
        <f>+Tabla1[[#This Row],[PRECIO EN SOLES]]-Tabla1[[#This Row],[PC]]</f>
        <v>21.265000000000015</v>
      </c>
      <c r="K115" s="15"/>
      <c r="L115" s="15" t="str">
        <f t="shared" si="3"/>
        <v>NORMAL</v>
      </c>
    </row>
    <row r="116" spans="1:12" x14ac:dyDescent="0.25">
      <c r="A116" s="3" t="s">
        <v>320</v>
      </c>
      <c r="B116" s="3" t="s">
        <v>318</v>
      </c>
      <c r="C116" s="1">
        <v>0</v>
      </c>
      <c r="D116" s="1">
        <v>25</v>
      </c>
      <c r="E116" s="1" t="s">
        <v>122</v>
      </c>
      <c r="F116" s="1" t="s">
        <v>4402</v>
      </c>
      <c r="G116" s="3" t="s">
        <v>321</v>
      </c>
      <c r="H116" s="11">
        <f t="shared" si="2"/>
        <v>123.04</v>
      </c>
      <c r="I116" s="9">
        <f>($K$2+0.02)*Tabla1[[#This Row],[PRECIO $]]*1.18</f>
        <v>101.77499999999999</v>
      </c>
      <c r="J116" s="7">
        <f>+Tabla1[[#This Row],[PRECIO EN SOLES]]-Tabla1[[#This Row],[PC]]</f>
        <v>21.265000000000015</v>
      </c>
      <c r="K116" s="15"/>
      <c r="L116" s="15" t="str">
        <f t="shared" si="3"/>
        <v>NORMAL</v>
      </c>
    </row>
    <row r="117" spans="1:12" x14ac:dyDescent="0.25">
      <c r="A117" s="3" t="s">
        <v>322</v>
      </c>
      <c r="B117" s="3" t="s">
        <v>323</v>
      </c>
      <c r="C117" s="1">
        <v>20</v>
      </c>
      <c r="D117" s="1">
        <v>21.2</v>
      </c>
      <c r="E117" s="1" t="s">
        <v>122</v>
      </c>
      <c r="F117" s="1" t="s">
        <v>4403</v>
      </c>
      <c r="G117" s="3" t="s">
        <v>324</v>
      </c>
      <c r="H117" s="11">
        <f t="shared" si="2"/>
        <v>105.25</v>
      </c>
      <c r="I117" s="9">
        <f>($K$2+0.02)*Tabla1[[#This Row],[PRECIO $]]*1.18</f>
        <v>86.305199999999999</v>
      </c>
      <c r="J117" s="7">
        <f>+Tabla1[[#This Row],[PRECIO EN SOLES]]-Tabla1[[#This Row],[PC]]</f>
        <v>18.944800000000001</v>
      </c>
      <c r="K117" s="15"/>
      <c r="L117" s="15" t="str">
        <f t="shared" si="3"/>
        <v>NORMAL</v>
      </c>
    </row>
    <row r="118" spans="1:12" x14ac:dyDescent="0.25">
      <c r="A118" s="3" t="s">
        <v>325</v>
      </c>
      <c r="B118" s="3" t="s">
        <v>326</v>
      </c>
      <c r="C118" s="1">
        <v>20</v>
      </c>
      <c r="D118" s="1">
        <v>33</v>
      </c>
      <c r="E118" s="1" t="s">
        <v>122</v>
      </c>
      <c r="F118" s="1" t="s">
        <v>4404</v>
      </c>
      <c r="G118" s="3" t="s">
        <v>327</v>
      </c>
      <c r="H118" s="11">
        <f t="shared" si="2"/>
        <v>160.49</v>
      </c>
      <c r="I118" s="9">
        <f>($K$2+0.02)*Tabla1[[#This Row],[PRECIO $]]*1.18</f>
        <v>134.34299999999999</v>
      </c>
      <c r="J118" s="7">
        <f>+Tabla1[[#This Row],[PRECIO EN SOLES]]-Tabla1[[#This Row],[PC]]</f>
        <v>26.14700000000002</v>
      </c>
      <c r="K118" s="15"/>
      <c r="L118" s="15" t="str">
        <f t="shared" si="3"/>
        <v>NORMAL</v>
      </c>
    </row>
    <row r="119" spans="1:12" x14ac:dyDescent="0.25">
      <c r="A119" s="3" t="s">
        <v>328</v>
      </c>
      <c r="B119" s="3" t="s">
        <v>329</v>
      </c>
      <c r="C119" s="1">
        <v>20</v>
      </c>
      <c r="D119" s="1">
        <v>33</v>
      </c>
      <c r="E119" s="1" t="s">
        <v>122</v>
      </c>
      <c r="F119" s="1" t="s">
        <v>4405</v>
      </c>
      <c r="G119" s="3" t="s">
        <v>330</v>
      </c>
      <c r="H119" s="11">
        <f t="shared" si="2"/>
        <v>160.49</v>
      </c>
      <c r="I119" s="9">
        <f>($K$2+0.02)*Tabla1[[#This Row],[PRECIO $]]*1.18</f>
        <v>134.34299999999999</v>
      </c>
      <c r="J119" s="7">
        <f>+Tabla1[[#This Row],[PRECIO EN SOLES]]-Tabla1[[#This Row],[PC]]</f>
        <v>26.14700000000002</v>
      </c>
      <c r="K119" s="15"/>
      <c r="L119" s="15" t="str">
        <f t="shared" si="3"/>
        <v>NORMAL</v>
      </c>
    </row>
    <row r="120" spans="1:12" x14ac:dyDescent="0.25">
      <c r="A120" s="3" t="s">
        <v>331</v>
      </c>
      <c r="B120" s="3" t="s">
        <v>332</v>
      </c>
      <c r="C120" s="1">
        <v>0</v>
      </c>
      <c r="D120" s="1">
        <v>999</v>
      </c>
      <c r="E120" s="1" t="s">
        <v>333</v>
      </c>
      <c r="F120" s="1" t="s">
        <v>4406</v>
      </c>
      <c r="G120" s="3"/>
      <c r="H120" s="11">
        <f t="shared" si="2"/>
        <v>4684.97</v>
      </c>
      <c r="I120" s="9">
        <f>($K$2+0.02)*Tabla1[[#This Row],[PRECIO $]]*1.18</f>
        <v>4066.9290000000001</v>
      </c>
      <c r="J120" s="7">
        <f>+Tabla1[[#This Row],[PRECIO EN SOLES]]-Tabla1[[#This Row],[PC]]</f>
        <v>618.04100000000017</v>
      </c>
      <c r="K120" s="15"/>
      <c r="L120" s="15" t="str">
        <f t="shared" si="3"/>
        <v>NORMAL</v>
      </c>
    </row>
    <row r="121" spans="1:12" x14ac:dyDescent="0.25">
      <c r="A121" s="3" t="s">
        <v>334</v>
      </c>
      <c r="B121" s="3" t="s">
        <v>318</v>
      </c>
      <c r="C121" s="1">
        <v>0</v>
      </c>
      <c r="D121" s="1">
        <v>999</v>
      </c>
      <c r="E121" s="1" t="s">
        <v>242</v>
      </c>
      <c r="F121" s="1" t="s">
        <v>4407</v>
      </c>
      <c r="G121" s="3"/>
      <c r="H121" s="11">
        <f t="shared" si="2"/>
        <v>4684.97</v>
      </c>
      <c r="I121" s="9">
        <f>($K$2+0.02)*Tabla1[[#This Row],[PRECIO $]]*1.18</f>
        <v>4066.9290000000001</v>
      </c>
      <c r="J121" s="7">
        <f>+Tabla1[[#This Row],[PRECIO EN SOLES]]-Tabla1[[#This Row],[PC]]</f>
        <v>618.04100000000017</v>
      </c>
      <c r="K121" s="15"/>
      <c r="L121" s="15" t="str">
        <f t="shared" si="3"/>
        <v>NORMAL</v>
      </c>
    </row>
    <row r="122" spans="1:12" x14ac:dyDescent="0.25">
      <c r="A122" s="3" t="s">
        <v>335</v>
      </c>
      <c r="B122" s="3" t="s">
        <v>336</v>
      </c>
      <c r="C122" s="1">
        <v>20</v>
      </c>
      <c r="D122" s="1">
        <v>297</v>
      </c>
      <c r="E122" s="1" t="s">
        <v>131</v>
      </c>
      <c r="F122" s="1" t="s">
        <v>4408</v>
      </c>
      <c r="G122" s="3" t="s">
        <v>337</v>
      </c>
      <c r="H122" s="11">
        <f t="shared" si="2"/>
        <v>1398.45</v>
      </c>
      <c r="I122" s="9">
        <f>($K$2+0.02)*Tabla1[[#This Row],[PRECIO $]]*1.18</f>
        <v>1209.087</v>
      </c>
      <c r="J122" s="7">
        <f>+Tabla1[[#This Row],[PRECIO EN SOLES]]-Tabla1[[#This Row],[PC]]</f>
        <v>189.36300000000006</v>
      </c>
      <c r="K122" s="15"/>
      <c r="L122" s="15" t="str">
        <f t="shared" si="3"/>
        <v>NORMAL</v>
      </c>
    </row>
    <row r="123" spans="1:12" x14ac:dyDescent="0.25">
      <c r="A123" s="3" t="s">
        <v>338</v>
      </c>
      <c r="B123" s="3" t="s">
        <v>339</v>
      </c>
      <c r="C123" s="1">
        <v>20</v>
      </c>
      <c r="D123" s="1">
        <v>355</v>
      </c>
      <c r="E123" s="1" t="s">
        <v>340</v>
      </c>
      <c r="F123" s="1" t="s">
        <v>4409</v>
      </c>
      <c r="G123" s="3"/>
      <c r="H123" s="11">
        <f t="shared" si="2"/>
        <v>1669.99</v>
      </c>
      <c r="I123" s="9">
        <f>($K$2+0.02)*Tabla1[[#This Row],[PRECIO $]]*1.18</f>
        <v>1445.2049999999999</v>
      </c>
      <c r="J123" s="7">
        <f>+Tabla1[[#This Row],[PRECIO EN SOLES]]-Tabla1[[#This Row],[PC]]</f>
        <v>224.78500000000008</v>
      </c>
      <c r="K123" s="15"/>
      <c r="L123" s="15" t="str">
        <f t="shared" si="3"/>
        <v>NORMAL</v>
      </c>
    </row>
    <row r="124" spans="1:12" x14ac:dyDescent="0.25">
      <c r="A124" s="3" t="s">
        <v>341</v>
      </c>
      <c r="B124" s="3" t="s">
        <v>342</v>
      </c>
      <c r="C124" s="1">
        <v>1</v>
      </c>
      <c r="D124" s="1">
        <v>774</v>
      </c>
      <c r="E124" s="1" t="s">
        <v>340</v>
      </c>
      <c r="F124" s="1" t="s">
        <v>4410</v>
      </c>
      <c r="G124" s="3" t="s">
        <v>343</v>
      </c>
      <c r="H124" s="11">
        <f t="shared" si="2"/>
        <v>3631.6</v>
      </c>
      <c r="I124" s="9">
        <f>($K$2+0.02)*Tabla1[[#This Row],[PRECIO $]]*1.18</f>
        <v>3150.9540000000002</v>
      </c>
      <c r="J124" s="7">
        <f>+Tabla1[[#This Row],[PRECIO EN SOLES]]-Tabla1[[#This Row],[PC]]</f>
        <v>480.64599999999973</v>
      </c>
      <c r="K124" s="15"/>
      <c r="L124" s="15" t="str">
        <f t="shared" si="3"/>
        <v>NORMAL</v>
      </c>
    </row>
    <row r="125" spans="1:12" x14ac:dyDescent="0.25">
      <c r="A125" s="3" t="s">
        <v>344</v>
      </c>
      <c r="B125" s="3" t="s">
        <v>345</v>
      </c>
      <c r="C125" s="1">
        <v>9</v>
      </c>
      <c r="D125" s="1">
        <v>782</v>
      </c>
      <c r="E125" s="1" t="s">
        <v>340</v>
      </c>
      <c r="F125" s="1" t="s">
        <v>4411</v>
      </c>
      <c r="G125" s="3" t="s">
        <v>343</v>
      </c>
      <c r="H125" s="11">
        <f t="shared" si="2"/>
        <v>3669.05</v>
      </c>
      <c r="I125" s="9">
        <f>($K$2+0.02)*Tabla1[[#This Row],[PRECIO $]]*1.18</f>
        <v>3183.5219999999999</v>
      </c>
      <c r="J125" s="7">
        <f>+Tabla1[[#This Row],[PRECIO EN SOLES]]-Tabla1[[#This Row],[PC]]</f>
        <v>485.52800000000025</v>
      </c>
      <c r="K125" s="15"/>
      <c r="L125" s="15" t="str">
        <f t="shared" si="3"/>
        <v>NORMAL</v>
      </c>
    </row>
    <row r="126" spans="1:12" x14ac:dyDescent="0.25">
      <c r="A126" s="3" t="s">
        <v>346</v>
      </c>
      <c r="B126" s="3" t="s">
        <v>347</v>
      </c>
      <c r="C126" s="1">
        <v>20</v>
      </c>
      <c r="D126" s="1">
        <v>364.78</v>
      </c>
      <c r="E126" s="1" t="s">
        <v>340</v>
      </c>
      <c r="F126" s="1" t="s">
        <v>4412</v>
      </c>
      <c r="G126" s="3" t="s">
        <v>348</v>
      </c>
      <c r="H126" s="11">
        <f t="shared" si="2"/>
        <v>1715.77</v>
      </c>
      <c r="I126" s="9">
        <f>($K$2+0.02)*Tabla1[[#This Row],[PRECIO $]]*1.18</f>
        <v>1485.01938</v>
      </c>
      <c r="J126" s="7">
        <f>+Tabla1[[#This Row],[PRECIO EN SOLES]]-Tabla1[[#This Row],[PC]]</f>
        <v>230.75062000000003</v>
      </c>
      <c r="K126" s="15"/>
      <c r="L126" s="15" t="str">
        <f t="shared" si="3"/>
        <v>NORMAL</v>
      </c>
    </row>
    <row r="127" spans="1:12" x14ac:dyDescent="0.25">
      <c r="A127" s="3" t="s">
        <v>349</v>
      </c>
      <c r="B127" s="3" t="s">
        <v>350</v>
      </c>
      <c r="C127" s="1">
        <v>20</v>
      </c>
      <c r="D127" s="1">
        <v>442.87</v>
      </c>
      <c r="E127" s="1" t="s">
        <v>340</v>
      </c>
      <c r="F127" s="1" t="s">
        <v>4413</v>
      </c>
      <c r="G127" s="3" t="s">
        <v>351</v>
      </c>
      <c r="H127" s="11">
        <f t="shared" si="2"/>
        <v>2081.36</v>
      </c>
      <c r="I127" s="9">
        <f>($K$2+0.02)*Tabla1[[#This Row],[PRECIO $]]*1.18</f>
        <v>1802.9237700000001</v>
      </c>
      <c r="J127" s="7">
        <f>+Tabla1[[#This Row],[PRECIO EN SOLES]]-Tabla1[[#This Row],[PC]]</f>
        <v>278.43623000000002</v>
      </c>
      <c r="K127" s="15"/>
      <c r="L127" s="15" t="str">
        <f t="shared" si="3"/>
        <v>NORMAL</v>
      </c>
    </row>
    <row r="128" spans="1:12" x14ac:dyDescent="0.25">
      <c r="A128" s="3" t="s">
        <v>352</v>
      </c>
      <c r="B128" s="3" t="s">
        <v>353</v>
      </c>
      <c r="C128" s="1">
        <v>20</v>
      </c>
      <c r="D128" s="1">
        <v>596.80999999999995</v>
      </c>
      <c r="E128" s="1" t="s">
        <v>340</v>
      </c>
      <c r="F128" s="1" t="s">
        <v>4414</v>
      </c>
      <c r="G128" s="3" t="s">
        <v>354</v>
      </c>
      <c r="H128" s="11">
        <f t="shared" si="2"/>
        <v>2802.06</v>
      </c>
      <c r="I128" s="9">
        <f>($K$2+0.02)*Tabla1[[#This Row],[PRECIO $]]*1.18</f>
        <v>2429.6135099999997</v>
      </c>
      <c r="J128" s="7">
        <f>+Tabla1[[#This Row],[PRECIO EN SOLES]]-Tabla1[[#This Row],[PC]]</f>
        <v>372.44649000000027</v>
      </c>
      <c r="K128" s="15"/>
      <c r="L128" s="15" t="str">
        <f t="shared" si="3"/>
        <v>NORMAL</v>
      </c>
    </row>
    <row r="129" spans="1:12" x14ac:dyDescent="0.25">
      <c r="A129" s="3" t="s">
        <v>356</v>
      </c>
      <c r="B129" s="3" t="s">
        <v>357</v>
      </c>
      <c r="C129" s="1">
        <v>6</v>
      </c>
      <c r="D129" s="1">
        <v>244</v>
      </c>
      <c r="E129" s="1" t="s">
        <v>355</v>
      </c>
      <c r="F129" s="1" t="s">
        <v>4415</v>
      </c>
      <c r="G129" s="3" t="s">
        <v>358</v>
      </c>
      <c r="H129" s="11">
        <f t="shared" si="2"/>
        <v>1150.32</v>
      </c>
      <c r="I129" s="9">
        <f>($K$2+0.02)*Tabla1[[#This Row],[PRECIO $]]*1.18</f>
        <v>993.32400000000007</v>
      </c>
      <c r="J129" s="7">
        <f>+Tabla1[[#This Row],[PRECIO EN SOLES]]-Tabla1[[#This Row],[PC]]</f>
        <v>156.99599999999987</v>
      </c>
      <c r="K129" s="15"/>
      <c r="L129" s="15" t="str">
        <f t="shared" si="3"/>
        <v>NORMAL</v>
      </c>
    </row>
    <row r="130" spans="1:12" x14ac:dyDescent="0.25">
      <c r="A130" s="3" t="s">
        <v>359</v>
      </c>
      <c r="B130" s="3" t="s">
        <v>360</v>
      </c>
      <c r="C130" s="1">
        <v>20</v>
      </c>
      <c r="D130" s="1">
        <v>365</v>
      </c>
      <c r="E130" s="1" t="s">
        <v>355</v>
      </c>
      <c r="F130" s="1" t="s">
        <v>4416</v>
      </c>
      <c r="G130" s="3" t="s">
        <v>361</v>
      </c>
      <c r="H130" s="11">
        <f t="shared" ref="H130:H193" si="4">ROUND(
IF(L130="GANCHO",
   IF(I130&lt;=50,I130*1.1+4,IF(I130&lt;=120,I130*1.1+7,IF(I130&lt;=250,I130*1.1+11,I130*1.1+19))),
IF(L130="NORMAL",
   IF(I130&lt;=30,I130*1.15+2,IF(I130&lt;=80,I130*1.15+4,IF(I130&lt;=150,I130*1.15+6,I130*1.15+8))),
IF(L130="COMPLEMENTO",
   IF(I130&lt;=25,I130*1.25+1.5,IF(I130&lt;=60,I130*1.25+3,IF(I130&lt;=120,I130*1.25+4,I130*1.25+5))),
""))),2)</f>
        <v>1716.8</v>
      </c>
      <c r="I130" s="9">
        <f>($K$2+0.02)*Tabla1[[#This Row],[PRECIO $]]*1.18</f>
        <v>1485.915</v>
      </c>
      <c r="J130" s="7">
        <f>+Tabla1[[#This Row],[PRECIO EN SOLES]]-Tabla1[[#This Row],[PC]]</f>
        <v>230.88499999999999</v>
      </c>
      <c r="K130" s="15"/>
      <c r="L130" s="15" t="str">
        <f t="shared" si="3"/>
        <v>NORMAL</v>
      </c>
    </row>
    <row r="131" spans="1:12" x14ac:dyDescent="0.25">
      <c r="A131" s="3" t="s">
        <v>362</v>
      </c>
      <c r="B131" s="3" t="s">
        <v>363</v>
      </c>
      <c r="C131" s="1">
        <v>7</v>
      </c>
      <c r="D131" s="1">
        <v>467</v>
      </c>
      <c r="E131" s="1" t="s">
        <v>355</v>
      </c>
      <c r="F131" s="1" t="s">
        <v>4417</v>
      </c>
      <c r="G131" s="3" t="s">
        <v>364</v>
      </c>
      <c r="H131" s="11">
        <f t="shared" si="4"/>
        <v>2194.33</v>
      </c>
      <c r="I131" s="9">
        <f>($K$2+0.02)*Tabla1[[#This Row],[PRECIO $]]*1.18</f>
        <v>1901.1569999999999</v>
      </c>
      <c r="J131" s="7">
        <f>+Tabla1[[#This Row],[PRECIO EN SOLES]]-Tabla1[[#This Row],[PC]]</f>
        <v>293.173</v>
      </c>
      <c r="K131" s="15"/>
      <c r="L131" s="15" t="str">
        <f t="shared" ref="L131:L194" si="5">IF(
OR(
ISNUMBER(SEARCH("BACKPACK",B131)),
ISNUMBER(SEARCH("MOCHILA",B131)),
ISNUMBER(SEARCH("FUNDA",B131)),
ISNUMBER(SEARCH("ESTUCHE",B131)),
ISNUMBER(SEARCH("BOOK COVER",B131)),
ISNUMBER(SEARCH("KEYBOARD PARA TABLET",B131)),
ISNUMBER(SEARCH("FLIP TABLET",B131)),
ISNUMBER(SEARCH("CASE FOR TABLET",B131)),
ISNUMBER(SEARCH("CABLE",B131)),
ISNUMBER(SEARCH("ADAPTADOR",B131)),
ISNUMBER(SEARCH("HUB",B131)),
ISNUMBER(SEARCH("DOCK",B131)),
ISNUMBER(SEARCH("MOUSE PAD",B131)),
ISNUMBER(SEARCH("MOUSEPAD",B131)),
ISNUMBER(SEARCH("SOPORTE",B131)),
ISNUMBER(SEARCH("STAND",B131)),
ISNUMBER(SEARCH("TRAVEL ADAPTER",B131)),
ISNUMBER(SEARCH("RJ45",B131)),
ISNUMBER(SEARCH("USB-C",B131)),
ISNUMBER(SEARCH("USB WIFI",B131)),
ISNUMBER(SEARCH("POWERBANK",B131)),
ISNUMBER(SEARCH("CARGADOR",B131)),
ISNUMBER(SEARCH("COOLER PARA NB",B131)),
ISNUMBER(SEARCH("SOPORTE PARA NB",B131)),
ISNUMBER(SEARCH("WEBCAM",B131)),
ISNUMBER(SEARCH("WEB CAM",B131)),
ISNUMBER(SEARCH("MOUSE",B131)),
ISNUMBER(SEARCH("TECLADO",B131))
),
"COMPLEMENTO",
IF(
OR(
LEFT(A131,2)="NB",
LEFT(A131,2)="PC",
LEFT(A131,2)="WS",
LEFT(A131,2)="TB",
LEFT(A131,3)="CEL",
LEFT(A131,3)="MON",
LEFT(A131,3)="PRE",
LEFT(A131,3)="PRH",
ISNUMBER(SEARCH("NOTEBOOK",B131)),
ISNUMBER(SEARCH("LAPTOP",B131)),
ISNUMBER(SEARCH("MONITOR",B131)),
ISNUMBER(SEARCH("TABLET",B131)),
ISNUMBER(SEARCH("SMARTPH",B131)),
ISNUMBER(SEARCH("IMPRESORA",B131)),
ISNUMBER(SEARCH("MULTIFUNCIONAL",B131)),
ISNUMBER(SEARCH("AIO",B131))
),
"GANCHO",
"NORMAL"
)
)</f>
        <v>NORMAL</v>
      </c>
    </row>
    <row r="132" spans="1:12" x14ac:dyDescent="0.25">
      <c r="A132" s="3" t="s">
        <v>365</v>
      </c>
      <c r="B132" s="3" t="s">
        <v>366</v>
      </c>
      <c r="C132" s="1">
        <v>20</v>
      </c>
      <c r="D132" s="1">
        <v>47.2</v>
      </c>
      <c r="E132" s="1" t="s">
        <v>269</v>
      </c>
      <c r="F132" s="1" t="s">
        <v>4418</v>
      </c>
      <c r="G132" s="3" t="s">
        <v>367</v>
      </c>
      <c r="H132" s="11">
        <f t="shared" si="4"/>
        <v>245.19</v>
      </c>
      <c r="I132" s="9">
        <f>($K$2+0.02)*Tabla1[[#This Row],[PRECIO $]]*1.18</f>
        <v>192.15120000000002</v>
      </c>
      <c r="J132" s="7">
        <f>+Tabla1[[#This Row],[PRECIO EN SOLES]]-Tabla1[[#This Row],[PC]]</f>
        <v>53.038799999999981</v>
      </c>
      <c r="K132" s="15"/>
      <c r="L132" s="15" t="str">
        <f t="shared" si="5"/>
        <v>COMPLEMENTO</v>
      </c>
    </row>
    <row r="133" spans="1:12" x14ac:dyDescent="0.25">
      <c r="A133" s="3" t="s">
        <v>4419</v>
      </c>
      <c r="B133" s="3" t="s">
        <v>4420</v>
      </c>
      <c r="C133" s="1">
        <v>18</v>
      </c>
      <c r="D133" s="1">
        <v>44</v>
      </c>
      <c r="E133" s="1" t="s">
        <v>261</v>
      </c>
      <c r="F133" s="1" t="s">
        <v>4421</v>
      </c>
      <c r="G133" s="3" t="s">
        <v>4422</v>
      </c>
      <c r="H133" s="11">
        <f t="shared" si="4"/>
        <v>213.99</v>
      </c>
      <c r="I133" s="9">
        <f>($K$2+0.02)*Tabla1[[#This Row],[PRECIO $]]*1.18</f>
        <v>179.124</v>
      </c>
      <c r="J133" s="7">
        <f>+Tabla1[[#This Row],[PRECIO EN SOLES]]-Tabla1[[#This Row],[PC]]</f>
        <v>34.866000000000014</v>
      </c>
      <c r="K133" s="15"/>
      <c r="L133" s="15" t="str">
        <f t="shared" si="5"/>
        <v>NORMAL</v>
      </c>
    </row>
    <row r="134" spans="1:12" x14ac:dyDescent="0.25">
      <c r="A134" s="3" t="s">
        <v>368</v>
      </c>
      <c r="B134" s="3" t="s">
        <v>369</v>
      </c>
      <c r="C134" s="1">
        <v>20</v>
      </c>
      <c r="D134" s="1">
        <v>13.2</v>
      </c>
      <c r="E134" s="1" t="s">
        <v>122</v>
      </c>
      <c r="F134" s="1" t="s">
        <v>4423</v>
      </c>
      <c r="G134" s="3" t="s">
        <v>370</v>
      </c>
      <c r="H134" s="11">
        <f t="shared" si="4"/>
        <v>70.17</v>
      </c>
      <c r="I134" s="9">
        <f>($K$2+0.02)*Tabla1[[#This Row],[PRECIO $]]*1.18</f>
        <v>53.737199999999994</v>
      </c>
      <c r="J134" s="7">
        <f>+Tabla1[[#This Row],[PRECIO EN SOLES]]-Tabla1[[#This Row],[PC]]</f>
        <v>16.432800000000007</v>
      </c>
      <c r="K134" s="15"/>
      <c r="L134" s="15" t="str">
        <f t="shared" si="5"/>
        <v>COMPLEMENTO</v>
      </c>
    </row>
    <row r="135" spans="1:12" x14ac:dyDescent="0.25">
      <c r="A135" s="3" t="s">
        <v>371</v>
      </c>
      <c r="B135" s="3" t="s">
        <v>372</v>
      </c>
      <c r="C135" s="1">
        <v>20</v>
      </c>
      <c r="D135" s="1">
        <v>26.5</v>
      </c>
      <c r="E135" s="1" t="s">
        <v>122</v>
      </c>
      <c r="F135" s="1" t="s">
        <v>4424</v>
      </c>
      <c r="G135" s="3" t="s">
        <v>373</v>
      </c>
      <c r="H135" s="11">
        <f t="shared" si="4"/>
        <v>138.85</v>
      </c>
      <c r="I135" s="9">
        <f>($K$2+0.02)*Tabla1[[#This Row],[PRECIO $]]*1.18</f>
        <v>107.8815</v>
      </c>
      <c r="J135" s="7">
        <f>+Tabla1[[#This Row],[PRECIO EN SOLES]]-Tabla1[[#This Row],[PC]]</f>
        <v>30.968499999999992</v>
      </c>
      <c r="K135" s="15"/>
      <c r="L135" s="15" t="str">
        <f t="shared" si="5"/>
        <v>COMPLEMENTO</v>
      </c>
    </row>
    <row r="136" spans="1:12" x14ac:dyDescent="0.25">
      <c r="A136" s="3" t="s">
        <v>374</v>
      </c>
      <c r="B136" s="3" t="s">
        <v>375</v>
      </c>
      <c r="C136" s="1">
        <v>0</v>
      </c>
      <c r="D136" s="1">
        <v>999</v>
      </c>
      <c r="E136" s="1" t="s">
        <v>122</v>
      </c>
      <c r="F136" s="1" t="s">
        <v>4425</v>
      </c>
      <c r="G136" s="3"/>
      <c r="H136" s="11">
        <f t="shared" si="4"/>
        <v>4684.97</v>
      </c>
      <c r="I136" s="9">
        <f>($K$2+0.02)*Tabla1[[#This Row],[PRECIO $]]*1.18</f>
        <v>4066.9290000000001</v>
      </c>
      <c r="J136" s="7">
        <f>+Tabla1[[#This Row],[PRECIO EN SOLES]]-Tabla1[[#This Row],[PC]]</f>
        <v>618.04100000000017</v>
      </c>
      <c r="K136" s="15"/>
      <c r="L136" s="15" t="str">
        <f t="shared" si="5"/>
        <v>NORMAL</v>
      </c>
    </row>
    <row r="137" spans="1:12" x14ac:dyDescent="0.25">
      <c r="A137" s="3" t="s">
        <v>4426</v>
      </c>
      <c r="B137" s="3" t="s">
        <v>4427</v>
      </c>
      <c r="C137" s="1">
        <v>12</v>
      </c>
      <c r="D137" s="1">
        <v>5.3</v>
      </c>
      <c r="E137" s="1" t="s">
        <v>122</v>
      </c>
      <c r="F137" s="1" t="s">
        <v>4428</v>
      </c>
      <c r="G137" s="3" t="s">
        <v>4429</v>
      </c>
      <c r="H137" s="11">
        <f t="shared" si="4"/>
        <v>28.47</v>
      </c>
      <c r="I137" s="9">
        <f>($K$2+0.02)*Tabla1[[#This Row],[PRECIO $]]*1.18</f>
        <v>21.5763</v>
      </c>
      <c r="J137" s="7">
        <f>+Tabla1[[#This Row],[PRECIO EN SOLES]]-Tabla1[[#This Row],[PC]]</f>
        <v>6.8936999999999991</v>
      </c>
      <c r="K137" s="15"/>
      <c r="L137" s="15" t="str">
        <f t="shared" si="5"/>
        <v>COMPLEMENTO</v>
      </c>
    </row>
    <row r="138" spans="1:12" x14ac:dyDescent="0.25">
      <c r="A138" s="3" t="s">
        <v>376</v>
      </c>
      <c r="B138" s="3" t="s">
        <v>377</v>
      </c>
      <c r="C138" s="1">
        <v>20</v>
      </c>
      <c r="D138" s="1">
        <v>5.3</v>
      </c>
      <c r="E138" s="1" t="s">
        <v>122</v>
      </c>
      <c r="F138" s="1" t="s">
        <v>4430</v>
      </c>
      <c r="G138" s="3" t="s">
        <v>378</v>
      </c>
      <c r="H138" s="11">
        <f t="shared" si="4"/>
        <v>28.47</v>
      </c>
      <c r="I138" s="9">
        <f>($K$2+0.02)*Tabla1[[#This Row],[PRECIO $]]*1.18</f>
        <v>21.5763</v>
      </c>
      <c r="J138" s="7">
        <f>+Tabla1[[#This Row],[PRECIO EN SOLES]]-Tabla1[[#This Row],[PC]]</f>
        <v>6.8936999999999991</v>
      </c>
      <c r="K138" s="15"/>
      <c r="L138" s="15" t="str">
        <f t="shared" si="5"/>
        <v>COMPLEMENTO</v>
      </c>
    </row>
    <row r="139" spans="1:12" x14ac:dyDescent="0.25">
      <c r="A139" s="3" t="s">
        <v>379</v>
      </c>
      <c r="B139" s="3" t="s">
        <v>380</v>
      </c>
      <c r="C139" s="1">
        <v>20</v>
      </c>
      <c r="D139" s="1">
        <v>5.3</v>
      </c>
      <c r="E139" s="1" t="s">
        <v>122</v>
      </c>
      <c r="F139" s="1" t="s">
        <v>4431</v>
      </c>
      <c r="G139" s="3" t="s">
        <v>381</v>
      </c>
      <c r="H139" s="11">
        <f t="shared" si="4"/>
        <v>28.47</v>
      </c>
      <c r="I139" s="9">
        <f>($K$2+0.02)*Tabla1[[#This Row],[PRECIO $]]*1.18</f>
        <v>21.5763</v>
      </c>
      <c r="J139" s="7">
        <f>+Tabla1[[#This Row],[PRECIO EN SOLES]]-Tabla1[[#This Row],[PC]]</f>
        <v>6.8936999999999991</v>
      </c>
      <c r="K139" s="15"/>
      <c r="L139" s="15" t="str">
        <f t="shared" si="5"/>
        <v>COMPLEMENTO</v>
      </c>
    </row>
    <row r="140" spans="1:12" x14ac:dyDescent="0.25">
      <c r="A140" s="3" t="s">
        <v>382</v>
      </c>
      <c r="B140" s="3" t="s">
        <v>383</v>
      </c>
      <c r="C140" s="1">
        <v>20</v>
      </c>
      <c r="D140" s="1">
        <v>5.3</v>
      </c>
      <c r="E140" s="1" t="s">
        <v>122</v>
      </c>
      <c r="F140" s="1" t="s">
        <v>4432</v>
      </c>
      <c r="G140" s="3" t="s">
        <v>384</v>
      </c>
      <c r="H140" s="11">
        <f t="shared" si="4"/>
        <v>28.47</v>
      </c>
      <c r="I140" s="9">
        <f>($K$2+0.02)*Tabla1[[#This Row],[PRECIO $]]*1.18</f>
        <v>21.5763</v>
      </c>
      <c r="J140" s="7">
        <f>+Tabla1[[#This Row],[PRECIO EN SOLES]]-Tabla1[[#This Row],[PC]]</f>
        <v>6.8936999999999991</v>
      </c>
      <c r="K140" s="15"/>
      <c r="L140" s="15" t="str">
        <f t="shared" si="5"/>
        <v>COMPLEMENTO</v>
      </c>
    </row>
    <row r="141" spans="1:12" x14ac:dyDescent="0.25">
      <c r="A141" s="3" t="s">
        <v>385</v>
      </c>
      <c r="B141" s="3" t="s">
        <v>383</v>
      </c>
      <c r="C141" s="1">
        <v>0</v>
      </c>
      <c r="D141" s="1">
        <v>999</v>
      </c>
      <c r="E141" s="1" t="s">
        <v>242</v>
      </c>
      <c r="F141" s="1" t="s">
        <v>4433</v>
      </c>
      <c r="G141" s="3"/>
      <c r="H141" s="11">
        <f t="shared" si="4"/>
        <v>5088.66</v>
      </c>
      <c r="I141" s="9">
        <f>($K$2+0.02)*Tabla1[[#This Row],[PRECIO $]]*1.18</f>
        <v>4066.9290000000001</v>
      </c>
      <c r="J141" s="7">
        <f>+Tabla1[[#This Row],[PRECIO EN SOLES]]-Tabla1[[#This Row],[PC]]</f>
        <v>1021.7309999999998</v>
      </c>
      <c r="K141" s="15"/>
      <c r="L141" s="15" t="str">
        <f t="shared" si="5"/>
        <v>COMPLEMENTO</v>
      </c>
    </row>
    <row r="142" spans="1:12" x14ac:dyDescent="0.25">
      <c r="A142" s="3" t="s">
        <v>386</v>
      </c>
      <c r="B142" s="3" t="s">
        <v>387</v>
      </c>
      <c r="C142" s="1">
        <v>0</v>
      </c>
      <c r="D142" s="1">
        <v>1000</v>
      </c>
      <c r="E142" s="1" t="s">
        <v>131</v>
      </c>
      <c r="F142" s="1" t="s">
        <v>4434</v>
      </c>
      <c r="G142" s="3" t="s">
        <v>388</v>
      </c>
      <c r="H142" s="11">
        <f t="shared" si="4"/>
        <v>4689.6499999999996</v>
      </c>
      <c r="I142" s="9">
        <f>($K$2+0.02)*Tabla1[[#This Row],[PRECIO $]]*1.18</f>
        <v>4071</v>
      </c>
      <c r="J142" s="7">
        <f>+Tabla1[[#This Row],[PRECIO EN SOLES]]-Tabla1[[#This Row],[PC]]</f>
        <v>618.64999999999964</v>
      </c>
      <c r="K142" s="15"/>
      <c r="L142" s="15" t="str">
        <f t="shared" si="5"/>
        <v>NORMAL</v>
      </c>
    </row>
    <row r="143" spans="1:12" x14ac:dyDescent="0.25">
      <c r="A143" s="3" t="s">
        <v>389</v>
      </c>
      <c r="B143" s="3" t="s">
        <v>390</v>
      </c>
      <c r="C143" s="1">
        <v>20</v>
      </c>
      <c r="D143" s="1">
        <v>20.7</v>
      </c>
      <c r="E143" s="1" t="s">
        <v>122</v>
      </c>
      <c r="F143" s="1" t="s">
        <v>4435</v>
      </c>
      <c r="G143" s="3" t="s">
        <v>391</v>
      </c>
      <c r="H143" s="11">
        <f t="shared" si="4"/>
        <v>102.91</v>
      </c>
      <c r="I143" s="9">
        <f>($K$2+0.02)*Tabla1[[#This Row],[PRECIO $]]*1.18</f>
        <v>84.2697</v>
      </c>
      <c r="J143" s="7">
        <f>+Tabla1[[#This Row],[PRECIO EN SOLES]]-Tabla1[[#This Row],[PC]]</f>
        <v>18.640299999999996</v>
      </c>
      <c r="K143" s="15"/>
      <c r="L143" s="15" t="str">
        <f t="shared" si="5"/>
        <v>NORMAL</v>
      </c>
    </row>
    <row r="144" spans="1:12" x14ac:dyDescent="0.25">
      <c r="A144" s="3" t="s">
        <v>392</v>
      </c>
      <c r="B144" s="3" t="s">
        <v>393</v>
      </c>
      <c r="C144" s="1">
        <v>20</v>
      </c>
      <c r="D144" s="1">
        <v>20.7</v>
      </c>
      <c r="E144" s="1" t="s">
        <v>122</v>
      </c>
      <c r="F144" s="1" t="s">
        <v>4436</v>
      </c>
      <c r="G144" s="3" t="s">
        <v>394</v>
      </c>
      <c r="H144" s="11">
        <f t="shared" si="4"/>
        <v>102.91</v>
      </c>
      <c r="I144" s="9">
        <f>($K$2+0.02)*Tabla1[[#This Row],[PRECIO $]]*1.18</f>
        <v>84.2697</v>
      </c>
      <c r="J144" s="7">
        <f>+Tabla1[[#This Row],[PRECIO EN SOLES]]-Tabla1[[#This Row],[PC]]</f>
        <v>18.640299999999996</v>
      </c>
      <c r="K144" s="15"/>
      <c r="L144" s="15" t="str">
        <f t="shared" si="5"/>
        <v>NORMAL</v>
      </c>
    </row>
    <row r="145" spans="1:12" x14ac:dyDescent="0.25">
      <c r="A145" s="3" t="s">
        <v>395</v>
      </c>
      <c r="B145" s="3" t="s">
        <v>396</v>
      </c>
      <c r="C145" s="1">
        <v>20</v>
      </c>
      <c r="D145" s="1">
        <v>21.5</v>
      </c>
      <c r="E145" s="1" t="s">
        <v>122</v>
      </c>
      <c r="F145" s="1" t="s">
        <v>4437</v>
      </c>
      <c r="G145" s="3" t="s">
        <v>397</v>
      </c>
      <c r="H145" s="11">
        <f t="shared" si="4"/>
        <v>106.66</v>
      </c>
      <c r="I145" s="9">
        <f>($K$2+0.02)*Tabla1[[#This Row],[PRECIO $]]*1.18</f>
        <v>87.526499999999999</v>
      </c>
      <c r="J145" s="7">
        <f>+Tabla1[[#This Row],[PRECIO EN SOLES]]-Tabla1[[#This Row],[PC]]</f>
        <v>19.133499999999998</v>
      </c>
      <c r="K145" s="15"/>
      <c r="L145" s="15" t="str">
        <f t="shared" si="5"/>
        <v>NORMAL</v>
      </c>
    </row>
    <row r="146" spans="1:12" x14ac:dyDescent="0.25">
      <c r="A146" s="3" t="s">
        <v>398</v>
      </c>
      <c r="B146" s="3" t="s">
        <v>399</v>
      </c>
      <c r="C146" s="1">
        <v>20</v>
      </c>
      <c r="D146" s="1">
        <v>31</v>
      </c>
      <c r="E146" s="1" t="s">
        <v>122</v>
      </c>
      <c r="F146" s="1" t="s">
        <v>4438</v>
      </c>
      <c r="G146" s="3" t="s">
        <v>400</v>
      </c>
      <c r="H146" s="11">
        <f t="shared" si="4"/>
        <v>151.13</v>
      </c>
      <c r="I146" s="9">
        <f>($K$2+0.02)*Tabla1[[#This Row],[PRECIO $]]*1.18</f>
        <v>126.20099999999999</v>
      </c>
      <c r="J146" s="7">
        <f>+Tabla1[[#This Row],[PRECIO EN SOLES]]-Tabla1[[#This Row],[PC]]</f>
        <v>24.929000000000002</v>
      </c>
      <c r="K146" s="15"/>
      <c r="L146" s="15" t="str">
        <f t="shared" si="5"/>
        <v>NORMAL</v>
      </c>
    </row>
    <row r="147" spans="1:12" x14ac:dyDescent="0.25">
      <c r="A147" s="3" t="s">
        <v>401</v>
      </c>
      <c r="B147" s="3" t="s">
        <v>402</v>
      </c>
      <c r="C147" s="1">
        <v>20</v>
      </c>
      <c r="D147" s="1">
        <v>48.3</v>
      </c>
      <c r="E147" s="1" t="s">
        <v>220</v>
      </c>
      <c r="F147" s="1" t="s">
        <v>4439</v>
      </c>
      <c r="G147" s="3" t="s">
        <v>403</v>
      </c>
      <c r="H147" s="11">
        <f t="shared" si="4"/>
        <v>234.12</v>
      </c>
      <c r="I147" s="9">
        <f>($K$2+0.02)*Tabla1[[#This Row],[PRECIO $]]*1.18</f>
        <v>196.62929999999997</v>
      </c>
      <c r="J147" s="7">
        <f>+Tabla1[[#This Row],[PRECIO EN SOLES]]-Tabla1[[#This Row],[PC]]</f>
        <v>37.490700000000032</v>
      </c>
      <c r="K147" s="15"/>
      <c r="L147" s="15" t="str">
        <f t="shared" si="5"/>
        <v>NORMAL</v>
      </c>
    </row>
    <row r="148" spans="1:12" x14ac:dyDescent="0.25">
      <c r="A148" s="3" t="s">
        <v>404</v>
      </c>
      <c r="B148" s="3" t="s">
        <v>405</v>
      </c>
      <c r="C148" s="1">
        <v>20</v>
      </c>
      <c r="D148" s="1">
        <v>17.5</v>
      </c>
      <c r="E148" s="1" t="s">
        <v>122</v>
      </c>
      <c r="F148" s="1" t="s">
        <v>4440</v>
      </c>
      <c r="G148" s="3" t="s">
        <v>406</v>
      </c>
      <c r="H148" s="11">
        <f t="shared" si="4"/>
        <v>85.93</v>
      </c>
      <c r="I148" s="9">
        <f>($K$2+0.02)*Tabla1[[#This Row],[PRECIO $]]*1.18</f>
        <v>71.242499999999993</v>
      </c>
      <c r="J148" s="7">
        <f>+Tabla1[[#This Row],[PRECIO EN SOLES]]-Tabla1[[#This Row],[PC]]</f>
        <v>14.687500000000014</v>
      </c>
      <c r="K148" s="15"/>
      <c r="L148" s="15" t="str">
        <f t="shared" si="5"/>
        <v>NORMAL</v>
      </c>
    </row>
    <row r="149" spans="1:12" x14ac:dyDescent="0.25">
      <c r="A149" s="3" t="s">
        <v>407</v>
      </c>
      <c r="B149" s="3" t="s">
        <v>408</v>
      </c>
      <c r="C149" s="1">
        <v>20</v>
      </c>
      <c r="D149" s="1">
        <v>17.5</v>
      </c>
      <c r="E149" s="1" t="s">
        <v>122</v>
      </c>
      <c r="F149" s="1" t="s">
        <v>4441</v>
      </c>
      <c r="G149" s="3" t="s">
        <v>409</v>
      </c>
      <c r="H149" s="11">
        <f t="shared" si="4"/>
        <v>85.93</v>
      </c>
      <c r="I149" s="9">
        <f>($K$2+0.02)*Tabla1[[#This Row],[PRECIO $]]*1.18</f>
        <v>71.242499999999993</v>
      </c>
      <c r="J149" s="7">
        <f>+Tabla1[[#This Row],[PRECIO EN SOLES]]-Tabla1[[#This Row],[PC]]</f>
        <v>14.687500000000014</v>
      </c>
      <c r="K149" s="15"/>
      <c r="L149" s="15" t="str">
        <f t="shared" si="5"/>
        <v>NORMAL</v>
      </c>
    </row>
    <row r="150" spans="1:12" x14ac:dyDescent="0.25">
      <c r="A150" s="3" t="s">
        <v>410</v>
      </c>
      <c r="B150" s="3" t="s">
        <v>411</v>
      </c>
      <c r="C150" s="1">
        <v>20</v>
      </c>
      <c r="D150" s="1">
        <v>17.5</v>
      </c>
      <c r="E150" s="1" t="s">
        <v>122</v>
      </c>
      <c r="F150" s="1" t="s">
        <v>4442</v>
      </c>
      <c r="G150" s="3" t="s">
        <v>412</v>
      </c>
      <c r="H150" s="11">
        <f t="shared" si="4"/>
        <v>85.93</v>
      </c>
      <c r="I150" s="9">
        <f>($K$2+0.02)*Tabla1[[#This Row],[PRECIO $]]*1.18</f>
        <v>71.242499999999993</v>
      </c>
      <c r="J150" s="7">
        <f>+Tabla1[[#This Row],[PRECIO EN SOLES]]-Tabla1[[#This Row],[PC]]</f>
        <v>14.687500000000014</v>
      </c>
      <c r="K150" s="15"/>
      <c r="L150" s="15" t="str">
        <f t="shared" si="5"/>
        <v>NORMAL</v>
      </c>
    </row>
    <row r="151" spans="1:12" x14ac:dyDescent="0.25">
      <c r="A151" s="3" t="s">
        <v>413</v>
      </c>
      <c r="B151" s="3" t="s">
        <v>414</v>
      </c>
      <c r="C151" s="1">
        <v>20</v>
      </c>
      <c r="D151" s="1">
        <v>25.9</v>
      </c>
      <c r="E151" s="1" t="s">
        <v>122</v>
      </c>
      <c r="F151" s="1" t="s">
        <v>4443</v>
      </c>
      <c r="G151" s="3" t="s">
        <v>415</v>
      </c>
      <c r="H151" s="11">
        <f t="shared" si="4"/>
        <v>127.25</v>
      </c>
      <c r="I151" s="9">
        <f>($K$2+0.02)*Tabla1[[#This Row],[PRECIO $]]*1.18</f>
        <v>105.4389</v>
      </c>
      <c r="J151" s="7">
        <f>+Tabla1[[#This Row],[PRECIO EN SOLES]]-Tabla1[[#This Row],[PC]]</f>
        <v>21.811099999999996</v>
      </c>
      <c r="K151" s="15"/>
      <c r="L151" s="15" t="str">
        <f t="shared" si="5"/>
        <v>NORMAL</v>
      </c>
    </row>
    <row r="152" spans="1:12" x14ac:dyDescent="0.25">
      <c r="A152" s="3" t="s">
        <v>416</v>
      </c>
      <c r="B152" s="3" t="s">
        <v>417</v>
      </c>
      <c r="C152" s="1">
        <v>20</v>
      </c>
      <c r="D152" s="1">
        <v>25</v>
      </c>
      <c r="E152" s="1" t="s">
        <v>122</v>
      </c>
      <c r="F152" s="1" t="s">
        <v>4444</v>
      </c>
      <c r="G152" s="3" t="s">
        <v>418</v>
      </c>
      <c r="H152" s="11">
        <f t="shared" si="4"/>
        <v>123.04</v>
      </c>
      <c r="I152" s="9">
        <f>($K$2+0.02)*Tabla1[[#This Row],[PRECIO $]]*1.18</f>
        <v>101.77499999999999</v>
      </c>
      <c r="J152" s="7">
        <f>+Tabla1[[#This Row],[PRECIO EN SOLES]]-Tabla1[[#This Row],[PC]]</f>
        <v>21.265000000000015</v>
      </c>
      <c r="K152" s="15"/>
      <c r="L152" s="15" t="str">
        <f t="shared" si="5"/>
        <v>NORMAL</v>
      </c>
    </row>
    <row r="153" spans="1:12" x14ac:dyDescent="0.25">
      <c r="A153" s="3" t="s">
        <v>4445</v>
      </c>
      <c r="B153" s="3" t="s">
        <v>4446</v>
      </c>
      <c r="C153" s="1">
        <v>20</v>
      </c>
      <c r="D153" s="1">
        <v>58</v>
      </c>
      <c r="E153" s="1" t="s">
        <v>122</v>
      </c>
      <c r="F153" s="1" t="s">
        <v>4447</v>
      </c>
      <c r="G153" s="3" t="s">
        <v>6681</v>
      </c>
      <c r="H153" s="11">
        <f t="shared" si="4"/>
        <v>279.54000000000002</v>
      </c>
      <c r="I153" s="9">
        <f>($K$2+0.02)*Tabla1[[#This Row],[PRECIO $]]*1.18</f>
        <v>236.11800000000002</v>
      </c>
      <c r="J153" s="7">
        <f>+Tabla1[[#This Row],[PRECIO EN SOLES]]-Tabla1[[#This Row],[PC]]</f>
        <v>43.421999999999997</v>
      </c>
      <c r="K153" s="15"/>
      <c r="L153" s="15" t="str">
        <f t="shared" si="5"/>
        <v>NORMAL</v>
      </c>
    </row>
    <row r="154" spans="1:12" x14ac:dyDescent="0.25">
      <c r="A154" s="3" t="s">
        <v>419</v>
      </c>
      <c r="B154" s="3" t="s">
        <v>420</v>
      </c>
      <c r="C154" s="1">
        <v>20</v>
      </c>
      <c r="D154" s="1">
        <v>29.5</v>
      </c>
      <c r="E154" s="1" t="s">
        <v>122</v>
      </c>
      <c r="F154" s="1" t="s">
        <v>4448</v>
      </c>
      <c r="G154" s="3" t="s">
        <v>421</v>
      </c>
      <c r="H154" s="11">
        <f t="shared" si="4"/>
        <v>144.11000000000001</v>
      </c>
      <c r="I154" s="9">
        <f>($K$2+0.02)*Tabla1[[#This Row],[PRECIO $]]*1.18</f>
        <v>120.0945</v>
      </c>
      <c r="J154" s="7">
        <f>+Tabla1[[#This Row],[PRECIO EN SOLES]]-Tabla1[[#This Row],[PC]]</f>
        <v>24.015500000000017</v>
      </c>
      <c r="K154" s="15"/>
      <c r="L154" s="15" t="str">
        <f t="shared" si="5"/>
        <v>NORMAL</v>
      </c>
    </row>
    <row r="155" spans="1:12" x14ac:dyDescent="0.25">
      <c r="A155" s="3" t="s">
        <v>422</v>
      </c>
      <c r="B155" s="3" t="s">
        <v>423</v>
      </c>
      <c r="C155" s="1">
        <v>20</v>
      </c>
      <c r="D155" s="1">
        <v>28</v>
      </c>
      <c r="E155" s="1" t="s">
        <v>122</v>
      </c>
      <c r="F155" s="1" t="s">
        <v>4449</v>
      </c>
      <c r="G155" s="3" t="s">
        <v>424</v>
      </c>
      <c r="H155" s="11">
        <f t="shared" si="4"/>
        <v>137.09</v>
      </c>
      <c r="I155" s="9">
        <f>($K$2+0.02)*Tabla1[[#This Row],[PRECIO $]]*1.18</f>
        <v>113.988</v>
      </c>
      <c r="J155" s="7">
        <f>+Tabla1[[#This Row],[PRECIO EN SOLES]]-Tabla1[[#This Row],[PC]]</f>
        <v>23.102000000000004</v>
      </c>
      <c r="K155" s="15"/>
      <c r="L155" s="15" t="str">
        <f t="shared" si="5"/>
        <v>NORMAL</v>
      </c>
    </row>
    <row r="156" spans="1:12" x14ac:dyDescent="0.25">
      <c r="A156" s="3" t="s">
        <v>4450</v>
      </c>
      <c r="B156" s="3" t="s">
        <v>4451</v>
      </c>
      <c r="C156" s="1">
        <v>4</v>
      </c>
      <c r="D156" s="1">
        <v>30.3</v>
      </c>
      <c r="E156" s="1" t="s">
        <v>122</v>
      </c>
      <c r="F156" s="1" t="s">
        <v>4452</v>
      </c>
      <c r="G156" s="3" t="s">
        <v>4453</v>
      </c>
      <c r="H156" s="11">
        <f t="shared" si="4"/>
        <v>147.85</v>
      </c>
      <c r="I156" s="9">
        <f>($K$2+0.02)*Tabla1[[#This Row],[PRECIO $]]*1.18</f>
        <v>123.35130000000001</v>
      </c>
      <c r="J156" s="7">
        <f>+Tabla1[[#This Row],[PRECIO EN SOLES]]-Tabla1[[#This Row],[PC]]</f>
        <v>24.498699999999985</v>
      </c>
      <c r="K156" s="15"/>
      <c r="L156" s="15" t="str">
        <f t="shared" si="5"/>
        <v>NORMAL</v>
      </c>
    </row>
    <row r="157" spans="1:12" x14ac:dyDescent="0.25">
      <c r="A157" s="3" t="s">
        <v>425</v>
      </c>
      <c r="B157" s="3" t="s">
        <v>426</v>
      </c>
      <c r="C157" s="1">
        <v>20</v>
      </c>
      <c r="D157" s="1">
        <v>29</v>
      </c>
      <c r="E157" s="1" t="s">
        <v>122</v>
      </c>
      <c r="F157" s="1" t="s">
        <v>4454</v>
      </c>
      <c r="G157" s="3" t="s">
        <v>427</v>
      </c>
      <c r="H157" s="11">
        <f t="shared" si="4"/>
        <v>141.77000000000001</v>
      </c>
      <c r="I157" s="9">
        <f>($K$2+0.02)*Tabla1[[#This Row],[PRECIO $]]*1.18</f>
        <v>118.05900000000001</v>
      </c>
      <c r="J157" s="7">
        <f>+Tabla1[[#This Row],[PRECIO EN SOLES]]-Tabla1[[#This Row],[PC]]</f>
        <v>23.710999999999999</v>
      </c>
      <c r="K157" s="15"/>
      <c r="L157" s="15" t="str">
        <f t="shared" si="5"/>
        <v>NORMAL</v>
      </c>
    </row>
    <row r="158" spans="1:12" x14ac:dyDescent="0.25">
      <c r="A158" s="3" t="s">
        <v>428</v>
      </c>
      <c r="B158" s="3" t="s">
        <v>429</v>
      </c>
      <c r="C158" s="1">
        <v>1</v>
      </c>
      <c r="D158" s="1">
        <v>75.150000000000006</v>
      </c>
      <c r="E158" s="1" t="s">
        <v>340</v>
      </c>
      <c r="F158" s="1" t="s">
        <v>4455</v>
      </c>
      <c r="G158" s="3" t="s">
        <v>430</v>
      </c>
      <c r="H158" s="11">
        <f t="shared" si="4"/>
        <v>359.83</v>
      </c>
      <c r="I158" s="9">
        <f>($K$2+0.02)*Tabla1[[#This Row],[PRECIO $]]*1.18</f>
        <v>305.93565000000001</v>
      </c>
      <c r="J158" s="7">
        <f>+Tabla1[[#This Row],[PRECIO EN SOLES]]-Tabla1[[#This Row],[PC]]</f>
        <v>53.894349999999974</v>
      </c>
      <c r="K158" s="15"/>
      <c r="L158" s="15" t="str">
        <f t="shared" si="5"/>
        <v>NORMAL</v>
      </c>
    </row>
    <row r="159" spans="1:12" x14ac:dyDescent="0.25">
      <c r="A159" s="3" t="s">
        <v>431</v>
      </c>
      <c r="B159" s="3" t="s">
        <v>432</v>
      </c>
      <c r="C159" s="1">
        <v>20</v>
      </c>
      <c r="D159" s="1">
        <v>75.25</v>
      </c>
      <c r="E159" s="1" t="s">
        <v>340</v>
      </c>
      <c r="F159" s="1" t="s">
        <v>4456</v>
      </c>
      <c r="G159" s="3" t="s">
        <v>433</v>
      </c>
      <c r="H159" s="11">
        <f t="shared" si="4"/>
        <v>360.29</v>
      </c>
      <c r="I159" s="9">
        <f>($K$2+0.02)*Tabla1[[#This Row],[PRECIO $]]*1.18</f>
        <v>306.34275000000002</v>
      </c>
      <c r="J159" s="7">
        <f>+Tabla1[[#This Row],[PRECIO EN SOLES]]-Tabla1[[#This Row],[PC]]</f>
        <v>53.947249999999997</v>
      </c>
      <c r="K159" s="15"/>
      <c r="L159" s="15" t="str">
        <f t="shared" si="5"/>
        <v>NORMAL</v>
      </c>
    </row>
    <row r="160" spans="1:12" x14ac:dyDescent="0.25">
      <c r="A160" s="3" t="s">
        <v>434</v>
      </c>
      <c r="B160" s="3" t="s">
        <v>435</v>
      </c>
      <c r="C160" s="1">
        <v>20</v>
      </c>
      <c r="D160" s="1">
        <v>109.6</v>
      </c>
      <c r="E160" s="1" t="s">
        <v>340</v>
      </c>
      <c r="F160" s="1" t="s">
        <v>4457</v>
      </c>
      <c r="G160" s="3" t="s">
        <v>436</v>
      </c>
      <c r="H160" s="11">
        <f t="shared" si="4"/>
        <v>521.11</v>
      </c>
      <c r="I160" s="9">
        <f>($K$2+0.02)*Tabla1[[#This Row],[PRECIO $]]*1.18</f>
        <v>446.1816</v>
      </c>
      <c r="J160" s="7">
        <f>+Tabla1[[#This Row],[PRECIO EN SOLES]]-Tabla1[[#This Row],[PC]]</f>
        <v>74.928400000000011</v>
      </c>
      <c r="K160" s="15"/>
      <c r="L160" s="15" t="str">
        <f t="shared" si="5"/>
        <v>NORMAL</v>
      </c>
    </row>
    <row r="161" spans="1:12" x14ac:dyDescent="0.25">
      <c r="A161" s="3" t="s">
        <v>437</v>
      </c>
      <c r="B161" s="3" t="s">
        <v>438</v>
      </c>
      <c r="C161" s="1">
        <v>20</v>
      </c>
      <c r="D161" s="1">
        <v>34.5</v>
      </c>
      <c r="E161" s="1" t="s">
        <v>122</v>
      </c>
      <c r="F161" s="1" t="s">
        <v>4458</v>
      </c>
      <c r="G161" s="3" t="s">
        <v>439</v>
      </c>
      <c r="H161" s="11">
        <f t="shared" si="4"/>
        <v>167.52</v>
      </c>
      <c r="I161" s="9">
        <f>($K$2+0.02)*Tabla1[[#This Row],[PRECIO $]]*1.18</f>
        <v>140.4495</v>
      </c>
      <c r="J161" s="7">
        <f>+Tabla1[[#This Row],[PRECIO EN SOLES]]-Tabla1[[#This Row],[PC]]</f>
        <v>27.07050000000001</v>
      </c>
      <c r="K161" s="15"/>
      <c r="L161" s="15" t="str">
        <f t="shared" si="5"/>
        <v>NORMAL</v>
      </c>
    </row>
    <row r="162" spans="1:12" x14ac:dyDescent="0.25">
      <c r="A162" s="3" t="s">
        <v>440</v>
      </c>
      <c r="B162" s="3" t="s">
        <v>441</v>
      </c>
      <c r="C162" s="1">
        <v>13</v>
      </c>
      <c r="D162" s="1">
        <v>31.6</v>
      </c>
      <c r="E162" s="1" t="s">
        <v>442</v>
      </c>
      <c r="F162" s="1" t="s">
        <v>4459</v>
      </c>
      <c r="G162" s="3" t="s">
        <v>443</v>
      </c>
      <c r="H162" s="11">
        <f t="shared" si="4"/>
        <v>153.94</v>
      </c>
      <c r="I162" s="9">
        <f>($K$2+0.02)*Tabla1[[#This Row],[PRECIO $]]*1.18</f>
        <v>128.64359999999999</v>
      </c>
      <c r="J162" s="7">
        <f>+Tabla1[[#This Row],[PRECIO EN SOLES]]-Tabla1[[#This Row],[PC]]</f>
        <v>25.296400000000006</v>
      </c>
      <c r="K162" s="15"/>
      <c r="L162" s="15" t="str">
        <f t="shared" si="5"/>
        <v>NORMAL</v>
      </c>
    </row>
    <row r="163" spans="1:12" x14ac:dyDescent="0.25">
      <c r="A163" s="3" t="s">
        <v>444</v>
      </c>
      <c r="B163" s="3" t="s">
        <v>445</v>
      </c>
      <c r="C163" s="1">
        <v>20</v>
      </c>
      <c r="D163" s="1">
        <v>46</v>
      </c>
      <c r="E163" s="1" t="s">
        <v>442</v>
      </c>
      <c r="F163" s="1" t="s">
        <v>4460</v>
      </c>
      <c r="G163" s="3" t="s">
        <v>446</v>
      </c>
      <c r="H163" s="11">
        <f t="shared" si="4"/>
        <v>223.36</v>
      </c>
      <c r="I163" s="9">
        <f>($K$2+0.02)*Tabla1[[#This Row],[PRECIO $]]*1.18</f>
        <v>187.26600000000002</v>
      </c>
      <c r="J163" s="7">
        <f>+Tabla1[[#This Row],[PRECIO EN SOLES]]-Tabla1[[#This Row],[PC]]</f>
        <v>36.093999999999994</v>
      </c>
      <c r="K163" s="15"/>
      <c r="L163" s="15" t="str">
        <f t="shared" si="5"/>
        <v>NORMAL</v>
      </c>
    </row>
    <row r="164" spans="1:12" x14ac:dyDescent="0.25">
      <c r="A164" s="3" t="s">
        <v>447</v>
      </c>
      <c r="B164" s="3" t="s">
        <v>448</v>
      </c>
      <c r="C164" s="1">
        <v>20</v>
      </c>
      <c r="D164" s="1">
        <v>48.6</v>
      </c>
      <c r="E164" s="1" t="s">
        <v>442</v>
      </c>
      <c r="F164" s="1" t="s">
        <v>4461</v>
      </c>
      <c r="G164" s="3" t="s">
        <v>449</v>
      </c>
      <c r="H164" s="11">
        <f t="shared" si="4"/>
        <v>235.53</v>
      </c>
      <c r="I164" s="9">
        <f>($K$2+0.02)*Tabla1[[#This Row],[PRECIO $]]*1.18</f>
        <v>197.85060000000001</v>
      </c>
      <c r="J164" s="7">
        <f>+Tabla1[[#This Row],[PRECIO EN SOLES]]-Tabla1[[#This Row],[PC]]</f>
        <v>37.679399999999987</v>
      </c>
      <c r="K164" s="15"/>
      <c r="L164" s="15" t="str">
        <f t="shared" si="5"/>
        <v>NORMAL</v>
      </c>
    </row>
    <row r="165" spans="1:12" x14ac:dyDescent="0.25">
      <c r="A165" s="3" t="s">
        <v>450</v>
      </c>
      <c r="B165" s="3" t="s">
        <v>451</v>
      </c>
      <c r="C165" s="1">
        <v>9</v>
      </c>
      <c r="D165" s="1">
        <v>67.400000000000006</v>
      </c>
      <c r="E165" s="1" t="s">
        <v>442</v>
      </c>
      <c r="F165" s="1" t="s">
        <v>4462</v>
      </c>
      <c r="G165" s="3" t="s">
        <v>452</v>
      </c>
      <c r="H165" s="11">
        <f t="shared" si="4"/>
        <v>323.54000000000002</v>
      </c>
      <c r="I165" s="9">
        <f>($K$2+0.02)*Tabla1[[#This Row],[PRECIO $]]*1.18</f>
        <v>274.3854</v>
      </c>
      <c r="J165" s="7">
        <f>+Tabla1[[#This Row],[PRECIO EN SOLES]]-Tabla1[[#This Row],[PC]]</f>
        <v>49.154600000000016</v>
      </c>
      <c r="K165" s="15"/>
      <c r="L165" s="15" t="str">
        <f t="shared" si="5"/>
        <v>NORMAL</v>
      </c>
    </row>
    <row r="166" spans="1:12" x14ac:dyDescent="0.25">
      <c r="A166" s="3" t="s">
        <v>6682</v>
      </c>
      <c r="B166" s="3" t="s">
        <v>6683</v>
      </c>
      <c r="C166" s="1">
        <v>0</v>
      </c>
      <c r="D166" s="1">
        <v>122.7</v>
      </c>
      <c r="E166" s="1" t="s">
        <v>355</v>
      </c>
      <c r="F166" s="1" t="s">
        <v>6684</v>
      </c>
      <c r="G166" s="3" t="s">
        <v>6685</v>
      </c>
      <c r="H166" s="11">
        <f t="shared" si="4"/>
        <v>582.44000000000005</v>
      </c>
      <c r="I166" s="9">
        <f>($K$2+0.02)*Tabla1[[#This Row],[PRECIO $]]*1.18</f>
        <v>499.51170000000002</v>
      </c>
      <c r="J166" s="7">
        <f>+Tabla1[[#This Row],[PRECIO EN SOLES]]-Tabla1[[#This Row],[PC]]</f>
        <v>82.928300000000036</v>
      </c>
      <c r="K166" s="15"/>
      <c r="L166" s="15" t="str">
        <f t="shared" si="5"/>
        <v>NORMAL</v>
      </c>
    </row>
    <row r="167" spans="1:12" x14ac:dyDescent="0.25">
      <c r="A167" s="3" t="s">
        <v>6686</v>
      </c>
      <c r="B167" s="3" t="s">
        <v>423</v>
      </c>
      <c r="C167" s="1">
        <v>0</v>
      </c>
      <c r="D167" s="1">
        <v>999</v>
      </c>
      <c r="E167" s="1" t="s">
        <v>122</v>
      </c>
      <c r="F167" s="1" t="s">
        <v>6687</v>
      </c>
      <c r="G167" s="3"/>
      <c r="H167" s="11">
        <f t="shared" si="4"/>
        <v>4684.97</v>
      </c>
      <c r="I167" s="9">
        <f>($K$2+0.02)*Tabla1[[#This Row],[PRECIO $]]*1.18</f>
        <v>4066.9290000000001</v>
      </c>
      <c r="J167" s="7">
        <f>+Tabla1[[#This Row],[PRECIO EN SOLES]]-Tabla1[[#This Row],[PC]]</f>
        <v>618.04100000000017</v>
      </c>
      <c r="K167" s="15"/>
      <c r="L167" s="15" t="str">
        <f t="shared" si="5"/>
        <v>NORMAL</v>
      </c>
    </row>
    <row r="168" spans="1:12" x14ac:dyDescent="0.25">
      <c r="A168" s="3" t="s">
        <v>6688</v>
      </c>
      <c r="B168" s="3" t="s">
        <v>426</v>
      </c>
      <c r="C168" s="1">
        <v>0</v>
      </c>
      <c r="D168" s="1">
        <v>999</v>
      </c>
      <c r="E168" s="1" t="s">
        <v>122</v>
      </c>
      <c r="F168" s="1" t="s">
        <v>6689</v>
      </c>
      <c r="G168" s="3"/>
      <c r="H168" s="11">
        <f t="shared" si="4"/>
        <v>4684.97</v>
      </c>
      <c r="I168" s="9">
        <f>($K$2+0.02)*Tabla1[[#This Row],[PRECIO $]]*1.18</f>
        <v>4066.9290000000001</v>
      </c>
      <c r="J168" s="7">
        <f>+Tabla1[[#This Row],[PRECIO EN SOLES]]-Tabla1[[#This Row],[PC]]</f>
        <v>618.04100000000017</v>
      </c>
      <c r="K168" s="15"/>
      <c r="L168" s="15" t="str">
        <f t="shared" si="5"/>
        <v>NORMAL</v>
      </c>
    </row>
    <row r="169" spans="1:12" x14ac:dyDescent="0.25">
      <c r="A169" s="3" t="s">
        <v>453</v>
      </c>
      <c r="B169" s="3" t="s">
        <v>454</v>
      </c>
      <c r="C169" s="1">
        <v>20</v>
      </c>
      <c r="D169" s="1">
        <v>4.33</v>
      </c>
      <c r="E169" s="1" t="s">
        <v>131</v>
      </c>
      <c r="F169" s="1" t="s">
        <v>4463</v>
      </c>
      <c r="G169" s="3" t="s">
        <v>455</v>
      </c>
      <c r="H169" s="11">
        <f t="shared" si="4"/>
        <v>22.27</v>
      </c>
      <c r="I169" s="9">
        <f>($K$2+0.02)*Tabla1[[#This Row],[PRECIO $]]*1.18</f>
        <v>17.62743</v>
      </c>
      <c r="J169" s="7">
        <f>+Tabla1[[#This Row],[PRECIO EN SOLES]]-Tabla1[[#This Row],[PC]]</f>
        <v>4.6425699999999992</v>
      </c>
      <c r="K169" s="15"/>
      <c r="L169" s="15" t="str">
        <f t="shared" si="5"/>
        <v>NORMAL</v>
      </c>
    </row>
    <row r="170" spans="1:12" x14ac:dyDescent="0.25">
      <c r="A170" s="3" t="s">
        <v>457</v>
      </c>
      <c r="B170" s="3" t="s">
        <v>458</v>
      </c>
      <c r="C170" s="1">
        <v>20</v>
      </c>
      <c r="D170" s="1">
        <v>74</v>
      </c>
      <c r="E170" s="1" t="s">
        <v>122</v>
      </c>
      <c r="F170" s="1" t="s">
        <v>4464</v>
      </c>
      <c r="G170" s="3" t="s">
        <v>459</v>
      </c>
      <c r="H170" s="11">
        <f t="shared" si="4"/>
        <v>354.44</v>
      </c>
      <c r="I170" s="9">
        <f>($K$2+0.02)*Tabla1[[#This Row],[PRECIO $]]*1.18</f>
        <v>301.25400000000002</v>
      </c>
      <c r="J170" s="7">
        <f>+Tabla1[[#This Row],[PRECIO EN SOLES]]-Tabla1[[#This Row],[PC]]</f>
        <v>53.185999999999979</v>
      </c>
      <c r="K170" s="15"/>
      <c r="L170" s="15" t="str">
        <f t="shared" si="5"/>
        <v>NORMAL</v>
      </c>
    </row>
    <row r="171" spans="1:12" x14ac:dyDescent="0.25">
      <c r="A171" s="3" t="s">
        <v>460</v>
      </c>
      <c r="B171" s="3" t="s">
        <v>461</v>
      </c>
      <c r="C171" s="1">
        <v>20</v>
      </c>
      <c r="D171" s="1">
        <v>9.6999999999999993</v>
      </c>
      <c r="E171" s="1" t="s">
        <v>122</v>
      </c>
      <c r="F171" s="1" t="s">
        <v>4465</v>
      </c>
      <c r="G171" s="3" t="s">
        <v>462</v>
      </c>
      <c r="H171" s="11">
        <f t="shared" si="4"/>
        <v>49.41</v>
      </c>
      <c r="I171" s="9">
        <f>($K$2+0.02)*Tabla1[[#This Row],[PRECIO $]]*1.18</f>
        <v>39.488699999999994</v>
      </c>
      <c r="J171" s="7">
        <f>+Tabla1[[#This Row],[PRECIO EN SOLES]]-Tabla1[[#This Row],[PC]]</f>
        <v>9.9213000000000022</v>
      </c>
      <c r="K171" s="15"/>
      <c r="L171" s="15" t="str">
        <f t="shared" si="5"/>
        <v>NORMAL</v>
      </c>
    </row>
    <row r="172" spans="1:12" x14ac:dyDescent="0.25">
      <c r="A172" s="3" t="s">
        <v>463</v>
      </c>
      <c r="B172" s="3" t="s">
        <v>464</v>
      </c>
      <c r="C172" s="1">
        <v>20</v>
      </c>
      <c r="D172" s="1">
        <v>38.25</v>
      </c>
      <c r="E172" s="1" t="s">
        <v>456</v>
      </c>
      <c r="F172" s="1" t="s">
        <v>4466</v>
      </c>
      <c r="G172" s="3" t="s">
        <v>465</v>
      </c>
      <c r="H172" s="11">
        <f t="shared" si="4"/>
        <v>187.07</v>
      </c>
      <c r="I172" s="9">
        <f>($K$2+0.02)*Tabla1[[#This Row],[PRECIO $]]*1.18</f>
        <v>155.71574999999999</v>
      </c>
      <c r="J172" s="7">
        <f>+Tabla1[[#This Row],[PRECIO EN SOLES]]-Tabla1[[#This Row],[PC]]</f>
        <v>31.354250000000008</v>
      </c>
      <c r="K172" s="15"/>
      <c r="L172" s="15" t="str">
        <f t="shared" si="5"/>
        <v>NORMAL</v>
      </c>
    </row>
    <row r="173" spans="1:12" x14ac:dyDescent="0.25">
      <c r="A173" s="3" t="s">
        <v>6690</v>
      </c>
      <c r="B173" s="3" t="s">
        <v>6691</v>
      </c>
      <c r="C173" s="1">
        <v>20</v>
      </c>
      <c r="D173" s="1">
        <v>59.15</v>
      </c>
      <c r="E173" s="1" t="s">
        <v>456</v>
      </c>
      <c r="F173" s="1" t="s">
        <v>6692</v>
      </c>
      <c r="G173" s="3" t="s">
        <v>6693</v>
      </c>
      <c r="H173" s="11">
        <f t="shared" si="4"/>
        <v>284.92</v>
      </c>
      <c r="I173" s="9">
        <f>($K$2+0.02)*Tabla1[[#This Row],[PRECIO $]]*1.18</f>
        <v>240.79964999999999</v>
      </c>
      <c r="J173" s="7">
        <f>+Tabla1[[#This Row],[PRECIO EN SOLES]]-Tabla1[[#This Row],[PC]]</f>
        <v>44.12035000000003</v>
      </c>
      <c r="K173" s="15"/>
      <c r="L173" s="15" t="str">
        <f t="shared" si="5"/>
        <v>NORMAL</v>
      </c>
    </row>
    <row r="174" spans="1:12" x14ac:dyDescent="0.25">
      <c r="A174" s="3" t="s">
        <v>466</v>
      </c>
      <c r="B174" s="3" t="s">
        <v>467</v>
      </c>
      <c r="C174" s="1">
        <v>3</v>
      </c>
      <c r="D174" s="1">
        <v>139.75</v>
      </c>
      <c r="E174" s="1" t="s">
        <v>456</v>
      </c>
      <c r="F174" s="1" t="s">
        <v>4467</v>
      </c>
      <c r="G174" s="3" t="s">
        <v>468</v>
      </c>
      <c r="H174" s="11">
        <f t="shared" si="4"/>
        <v>662.26</v>
      </c>
      <c r="I174" s="9">
        <f>($K$2+0.02)*Tabla1[[#This Row],[PRECIO $]]*1.18</f>
        <v>568.92225000000008</v>
      </c>
      <c r="J174" s="7">
        <f>+Tabla1[[#This Row],[PRECIO EN SOLES]]-Tabla1[[#This Row],[PC]]</f>
        <v>93.337749999999915</v>
      </c>
      <c r="K174" s="15"/>
      <c r="L174" s="15" t="str">
        <f t="shared" si="5"/>
        <v>NORMAL</v>
      </c>
    </row>
    <row r="175" spans="1:12" x14ac:dyDescent="0.25">
      <c r="A175" s="3" t="s">
        <v>6694</v>
      </c>
      <c r="B175" s="3" t="s">
        <v>6695</v>
      </c>
      <c r="C175" s="1">
        <v>12</v>
      </c>
      <c r="D175" s="1">
        <v>245</v>
      </c>
      <c r="E175" s="1" t="s">
        <v>456</v>
      </c>
      <c r="F175" s="1" t="s">
        <v>6696</v>
      </c>
      <c r="G175" s="3" t="s">
        <v>6697</v>
      </c>
      <c r="H175" s="11">
        <f t="shared" si="4"/>
        <v>1155</v>
      </c>
      <c r="I175" s="9">
        <f>($K$2+0.02)*Tabla1[[#This Row],[PRECIO $]]*1.18</f>
        <v>997.39499999999998</v>
      </c>
      <c r="J175" s="7">
        <f>+Tabla1[[#This Row],[PRECIO EN SOLES]]-Tabla1[[#This Row],[PC]]</f>
        <v>157.60500000000002</v>
      </c>
      <c r="K175" s="15"/>
      <c r="L175" s="15" t="str">
        <f t="shared" si="5"/>
        <v>NORMAL</v>
      </c>
    </row>
    <row r="176" spans="1:12" x14ac:dyDescent="0.25">
      <c r="A176" s="3" t="s">
        <v>469</v>
      </c>
      <c r="B176" s="3" t="s">
        <v>470</v>
      </c>
      <c r="C176" s="1">
        <v>6</v>
      </c>
      <c r="D176" s="1">
        <v>165</v>
      </c>
      <c r="E176" s="1" t="s">
        <v>456</v>
      </c>
      <c r="F176" s="1" t="s">
        <v>4468</v>
      </c>
      <c r="G176" s="3"/>
      <c r="H176" s="11">
        <f t="shared" si="4"/>
        <v>780.47</v>
      </c>
      <c r="I176" s="9">
        <f>($K$2+0.02)*Tabla1[[#This Row],[PRECIO $]]*1.18</f>
        <v>671.71499999999992</v>
      </c>
      <c r="J176" s="7">
        <f>+Tabla1[[#This Row],[PRECIO EN SOLES]]-Tabla1[[#This Row],[PC]]</f>
        <v>108.75500000000011</v>
      </c>
      <c r="K176" s="15"/>
      <c r="L176" s="15" t="str">
        <f t="shared" si="5"/>
        <v>NORMAL</v>
      </c>
    </row>
    <row r="177" spans="1:12" x14ac:dyDescent="0.25">
      <c r="A177" s="3" t="s">
        <v>6698</v>
      </c>
      <c r="B177" s="3" t="s">
        <v>6699</v>
      </c>
      <c r="C177" s="1">
        <v>18</v>
      </c>
      <c r="D177" s="1">
        <v>39.65</v>
      </c>
      <c r="E177" s="1" t="s">
        <v>456</v>
      </c>
      <c r="F177" s="1" t="s">
        <v>6700</v>
      </c>
      <c r="G177" s="3" t="s">
        <v>6701</v>
      </c>
      <c r="H177" s="11">
        <f t="shared" si="4"/>
        <v>193.63</v>
      </c>
      <c r="I177" s="9">
        <f>($K$2+0.02)*Tabla1[[#This Row],[PRECIO $]]*1.18</f>
        <v>161.41514999999998</v>
      </c>
      <c r="J177" s="7">
        <f>+Tabla1[[#This Row],[PRECIO EN SOLES]]-Tabla1[[#This Row],[PC]]</f>
        <v>32.214850000000013</v>
      </c>
      <c r="K177" s="15"/>
      <c r="L177" s="15" t="str">
        <f t="shared" si="5"/>
        <v>NORMAL</v>
      </c>
    </row>
    <row r="178" spans="1:12" x14ac:dyDescent="0.25">
      <c r="A178" s="3" t="s">
        <v>471</v>
      </c>
      <c r="B178" s="3" t="s">
        <v>472</v>
      </c>
      <c r="C178" s="1">
        <v>20</v>
      </c>
      <c r="D178" s="1">
        <v>52.8</v>
      </c>
      <c r="E178" s="1" t="s">
        <v>456</v>
      </c>
      <c r="F178" s="1" t="s">
        <v>4469</v>
      </c>
      <c r="G178" s="3" t="s">
        <v>473</v>
      </c>
      <c r="H178" s="11">
        <f t="shared" si="4"/>
        <v>255.19</v>
      </c>
      <c r="I178" s="9">
        <f>($K$2+0.02)*Tabla1[[#This Row],[PRECIO $]]*1.18</f>
        <v>214.94879999999998</v>
      </c>
      <c r="J178" s="7">
        <f>+Tabla1[[#This Row],[PRECIO EN SOLES]]-Tabla1[[#This Row],[PC]]</f>
        <v>40.241200000000021</v>
      </c>
      <c r="K178" s="15"/>
      <c r="L178" s="15" t="str">
        <f t="shared" si="5"/>
        <v>NORMAL</v>
      </c>
    </row>
    <row r="179" spans="1:12" x14ac:dyDescent="0.25">
      <c r="A179" s="3" t="s">
        <v>6702</v>
      </c>
      <c r="B179" s="3" t="s">
        <v>6703</v>
      </c>
      <c r="C179" s="1">
        <v>20</v>
      </c>
      <c r="D179" s="1">
        <v>58</v>
      </c>
      <c r="E179" s="1" t="s">
        <v>456</v>
      </c>
      <c r="F179" s="1" t="s">
        <v>6704</v>
      </c>
      <c r="G179" s="3"/>
      <c r="H179" s="11">
        <f t="shared" si="4"/>
        <v>279.54000000000002</v>
      </c>
      <c r="I179" s="9">
        <f>($K$2+0.02)*Tabla1[[#This Row],[PRECIO $]]*1.18</f>
        <v>236.11800000000002</v>
      </c>
      <c r="J179" s="7">
        <f>+Tabla1[[#This Row],[PRECIO EN SOLES]]-Tabla1[[#This Row],[PC]]</f>
        <v>43.421999999999997</v>
      </c>
      <c r="K179" s="15"/>
      <c r="L179" s="15" t="str">
        <f t="shared" si="5"/>
        <v>NORMAL</v>
      </c>
    </row>
    <row r="180" spans="1:12" x14ac:dyDescent="0.25">
      <c r="A180" s="3" t="s">
        <v>474</v>
      </c>
      <c r="B180" s="3" t="s">
        <v>475</v>
      </c>
      <c r="C180" s="1">
        <v>1</v>
      </c>
      <c r="D180" s="1">
        <v>118.6</v>
      </c>
      <c r="E180" s="1" t="s">
        <v>456</v>
      </c>
      <c r="F180" s="1" t="s">
        <v>4470</v>
      </c>
      <c r="G180" s="3" t="s">
        <v>476</v>
      </c>
      <c r="H180" s="11">
        <f t="shared" si="4"/>
        <v>563.24</v>
      </c>
      <c r="I180" s="9">
        <f>($K$2+0.02)*Tabla1[[#This Row],[PRECIO $]]*1.18</f>
        <v>482.82060000000001</v>
      </c>
      <c r="J180" s="7">
        <f>+Tabla1[[#This Row],[PRECIO EN SOLES]]-Tabla1[[#This Row],[PC]]</f>
        <v>80.419399999999996</v>
      </c>
      <c r="K180" s="15"/>
      <c r="L180" s="15" t="str">
        <f t="shared" si="5"/>
        <v>NORMAL</v>
      </c>
    </row>
    <row r="181" spans="1:12" x14ac:dyDescent="0.25">
      <c r="A181" s="3" t="s">
        <v>477</v>
      </c>
      <c r="B181" s="3" t="s">
        <v>478</v>
      </c>
      <c r="C181" s="1">
        <v>7</v>
      </c>
      <c r="D181" s="1">
        <v>135.5</v>
      </c>
      <c r="E181" s="1" t="s">
        <v>456</v>
      </c>
      <c r="F181" s="1" t="s">
        <v>4471</v>
      </c>
      <c r="G181" s="3"/>
      <c r="H181" s="11">
        <f t="shared" si="4"/>
        <v>642.36</v>
      </c>
      <c r="I181" s="9">
        <f>($K$2+0.02)*Tabla1[[#This Row],[PRECIO $]]*1.18</f>
        <v>551.62049999999999</v>
      </c>
      <c r="J181" s="7">
        <f>+Tabla1[[#This Row],[PRECIO EN SOLES]]-Tabla1[[#This Row],[PC]]</f>
        <v>90.739500000000021</v>
      </c>
      <c r="K181" s="15"/>
      <c r="L181" s="15" t="str">
        <f t="shared" si="5"/>
        <v>NORMAL</v>
      </c>
    </row>
    <row r="182" spans="1:12" x14ac:dyDescent="0.25">
      <c r="A182" s="3" t="s">
        <v>479</v>
      </c>
      <c r="B182" s="3" t="s">
        <v>480</v>
      </c>
      <c r="C182" s="1">
        <v>7</v>
      </c>
      <c r="D182" s="1">
        <v>163</v>
      </c>
      <c r="E182" s="1" t="s">
        <v>456</v>
      </c>
      <c r="F182" s="1" t="s">
        <v>4472</v>
      </c>
      <c r="G182" s="3"/>
      <c r="H182" s="11">
        <f t="shared" si="4"/>
        <v>771.11</v>
      </c>
      <c r="I182" s="9">
        <f>($K$2+0.02)*Tabla1[[#This Row],[PRECIO $]]*1.18</f>
        <v>663.57299999999998</v>
      </c>
      <c r="J182" s="7">
        <f>+Tabla1[[#This Row],[PRECIO EN SOLES]]-Tabla1[[#This Row],[PC]]</f>
        <v>107.53700000000003</v>
      </c>
      <c r="K182" s="15"/>
      <c r="L182" s="15" t="str">
        <f t="shared" si="5"/>
        <v>NORMAL</v>
      </c>
    </row>
    <row r="183" spans="1:12" x14ac:dyDescent="0.25">
      <c r="A183" s="3" t="s">
        <v>481</v>
      </c>
      <c r="B183" s="3" t="s">
        <v>482</v>
      </c>
      <c r="C183" s="1">
        <v>6</v>
      </c>
      <c r="D183" s="1">
        <v>76.150000000000006</v>
      </c>
      <c r="E183" s="1" t="s">
        <v>456</v>
      </c>
      <c r="F183" s="1" t="s">
        <v>4473</v>
      </c>
      <c r="G183" s="3" t="s">
        <v>483</v>
      </c>
      <c r="H183" s="11">
        <f t="shared" si="4"/>
        <v>364.51</v>
      </c>
      <c r="I183" s="9">
        <f>($K$2+0.02)*Tabla1[[#This Row],[PRECIO $]]*1.18</f>
        <v>310.00665000000004</v>
      </c>
      <c r="J183" s="7">
        <f>+Tabla1[[#This Row],[PRECIO EN SOLES]]-Tabla1[[#This Row],[PC]]</f>
        <v>54.503349999999955</v>
      </c>
      <c r="K183" s="15"/>
      <c r="L183" s="15" t="str">
        <f t="shared" si="5"/>
        <v>NORMAL</v>
      </c>
    </row>
    <row r="184" spans="1:12" x14ac:dyDescent="0.25">
      <c r="A184" s="3" t="s">
        <v>484</v>
      </c>
      <c r="B184" s="3" t="s">
        <v>485</v>
      </c>
      <c r="C184" s="1">
        <v>3</v>
      </c>
      <c r="D184" s="1">
        <v>80.7</v>
      </c>
      <c r="E184" s="1" t="s">
        <v>456</v>
      </c>
      <c r="F184" s="1" t="s">
        <v>4474</v>
      </c>
      <c r="G184" s="3" t="s">
        <v>486</v>
      </c>
      <c r="H184" s="11">
        <f t="shared" si="4"/>
        <v>385.81</v>
      </c>
      <c r="I184" s="9">
        <f>($K$2+0.02)*Tabla1[[#This Row],[PRECIO $]]*1.18</f>
        <v>328.52969999999999</v>
      </c>
      <c r="J184" s="7">
        <f>+Tabla1[[#This Row],[PRECIO EN SOLES]]-Tabla1[[#This Row],[PC]]</f>
        <v>57.280300000000011</v>
      </c>
      <c r="K184" s="15"/>
      <c r="L184" s="15" t="str">
        <f t="shared" si="5"/>
        <v>NORMAL</v>
      </c>
    </row>
    <row r="185" spans="1:12" x14ac:dyDescent="0.25">
      <c r="A185" s="3" t="s">
        <v>487</v>
      </c>
      <c r="B185" s="3" t="s">
        <v>488</v>
      </c>
      <c r="C185" s="1">
        <v>6</v>
      </c>
      <c r="D185" s="1">
        <v>306.5</v>
      </c>
      <c r="E185" s="1" t="s">
        <v>456</v>
      </c>
      <c r="F185" s="1" t="s">
        <v>4475</v>
      </c>
      <c r="G185" s="3" t="s">
        <v>489</v>
      </c>
      <c r="H185" s="11">
        <f t="shared" si="4"/>
        <v>1442.93</v>
      </c>
      <c r="I185" s="9">
        <f>($K$2+0.02)*Tabla1[[#This Row],[PRECIO $]]*1.18</f>
        <v>1247.7614999999998</v>
      </c>
      <c r="J185" s="7">
        <f>+Tabla1[[#This Row],[PRECIO EN SOLES]]-Tabla1[[#This Row],[PC]]</f>
        <v>195.16850000000022</v>
      </c>
      <c r="K185" s="15"/>
      <c r="L185" s="15" t="str">
        <f t="shared" si="5"/>
        <v>NORMAL</v>
      </c>
    </row>
    <row r="186" spans="1:12" x14ac:dyDescent="0.25">
      <c r="A186" s="3" t="s">
        <v>490</v>
      </c>
      <c r="B186" s="3" t="s">
        <v>491</v>
      </c>
      <c r="C186" s="1">
        <v>5</v>
      </c>
      <c r="D186" s="1">
        <v>400</v>
      </c>
      <c r="E186" s="1" t="s">
        <v>456</v>
      </c>
      <c r="F186" s="1" t="s">
        <v>4476</v>
      </c>
      <c r="G186" s="3" t="s">
        <v>492</v>
      </c>
      <c r="H186" s="11">
        <f t="shared" si="4"/>
        <v>1880.66</v>
      </c>
      <c r="I186" s="9">
        <f>($K$2+0.02)*Tabla1[[#This Row],[PRECIO $]]*1.18</f>
        <v>1628.3999999999999</v>
      </c>
      <c r="J186" s="7">
        <f>+Tabla1[[#This Row],[PRECIO EN SOLES]]-Tabla1[[#This Row],[PC]]</f>
        <v>252.26000000000022</v>
      </c>
      <c r="K186" s="15"/>
      <c r="L186" s="15" t="str">
        <f t="shared" si="5"/>
        <v>NORMAL</v>
      </c>
    </row>
    <row r="187" spans="1:12" x14ac:dyDescent="0.25">
      <c r="A187" s="3" t="s">
        <v>493</v>
      </c>
      <c r="B187" s="3" t="s">
        <v>494</v>
      </c>
      <c r="C187" s="1">
        <v>1</v>
      </c>
      <c r="D187" s="1">
        <v>81.5</v>
      </c>
      <c r="E187" s="1" t="s">
        <v>340</v>
      </c>
      <c r="F187" s="1" t="s">
        <v>4477</v>
      </c>
      <c r="G187" s="3" t="s">
        <v>495</v>
      </c>
      <c r="H187" s="11">
        <f t="shared" si="4"/>
        <v>389.55</v>
      </c>
      <c r="I187" s="9">
        <f>($K$2+0.02)*Tabla1[[#This Row],[PRECIO $]]*1.18</f>
        <v>331.78649999999999</v>
      </c>
      <c r="J187" s="7">
        <f>+Tabla1[[#This Row],[PRECIO EN SOLES]]-Tabla1[[#This Row],[PC]]</f>
        <v>57.763500000000022</v>
      </c>
      <c r="K187" s="15"/>
      <c r="L187" s="15" t="str">
        <f t="shared" si="5"/>
        <v>NORMAL</v>
      </c>
    </row>
    <row r="188" spans="1:12" x14ac:dyDescent="0.25">
      <c r="A188" s="3" t="s">
        <v>496</v>
      </c>
      <c r="B188" s="3" t="s">
        <v>497</v>
      </c>
      <c r="C188" s="1">
        <v>20</v>
      </c>
      <c r="D188" s="1">
        <v>90.5</v>
      </c>
      <c r="E188" s="1" t="s">
        <v>340</v>
      </c>
      <c r="F188" s="1" t="s">
        <v>4478</v>
      </c>
      <c r="G188" s="3"/>
      <c r="H188" s="11">
        <f t="shared" si="4"/>
        <v>431.69</v>
      </c>
      <c r="I188" s="9">
        <f>($K$2+0.02)*Tabla1[[#This Row],[PRECIO $]]*1.18</f>
        <v>368.4255</v>
      </c>
      <c r="J188" s="7">
        <f>+Tabla1[[#This Row],[PRECIO EN SOLES]]-Tabla1[[#This Row],[PC]]</f>
        <v>63.264499999999998</v>
      </c>
      <c r="K188" s="15"/>
      <c r="L188" s="15" t="str">
        <f t="shared" si="5"/>
        <v>NORMAL</v>
      </c>
    </row>
    <row r="189" spans="1:12" x14ac:dyDescent="0.25">
      <c r="A189" s="3" t="s">
        <v>498</v>
      </c>
      <c r="B189" s="3" t="s">
        <v>499</v>
      </c>
      <c r="C189" s="1">
        <v>4</v>
      </c>
      <c r="D189" s="1">
        <v>145.5</v>
      </c>
      <c r="E189" s="1" t="s">
        <v>442</v>
      </c>
      <c r="F189" s="1" t="s">
        <v>4479</v>
      </c>
      <c r="G189" s="3" t="s">
        <v>500</v>
      </c>
      <c r="H189" s="11">
        <f t="shared" si="4"/>
        <v>689.18</v>
      </c>
      <c r="I189" s="9">
        <f>($K$2+0.02)*Tabla1[[#This Row],[PRECIO $]]*1.18</f>
        <v>592.33050000000003</v>
      </c>
      <c r="J189" s="7">
        <f>+Tabla1[[#This Row],[PRECIO EN SOLES]]-Tabla1[[#This Row],[PC]]</f>
        <v>96.849499999999921</v>
      </c>
      <c r="K189" s="15"/>
      <c r="L189" s="15" t="str">
        <f t="shared" si="5"/>
        <v>NORMAL</v>
      </c>
    </row>
    <row r="190" spans="1:12" x14ac:dyDescent="0.25">
      <c r="A190" s="3" t="s">
        <v>501</v>
      </c>
      <c r="B190" s="3" t="s">
        <v>502</v>
      </c>
      <c r="C190" s="1">
        <v>7</v>
      </c>
      <c r="D190" s="1">
        <v>124.3</v>
      </c>
      <c r="E190" s="1" t="s">
        <v>442</v>
      </c>
      <c r="F190" s="1" t="s">
        <v>4480</v>
      </c>
      <c r="G190" s="3" t="s">
        <v>503</v>
      </c>
      <c r="H190" s="11">
        <f t="shared" si="4"/>
        <v>589.92999999999995</v>
      </c>
      <c r="I190" s="9">
        <f>($K$2+0.02)*Tabla1[[#This Row],[PRECIO $]]*1.18</f>
        <v>506.02530000000002</v>
      </c>
      <c r="J190" s="7">
        <f>+Tabla1[[#This Row],[PRECIO EN SOLES]]-Tabla1[[#This Row],[PC]]</f>
        <v>83.904699999999934</v>
      </c>
      <c r="K190" s="15"/>
      <c r="L190" s="15" t="str">
        <f t="shared" si="5"/>
        <v>NORMAL</v>
      </c>
    </row>
    <row r="191" spans="1:12" x14ac:dyDescent="0.25">
      <c r="A191" s="3" t="s">
        <v>504</v>
      </c>
      <c r="B191" s="3" t="s">
        <v>505</v>
      </c>
      <c r="C191" s="1">
        <v>20</v>
      </c>
      <c r="D191" s="1">
        <v>33.700000000000003</v>
      </c>
      <c r="E191" s="1" t="s">
        <v>442</v>
      </c>
      <c r="F191" s="1" t="s">
        <v>4481</v>
      </c>
      <c r="G191" s="3" t="s">
        <v>506</v>
      </c>
      <c r="H191" s="11">
        <f t="shared" si="4"/>
        <v>163.77000000000001</v>
      </c>
      <c r="I191" s="9">
        <f>($K$2+0.02)*Tabla1[[#This Row],[PRECIO $]]*1.18</f>
        <v>137.1927</v>
      </c>
      <c r="J191" s="7">
        <f>+Tabla1[[#This Row],[PRECIO EN SOLES]]-Tabla1[[#This Row],[PC]]</f>
        <v>26.577300000000008</v>
      </c>
      <c r="K191" s="15"/>
      <c r="L191" s="15" t="str">
        <f t="shared" si="5"/>
        <v>NORMAL</v>
      </c>
    </row>
    <row r="192" spans="1:12" x14ac:dyDescent="0.25">
      <c r="A192" s="3" t="s">
        <v>507</v>
      </c>
      <c r="B192" s="3" t="s">
        <v>508</v>
      </c>
      <c r="C192" s="1">
        <v>20</v>
      </c>
      <c r="D192" s="1">
        <v>34.200000000000003</v>
      </c>
      <c r="E192" s="1" t="s">
        <v>442</v>
      </c>
      <c r="F192" s="1" t="s">
        <v>4482</v>
      </c>
      <c r="G192" s="3" t="s">
        <v>509</v>
      </c>
      <c r="H192" s="11">
        <f t="shared" si="4"/>
        <v>166.11</v>
      </c>
      <c r="I192" s="9">
        <f>($K$2+0.02)*Tabla1[[#This Row],[PRECIO $]]*1.18</f>
        <v>139.22820000000002</v>
      </c>
      <c r="J192" s="7">
        <f>+Tabla1[[#This Row],[PRECIO EN SOLES]]-Tabla1[[#This Row],[PC]]</f>
        <v>26.881799999999998</v>
      </c>
      <c r="K192" s="15"/>
      <c r="L192" s="15" t="str">
        <f t="shared" si="5"/>
        <v>NORMAL</v>
      </c>
    </row>
    <row r="193" spans="1:12" x14ac:dyDescent="0.25">
      <c r="A193" s="3" t="s">
        <v>6705</v>
      </c>
      <c r="B193" s="3" t="s">
        <v>6706</v>
      </c>
      <c r="C193" s="1">
        <v>20</v>
      </c>
      <c r="D193" s="1">
        <v>44.6</v>
      </c>
      <c r="E193" s="1" t="s">
        <v>442</v>
      </c>
      <c r="F193" s="1" t="s">
        <v>6707</v>
      </c>
      <c r="G193" s="3" t="s">
        <v>6708</v>
      </c>
      <c r="H193" s="11">
        <f t="shared" si="4"/>
        <v>216.8</v>
      </c>
      <c r="I193" s="9">
        <f>($K$2+0.02)*Tabla1[[#This Row],[PRECIO $]]*1.18</f>
        <v>181.56659999999999</v>
      </c>
      <c r="J193" s="7">
        <f>+Tabla1[[#This Row],[PRECIO EN SOLES]]-Tabla1[[#This Row],[PC]]</f>
        <v>35.233400000000017</v>
      </c>
      <c r="K193" s="15"/>
      <c r="L193" s="15" t="str">
        <f t="shared" si="5"/>
        <v>NORMAL</v>
      </c>
    </row>
    <row r="194" spans="1:12" x14ac:dyDescent="0.25">
      <c r="A194" s="3" t="s">
        <v>510</v>
      </c>
      <c r="B194" s="3" t="s">
        <v>511</v>
      </c>
      <c r="C194" s="1">
        <v>20</v>
      </c>
      <c r="D194" s="1">
        <v>43.4</v>
      </c>
      <c r="E194" s="1" t="s">
        <v>442</v>
      </c>
      <c r="F194" s="1" t="s">
        <v>4483</v>
      </c>
      <c r="G194" s="3" t="s">
        <v>512</v>
      </c>
      <c r="H194" s="11">
        <f t="shared" ref="H194:H257" si="6">ROUND(
IF(L194="GANCHO",
   IF(I194&lt;=50,I194*1.1+4,IF(I194&lt;=120,I194*1.1+7,IF(I194&lt;=250,I194*1.1+11,I194*1.1+19))),
IF(L194="NORMAL",
   IF(I194&lt;=30,I194*1.15+2,IF(I194&lt;=80,I194*1.15+4,IF(I194&lt;=150,I194*1.15+6,I194*1.15+8))),
IF(L194="COMPLEMENTO",
   IF(I194&lt;=25,I194*1.25+1.5,IF(I194&lt;=60,I194*1.25+3,IF(I194&lt;=120,I194*1.25+4,I194*1.25+5))),
""))),2)</f>
        <v>211.18</v>
      </c>
      <c r="I194" s="9">
        <f>($K$2+0.02)*Tabla1[[#This Row],[PRECIO $]]*1.18</f>
        <v>176.68139999999997</v>
      </c>
      <c r="J194" s="7">
        <f>+Tabla1[[#This Row],[PRECIO EN SOLES]]-Tabla1[[#This Row],[PC]]</f>
        <v>34.498600000000039</v>
      </c>
      <c r="K194" s="15"/>
      <c r="L194" s="15" t="str">
        <f t="shared" si="5"/>
        <v>NORMAL</v>
      </c>
    </row>
    <row r="195" spans="1:12" x14ac:dyDescent="0.25">
      <c r="A195" s="3" t="s">
        <v>513</v>
      </c>
      <c r="B195" s="3" t="s">
        <v>511</v>
      </c>
      <c r="C195" s="1">
        <v>20</v>
      </c>
      <c r="D195" s="1">
        <v>44.5</v>
      </c>
      <c r="E195" s="1" t="s">
        <v>442</v>
      </c>
      <c r="F195" s="1" t="s">
        <v>4484</v>
      </c>
      <c r="G195" s="3" t="s">
        <v>514</v>
      </c>
      <c r="H195" s="11">
        <f t="shared" si="6"/>
        <v>216.33</v>
      </c>
      <c r="I195" s="9">
        <f>($K$2+0.02)*Tabla1[[#This Row],[PRECIO $]]*1.18</f>
        <v>181.15950000000001</v>
      </c>
      <c r="J195" s="7">
        <f>+Tabla1[[#This Row],[PRECIO EN SOLES]]-Tabla1[[#This Row],[PC]]</f>
        <v>35.170500000000004</v>
      </c>
      <c r="K195" s="15"/>
      <c r="L195" s="15" t="str">
        <f t="shared" ref="L195:L258" si="7">IF(
OR(
ISNUMBER(SEARCH("BACKPACK",B195)),
ISNUMBER(SEARCH("MOCHILA",B195)),
ISNUMBER(SEARCH("FUNDA",B195)),
ISNUMBER(SEARCH("ESTUCHE",B195)),
ISNUMBER(SEARCH("BOOK COVER",B195)),
ISNUMBER(SEARCH("KEYBOARD PARA TABLET",B195)),
ISNUMBER(SEARCH("FLIP TABLET",B195)),
ISNUMBER(SEARCH("CASE FOR TABLET",B195)),
ISNUMBER(SEARCH("CABLE",B195)),
ISNUMBER(SEARCH("ADAPTADOR",B195)),
ISNUMBER(SEARCH("HUB",B195)),
ISNUMBER(SEARCH("DOCK",B195)),
ISNUMBER(SEARCH("MOUSE PAD",B195)),
ISNUMBER(SEARCH("MOUSEPAD",B195)),
ISNUMBER(SEARCH("SOPORTE",B195)),
ISNUMBER(SEARCH("STAND",B195)),
ISNUMBER(SEARCH("TRAVEL ADAPTER",B195)),
ISNUMBER(SEARCH("RJ45",B195)),
ISNUMBER(SEARCH("USB-C",B195)),
ISNUMBER(SEARCH("USB WIFI",B195)),
ISNUMBER(SEARCH("POWERBANK",B195)),
ISNUMBER(SEARCH("CARGADOR",B195)),
ISNUMBER(SEARCH("COOLER PARA NB",B195)),
ISNUMBER(SEARCH("SOPORTE PARA NB",B195)),
ISNUMBER(SEARCH("WEBCAM",B195)),
ISNUMBER(SEARCH("WEB CAM",B195)),
ISNUMBER(SEARCH("MOUSE",B195)),
ISNUMBER(SEARCH("TECLADO",B195))
),
"COMPLEMENTO",
IF(
OR(
LEFT(A195,2)="NB",
LEFT(A195,2)="PC",
LEFT(A195,2)="WS",
LEFT(A195,2)="TB",
LEFT(A195,3)="CEL",
LEFT(A195,3)="MON",
LEFT(A195,3)="PRE",
LEFT(A195,3)="PRH",
ISNUMBER(SEARCH("NOTEBOOK",B195)),
ISNUMBER(SEARCH("LAPTOP",B195)),
ISNUMBER(SEARCH("MONITOR",B195)),
ISNUMBER(SEARCH("TABLET",B195)),
ISNUMBER(SEARCH("SMARTPH",B195)),
ISNUMBER(SEARCH("IMPRESORA",B195)),
ISNUMBER(SEARCH("MULTIFUNCIONAL",B195)),
ISNUMBER(SEARCH("AIO",B195))
),
"GANCHO",
"NORMAL"
)
)</f>
        <v>NORMAL</v>
      </c>
    </row>
    <row r="196" spans="1:12" x14ac:dyDescent="0.25">
      <c r="A196" s="3" t="s">
        <v>515</v>
      </c>
      <c r="B196" s="3" t="s">
        <v>516</v>
      </c>
      <c r="C196" s="1">
        <v>20</v>
      </c>
      <c r="D196" s="1">
        <v>55.3</v>
      </c>
      <c r="E196" s="1" t="s">
        <v>442</v>
      </c>
      <c r="F196" s="1" t="s">
        <v>4485</v>
      </c>
      <c r="G196" s="3" t="s">
        <v>517</v>
      </c>
      <c r="H196" s="11">
        <f t="shared" si="6"/>
        <v>266.89999999999998</v>
      </c>
      <c r="I196" s="9">
        <f>($K$2+0.02)*Tabla1[[#This Row],[PRECIO $]]*1.18</f>
        <v>225.12629999999999</v>
      </c>
      <c r="J196" s="7">
        <f>+Tabla1[[#This Row],[PRECIO EN SOLES]]-Tabla1[[#This Row],[PC]]</f>
        <v>41.773699999999991</v>
      </c>
      <c r="K196" s="15"/>
      <c r="L196" s="15" t="str">
        <f t="shared" si="7"/>
        <v>NORMAL</v>
      </c>
    </row>
    <row r="197" spans="1:12" x14ac:dyDescent="0.25">
      <c r="A197" s="3" t="s">
        <v>6709</v>
      </c>
      <c r="B197" s="3" t="s">
        <v>6710</v>
      </c>
      <c r="C197" s="1">
        <v>19</v>
      </c>
      <c r="D197" s="1">
        <v>102.2</v>
      </c>
      <c r="E197" s="1" t="s">
        <v>442</v>
      </c>
      <c r="F197" s="1" t="s">
        <v>6711</v>
      </c>
      <c r="G197" s="3" t="s">
        <v>6712</v>
      </c>
      <c r="H197" s="11">
        <f t="shared" si="6"/>
        <v>486.46</v>
      </c>
      <c r="I197" s="9">
        <f>($K$2+0.02)*Tabla1[[#This Row],[PRECIO $]]*1.18</f>
        <v>416.05619999999999</v>
      </c>
      <c r="J197" s="7">
        <f>+Tabla1[[#This Row],[PRECIO EN SOLES]]-Tabla1[[#This Row],[PC]]</f>
        <v>70.40379999999999</v>
      </c>
      <c r="K197" s="15"/>
      <c r="L197" s="15" t="str">
        <f t="shared" si="7"/>
        <v>NORMAL</v>
      </c>
    </row>
    <row r="198" spans="1:12" x14ac:dyDescent="0.25">
      <c r="A198" s="3" t="s">
        <v>6713</v>
      </c>
      <c r="B198" s="3" t="s">
        <v>6714</v>
      </c>
      <c r="C198" s="1">
        <v>20</v>
      </c>
      <c r="D198" s="1">
        <v>97</v>
      </c>
      <c r="E198" s="1" t="s">
        <v>442</v>
      </c>
      <c r="F198" s="1" t="s">
        <v>6715</v>
      </c>
      <c r="G198" s="3" t="s">
        <v>6716</v>
      </c>
      <c r="H198" s="11">
        <f t="shared" si="6"/>
        <v>462.12</v>
      </c>
      <c r="I198" s="9">
        <f>($K$2+0.02)*Tabla1[[#This Row],[PRECIO $]]*1.18</f>
        <v>394.887</v>
      </c>
      <c r="J198" s="7">
        <f>+Tabla1[[#This Row],[PRECIO EN SOLES]]-Tabla1[[#This Row],[PC]]</f>
        <v>67.233000000000004</v>
      </c>
      <c r="K198" s="15"/>
      <c r="L198" s="15" t="str">
        <f t="shared" si="7"/>
        <v>NORMAL</v>
      </c>
    </row>
    <row r="199" spans="1:12" x14ac:dyDescent="0.25">
      <c r="A199" s="3" t="s">
        <v>6717</v>
      </c>
      <c r="B199" s="3" t="s">
        <v>6718</v>
      </c>
      <c r="C199" s="1">
        <v>10</v>
      </c>
      <c r="D199" s="1">
        <v>177</v>
      </c>
      <c r="E199" s="1" t="s">
        <v>442</v>
      </c>
      <c r="F199" s="1" t="s">
        <v>6719</v>
      </c>
      <c r="G199" s="3" t="s">
        <v>6720</v>
      </c>
      <c r="H199" s="11">
        <f t="shared" si="6"/>
        <v>836.65</v>
      </c>
      <c r="I199" s="9">
        <f>($K$2+0.02)*Tabla1[[#This Row],[PRECIO $]]*1.18</f>
        <v>720.56699999999989</v>
      </c>
      <c r="J199" s="7">
        <f>+Tabla1[[#This Row],[PRECIO EN SOLES]]-Tabla1[[#This Row],[PC]]</f>
        <v>116.08300000000008</v>
      </c>
      <c r="K199" s="15"/>
      <c r="L199" s="15" t="str">
        <f t="shared" si="7"/>
        <v>NORMAL</v>
      </c>
    </row>
    <row r="200" spans="1:12" x14ac:dyDescent="0.25">
      <c r="A200" s="3" t="s">
        <v>518</v>
      </c>
      <c r="B200" s="3" t="s">
        <v>519</v>
      </c>
      <c r="C200" s="1">
        <v>12</v>
      </c>
      <c r="D200" s="1">
        <v>291.5</v>
      </c>
      <c r="E200" s="1" t="s">
        <v>442</v>
      </c>
      <c r="F200" s="1" t="s">
        <v>4486</v>
      </c>
      <c r="G200" s="3" t="s">
        <v>520</v>
      </c>
      <c r="H200" s="11">
        <f t="shared" si="6"/>
        <v>1372.7</v>
      </c>
      <c r="I200" s="9">
        <f>($K$2+0.02)*Tabla1[[#This Row],[PRECIO $]]*1.18</f>
        <v>1186.6965</v>
      </c>
      <c r="J200" s="7">
        <f>+Tabla1[[#This Row],[PRECIO EN SOLES]]-Tabla1[[#This Row],[PC]]</f>
        <v>186.00350000000003</v>
      </c>
      <c r="K200" s="15"/>
      <c r="L200" s="15" t="str">
        <f t="shared" si="7"/>
        <v>NORMAL</v>
      </c>
    </row>
    <row r="201" spans="1:12" x14ac:dyDescent="0.25">
      <c r="A201" s="3" t="s">
        <v>6721</v>
      </c>
      <c r="B201" s="3" t="s">
        <v>6722</v>
      </c>
      <c r="C201" s="1">
        <v>9</v>
      </c>
      <c r="D201" s="1">
        <v>66.400000000000006</v>
      </c>
      <c r="E201" s="1" t="s">
        <v>442</v>
      </c>
      <c r="F201" s="1" t="s">
        <v>6723</v>
      </c>
      <c r="G201" s="3" t="s">
        <v>6724</v>
      </c>
      <c r="H201" s="11">
        <f t="shared" si="6"/>
        <v>318.86</v>
      </c>
      <c r="I201" s="9">
        <f>($K$2+0.02)*Tabla1[[#This Row],[PRECIO $]]*1.18</f>
        <v>270.31440000000003</v>
      </c>
      <c r="J201" s="7">
        <f>+Tabla1[[#This Row],[PRECIO EN SOLES]]-Tabla1[[#This Row],[PC]]</f>
        <v>48.545599999999979</v>
      </c>
      <c r="K201" s="15"/>
      <c r="L201" s="15" t="str">
        <f t="shared" si="7"/>
        <v>NORMAL</v>
      </c>
    </row>
    <row r="202" spans="1:12" x14ac:dyDescent="0.25">
      <c r="A202" s="3" t="s">
        <v>6725</v>
      </c>
      <c r="B202" s="3" t="s">
        <v>6726</v>
      </c>
      <c r="C202" s="1">
        <v>20</v>
      </c>
      <c r="D202" s="1">
        <v>75.599999999999994</v>
      </c>
      <c r="E202" s="1" t="s">
        <v>442</v>
      </c>
      <c r="F202" s="1" t="s">
        <v>6727</v>
      </c>
      <c r="G202" s="3" t="s">
        <v>6728</v>
      </c>
      <c r="H202" s="11">
        <f t="shared" si="6"/>
        <v>361.93</v>
      </c>
      <c r="I202" s="9">
        <f>($K$2+0.02)*Tabla1[[#This Row],[PRECIO $]]*1.18</f>
        <v>307.76759999999996</v>
      </c>
      <c r="J202" s="7">
        <f>+Tabla1[[#This Row],[PRECIO EN SOLES]]-Tabla1[[#This Row],[PC]]</f>
        <v>54.162400000000048</v>
      </c>
      <c r="K202" s="15"/>
      <c r="L202" s="15" t="str">
        <f t="shared" si="7"/>
        <v>NORMAL</v>
      </c>
    </row>
    <row r="203" spans="1:12" x14ac:dyDescent="0.25">
      <c r="A203" s="3" t="s">
        <v>521</v>
      </c>
      <c r="B203" s="3" t="s">
        <v>522</v>
      </c>
      <c r="C203" s="1">
        <v>20</v>
      </c>
      <c r="D203" s="1">
        <v>75.400000000000006</v>
      </c>
      <c r="E203" s="1" t="s">
        <v>442</v>
      </c>
      <c r="F203" s="1" t="s">
        <v>4487</v>
      </c>
      <c r="G203" s="3" t="s">
        <v>523</v>
      </c>
      <c r="H203" s="11">
        <f t="shared" si="6"/>
        <v>361</v>
      </c>
      <c r="I203" s="9">
        <f>($K$2+0.02)*Tabla1[[#This Row],[PRECIO $]]*1.18</f>
        <v>306.95340000000004</v>
      </c>
      <c r="J203" s="7">
        <f>+Tabla1[[#This Row],[PRECIO EN SOLES]]-Tabla1[[#This Row],[PC]]</f>
        <v>54.046599999999955</v>
      </c>
      <c r="K203" s="15"/>
      <c r="L203" s="15" t="str">
        <f t="shared" si="7"/>
        <v>NORMAL</v>
      </c>
    </row>
    <row r="204" spans="1:12" x14ac:dyDescent="0.25">
      <c r="A204" s="3" t="s">
        <v>6729</v>
      </c>
      <c r="B204" s="3" t="s">
        <v>6730</v>
      </c>
      <c r="C204" s="1">
        <v>5</v>
      </c>
      <c r="D204" s="1">
        <v>87.5</v>
      </c>
      <c r="E204" s="1" t="s">
        <v>442</v>
      </c>
      <c r="F204" s="1" t="s">
        <v>6731</v>
      </c>
      <c r="G204" s="3"/>
      <c r="H204" s="11">
        <f t="shared" si="6"/>
        <v>417.64</v>
      </c>
      <c r="I204" s="9">
        <f>($K$2+0.02)*Tabla1[[#This Row],[PRECIO $]]*1.18</f>
        <v>356.21249999999998</v>
      </c>
      <c r="J204" s="7">
        <f>+Tabla1[[#This Row],[PRECIO EN SOLES]]-Tabla1[[#This Row],[PC]]</f>
        <v>61.427500000000009</v>
      </c>
      <c r="K204" s="15"/>
      <c r="L204" s="15" t="str">
        <f t="shared" si="7"/>
        <v>NORMAL</v>
      </c>
    </row>
    <row r="205" spans="1:12" x14ac:dyDescent="0.25">
      <c r="A205" s="3" t="s">
        <v>524</v>
      </c>
      <c r="B205" s="3" t="s">
        <v>525</v>
      </c>
      <c r="C205" s="1">
        <v>20</v>
      </c>
      <c r="D205" s="1">
        <v>89</v>
      </c>
      <c r="E205" s="1" t="s">
        <v>442</v>
      </c>
      <c r="F205" s="1" t="s">
        <v>4488</v>
      </c>
      <c r="G205" s="3"/>
      <c r="H205" s="11">
        <f t="shared" si="6"/>
        <v>424.67</v>
      </c>
      <c r="I205" s="9">
        <f>($K$2+0.02)*Tabla1[[#This Row],[PRECIO $]]*1.18</f>
        <v>362.31900000000002</v>
      </c>
      <c r="J205" s="7">
        <f>+Tabla1[[#This Row],[PRECIO EN SOLES]]-Tabla1[[#This Row],[PC]]</f>
        <v>62.350999999999999</v>
      </c>
      <c r="K205" s="15"/>
      <c r="L205" s="15" t="str">
        <f t="shared" si="7"/>
        <v>NORMAL</v>
      </c>
    </row>
    <row r="206" spans="1:12" x14ac:dyDescent="0.25">
      <c r="A206" s="3" t="s">
        <v>526</v>
      </c>
      <c r="B206" s="3" t="s">
        <v>527</v>
      </c>
      <c r="C206" s="1">
        <v>0</v>
      </c>
      <c r="D206" s="1">
        <v>578</v>
      </c>
      <c r="E206" s="1" t="s">
        <v>528</v>
      </c>
      <c r="F206" s="1" t="s">
        <v>4489</v>
      </c>
      <c r="G206" s="3" t="s">
        <v>529</v>
      </c>
      <c r="H206" s="11">
        <f t="shared" si="6"/>
        <v>2607.34</v>
      </c>
      <c r="I206" s="9">
        <f>($K$2+0.02)*Tabla1[[#This Row],[PRECIO $]]*1.18</f>
        <v>2353.038</v>
      </c>
      <c r="J206" s="7">
        <f>+Tabla1[[#This Row],[PRECIO EN SOLES]]-Tabla1[[#This Row],[PC]]</f>
        <v>254.30200000000013</v>
      </c>
      <c r="K206" s="15"/>
      <c r="L206" s="15" t="str">
        <f t="shared" si="7"/>
        <v>GANCHO</v>
      </c>
    </row>
    <row r="207" spans="1:12" x14ac:dyDescent="0.25">
      <c r="A207" s="3" t="s">
        <v>530</v>
      </c>
      <c r="B207" s="3" t="s">
        <v>531</v>
      </c>
      <c r="C207" s="1">
        <v>20</v>
      </c>
      <c r="D207" s="1">
        <v>500</v>
      </c>
      <c r="E207" s="1" t="s">
        <v>528</v>
      </c>
      <c r="F207" s="1" t="s">
        <v>4490</v>
      </c>
      <c r="G207" s="3" t="s">
        <v>532</v>
      </c>
      <c r="H207" s="11">
        <f t="shared" si="6"/>
        <v>2258.0500000000002</v>
      </c>
      <c r="I207" s="9">
        <f>($K$2+0.02)*Tabla1[[#This Row],[PRECIO $]]*1.18</f>
        <v>2035.5</v>
      </c>
      <c r="J207" s="7">
        <f>+Tabla1[[#This Row],[PRECIO EN SOLES]]-Tabla1[[#This Row],[PC]]</f>
        <v>222.55000000000018</v>
      </c>
      <c r="K207" s="15"/>
      <c r="L207" s="15" t="str">
        <f t="shared" si="7"/>
        <v>GANCHO</v>
      </c>
    </row>
    <row r="208" spans="1:12" x14ac:dyDescent="0.25">
      <c r="A208" s="3" t="s">
        <v>533</v>
      </c>
      <c r="B208" s="3" t="s">
        <v>534</v>
      </c>
      <c r="C208" s="1">
        <v>5</v>
      </c>
      <c r="D208" s="1">
        <v>412</v>
      </c>
      <c r="E208" s="1" t="s">
        <v>528</v>
      </c>
      <c r="F208" s="1" t="s">
        <v>4491</v>
      </c>
      <c r="G208" s="3" t="s">
        <v>535</v>
      </c>
      <c r="H208" s="11">
        <f t="shared" si="6"/>
        <v>1863.98</v>
      </c>
      <c r="I208" s="9">
        <f>($K$2+0.02)*Tabla1[[#This Row],[PRECIO $]]*1.18</f>
        <v>1677.252</v>
      </c>
      <c r="J208" s="7">
        <f>+Tabla1[[#This Row],[PRECIO EN SOLES]]-Tabla1[[#This Row],[PC]]</f>
        <v>186.72800000000007</v>
      </c>
      <c r="K208" s="15"/>
      <c r="L208" s="15" t="str">
        <f t="shared" si="7"/>
        <v>GANCHO</v>
      </c>
    </row>
    <row r="209" spans="1:12" x14ac:dyDescent="0.25">
      <c r="A209" s="3" t="s">
        <v>4492</v>
      </c>
      <c r="B209" s="3" t="s">
        <v>4493</v>
      </c>
      <c r="C209" s="1">
        <v>0</v>
      </c>
      <c r="D209" s="1">
        <v>230</v>
      </c>
      <c r="E209" s="1" t="s">
        <v>528</v>
      </c>
      <c r="F209" s="1" t="s">
        <v>4494</v>
      </c>
      <c r="G209" s="3" t="s">
        <v>4495</v>
      </c>
      <c r="H209" s="11">
        <f t="shared" si="6"/>
        <v>1048.96</v>
      </c>
      <c r="I209" s="9">
        <f>($K$2+0.02)*Tabla1[[#This Row],[PRECIO $]]*1.18</f>
        <v>936.32999999999993</v>
      </c>
      <c r="J209" s="7">
        <f>+Tabla1[[#This Row],[PRECIO EN SOLES]]-Tabla1[[#This Row],[PC]]</f>
        <v>112.63000000000011</v>
      </c>
      <c r="K209" s="15"/>
      <c r="L209" s="15" t="str">
        <f t="shared" si="7"/>
        <v>GANCHO</v>
      </c>
    </row>
    <row r="210" spans="1:12" x14ac:dyDescent="0.25">
      <c r="A210" s="3" t="s">
        <v>536</v>
      </c>
      <c r="B210" s="3" t="s">
        <v>537</v>
      </c>
      <c r="C210" s="1">
        <v>0</v>
      </c>
      <c r="D210" s="1">
        <v>267</v>
      </c>
      <c r="E210" s="1" t="s">
        <v>528</v>
      </c>
      <c r="F210" s="1" t="s">
        <v>4496</v>
      </c>
      <c r="G210" s="3" t="s">
        <v>538</v>
      </c>
      <c r="H210" s="11">
        <f t="shared" si="6"/>
        <v>1214.6500000000001</v>
      </c>
      <c r="I210" s="9">
        <f>($K$2+0.02)*Tabla1[[#This Row],[PRECIO $]]*1.18</f>
        <v>1086.9570000000001</v>
      </c>
      <c r="J210" s="7">
        <f>+Tabla1[[#This Row],[PRECIO EN SOLES]]-Tabla1[[#This Row],[PC]]</f>
        <v>127.69299999999998</v>
      </c>
      <c r="K210" s="15"/>
      <c r="L210" s="15" t="str">
        <f t="shared" si="7"/>
        <v>GANCHO</v>
      </c>
    </row>
    <row r="211" spans="1:12" x14ac:dyDescent="0.25">
      <c r="A211" s="3" t="s">
        <v>4497</v>
      </c>
      <c r="B211" s="3" t="s">
        <v>537</v>
      </c>
      <c r="C211" s="1">
        <v>3</v>
      </c>
      <c r="D211" s="1">
        <v>256.5</v>
      </c>
      <c r="E211" s="1" t="s">
        <v>528</v>
      </c>
      <c r="F211" s="1" t="s">
        <v>4498</v>
      </c>
      <c r="G211" s="3"/>
      <c r="H211" s="11">
        <f t="shared" si="6"/>
        <v>1167.6300000000001</v>
      </c>
      <c r="I211" s="9">
        <f>($K$2+0.02)*Tabla1[[#This Row],[PRECIO $]]*1.18</f>
        <v>1044.2115000000001</v>
      </c>
      <c r="J211" s="7">
        <f>+Tabla1[[#This Row],[PRECIO EN SOLES]]-Tabla1[[#This Row],[PC]]</f>
        <v>123.41849999999999</v>
      </c>
      <c r="K211" s="15"/>
      <c r="L211" s="15" t="str">
        <f t="shared" si="7"/>
        <v>GANCHO</v>
      </c>
    </row>
    <row r="212" spans="1:12" x14ac:dyDescent="0.25">
      <c r="A212" s="3" t="s">
        <v>6732</v>
      </c>
      <c r="B212" s="3" t="s">
        <v>6733</v>
      </c>
      <c r="C212" s="1">
        <v>0</v>
      </c>
      <c r="D212" s="1">
        <v>453</v>
      </c>
      <c r="E212" s="1" t="s">
        <v>528</v>
      </c>
      <c r="F212" s="1" t="s">
        <v>6734</v>
      </c>
      <c r="G212" s="3" t="s">
        <v>6735</v>
      </c>
      <c r="H212" s="11">
        <f t="shared" si="6"/>
        <v>2047.58</v>
      </c>
      <c r="I212" s="9">
        <f>($K$2+0.02)*Tabla1[[#This Row],[PRECIO $]]*1.18</f>
        <v>1844.163</v>
      </c>
      <c r="J212" s="7">
        <f>+Tabla1[[#This Row],[PRECIO EN SOLES]]-Tabla1[[#This Row],[PC]]</f>
        <v>203.41699999999992</v>
      </c>
      <c r="K212" s="15"/>
      <c r="L212" s="15" t="str">
        <f t="shared" si="7"/>
        <v>GANCHO</v>
      </c>
    </row>
    <row r="213" spans="1:12" x14ac:dyDescent="0.25">
      <c r="A213" s="3" t="s">
        <v>539</v>
      </c>
      <c r="B213" s="3" t="s">
        <v>540</v>
      </c>
      <c r="C213" s="1">
        <v>0</v>
      </c>
      <c r="D213" s="1">
        <v>303</v>
      </c>
      <c r="E213" s="1" t="s">
        <v>528</v>
      </c>
      <c r="F213" s="1" t="s">
        <v>4499</v>
      </c>
      <c r="G213" s="3" t="s">
        <v>541</v>
      </c>
      <c r="H213" s="11">
        <f t="shared" si="6"/>
        <v>1375.86</v>
      </c>
      <c r="I213" s="9">
        <f>($K$2+0.02)*Tabla1[[#This Row],[PRECIO $]]*1.18</f>
        <v>1233.5130000000001</v>
      </c>
      <c r="J213" s="7">
        <f>+Tabla1[[#This Row],[PRECIO EN SOLES]]-Tabla1[[#This Row],[PC]]</f>
        <v>142.34699999999975</v>
      </c>
      <c r="K213" s="15"/>
      <c r="L213" s="15" t="str">
        <f t="shared" si="7"/>
        <v>GANCHO</v>
      </c>
    </row>
    <row r="214" spans="1:12" x14ac:dyDescent="0.25">
      <c r="A214" s="3" t="s">
        <v>542</v>
      </c>
      <c r="B214" s="3" t="s">
        <v>543</v>
      </c>
      <c r="C214" s="1">
        <v>19</v>
      </c>
      <c r="D214" s="1">
        <v>228</v>
      </c>
      <c r="E214" s="1" t="s">
        <v>528</v>
      </c>
      <c r="F214" s="1" t="s">
        <v>4500</v>
      </c>
      <c r="G214" s="3" t="s">
        <v>544</v>
      </c>
      <c r="H214" s="11">
        <f t="shared" si="6"/>
        <v>1040.01</v>
      </c>
      <c r="I214" s="9">
        <f>($K$2+0.02)*Tabla1[[#This Row],[PRECIO $]]*1.18</f>
        <v>928.18799999999999</v>
      </c>
      <c r="J214" s="7">
        <f>+Tabla1[[#This Row],[PRECIO EN SOLES]]-Tabla1[[#This Row],[PC]]</f>
        <v>111.822</v>
      </c>
      <c r="K214" s="15"/>
      <c r="L214" s="15" t="str">
        <f t="shared" si="7"/>
        <v>GANCHO</v>
      </c>
    </row>
    <row r="215" spans="1:12" x14ac:dyDescent="0.25">
      <c r="A215" s="3" t="s">
        <v>545</v>
      </c>
      <c r="B215" s="3" t="s">
        <v>546</v>
      </c>
      <c r="C215" s="1">
        <v>11</v>
      </c>
      <c r="D215" s="1">
        <v>220</v>
      </c>
      <c r="E215" s="1" t="s">
        <v>528</v>
      </c>
      <c r="F215" s="1" t="s">
        <v>4501</v>
      </c>
      <c r="G215" s="3" t="s">
        <v>547</v>
      </c>
      <c r="H215" s="11">
        <f t="shared" si="6"/>
        <v>1004.18</v>
      </c>
      <c r="I215" s="9">
        <f>($K$2+0.02)*Tabla1[[#This Row],[PRECIO $]]*1.18</f>
        <v>895.62</v>
      </c>
      <c r="J215" s="7">
        <f>+Tabla1[[#This Row],[PRECIO EN SOLES]]-Tabla1[[#This Row],[PC]]</f>
        <v>108.55999999999995</v>
      </c>
      <c r="K215" s="15"/>
      <c r="L215" s="15" t="str">
        <f t="shared" si="7"/>
        <v>GANCHO</v>
      </c>
    </row>
    <row r="216" spans="1:12" x14ac:dyDescent="0.25">
      <c r="A216" s="3" t="s">
        <v>548</v>
      </c>
      <c r="B216" s="3" t="s">
        <v>549</v>
      </c>
      <c r="C216" s="1">
        <v>2</v>
      </c>
      <c r="D216" s="1">
        <v>232</v>
      </c>
      <c r="E216" s="1" t="s">
        <v>528</v>
      </c>
      <c r="F216" s="1" t="s">
        <v>4502</v>
      </c>
      <c r="G216" s="3"/>
      <c r="H216" s="11">
        <f t="shared" si="6"/>
        <v>1094.1400000000001</v>
      </c>
      <c r="I216" s="9">
        <f>($K$2+0.02)*Tabla1[[#This Row],[PRECIO $]]*1.18</f>
        <v>944.47200000000009</v>
      </c>
      <c r="J216" s="7">
        <f>+Tabla1[[#This Row],[PRECIO EN SOLES]]-Tabla1[[#This Row],[PC]]</f>
        <v>149.66800000000001</v>
      </c>
      <c r="K216" s="15"/>
      <c r="L216" s="15" t="str">
        <f t="shared" si="7"/>
        <v>NORMAL</v>
      </c>
    </row>
    <row r="217" spans="1:12" x14ac:dyDescent="0.25">
      <c r="A217" s="3" t="s">
        <v>550</v>
      </c>
      <c r="B217" s="3" t="s">
        <v>551</v>
      </c>
      <c r="C217" s="1">
        <v>0</v>
      </c>
      <c r="D217" s="1">
        <v>110</v>
      </c>
      <c r="E217" s="1" t="s">
        <v>355</v>
      </c>
      <c r="F217" s="1" t="s">
        <v>4503</v>
      </c>
      <c r="G217" s="3"/>
      <c r="H217" s="11">
        <f t="shared" si="6"/>
        <v>522.98</v>
      </c>
      <c r="I217" s="9">
        <f>($K$2+0.02)*Tabla1[[#This Row],[PRECIO $]]*1.18</f>
        <v>447.81</v>
      </c>
      <c r="J217" s="7">
        <f>+Tabla1[[#This Row],[PRECIO EN SOLES]]-Tabla1[[#This Row],[PC]]</f>
        <v>75.170000000000016</v>
      </c>
      <c r="K217" s="15"/>
      <c r="L217" s="15" t="str">
        <f t="shared" si="7"/>
        <v>NORMAL</v>
      </c>
    </row>
    <row r="218" spans="1:12" x14ac:dyDescent="0.25">
      <c r="A218" s="3" t="s">
        <v>552</v>
      </c>
      <c r="B218" s="3" t="s">
        <v>553</v>
      </c>
      <c r="C218" s="1">
        <v>20</v>
      </c>
      <c r="D218" s="1">
        <v>319</v>
      </c>
      <c r="E218" s="1" t="s">
        <v>261</v>
      </c>
      <c r="F218" s="1" t="s">
        <v>4504</v>
      </c>
      <c r="G218" s="3" t="s">
        <v>554</v>
      </c>
      <c r="H218" s="11">
        <f t="shared" si="6"/>
        <v>1447.51</v>
      </c>
      <c r="I218" s="9">
        <f>($K$2+0.02)*Tabla1[[#This Row],[PRECIO $]]*1.18</f>
        <v>1298.6489999999999</v>
      </c>
      <c r="J218" s="7">
        <f>+Tabla1[[#This Row],[PRECIO EN SOLES]]-Tabla1[[#This Row],[PC]]</f>
        <v>148.8610000000001</v>
      </c>
      <c r="K218" s="15"/>
      <c r="L218" s="15" t="str">
        <f t="shared" si="7"/>
        <v>GANCHO</v>
      </c>
    </row>
    <row r="219" spans="1:12" x14ac:dyDescent="0.25">
      <c r="A219" s="3" t="s">
        <v>4505</v>
      </c>
      <c r="B219" s="3" t="s">
        <v>4506</v>
      </c>
      <c r="C219" s="1">
        <v>20</v>
      </c>
      <c r="D219" s="1">
        <v>865</v>
      </c>
      <c r="E219" s="1" t="s">
        <v>557</v>
      </c>
      <c r="F219" s="1" t="s">
        <v>4507</v>
      </c>
      <c r="G219" s="3" t="s">
        <v>6736</v>
      </c>
      <c r="H219" s="11">
        <f t="shared" si="6"/>
        <v>3892.56</v>
      </c>
      <c r="I219" s="9">
        <f>($K$2+0.02)*Tabla1[[#This Row],[PRECIO $]]*1.18</f>
        <v>3521.415</v>
      </c>
      <c r="J219" s="7">
        <f>+Tabla1[[#This Row],[PRECIO EN SOLES]]-Tabla1[[#This Row],[PC]]</f>
        <v>371.14499999999998</v>
      </c>
      <c r="K219" s="15"/>
      <c r="L219" s="15" t="str">
        <f t="shared" si="7"/>
        <v>GANCHO</v>
      </c>
    </row>
    <row r="220" spans="1:12" x14ac:dyDescent="0.25">
      <c r="A220" s="3" t="s">
        <v>555</v>
      </c>
      <c r="B220" s="3" t="s">
        <v>556</v>
      </c>
      <c r="C220" s="1">
        <v>20</v>
      </c>
      <c r="D220" s="1">
        <v>727</v>
      </c>
      <c r="E220" s="1" t="s">
        <v>557</v>
      </c>
      <c r="F220" s="1" t="s">
        <v>4508</v>
      </c>
      <c r="G220" s="3" t="s">
        <v>558</v>
      </c>
      <c r="H220" s="11">
        <f t="shared" si="6"/>
        <v>3274.58</v>
      </c>
      <c r="I220" s="9">
        <f>($K$2+0.02)*Tabla1[[#This Row],[PRECIO $]]*1.18</f>
        <v>2959.6169999999997</v>
      </c>
      <c r="J220" s="7">
        <f>+Tabla1[[#This Row],[PRECIO EN SOLES]]-Tabla1[[#This Row],[PC]]</f>
        <v>314.96300000000019</v>
      </c>
      <c r="K220" s="15"/>
      <c r="L220" s="15" t="str">
        <f t="shared" si="7"/>
        <v>GANCHO</v>
      </c>
    </row>
    <row r="221" spans="1:12" x14ac:dyDescent="0.25">
      <c r="A221" s="3" t="s">
        <v>559</v>
      </c>
      <c r="B221" s="3" t="s">
        <v>560</v>
      </c>
      <c r="C221" s="1">
        <v>20</v>
      </c>
      <c r="D221" s="1">
        <v>1015</v>
      </c>
      <c r="E221" s="1" t="s">
        <v>557</v>
      </c>
      <c r="F221" s="1" t="s">
        <v>4509</v>
      </c>
      <c r="G221" s="3" t="s">
        <v>561</v>
      </c>
      <c r="H221" s="11">
        <f t="shared" si="6"/>
        <v>4564.2700000000004</v>
      </c>
      <c r="I221" s="9">
        <f>($K$2+0.02)*Tabla1[[#This Row],[PRECIO $]]*1.18</f>
        <v>4132.0649999999996</v>
      </c>
      <c r="J221" s="7">
        <f>+Tabla1[[#This Row],[PRECIO EN SOLES]]-Tabla1[[#This Row],[PC]]</f>
        <v>432.20500000000084</v>
      </c>
      <c r="K221" s="15"/>
      <c r="L221" s="15" t="str">
        <f t="shared" si="7"/>
        <v>GANCHO</v>
      </c>
    </row>
    <row r="222" spans="1:12" x14ac:dyDescent="0.25">
      <c r="A222" s="3" t="s">
        <v>562</v>
      </c>
      <c r="B222" s="3" t="s">
        <v>560</v>
      </c>
      <c r="C222" s="1">
        <v>20</v>
      </c>
      <c r="D222" s="1">
        <v>955</v>
      </c>
      <c r="E222" s="1" t="s">
        <v>557</v>
      </c>
      <c r="F222" s="1" t="s">
        <v>4510</v>
      </c>
      <c r="G222" s="3" t="s">
        <v>563</v>
      </c>
      <c r="H222" s="11">
        <f t="shared" si="6"/>
        <v>4295.59</v>
      </c>
      <c r="I222" s="9">
        <f>($K$2+0.02)*Tabla1[[#This Row],[PRECIO $]]*1.18</f>
        <v>3887.8049999999998</v>
      </c>
      <c r="J222" s="7">
        <f>+Tabla1[[#This Row],[PRECIO EN SOLES]]-Tabla1[[#This Row],[PC]]</f>
        <v>407.78500000000031</v>
      </c>
      <c r="K222" s="15"/>
      <c r="L222" s="15" t="str">
        <f t="shared" si="7"/>
        <v>GANCHO</v>
      </c>
    </row>
    <row r="223" spans="1:12" x14ac:dyDescent="0.25">
      <c r="A223" s="3" t="s">
        <v>4511</v>
      </c>
      <c r="B223" s="3" t="s">
        <v>4512</v>
      </c>
      <c r="C223" s="1">
        <v>20</v>
      </c>
      <c r="D223" s="1">
        <v>1052</v>
      </c>
      <c r="E223" s="1" t="s">
        <v>557</v>
      </c>
      <c r="F223" s="1" t="s">
        <v>4513</v>
      </c>
      <c r="G223" s="3" t="s">
        <v>6737</v>
      </c>
      <c r="H223" s="11">
        <f t="shared" si="6"/>
        <v>4729.96</v>
      </c>
      <c r="I223" s="9">
        <f>($K$2+0.02)*Tabla1[[#This Row],[PRECIO $]]*1.18</f>
        <v>4282.692</v>
      </c>
      <c r="J223" s="7">
        <f>+Tabla1[[#This Row],[PRECIO EN SOLES]]-Tabla1[[#This Row],[PC]]</f>
        <v>447.26800000000003</v>
      </c>
      <c r="K223" s="15"/>
      <c r="L223" s="15" t="str">
        <f t="shared" si="7"/>
        <v>GANCHO</v>
      </c>
    </row>
    <row r="224" spans="1:12" x14ac:dyDescent="0.25">
      <c r="A224" s="3" t="s">
        <v>564</v>
      </c>
      <c r="B224" s="3" t="s">
        <v>565</v>
      </c>
      <c r="C224" s="1">
        <v>0</v>
      </c>
      <c r="D224" s="1">
        <v>1106</v>
      </c>
      <c r="E224" s="1" t="s">
        <v>269</v>
      </c>
      <c r="F224" s="1" t="s">
        <v>4514</v>
      </c>
      <c r="G224" s="3" t="s">
        <v>566</v>
      </c>
      <c r="H224" s="11">
        <f t="shared" si="6"/>
        <v>4971.78</v>
      </c>
      <c r="I224" s="9">
        <f>($K$2+0.02)*Tabla1[[#This Row],[PRECIO $]]*1.18</f>
        <v>4502.5259999999998</v>
      </c>
      <c r="J224" s="7">
        <f>+Tabla1[[#This Row],[PRECIO EN SOLES]]-Tabla1[[#This Row],[PC]]</f>
        <v>469.25399999999991</v>
      </c>
      <c r="K224" s="15"/>
      <c r="L224" s="15" t="str">
        <f t="shared" si="7"/>
        <v>GANCHO</v>
      </c>
    </row>
    <row r="225" spans="1:12" x14ac:dyDescent="0.25">
      <c r="A225" s="3" t="s">
        <v>567</v>
      </c>
      <c r="B225" s="3" t="s">
        <v>568</v>
      </c>
      <c r="C225" s="1">
        <v>7</v>
      </c>
      <c r="D225" s="1">
        <v>477</v>
      </c>
      <c r="E225" s="1" t="s">
        <v>261</v>
      </c>
      <c r="F225" s="1" t="s">
        <v>4515</v>
      </c>
      <c r="G225" s="3" t="s">
        <v>569</v>
      </c>
      <c r="H225" s="11">
        <f t="shared" si="6"/>
        <v>2155.0500000000002</v>
      </c>
      <c r="I225" s="9">
        <f>($K$2+0.02)*Tabla1[[#This Row],[PRECIO $]]*1.18</f>
        <v>1941.867</v>
      </c>
      <c r="J225" s="7">
        <f>+Tabla1[[#This Row],[PRECIO EN SOLES]]-Tabla1[[#This Row],[PC]]</f>
        <v>213.18300000000022</v>
      </c>
      <c r="K225" s="15"/>
      <c r="L225" s="15" t="str">
        <f t="shared" si="7"/>
        <v>GANCHO</v>
      </c>
    </row>
    <row r="226" spans="1:12" x14ac:dyDescent="0.25">
      <c r="A226" s="3" t="s">
        <v>570</v>
      </c>
      <c r="B226" s="3" t="s">
        <v>571</v>
      </c>
      <c r="C226" s="1">
        <v>3</v>
      </c>
      <c r="D226" s="1">
        <v>607</v>
      </c>
      <c r="E226" s="1" t="s">
        <v>131</v>
      </c>
      <c r="F226" s="1" t="s">
        <v>4516</v>
      </c>
      <c r="G226" s="3" t="s">
        <v>572</v>
      </c>
      <c r="H226" s="11">
        <f t="shared" si="6"/>
        <v>2737.21</v>
      </c>
      <c r="I226" s="9">
        <f>($K$2+0.02)*Tabla1[[#This Row],[PRECIO $]]*1.18</f>
        <v>2471.0969999999998</v>
      </c>
      <c r="J226" s="7">
        <f>+Tabla1[[#This Row],[PRECIO EN SOLES]]-Tabla1[[#This Row],[PC]]</f>
        <v>266.11300000000028</v>
      </c>
      <c r="K226" s="15"/>
      <c r="L226" s="15" t="str">
        <f t="shared" si="7"/>
        <v>GANCHO</v>
      </c>
    </row>
    <row r="227" spans="1:12" x14ac:dyDescent="0.25">
      <c r="A227" s="3" t="s">
        <v>573</v>
      </c>
      <c r="B227" s="3" t="s">
        <v>574</v>
      </c>
      <c r="C227" s="1">
        <v>20</v>
      </c>
      <c r="D227" s="1">
        <v>670</v>
      </c>
      <c r="E227" s="1" t="s">
        <v>557</v>
      </c>
      <c r="F227" s="1" t="s">
        <v>4517</v>
      </c>
      <c r="G227" s="3" t="s">
        <v>575</v>
      </c>
      <c r="H227" s="11">
        <f t="shared" si="6"/>
        <v>3019.33</v>
      </c>
      <c r="I227" s="9">
        <f>($K$2+0.02)*Tabla1[[#This Row],[PRECIO $]]*1.18</f>
        <v>2727.5699999999997</v>
      </c>
      <c r="J227" s="7">
        <f>+Tabla1[[#This Row],[PRECIO EN SOLES]]-Tabla1[[#This Row],[PC]]</f>
        <v>291.76000000000022</v>
      </c>
      <c r="K227" s="15"/>
      <c r="L227" s="15" t="str">
        <f t="shared" si="7"/>
        <v>GANCHO</v>
      </c>
    </row>
    <row r="228" spans="1:12" x14ac:dyDescent="0.25">
      <c r="A228" s="3" t="s">
        <v>576</v>
      </c>
      <c r="B228" s="3" t="s">
        <v>577</v>
      </c>
      <c r="C228" s="1">
        <v>20</v>
      </c>
      <c r="D228" s="1">
        <v>672</v>
      </c>
      <c r="E228" s="1" t="s">
        <v>261</v>
      </c>
      <c r="F228" s="1" t="s">
        <v>4518</v>
      </c>
      <c r="G228" s="3" t="s">
        <v>578</v>
      </c>
      <c r="H228" s="11">
        <f t="shared" si="6"/>
        <v>3028.28</v>
      </c>
      <c r="I228" s="9">
        <f>($K$2+0.02)*Tabla1[[#This Row],[PRECIO $]]*1.18</f>
        <v>2735.712</v>
      </c>
      <c r="J228" s="7">
        <f>+Tabla1[[#This Row],[PRECIO EN SOLES]]-Tabla1[[#This Row],[PC]]</f>
        <v>292.56800000000021</v>
      </c>
      <c r="K228" s="15"/>
      <c r="L228" s="15" t="str">
        <f t="shared" si="7"/>
        <v>GANCHO</v>
      </c>
    </row>
    <row r="229" spans="1:12" x14ac:dyDescent="0.25">
      <c r="A229" s="3" t="s">
        <v>4519</v>
      </c>
      <c r="B229" s="3" t="s">
        <v>4520</v>
      </c>
      <c r="C229" s="1">
        <v>20</v>
      </c>
      <c r="D229" s="1">
        <v>585</v>
      </c>
      <c r="E229" s="1" t="s">
        <v>261</v>
      </c>
      <c r="F229" s="1" t="s">
        <v>4521</v>
      </c>
      <c r="G229" s="3" t="s">
        <v>581</v>
      </c>
      <c r="H229" s="11">
        <f t="shared" si="6"/>
        <v>2638.69</v>
      </c>
      <c r="I229" s="9">
        <f>($K$2+0.02)*Tabla1[[#This Row],[PRECIO $]]*1.18</f>
        <v>2381.5349999999999</v>
      </c>
      <c r="J229" s="7">
        <f>+Tabla1[[#This Row],[PRECIO EN SOLES]]-Tabla1[[#This Row],[PC]]</f>
        <v>257.1550000000002</v>
      </c>
      <c r="K229" s="15"/>
      <c r="L229" s="15" t="str">
        <f t="shared" si="7"/>
        <v>GANCHO</v>
      </c>
    </row>
    <row r="230" spans="1:12" x14ac:dyDescent="0.25">
      <c r="A230" s="3" t="s">
        <v>579</v>
      </c>
      <c r="B230" s="3" t="s">
        <v>580</v>
      </c>
      <c r="C230" s="1">
        <v>0</v>
      </c>
      <c r="D230" s="1">
        <v>645</v>
      </c>
      <c r="E230" s="1" t="s">
        <v>261</v>
      </c>
      <c r="F230" s="1" t="s">
        <v>4522</v>
      </c>
      <c r="G230" s="3" t="s">
        <v>581</v>
      </c>
      <c r="H230" s="11">
        <f t="shared" si="6"/>
        <v>2907.37</v>
      </c>
      <c r="I230" s="9">
        <f>($K$2+0.02)*Tabla1[[#This Row],[PRECIO $]]*1.18</f>
        <v>2625.7950000000001</v>
      </c>
      <c r="J230" s="7">
        <f>+Tabla1[[#This Row],[PRECIO EN SOLES]]-Tabla1[[#This Row],[PC]]</f>
        <v>281.57499999999982</v>
      </c>
      <c r="K230" s="15"/>
      <c r="L230" s="15" t="str">
        <f t="shared" si="7"/>
        <v>GANCHO</v>
      </c>
    </row>
    <row r="231" spans="1:12" x14ac:dyDescent="0.25">
      <c r="A231" s="3" t="s">
        <v>582</v>
      </c>
      <c r="B231" s="3" t="s">
        <v>583</v>
      </c>
      <c r="C231" s="1">
        <v>2</v>
      </c>
      <c r="D231" s="1">
        <v>697</v>
      </c>
      <c r="E231" s="1" t="s">
        <v>131</v>
      </c>
      <c r="F231" s="1" t="s">
        <v>4523</v>
      </c>
      <c r="G231" s="3" t="s">
        <v>584</v>
      </c>
      <c r="H231" s="11">
        <f t="shared" si="6"/>
        <v>3140.24</v>
      </c>
      <c r="I231" s="9">
        <f>($K$2+0.02)*Tabla1[[#This Row],[PRECIO $]]*1.18</f>
        <v>2837.4870000000001</v>
      </c>
      <c r="J231" s="7">
        <f>+Tabla1[[#This Row],[PRECIO EN SOLES]]-Tabla1[[#This Row],[PC]]</f>
        <v>302.7529999999997</v>
      </c>
      <c r="K231" s="15"/>
      <c r="L231" s="15" t="str">
        <f t="shared" si="7"/>
        <v>GANCHO</v>
      </c>
    </row>
    <row r="232" spans="1:12" x14ac:dyDescent="0.25">
      <c r="A232" s="3" t="s">
        <v>4524</v>
      </c>
      <c r="B232" s="3" t="s">
        <v>4525</v>
      </c>
      <c r="C232" s="1">
        <v>20</v>
      </c>
      <c r="D232" s="1">
        <v>997</v>
      </c>
      <c r="E232" s="1" t="s">
        <v>557</v>
      </c>
      <c r="F232" s="1" t="s">
        <v>4526</v>
      </c>
      <c r="G232" s="3" t="s">
        <v>6738</v>
      </c>
      <c r="H232" s="11">
        <f t="shared" si="6"/>
        <v>4483.67</v>
      </c>
      <c r="I232" s="9">
        <f>($K$2+0.02)*Tabla1[[#This Row],[PRECIO $]]*1.18</f>
        <v>4058.7869999999998</v>
      </c>
      <c r="J232" s="7">
        <f>+Tabla1[[#This Row],[PRECIO EN SOLES]]-Tabla1[[#This Row],[PC]]</f>
        <v>424.88300000000027</v>
      </c>
      <c r="K232" s="15"/>
      <c r="L232" s="15" t="str">
        <f t="shared" si="7"/>
        <v>GANCHO</v>
      </c>
    </row>
    <row r="233" spans="1:12" x14ac:dyDescent="0.25">
      <c r="A233" s="3" t="s">
        <v>585</v>
      </c>
      <c r="B233" s="3" t="s">
        <v>586</v>
      </c>
      <c r="C233" s="1">
        <v>20</v>
      </c>
      <c r="D233" s="1">
        <v>774</v>
      </c>
      <c r="E233" s="1" t="s">
        <v>261</v>
      </c>
      <c r="F233" s="1" t="s">
        <v>4527</v>
      </c>
      <c r="G233" s="3" t="s">
        <v>587</v>
      </c>
      <c r="H233" s="11">
        <f t="shared" si="6"/>
        <v>3485.05</v>
      </c>
      <c r="I233" s="9">
        <f>($K$2+0.02)*Tabla1[[#This Row],[PRECIO $]]*1.18</f>
        <v>3150.9540000000002</v>
      </c>
      <c r="J233" s="7">
        <f>+Tabla1[[#This Row],[PRECIO EN SOLES]]-Tabla1[[#This Row],[PC]]</f>
        <v>334.096</v>
      </c>
      <c r="K233" s="15"/>
      <c r="L233" s="15" t="str">
        <f t="shared" si="7"/>
        <v>GANCHO</v>
      </c>
    </row>
    <row r="234" spans="1:12" x14ac:dyDescent="0.25">
      <c r="A234" s="3" t="s">
        <v>588</v>
      </c>
      <c r="B234" s="3" t="s">
        <v>589</v>
      </c>
      <c r="C234" s="1">
        <v>3</v>
      </c>
      <c r="D234" s="1">
        <v>870</v>
      </c>
      <c r="E234" s="1" t="s">
        <v>261</v>
      </c>
      <c r="F234" s="1" t="s">
        <v>4528</v>
      </c>
      <c r="G234" s="3" t="s">
        <v>587</v>
      </c>
      <c r="H234" s="11">
        <f t="shared" si="6"/>
        <v>3914.95</v>
      </c>
      <c r="I234" s="9">
        <f>($K$2+0.02)*Tabla1[[#This Row],[PRECIO $]]*1.18</f>
        <v>3541.77</v>
      </c>
      <c r="J234" s="7">
        <f>+Tabla1[[#This Row],[PRECIO EN SOLES]]-Tabla1[[#This Row],[PC]]</f>
        <v>373.17999999999984</v>
      </c>
      <c r="K234" s="15"/>
      <c r="L234" s="15" t="str">
        <f t="shared" si="7"/>
        <v>GANCHO</v>
      </c>
    </row>
    <row r="235" spans="1:12" x14ac:dyDescent="0.25">
      <c r="A235" s="3" t="s">
        <v>590</v>
      </c>
      <c r="B235" s="3" t="s">
        <v>591</v>
      </c>
      <c r="C235" s="1">
        <v>20</v>
      </c>
      <c r="D235" s="1">
        <v>794</v>
      </c>
      <c r="E235" s="1" t="s">
        <v>261</v>
      </c>
      <c r="F235" s="1" t="s">
        <v>4529</v>
      </c>
      <c r="G235" s="3" t="s">
        <v>592</v>
      </c>
      <c r="H235" s="11">
        <f t="shared" si="6"/>
        <v>3574.61</v>
      </c>
      <c r="I235" s="9">
        <f>($K$2+0.02)*Tabla1[[#This Row],[PRECIO $]]*1.18</f>
        <v>3232.3740000000003</v>
      </c>
      <c r="J235" s="7">
        <f>+Tabla1[[#This Row],[PRECIO EN SOLES]]-Tabla1[[#This Row],[PC]]</f>
        <v>342.23599999999988</v>
      </c>
      <c r="K235" s="15"/>
      <c r="L235" s="15" t="str">
        <f t="shared" si="7"/>
        <v>GANCHO</v>
      </c>
    </row>
    <row r="236" spans="1:12" x14ac:dyDescent="0.25">
      <c r="A236" s="3" t="s">
        <v>4530</v>
      </c>
      <c r="B236" s="3" t="s">
        <v>4531</v>
      </c>
      <c r="C236" s="1">
        <v>20</v>
      </c>
      <c r="D236" s="1">
        <v>728.5</v>
      </c>
      <c r="E236" s="1" t="s">
        <v>261</v>
      </c>
      <c r="F236" s="1" t="s">
        <v>4532</v>
      </c>
      <c r="G236" s="3" t="s">
        <v>4533</v>
      </c>
      <c r="H236" s="11">
        <f t="shared" si="6"/>
        <v>3281.3</v>
      </c>
      <c r="I236" s="9">
        <f>($K$2+0.02)*Tabla1[[#This Row],[PRECIO $]]*1.18</f>
        <v>2965.7235000000001</v>
      </c>
      <c r="J236" s="7">
        <f>+Tabla1[[#This Row],[PRECIO EN SOLES]]-Tabla1[[#This Row],[PC]]</f>
        <v>315.57650000000012</v>
      </c>
      <c r="K236" s="15"/>
      <c r="L236" s="15" t="str">
        <f t="shared" si="7"/>
        <v>GANCHO</v>
      </c>
    </row>
    <row r="237" spans="1:12" x14ac:dyDescent="0.25">
      <c r="A237" s="3" t="s">
        <v>593</v>
      </c>
      <c r="B237" s="3" t="s">
        <v>594</v>
      </c>
      <c r="C237" s="1">
        <v>20</v>
      </c>
      <c r="D237" s="1">
        <v>612</v>
      </c>
      <c r="E237" s="1" t="s">
        <v>261</v>
      </c>
      <c r="F237" s="1" t="s">
        <v>4534</v>
      </c>
      <c r="G237" s="3" t="s">
        <v>595</v>
      </c>
      <c r="H237" s="11">
        <f t="shared" si="6"/>
        <v>2759.6</v>
      </c>
      <c r="I237" s="9">
        <f>($K$2+0.02)*Tabla1[[#This Row],[PRECIO $]]*1.18</f>
        <v>2491.4519999999998</v>
      </c>
      <c r="J237" s="7">
        <f>+Tabla1[[#This Row],[PRECIO EN SOLES]]-Tabla1[[#This Row],[PC]]</f>
        <v>268.14800000000014</v>
      </c>
      <c r="K237" s="15"/>
      <c r="L237" s="15" t="str">
        <f t="shared" si="7"/>
        <v>GANCHO</v>
      </c>
    </row>
    <row r="238" spans="1:12" x14ac:dyDescent="0.25">
      <c r="A238" s="3" t="s">
        <v>596</v>
      </c>
      <c r="B238" s="3" t="s">
        <v>597</v>
      </c>
      <c r="C238" s="1">
        <v>20</v>
      </c>
      <c r="D238" s="1">
        <v>613.5</v>
      </c>
      <c r="E238" s="1" t="s">
        <v>261</v>
      </c>
      <c r="F238" s="1" t="s">
        <v>4535</v>
      </c>
      <c r="G238" s="3" t="s">
        <v>598</v>
      </c>
      <c r="H238" s="11">
        <f t="shared" si="6"/>
        <v>2766.31</v>
      </c>
      <c r="I238" s="9">
        <f>($K$2+0.02)*Tabla1[[#This Row],[PRECIO $]]*1.18</f>
        <v>2497.5585000000001</v>
      </c>
      <c r="J238" s="7">
        <f>+Tabla1[[#This Row],[PRECIO EN SOLES]]-Tabla1[[#This Row],[PC]]</f>
        <v>268.75149999999985</v>
      </c>
      <c r="K238" s="15"/>
      <c r="L238" s="15" t="str">
        <f t="shared" si="7"/>
        <v>GANCHO</v>
      </c>
    </row>
    <row r="239" spans="1:12" x14ac:dyDescent="0.25">
      <c r="A239" s="3" t="s">
        <v>599</v>
      </c>
      <c r="B239" s="3" t="s">
        <v>600</v>
      </c>
      <c r="C239" s="1">
        <v>20</v>
      </c>
      <c r="D239" s="1">
        <v>725</v>
      </c>
      <c r="E239" s="1" t="s">
        <v>261</v>
      </c>
      <c r="F239" s="1" t="s">
        <v>4536</v>
      </c>
      <c r="G239" s="3" t="s">
        <v>4537</v>
      </c>
      <c r="H239" s="11">
        <f t="shared" si="6"/>
        <v>3265.62</v>
      </c>
      <c r="I239" s="9">
        <f>($K$2+0.02)*Tabla1[[#This Row],[PRECIO $]]*1.18</f>
        <v>2951.4749999999999</v>
      </c>
      <c r="J239" s="7">
        <f>+Tabla1[[#This Row],[PRECIO EN SOLES]]-Tabla1[[#This Row],[PC]]</f>
        <v>314.14499999999998</v>
      </c>
      <c r="K239" s="15"/>
      <c r="L239" s="15" t="str">
        <f t="shared" si="7"/>
        <v>GANCHO</v>
      </c>
    </row>
    <row r="240" spans="1:12" x14ac:dyDescent="0.25">
      <c r="A240" s="3" t="s">
        <v>601</v>
      </c>
      <c r="B240" s="3" t="s">
        <v>602</v>
      </c>
      <c r="C240" s="1">
        <v>13</v>
      </c>
      <c r="D240" s="1">
        <v>732</v>
      </c>
      <c r="E240" s="1" t="s">
        <v>261</v>
      </c>
      <c r="F240" s="1" t="s">
        <v>4538</v>
      </c>
      <c r="G240" s="3" t="s">
        <v>603</v>
      </c>
      <c r="H240" s="11">
        <f t="shared" si="6"/>
        <v>3296.97</v>
      </c>
      <c r="I240" s="9">
        <f>($K$2+0.02)*Tabla1[[#This Row],[PRECIO $]]*1.18</f>
        <v>2979.9719999999998</v>
      </c>
      <c r="J240" s="7">
        <f>+Tabla1[[#This Row],[PRECIO EN SOLES]]-Tabla1[[#This Row],[PC]]</f>
        <v>316.99800000000005</v>
      </c>
      <c r="K240" s="15"/>
      <c r="L240" s="15" t="str">
        <f t="shared" si="7"/>
        <v>GANCHO</v>
      </c>
    </row>
    <row r="241" spans="1:12" x14ac:dyDescent="0.25">
      <c r="A241" s="3" t="s">
        <v>604</v>
      </c>
      <c r="B241" s="3" t="s">
        <v>605</v>
      </c>
      <c r="C241" s="1">
        <v>1</v>
      </c>
      <c r="D241" s="1">
        <v>965</v>
      </c>
      <c r="E241" s="1" t="s">
        <v>606</v>
      </c>
      <c r="F241" s="1" t="s">
        <v>4539</v>
      </c>
      <c r="G241" s="3" t="s">
        <v>607</v>
      </c>
      <c r="H241" s="11">
        <f t="shared" si="6"/>
        <v>4340.37</v>
      </c>
      <c r="I241" s="9">
        <f>($K$2+0.02)*Tabla1[[#This Row],[PRECIO $]]*1.18</f>
        <v>3928.5149999999999</v>
      </c>
      <c r="J241" s="7">
        <f>+Tabla1[[#This Row],[PRECIO EN SOLES]]-Tabla1[[#This Row],[PC]]</f>
        <v>411.85500000000002</v>
      </c>
      <c r="K241" s="15"/>
      <c r="L241" s="15" t="str">
        <f t="shared" si="7"/>
        <v>GANCHO</v>
      </c>
    </row>
    <row r="242" spans="1:12" x14ac:dyDescent="0.25">
      <c r="A242" s="3" t="s">
        <v>608</v>
      </c>
      <c r="B242" s="3" t="s">
        <v>609</v>
      </c>
      <c r="C242" s="1">
        <v>20</v>
      </c>
      <c r="D242" s="1">
        <v>1145</v>
      </c>
      <c r="E242" s="1" t="s">
        <v>142</v>
      </c>
      <c r="F242" s="1" t="s">
        <v>4540</v>
      </c>
      <c r="G242" s="3" t="s">
        <v>610</v>
      </c>
      <c r="H242" s="11">
        <f t="shared" si="6"/>
        <v>5146.42</v>
      </c>
      <c r="I242" s="9">
        <f>($K$2+0.02)*Tabla1[[#This Row],[PRECIO $]]*1.18</f>
        <v>4661.2950000000001</v>
      </c>
      <c r="J242" s="7">
        <f>+Tabla1[[#This Row],[PRECIO EN SOLES]]-Tabla1[[#This Row],[PC]]</f>
        <v>485.125</v>
      </c>
      <c r="K242" s="15"/>
      <c r="L242" s="15" t="str">
        <f t="shared" si="7"/>
        <v>GANCHO</v>
      </c>
    </row>
    <row r="243" spans="1:12" x14ac:dyDescent="0.25">
      <c r="A243" s="3" t="s">
        <v>611</v>
      </c>
      <c r="B243" s="3" t="s">
        <v>612</v>
      </c>
      <c r="C243" s="1">
        <v>7</v>
      </c>
      <c r="D243" s="1">
        <v>337</v>
      </c>
      <c r="E243" s="1" t="s">
        <v>131</v>
      </c>
      <c r="F243" s="1" t="s">
        <v>4541</v>
      </c>
      <c r="G243" s="3" t="s">
        <v>613</v>
      </c>
      <c r="H243" s="11">
        <f t="shared" si="6"/>
        <v>1528.12</v>
      </c>
      <c r="I243" s="9">
        <f>($K$2+0.02)*Tabla1[[#This Row],[PRECIO $]]*1.18</f>
        <v>1371.9270000000001</v>
      </c>
      <c r="J243" s="7">
        <f>+Tabla1[[#This Row],[PRECIO EN SOLES]]-Tabla1[[#This Row],[PC]]</f>
        <v>156.19299999999976</v>
      </c>
      <c r="K243" s="15"/>
      <c r="L243" s="15" t="str">
        <f t="shared" si="7"/>
        <v>GANCHO</v>
      </c>
    </row>
    <row r="244" spans="1:12" x14ac:dyDescent="0.25">
      <c r="A244" s="3" t="s">
        <v>614</v>
      </c>
      <c r="B244" s="3" t="s">
        <v>615</v>
      </c>
      <c r="C244" s="1">
        <v>5</v>
      </c>
      <c r="D244" s="1">
        <v>427</v>
      </c>
      <c r="E244" s="1" t="s">
        <v>131</v>
      </c>
      <c r="F244" s="1" t="s">
        <v>4542</v>
      </c>
      <c r="G244" s="3" t="s">
        <v>616</v>
      </c>
      <c r="H244" s="11">
        <f t="shared" si="6"/>
        <v>1931.15</v>
      </c>
      <c r="I244" s="9">
        <f>($K$2+0.02)*Tabla1[[#This Row],[PRECIO $]]*1.18</f>
        <v>1738.317</v>
      </c>
      <c r="J244" s="7">
        <f>+Tabla1[[#This Row],[PRECIO EN SOLES]]-Tabla1[[#This Row],[PC]]</f>
        <v>192.83300000000008</v>
      </c>
      <c r="K244" s="15"/>
      <c r="L244" s="15" t="str">
        <f t="shared" si="7"/>
        <v>GANCHO</v>
      </c>
    </row>
    <row r="245" spans="1:12" x14ac:dyDescent="0.25">
      <c r="A245" s="3" t="s">
        <v>617</v>
      </c>
      <c r="B245" s="3" t="s">
        <v>618</v>
      </c>
      <c r="C245" s="1">
        <v>2</v>
      </c>
      <c r="D245" s="1">
        <v>997</v>
      </c>
      <c r="E245" s="1" t="s">
        <v>131</v>
      </c>
      <c r="F245" s="1" t="s">
        <v>4543</v>
      </c>
      <c r="G245" s="3" t="s">
        <v>4544</v>
      </c>
      <c r="H245" s="11">
        <f t="shared" si="6"/>
        <v>4483.67</v>
      </c>
      <c r="I245" s="9">
        <f>($K$2+0.02)*Tabla1[[#This Row],[PRECIO $]]*1.18</f>
        <v>4058.7869999999998</v>
      </c>
      <c r="J245" s="7">
        <f>+Tabla1[[#This Row],[PRECIO EN SOLES]]-Tabla1[[#This Row],[PC]]</f>
        <v>424.88300000000027</v>
      </c>
      <c r="K245" s="15"/>
      <c r="L245" s="15" t="str">
        <f t="shared" si="7"/>
        <v>GANCHO</v>
      </c>
    </row>
    <row r="246" spans="1:12" x14ac:dyDescent="0.25">
      <c r="A246" s="3" t="s">
        <v>619</v>
      </c>
      <c r="B246" s="3" t="s">
        <v>620</v>
      </c>
      <c r="C246" s="1">
        <v>20</v>
      </c>
      <c r="D246" s="1">
        <v>897</v>
      </c>
      <c r="E246" s="1" t="s">
        <v>142</v>
      </c>
      <c r="F246" s="1" t="s">
        <v>4545</v>
      </c>
      <c r="G246" s="3" t="s">
        <v>621</v>
      </c>
      <c r="H246" s="11">
        <f t="shared" si="6"/>
        <v>4035.86</v>
      </c>
      <c r="I246" s="9">
        <f>($K$2+0.02)*Tabla1[[#This Row],[PRECIO $]]*1.18</f>
        <v>3651.6869999999999</v>
      </c>
      <c r="J246" s="7">
        <f>+Tabla1[[#This Row],[PRECIO EN SOLES]]-Tabla1[[#This Row],[PC]]</f>
        <v>384.17300000000023</v>
      </c>
      <c r="K246" s="15"/>
      <c r="L246" s="15" t="str">
        <f t="shared" si="7"/>
        <v>GANCHO</v>
      </c>
    </row>
    <row r="247" spans="1:12" x14ac:dyDescent="0.25">
      <c r="A247" s="3" t="s">
        <v>6739</v>
      </c>
      <c r="B247" s="3" t="s">
        <v>6740</v>
      </c>
      <c r="C247" s="1">
        <v>20</v>
      </c>
      <c r="D247" s="1">
        <v>641</v>
      </c>
      <c r="E247" s="1" t="s">
        <v>261</v>
      </c>
      <c r="F247" s="1" t="s">
        <v>6741</v>
      </c>
      <c r="G247" s="3"/>
      <c r="H247" s="11">
        <f t="shared" si="6"/>
        <v>2889.46</v>
      </c>
      <c r="I247" s="9">
        <f>($K$2+0.02)*Tabla1[[#This Row],[PRECIO $]]*1.18</f>
        <v>2609.511</v>
      </c>
      <c r="J247" s="7">
        <f>+Tabla1[[#This Row],[PRECIO EN SOLES]]-Tabla1[[#This Row],[PC]]</f>
        <v>279.94900000000007</v>
      </c>
      <c r="K247" s="15"/>
      <c r="L247" s="15" t="str">
        <f t="shared" si="7"/>
        <v>GANCHO</v>
      </c>
    </row>
    <row r="248" spans="1:12" x14ac:dyDescent="0.25">
      <c r="A248" s="3" t="s">
        <v>622</v>
      </c>
      <c r="B248" s="3" t="s">
        <v>623</v>
      </c>
      <c r="C248" s="1">
        <v>1</v>
      </c>
      <c r="D248" s="1">
        <v>429</v>
      </c>
      <c r="E248" s="1" t="s">
        <v>131</v>
      </c>
      <c r="F248" s="1" t="s">
        <v>4546</v>
      </c>
      <c r="G248" s="3" t="s">
        <v>4547</v>
      </c>
      <c r="H248" s="11">
        <f t="shared" si="6"/>
        <v>1940.1</v>
      </c>
      <c r="I248" s="9">
        <f>($K$2+0.02)*Tabla1[[#This Row],[PRECIO $]]*1.18</f>
        <v>1746.4590000000001</v>
      </c>
      <c r="J248" s="7">
        <f>+Tabla1[[#This Row],[PRECIO EN SOLES]]-Tabla1[[#This Row],[PC]]</f>
        <v>193.64099999999985</v>
      </c>
      <c r="K248" s="15"/>
      <c r="L248" s="15" t="str">
        <f t="shared" si="7"/>
        <v>GANCHO</v>
      </c>
    </row>
    <row r="249" spans="1:12" x14ac:dyDescent="0.25">
      <c r="A249" s="3" t="s">
        <v>624</v>
      </c>
      <c r="B249" s="3" t="s">
        <v>625</v>
      </c>
      <c r="C249" s="1">
        <v>11</v>
      </c>
      <c r="D249" s="1">
        <v>527</v>
      </c>
      <c r="E249" s="1" t="s">
        <v>131</v>
      </c>
      <c r="F249" s="1" t="s">
        <v>4548</v>
      </c>
      <c r="G249" s="3" t="s">
        <v>626</v>
      </c>
      <c r="H249" s="11">
        <f t="shared" si="6"/>
        <v>2378.96</v>
      </c>
      <c r="I249" s="9">
        <f>($K$2+0.02)*Tabla1[[#This Row],[PRECIO $]]*1.18</f>
        <v>2145.4169999999999</v>
      </c>
      <c r="J249" s="7">
        <f>+Tabla1[[#This Row],[PRECIO EN SOLES]]-Tabla1[[#This Row],[PC]]</f>
        <v>233.54300000000012</v>
      </c>
      <c r="K249" s="15"/>
      <c r="L249" s="15" t="str">
        <f t="shared" si="7"/>
        <v>GANCHO</v>
      </c>
    </row>
    <row r="250" spans="1:12" x14ac:dyDescent="0.25">
      <c r="A250" s="3" t="s">
        <v>6742</v>
      </c>
      <c r="B250" s="3" t="s">
        <v>6743</v>
      </c>
      <c r="C250" s="1">
        <v>0</v>
      </c>
      <c r="D250" s="1">
        <v>999</v>
      </c>
      <c r="E250" s="1" t="s">
        <v>131</v>
      </c>
      <c r="F250" s="1" t="s">
        <v>6744</v>
      </c>
      <c r="G250" s="3"/>
      <c r="H250" s="11">
        <f t="shared" si="6"/>
        <v>4492.62</v>
      </c>
      <c r="I250" s="9">
        <f>($K$2+0.02)*Tabla1[[#This Row],[PRECIO $]]*1.18</f>
        <v>4066.9290000000001</v>
      </c>
      <c r="J250" s="7">
        <f>+Tabla1[[#This Row],[PRECIO EN SOLES]]-Tabla1[[#This Row],[PC]]</f>
        <v>425.6909999999998</v>
      </c>
      <c r="K250" s="15"/>
      <c r="L250" s="15" t="str">
        <f t="shared" si="7"/>
        <v>GANCHO</v>
      </c>
    </row>
    <row r="251" spans="1:12" x14ac:dyDescent="0.25">
      <c r="A251" s="3" t="s">
        <v>627</v>
      </c>
      <c r="B251" s="3" t="s">
        <v>628</v>
      </c>
      <c r="C251" s="1">
        <v>3</v>
      </c>
      <c r="D251" s="1">
        <v>597</v>
      </c>
      <c r="E251" s="1" t="s">
        <v>131</v>
      </c>
      <c r="F251" s="1" t="s">
        <v>4549</v>
      </c>
      <c r="G251" s="3" t="s">
        <v>4550</v>
      </c>
      <c r="H251" s="11">
        <f t="shared" si="6"/>
        <v>2692.43</v>
      </c>
      <c r="I251" s="9">
        <f>($K$2+0.02)*Tabla1[[#This Row],[PRECIO $]]*1.18</f>
        <v>2430.3870000000002</v>
      </c>
      <c r="J251" s="7">
        <f>+Tabla1[[#This Row],[PRECIO EN SOLES]]-Tabla1[[#This Row],[PC]]</f>
        <v>262.04299999999967</v>
      </c>
      <c r="K251" s="15"/>
      <c r="L251" s="15" t="str">
        <f t="shared" si="7"/>
        <v>GANCHO</v>
      </c>
    </row>
    <row r="252" spans="1:12" x14ac:dyDescent="0.25">
      <c r="A252" s="3" t="s">
        <v>6745</v>
      </c>
      <c r="B252" s="3" t="s">
        <v>6746</v>
      </c>
      <c r="C252" s="1">
        <v>0</v>
      </c>
      <c r="D252" s="1">
        <v>1050</v>
      </c>
      <c r="E252" s="1" t="s">
        <v>131</v>
      </c>
      <c r="F252" s="1" t="s">
        <v>6747</v>
      </c>
      <c r="G252" s="3"/>
      <c r="H252" s="11">
        <f t="shared" si="6"/>
        <v>4721.01</v>
      </c>
      <c r="I252" s="9">
        <f>($K$2+0.02)*Tabla1[[#This Row],[PRECIO $]]*1.18</f>
        <v>4274.55</v>
      </c>
      <c r="J252" s="7">
        <f>+Tabla1[[#This Row],[PRECIO EN SOLES]]-Tabla1[[#This Row],[PC]]</f>
        <v>446.46000000000004</v>
      </c>
      <c r="K252" s="15"/>
      <c r="L252" s="15" t="str">
        <f t="shared" si="7"/>
        <v>GANCHO</v>
      </c>
    </row>
    <row r="253" spans="1:12" x14ac:dyDescent="0.25">
      <c r="A253" s="3" t="s">
        <v>6748</v>
      </c>
      <c r="B253" s="3" t="s">
        <v>6749</v>
      </c>
      <c r="C253" s="1">
        <v>0</v>
      </c>
      <c r="D253" s="1">
        <v>1398</v>
      </c>
      <c r="E253" s="1" t="s">
        <v>131</v>
      </c>
      <c r="F253" s="1" t="s">
        <v>6750</v>
      </c>
      <c r="G253" s="3"/>
      <c r="H253" s="11">
        <f t="shared" si="6"/>
        <v>6279.38</v>
      </c>
      <c r="I253" s="9">
        <f>($K$2+0.02)*Tabla1[[#This Row],[PRECIO $]]*1.18</f>
        <v>5691.2579999999998</v>
      </c>
      <c r="J253" s="7">
        <f>+Tabla1[[#This Row],[PRECIO EN SOLES]]-Tabla1[[#This Row],[PC]]</f>
        <v>588.1220000000003</v>
      </c>
      <c r="K253" s="15"/>
      <c r="L253" s="15" t="str">
        <f t="shared" si="7"/>
        <v>GANCHO</v>
      </c>
    </row>
    <row r="254" spans="1:12" x14ac:dyDescent="0.25">
      <c r="A254" s="3" t="s">
        <v>629</v>
      </c>
      <c r="B254" s="3" t="s">
        <v>630</v>
      </c>
      <c r="C254" s="1">
        <v>7</v>
      </c>
      <c r="D254" s="1">
        <v>1287</v>
      </c>
      <c r="E254" s="1" t="s">
        <v>261</v>
      </c>
      <c r="F254" s="1" t="s">
        <v>4551</v>
      </c>
      <c r="G254" s="3" t="s">
        <v>631</v>
      </c>
      <c r="H254" s="11">
        <f t="shared" si="6"/>
        <v>5782.31</v>
      </c>
      <c r="I254" s="9">
        <f>($K$2+0.02)*Tabla1[[#This Row],[PRECIO $]]*1.18</f>
        <v>5239.3770000000004</v>
      </c>
      <c r="J254" s="7">
        <f>+Tabla1[[#This Row],[PRECIO EN SOLES]]-Tabla1[[#This Row],[PC]]</f>
        <v>542.93299999999999</v>
      </c>
      <c r="K254" s="15"/>
      <c r="L254" s="15" t="str">
        <f t="shared" si="7"/>
        <v>GANCHO</v>
      </c>
    </row>
    <row r="255" spans="1:12" x14ac:dyDescent="0.25">
      <c r="A255" s="3" t="s">
        <v>6751</v>
      </c>
      <c r="B255" s="3" t="s">
        <v>6752</v>
      </c>
      <c r="C255" s="1">
        <v>20</v>
      </c>
      <c r="D255" s="1">
        <v>819</v>
      </c>
      <c r="E255" s="1" t="s">
        <v>269</v>
      </c>
      <c r="F255" s="1" t="s">
        <v>6753</v>
      </c>
      <c r="G255" s="3"/>
      <c r="H255" s="11">
        <f t="shared" si="6"/>
        <v>3686.56</v>
      </c>
      <c r="I255" s="9">
        <f>($K$2+0.02)*Tabla1[[#This Row],[PRECIO $]]*1.18</f>
        <v>3334.1489999999999</v>
      </c>
      <c r="J255" s="7">
        <f>+Tabla1[[#This Row],[PRECIO EN SOLES]]-Tabla1[[#This Row],[PC]]</f>
        <v>352.41100000000006</v>
      </c>
      <c r="K255" s="15"/>
      <c r="L255" s="15" t="str">
        <f t="shared" si="7"/>
        <v>GANCHO</v>
      </c>
    </row>
    <row r="256" spans="1:12" x14ac:dyDescent="0.25">
      <c r="A256" s="3" t="s">
        <v>6754</v>
      </c>
      <c r="B256" s="3" t="s">
        <v>6755</v>
      </c>
      <c r="C256" s="1">
        <v>20</v>
      </c>
      <c r="D256" s="1">
        <v>963</v>
      </c>
      <c r="E256" s="1" t="s">
        <v>269</v>
      </c>
      <c r="F256" s="1" t="s">
        <v>6756</v>
      </c>
      <c r="G256" s="3"/>
      <c r="H256" s="11">
        <f t="shared" si="6"/>
        <v>4331.41</v>
      </c>
      <c r="I256" s="9">
        <f>($K$2+0.02)*Tabla1[[#This Row],[PRECIO $]]*1.18</f>
        <v>3920.373</v>
      </c>
      <c r="J256" s="7">
        <f>+Tabla1[[#This Row],[PRECIO EN SOLES]]-Tabla1[[#This Row],[PC]]</f>
        <v>411.03699999999981</v>
      </c>
      <c r="K256" s="15"/>
      <c r="L256" s="15" t="str">
        <f t="shared" si="7"/>
        <v>GANCHO</v>
      </c>
    </row>
    <row r="257" spans="1:12" x14ac:dyDescent="0.25">
      <c r="A257" s="3" t="s">
        <v>6757</v>
      </c>
      <c r="B257" s="3" t="s">
        <v>6758</v>
      </c>
      <c r="C257" s="1">
        <v>20</v>
      </c>
      <c r="D257" s="1">
        <v>693</v>
      </c>
      <c r="E257" s="1" t="s">
        <v>269</v>
      </c>
      <c r="F257" s="1" t="s">
        <v>6759</v>
      </c>
      <c r="G257" s="3"/>
      <c r="H257" s="11">
        <f t="shared" si="6"/>
        <v>3122.32</v>
      </c>
      <c r="I257" s="9">
        <f>($K$2+0.02)*Tabla1[[#This Row],[PRECIO $]]*1.18</f>
        <v>2821.2029999999995</v>
      </c>
      <c r="J257" s="7">
        <f>+Tabla1[[#This Row],[PRECIO EN SOLES]]-Tabla1[[#This Row],[PC]]</f>
        <v>301.11700000000064</v>
      </c>
      <c r="K257" s="15"/>
      <c r="L257" s="15" t="str">
        <f t="shared" si="7"/>
        <v>GANCHO</v>
      </c>
    </row>
    <row r="258" spans="1:12" x14ac:dyDescent="0.25">
      <c r="A258" s="3" t="s">
        <v>632</v>
      </c>
      <c r="B258" s="3" t="s">
        <v>633</v>
      </c>
      <c r="C258" s="1">
        <v>9</v>
      </c>
      <c r="D258" s="1">
        <v>987</v>
      </c>
      <c r="E258" s="1" t="s">
        <v>122</v>
      </c>
      <c r="F258" s="1" t="s">
        <v>4552</v>
      </c>
      <c r="G258" s="3" t="s">
        <v>634</v>
      </c>
      <c r="H258" s="11">
        <f t="shared" ref="H258:H321" si="8">ROUND(
IF(L258="GANCHO",
   IF(I258&lt;=50,I258*1.1+4,IF(I258&lt;=120,I258*1.1+7,IF(I258&lt;=250,I258*1.1+11,I258*1.1+19))),
IF(L258="NORMAL",
   IF(I258&lt;=30,I258*1.15+2,IF(I258&lt;=80,I258*1.15+4,IF(I258&lt;=150,I258*1.15+6,I258*1.15+8))),
IF(L258="COMPLEMENTO",
   IF(I258&lt;=25,I258*1.25+1.5,IF(I258&lt;=60,I258*1.25+3,IF(I258&lt;=120,I258*1.25+4,I258*1.25+5))),
""))),2)</f>
        <v>4438.88</v>
      </c>
      <c r="I258" s="9">
        <f>($K$2+0.02)*Tabla1[[#This Row],[PRECIO $]]*1.18</f>
        <v>4018.0769999999998</v>
      </c>
      <c r="J258" s="7">
        <f>+Tabla1[[#This Row],[PRECIO EN SOLES]]-Tabla1[[#This Row],[PC]]</f>
        <v>420.80300000000034</v>
      </c>
      <c r="K258" s="15"/>
      <c r="L258" s="15" t="str">
        <f t="shared" si="7"/>
        <v>GANCHO</v>
      </c>
    </row>
    <row r="259" spans="1:12" x14ac:dyDescent="0.25">
      <c r="A259" s="3" t="s">
        <v>4553</v>
      </c>
      <c r="B259" s="3" t="s">
        <v>4554</v>
      </c>
      <c r="C259" s="1">
        <v>10</v>
      </c>
      <c r="D259" s="1">
        <v>1197</v>
      </c>
      <c r="E259" s="1" t="s">
        <v>131</v>
      </c>
      <c r="F259" s="1" t="s">
        <v>4555</v>
      </c>
      <c r="G259" s="3" t="s">
        <v>4556</v>
      </c>
      <c r="H259" s="11">
        <f t="shared" si="8"/>
        <v>5379.29</v>
      </c>
      <c r="I259" s="9">
        <f>($K$2+0.02)*Tabla1[[#This Row],[PRECIO $]]*1.18</f>
        <v>4872.9870000000001</v>
      </c>
      <c r="J259" s="7">
        <f>+Tabla1[[#This Row],[PRECIO EN SOLES]]-Tabla1[[#This Row],[PC]]</f>
        <v>506.30299999999988</v>
      </c>
      <c r="K259" s="15"/>
      <c r="L259" s="15" t="str">
        <f t="shared" ref="L259:L322" si="9">IF(
OR(
ISNUMBER(SEARCH("BACKPACK",B259)),
ISNUMBER(SEARCH("MOCHILA",B259)),
ISNUMBER(SEARCH("FUNDA",B259)),
ISNUMBER(SEARCH("ESTUCHE",B259)),
ISNUMBER(SEARCH("BOOK COVER",B259)),
ISNUMBER(SEARCH("KEYBOARD PARA TABLET",B259)),
ISNUMBER(SEARCH("FLIP TABLET",B259)),
ISNUMBER(SEARCH("CASE FOR TABLET",B259)),
ISNUMBER(SEARCH("CABLE",B259)),
ISNUMBER(SEARCH("ADAPTADOR",B259)),
ISNUMBER(SEARCH("HUB",B259)),
ISNUMBER(SEARCH("DOCK",B259)),
ISNUMBER(SEARCH("MOUSE PAD",B259)),
ISNUMBER(SEARCH("MOUSEPAD",B259)),
ISNUMBER(SEARCH("SOPORTE",B259)),
ISNUMBER(SEARCH("STAND",B259)),
ISNUMBER(SEARCH("TRAVEL ADAPTER",B259)),
ISNUMBER(SEARCH("RJ45",B259)),
ISNUMBER(SEARCH("USB-C",B259)),
ISNUMBER(SEARCH("USB WIFI",B259)),
ISNUMBER(SEARCH("POWERBANK",B259)),
ISNUMBER(SEARCH("CARGADOR",B259)),
ISNUMBER(SEARCH("COOLER PARA NB",B259)),
ISNUMBER(SEARCH("SOPORTE PARA NB",B259)),
ISNUMBER(SEARCH("WEBCAM",B259)),
ISNUMBER(SEARCH("WEB CAM",B259)),
ISNUMBER(SEARCH("MOUSE",B259)),
ISNUMBER(SEARCH("TECLADO",B259))
),
"COMPLEMENTO",
IF(
OR(
LEFT(A259,2)="NB",
LEFT(A259,2)="PC",
LEFT(A259,2)="WS",
LEFT(A259,2)="TB",
LEFT(A259,3)="CEL",
LEFT(A259,3)="MON",
LEFT(A259,3)="PRE",
LEFT(A259,3)="PRH",
ISNUMBER(SEARCH("NOTEBOOK",B259)),
ISNUMBER(SEARCH("LAPTOP",B259)),
ISNUMBER(SEARCH("MONITOR",B259)),
ISNUMBER(SEARCH("TABLET",B259)),
ISNUMBER(SEARCH("SMARTPH",B259)),
ISNUMBER(SEARCH("IMPRESORA",B259)),
ISNUMBER(SEARCH("MULTIFUNCIONAL",B259)),
ISNUMBER(SEARCH("AIO",B259))
),
"GANCHO",
"NORMAL"
)
)</f>
        <v>GANCHO</v>
      </c>
    </row>
    <row r="260" spans="1:12" x14ac:dyDescent="0.25">
      <c r="A260" s="3" t="s">
        <v>635</v>
      </c>
      <c r="B260" s="3" t="s">
        <v>636</v>
      </c>
      <c r="C260" s="1">
        <v>20</v>
      </c>
      <c r="D260" s="1">
        <v>1080</v>
      </c>
      <c r="E260" s="1" t="s">
        <v>557</v>
      </c>
      <c r="F260" s="1" t="s">
        <v>4557</v>
      </c>
      <c r="G260" s="3" t="s">
        <v>637</v>
      </c>
      <c r="H260" s="11">
        <f t="shared" si="8"/>
        <v>4855.3500000000004</v>
      </c>
      <c r="I260" s="9">
        <f>($K$2+0.02)*Tabla1[[#This Row],[PRECIO $]]*1.18</f>
        <v>4396.6799999999994</v>
      </c>
      <c r="J260" s="7">
        <f>+Tabla1[[#This Row],[PRECIO EN SOLES]]-Tabla1[[#This Row],[PC]]</f>
        <v>458.67000000000098</v>
      </c>
      <c r="K260" s="15"/>
      <c r="L260" s="15" t="str">
        <f t="shared" si="9"/>
        <v>GANCHO</v>
      </c>
    </row>
    <row r="261" spans="1:12" x14ac:dyDescent="0.25">
      <c r="A261" s="3" t="s">
        <v>4558</v>
      </c>
      <c r="B261" s="3" t="s">
        <v>4559</v>
      </c>
      <c r="C261" s="1">
        <v>20</v>
      </c>
      <c r="D261" s="1">
        <v>1085</v>
      </c>
      <c r="E261" s="1" t="s">
        <v>142</v>
      </c>
      <c r="F261" s="1" t="s">
        <v>4560</v>
      </c>
      <c r="G261" s="3" t="s">
        <v>4561</v>
      </c>
      <c r="H261" s="11">
        <f t="shared" si="8"/>
        <v>4877.74</v>
      </c>
      <c r="I261" s="9">
        <f>($K$2+0.02)*Tabla1[[#This Row],[PRECIO $]]*1.18</f>
        <v>4417.0349999999999</v>
      </c>
      <c r="J261" s="7">
        <f>+Tabla1[[#This Row],[PRECIO EN SOLES]]-Tabla1[[#This Row],[PC]]</f>
        <v>460.70499999999993</v>
      </c>
      <c r="K261" s="15"/>
      <c r="L261" s="15" t="str">
        <f t="shared" si="9"/>
        <v>GANCHO</v>
      </c>
    </row>
    <row r="262" spans="1:12" x14ac:dyDescent="0.25">
      <c r="A262" s="3" t="s">
        <v>638</v>
      </c>
      <c r="B262" s="3" t="s">
        <v>639</v>
      </c>
      <c r="C262" s="1">
        <v>14</v>
      </c>
      <c r="D262" s="1">
        <v>1185</v>
      </c>
      <c r="E262" s="1" t="s">
        <v>142</v>
      </c>
      <c r="F262" s="1" t="s">
        <v>4562</v>
      </c>
      <c r="G262" s="3" t="s">
        <v>640</v>
      </c>
      <c r="H262" s="11">
        <f t="shared" si="8"/>
        <v>5325.55</v>
      </c>
      <c r="I262" s="9">
        <f>($K$2+0.02)*Tabla1[[#This Row],[PRECIO $]]*1.18</f>
        <v>4824.1349999999993</v>
      </c>
      <c r="J262" s="7">
        <f>+Tabla1[[#This Row],[PRECIO EN SOLES]]-Tabla1[[#This Row],[PC]]</f>
        <v>501.41500000000087</v>
      </c>
      <c r="K262" s="15"/>
      <c r="L262" s="15" t="str">
        <f t="shared" si="9"/>
        <v>GANCHO</v>
      </c>
    </row>
    <row r="263" spans="1:12" x14ac:dyDescent="0.25">
      <c r="A263" s="3" t="s">
        <v>6760</v>
      </c>
      <c r="B263" s="3" t="s">
        <v>6761</v>
      </c>
      <c r="C263" s="1">
        <v>20</v>
      </c>
      <c r="D263" s="1">
        <v>1452</v>
      </c>
      <c r="E263" s="1" t="s">
        <v>269</v>
      </c>
      <c r="F263" s="1" t="s">
        <v>6762</v>
      </c>
      <c r="G263" s="3" t="s">
        <v>6763</v>
      </c>
      <c r="H263" s="11">
        <f t="shared" si="8"/>
        <v>6521.2</v>
      </c>
      <c r="I263" s="9">
        <f>($K$2+0.02)*Tabla1[[#This Row],[PRECIO $]]*1.18</f>
        <v>5911.0920000000006</v>
      </c>
      <c r="J263" s="7">
        <f>+Tabla1[[#This Row],[PRECIO EN SOLES]]-Tabla1[[#This Row],[PC]]</f>
        <v>610.10799999999927</v>
      </c>
      <c r="K263" s="15"/>
      <c r="L263" s="15" t="str">
        <f t="shared" si="9"/>
        <v>GANCHO</v>
      </c>
    </row>
    <row r="264" spans="1:12" x14ac:dyDescent="0.25">
      <c r="A264" s="3" t="s">
        <v>641</v>
      </c>
      <c r="B264" s="3" t="s">
        <v>642</v>
      </c>
      <c r="C264" s="1">
        <v>20</v>
      </c>
      <c r="D264" s="1">
        <v>1184</v>
      </c>
      <c r="E264" s="1" t="s">
        <v>269</v>
      </c>
      <c r="F264" s="1" t="s">
        <v>4563</v>
      </c>
      <c r="G264" s="3" t="s">
        <v>643</v>
      </c>
      <c r="H264" s="11">
        <f t="shared" si="8"/>
        <v>5321.07</v>
      </c>
      <c r="I264" s="9">
        <f>($K$2+0.02)*Tabla1[[#This Row],[PRECIO $]]*1.18</f>
        <v>4820.0640000000003</v>
      </c>
      <c r="J264" s="7">
        <f>+Tabla1[[#This Row],[PRECIO EN SOLES]]-Tabla1[[#This Row],[PC]]</f>
        <v>501.0059999999994</v>
      </c>
      <c r="K264" s="15"/>
      <c r="L264" s="15" t="str">
        <f t="shared" si="9"/>
        <v>GANCHO</v>
      </c>
    </row>
    <row r="265" spans="1:12" x14ac:dyDescent="0.25">
      <c r="A265" s="3" t="s">
        <v>645</v>
      </c>
      <c r="B265" s="3" t="s">
        <v>646</v>
      </c>
      <c r="C265" s="1">
        <v>20</v>
      </c>
      <c r="D265" s="1">
        <v>1363</v>
      </c>
      <c r="E265" s="1" t="s">
        <v>269</v>
      </c>
      <c r="F265" s="1" t="s">
        <v>4564</v>
      </c>
      <c r="G265" s="3" t="s">
        <v>644</v>
      </c>
      <c r="H265" s="11">
        <f t="shared" si="8"/>
        <v>6122.65</v>
      </c>
      <c r="I265" s="9">
        <f>($K$2+0.02)*Tabla1[[#This Row],[PRECIO $]]*1.18</f>
        <v>5548.7730000000001</v>
      </c>
      <c r="J265" s="7">
        <f>+Tabla1[[#This Row],[PRECIO EN SOLES]]-Tabla1[[#This Row],[PC]]</f>
        <v>573.8769999999995</v>
      </c>
      <c r="K265" s="15"/>
      <c r="L265" s="15" t="str">
        <f t="shared" si="9"/>
        <v>GANCHO</v>
      </c>
    </row>
    <row r="266" spans="1:12" x14ac:dyDescent="0.25">
      <c r="A266" s="3" t="s">
        <v>4565</v>
      </c>
      <c r="B266" s="3" t="s">
        <v>4566</v>
      </c>
      <c r="C266" s="1">
        <v>2</v>
      </c>
      <c r="D266" s="1">
        <v>1587</v>
      </c>
      <c r="E266" s="1" t="s">
        <v>131</v>
      </c>
      <c r="F266" s="1" t="s">
        <v>4567</v>
      </c>
      <c r="G266" s="3" t="s">
        <v>4568</v>
      </c>
      <c r="H266" s="11">
        <f t="shared" si="8"/>
        <v>7125.74</v>
      </c>
      <c r="I266" s="9">
        <f>($K$2+0.02)*Tabla1[[#This Row],[PRECIO $]]*1.18</f>
        <v>6460.6770000000006</v>
      </c>
      <c r="J266" s="7">
        <f>+Tabla1[[#This Row],[PRECIO EN SOLES]]-Tabla1[[#This Row],[PC]]</f>
        <v>665.06299999999919</v>
      </c>
      <c r="K266" s="15"/>
      <c r="L266" s="15" t="str">
        <f t="shared" si="9"/>
        <v>GANCHO</v>
      </c>
    </row>
    <row r="267" spans="1:12" x14ac:dyDescent="0.25">
      <c r="A267" s="3" t="s">
        <v>647</v>
      </c>
      <c r="B267" s="3" t="s">
        <v>648</v>
      </c>
      <c r="C267" s="1">
        <v>0</v>
      </c>
      <c r="D267" s="1">
        <v>1442</v>
      </c>
      <c r="E267" s="1" t="s">
        <v>142</v>
      </c>
      <c r="F267" s="1" t="s">
        <v>4569</v>
      </c>
      <c r="G267" s="3" t="s">
        <v>649</v>
      </c>
      <c r="H267" s="11">
        <f t="shared" si="8"/>
        <v>6476.42</v>
      </c>
      <c r="I267" s="9">
        <f>($K$2+0.02)*Tabla1[[#This Row],[PRECIO $]]*1.18</f>
        <v>5870.3820000000005</v>
      </c>
      <c r="J267" s="7">
        <f>+Tabla1[[#This Row],[PRECIO EN SOLES]]-Tabla1[[#This Row],[PC]]</f>
        <v>606.03799999999956</v>
      </c>
      <c r="K267" s="15"/>
      <c r="L267" s="15" t="str">
        <f t="shared" si="9"/>
        <v>GANCHO</v>
      </c>
    </row>
    <row r="268" spans="1:12" x14ac:dyDescent="0.25">
      <c r="A268" s="3" t="s">
        <v>650</v>
      </c>
      <c r="B268" s="3" t="s">
        <v>651</v>
      </c>
      <c r="C268" s="1">
        <v>13</v>
      </c>
      <c r="D268" s="1">
        <v>2096</v>
      </c>
      <c r="E268" s="1" t="s">
        <v>142</v>
      </c>
      <c r="F268" s="1" t="s">
        <v>4570</v>
      </c>
      <c r="G268" s="3" t="s">
        <v>652</v>
      </c>
      <c r="H268" s="11">
        <f t="shared" si="8"/>
        <v>9405.1</v>
      </c>
      <c r="I268" s="9">
        <f>($K$2+0.02)*Tabla1[[#This Row],[PRECIO $]]*1.18</f>
        <v>8532.8160000000007</v>
      </c>
      <c r="J268" s="7">
        <f>+Tabla1[[#This Row],[PRECIO EN SOLES]]-Tabla1[[#This Row],[PC]]</f>
        <v>872.28399999999965</v>
      </c>
      <c r="K268" s="15"/>
      <c r="L268" s="15" t="str">
        <f t="shared" si="9"/>
        <v>GANCHO</v>
      </c>
    </row>
    <row r="269" spans="1:12" x14ac:dyDescent="0.25">
      <c r="A269" s="3" t="s">
        <v>653</v>
      </c>
      <c r="B269" s="3" t="s">
        <v>654</v>
      </c>
      <c r="C269" s="1">
        <v>6</v>
      </c>
      <c r="D269" s="1">
        <v>2735</v>
      </c>
      <c r="E269" s="1" t="s">
        <v>142</v>
      </c>
      <c r="F269" s="1" t="s">
        <v>4571</v>
      </c>
      <c r="G269" s="3" t="s">
        <v>655</v>
      </c>
      <c r="H269" s="11">
        <f t="shared" si="8"/>
        <v>12266.6</v>
      </c>
      <c r="I269" s="9">
        <f>($K$2+0.02)*Tabla1[[#This Row],[PRECIO $]]*1.18</f>
        <v>11134.184999999999</v>
      </c>
      <c r="J269" s="7">
        <f>+Tabla1[[#This Row],[PRECIO EN SOLES]]-Tabla1[[#This Row],[PC]]</f>
        <v>1132.4150000000009</v>
      </c>
      <c r="K269" s="15"/>
      <c r="L269" s="15" t="str">
        <f t="shared" si="9"/>
        <v>GANCHO</v>
      </c>
    </row>
    <row r="270" spans="1:12" x14ac:dyDescent="0.25">
      <c r="A270" s="3" t="s">
        <v>656</v>
      </c>
      <c r="B270" s="3" t="s">
        <v>657</v>
      </c>
      <c r="C270" s="1">
        <v>3</v>
      </c>
      <c r="D270" s="1">
        <v>2535</v>
      </c>
      <c r="E270" s="1" t="s">
        <v>142</v>
      </c>
      <c r="F270" s="1" t="s">
        <v>4572</v>
      </c>
      <c r="G270" s="3" t="s">
        <v>658</v>
      </c>
      <c r="H270" s="11">
        <f t="shared" si="8"/>
        <v>11370.98</v>
      </c>
      <c r="I270" s="9">
        <f>($K$2+0.02)*Tabla1[[#This Row],[PRECIO $]]*1.18</f>
        <v>10319.984999999999</v>
      </c>
      <c r="J270" s="7">
        <f>+Tabla1[[#This Row],[PRECIO EN SOLES]]-Tabla1[[#This Row],[PC]]</f>
        <v>1050.9950000000008</v>
      </c>
      <c r="K270" s="15"/>
      <c r="L270" s="15" t="str">
        <f t="shared" si="9"/>
        <v>GANCHO</v>
      </c>
    </row>
    <row r="271" spans="1:12" x14ac:dyDescent="0.25">
      <c r="A271" s="3" t="s">
        <v>659</v>
      </c>
      <c r="B271" s="3" t="s">
        <v>660</v>
      </c>
      <c r="C271" s="1">
        <v>3</v>
      </c>
      <c r="D271" s="1">
        <v>2655</v>
      </c>
      <c r="E271" s="1" t="s">
        <v>142</v>
      </c>
      <c r="F271" s="1" t="s">
        <v>4573</v>
      </c>
      <c r="G271" s="3" t="s">
        <v>661</v>
      </c>
      <c r="H271" s="11">
        <f t="shared" si="8"/>
        <v>11908.36</v>
      </c>
      <c r="I271" s="9">
        <f>($K$2+0.02)*Tabla1[[#This Row],[PRECIO $]]*1.18</f>
        <v>10808.504999999999</v>
      </c>
      <c r="J271" s="7">
        <f>+Tabla1[[#This Row],[PRECIO EN SOLES]]-Tabla1[[#This Row],[PC]]</f>
        <v>1099.8550000000014</v>
      </c>
      <c r="K271" s="15"/>
      <c r="L271" s="15" t="str">
        <f t="shared" si="9"/>
        <v>GANCHO</v>
      </c>
    </row>
    <row r="272" spans="1:12" x14ac:dyDescent="0.25">
      <c r="A272" s="3" t="s">
        <v>4574</v>
      </c>
      <c r="B272" s="3" t="s">
        <v>674</v>
      </c>
      <c r="C272" s="1">
        <v>20</v>
      </c>
      <c r="D272" s="1">
        <v>2235</v>
      </c>
      <c r="E272" s="1" t="s">
        <v>269</v>
      </c>
      <c r="F272" s="1" t="s">
        <v>4575</v>
      </c>
      <c r="G272" s="3"/>
      <c r="H272" s="11">
        <f t="shared" si="8"/>
        <v>10027.549999999999</v>
      </c>
      <c r="I272" s="9">
        <f>($K$2+0.02)*Tabla1[[#This Row],[PRECIO $]]*1.18</f>
        <v>9098.6849999999995</v>
      </c>
      <c r="J272" s="7">
        <f>+Tabla1[[#This Row],[PRECIO EN SOLES]]-Tabla1[[#This Row],[PC]]</f>
        <v>928.86499999999978</v>
      </c>
      <c r="K272" s="15"/>
      <c r="L272" s="15" t="str">
        <f t="shared" si="9"/>
        <v>GANCHO</v>
      </c>
    </row>
    <row r="273" spans="1:12" x14ac:dyDescent="0.25">
      <c r="A273" s="3" t="s">
        <v>662</v>
      </c>
      <c r="B273" s="3" t="s">
        <v>663</v>
      </c>
      <c r="C273" s="1">
        <v>20</v>
      </c>
      <c r="D273" s="1">
        <v>4103</v>
      </c>
      <c r="E273" s="1" t="s">
        <v>269</v>
      </c>
      <c r="F273" s="1" t="s">
        <v>4576</v>
      </c>
      <c r="G273" s="3" t="s">
        <v>664</v>
      </c>
      <c r="H273" s="11">
        <f t="shared" si="8"/>
        <v>18392.64</v>
      </c>
      <c r="I273" s="9">
        <f>($K$2+0.02)*Tabla1[[#This Row],[PRECIO $]]*1.18</f>
        <v>16703.312999999998</v>
      </c>
      <c r="J273" s="7">
        <f>+Tabla1[[#This Row],[PRECIO EN SOLES]]-Tabla1[[#This Row],[PC]]</f>
        <v>1689.3270000000011</v>
      </c>
      <c r="K273" s="15"/>
      <c r="L273" s="15" t="str">
        <f t="shared" si="9"/>
        <v>GANCHO</v>
      </c>
    </row>
    <row r="274" spans="1:12" x14ac:dyDescent="0.25">
      <c r="A274" s="3" t="s">
        <v>665</v>
      </c>
      <c r="B274" s="3" t="s">
        <v>666</v>
      </c>
      <c r="C274" s="1">
        <v>20</v>
      </c>
      <c r="D274" s="1">
        <v>3110</v>
      </c>
      <c r="E274" s="1" t="s">
        <v>269</v>
      </c>
      <c r="F274" s="1" t="s">
        <v>4577</v>
      </c>
      <c r="G274" s="3" t="s">
        <v>667</v>
      </c>
      <c r="H274" s="11">
        <f t="shared" si="8"/>
        <v>13945.89</v>
      </c>
      <c r="I274" s="9">
        <f>($K$2+0.02)*Tabla1[[#This Row],[PRECIO $]]*1.18</f>
        <v>12660.81</v>
      </c>
      <c r="J274" s="7">
        <f>+Tabla1[[#This Row],[PRECIO EN SOLES]]-Tabla1[[#This Row],[PC]]</f>
        <v>1285.08</v>
      </c>
      <c r="K274" s="15"/>
      <c r="L274" s="15" t="str">
        <f t="shared" si="9"/>
        <v>GANCHO</v>
      </c>
    </row>
    <row r="275" spans="1:12" x14ac:dyDescent="0.25">
      <c r="A275" s="3" t="s">
        <v>668</v>
      </c>
      <c r="B275" s="3" t="s">
        <v>669</v>
      </c>
      <c r="C275" s="1">
        <v>20</v>
      </c>
      <c r="D275" s="1">
        <v>3055</v>
      </c>
      <c r="E275" s="1" t="s">
        <v>269</v>
      </c>
      <c r="F275" s="1" t="s">
        <v>4578</v>
      </c>
      <c r="G275" s="3" t="s">
        <v>667</v>
      </c>
      <c r="H275" s="11">
        <f t="shared" si="8"/>
        <v>13699.6</v>
      </c>
      <c r="I275" s="9">
        <f>($K$2+0.02)*Tabla1[[#This Row],[PRECIO $]]*1.18</f>
        <v>12436.904999999999</v>
      </c>
      <c r="J275" s="7">
        <f>+Tabla1[[#This Row],[PRECIO EN SOLES]]-Tabla1[[#This Row],[PC]]</f>
        <v>1262.6950000000015</v>
      </c>
      <c r="K275" s="15"/>
      <c r="L275" s="15" t="str">
        <f t="shared" si="9"/>
        <v>GANCHO</v>
      </c>
    </row>
    <row r="276" spans="1:12" x14ac:dyDescent="0.25">
      <c r="A276" s="3" t="s">
        <v>670</v>
      </c>
      <c r="B276" s="3" t="s">
        <v>671</v>
      </c>
      <c r="C276" s="1">
        <v>20</v>
      </c>
      <c r="D276" s="1">
        <v>3075</v>
      </c>
      <c r="E276" s="1" t="s">
        <v>269</v>
      </c>
      <c r="F276" s="1" t="s">
        <v>4579</v>
      </c>
      <c r="G276" s="3" t="s">
        <v>672</v>
      </c>
      <c r="H276" s="11">
        <f t="shared" si="8"/>
        <v>13789.16</v>
      </c>
      <c r="I276" s="9">
        <f>($K$2+0.02)*Tabla1[[#This Row],[PRECIO $]]*1.18</f>
        <v>12518.324999999999</v>
      </c>
      <c r="J276" s="7">
        <f>+Tabla1[[#This Row],[PRECIO EN SOLES]]-Tabla1[[#This Row],[PC]]</f>
        <v>1270.8350000000009</v>
      </c>
      <c r="K276" s="15"/>
      <c r="L276" s="15" t="str">
        <f t="shared" si="9"/>
        <v>GANCHO</v>
      </c>
    </row>
    <row r="277" spans="1:12" x14ac:dyDescent="0.25">
      <c r="A277" s="3" t="s">
        <v>673</v>
      </c>
      <c r="B277" s="3" t="s">
        <v>674</v>
      </c>
      <c r="C277" s="1">
        <v>20</v>
      </c>
      <c r="D277" s="1">
        <v>1985</v>
      </c>
      <c r="E277" s="1" t="s">
        <v>269</v>
      </c>
      <c r="F277" s="1" t="s">
        <v>4580</v>
      </c>
      <c r="G277" s="3" t="s">
        <v>675</v>
      </c>
      <c r="H277" s="11">
        <f t="shared" si="8"/>
        <v>8908.0300000000007</v>
      </c>
      <c r="I277" s="9">
        <f>($K$2+0.02)*Tabla1[[#This Row],[PRECIO $]]*1.18</f>
        <v>8080.9349999999995</v>
      </c>
      <c r="J277" s="7">
        <f>+Tabla1[[#This Row],[PRECIO EN SOLES]]-Tabla1[[#This Row],[PC]]</f>
        <v>827.09500000000116</v>
      </c>
      <c r="K277" s="15"/>
      <c r="L277" s="15" t="str">
        <f t="shared" si="9"/>
        <v>GANCHO</v>
      </c>
    </row>
    <row r="278" spans="1:12" x14ac:dyDescent="0.25">
      <c r="A278" s="3" t="s">
        <v>676</v>
      </c>
      <c r="B278" s="3" t="s">
        <v>677</v>
      </c>
      <c r="C278" s="1">
        <v>9</v>
      </c>
      <c r="D278" s="1">
        <v>82</v>
      </c>
      <c r="E278" s="1" t="s">
        <v>355</v>
      </c>
      <c r="F278" s="1" t="s">
        <v>4581</v>
      </c>
      <c r="G278" s="3" t="s">
        <v>678</v>
      </c>
      <c r="H278" s="11">
        <f t="shared" si="8"/>
        <v>391.9</v>
      </c>
      <c r="I278" s="9">
        <f>($K$2+0.02)*Tabla1[[#This Row],[PRECIO $]]*1.18</f>
        <v>333.822</v>
      </c>
      <c r="J278" s="7">
        <f>+Tabla1[[#This Row],[PRECIO EN SOLES]]-Tabla1[[#This Row],[PC]]</f>
        <v>58.077999999999975</v>
      </c>
      <c r="K278" s="15"/>
      <c r="L278" s="15" t="str">
        <f t="shared" si="9"/>
        <v>NORMAL</v>
      </c>
    </row>
    <row r="279" spans="1:12" x14ac:dyDescent="0.25">
      <c r="A279" s="3" t="s">
        <v>679</v>
      </c>
      <c r="B279" s="3" t="s">
        <v>680</v>
      </c>
      <c r="C279" s="1">
        <v>20</v>
      </c>
      <c r="D279" s="1">
        <v>126.5</v>
      </c>
      <c r="E279" s="1" t="s">
        <v>681</v>
      </c>
      <c r="F279" s="1" t="s">
        <v>4582</v>
      </c>
      <c r="G279" s="3" t="s">
        <v>682</v>
      </c>
      <c r="H279" s="11">
        <f t="shared" si="8"/>
        <v>585.48</v>
      </c>
      <c r="I279" s="9">
        <f>($K$2+0.02)*Tabla1[[#This Row],[PRECIO $]]*1.18</f>
        <v>514.98149999999998</v>
      </c>
      <c r="J279" s="7">
        <f>+Tabla1[[#This Row],[PRECIO EN SOLES]]-Tabla1[[#This Row],[PC]]</f>
        <v>70.498500000000035</v>
      </c>
      <c r="K279" s="15"/>
      <c r="L279" s="15" t="str">
        <f t="shared" si="9"/>
        <v>GANCHO</v>
      </c>
    </row>
    <row r="280" spans="1:12" x14ac:dyDescent="0.25">
      <c r="A280" s="3" t="s">
        <v>683</v>
      </c>
      <c r="B280" s="3" t="s">
        <v>684</v>
      </c>
      <c r="C280" s="1">
        <v>20</v>
      </c>
      <c r="D280" s="1">
        <v>153</v>
      </c>
      <c r="E280" s="1" t="s">
        <v>681</v>
      </c>
      <c r="F280" s="1" t="s">
        <v>4583</v>
      </c>
      <c r="G280" s="3" t="s">
        <v>685</v>
      </c>
      <c r="H280" s="11">
        <f t="shared" si="8"/>
        <v>704.15</v>
      </c>
      <c r="I280" s="9">
        <f>($K$2+0.02)*Tabla1[[#This Row],[PRECIO $]]*1.18</f>
        <v>622.86299999999994</v>
      </c>
      <c r="J280" s="7">
        <f>+Tabla1[[#This Row],[PRECIO EN SOLES]]-Tabla1[[#This Row],[PC]]</f>
        <v>81.287000000000035</v>
      </c>
      <c r="K280" s="15"/>
      <c r="L280" s="15" t="str">
        <f t="shared" si="9"/>
        <v>GANCHO</v>
      </c>
    </row>
    <row r="281" spans="1:12" x14ac:dyDescent="0.25">
      <c r="A281" s="3" t="s">
        <v>686</v>
      </c>
      <c r="B281" s="3" t="s">
        <v>687</v>
      </c>
      <c r="C281" s="1">
        <v>20</v>
      </c>
      <c r="D281" s="1">
        <v>151.5</v>
      </c>
      <c r="E281" s="1" t="s">
        <v>681</v>
      </c>
      <c r="F281" s="1" t="s">
        <v>4584</v>
      </c>
      <c r="G281" s="3" t="s">
        <v>688</v>
      </c>
      <c r="H281" s="11">
        <f t="shared" si="8"/>
        <v>697.43</v>
      </c>
      <c r="I281" s="9">
        <f>($K$2+0.02)*Tabla1[[#This Row],[PRECIO $]]*1.18</f>
        <v>616.75650000000007</v>
      </c>
      <c r="J281" s="7">
        <f>+Tabla1[[#This Row],[PRECIO EN SOLES]]-Tabla1[[#This Row],[PC]]</f>
        <v>80.673499999999876</v>
      </c>
      <c r="K281" s="15"/>
      <c r="L281" s="15" t="str">
        <f t="shared" si="9"/>
        <v>GANCHO</v>
      </c>
    </row>
    <row r="282" spans="1:12" x14ac:dyDescent="0.25">
      <c r="A282" s="3" t="s">
        <v>689</v>
      </c>
      <c r="B282" s="3" t="s">
        <v>690</v>
      </c>
      <c r="C282" s="1">
        <v>12</v>
      </c>
      <c r="D282" s="1">
        <v>182.65</v>
      </c>
      <c r="E282" s="1" t="s">
        <v>681</v>
      </c>
      <c r="F282" s="1" t="s">
        <v>4585</v>
      </c>
      <c r="G282" s="3" t="s">
        <v>691</v>
      </c>
      <c r="H282" s="11">
        <f t="shared" si="8"/>
        <v>836.92</v>
      </c>
      <c r="I282" s="9">
        <f>($K$2+0.02)*Tabla1[[#This Row],[PRECIO $]]*1.18</f>
        <v>743.56815000000006</v>
      </c>
      <c r="J282" s="7">
        <f>+Tabla1[[#This Row],[PRECIO EN SOLES]]-Tabla1[[#This Row],[PC]]</f>
        <v>93.351849999999899</v>
      </c>
      <c r="K282" s="15"/>
      <c r="L282" s="15" t="str">
        <f t="shared" si="9"/>
        <v>GANCHO</v>
      </c>
    </row>
    <row r="283" spans="1:12" x14ac:dyDescent="0.25">
      <c r="A283" s="3" t="s">
        <v>692</v>
      </c>
      <c r="B283" s="3" t="s">
        <v>690</v>
      </c>
      <c r="C283" s="1">
        <v>3</v>
      </c>
      <c r="D283" s="1">
        <v>165</v>
      </c>
      <c r="E283" s="1" t="s">
        <v>681</v>
      </c>
      <c r="F283" s="1" t="s">
        <v>4586</v>
      </c>
      <c r="G283" s="3"/>
      <c r="H283" s="11">
        <f t="shared" si="8"/>
        <v>757.89</v>
      </c>
      <c r="I283" s="9">
        <f>($K$2+0.02)*Tabla1[[#This Row],[PRECIO $]]*1.18</f>
        <v>671.71499999999992</v>
      </c>
      <c r="J283" s="7">
        <f>+Tabla1[[#This Row],[PRECIO EN SOLES]]-Tabla1[[#This Row],[PC]]</f>
        <v>86.175000000000068</v>
      </c>
      <c r="K283" s="15"/>
      <c r="L283" s="15" t="str">
        <f t="shared" si="9"/>
        <v>GANCHO</v>
      </c>
    </row>
    <row r="284" spans="1:12" x14ac:dyDescent="0.25">
      <c r="A284" s="3" t="s">
        <v>693</v>
      </c>
      <c r="B284" s="3" t="s">
        <v>694</v>
      </c>
      <c r="C284" s="1">
        <v>20</v>
      </c>
      <c r="D284" s="1">
        <v>226</v>
      </c>
      <c r="E284" s="1" t="s">
        <v>681</v>
      </c>
      <c r="F284" s="1" t="s">
        <v>4587</v>
      </c>
      <c r="G284" s="3" t="s">
        <v>695</v>
      </c>
      <c r="H284" s="11">
        <f t="shared" si="8"/>
        <v>1031.05</v>
      </c>
      <c r="I284" s="9">
        <f>($K$2+0.02)*Tabla1[[#This Row],[PRECIO $]]*1.18</f>
        <v>920.04600000000005</v>
      </c>
      <c r="J284" s="7">
        <f>+Tabla1[[#This Row],[PRECIO EN SOLES]]-Tabla1[[#This Row],[PC]]</f>
        <v>111.00399999999991</v>
      </c>
      <c r="K284" s="15"/>
      <c r="L284" s="15" t="str">
        <f t="shared" si="9"/>
        <v>GANCHO</v>
      </c>
    </row>
    <row r="285" spans="1:12" x14ac:dyDescent="0.25">
      <c r="A285" s="3" t="s">
        <v>696</v>
      </c>
      <c r="B285" s="3" t="s">
        <v>697</v>
      </c>
      <c r="C285" s="1">
        <v>0</v>
      </c>
      <c r="D285" s="1">
        <v>315.2</v>
      </c>
      <c r="E285" s="1" t="s">
        <v>681</v>
      </c>
      <c r="F285" s="1" t="s">
        <v>4588</v>
      </c>
      <c r="G285" s="3" t="s">
        <v>698</v>
      </c>
      <c r="H285" s="11">
        <f t="shared" si="8"/>
        <v>1430.5</v>
      </c>
      <c r="I285" s="9">
        <f>($K$2+0.02)*Tabla1[[#This Row],[PRECIO $]]*1.18</f>
        <v>1283.1792</v>
      </c>
      <c r="J285" s="7">
        <f>+Tabla1[[#This Row],[PRECIO EN SOLES]]-Tabla1[[#This Row],[PC]]</f>
        <v>147.32079999999996</v>
      </c>
      <c r="K285" s="15"/>
      <c r="L285" s="15" t="str">
        <f t="shared" si="9"/>
        <v>GANCHO</v>
      </c>
    </row>
    <row r="286" spans="1:12" x14ac:dyDescent="0.25">
      <c r="A286" s="3" t="s">
        <v>6764</v>
      </c>
      <c r="B286" s="3" t="s">
        <v>6765</v>
      </c>
      <c r="C286" s="1">
        <v>0</v>
      </c>
      <c r="D286" s="1">
        <v>425</v>
      </c>
      <c r="E286" s="1" t="s">
        <v>681</v>
      </c>
      <c r="F286" s="1" t="s">
        <v>6766</v>
      </c>
      <c r="G286" s="3" t="s">
        <v>6767</v>
      </c>
      <c r="H286" s="11">
        <f t="shared" si="8"/>
        <v>1922.19</v>
      </c>
      <c r="I286" s="9">
        <f>($K$2+0.02)*Tabla1[[#This Row],[PRECIO $]]*1.18</f>
        <v>1730.175</v>
      </c>
      <c r="J286" s="7">
        <f>+Tabla1[[#This Row],[PRECIO EN SOLES]]-Tabla1[[#This Row],[PC]]</f>
        <v>192.0150000000001</v>
      </c>
      <c r="K286" s="15"/>
      <c r="L286" s="15" t="str">
        <f t="shared" si="9"/>
        <v>GANCHO</v>
      </c>
    </row>
    <row r="287" spans="1:12" x14ac:dyDescent="0.25">
      <c r="A287" s="3" t="s">
        <v>699</v>
      </c>
      <c r="B287" s="3" t="s">
        <v>700</v>
      </c>
      <c r="C287" s="1">
        <v>18</v>
      </c>
      <c r="D287" s="1">
        <v>272</v>
      </c>
      <c r="E287" s="1" t="s">
        <v>681</v>
      </c>
      <c r="F287" s="1" t="s">
        <v>4589</v>
      </c>
      <c r="G287" s="3" t="s">
        <v>701</v>
      </c>
      <c r="H287" s="11">
        <f t="shared" si="8"/>
        <v>1237.04</v>
      </c>
      <c r="I287" s="9">
        <f>($K$2+0.02)*Tabla1[[#This Row],[PRECIO $]]*1.18</f>
        <v>1107.3120000000001</v>
      </c>
      <c r="J287" s="7">
        <f>+Tabla1[[#This Row],[PRECIO EN SOLES]]-Tabla1[[#This Row],[PC]]</f>
        <v>129.72799999999984</v>
      </c>
      <c r="K287" s="15"/>
      <c r="L287" s="15" t="str">
        <f t="shared" si="9"/>
        <v>GANCHO</v>
      </c>
    </row>
    <row r="288" spans="1:12" x14ac:dyDescent="0.25">
      <c r="A288" s="3" t="s">
        <v>702</v>
      </c>
      <c r="B288" s="3" t="s">
        <v>703</v>
      </c>
      <c r="C288" s="1">
        <v>16</v>
      </c>
      <c r="D288" s="1">
        <v>290</v>
      </c>
      <c r="E288" s="1" t="s">
        <v>681</v>
      </c>
      <c r="F288" s="1" t="s">
        <v>4590</v>
      </c>
      <c r="G288" s="3" t="s">
        <v>704</v>
      </c>
      <c r="H288" s="11">
        <f t="shared" si="8"/>
        <v>1317.65</v>
      </c>
      <c r="I288" s="9">
        <f>($K$2+0.02)*Tabla1[[#This Row],[PRECIO $]]*1.18</f>
        <v>1180.5899999999999</v>
      </c>
      <c r="J288" s="7">
        <f>+Tabla1[[#This Row],[PRECIO EN SOLES]]-Tabla1[[#This Row],[PC]]</f>
        <v>137.06000000000017</v>
      </c>
      <c r="K288" s="15"/>
      <c r="L288" s="15" t="str">
        <f t="shared" si="9"/>
        <v>GANCHO</v>
      </c>
    </row>
    <row r="289" spans="1:12" x14ac:dyDescent="0.25">
      <c r="A289" s="3" t="s">
        <v>6768</v>
      </c>
      <c r="B289" s="3" t="s">
        <v>6769</v>
      </c>
      <c r="C289" s="1">
        <v>20</v>
      </c>
      <c r="D289" s="1">
        <v>150</v>
      </c>
      <c r="E289" s="1" t="s">
        <v>606</v>
      </c>
      <c r="F289" s="1" t="s">
        <v>6770</v>
      </c>
      <c r="G289" s="3" t="s">
        <v>6771</v>
      </c>
      <c r="H289" s="11">
        <f t="shared" si="8"/>
        <v>690.72</v>
      </c>
      <c r="I289" s="9">
        <f>($K$2+0.02)*Tabla1[[#This Row],[PRECIO $]]*1.18</f>
        <v>610.65</v>
      </c>
      <c r="J289" s="7">
        <f>+Tabla1[[#This Row],[PRECIO EN SOLES]]-Tabla1[[#This Row],[PC]]</f>
        <v>80.07000000000005</v>
      </c>
      <c r="K289" s="15"/>
      <c r="L289" s="15" t="str">
        <f t="shared" si="9"/>
        <v>GANCHO</v>
      </c>
    </row>
    <row r="290" spans="1:12" x14ac:dyDescent="0.25">
      <c r="A290" s="3" t="s">
        <v>705</v>
      </c>
      <c r="B290" s="3" t="s">
        <v>706</v>
      </c>
      <c r="C290" s="1">
        <v>13</v>
      </c>
      <c r="D290" s="1">
        <v>150</v>
      </c>
      <c r="E290" s="1" t="s">
        <v>606</v>
      </c>
      <c r="F290" s="1" t="s">
        <v>4591</v>
      </c>
      <c r="G290" s="3" t="s">
        <v>707</v>
      </c>
      <c r="H290" s="11">
        <f t="shared" si="8"/>
        <v>690.72</v>
      </c>
      <c r="I290" s="9">
        <f>($K$2+0.02)*Tabla1[[#This Row],[PRECIO $]]*1.18</f>
        <v>610.65</v>
      </c>
      <c r="J290" s="7">
        <f>+Tabla1[[#This Row],[PRECIO EN SOLES]]-Tabla1[[#This Row],[PC]]</f>
        <v>80.07000000000005</v>
      </c>
      <c r="K290" s="15"/>
      <c r="L290" s="15" t="str">
        <f t="shared" si="9"/>
        <v>GANCHO</v>
      </c>
    </row>
    <row r="291" spans="1:12" x14ac:dyDescent="0.25">
      <c r="A291" s="3" t="s">
        <v>708</v>
      </c>
      <c r="B291" s="3" t="s">
        <v>709</v>
      </c>
      <c r="C291" s="1">
        <v>20</v>
      </c>
      <c r="D291" s="1">
        <v>170</v>
      </c>
      <c r="E291" s="1" t="s">
        <v>606</v>
      </c>
      <c r="F291" s="1" t="s">
        <v>4592</v>
      </c>
      <c r="G291" s="3" t="s">
        <v>710</v>
      </c>
      <c r="H291" s="11">
        <f t="shared" si="8"/>
        <v>780.28</v>
      </c>
      <c r="I291" s="9">
        <f>($K$2+0.02)*Tabla1[[#This Row],[PRECIO $]]*1.18</f>
        <v>692.06999999999994</v>
      </c>
      <c r="J291" s="7">
        <f>+Tabla1[[#This Row],[PRECIO EN SOLES]]-Tabla1[[#This Row],[PC]]</f>
        <v>88.210000000000036</v>
      </c>
      <c r="K291" s="15"/>
      <c r="L291" s="15" t="str">
        <f t="shared" si="9"/>
        <v>GANCHO</v>
      </c>
    </row>
    <row r="292" spans="1:12" x14ac:dyDescent="0.25">
      <c r="A292" s="3" t="s">
        <v>4593</v>
      </c>
      <c r="B292" s="3" t="s">
        <v>709</v>
      </c>
      <c r="C292" s="1">
        <v>0</v>
      </c>
      <c r="D292" s="1">
        <v>9999999.9900000002</v>
      </c>
      <c r="E292" s="1" t="s">
        <v>606</v>
      </c>
      <c r="F292" s="1" t="s">
        <v>4594</v>
      </c>
      <c r="G292" s="3"/>
      <c r="H292" s="11">
        <f t="shared" si="8"/>
        <v>44781018.960000001</v>
      </c>
      <c r="I292" s="9">
        <f>($K$2+0.02)*Tabla1[[#This Row],[PRECIO $]]*1.18</f>
        <v>40709999.959290005</v>
      </c>
      <c r="J292" s="7">
        <f>+Tabla1[[#This Row],[PRECIO EN SOLES]]-Tabla1[[#This Row],[PC]]</f>
        <v>4071019.0007099956</v>
      </c>
      <c r="K292" s="15"/>
      <c r="L292" s="15" t="str">
        <f t="shared" si="9"/>
        <v>GANCHO</v>
      </c>
    </row>
    <row r="293" spans="1:12" x14ac:dyDescent="0.25">
      <c r="A293" s="3" t="s">
        <v>6772</v>
      </c>
      <c r="B293" s="3" t="s">
        <v>6773</v>
      </c>
      <c r="C293" s="1">
        <v>20</v>
      </c>
      <c r="D293" s="1">
        <v>318</v>
      </c>
      <c r="E293" s="1" t="s">
        <v>606</v>
      </c>
      <c r="F293" s="1" t="s">
        <v>6774</v>
      </c>
      <c r="G293" s="3" t="s">
        <v>6775</v>
      </c>
      <c r="H293" s="11">
        <f t="shared" si="8"/>
        <v>1443.04</v>
      </c>
      <c r="I293" s="9">
        <f>($K$2+0.02)*Tabla1[[#This Row],[PRECIO $]]*1.18</f>
        <v>1294.5780000000002</v>
      </c>
      <c r="J293" s="7">
        <f>+Tabla1[[#This Row],[PRECIO EN SOLES]]-Tabla1[[#This Row],[PC]]</f>
        <v>148.46199999999976</v>
      </c>
      <c r="K293" s="15"/>
      <c r="L293" s="15" t="str">
        <f t="shared" si="9"/>
        <v>GANCHO</v>
      </c>
    </row>
    <row r="294" spans="1:12" x14ac:dyDescent="0.25">
      <c r="A294" s="3" t="s">
        <v>6776</v>
      </c>
      <c r="B294" s="3" t="s">
        <v>712</v>
      </c>
      <c r="C294" s="1">
        <v>20</v>
      </c>
      <c r="D294" s="1">
        <v>150</v>
      </c>
      <c r="E294" s="1" t="s">
        <v>606</v>
      </c>
      <c r="F294" s="1" t="s">
        <v>6777</v>
      </c>
      <c r="G294" s="3" t="s">
        <v>6778</v>
      </c>
      <c r="H294" s="11">
        <f t="shared" si="8"/>
        <v>690.72</v>
      </c>
      <c r="I294" s="9">
        <f>($K$2+0.02)*Tabla1[[#This Row],[PRECIO $]]*1.18</f>
        <v>610.65</v>
      </c>
      <c r="J294" s="7">
        <f>+Tabla1[[#This Row],[PRECIO EN SOLES]]-Tabla1[[#This Row],[PC]]</f>
        <v>80.07000000000005</v>
      </c>
      <c r="K294" s="15"/>
      <c r="L294" s="15" t="str">
        <f t="shared" si="9"/>
        <v>GANCHO</v>
      </c>
    </row>
    <row r="295" spans="1:12" x14ac:dyDescent="0.25">
      <c r="A295" s="3" t="s">
        <v>711</v>
      </c>
      <c r="B295" s="3" t="s">
        <v>712</v>
      </c>
      <c r="C295" s="1">
        <v>20</v>
      </c>
      <c r="D295" s="1">
        <v>150</v>
      </c>
      <c r="E295" s="1" t="s">
        <v>606</v>
      </c>
      <c r="F295" s="1" t="s">
        <v>4595</v>
      </c>
      <c r="G295" s="3"/>
      <c r="H295" s="11">
        <f t="shared" si="8"/>
        <v>690.72</v>
      </c>
      <c r="I295" s="9">
        <f>($K$2+0.02)*Tabla1[[#This Row],[PRECIO $]]*1.18</f>
        <v>610.65</v>
      </c>
      <c r="J295" s="7">
        <f>+Tabla1[[#This Row],[PRECIO EN SOLES]]-Tabla1[[#This Row],[PC]]</f>
        <v>80.07000000000005</v>
      </c>
      <c r="K295" s="15"/>
      <c r="L295" s="15" t="str">
        <f t="shared" si="9"/>
        <v>GANCHO</v>
      </c>
    </row>
    <row r="296" spans="1:12" x14ac:dyDescent="0.25">
      <c r="A296" s="3" t="s">
        <v>6779</v>
      </c>
      <c r="B296" s="3" t="s">
        <v>6780</v>
      </c>
      <c r="C296" s="1">
        <v>20</v>
      </c>
      <c r="D296" s="1">
        <v>206</v>
      </c>
      <c r="E296" s="1" t="s">
        <v>606</v>
      </c>
      <c r="F296" s="1" t="s">
        <v>6781</v>
      </c>
      <c r="G296" s="3" t="s">
        <v>6782</v>
      </c>
      <c r="H296" s="11">
        <f t="shared" si="8"/>
        <v>941.49</v>
      </c>
      <c r="I296" s="9">
        <f>($K$2+0.02)*Tabla1[[#This Row],[PRECIO $]]*1.18</f>
        <v>838.62599999999998</v>
      </c>
      <c r="J296" s="7">
        <f>+Tabla1[[#This Row],[PRECIO EN SOLES]]-Tabla1[[#This Row],[PC]]</f>
        <v>102.86400000000003</v>
      </c>
      <c r="K296" s="15"/>
      <c r="L296" s="15" t="str">
        <f t="shared" si="9"/>
        <v>GANCHO</v>
      </c>
    </row>
    <row r="297" spans="1:12" x14ac:dyDescent="0.25">
      <c r="A297" s="3" t="s">
        <v>6783</v>
      </c>
      <c r="B297" s="3" t="s">
        <v>6784</v>
      </c>
      <c r="C297" s="1">
        <v>12</v>
      </c>
      <c r="D297" s="1">
        <v>30.3</v>
      </c>
      <c r="E297" s="1" t="s">
        <v>122</v>
      </c>
      <c r="F297" s="1" t="s">
        <v>6785</v>
      </c>
      <c r="G297" s="3" t="s">
        <v>6786</v>
      </c>
      <c r="H297" s="11">
        <f t="shared" si="8"/>
        <v>147.85</v>
      </c>
      <c r="I297" s="9">
        <f>($K$2+0.02)*Tabla1[[#This Row],[PRECIO $]]*1.18</f>
        <v>123.35130000000001</v>
      </c>
      <c r="J297" s="7">
        <f>+Tabla1[[#This Row],[PRECIO EN SOLES]]-Tabla1[[#This Row],[PC]]</f>
        <v>24.498699999999985</v>
      </c>
      <c r="K297" s="15"/>
      <c r="L297" s="15" t="str">
        <f t="shared" si="9"/>
        <v>NORMAL</v>
      </c>
    </row>
    <row r="298" spans="1:12" x14ac:dyDescent="0.25">
      <c r="A298" s="3" t="s">
        <v>713</v>
      </c>
      <c r="B298" s="3" t="s">
        <v>714</v>
      </c>
      <c r="C298" s="1">
        <v>12</v>
      </c>
      <c r="D298" s="1">
        <v>81</v>
      </c>
      <c r="E298" s="1" t="s">
        <v>456</v>
      </c>
      <c r="F298" s="1" t="s">
        <v>4596</v>
      </c>
      <c r="G298" s="3" t="s">
        <v>715</v>
      </c>
      <c r="H298" s="11">
        <f t="shared" si="8"/>
        <v>381.73</v>
      </c>
      <c r="I298" s="9">
        <f>($K$2+0.02)*Tabla1[[#This Row],[PRECIO $]]*1.18</f>
        <v>329.75099999999998</v>
      </c>
      <c r="J298" s="7">
        <f>+Tabla1[[#This Row],[PRECIO EN SOLES]]-Tabla1[[#This Row],[PC]]</f>
        <v>51.979000000000042</v>
      </c>
      <c r="K298" s="15"/>
      <c r="L298" s="15" t="str">
        <f t="shared" si="9"/>
        <v>GANCHO</v>
      </c>
    </row>
    <row r="299" spans="1:12" x14ac:dyDescent="0.25">
      <c r="A299" s="3" t="s">
        <v>716</v>
      </c>
      <c r="B299" s="3" t="s">
        <v>717</v>
      </c>
      <c r="C299" s="1">
        <v>8</v>
      </c>
      <c r="D299" s="1">
        <v>81</v>
      </c>
      <c r="E299" s="1" t="s">
        <v>456</v>
      </c>
      <c r="F299" s="1" t="s">
        <v>4597</v>
      </c>
      <c r="G299" s="3"/>
      <c r="H299" s="11">
        <f t="shared" si="8"/>
        <v>381.73</v>
      </c>
      <c r="I299" s="9">
        <f>($K$2+0.02)*Tabla1[[#This Row],[PRECIO $]]*1.18</f>
        <v>329.75099999999998</v>
      </c>
      <c r="J299" s="7">
        <f>+Tabla1[[#This Row],[PRECIO EN SOLES]]-Tabla1[[#This Row],[PC]]</f>
        <v>51.979000000000042</v>
      </c>
      <c r="K299" s="15"/>
      <c r="L299" s="15" t="str">
        <f t="shared" si="9"/>
        <v>GANCHO</v>
      </c>
    </row>
    <row r="300" spans="1:12" x14ac:dyDescent="0.25">
      <c r="A300" s="3" t="s">
        <v>718</v>
      </c>
      <c r="B300" s="3" t="s">
        <v>719</v>
      </c>
      <c r="C300" s="1">
        <v>20</v>
      </c>
      <c r="D300" s="1">
        <v>42.2</v>
      </c>
      <c r="E300" s="1" t="s">
        <v>122</v>
      </c>
      <c r="F300" s="1" t="s">
        <v>4598</v>
      </c>
      <c r="G300" s="3" t="s">
        <v>720</v>
      </c>
      <c r="H300" s="11">
        <f t="shared" si="8"/>
        <v>205.57</v>
      </c>
      <c r="I300" s="9">
        <f>($K$2+0.02)*Tabla1[[#This Row],[PRECIO $]]*1.18</f>
        <v>171.7962</v>
      </c>
      <c r="J300" s="7">
        <f>+Tabla1[[#This Row],[PRECIO EN SOLES]]-Tabla1[[#This Row],[PC]]</f>
        <v>33.773799999999994</v>
      </c>
      <c r="K300" s="15"/>
      <c r="L300" s="15" t="str">
        <f t="shared" si="9"/>
        <v>NORMAL</v>
      </c>
    </row>
    <row r="301" spans="1:12" x14ac:dyDescent="0.25">
      <c r="A301" s="3" t="s">
        <v>721</v>
      </c>
      <c r="B301" s="3" t="s">
        <v>722</v>
      </c>
      <c r="C301" s="1">
        <v>20</v>
      </c>
      <c r="D301" s="1">
        <v>54.3</v>
      </c>
      <c r="E301" s="1" t="s">
        <v>442</v>
      </c>
      <c r="F301" s="1" t="s">
        <v>4599</v>
      </c>
      <c r="G301" s="3" t="s">
        <v>723</v>
      </c>
      <c r="H301" s="11">
        <f t="shared" si="8"/>
        <v>254.16</v>
      </c>
      <c r="I301" s="9">
        <f>($K$2+0.02)*Tabla1[[#This Row],[PRECIO $]]*1.18</f>
        <v>221.05529999999999</v>
      </c>
      <c r="J301" s="7">
        <f>+Tabla1[[#This Row],[PRECIO EN SOLES]]-Tabla1[[#This Row],[PC]]</f>
        <v>33.104700000000008</v>
      </c>
      <c r="K301" s="15"/>
      <c r="L301" s="15" t="str">
        <f t="shared" si="9"/>
        <v>GANCHO</v>
      </c>
    </row>
    <row r="302" spans="1:12" x14ac:dyDescent="0.25">
      <c r="A302" s="3" t="s">
        <v>724</v>
      </c>
      <c r="B302" s="3" t="s">
        <v>725</v>
      </c>
      <c r="C302" s="1">
        <v>20</v>
      </c>
      <c r="D302" s="1">
        <v>57.55</v>
      </c>
      <c r="E302" s="1" t="s">
        <v>442</v>
      </c>
      <c r="F302" s="1" t="s">
        <v>4600</v>
      </c>
      <c r="G302" s="3" t="s">
        <v>726</v>
      </c>
      <c r="H302" s="11">
        <f t="shared" si="8"/>
        <v>268.70999999999998</v>
      </c>
      <c r="I302" s="9">
        <f>($K$2+0.02)*Tabla1[[#This Row],[PRECIO $]]*1.18</f>
        <v>234.28605000000002</v>
      </c>
      <c r="J302" s="7">
        <f>+Tabla1[[#This Row],[PRECIO EN SOLES]]-Tabla1[[#This Row],[PC]]</f>
        <v>34.423949999999962</v>
      </c>
      <c r="K302" s="15"/>
      <c r="L302" s="15" t="str">
        <f t="shared" si="9"/>
        <v>GANCHO</v>
      </c>
    </row>
    <row r="303" spans="1:12" x14ac:dyDescent="0.25">
      <c r="A303" s="3" t="s">
        <v>727</v>
      </c>
      <c r="B303" s="3" t="s">
        <v>728</v>
      </c>
      <c r="C303" s="1">
        <v>20</v>
      </c>
      <c r="D303" s="1">
        <v>55.9</v>
      </c>
      <c r="E303" s="1" t="s">
        <v>355</v>
      </c>
      <c r="F303" s="1" t="s">
        <v>4601</v>
      </c>
      <c r="G303" s="3" t="s">
        <v>729</v>
      </c>
      <c r="H303" s="11">
        <f t="shared" si="8"/>
        <v>269.7</v>
      </c>
      <c r="I303" s="9">
        <f>($K$2+0.02)*Tabla1[[#This Row],[PRECIO $]]*1.18</f>
        <v>227.56890000000001</v>
      </c>
      <c r="J303" s="7">
        <f>+Tabla1[[#This Row],[PRECIO EN SOLES]]-Tabla1[[#This Row],[PC]]</f>
        <v>42.131099999999975</v>
      </c>
      <c r="K303" s="15"/>
      <c r="L303" s="15" t="str">
        <f t="shared" si="9"/>
        <v>NORMAL</v>
      </c>
    </row>
    <row r="304" spans="1:12" x14ac:dyDescent="0.25">
      <c r="A304" s="3" t="s">
        <v>730</v>
      </c>
      <c r="B304" s="3" t="s">
        <v>731</v>
      </c>
      <c r="C304" s="1">
        <v>3</v>
      </c>
      <c r="D304" s="1">
        <v>86.5</v>
      </c>
      <c r="E304" s="1" t="s">
        <v>355</v>
      </c>
      <c r="F304" s="1" t="s">
        <v>4602</v>
      </c>
      <c r="G304" s="3" t="s">
        <v>732</v>
      </c>
      <c r="H304" s="11">
        <f t="shared" si="8"/>
        <v>406.36</v>
      </c>
      <c r="I304" s="9">
        <f>($K$2+0.02)*Tabla1[[#This Row],[PRECIO $]]*1.18</f>
        <v>352.14150000000001</v>
      </c>
      <c r="J304" s="7">
        <f>+Tabla1[[#This Row],[PRECIO EN SOLES]]-Tabla1[[#This Row],[PC]]</f>
        <v>54.218500000000006</v>
      </c>
      <c r="K304" s="15"/>
      <c r="L304" s="15" t="str">
        <f t="shared" si="9"/>
        <v>GANCHO</v>
      </c>
    </row>
    <row r="305" spans="1:12" x14ac:dyDescent="0.25">
      <c r="A305" s="3" t="s">
        <v>733</v>
      </c>
      <c r="B305" s="3" t="s">
        <v>734</v>
      </c>
      <c r="C305" s="1">
        <v>20</v>
      </c>
      <c r="D305" s="1">
        <v>47.3</v>
      </c>
      <c r="E305" s="1" t="s">
        <v>355</v>
      </c>
      <c r="F305" s="1" t="s">
        <v>4603</v>
      </c>
      <c r="G305" s="3" t="s">
        <v>735</v>
      </c>
      <c r="H305" s="11">
        <f t="shared" si="8"/>
        <v>229.44</v>
      </c>
      <c r="I305" s="9">
        <f>($K$2+0.02)*Tabla1[[#This Row],[PRECIO $]]*1.18</f>
        <v>192.5583</v>
      </c>
      <c r="J305" s="7">
        <f>+Tabla1[[#This Row],[PRECIO EN SOLES]]-Tabla1[[#This Row],[PC]]</f>
        <v>36.881699999999995</v>
      </c>
      <c r="K305" s="15"/>
      <c r="L305" s="15" t="str">
        <f t="shared" si="9"/>
        <v>NORMAL</v>
      </c>
    </row>
    <row r="306" spans="1:12" x14ac:dyDescent="0.25">
      <c r="A306" s="3" t="s">
        <v>736</v>
      </c>
      <c r="B306" s="3" t="s">
        <v>737</v>
      </c>
      <c r="C306" s="1">
        <v>20</v>
      </c>
      <c r="D306" s="1">
        <v>52.5</v>
      </c>
      <c r="E306" s="1" t="s">
        <v>220</v>
      </c>
      <c r="F306" s="1" t="s">
        <v>4604</v>
      </c>
      <c r="G306" s="3" t="s">
        <v>738</v>
      </c>
      <c r="H306" s="11">
        <f t="shared" si="8"/>
        <v>253.79</v>
      </c>
      <c r="I306" s="9">
        <f>($K$2+0.02)*Tabla1[[#This Row],[PRECIO $]]*1.18</f>
        <v>213.72749999999999</v>
      </c>
      <c r="J306" s="7">
        <f>+Tabla1[[#This Row],[PRECIO EN SOLES]]-Tabla1[[#This Row],[PC]]</f>
        <v>40.0625</v>
      </c>
      <c r="K306" s="15"/>
      <c r="L306" s="15" t="str">
        <f t="shared" si="9"/>
        <v>NORMAL</v>
      </c>
    </row>
    <row r="307" spans="1:12" x14ac:dyDescent="0.25">
      <c r="A307" s="3" t="s">
        <v>739</v>
      </c>
      <c r="B307" s="3" t="s">
        <v>740</v>
      </c>
      <c r="C307" s="1">
        <v>18</v>
      </c>
      <c r="D307" s="1">
        <v>80.75</v>
      </c>
      <c r="E307" s="1" t="s">
        <v>456</v>
      </c>
      <c r="F307" s="1" t="s">
        <v>4605</v>
      </c>
      <c r="G307" s="3"/>
      <c r="H307" s="11">
        <f t="shared" si="8"/>
        <v>380.61</v>
      </c>
      <c r="I307" s="9">
        <f>($K$2+0.02)*Tabla1[[#This Row],[PRECIO $]]*1.18</f>
        <v>328.73325</v>
      </c>
      <c r="J307" s="7">
        <f>+Tabla1[[#This Row],[PRECIO EN SOLES]]-Tabla1[[#This Row],[PC]]</f>
        <v>51.876750000000015</v>
      </c>
      <c r="K307" s="15"/>
      <c r="L307" s="15" t="str">
        <f t="shared" si="9"/>
        <v>GANCHO</v>
      </c>
    </row>
    <row r="308" spans="1:12" x14ac:dyDescent="0.25">
      <c r="A308" s="3" t="s">
        <v>741</v>
      </c>
      <c r="B308" s="3" t="s">
        <v>742</v>
      </c>
      <c r="C308" s="1">
        <v>16</v>
      </c>
      <c r="D308" s="1">
        <v>72.8</v>
      </c>
      <c r="E308" s="1" t="s">
        <v>456</v>
      </c>
      <c r="F308" s="1" t="s">
        <v>4606</v>
      </c>
      <c r="G308" s="3" t="s">
        <v>743</v>
      </c>
      <c r="H308" s="11">
        <f t="shared" si="8"/>
        <v>345.01</v>
      </c>
      <c r="I308" s="9">
        <f>($K$2+0.02)*Tabla1[[#This Row],[PRECIO $]]*1.18</f>
        <v>296.36879999999996</v>
      </c>
      <c r="J308" s="7">
        <f>+Tabla1[[#This Row],[PRECIO EN SOLES]]-Tabla1[[#This Row],[PC]]</f>
        <v>48.641200000000026</v>
      </c>
      <c r="K308" s="15"/>
      <c r="L308" s="15" t="str">
        <f t="shared" si="9"/>
        <v>GANCHO</v>
      </c>
    </row>
    <row r="309" spans="1:12" x14ac:dyDescent="0.25">
      <c r="A309" s="3" t="s">
        <v>4607</v>
      </c>
      <c r="B309" s="3" t="s">
        <v>4608</v>
      </c>
      <c r="C309" s="1">
        <v>18</v>
      </c>
      <c r="D309" s="1">
        <v>79.5</v>
      </c>
      <c r="E309" s="1" t="s">
        <v>340</v>
      </c>
      <c r="F309" s="1" t="s">
        <v>4609</v>
      </c>
      <c r="G309" s="3" t="s">
        <v>6787</v>
      </c>
      <c r="H309" s="11">
        <f t="shared" si="8"/>
        <v>380.19</v>
      </c>
      <c r="I309" s="9">
        <f>($K$2+0.02)*Tabla1[[#This Row],[PRECIO $]]*1.18</f>
        <v>323.64450000000005</v>
      </c>
      <c r="J309" s="7">
        <f>+Tabla1[[#This Row],[PRECIO EN SOLES]]-Tabla1[[#This Row],[PC]]</f>
        <v>56.545499999999947</v>
      </c>
      <c r="K309" s="15"/>
      <c r="L309" s="15" t="str">
        <f t="shared" si="9"/>
        <v>NORMAL</v>
      </c>
    </row>
    <row r="310" spans="1:12" x14ac:dyDescent="0.25">
      <c r="A310" s="3" t="s">
        <v>4610</v>
      </c>
      <c r="B310" s="3" t="s">
        <v>4611</v>
      </c>
      <c r="C310" s="1">
        <v>5</v>
      </c>
      <c r="D310" s="1">
        <v>309</v>
      </c>
      <c r="E310" s="1" t="s">
        <v>340</v>
      </c>
      <c r="F310" s="1" t="s">
        <v>4612</v>
      </c>
      <c r="G310" s="3" t="s">
        <v>4613</v>
      </c>
      <c r="H310" s="11">
        <f t="shared" si="8"/>
        <v>1402.73</v>
      </c>
      <c r="I310" s="9">
        <f>($K$2+0.02)*Tabla1[[#This Row],[PRECIO $]]*1.18</f>
        <v>1257.9389999999999</v>
      </c>
      <c r="J310" s="7">
        <f>+Tabla1[[#This Row],[PRECIO EN SOLES]]-Tabla1[[#This Row],[PC]]</f>
        <v>144.79100000000017</v>
      </c>
      <c r="K310" s="15"/>
      <c r="L310" s="15" t="str">
        <f t="shared" si="9"/>
        <v>GANCHO</v>
      </c>
    </row>
    <row r="311" spans="1:12" x14ac:dyDescent="0.25">
      <c r="A311" s="3" t="s">
        <v>4614</v>
      </c>
      <c r="B311" s="3" t="s">
        <v>4615</v>
      </c>
      <c r="C311" s="1">
        <v>20</v>
      </c>
      <c r="D311" s="1">
        <v>195</v>
      </c>
      <c r="E311" s="1" t="s">
        <v>340</v>
      </c>
      <c r="F311" s="1" t="s">
        <v>4616</v>
      </c>
      <c r="G311" s="3" t="s">
        <v>4617</v>
      </c>
      <c r="H311" s="11">
        <f t="shared" si="8"/>
        <v>920.92</v>
      </c>
      <c r="I311" s="9">
        <f>($K$2+0.02)*Tabla1[[#This Row],[PRECIO $]]*1.18</f>
        <v>793.84499999999991</v>
      </c>
      <c r="J311" s="7">
        <f>+Tabla1[[#This Row],[PRECIO EN SOLES]]-Tabla1[[#This Row],[PC]]</f>
        <v>127.07500000000005</v>
      </c>
      <c r="K311" s="15"/>
      <c r="L311" s="15" t="str">
        <f t="shared" si="9"/>
        <v>NORMAL</v>
      </c>
    </row>
    <row r="312" spans="1:12" x14ac:dyDescent="0.25">
      <c r="A312" s="3" t="s">
        <v>4618</v>
      </c>
      <c r="B312" s="3" t="s">
        <v>4619</v>
      </c>
      <c r="C312" s="1">
        <v>20</v>
      </c>
      <c r="D312" s="1">
        <v>133</v>
      </c>
      <c r="E312" s="1" t="s">
        <v>340</v>
      </c>
      <c r="F312" s="1" t="s">
        <v>4620</v>
      </c>
      <c r="G312" s="3" t="s">
        <v>4621</v>
      </c>
      <c r="H312" s="11">
        <f t="shared" si="8"/>
        <v>630.66</v>
      </c>
      <c r="I312" s="9">
        <f>($K$2+0.02)*Tabla1[[#This Row],[PRECIO $]]*1.18</f>
        <v>541.44299999999998</v>
      </c>
      <c r="J312" s="7">
        <f>+Tabla1[[#This Row],[PRECIO EN SOLES]]-Tabla1[[#This Row],[PC]]</f>
        <v>89.216999999999985</v>
      </c>
      <c r="K312" s="15"/>
      <c r="L312" s="15" t="str">
        <f t="shared" si="9"/>
        <v>NORMAL</v>
      </c>
    </row>
    <row r="313" spans="1:12" x14ac:dyDescent="0.25">
      <c r="A313" s="3" t="s">
        <v>4622</v>
      </c>
      <c r="B313" s="3" t="s">
        <v>4623</v>
      </c>
      <c r="C313" s="1">
        <v>19</v>
      </c>
      <c r="D313" s="1">
        <v>101.6</v>
      </c>
      <c r="E313" s="1" t="s">
        <v>340</v>
      </c>
      <c r="F313" s="1" t="s">
        <v>4624</v>
      </c>
      <c r="G313" s="3" t="s">
        <v>6788</v>
      </c>
      <c r="H313" s="11">
        <f t="shared" si="8"/>
        <v>483.66</v>
      </c>
      <c r="I313" s="9">
        <f>($K$2+0.02)*Tabla1[[#This Row],[PRECIO $]]*1.18</f>
        <v>413.61359999999996</v>
      </c>
      <c r="J313" s="7">
        <f>+Tabla1[[#This Row],[PRECIO EN SOLES]]-Tabla1[[#This Row],[PC]]</f>
        <v>70.046400000000062</v>
      </c>
      <c r="K313" s="15"/>
      <c r="L313" s="15" t="str">
        <f t="shared" si="9"/>
        <v>NORMAL</v>
      </c>
    </row>
    <row r="314" spans="1:12" x14ac:dyDescent="0.25">
      <c r="A314" s="3" t="s">
        <v>4625</v>
      </c>
      <c r="B314" s="3" t="s">
        <v>4626</v>
      </c>
      <c r="C314" s="1">
        <v>14</v>
      </c>
      <c r="D314" s="1">
        <v>298</v>
      </c>
      <c r="E314" s="1" t="s">
        <v>340</v>
      </c>
      <c r="F314" s="1" t="s">
        <v>4627</v>
      </c>
      <c r="G314" s="3" t="s">
        <v>4628</v>
      </c>
      <c r="H314" s="11">
        <f t="shared" si="8"/>
        <v>1403.13</v>
      </c>
      <c r="I314" s="9">
        <f>($K$2+0.02)*Tabla1[[#This Row],[PRECIO $]]*1.18</f>
        <v>1213.1580000000001</v>
      </c>
      <c r="J314" s="7">
        <f>+Tabla1[[#This Row],[PRECIO EN SOLES]]-Tabla1[[#This Row],[PC]]</f>
        <v>189.97199999999998</v>
      </c>
      <c r="K314" s="15"/>
      <c r="L314" s="15" t="str">
        <f t="shared" si="9"/>
        <v>NORMAL</v>
      </c>
    </row>
    <row r="315" spans="1:12" x14ac:dyDescent="0.25">
      <c r="A315" s="3" t="s">
        <v>744</v>
      </c>
      <c r="B315" s="3" t="s">
        <v>745</v>
      </c>
      <c r="C315" s="1">
        <v>20</v>
      </c>
      <c r="D315" s="1">
        <v>63</v>
      </c>
      <c r="E315" s="1" t="s">
        <v>442</v>
      </c>
      <c r="F315" s="1" t="s">
        <v>4629</v>
      </c>
      <c r="G315" s="3" t="s">
        <v>746</v>
      </c>
      <c r="H315" s="11">
        <f t="shared" si="8"/>
        <v>301.12</v>
      </c>
      <c r="I315" s="9">
        <f>($K$2+0.02)*Tabla1[[#This Row],[PRECIO $]]*1.18</f>
        <v>256.47300000000001</v>
      </c>
      <c r="J315" s="7">
        <f>+Tabla1[[#This Row],[PRECIO EN SOLES]]-Tabla1[[#This Row],[PC]]</f>
        <v>44.646999999999991</v>
      </c>
      <c r="K315" s="15"/>
      <c r="L315" s="15" t="str">
        <f t="shared" si="9"/>
        <v>GANCHO</v>
      </c>
    </row>
    <row r="316" spans="1:12" x14ac:dyDescent="0.25">
      <c r="A316" s="3" t="s">
        <v>747</v>
      </c>
      <c r="B316" s="3" t="s">
        <v>748</v>
      </c>
      <c r="C316" s="1">
        <v>20</v>
      </c>
      <c r="D316" s="1">
        <v>64</v>
      </c>
      <c r="E316" s="1" t="s">
        <v>442</v>
      </c>
      <c r="F316" s="1" t="s">
        <v>4630</v>
      </c>
      <c r="G316" s="3" t="s">
        <v>749</v>
      </c>
      <c r="H316" s="11">
        <f t="shared" si="8"/>
        <v>305.60000000000002</v>
      </c>
      <c r="I316" s="9">
        <f>($K$2+0.02)*Tabla1[[#This Row],[PRECIO $]]*1.18</f>
        <v>260.54399999999998</v>
      </c>
      <c r="J316" s="7">
        <f>+Tabla1[[#This Row],[PRECIO EN SOLES]]-Tabla1[[#This Row],[PC]]</f>
        <v>45.05600000000004</v>
      </c>
      <c r="K316" s="15"/>
      <c r="L316" s="15" t="str">
        <f t="shared" si="9"/>
        <v>GANCHO</v>
      </c>
    </row>
    <row r="317" spans="1:12" x14ac:dyDescent="0.25">
      <c r="A317" s="3" t="s">
        <v>750</v>
      </c>
      <c r="B317" s="3" t="s">
        <v>751</v>
      </c>
      <c r="C317" s="1">
        <v>20</v>
      </c>
      <c r="D317" s="1">
        <v>53.1</v>
      </c>
      <c r="E317" s="1" t="s">
        <v>355</v>
      </c>
      <c r="F317" s="1" t="s">
        <v>4631</v>
      </c>
      <c r="G317" s="3" t="s">
        <v>752</v>
      </c>
      <c r="H317" s="11">
        <f t="shared" si="8"/>
        <v>256.60000000000002</v>
      </c>
      <c r="I317" s="9">
        <f>($K$2+0.02)*Tabla1[[#This Row],[PRECIO $]]*1.18</f>
        <v>216.17010000000002</v>
      </c>
      <c r="J317" s="7">
        <f>+Tabla1[[#This Row],[PRECIO EN SOLES]]-Tabla1[[#This Row],[PC]]</f>
        <v>40.429900000000004</v>
      </c>
      <c r="K317" s="15"/>
      <c r="L317" s="15" t="str">
        <f t="shared" si="9"/>
        <v>NORMAL</v>
      </c>
    </row>
    <row r="318" spans="1:12" x14ac:dyDescent="0.25">
      <c r="A318" s="3" t="s">
        <v>753</v>
      </c>
      <c r="B318" s="3" t="s">
        <v>754</v>
      </c>
      <c r="C318" s="1">
        <v>11</v>
      </c>
      <c r="D318" s="1">
        <v>59.35</v>
      </c>
      <c r="E318" s="1" t="s">
        <v>355</v>
      </c>
      <c r="F318" s="1" t="s">
        <v>4632</v>
      </c>
      <c r="G318" s="3" t="s">
        <v>755</v>
      </c>
      <c r="H318" s="11">
        <f t="shared" si="8"/>
        <v>285.86</v>
      </c>
      <c r="I318" s="9">
        <f>($K$2+0.02)*Tabla1[[#This Row],[PRECIO $]]*1.18</f>
        <v>241.61385000000001</v>
      </c>
      <c r="J318" s="7">
        <f>+Tabla1[[#This Row],[PRECIO EN SOLES]]-Tabla1[[#This Row],[PC]]</f>
        <v>44.24615</v>
      </c>
      <c r="K318" s="15"/>
      <c r="L318" s="15" t="str">
        <f t="shared" si="9"/>
        <v>NORMAL</v>
      </c>
    </row>
    <row r="319" spans="1:12" x14ac:dyDescent="0.25">
      <c r="A319" s="3" t="s">
        <v>756</v>
      </c>
      <c r="B319" s="3" t="s">
        <v>757</v>
      </c>
      <c r="C319" s="1">
        <v>20</v>
      </c>
      <c r="D319" s="1">
        <v>72</v>
      </c>
      <c r="E319" s="1" t="s">
        <v>355</v>
      </c>
      <c r="F319" s="1" t="s">
        <v>4633</v>
      </c>
      <c r="G319" s="3" t="s">
        <v>758</v>
      </c>
      <c r="H319" s="11">
        <f t="shared" si="8"/>
        <v>345.08</v>
      </c>
      <c r="I319" s="9">
        <f>($K$2+0.02)*Tabla1[[#This Row],[PRECIO $]]*1.18</f>
        <v>293.11199999999997</v>
      </c>
      <c r="J319" s="7">
        <f>+Tabla1[[#This Row],[PRECIO EN SOLES]]-Tabla1[[#This Row],[PC]]</f>
        <v>51.968000000000018</v>
      </c>
      <c r="K319" s="15"/>
      <c r="L319" s="15" t="str">
        <f t="shared" si="9"/>
        <v>NORMAL</v>
      </c>
    </row>
    <row r="320" spans="1:12" x14ac:dyDescent="0.25">
      <c r="A320" s="3" t="s">
        <v>6789</v>
      </c>
      <c r="B320" s="3" t="s">
        <v>6790</v>
      </c>
      <c r="C320" s="1">
        <v>0</v>
      </c>
      <c r="D320" s="1">
        <v>126</v>
      </c>
      <c r="E320" s="1" t="s">
        <v>761</v>
      </c>
      <c r="F320" s="1" t="s">
        <v>6791</v>
      </c>
      <c r="G320" s="3" t="s">
        <v>6792</v>
      </c>
      <c r="H320" s="11">
        <f t="shared" si="8"/>
        <v>597.89</v>
      </c>
      <c r="I320" s="9">
        <f>($K$2+0.02)*Tabla1[[#This Row],[PRECIO $]]*1.18</f>
        <v>512.94600000000003</v>
      </c>
      <c r="J320" s="7">
        <f>+Tabla1[[#This Row],[PRECIO EN SOLES]]-Tabla1[[#This Row],[PC]]</f>
        <v>84.94399999999996</v>
      </c>
      <c r="K320" s="15"/>
      <c r="L320" s="15" t="str">
        <f t="shared" si="9"/>
        <v>NORMAL</v>
      </c>
    </row>
    <row r="321" spans="1:12" x14ac:dyDescent="0.25">
      <c r="A321" s="3" t="s">
        <v>759</v>
      </c>
      <c r="B321" s="3" t="s">
        <v>760</v>
      </c>
      <c r="C321" s="1">
        <v>20</v>
      </c>
      <c r="D321" s="1">
        <v>90.25</v>
      </c>
      <c r="E321" s="1" t="s">
        <v>761</v>
      </c>
      <c r="F321" s="1" t="s">
        <v>4634</v>
      </c>
      <c r="G321" s="3" t="s">
        <v>762</v>
      </c>
      <c r="H321" s="11">
        <f t="shared" si="8"/>
        <v>430.52</v>
      </c>
      <c r="I321" s="9">
        <f>($K$2+0.02)*Tabla1[[#This Row],[PRECIO $]]*1.18</f>
        <v>367.40775000000002</v>
      </c>
      <c r="J321" s="7">
        <f>+Tabla1[[#This Row],[PRECIO EN SOLES]]-Tabla1[[#This Row],[PC]]</f>
        <v>63.11224999999996</v>
      </c>
      <c r="K321" s="15"/>
      <c r="L321" s="15" t="str">
        <f t="shared" si="9"/>
        <v>NORMAL</v>
      </c>
    </row>
    <row r="322" spans="1:12" x14ac:dyDescent="0.25">
      <c r="A322" s="3" t="s">
        <v>763</v>
      </c>
      <c r="B322" s="3" t="s">
        <v>764</v>
      </c>
      <c r="C322" s="1">
        <v>0</v>
      </c>
      <c r="D322" s="1">
        <v>161</v>
      </c>
      <c r="E322" s="1" t="s">
        <v>761</v>
      </c>
      <c r="F322" s="1" t="s">
        <v>4635</v>
      </c>
      <c r="G322" s="3" t="s">
        <v>765</v>
      </c>
      <c r="H322" s="11">
        <f t="shared" ref="H322:H385" si="10">ROUND(
IF(L322="GANCHO",
   IF(I322&lt;=50,I322*1.1+4,IF(I322&lt;=120,I322*1.1+7,IF(I322&lt;=250,I322*1.1+11,I322*1.1+19))),
IF(L322="NORMAL",
   IF(I322&lt;=30,I322*1.15+2,IF(I322&lt;=80,I322*1.15+4,IF(I322&lt;=150,I322*1.15+6,I322*1.15+8))),
IF(L322="COMPLEMENTO",
   IF(I322&lt;=25,I322*1.25+1.5,IF(I322&lt;=60,I322*1.25+3,IF(I322&lt;=120,I322*1.25+4,I322*1.25+5))),
""))),2)</f>
        <v>761.75</v>
      </c>
      <c r="I322" s="9">
        <f>($K$2+0.02)*Tabla1[[#This Row],[PRECIO $]]*1.18</f>
        <v>655.43100000000004</v>
      </c>
      <c r="J322" s="7">
        <f>+Tabla1[[#This Row],[PRECIO EN SOLES]]-Tabla1[[#This Row],[PC]]</f>
        <v>106.31899999999996</v>
      </c>
      <c r="K322" s="15"/>
      <c r="L322" s="15" t="str">
        <f t="shared" si="9"/>
        <v>NORMAL</v>
      </c>
    </row>
    <row r="323" spans="1:12" x14ac:dyDescent="0.25">
      <c r="A323" s="3" t="s">
        <v>766</v>
      </c>
      <c r="B323" s="3" t="s">
        <v>767</v>
      </c>
      <c r="C323" s="1">
        <v>0</v>
      </c>
      <c r="D323" s="1">
        <v>302</v>
      </c>
      <c r="E323" s="1" t="s">
        <v>761</v>
      </c>
      <c r="F323" s="1" t="s">
        <v>4636</v>
      </c>
      <c r="G323" s="3" t="s">
        <v>768</v>
      </c>
      <c r="H323" s="11">
        <f t="shared" si="10"/>
        <v>1421.86</v>
      </c>
      <c r="I323" s="9">
        <f>($K$2+0.02)*Tabla1[[#This Row],[PRECIO $]]*1.18</f>
        <v>1229.442</v>
      </c>
      <c r="J323" s="7">
        <f>+Tabla1[[#This Row],[PRECIO EN SOLES]]-Tabla1[[#This Row],[PC]]</f>
        <v>192.41799999999989</v>
      </c>
      <c r="K323" s="15"/>
      <c r="L323" s="15" t="str">
        <f t="shared" ref="L323:L386" si="11">IF(
OR(
ISNUMBER(SEARCH("BACKPACK",B323)),
ISNUMBER(SEARCH("MOCHILA",B323)),
ISNUMBER(SEARCH("FUNDA",B323)),
ISNUMBER(SEARCH("ESTUCHE",B323)),
ISNUMBER(SEARCH("BOOK COVER",B323)),
ISNUMBER(SEARCH("KEYBOARD PARA TABLET",B323)),
ISNUMBER(SEARCH("FLIP TABLET",B323)),
ISNUMBER(SEARCH("CASE FOR TABLET",B323)),
ISNUMBER(SEARCH("CABLE",B323)),
ISNUMBER(SEARCH("ADAPTADOR",B323)),
ISNUMBER(SEARCH("HUB",B323)),
ISNUMBER(SEARCH("DOCK",B323)),
ISNUMBER(SEARCH("MOUSE PAD",B323)),
ISNUMBER(SEARCH("MOUSEPAD",B323)),
ISNUMBER(SEARCH("SOPORTE",B323)),
ISNUMBER(SEARCH("STAND",B323)),
ISNUMBER(SEARCH("TRAVEL ADAPTER",B323)),
ISNUMBER(SEARCH("RJ45",B323)),
ISNUMBER(SEARCH("USB-C",B323)),
ISNUMBER(SEARCH("USB WIFI",B323)),
ISNUMBER(SEARCH("POWERBANK",B323)),
ISNUMBER(SEARCH("CARGADOR",B323)),
ISNUMBER(SEARCH("COOLER PARA NB",B323)),
ISNUMBER(SEARCH("SOPORTE PARA NB",B323)),
ISNUMBER(SEARCH("WEBCAM",B323)),
ISNUMBER(SEARCH("WEB CAM",B323)),
ISNUMBER(SEARCH("MOUSE",B323)),
ISNUMBER(SEARCH("TECLADO",B323))
),
"COMPLEMENTO",
IF(
OR(
LEFT(A323,2)="NB",
LEFT(A323,2)="PC",
LEFT(A323,2)="WS",
LEFT(A323,2)="TB",
LEFT(A323,3)="CEL",
LEFT(A323,3)="MON",
LEFT(A323,3)="PRE",
LEFT(A323,3)="PRH",
ISNUMBER(SEARCH("NOTEBOOK",B323)),
ISNUMBER(SEARCH("LAPTOP",B323)),
ISNUMBER(SEARCH("MONITOR",B323)),
ISNUMBER(SEARCH("TABLET",B323)),
ISNUMBER(SEARCH("SMARTPH",B323)),
ISNUMBER(SEARCH("IMPRESORA",B323)),
ISNUMBER(SEARCH("MULTIFUNCIONAL",B323)),
ISNUMBER(SEARCH("AIO",B323))
),
"GANCHO",
"NORMAL"
)
)</f>
        <v>NORMAL</v>
      </c>
    </row>
    <row r="324" spans="1:12" x14ac:dyDescent="0.25">
      <c r="A324" s="3" t="s">
        <v>769</v>
      </c>
      <c r="B324" s="3" t="s">
        <v>770</v>
      </c>
      <c r="C324" s="1">
        <v>20</v>
      </c>
      <c r="D324" s="1">
        <v>187.9</v>
      </c>
      <c r="E324" s="1" t="s">
        <v>761</v>
      </c>
      <c r="F324" s="1" t="s">
        <v>4637</v>
      </c>
      <c r="G324" s="3" t="s">
        <v>771</v>
      </c>
      <c r="H324" s="11">
        <f t="shared" si="10"/>
        <v>887.68</v>
      </c>
      <c r="I324" s="9">
        <f>($K$2+0.02)*Tabla1[[#This Row],[PRECIO $]]*1.18</f>
        <v>764.94090000000006</v>
      </c>
      <c r="J324" s="7">
        <f>+Tabla1[[#This Row],[PRECIO EN SOLES]]-Tabla1[[#This Row],[PC]]</f>
        <v>122.73909999999989</v>
      </c>
      <c r="K324" s="15"/>
      <c r="L324" s="15" t="str">
        <f t="shared" si="11"/>
        <v>NORMAL</v>
      </c>
    </row>
    <row r="325" spans="1:12" x14ac:dyDescent="0.25">
      <c r="A325" s="3" t="s">
        <v>772</v>
      </c>
      <c r="B325" s="3" t="s">
        <v>773</v>
      </c>
      <c r="C325" s="1">
        <v>20</v>
      </c>
      <c r="D325" s="1">
        <v>208.75</v>
      </c>
      <c r="E325" s="1" t="s">
        <v>761</v>
      </c>
      <c r="F325" s="1" t="s">
        <v>4638</v>
      </c>
      <c r="G325" s="3" t="s">
        <v>774</v>
      </c>
      <c r="H325" s="11">
        <f t="shared" si="10"/>
        <v>985.29</v>
      </c>
      <c r="I325" s="9">
        <f>($K$2+0.02)*Tabla1[[#This Row],[PRECIO $]]*1.18</f>
        <v>849.82124999999996</v>
      </c>
      <c r="J325" s="7">
        <f>+Tabla1[[#This Row],[PRECIO EN SOLES]]-Tabla1[[#This Row],[PC]]</f>
        <v>135.46875</v>
      </c>
      <c r="K325" s="15"/>
      <c r="L325" s="15" t="str">
        <f t="shared" si="11"/>
        <v>NORMAL</v>
      </c>
    </row>
    <row r="326" spans="1:12" x14ac:dyDescent="0.25">
      <c r="A326" s="3" t="s">
        <v>775</v>
      </c>
      <c r="B326" s="3" t="s">
        <v>776</v>
      </c>
      <c r="C326" s="1">
        <v>20</v>
      </c>
      <c r="D326" s="1">
        <v>129.9</v>
      </c>
      <c r="E326" s="1" t="s">
        <v>761</v>
      </c>
      <c r="F326" s="1" t="s">
        <v>4639</v>
      </c>
      <c r="G326" s="3" t="s">
        <v>777</v>
      </c>
      <c r="H326" s="11">
        <f t="shared" si="10"/>
        <v>616.15</v>
      </c>
      <c r="I326" s="9">
        <f>($K$2+0.02)*Tabla1[[#This Row],[PRECIO $]]*1.18</f>
        <v>528.8229</v>
      </c>
      <c r="J326" s="7">
        <f>+Tabla1[[#This Row],[PRECIO EN SOLES]]-Tabla1[[#This Row],[PC]]</f>
        <v>87.327099999999973</v>
      </c>
      <c r="K326" s="15"/>
      <c r="L326" s="15" t="str">
        <f t="shared" si="11"/>
        <v>NORMAL</v>
      </c>
    </row>
    <row r="327" spans="1:12" x14ac:dyDescent="0.25">
      <c r="A327" s="3" t="s">
        <v>778</v>
      </c>
      <c r="B327" s="3" t="s">
        <v>779</v>
      </c>
      <c r="C327" s="1">
        <v>20</v>
      </c>
      <c r="D327" s="1">
        <v>156.80000000000001</v>
      </c>
      <c r="E327" s="1" t="s">
        <v>761</v>
      </c>
      <c r="F327" s="1" t="s">
        <v>4640</v>
      </c>
      <c r="G327" s="3" t="s">
        <v>780</v>
      </c>
      <c r="H327" s="11">
        <f t="shared" si="10"/>
        <v>742.08</v>
      </c>
      <c r="I327" s="9">
        <f>($K$2+0.02)*Tabla1[[#This Row],[PRECIO $]]*1.18</f>
        <v>638.33280000000002</v>
      </c>
      <c r="J327" s="7">
        <f>+Tabla1[[#This Row],[PRECIO EN SOLES]]-Tabla1[[#This Row],[PC]]</f>
        <v>103.74720000000002</v>
      </c>
      <c r="K327" s="15"/>
      <c r="L327" s="15" t="str">
        <f t="shared" si="11"/>
        <v>NORMAL</v>
      </c>
    </row>
    <row r="328" spans="1:12" x14ac:dyDescent="0.25">
      <c r="A328" s="3" t="s">
        <v>781</v>
      </c>
      <c r="B328" s="3" t="s">
        <v>782</v>
      </c>
      <c r="C328" s="1">
        <v>20</v>
      </c>
      <c r="D328" s="1">
        <v>216</v>
      </c>
      <c r="E328" s="1" t="s">
        <v>761</v>
      </c>
      <c r="F328" s="1" t="s">
        <v>4641</v>
      </c>
      <c r="G328" s="3" t="s">
        <v>783</v>
      </c>
      <c r="H328" s="11">
        <f t="shared" si="10"/>
        <v>1019.24</v>
      </c>
      <c r="I328" s="9">
        <f>($K$2+0.02)*Tabla1[[#This Row],[PRECIO $]]*1.18</f>
        <v>879.33600000000001</v>
      </c>
      <c r="J328" s="7">
        <f>+Tabla1[[#This Row],[PRECIO EN SOLES]]-Tabla1[[#This Row],[PC]]</f>
        <v>139.904</v>
      </c>
      <c r="K328" s="15"/>
      <c r="L328" s="15" t="str">
        <f t="shared" si="11"/>
        <v>NORMAL</v>
      </c>
    </row>
    <row r="329" spans="1:12" x14ac:dyDescent="0.25">
      <c r="A329" s="3" t="s">
        <v>784</v>
      </c>
      <c r="B329" s="3" t="s">
        <v>785</v>
      </c>
      <c r="C329" s="1">
        <v>20</v>
      </c>
      <c r="D329" s="1">
        <v>134.69999999999999</v>
      </c>
      <c r="E329" s="1" t="s">
        <v>761</v>
      </c>
      <c r="F329" s="1" t="s">
        <v>4642</v>
      </c>
      <c r="G329" s="3" t="s">
        <v>786</v>
      </c>
      <c r="H329" s="11">
        <f t="shared" si="10"/>
        <v>638.62</v>
      </c>
      <c r="I329" s="9">
        <f>($K$2+0.02)*Tabla1[[#This Row],[PRECIO $]]*1.18</f>
        <v>548.36369999999999</v>
      </c>
      <c r="J329" s="7">
        <f>+Tabla1[[#This Row],[PRECIO EN SOLES]]-Tabla1[[#This Row],[PC]]</f>
        <v>90.25630000000001</v>
      </c>
      <c r="K329" s="15"/>
      <c r="L329" s="15" t="str">
        <f t="shared" si="11"/>
        <v>NORMAL</v>
      </c>
    </row>
    <row r="330" spans="1:12" x14ac:dyDescent="0.25">
      <c r="A330" s="3" t="s">
        <v>4643</v>
      </c>
      <c r="B330" s="3" t="s">
        <v>4644</v>
      </c>
      <c r="C330" s="1">
        <v>20</v>
      </c>
      <c r="D330" s="1">
        <v>232.5</v>
      </c>
      <c r="E330" s="1" t="s">
        <v>761</v>
      </c>
      <c r="F330" s="1" t="s">
        <v>4645</v>
      </c>
      <c r="G330" s="3" t="s">
        <v>4646</v>
      </c>
      <c r="H330" s="11">
        <f t="shared" si="10"/>
        <v>1096.48</v>
      </c>
      <c r="I330" s="9">
        <f>($K$2+0.02)*Tabla1[[#This Row],[PRECIO $]]*1.18</f>
        <v>946.50749999999994</v>
      </c>
      <c r="J330" s="7">
        <f>+Tabla1[[#This Row],[PRECIO EN SOLES]]-Tabla1[[#This Row],[PC]]</f>
        <v>149.97250000000008</v>
      </c>
      <c r="K330" s="15"/>
      <c r="L330" s="15" t="str">
        <f t="shared" si="11"/>
        <v>NORMAL</v>
      </c>
    </row>
    <row r="331" spans="1:12" x14ac:dyDescent="0.25">
      <c r="A331" s="3" t="s">
        <v>787</v>
      </c>
      <c r="B331" s="3" t="s">
        <v>788</v>
      </c>
      <c r="C331" s="1">
        <v>20</v>
      </c>
      <c r="D331" s="1">
        <v>177.5</v>
      </c>
      <c r="E331" s="1" t="s">
        <v>761</v>
      </c>
      <c r="F331" s="1" t="s">
        <v>4647</v>
      </c>
      <c r="G331" s="3" t="s">
        <v>789</v>
      </c>
      <c r="H331" s="11">
        <f t="shared" si="10"/>
        <v>838.99</v>
      </c>
      <c r="I331" s="9">
        <f>($K$2+0.02)*Tabla1[[#This Row],[PRECIO $]]*1.18</f>
        <v>722.60249999999996</v>
      </c>
      <c r="J331" s="7">
        <f>+Tabla1[[#This Row],[PRECIO EN SOLES]]-Tabla1[[#This Row],[PC]]</f>
        <v>116.38750000000005</v>
      </c>
      <c r="K331" s="15"/>
      <c r="L331" s="15" t="str">
        <f t="shared" si="11"/>
        <v>NORMAL</v>
      </c>
    </row>
    <row r="332" spans="1:12" x14ac:dyDescent="0.25">
      <c r="A332" s="3" t="s">
        <v>790</v>
      </c>
      <c r="B332" s="3" t="s">
        <v>791</v>
      </c>
      <c r="C332" s="1">
        <v>20</v>
      </c>
      <c r="D332" s="1">
        <v>212.65</v>
      </c>
      <c r="E332" s="1" t="s">
        <v>761</v>
      </c>
      <c r="F332" s="1" t="s">
        <v>4648</v>
      </c>
      <c r="G332" s="3" t="s">
        <v>792</v>
      </c>
      <c r="H332" s="11">
        <f t="shared" si="10"/>
        <v>1003.55</v>
      </c>
      <c r="I332" s="9">
        <f>($K$2+0.02)*Tabla1[[#This Row],[PRECIO $]]*1.18</f>
        <v>865.69815000000006</v>
      </c>
      <c r="J332" s="7">
        <f>+Tabla1[[#This Row],[PRECIO EN SOLES]]-Tabla1[[#This Row],[PC]]</f>
        <v>137.8518499999999</v>
      </c>
      <c r="K332" s="15"/>
      <c r="L332" s="15" t="str">
        <f t="shared" si="11"/>
        <v>NORMAL</v>
      </c>
    </row>
    <row r="333" spans="1:12" x14ac:dyDescent="0.25">
      <c r="A333" s="3" t="s">
        <v>793</v>
      </c>
      <c r="B333" s="3" t="s">
        <v>794</v>
      </c>
      <c r="C333" s="1">
        <v>18</v>
      </c>
      <c r="D333" s="1">
        <v>290</v>
      </c>
      <c r="E333" s="1" t="s">
        <v>761</v>
      </c>
      <c r="F333" s="1" t="s">
        <v>4649</v>
      </c>
      <c r="G333" s="3" t="s">
        <v>795</v>
      </c>
      <c r="H333" s="11">
        <f t="shared" si="10"/>
        <v>1365.68</v>
      </c>
      <c r="I333" s="9">
        <f>($K$2+0.02)*Tabla1[[#This Row],[PRECIO $]]*1.18</f>
        <v>1180.5899999999999</v>
      </c>
      <c r="J333" s="7">
        <f>+Tabla1[[#This Row],[PRECIO EN SOLES]]-Tabla1[[#This Row],[PC]]</f>
        <v>185.09000000000015</v>
      </c>
      <c r="K333" s="15"/>
      <c r="L333" s="15" t="str">
        <f t="shared" si="11"/>
        <v>NORMAL</v>
      </c>
    </row>
    <row r="334" spans="1:12" x14ac:dyDescent="0.25">
      <c r="A334" s="3" t="s">
        <v>796</v>
      </c>
      <c r="B334" s="3" t="s">
        <v>797</v>
      </c>
      <c r="C334" s="1">
        <v>20</v>
      </c>
      <c r="D334" s="1">
        <v>308.5</v>
      </c>
      <c r="E334" s="1" t="s">
        <v>761</v>
      </c>
      <c r="F334" s="1" t="s">
        <v>4650</v>
      </c>
      <c r="G334" s="3" t="s">
        <v>798</v>
      </c>
      <c r="H334" s="11">
        <f t="shared" si="10"/>
        <v>1452.29</v>
      </c>
      <c r="I334" s="9">
        <f>($K$2+0.02)*Tabla1[[#This Row],[PRECIO $]]*1.18</f>
        <v>1255.9034999999999</v>
      </c>
      <c r="J334" s="7">
        <f>+Tabla1[[#This Row],[PRECIO EN SOLES]]-Tabla1[[#This Row],[PC]]</f>
        <v>196.38650000000007</v>
      </c>
      <c r="K334" s="15"/>
      <c r="L334" s="15" t="str">
        <f t="shared" si="11"/>
        <v>NORMAL</v>
      </c>
    </row>
    <row r="335" spans="1:12" x14ac:dyDescent="0.25">
      <c r="A335" s="3" t="s">
        <v>799</v>
      </c>
      <c r="B335" s="3" t="s">
        <v>800</v>
      </c>
      <c r="C335" s="1">
        <v>20</v>
      </c>
      <c r="D335" s="1">
        <v>401</v>
      </c>
      <c r="E335" s="1" t="s">
        <v>761</v>
      </c>
      <c r="F335" s="1" t="s">
        <v>4651</v>
      </c>
      <c r="G335" s="3" t="s">
        <v>801</v>
      </c>
      <c r="H335" s="11">
        <f t="shared" si="10"/>
        <v>1885.34</v>
      </c>
      <c r="I335" s="9">
        <f>($K$2+0.02)*Tabla1[[#This Row],[PRECIO $]]*1.18</f>
        <v>1632.471</v>
      </c>
      <c r="J335" s="7">
        <f>+Tabla1[[#This Row],[PRECIO EN SOLES]]-Tabla1[[#This Row],[PC]]</f>
        <v>252.86899999999991</v>
      </c>
      <c r="K335" s="15"/>
      <c r="L335" s="15" t="str">
        <f t="shared" si="11"/>
        <v>NORMAL</v>
      </c>
    </row>
    <row r="336" spans="1:12" x14ac:dyDescent="0.25">
      <c r="A336" s="3" t="s">
        <v>802</v>
      </c>
      <c r="B336" s="3" t="s">
        <v>803</v>
      </c>
      <c r="C336" s="1">
        <v>20</v>
      </c>
      <c r="D336" s="1">
        <v>211.5</v>
      </c>
      <c r="E336" s="1" t="s">
        <v>761</v>
      </c>
      <c r="F336" s="1" t="s">
        <v>4652</v>
      </c>
      <c r="G336" s="3" t="s">
        <v>804</v>
      </c>
      <c r="H336" s="11">
        <f t="shared" si="10"/>
        <v>998.17</v>
      </c>
      <c r="I336" s="9">
        <f>($K$2+0.02)*Tabla1[[#This Row],[PRECIO $]]*1.18</f>
        <v>861.01650000000006</v>
      </c>
      <c r="J336" s="7">
        <f>+Tabla1[[#This Row],[PRECIO EN SOLES]]-Tabla1[[#This Row],[PC]]</f>
        <v>137.15349999999989</v>
      </c>
      <c r="K336" s="15"/>
      <c r="L336" s="15" t="str">
        <f t="shared" si="11"/>
        <v>NORMAL</v>
      </c>
    </row>
    <row r="337" spans="1:12" x14ac:dyDescent="0.25">
      <c r="A337" s="3" t="s">
        <v>805</v>
      </c>
      <c r="B337" s="3" t="s">
        <v>806</v>
      </c>
      <c r="C337" s="1">
        <v>20</v>
      </c>
      <c r="D337" s="1">
        <v>218</v>
      </c>
      <c r="E337" s="1" t="s">
        <v>761</v>
      </c>
      <c r="F337" s="1" t="s">
        <v>4653</v>
      </c>
      <c r="G337" s="3" t="s">
        <v>807</v>
      </c>
      <c r="H337" s="11">
        <f t="shared" si="10"/>
        <v>1028.5999999999999</v>
      </c>
      <c r="I337" s="9">
        <f>($K$2+0.02)*Tabla1[[#This Row],[PRECIO $]]*1.18</f>
        <v>887.47799999999995</v>
      </c>
      <c r="J337" s="7">
        <f>+Tabla1[[#This Row],[PRECIO EN SOLES]]-Tabla1[[#This Row],[PC]]</f>
        <v>141.12199999999996</v>
      </c>
      <c r="K337" s="15"/>
      <c r="L337" s="15" t="str">
        <f t="shared" si="11"/>
        <v>NORMAL</v>
      </c>
    </row>
    <row r="338" spans="1:12" x14ac:dyDescent="0.25">
      <c r="A338" s="3" t="s">
        <v>808</v>
      </c>
      <c r="B338" s="3" t="s">
        <v>809</v>
      </c>
      <c r="C338" s="1">
        <v>20</v>
      </c>
      <c r="D338" s="1">
        <v>322</v>
      </c>
      <c r="E338" s="1" t="s">
        <v>761</v>
      </c>
      <c r="F338" s="1" t="s">
        <v>4654</v>
      </c>
      <c r="G338" s="3" t="s">
        <v>810</v>
      </c>
      <c r="H338" s="11">
        <f t="shared" si="10"/>
        <v>1515.49</v>
      </c>
      <c r="I338" s="9">
        <f>($K$2+0.02)*Tabla1[[#This Row],[PRECIO $]]*1.18</f>
        <v>1310.8620000000001</v>
      </c>
      <c r="J338" s="7">
        <f>+Tabla1[[#This Row],[PRECIO EN SOLES]]-Tabla1[[#This Row],[PC]]</f>
        <v>204.62799999999993</v>
      </c>
      <c r="K338" s="15"/>
      <c r="L338" s="15" t="str">
        <f t="shared" si="11"/>
        <v>NORMAL</v>
      </c>
    </row>
    <row r="339" spans="1:12" x14ac:dyDescent="0.25">
      <c r="A339" s="3" t="s">
        <v>811</v>
      </c>
      <c r="B339" s="3" t="s">
        <v>812</v>
      </c>
      <c r="C339" s="1">
        <v>20</v>
      </c>
      <c r="D339" s="1">
        <v>461.5</v>
      </c>
      <c r="E339" s="1" t="s">
        <v>761</v>
      </c>
      <c r="F339" s="1" t="s">
        <v>4655</v>
      </c>
      <c r="G339" s="3" t="s">
        <v>813</v>
      </c>
      <c r="H339" s="11">
        <f t="shared" si="10"/>
        <v>2168.58</v>
      </c>
      <c r="I339" s="9">
        <f>($K$2+0.02)*Tabla1[[#This Row],[PRECIO $]]*1.18</f>
        <v>1878.7665000000002</v>
      </c>
      <c r="J339" s="7">
        <f>+Tabla1[[#This Row],[PRECIO EN SOLES]]-Tabla1[[#This Row],[PC]]</f>
        <v>289.81349999999975</v>
      </c>
      <c r="K339" s="15"/>
      <c r="L339" s="15" t="str">
        <f t="shared" si="11"/>
        <v>NORMAL</v>
      </c>
    </row>
    <row r="340" spans="1:12" x14ac:dyDescent="0.25">
      <c r="A340" s="3" t="s">
        <v>814</v>
      </c>
      <c r="B340" s="3" t="s">
        <v>815</v>
      </c>
      <c r="C340" s="1">
        <v>20</v>
      </c>
      <c r="D340" s="1">
        <v>491</v>
      </c>
      <c r="E340" s="1" t="s">
        <v>761</v>
      </c>
      <c r="F340" s="1" t="s">
        <v>4656</v>
      </c>
      <c r="G340" s="3" t="s">
        <v>816</v>
      </c>
      <c r="H340" s="11">
        <f t="shared" si="10"/>
        <v>2306.69</v>
      </c>
      <c r="I340" s="9">
        <f>($K$2+0.02)*Tabla1[[#This Row],[PRECIO $]]*1.18</f>
        <v>1998.8609999999999</v>
      </c>
      <c r="J340" s="7">
        <f>+Tabla1[[#This Row],[PRECIO EN SOLES]]-Tabla1[[#This Row],[PC]]</f>
        <v>307.82900000000018</v>
      </c>
      <c r="K340" s="15"/>
      <c r="L340" s="15" t="str">
        <f t="shared" si="11"/>
        <v>NORMAL</v>
      </c>
    </row>
    <row r="341" spans="1:12" x14ac:dyDescent="0.25">
      <c r="A341" s="3" t="s">
        <v>817</v>
      </c>
      <c r="B341" s="3" t="s">
        <v>818</v>
      </c>
      <c r="C341" s="1">
        <v>2</v>
      </c>
      <c r="D341" s="1">
        <v>300</v>
      </c>
      <c r="E341" s="1" t="s">
        <v>761</v>
      </c>
      <c r="F341" s="1" t="s">
        <v>4657</v>
      </c>
      <c r="G341" s="3" t="s">
        <v>819</v>
      </c>
      <c r="H341" s="11">
        <f t="shared" si="10"/>
        <v>1412.5</v>
      </c>
      <c r="I341" s="9">
        <f>($K$2+0.02)*Tabla1[[#This Row],[PRECIO $]]*1.18</f>
        <v>1221.3</v>
      </c>
      <c r="J341" s="7">
        <f>+Tabla1[[#This Row],[PRECIO EN SOLES]]-Tabla1[[#This Row],[PC]]</f>
        <v>191.20000000000005</v>
      </c>
      <c r="K341" s="15"/>
      <c r="L341" s="15" t="str">
        <f t="shared" si="11"/>
        <v>NORMAL</v>
      </c>
    </row>
    <row r="342" spans="1:12" x14ac:dyDescent="0.25">
      <c r="A342" s="3" t="s">
        <v>820</v>
      </c>
      <c r="B342" s="3" t="s">
        <v>821</v>
      </c>
      <c r="C342" s="1">
        <v>20</v>
      </c>
      <c r="D342" s="1">
        <v>356</v>
      </c>
      <c r="E342" s="1" t="s">
        <v>761</v>
      </c>
      <c r="F342" s="1" t="s">
        <v>4658</v>
      </c>
      <c r="G342" s="3" t="s">
        <v>822</v>
      </c>
      <c r="H342" s="11">
        <f t="shared" si="10"/>
        <v>1674.67</v>
      </c>
      <c r="I342" s="9">
        <f>($K$2+0.02)*Tabla1[[#This Row],[PRECIO $]]*1.18</f>
        <v>1449.2760000000001</v>
      </c>
      <c r="J342" s="7">
        <f>+Tabla1[[#This Row],[PRECIO EN SOLES]]-Tabla1[[#This Row],[PC]]</f>
        <v>225.39400000000001</v>
      </c>
      <c r="K342" s="15"/>
      <c r="L342" s="15" t="str">
        <f t="shared" si="11"/>
        <v>NORMAL</v>
      </c>
    </row>
    <row r="343" spans="1:12" x14ac:dyDescent="0.25">
      <c r="A343" s="3" t="s">
        <v>823</v>
      </c>
      <c r="B343" s="3" t="s">
        <v>824</v>
      </c>
      <c r="C343" s="1">
        <v>20</v>
      </c>
      <c r="D343" s="1">
        <v>579</v>
      </c>
      <c r="E343" s="1" t="s">
        <v>761</v>
      </c>
      <c r="F343" s="1" t="s">
        <v>4659</v>
      </c>
      <c r="G343" s="3" t="s">
        <v>825</v>
      </c>
      <c r="H343" s="11">
        <f t="shared" si="10"/>
        <v>2718.68</v>
      </c>
      <c r="I343" s="9">
        <f>($K$2+0.02)*Tabla1[[#This Row],[PRECIO $]]*1.18</f>
        <v>2357.1089999999999</v>
      </c>
      <c r="J343" s="7">
        <f>+Tabla1[[#This Row],[PRECIO EN SOLES]]-Tabla1[[#This Row],[PC]]</f>
        <v>361.57099999999991</v>
      </c>
      <c r="K343" s="15"/>
      <c r="L343" s="15" t="str">
        <f t="shared" si="11"/>
        <v>NORMAL</v>
      </c>
    </row>
    <row r="344" spans="1:12" x14ac:dyDescent="0.25">
      <c r="A344" s="3" t="s">
        <v>826</v>
      </c>
      <c r="B344" s="3" t="s">
        <v>827</v>
      </c>
      <c r="C344" s="1">
        <v>20</v>
      </c>
      <c r="D344" s="1">
        <v>400</v>
      </c>
      <c r="E344" s="1" t="s">
        <v>761</v>
      </c>
      <c r="F344" s="1" t="s">
        <v>4660</v>
      </c>
      <c r="G344" s="3" t="s">
        <v>828</v>
      </c>
      <c r="H344" s="11">
        <f t="shared" si="10"/>
        <v>1880.66</v>
      </c>
      <c r="I344" s="9">
        <f>($K$2+0.02)*Tabla1[[#This Row],[PRECIO $]]*1.18</f>
        <v>1628.3999999999999</v>
      </c>
      <c r="J344" s="7">
        <f>+Tabla1[[#This Row],[PRECIO EN SOLES]]-Tabla1[[#This Row],[PC]]</f>
        <v>252.26000000000022</v>
      </c>
      <c r="K344" s="15"/>
      <c r="L344" s="15" t="str">
        <f t="shared" si="11"/>
        <v>NORMAL</v>
      </c>
    </row>
    <row r="345" spans="1:12" x14ac:dyDescent="0.25">
      <c r="A345" s="3" t="s">
        <v>829</v>
      </c>
      <c r="B345" s="3" t="s">
        <v>830</v>
      </c>
      <c r="C345" s="1">
        <v>16</v>
      </c>
      <c r="D345" s="1">
        <v>563</v>
      </c>
      <c r="E345" s="1" t="s">
        <v>761</v>
      </c>
      <c r="F345" s="1" t="s">
        <v>4661</v>
      </c>
      <c r="G345" s="3" t="s">
        <v>831</v>
      </c>
      <c r="H345" s="11">
        <f t="shared" si="10"/>
        <v>2643.77</v>
      </c>
      <c r="I345" s="9">
        <f>($K$2+0.02)*Tabla1[[#This Row],[PRECIO $]]*1.18</f>
        <v>2291.973</v>
      </c>
      <c r="J345" s="7">
        <f>+Tabla1[[#This Row],[PRECIO EN SOLES]]-Tabla1[[#This Row],[PC]]</f>
        <v>351.79700000000003</v>
      </c>
      <c r="K345" s="15"/>
      <c r="L345" s="15" t="str">
        <f t="shared" si="11"/>
        <v>NORMAL</v>
      </c>
    </row>
    <row r="346" spans="1:12" x14ac:dyDescent="0.25">
      <c r="A346" s="3" t="s">
        <v>832</v>
      </c>
      <c r="B346" s="3" t="s">
        <v>833</v>
      </c>
      <c r="C346" s="1">
        <v>10</v>
      </c>
      <c r="D346" s="1">
        <v>666</v>
      </c>
      <c r="E346" s="1" t="s">
        <v>761</v>
      </c>
      <c r="F346" s="1" t="s">
        <v>4662</v>
      </c>
      <c r="G346" s="3" t="s">
        <v>834</v>
      </c>
      <c r="H346" s="11">
        <f t="shared" si="10"/>
        <v>3125.98</v>
      </c>
      <c r="I346" s="9">
        <f>($K$2+0.02)*Tabla1[[#This Row],[PRECIO $]]*1.18</f>
        <v>2711.2860000000001</v>
      </c>
      <c r="J346" s="7">
        <f>+Tabla1[[#This Row],[PRECIO EN SOLES]]-Tabla1[[#This Row],[PC]]</f>
        <v>414.69399999999996</v>
      </c>
      <c r="K346" s="15"/>
      <c r="L346" s="15" t="str">
        <f t="shared" si="11"/>
        <v>NORMAL</v>
      </c>
    </row>
    <row r="347" spans="1:12" x14ac:dyDescent="0.25">
      <c r="A347" s="3" t="s">
        <v>4663</v>
      </c>
      <c r="B347" s="3" t="s">
        <v>4664</v>
      </c>
      <c r="C347" s="1">
        <v>10</v>
      </c>
      <c r="D347" s="1">
        <v>915</v>
      </c>
      <c r="E347" s="1" t="s">
        <v>761</v>
      </c>
      <c r="F347" s="1" t="s">
        <v>4665</v>
      </c>
      <c r="G347" s="3" t="s">
        <v>4666</v>
      </c>
      <c r="H347" s="11">
        <f t="shared" si="10"/>
        <v>4291.71</v>
      </c>
      <c r="I347" s="9">
        <f>($K$2+0.02)*Tabla1[[#This Row],[PRECIO $]]*1.18</f>
        <v>3724.9649999999997</v>
      </c>
      <c r="J347" s="7">
        <f>+Tabla1[[#This Row],[PRECIO EN SOLES]]-Tabla1[[#This Row],[PC]]</f>
        <v>566.74500000000035</v>
      </c>
      <c r="K347" s="15"/>
      <c r="L347" s="15" t="str">
        <f t="shared" si="11"/>
        <v>NORMAL</v>
      </c>
    </row>
    <row r="348" spans="1:12" x14ac:dyDescent="0.25">
      <c r="A348" s="3" t="s">
        <v>836</v>
      </c>
      <c r="B348" s="3" t="s">
        <v>837</v>
      </c>
      <c r="C348" s="1">
        <v>0</v>
      </c>
      <c r="D348" s="1">
        <v>94.2</v>
      </c>
      <c r="E348" s="1" t="s">
        <v>835</v>
      </c>
      <c r="F348" s="1" t="s">
        <v>4667</v>
      </c>
      <c r="G348" s="3" t="s">
        <v>838</v>
      </c>
      <c r="H348" s="11">
        <f t="shared" si="10"/>
        <v>449.01</v>
      </c>
      <c r="I348" s="9">
        <f>($K$2+0.02)*Tabla1[[#This Row],[PRECIO $]]*1.18</f>
        <v>383.48820000000001</v>
      </c>
      <c r="J348" s="7">
        <f>+Tabla1[[#This Row],[PRECIO EN SOLES]]-Tabla1[[#This Row],[PC]]</f>
        <v>65.521799999999985</v>
      </c>
      <c r="K348" s="15"/>
      <c r="L348" s="15" t="str">
        <f t="shared" si="11"/>
        <v>NORMAL</v>
      </c>
    </row>
    <row r="349" spans="1:12" x14ac:dyDescent="0.25">
      <c r="A349" s="3" t="s">
        <v>840</v>
      </c>
      <c r="B349" s="3" t="s">
        <v>841</v>
      </c>
      <c r="C349" s="1">
        <v>20</v>
      </c>
      <c r="D349" s="1">
        <v>101.6</v>
      </c>
      <c r="E349" s="1" t="s">
        <v>835</v>
      </c>
      <c r="F349" s="1" t="s">
        <v>4668</v>
      </c>
      <c r="G349" s="3" t="s">
        <v>842</v>
      </c>
      <c r="H349" s="11">
        <f t="shared" si="10"/>
        <v>483.66</v>
      </c>
      <c r="I349" s="9">
        <f>($K$2+0.02)*Tabla1[[#This Row],[PRECIO $]]*1.18</f>
        <v>413.61359999999996</v>
      </c>
      <c r="J349" s="7">
        <f>+Tabla1[[#This Row],[PRECIO EN SOLES]]-Tabla1[[#This Row],[PC]]</f>
        <v>70.046400000000062</v>
      </c>
      <c r="K349" s="15"/>
      <c r="L349" s="15" t="str">
        <f t="shared" si="11"/>
        <v>NORMAL</v>
      </c>
    </row>
    <row r="350" spans="1:12" x14ac:dyDescent="0.25">
      <c r="A350" s="3" t="s">
        <v>4669</v>
      </c>
      <c r="B350" s="3" t="s">
        <v>4670</v>
      </c>
      <c r="C350" s="1">
        <v>9</v>
      </c>
      <c r="D350" s="1">
        <v>93</v>
      </c>
      <c r="E350" s="1" t="s">
        <v>835</v>
      </c>
      <c r="F350" s="1" t="s">
        <v>4671</v>
      </c>
      <c r="G350" s="3" t="s">
        <v>4672</v>
      </c>
      <c r="H350" s="11">
        <f t="shared" si="10"/>
        <v>443.39</v>
      </c>
      <c r="I350" s="9">
        <f>($K$2+0.02)*Tabla1[[#This Row],[PRECIO $]]*1.18</f>
        <v>378.60300000000001</v>
      </c>
      <c r="J350" s="7">
        <f>+Tabla1[[#This Row],[PRECIO EN SOLES]]-Tabla1[[#This Row],[PC]]</f>
        <v>64.786999999999978</v>
      </c>
      <c r="K350" s="15"/>
      <c r="L350" s="15" t="str">
        <f t="shared" si="11"/>
        <v>NORMAL</v>
      </c>
    </row>
    <row r="351" spans="1:12" x14ac:dyDescent="0.25">
      <c r="A351" s="3" t="s">
        <v>843</v>
      </c>
      <c r="B351" s="3" t="s">
        <v>844</v>
      </c>
      <c r="C351" s="1">
        <v>20</v>
      </c>
      <c r="D351" s="1">
        <v>145.30000000000001</v>
      </c>
      <c r="E351" s="1" t="s">
        <v>835</v>
      </c>
      <c r="F351" s="1" t="s">
        <v>4673</v>
      </c>
      <c r="G351" s="3" t="s">
        <v>845</v>
      </c>
      <c r="H351" s="11">
        <f t="shared" si="10"/>
        <v>688.24</v>
      </c>
      <c r="I351" s="9">
        <f>($K$2+0.02)*Tabla1[[#This Row],[PRECIO $]]*1.18</f>
        <v>591.51630000000011</v>
      </c>
      <c r="J351" s="7">
        <f>+Tabla1[[#This Row],[PRECIO EN SOLES]]-Tabla1[[#This Row],[PC]]</f>
        <v>96.723699999999894</v>
      </c>
      <c r="K351" s="15"/>
      <c r="L351" s="15" t="str">
        <f t="shared" si="11"/>
        <v>NORMAL</v>
      </c>
    </row>
    <row r="352" spans="1:12" x14ac:dyDescent="0.25">
      <c r="A352" s="3" t="s">
        <v>6793</v>
      </c>
      <c r="B352" s="3" t="s">
        <v>847</v>
      </c>
      <c r="C352" s="1">
        <v>3</v>
      </c>
      <c r="D352" s="1">
        <v>151</v>
      </c>
      <c r="E352" s="1" t="s">
        <v>835</v>
      </c>
      <c r="F352" s="1" t="s">
        <v>6794</v>
      </c>
      <c r="G352" s="3" t="s">
        <v>848</v>
      </c>
      <c r="H352" s="11">
        <f t="shared" si="10"/>
        <v>714.93</v>
      </c>
      <c r="I352" s="9">
        <f>($K$2+0.02)*Tabla1[[#This Row],[PRECIO $]]*1.18</f>
        <v>614.721</v>
      </c>
      <c r="J352" s="7">
        <f>+Tabla1[[#This Row],[PRECIO EN SOLES]]-Tabla1[[#This Row],[PC]]</f>
        <v>100.20899999999995</v>
      </c>
      <c r="K352" s="15"/>
      <c r="L352" s="15" t="str">
        <f t="shared" si="11"/>
        <v>NORMAL</v>
      </c>
    </row>
    <row r="353" spans="1:12" x14ac:dyDescent="0.25">
      <c r="A353" s="3" t="s">
        <v>846</v>
      </c>
      <c r="B353" s="3" t="s">
        <v>847</v>
      </c>
      <c r="C353" s="1">
        <v>1</v>
      </c>
      <c r="D353" s="1">
        <v>238</v>
      </c>
      <c r="E353" s="1" t="s">
        <v>839</v>
      </c>
      <c r="F353" s="1" t="s">
        <v>4674</v>
      </c>
      <c r="G353" s="3" t="s">
        <v>848</v>
      </c>
      <c r="H353" s="11">
        <f t="shared" si="10"/>
        <v>1122.23</v>
      </c>
      <c r="I353" s="9">
        <f>($K$2+0.02)*Tabla1[[#This Row],[PRECIO $]]*1.18</f>
        <v>968.89800000000002</v>
      </c>
      <c r="J353" s="7">
        <f>+Tabla1[[#This Row],[PRECIO EN SOLES]]-Tabla1[[#This Row],[PC]]</f>
        <v>153.33199999999999</v>
      </c>
      <c r="K353" s="15"/>
      <c r="L353" s="15" t="str">
        <f t="shared" si="11"/>
        <v>NORMAL</v>
      </c>
    </row>
    <row r="354" spans="1:12" x14ac:dyDescent="0.25">
      <c r="A354" s="3" t="s">
        <v>849</v>
      </c>
      <c r="B354" s="3" t="s">
        <v>847</v>
      </c>
      <c r="C354" s="1">
        <v>0</v>
      </c>
      <c r="D354" s="1">
        <v>237</v>
      </c>
      <c r="E354" s="1" t="s">
        <v>839</v>
      </c>
      <c r="F354" s="1" t="s">
        <v>4675</v>
      </c>
      <c r="G354" s="3" t="s">
        <v>848</v>
      </c>
      <c r="H354" s="11">
        <f t="shared" si="10"/>
        <v>1117.55</v>
      </c>
      <c r="I354" s="9">
        <f>($K$2+0.02)*Tabla1[[#This Row],[PRECIO $]]*1.18</f>
        <v>964.82700000000011</v>
      </c>
      <c r="J354" s="7">
        <f>+Tabla1[[#This Row],[PRECIO EN SOLES]]-Tabla1[[#This Row],[PC]]</f>
        <v>152.72299999999984</v>
      </c>
      <c r="K354" s="15"/>
      <c r="L354" s="15" t="str">
        <f t="shared" si="11"/>
        <v>NORMAL</v>
      </c>
    </row>
    <row r="355" spans="1:12" x14ac:dyDescent="0.25">
      <c r="A355" s="3" t="s">
        <v>850</v>
      </c>
      <c r="B355" s="3" t="s">
        <v>851</v>
      </c>
      <c r="C355" s="1">
        <v>0</v>
      </c>
      <c r="D355" s="1">
        <v>282</v>
      </c>
      <c r="E355" s="1" t="s">
        <v>835</v>
      </c>
      <c r="F355" s="1" t="s">
        <v>4676</v>
      </c>
      <c r="G355" s="3" t="s">
        <v>852</v>
      </c>
      <c r="H355" s="11">
        <f t="shared" si="10"/>
        <v>1328.23</v>
      </c>
      <c r="I355" s="9">
        <f>($K$2+0.02)*Tabla1[[#This Row],[PRECIO $]]*1.18</f>
        <v>1148.0219999999999</v>
      </c>
      <c r="J355" s="7">
        <f>+Tabla1[[#This Row],[PRECIO EN SOLES]]-Tabla1[[#This Row],[PC]]</f>
        <v>180.20800000000008</v>
      </c>
      <c r="K355" s="15"/>
      <c r="L355" s="15" t="str">
        <f t="shared" si="11"/>
        <v>NORMAL</v>
      </c>
    </row>
    <row r="356" spans="1:12" x14ac:dyDescent="0.25">
      <c r="A356" s="3" t="s">
        <v>853</v>
      </c>
      <c r="B356" s="3" t="s">
        <v>854</v>
      </c>
      <c r="C356" s="1">
        <v>20</v>
      </c>
      <c r="D356" s="1">
        <v>173.4</v>
      </c>
      <c r="E356" s="1" t="s">
        <v>835</v>
      </c>
      <c r="F356" s="1" t="s">
        <v>4677</v>
      </c>
      <c r="G356" s="3" t="s">
        <v>855</v>
      </c>
      <c r="H356" s="11">
        <f t="shared" si="10"/>
        <v>819.8</v>
      </c>
      <c r="I356" s="9">
        <f>($K$2+0.02)*Tabla1[[#This Row],[PRECIO $]]*1.18</f>
        <v>705.91139999999996</v>
      </c>
      <c r="J356" s="7">
        <f>+Tabla1[[#This Row],[PRECIO EN SOLES]]-Tabla1[[#This Row],[PC]]</f>
        <v>113.8886</v>
      </c>
      <c r="K356" s="15"/>
      <c r="L356" s="15" t="str">
        <f t="shared" si="11"/>
        <v>NORMAL</v>
      </c>
    </row>
    <row r="357" spans="1:12" x14ac:dyDescent="0.25">
      <c r="A357" s="3" t="s">
        <v>856</v>
      </c>
      <c r="B357" s="3" t="s">
        <v>857</v>
      </c>
      <c r="C357" s="1">
        <v>6</v>
      </c>
      <c r="D357" s="1">
        <v>243.5</v>
      </c>
      <c r="E357" s="1" t="s">
        <v>835</v>
      </c>
      <c r="F357" s="1" t="s">
        <v>4678</v>
      </c>
      <c r="G357" s="3" t="s">
        <v>858</v>
      </c>
      <c r="H357" s="11">
        <f t="shared" si="10"/>
        <v>1147.98</v>
      </c>
      <c r="I357" s="9">
        <f>($K$2+0.02)*Tabla1[[#This Row],[PRECIO $]]*1.18</f>
        <v>991.2885</v>
      </c>
      <c r="J357" s="7">
        <f>+Tabla1[[#This Row],[PRECIO EN SOLES]]-Tabla1[[#This Row],[PC]]</f>
        <v>156.69150000000002</v>
      </c>
      <c r="K357" s="15"/>
      <c r="L357" s="15" t="str">
        <f t="shared" si="11"/>
        <v>NORMAL</v>
      </c>
    </row>
    <row r="358" spans="1:12" x14ac:dyDescent="0.25">
      <c r="A358" s="3" t="s">
        <v>859</v>
      </c>
      <c r="B358" s="3" t="s">
        <v>860</v>
      </c>
      <c r="C358" s="1">
        <v>20</v>
      </c>
      <c r="D358" s="1">
        <v>329.5</v>
      </c>
      <c r="E358" s="1" t="s">
        <v>835</v>
      </c>
      <c r="F358" s="1" t="s">
        <v>4679</v>
      </c>
      <c r="G358" s="3" t="s">
        <v>861</v>
      </c>
      <c r="H358" s="11">
        <f t="shared" si="10"/>
        <v>1550.6</v>
      </c>
      <c r="I358" s="9">
        <f>($K$2+0.02)*Tabla1[[#This Row],[PRECIO $]]*1.18</f>
        <v>1341.3945000000001</v>
      </c>
      <c r="J358" s="7">
        <f>+Tabla1[[#This Row],[PRECIO EN SOLES]]-Tabla1[[#This Row],[PC]]</f>
        <v>209.2054999999998</v>
      </c>
      <c r="K358" s="15"/>
      <c r="L358" s="15" t="str">
        <f t="shared" si="11"/>
        <v>NORMAL</v>
      </c>
    </row>
    <row r="359" spans="1:12" x14ac:dyDescent="0.25">
      <c r="A359" s="3" t="s">
        <v>862</v>
      </c>
      <c r="B359" s="3" t="s">
        <v>863</v>
      </c>
      <c r="C359" s="1">
        <v>20</v>
      </c>
      <c r="D359" s="1">
        <v>347</v>
      </c>
      <c r="E359" s="1" t="s">
        <v>835</v>
      </c>
      <c r="F359" s="1" t="s">
        <v>4680</v>
      </c>
      <c r="G359" s="3" t="s">
        <v>864</v>
      </c>
      <c r="H359" s="11">
        <f t="shared" si="10"/>
        <v>1632.53</v>
      </c>
      <c r="I359" s="9">
        <f>($K$2+0.02)*Tabla1[[#This Row],[PRECIO $]]*1.18</f>
        <v>1412.6369999999999</v>
      </c>
      <c r="J359" s="7">
        <f>+Tabla1[[#This Row],[PRECIO EN SOLES]]-Tabla1[[#This Row],[PC]]</f>
        <v>219.89300000000003</v>
      </c>
      <c r="K359" s="15"/>
      <c r="L359" s="15" t="str">
        <f t="shared" si="11"/>
        <v>NORMAL</v>
      </c>
    </row>
    <row r="360" spans="1:12" x14ac:dyDescent="0.25">
      <c r="A360" s="3" t="s">
        <v>865</v>
      </c>
      <c r="B360" s="3" t="s">
        <v>866</v>
      </c>
      <c r="C360" s="1">
        <v>1</v>
      </c>
      <c r="D360" s="1">
        <v>406</v>
      </c>
      <c r="E360" s="1" t="s">
        <v>835</v>
      </c>
      <c r="F360" s="1" t="s">
        <v>4681</v>
      </c>
      <c r="G360" s="3" t="s">
        <v>867</v>
      </c>
      <c r="H360" s="11">
        <f t="shared" si="10"/>
        <v>1908.75</v>
      </c>
      <c r="I360" s="9">
        <f>($K$2+0.02)*Tabla1[[#This Row],[PRECIO $]]*1.18</f>
        <v>1652.826</v>
      </c>
      <c r="J360" s="7">
        <f>+Tabla1[[#This Row],[PRECIO EN SOLES]]-Tabla1[[#This Row],[PC]]</f>
        <v>255.92399999999998</v>
      </c>
      <c r="K360" s="15"/>
      <c r="L360" s="15" t="str">
        <f t="shared" si="11"/>
        <v>NORMAL</v>
      </c>
    </row>
    <row r="361" spans="1:12" x14ac:dyDescent="0.25">
      <c r="A361" s="3" t="s">
        <v>868</v>
      </c>
      <c r="B361" s="3" t="s">
        <v>869</v>
      </c>
      <c r="C361" s="1">
        <v>14</v>
      </c>
      <c r="D361" s="1">
        <v>458</v>
      </c>
      <c r="E361" s="1" t="s">
        <v>839</v>
      </c>
      <c r="F361" s="1" t="s">
        <v>4682</v>
      </c>
      <c r="G361" s="3"/>
      <c r="H361" s="11">
        <f t="shared" si="10"/>
        <v>2152.1999999999998</v>
      </c>
      <c r="I361" s="9">
        <f>($K$2+0.02)*Tabla1[[#This Row],[PRECIO $]]*1.18</f>
        <v>1864.518</v>
      </c>
      <c r="J361" s="7">
        <f>+Tabla1[[#This Row],[PRECIO EN SOLES]]-Tabla1[[#This Row],[PC]]</f>
        <v>287.68199999999979</v>
      </c>
      <c r="K361" s="15"/>
      <c r="L361" s="15" t="str">
        <f t="shared" si="11"/>
        <v>NORMAL</v>
      </c>
    </row>
    <row r="362" spans="1:12" x14ac:dyDescent="0.25">
      <c r="A362" s="3" t="s">
        <v>870</v>
      </c>
      <c r="B362" s="3" t="s">
        <v>871</v>
      </c>
      <c r="C362" s="1">
        <v>20</v>
      </c>
      <c r="D362" s="1">
        <v>596</v>
      </c>
      <c r="E362" s="1" t="s">
        <v>835</v>
      </c>
      <c r="F362" s="1" t="s">
        <v>4683</v>
      </c>
      <c r="G362" s="3" t="s">
        <v>872</v>
      </c>
      <c r="H362" s="11">
        <f t="shared" si="10"/>
        <v>2798.26</v>
      </c>
      <c r="I362" s="9">
        <f>($K$2+0.02)*Tabla1[[#This Row],[PRECIO $]]*1.18</f>
        <v>2426.3160000000003</v>
      </c>
      <c r="J362" s="7">
        <f>+Tabla1[[#This Row],[PRECIO EN SOLES]]-Tabla1[[#This Row],[PC]]</f>
        <v>371.94399999999996</v>
      </c>
      <c r="K362" s="15"/>
      <c r="L362" s="15" t="str">
        <f t="shared" si="11"/>
        <v>NORMAL</v>
      </c>
    </row>
    <row r="363" spans="1:12" x14ac:dyDescent="0.25">
      <c r="A363" s="3" t="s">
        <v>873</v>
      </c>
      <c r="B363" s="3" t="s">
        <v>874</v>
      </c>
      <c r="C363" s="1">
        <v>16</v>
      </c>
      <c r="D363" s="1">
        <v>568.86</v>
      </c>
      <c r="E363" s="1" t="s">
        <v>835</v>
      </c>
      <c r="F363" s="1" t="s">
        <v>4684</v>
      </c>
      <c r="G363" s="3" t="s">
        <v>875</v>
      </c>
      <c r="H363" s="11">
        <f t="shared" si="10"/>
        <v>2671.2</v>
      </c>
      <c r="I363" s="9">
        <f>($K$2+0.02)*Tabla1[[#This Row],[PRECIO $]]*1.18</f>
        <v>2315.82906</v>
      </c>
      <c r="J363" s="7">
        <f>+Tabla1[[#This Row],[PRECIO EN SOLES]]-Tabla1[[#This Row],[PC]]</f>
        <v>355.37093999999979</v>
      </c>
      <c r="K363" s="15"/>
      <c r="L363" s="15" t="str">
        <f t="shared" si="11"/>
        <v>NORMAL</v>
      </c>
    </row>
    <row r="364" spans="1:12" x14ac:dyDescent="0.25">
      <c r="A364" s="3" t="s">
        <v>876</v>
      </c>
      <c r="B364" s="3" t="s">
        <v>877</v>
      </c>
      <c r="C364" s="1">
        <v>20</v>
      </c>
      <c r="D364" s="1">
        <v>566</v>
      </c>
      <c r="E364" s="1" t="s">
        <v>835</v>
      </c>
      <c r="F364" s="1" t="s">
        <v>4685</v>
      </c>
      <c r="G364" s="3" t="s">
        <v>878</v>
      </c>
      <c r="H364" s="11">
        <f t="shared" si="10"/>
        <v>2657.81</v>
      </c>
      <c r="I364" s="9">
        <f>($K$2+0.02)*Tabla1[[#This Row],[PRECIO $]]*1.18</f>
        <v>2304.1860000000001</v>
      </c>
      <c r="J364" s="7">
        <f>+Tabla1[[#This Row],[PRECIO EN SOLES]]-Tabla1[[#This Row],[PC]]</f>
        <v>353.6239999999998</v>
      </c>
      <c r="K364" s="15"/>
      <c r="L364" s="15" t="str">
        <f t="shared" si="11"/>
        <v>NORMAL</v>
      </c>
    </row>
    <row r="365" spans="1:12" x14ac:dyDescent="0.25">
      <c r="A365" s="3" t="s">
        <v>879</v>
      </c>
      <c r="B365" s="3" t="s">
        <v>880</v>
      </c>
      <c r="C365" s="1">
        <v>20</v>
      </c>
      <c r="D365" s="1">
        <v>522</v>
      </c>
      <c r="E365" s="1" t="s">
        <v>835</v>
      </c>
      <c r="F365" s="1" t="s">
        <v>4686</v>
      </c>
      <c r="G365" s="3" t="s">
        <v>881</v>
      </c>
      <c r="H365" s="11">
        <f t="shared" si="10"/>
        <v>2451.8200000000002</v>
      </c>
      <c r="I365" s="9">
        <f>($K$2+0.02)*Tabla1[[#This Row],[PRECIO $]]*1.18</f>
        <v>2125.0619999999999</v>
      </c>
      <c r="J365" s="7">
        <f>+Tabla1[[#This Row],[PRECIO EN SOLES]]-Tabla1[[#This Row],[PC]]</f>
        <v>326.75800000000027</v>
      </c>
      <c r="K365" s="15"/>
      <c r="L365" s="15" t="str">
        <f t="shared" si="11"/>
        <v>NORMAL</v>
      </c>
    </row>
    <row r="366" spans="1:12" x14ac:dyDescent="0.25">
      <c r="A366" s="3" t="s">
        <v>882</v>
      </c>
      <c r="B366" s="3" t="s">
        <v>883</v>
      </c>
      <c r="C366" s="1">
        <v>2</v>
      </c>
      <c r="D366" s="1">
        <v>710.63</v>
      </c>
      <c r="E366" s="1" t="s">
        <v>835</v>
      </c>
      <c r="F366" s="1" t="s">
        <v>4687</v>
      </c>
      <c r="G366" s="3" t="s">
        <v>884</v>
      </c>
      <c r="H366" s="11">
        <f t="shared" si="10"/>
        <v>3334.92</v>
      </c>
      <c r="I366" s="9">
        <f>($K$2+0.02)*Tabla1[[#This Row],[PRECIO $]]*1.18</f>
        <v>2892.9747300000004</v>
      </c>
      <c r="J366" s="7">
        <f>+Tabla1[[#This Row],[PRECIO EN SOLES]]-Tabla1[[#This Row],[PC]]</f>
        <v>441.94526999999971</v>
      </c>
      <c r="K366" s="15"/>
      <c r="L366" s="15" t="str">
        <f t="shared" si="11"/>
        <v>NORMAL</v>
      </c>
    </row>
    <row r="367" spans="1:12" x14ac:dyDescent="0.25">
      <c r="A367" s="3" t="s">
        <v>885</v>
      </c>
      <c r="B367" s="3" t="s">
        <v>886</v>
      </c>
      <c r="C367" s="1">
        <v>20</v>
      </c>
      <c r="D367" s="1">
        <v>188.5</v>
      </c>
      <c r="E367" s="1" t="s">
        <v>835</v>
      </c>
      <c r="F367" s="1" t="s">
        <v>4688</v>
      </c>
      <c r="G367" s="3" t="s">
        <v>887</v>
      </c>
      <c r="H367" s="11">
        <f t="shared" si="10"/>
        <v>890.49</v>
      </c>
      <c r="I367" s="9">
        <f>($K$2+0.02)*Tabla1[[#This Row],[PRECIO $]]*1.18</f>
        <v>767.38350000000003</v>
      </c>
      <c r="J367" s="7">
        <f>+Tabla1[[#This Row],[PRECIO EN SOLES]]-Tabla1[[#This Row],[PC]]</f>
        <v>123.10649999999998</v>
      </c>
      <c r="K367" s="15"/>
      <c r="L367" s="15" t="str">
        <f t="shared" si="11"/>
        <v>NORMAL</v>
      </c>
    </row>
    <row r="368" spans="1:12" x14ac:dyDescent="0.25">
      <c r="A368" s="3" t="s">
        <v>888</v>
      </c>
      <c r="B368" s="3" t="s">
        <v>889</v>
      </c>
      <c r="C368" s="1">
        <v>20</v>
      </c>
      <c r="D368" s="1">
        <v>168</v>
      </c>
      <c r="E368" s="1" t="s">
        <v>835</v>
      </c>
      <c r="F368" s="1" t="s">
        <v>4689</v>
      </c>
      <c r="G368" s="3" t="s">
        <v>890</v>
      </c>
      <c r="H368" s="11">
        <f t="shared" si="10"/>
        <v>794.52</v>
      </c>
      <c r="I368" s="9">
        <f>($K$2+0.02)*Tabla1[[#This Row],[PRECIO $]]*1.18</f>
        <v>683.928</v>
      </c>
      <c r="J368" s="7">
        <f>+Tabla1[[#This Row],[PRECIO EN SOLES]]-Tabla1[[#This Row],[PC]]</f>
        <v>110.59199999999998</v>
      </c>
      <c r="K368" s="15"/>
      <c r="L368" s="15" t="str">
        <f t="shared" si="11"/>
        <v>NORMAL</v>
      </c>
    </row>
    <row r="369" spans="1:12" x14ac:dyDescent="0.25">
      <c r="A369" s="3" t="s">
        <v>891</v>
      </c>
      <c r="B369" s="3" t="s">
        <v>892</v>
      </c>
      <c r="C369" s="1">
        <v>20</v>
      </c>
      <c r="D369" s="1">
        <v>215</v>
      </c>
      <c r="E369" s="1" t="s">
        <v>835</v>
      </c>
      <c r="F369" s="1" t="s">
        <v>4690</v>
      </c>
      <c r="G369" s="3" t="s">
        <v>893</v>
      </c>
      <c r="H369" s="11">
        <f t="shared" si="10"/>
        <v>1014.55</v>
      </c>
      <c r="I369" s="9">
        <f>($K$2+0.02)*Tabla1[[#This Row],[PRECIO $]]*1.18</f>
        <v>875.26499999999999</v>
      </c>
      <c r="J369" s="7">
        <f>+Tabla1[[#This Row],[PRECIO EN SOLES]]-Tabla1[[#This Row],[PC]]</f>
        <v>139.28499999999997</v>
      </c>
      <c r="K369" s="15"/>
      <c r="L369" s="15" t="str">
        <f t="shared" si="11"/>
        <v>NORMAL</v>
      </c>
    </row>
    <row r="370" spans="1:12" x14ac:dyDescent="0.25">
      <c r="A370" s="3" t="s">
        <v>894</v>
      </c>
      <c r="B370" s="3" t="s">
        <v>895</v>
      </c>
      <c r="C370" s="1">
        <v>20</v>
      </c>
      <c r="D370" s="1">
        <v>207.5</v>
      </c>
      <c r="E370" s="1" t="s">
        <v>835</v>
      </c>
      <c r="F370" s="1" t="s">
        <v>4691</v>
      </c>
      <c r="G370" s="3" t="s">
        <v>896</v>
      </c>
      <c r="H370" s="11">
        <f t="shared" si="10"/>
        <v>979.44</v>
      </c>
      <c r="I370" s="9">
        <f>($K$2+0.02)*Tabla1[[#This Row],[PRECIO $]]*1.18</f>
        <v>844.73249999999996</v>
      </c>
      <c r="J370" s="7">
        <f>+Tabla1[[#This Row],[PRECIO EN SOLES]]-Tabla1[[#This Row],[PC]]</f>
        <v>134.7075000000001</v>
      </c>
      <c r="K370" s="15"/>
      <c r="L370" s="15" t="str">
        <f t="shared" si="11"/>
        <v>NORMAL</v>
      </c>
    </row>
    <row r="371" spans="1:12" x14ac:dyDescent="0.25">
      <c r="A371" s="3" t="s">
        <v>897</v>
      </c>
      <c r="B371" s="3" t="s">
        <v>898</v>
      </c>
      <c r="C371" s="1">
        <v>20</v>
      </c>
      <c r="D371" s="1">
        <v>209</v>
      </c>
      <c r="E371" s="1" t="s">
        <v>835</v>
      </c>
      <c r="F371" s="1" t="s">
        <v>4692</v>
      </c>
      <c r="G371" s="3" t="s">
        <v>6795</v>
      </c>
      <c r="H371" s="11">
        <f t="shared" si="10"/>
        <v>986.46</v>
      </c>
      <c r="I371" s="9">
        <f>($K$2+0.02)*Tabla1[[#This Row],[PRECIO $]]*1.18</f>
        <v>850.83900000000006</v>
      </c>
      <c r="J371" s="7">
        <f>+Tabla1[[#This Row],[PRECIO EN SOLES]]-Tabla1[[#This Row],[PC]]</f>
        <v>135.62099999999998</v>
      </c>
      <c r="K371" s="15"/>
      <c r="L371" s="15" t="str">
        <f t="shared" si="11"/>
        <v>NORMAL</v>
      </c>
    </row>
    <row r="372" spans="1:12" x14ac:dyDescent="0.25">
      <c r="A372" s="3" t="s">
        <v>4693</v>
      </c>
      <c r="B372" s="3" t="s">
        <v>4694</v>
      </c>
      <c r="C372" s="1">
        <v>20</v>
      </c>
      <c r="D372" s="1">
        <v>225.25</v>
      </c>
      <c r="E372" s="1" t="s">
        <v>835</v>
      </c>
      <c r="F372" s="1" t="s">
        <v>4695</v>
      </c>
      <c r="G372" s="3"/>
      <c r="H372" s="11">
        <f t="shared" si="10"/>
        <v>1062.54</v>
      </c>
      <c r="I372" s="9">
        <f>($K$2+0.02)*Tabla1[[#This Row],[PRECIO $]]*1.18</f>
        <v>916.99275</v>
      </c>
      <c r="J372" s="7">
        <f>+Tabla1[[#This Row],[PRECIO EN SOLES]]-Tabla1[[#This Row],[PC]]</f>
        <v>145.54724999999996</v>
      </c>
      <c r="K372" s="15"/>
      <c r="L372" s="15" t="str">
        <f t="shared" si="11"/>
        <v>NORMAL</v>
      </c>
    </row>
    <row r="373" spans="1:12" x14ac:dyDescent="0.25">
      <c r="A373" s="3" t="s">
        <v>899</v>
      </c>
      <c r="B373" s="3" t="s">
        <v>900</v>
      </c>
      <c r="C373" s="1">
        <v>20</v>
      </c>
      <c r="D373" s="1">
        <v>370</v>
      </c>
      <c r="E373" s="1" t="s">
        <v>835</v>
      </c>
      <c r="F373" s="1" t="s">
        <v>4696</v>
      </c>
      <c r="G373" s="3" t="s">
        <v>901</v>
      </c>
      <c r="H373" s="11">
        <f t="shared" si="10"/>
        <v>1740.21</v>
      </c>
      <c r="I373" s="9">
        <f>($K$2+0.02)*Tabla1[[#This Row],[PRECIO $]]*1.18</f>
        <v>1506.27</v>
      </c>
      <c r="J373" s="7">
        <f>+Tabla1[[#This Row],[PRECIO EN SOLES]]-Tabla1[[#This Row],[PC]]</f>
        <v>233.94000000000005</v>
      </c>
      <c r="K373" s="15"/>
      <c r="L373" s="15" t="str">
        <f t="shared" si="11"/>
        <v>NORMAL</v>
      </c>
    </row>
    <row r="374" spans="1:12" x14ac:dyDescent="0.25">
      <c r="A374" s="3" t="s">
        <v>902</v>
      </c>
      <c r="B374" s="3" t="s">
        <v>903</v>
      </c>
      <c r="C374" s="1">
        <v>20</v>
      </c>
      <c r="D374" s="1">
        <v>354</v>
      </c>
      <c r="E374" s="1" t="s">
        <v>835</v>
      </c>
      <c r="F374" s="1" t="s">
        <v>4697</v>
      </c>
      <c r="G374" s="3" t="s">
        <v>904</v>
      </c>
      <c r="H374" s="11">
        <f t="shared" si="10"/>
        <v>1665.3</v>
      </c>
      <c r="I374" s="9">
        <f>($K$2+0.02)*Tabla1[[#This Row],[PRECIO $]]*1.18</f>
        <v>1441.1339999999998</v>
      </c>
      <c r="J374" s="7">
        <f>+Tabla1[[#This Row],[PRECIO EN SOLES]]-Tabla1[[#This Row],[PC]]</f>
        <v>224.16600000000017</v>
      </c>
      <c r="K374" s="15"/>
      <c r="L374" s="15" t="str">
        <f t="shared" si="11"/>
        <v>NORMAL</v>
      </c>
    </row>
    <row r="375" spans="1:12" x14ac:dyDescent="0.25">
      <c r="A375" s="3" t="s">
        <v>905</v>
      </c>
      <c r="B375" s="3" t="s">
        <v>906</v>
      </c>
      <c r="C375" s="1">
        <v>20</v>
      </c>
      <c r="D375" s="1">
        <v>308.5</v>
      </c>
      <c r="E375" s="1" t="s">
        <v>835</v>
      </c>
      <c r="F375" s="1" t="s">
        <v>4698</v>
      </c>
      <c r="G375" s="3" t="s">
        <v>907</v>
      </c>
      <c r="H375" s="11">
        <f t="shared" si="10"/>
        <v>1452.29</v>
      </c>
      <c r="I375" s="9">
        <f>($K$2+0.02)*Tabla1[[#This Row],[PRECIO $]]*1.18</f>
        <v>1255.9034999999999</v>
      </c>
      <c r="J375" s="7">
        <f>+Tabla1[[#This Row],[PRECIO EN SOLES]]-Tabla1[[#This Row],[PC]]</f>
        <v>196.38650000000007</v>
      </c>
      <c r="K375" s="15"/>
      <c r="L375" s="15" t="str">
        <f t="shared" si="11"/>
        <v>NORMAL</v>
      </c>
    </row>
    <row r="376" spans="1:12" x14ac:dyDescent="0.25">
      <c r="A376" s="3" t="s">
        <v>4699</v>
      </c>
      <c r="B376" s="3" t="s">
        <v>4700</v>
      </c>
      <c r="C376" s="1">
        <v>20</v>
      </c>
      <c r="D376" s="1">
        <v>333</v>
      </c>
      <c r="E376" s="1" t="s">
        <v>835</v>
      </c>
      <c r="F376" s="1" t="s">
        <v>4701</v>
      </c>
      <c r="G376" s="3" t="s">
        <v>6796</v>
      </c>
      <c r="H376" s="11">
        <f t="shared" si="10"/>
        <v>1566.99</v>
      </c>
      <c r="I376" s="9">
        <f>($K$2+0.02)*Tabla1[[#This Row],[PRECIO $]]*1.18</f>
        <v>1355.643</v>
      </c>
      <c r="J376" s="7">
        <f>+Tabla1[[#This Row],[PRECIO EN SOLES]]-Tabla1[[#This Row],[PC]]</f>
        <v>211.34699999999998</v>
      </c>
      <c r="K376" s="15"/>
      <c r="L376" s="15" t="str">
        <f t="shared" si="11"/>
        <v>NORMAL</v>
      </c>
    </row>
    <row r="377" spans="1:12" x14ac:dyDescent="0.25">
      <c r="A377" s="3" t="s">
        <v>908</v>
      </c>
      <c r="B377" s="3" t="s">
        <v>909</v>
      </c>
      <c r="C377" s="1">
        <v>19</v>
      </c>
      <c r="D377" s="1">
        <v>591.80999999999995</v>
      </c>
      <c r="E377" s="1" t="s">
        <v>835</v>
      </c>
      <c r="F377" s="1" t="s">
        <v>4702</v>
      </c>
      <c r="G377" s="3" t="s">
        <v>910</v>
      </c>
      <c r="H377" s="11">
        <f t="shared" si="10"/>
        <v>2778.65</v>
      </c>
      <c r="I377" s="9">
        <f>($K$2+0.02)*Tabla1[[#This Row],[PRECIO $]]*1.18</f>
        <v>2409.2585100000001</v>
      </c>
      <c r="J377" s="7">
        <f>+Tabla1[[#This Row],[PRECIO EN SOLES]]-Tabla1[[#This Row],[PC]]</f>
        <v>369.39148999999998</v>
      </c>
      <c r="K377" s="15"/>
      <c r="L377" s="15" t="str">
        <f t="shared" si="11"/>
        <v>NORMAL</v>
      </c>
    </row>
    <row r="378" spans="1:12" x14ac:dyDescent="0.25">
      <c r="A378" s="3" t="s">
        <v>911</v>
      </c>
      <c r="B378" s="3" t="s">
        <v>912</v>
      </c>
      <c r="C378" s="1">
        <v>20</v>
      </c>
      <c r="D378" s="1">
        <v>603.5</v>
      </c>
      <c r="E378" s="1" t="s">
        <v>835</v>
      </c>
      <c r="F378" s="1" t="s">
        <v>4703</v>
      </c>
      <c r="G378" s="3" t="s">
        <v>913</v>
      </c>
      <c r="H378" s="11">
        <f t="shared" si="10"/>
        <v>2833.38</v>
      </c>
      <c r="I378" s="9">
        <f>($K$2+0.02)*Tabla1[[#This Row],[PRECIO $]]*1.18</f>
        <v>2456.8485000000001</v>
      </c>
      <c r="J378" s="7">
        <f>+Tabla1[[#This Row],[PRECIO EN SOLES]]-Tabla1[[#This Row],[PC]]</f>
        <v>376.53150000000005</v>
      </c>
      <c r="K378" s="15"/>
      <c r="L378" s="15" t="str">
        <f t="shared" si="11"/>
        <v>NORMAL</v>
      </c>
    </row>
    <row r="379" spans="1:12" x14ac:dyDescent="0.25">
      <c r="A379" s="3" t="s">
        <v>914</v>
      </c>
      <c r="B379" s="3" t="s">
        <v>915</v>
      </c>
      <c r="C379" s="1">
        <v>16</v>
      </c>
      <c r="D379" s="1">
        <v>384.5</v>
      </c>
      <c r="E379" s="1" t="s">
        <v>916</v>
      </c>
      <c r="F379" s="1" t="s">
        <v>4704</v>
      </c>
      <c r="G379" s="3" t="s">
        <v>917</v>
      </c>
      <c r="H379" s="11">
        <f t="shared" si="10"/>
        <v>1808.09</v>
      </c>
      <c r="I379" s="9">
        <f>($K$2+0.02)*Tabla1[[#This Row],[PRECIO $]]*1.18</f>
        <v>1565.2995000000001</v>
      </c>
      <c r="J379" s="7">
        <f>+Tabla1[[#This Row],[PRECIO EN SOLES]]-Tabla1[[#This Row],[PC]]</f>
        <v>242.79049999999984</v>
      </c>
      <c r="K379" s="15"/>
      <c r="L379" s="15" t="str">
        <f t="shared" si="11"/>
        <v>NORMAL</v>
      </c>
    </row>
    <row r="380" spans="1:12" x14ac:dyDescent="0.25">
      <c r="A380" s="3" t="s">
        <v>918</v>
      </c>
      <c r="B380" s="3" t="s">
        <v>919</v>
      </c>
      <c r="C380" s="1">
        <v>13</v>
      </c>
      <c r="D380" s="1">
        <v>371</v>
      </c>
      <c r="E380" s="1" t="s">
        <v>333</v>
      </c>
      <c r="F380" s="1" t="s">
        <v>4705</v>
      </c>
      <c r="G380" s="3" t="s">
        <v>920</v>
      </c>
      <c r="H380" s="11">
        <f t="shared" si="10"/>
        <v>1744.89</v>
      </c>
      <c r="I380" s="9">
        <f>($K$2+0.02)*Tabla1[[#This Row],[PRECIO $]]*1.18</f>
        <v>1510.3409999999999</v>
      </c>
      <c r="J380" s="7">
        <f>+Tabla1[[#This Row],[PRECIO EN SOLES]]-Tabla1[[#This Row],[PC]]</f>
        <v>234.54900000000021</v>
      </c>
      <c r="K380" s="15"/>
      <c r="L380" s="15" t="str">
        <f t="shared" si="11"/>
        <v>NORMAL</v>
      </c>
    </row>
    <row r="381" spans="1:12" x14ac:dyDescent="0.25">
      <c r="A381" s="3" t="s">
        <v>921</v>
      </c>
      <c r="B381" s="3" t="s">
        <v>922</v>
      </c>
      <c r="C381" s="1">
        <v>0</v>
      </c>
      <c r="D381" s="1">
        <v>419.5</v>
      </c>
      <c r="E381" s="1" t="s">
        <v>333</v>
      </c>
      <c r="F381" s="1" t="s">
        <v>4706</v>
      </c>
      <c r="G381" s="3"/>
      <c r="H381" s="11">
        <f t="shared" si="10"/>
        <v>1971.95</v>
      </c>
      <c r="I381" s="9">
        <f>($K$2+0.02)*Tabla1[[#This Row],[PRECIO $]]*1.18</f>
        <v>1707.7845</v>
      </c>
      <c r="J381" s="7">
        <f>+Tabla1[[#This Row],[PRECIO EN SOLES]]-Tabla1[[#This Row],[PC]]</f>
        <v>264.16550000000007</v>
      </c>
      <c r="K381" s="15"/>
      <c r="L381" s="15" t="str">
        <f t="shared" si="11"/>
        <v>NORMAL</v>
      </c>
    </row>
    <row r="382" spans="1:12" x14ac:dyDescent="0.25">
      <c r="A382" s="3" t="s">
        <v>923</v>
      </c>
      <c r="B382" s="3" t="s">
        <v>924</v>
      </c>
      <c r="C382" s="1">
        <v>20</v>
      </c>
      <c r="D382" s="1">
        <v>469</v>
      </c>
      <c r="E382" s="1" t="s">
        <v>333</v>
      </c>
      <c r="F382" s="1" t="s">
        <v>4707</v>
      </c>
      <c r="G382" s="3"/>
      <c r="H382" s="11">
        <f t="shared" si="10"/>
        <v>2203.69</v>
      </c>
      <c r="I382" s="9">
        <f>($K$2+0.02)*Tabla1[[#This Row],[PRECIO $]]*1.18</f>
        <v>1909.2990000000002</v>
      </c>
      <c r="J382" s="7">
        <f>+Tabla1[[#This Row],[PRECIO EN SOLES]]-Tabla1[[#This Row],[PC]]</f>
        <v>294.39099999999985</v>
      </c>
      <c r="K382" s="15"/>
      <c r="L382" s="15" t="str">
        <f t="shared" si="11"/>
        <v>NORMAL</v>
      </c>
    </row>
    <row r="383" spans="1:12" x14ac:dyDescent="0.25">
      <c r="A383" s="3" t="s">
        <v>925</v>
      </c>
      <c r="B383" s="3" t="s">
        <v>926</v>
      </c>
      <c r="C383" s="1">
        <v>20</v>
      </c>
      <c r="D383" s="1">
        <v>501</v>
      </c>
      <c r="E383" s="1" t="s">
        <v>333</v>
      </c>
      <c r="F383" s="1" t="s">
        <v>4708</v>
      </c>
      <c r="G383" s="3" t="s">
        <v>927</v>
      </c>
      <c r="H383" s="11">
        <f t="shared" si="10"/>
        <v>2353.5100000000002</v>
      </c>
      <c r="I383" s="9">
        <f>($K$2+0.02)*Tabla1[[#This Row],[PRECIO $]]*1.18</f>
        <v>2039.5709999999999</v>
      </c>
      <c r="J383" s="7">
        <f>+Tabla1[[#This Row],[PRECIO EN SOLES]]-Tabla1[[#This Row],[PC]]</f>
        <v>313.93900000000031</v>
      </c>
      <c r="K383" s="15"/>
      <c r="L383" s="15" t="str">
        <f t="shared" si="11"/>
        <v>NORMAL</v>
      </c>
    </row>
    <row r="384" spans="1:12" x14ac:dyDescent="0.25">
      <c r="A384" s="3" t="s">
        <v>928</v>
      </c>
      <c r="B384" s="3" t="s">
        <v>929</v>
      </c>
      <c r="C384" s="1">
        <v>0</v>
      </c>
      <c r="D384" s="1">
        <v>294.3</v>
      </c>
      <c r="E384" s="1" t="s">
        <v>242</v>
      </c>
      <c r="F384" s="1" t="s">
        <v>4709</v>
      </c>
      <c r="G384" s="3" t="s">
        <v>930</v>
      </c>
      <c r="H384" s="11">
        <f t="shared" si="10"/>
        <v>1385.81</v>
      </c>
      <c r="I384" s="9">
        <f>($K$2+0.02)*Tabla1[[#This Row],[PRECIO $]]*1.18</f>
        <v>1198.0953</v>
      </c>
      <c r="J384" s="7">
        <f>+Tabla1[[#This Row],[PRECIO EN SOLES]]-Tabla1[[#This Row],[PC]]</f>
        <v>187.71469999999999</v>
      </c>
      <c r="K384" s="15"/>
      <c r="L384" s="15" t="str">
        <f t="shared" si="11"/>
        <v>NORMAL</v>
      </c>
    </row>
    <row r="385" spans="1:12" x14ac:dyDescent="0.25">
      <c r="A385" s="3" t="s">
        <v>931</v>
      </c>
      <c r="B385" s="3" t="s">
        <v>932</v>
      </c>
      <c r="C385" s="1">
        <v>0</v>
      </c>
      <c r="D385" s="1">
        <v>436</v>
      </c>
      <c r="E385" s="1" t="s">
        <v>242</v>
      </c>
      <c r="F385" s="1" t="s">
        <v>4710</v>
      </c>
      <c r="G385" s="3" t="s">
        <v>933</v>
      </c>
      <c r="H385" s="11">
        <f t="shared" si="10"/>
        <v>2049.1999999999998</v>
      </c>
      <c r="I385" s="9">
        <f>($K$2+0.02)*Tabla1[[#This Row],[PRECIO $]]*1.18</f>
        <v>1774.9559999999999</v>
      </c>
      <c r="J385" s="7">
        <f>+Tabla1[[#This Row],[PRECIO EN SOLES]]-Tabla1[[#This Row],[PC]]</f>
        <v>274.24399999999991</v>
      </c>
      <c r="K385" s="15"/>
      <c r="L385" s="15" t="str">
        <f t="shared" si="11"/>
        <v>NORMAL</v>
      </c>
    </row>
    <row r="386" spans="1:12" x14ac:dyDescent="0.25">
      <c r="A386" s="3" t="s">
        <v>6797</v>
      </c>
      <c r="B386" s="3" t="s">
        <v>6798</v>
      </c>
      <c r="C386" s="1">
        <v>0</v>
      </c>
      <c r="D386" s="1">
        <v>446</v>
      </c>
      <c r="E386" s="1" t="s">
        <v>242</v>
      </c>
      <c r="F386" s="1" t="s">
        <v>6799</v>
      </c>
      <c r="G386" s="3" t="s">
        <v>6800</v>
      </c>
      <c r="H386" s="11">
        <f t="shared" ref="H386:H449" si="12">ROUND(
IF(L386="GANCHO",
   IF(I386&lt;=50,I386*1.1+4,IF(I386&lt;=120,I386*1.1+7,IF(I386&lt;=250,I386*1.1+11,I386*1.1+19))),
IF(L386="NORMAL",
   IF(I386&lt;=30,I386*1.15+2,IF(I386&lt;=80,I386*1.15+4,IF(I386&lt;=150,I386*1.15+6,I386*1.15+8))),
IF(L386="COMPLEMENTO",
   IF(I386&lt;=25,I386*1.25+1.5,IF(I386&lt;=60,I386*1.25+3,IF(I386&lt;=120,I386*1.25+4,I386*1.25+5))),
""))),2)</f>
        <v>2096.02</v>
      </c>
      <c r="I386" s="9">
        <f>($K$2+0.02)*Tabla1[[#This Row],[PRECIO $]]*1.18</f>
        <v>1815.6659999999999</v>
      </c>
      <c r="J386" s="7">
        <f>+Tabla1[[#This Row],[PRECIO EN SOLES]]-Tabla1[[#This Row],[PC]]</f>
        <v>280.35400000000004</v>
      </c>
      <c r="K386" s="15"/>
      <c r="L386" s="15" t="str">
        <f t="shared" si="11"/>
        <v>NORMAL</v>
      </c>
    </row>
    <row r="387" spans="1:12" x14ac:dyDescent="0.25">
      <c r="A387" s="3" t="s">
        <v>4711</v>
      </c>
      <c r="B387" s="3" t="s">
        <v>4712</v>
      </c>
      <c r="C387" s="1">
        <v>20</v>
      </c>
      <c r="D387" s="1">
        <v>481</v>
      </c>
      <c r="E387" s="1" t="s">
        <v>242</v>
      </c>
      <c r="F387" s="1" t="s">
        <v>4713</v>
      </c>
      <c r="G387" s="3" t="s">
        <v>4714</v>
      </c>
      <c r="H387" s="11">
        <f t="shared" si="12"/>
        <v>2259.87</v>
      </c>
      <c r="I387" s="9">
        <f>($K$2+0.02)*Tabla1[[#This Row],[PRECIO $]]*1.18</f>
        <v>1958.1509999999998</v>
      </c>
      <c r="J387" s="7">
        <f>+Tabla1[[#This Row],[PRECIO EN SOLES]]-Tabla1[[#This Row],[PC]]</f>
        <v>301.71900000000005</v>
      </c>
      <c r="K387" s="15"/>
      <c r="L387" s="15" t="str">
        <f t="shared" ref="L387:L450" si="13">IF(
OR(
ISNUMBER(SEARCH("BACKPACK",B387)),
ISNUMBER(SEARCH("MOCHILA",B387)),
ISNUMBER(SEARCH("FUNDA",B387)),
ISNUMBER(SEARCH("ESTUCHE",B387)),
ISNUMBER(SEARCH("BOOK COVER",B387)),
ISNUMBER(SEARCH("KEYBOARD PARA TABLET",B387)),
ISNUMBER(SEARCH("FLIP TABLET",B387)),
ISNUMBER(SEARCH("CASE FOR TABLET",B387)),
ISNUMBER(SEARCH("CABLE",B387)),
ISNUMBER(SEARCH("ADAPTADOR",B387)),
ISNUMBER(SEARCH("HUB",B387)),
ISNUMBER(SEARCH("DOCK",B387)),
ISNUMBER(SEARCH("MOUSE PAD",B387)),
ISNUMBER(SEARCH("MOUSEPAD",B387)),
ISNUMBER(SEARCH("SOPORTE",B387)),
ISNUMBER(SEARCH("STAND",B387)),
ISNUMBER(SEARCH("TRAVEL ADAPTER",B387)),
ISNUMBER(SEARCH("RJ45",B387)),
ISNUMBER(SEARCH("USB-C",B387)),
ISNUMBER(SEARCH("USB WIFI",B387)),
ISNUMBER(SEARCH("POWERBANK",B387)),
ISNUMBER(SEARCH("CARGADOR",B387)),
ISNUMBER(SEARCH("COOLER PARA NB",B387)),
ISNUMBER(SEARCH("SOPORTE PARA NB",B387)),
ISNUMBER(SEARCH("WEBCAM",B387)),
ISNUMBER(SEARCH("WEB CAM",B387)),
ISNUMBER(SEARCH("MOUSE",B387)),
ISNUMBER(SEARCH("TECLADO",B387))
),
"COMPLEMENTO",
IF(
OR(
LEFT(A387,2)="NB",
LEFT(A387,2)="PC",
LEFT(A387,2)="WS",
LEFT(A387,2)="TB",
LEFT(A387,3)="CEL",
LEFT(A387,3)="MON",
LEFT(A387,3)="PRE",
LEFT(A387,3)="PRH",
ISNUMBER(SEARCH("NOTEBOOK",B387)),
ISNUMBER(SEARCH("LAPTOP",B387)),
ISNUMBER(SEARCH("MONITOR",B387)),
ISNUMBER(SEARCH("TABLET",B387)),
ISNUMBER(SEARCH("SMARTPH",B387)),
ISNUMBER(SEARCH("IMPRESORA",B387)),
ISNUMBER(SEARCH("MULTIFUNCIONAL",B387)),
ISNUMBER(SEARCH("AIO",B387))
),
"GANCHO",
"NORMAL"
)
)</f>
        <v>NORMAL</v>
      </c>
    </row>
    <row r="388" spans="1:12" x14ac:dyDescent="0.25">
      <c r="A388" s="3" t="s">
        <v>4715</v>
      </c>
      <c r="B388" s="3" t="s">
        <v>4716</v>
      </c>
      <c r="C388" s="1">
        <v>20</v>
      </c>
      <c r="D388" s="1">
        <v>591</v>
      </c>
      <c r="E388" s="1" t="s">
        <v>242</v>
      </c>
      <c r="F388" s="1" t="s">
        <v>4717</v>
      </c>
      <c r="G388" s="3" t="s">
        <v>4718</v>
      </c>
      <c r="H388" s="11">
        <f t="shared" si="12"/>
        <v>2774.86</v>
      </c>
      <c r="I388" s="9">
        <f>($K$2+0.02)*Tabla1[[#This Row],[PRECIO $]]*1.18</f>
        <v>2405.9609999999998</v>
      </c>
      <c r="J388" s="7">
        <f>+Tabla1[[#This Row],[PRECIO EN SOLES]]-Tabla1[[#This Row],[PC]]</f>
        <v>368.89900000000034</v>
      </c>
      <c r="K388" s="15"/>
      <c r="L388" s="15" t="str">
        <f t="shared" si="13"/>
        <v>NORMAL</v>
      </c>
    </row>
    <row r="389" spans="1:12" x14ac:dyDescent="0.25">
      <c r="A389" s="3" t="s">
        <v>4719</v>
      </c>
      <c r="B389" s="3" t="s">
        <v>4720</v>
      </c>
      <c r="C389" s="1">
        <v>19</v>
      </c>
      <c r="D389" s="1">
        <v>666</v>
      </c>
      <c r="E389" s="1" t="s">
        <v>242</v>
      </c>
      <c r="F389" s="1" t="s">
        <v>4721</v>
      </c>
      <c r="G389" s="3" t="s">
        <v>4722</v>
      </c>
      <c r="H389" s="11">
        <f t="shared" si="12"/>
        <v>3125.98</v>
      </c>
      <c r="I389" s="9">
        <f>($K$2+0.02)*Tabla1[[#This Row],[PRECIO $]]*1.18</f>
        <v>2711.2860000000001</v>
      </c>
      <c r="J389" s="7">
        <f>+Tabla1[[#This Row],[PRECIO EN SOLES]]-Tabla1[[#This Row],[PC]]</f>
        <v>414.69399999999996</v>
      </c>
      <c r="K389" s="15"/>
      <c r="L389" s="15" t="str">
        <f t="shared" si="13"/>
        <v>NORMAL</v>
      </c>
    </row>
    <row r="390" spans="1:12" x14ac:dyDescent="0.25">
      <c r="A390" s="3" t="s">
        <v>934</v>
      </c>
      <c r="B390" s="3" t="s">
        <v>935</v>
      </c>
      <c r="C390" s="1">
        <v>0</v>
      </c>
      <c r="D390" s="1">
        <v>115.5</v>
      </c>
      <c r="E390" s="1" t="s">
        <v>242</v>
      </c>
      <c r="F390" s="1" t="s">
        <v>4723</v>
      </c>
      <c r="G390" s="3" t="s">
        <v>936</v>
      </c>
      <c r="H390" s="11">
        <f t="shared" si="12"/>
        <v>548.73</v>
      </c>
      <c r="I390" s="9">
        <f>($K$2+0.02)*Tabla1[[#This Row],[PRECIO $]]*1.18</f>
        <v>470.20049999999998</v>
      </c>
      <c r="J390" s="7">
        <f>+Tabla1[[#This Row],[PRECIO EN SOLES]]-Tabla1[[#This Row],[PC]]</f>
        <v>78.529500000000041</v>
      </c>
      <c r="K390" s="15"/>
      <c r="L390" s="15" t="str">
        <f t="shared" si="13"/>
        <v>NORMAL</v>
      </c>
    </row>
    <row r="391" spans="1:12" x14ac:dyDescent="0.25">
      <c r="A391" s="3" t="s">
        <v>6801</v>
      </c>
      <c r="B391" s="3" t="s">
        <v>6802</v>
      </c>
      <c r="C391" s="1">
        <v>0</v>
      </c>
      <c r="D391" s="1">
        <v>140.5</v>
      </c>
      <c r="E391" s="1" t="s">
        <v>242</v>
      </c>
      <c r="F391" s="1" t="s">
        <v>6803</v>
      </c>
      <c r="G391" s="3" t="s">
        <v>6804</v>
      </c>
      <c r="H391" s="11">
        <f t="shared" si="12"/>
        <v>665.77</v>
      </c>
      <c r="I391" s="9">
        <f>($K$2+0.02)*Tabla1[[#This Row],[PRECIO $]]*1.18</f>
        <v>571.97550000000001</v>
      </c>
      <c r="J391" s="7">
        <f>+Tabla1[[#This Row],[PRECIO EN SOLES]]-Tabla1[[#This Row],[PC]]</f>
        <v>93.794499999999971</v>
      </c>
      <c r="K391" s="15"/>
      <c r="L391" s="15" t="str">
        <f t="shared" si="13"/>
        <v>NORMAL</v>
      </c>
    </row>
    <row r="392" spans="1:12" x14ac:dyDescent="0.25">
      <c r="A392" s="3" t="s">
        <v>4724</v>
      </c>
      <c r="B392" s="3" t="s">
        <v>4725</v>
      </c>
      <c r="C392" s="1">
        <v>20</v>
      </c>
      <c r="D392" s="1">
        <v>152.5</v>
      </c>
      <c r="E392" s="1" t="s">
        <v>242</v>
      </c>
      <c r="F392" s="1" t="s">
        <v>4726</v>
      </c>
      <c r="G392" s="3" t="s">
        <v>4727</v>
      </c>
      <c r="H392" s="11">
        <f t="shared" si="12"/>
        <v>721.95</v>
      </c>
      <c r="I392" s="9">
        <f>($K$2+0.02)*Tabla1[[#This Row],[PRECIO $]]*1.18</f>
        <v>620.82749999999999</v>
      </c>
      <c r="J392" s="7">
        <f>+Tabla1[[#This Row],[PRECIO EN SOLES]]-Tabla1[[#This Row],[PC]]</f>
        <v>101.12250000000006</v>
      </c>
      <c r="K392" s="15"/>
      <c r="L392" s="15" t="str">
        <f t="shared" si="13"/>
        <v>NORMAL</v>
      </c>
    </row>
    <row r="393" spans="1:12" x14ac:dyDescent="0.25">
      <c r="A393" s="3" t="s">
        <v>6805</v>
      </c>
      <c r="B393" s="3" t="s">
        <v>6806</v>
      </c>
      <c r="C393" s="1">
        <v>0</v>
      </c>
      <c r="D393" s="1">
        <v>211</v>
      </c>
      <c r="E393" s="1" t="s">
        <v>242</v>
      </c>
      <c r="F393" s="1" t="s">
        <v>6807</v>
      </c>
      <c r="G393" s="3" t="s">
        <v>6808</v>
      </c>
      <c r="H393" s="11">
        <f t="shared" si="12"/>
        <v>995.83</v>
      </c>
      <c r="I393" s="9">
        <f>($K$2+0.02)*Tabla1[[#This Row],[PRECIO $]]*1.18</f>
        <v>858.98099999999999</v>
      </c>
      <c r="J393" s="7">
        <f>+Tabla1[[#This Row],[PRECIO EN SOLES]]-Tabla1[[#This Row],[PC]]</f>
        <v>136.84900000000005</v>
      </c>
      <c r="K393" s="15"/>
      <c r="L393" s="15" t="str">
        <f t="shared" si="13"/>
        <v>NORMAL</v>
      </c>
    </row>
    <row r="394" spans="1:12" x14ac:dyDescent="0.25">
      <c r="A394" s="3" t="s">
        <v>6809</v>
      </c>
      <c r="B394" s="3" t="s">
        <v>6810</v>
      </c>
      <c r="C394" s="1">
        <v>0</v>
      </c>
      <c r="D394" s="1">
        <v>290.5</v>
      </c>
      <c r="E394" s="1" t="s">
        <v>242</v>
      </c>
      <c r="F394" s="1" t="s">
        <v>6811</v>
      </c>
      <c r="G394" s="3" t="s">
        <v>6812</v>
      </c>
      <c r="H394" s="11">
        <f t="shared" si="12"/>
        <v>1368.02</v>
      </c>
      <c r="I394" s="9">
        <f>($K$2+0.02)*Tabla1[[#This Row],[PRECIO $]]*1.18</f>
        <v>1182.6254999999999</v>
      </c>
      <c r="J394" s="7">
        <f>+Tabla1[[#This Row],[PRECIO EN SOLES]]-Tabla1[[#This Row],[PC]]</f>
        <v>185.39450000000011</v>
      </c>
      <c r="K394" s="15"/>
      <c r="L394" s="15" t="str">
        <f t="shared" si="13"/>
        <v>NORMAL</v>
      </c>
    </row>
    <row r="395" spans="1:12" x14ac:dyDescent="0.25">
      <c r="A395" s="3" t="s">
        <v>6813</v>
      </c>
      <c r="B395" s="3" t="s">
        <v>6814</v>
      </c>
      <c r="C395" s="1">
        <v>20</v>
      </c>
      <c r="D395" s="1">
        <v>272.5</v>
      </c>
      <c r="E395" s="1" t="s">
        <v>242</v>
      </c>
      <c r="F395" s="1" t="s">
        <v>6815</v>
      </c>
      <c r="G395" s="3" t="s">
        <v>6816</v>
      </c>
      <c r="H395" s="11">
        <f t="shared" si="12"/>
        <v>1283.75</v>
      </c>
      <c r="I395" s="9">
        <f>($K$2+0.02)*Tabla1[[#This Row],[PRECIO $]]*1.18</f>
        <v>1109.3474999999999</v>
      </c>
      <c r="J395" s="7">
        <f>+Tabla1[[#This Row],[PRECIO EN SOLES]]-Tabla1[[#This Row],[PC]]</f>
        <v>174.40250000000015</v>
      </c>
      <c r="K395" s="15"/>
      <c r="L395" s="15" t="str">
        <f t="shared" si="13"/>
        <v>NORMAL</v>
      </c>
    </row>
    <row r="396" spans="1:12" x14ac:dyDescent="0.25">
      <c r="A396" s="3" t="s">
        <v>937</v>
      </c>
      <c r="B396" s="3" t="s">
        <v>938</v>
      </c>
      <c r="C396" s="1">
        <v>15</v>
      </c>
      <c r="D396" s="1">
        <v>74.3</v>
      </c>
      <c r="E396" s="1" t="s">
        <v>333</v>
      </c>
      <c r="F396" s="1" t="s">
        <v>4728</v>
      </c>
      <c r="G396" s="3" t="s">
        <v>939</v>
      </c>
      <c r="H396" s="11">
        <f t="shared" si="12"/>
        <v>355.85</v>
      </c>
      <c r="I396" s="9">
        <f>($K$2+0.02)*Tabla1[[#This Row],[PRECIO $]]*1.18</f>
        <v>302.47529999999995</v>
      </c>
      <c r="J396" s="7">
        <f>+Tabla1[[#This Row],[PRECIO EN SOLES]]-Tabla1[[#This Row],[PC]]</f>
        <v>53.374700000000075</v>
      </c>
      <c r="K396" s="15"/>
      <c r="L396" s="15" t="str">
        <f t="shared" si="13"/>
        <v>NORMAL</v>
      </c>
    </row>
    <row r="397" spans="1:12" x14ac:dyDescent="0.25">
      <c r="A397" s="3" t="s">
        <v>940</v>
      </c>
      <c r="B397" s="3" t="s">
        <v>941</v>
      </c>
      <c r="C397" s="1">
        <v>20</v>
      </c>
      <c r="D397" s="1">
        <v>74.3</v>
      </c>
      <c r="E397" s="1" t="s">
        <v>333</v>
      </c>
      <c r="F397" s="1" t="s">
        <v>4729</v>
      </c>
      <c r="G397" s="3"/>
      <c r="H397" s="11">
        <f t="shared" si="12"/>
        <v>355.85</v>
      </c>
      <c r="I397" s="9">
        <f>($K$2+0.02)*Tabla1[[#This Row],[PRECIO $]]*1.18</f>
        <v>302.47529999999995</v>
      </c>
      <c r="J397" s="7">
        <f>+Tabla1[[#This Row],[PRECIO EN SOLES]]-Tabla1[[#This Row],[PC]]</f>
        <v>53.374700000000075</v>
      </c>
      <c r="K397" s="15"/>
      <c r="L397" s="15" t="str">
        <f t="shared" si="13"/>
        <v>NORMAL</v>
      </c>
    </row>
    <row r="398" spans="1:12" x14ac:dyDescent="0.25">
      <c r="A398" s="3" t="s">
        <v>6817</v>
      </c>
      <c r="B398" s="3" t="s">
        <v>6818</v>
      </c>
      <c r="C398" s="1">
        <v>20</v>
      </c>
      <c r="D398" s="1">
        <v>74.3</v>
      </c>
      <c r="E398" s="1" t="s">
        <v>333</v>
      </c>
      <c r="F398" s="1" t="s">
        <v>6819</v>
      </c>
      <c r="G398" s="3" t="s">
        <v>6820</v>
      </c>
      <c r="H398" s="11">
        <f t="shared" si="12"/>
        <v>355.85</v>
      </c>
      <c r="I398" s="9">
        <f>($K$2+0.02)*Tabla1[[#This Row],[PRECIO $]]*1.18</f>
        <v>302.47529999999995</v>
      </c>
      <c r="J398" s="7">
        <f>+Tabla1[[#This Row],[PRECIO EN SOLES]]-Tabla1[[#This Row],[PC]]</f>
        <v>53.374700000000075</v>
      </c>
      <c r="K398" s="15"/>
      <c r="L398" s="15" t="str">
        <f t="shared" si="13"/>
        <v>NORMAL</v>
      </c>
    </row>
    <row r="399" spans="1:12" x14ac:dyDescent="0.25">
      <c r="A399" s="3" t="s">
        <v>942</v>
      </c>
      <c r="B399" s="3" t="s">
        <v>943</v>
      </c>
      <c r="C399" s="1">
        <v>20</v>
      </c>
      <c r="D399" s="1">
        <v>97</v>
      </c>
      <c r="E399" s="1" t="s">
        <v>333</v>
      </c>
      <c r="F399" s="1" t="s">
        <v>4730</v>
      </c>
      <c r="G399" s="3" t="s">
        <v>944</v>
      </c>
      <c r="H399" s="11">
        <f t="shared" si="12"/>
        <v>462.12</v>
      </c>
      <c r="I399" s="9">
        <f>($K$2+0.02)*Tabla1[[#This Row],[PRECIO $]]*1.18</f>
        <v>394.887</v>
      </c>
      <c r="J399" s="7">
        <f>+Tabla1[[#This Row],[PRECIO EN SOLES]]-Tabla1[[#This Row],[PC]]</f>
        <v>67.233000000000004</v>
      </c>
      <c r="K399" s="15"/>
      <c r="L399" s="15" t="str">
        <f t="shared" si="13"/>
        <v>NORMAL</v>
      </c>
    </row>
    <row r="400" spans="1:12" x14ac:dyDescent="0.25">
      <c r="A400" s="3" t="s">
        <v>945</v>
      </c>
      <c r="B400" s="3" t="s">
        <v>946</v>
      </c>
      <c r="C400" s="1">
        <v>1</v>
      </c>
      <c r="D400" s="1">
        <v>97</v>
      </c>
      <c r="E400" s="1" t="s">
        <v>333</v>
      </c>
      <c r="F400" s="1" t="s">
        <v>4731</v>
      </c>
      <c r="G400" s="3" t="s">
        <v>947</v>
      </c>
      <c r="H400" s="11">
        <f t="shared" si="12"/>
        <v>462.12</v>
      </c>
      <c r="I400" s="9">
        <f>($K$2+0.02)*Tabla1[[#This Row],[PRECIO $]]*1.18</f>
        <v>394.887</v>
      </c>
      <c r="J400" s="7">
        <f>+Tabla1[[#This Row],[PRECIO EN SOLES]]-Tabla1[[#This Row],[PC]]</f>
        <v>67.233000000000004</v>
      </c>
      <c r="K400" s="15"/>
      <c r="L400" s="15" t="str">
        <f t="shared" si="13"/>
        <v>NORMAL</v>
      </c>
    </row>
    <row r="401" spans="1:12" x14ac:dyDescent="0.25">
      <c r="A401" s="3" t="s">
        <v>948</v>
      </c>
      <c r="B401" s="3" t="s">
        <v>949</v>
      </c>
      <c r="C401" s="1">
        <v>20</v>
      </c>
      <c r="D401" s="1">
        <v>93.3</v>
      </c>
      <c r="E401" s="1" t="s">
        <v>333</v>
      </c>
      <c r="F401" s="1" t="s">
        <v>4732</v>
      </c>
      <c r="G401" s="3" t="s">
        <v>950</v>
      </c>
      <c r="H401" s="11">
        <f t="shared" si="12"/>
        <v>444.8</v>
      </c>
      <c r="I401" s="9">
        <f>($K$2+0.02)*Tabla1[[#This Row],[PRECIO $]]*1.18</f>
        <v>379.82429999999999</v>
      </c>
      <c r="J401" s="7">
        <f>+Tabla1[[#This Row],[PRECIO EN SOLES]]-Tabla1[[#This Row],[PC]]</f>
        <v>64.975700000000018</v>
      </c>
      <c r="K401" s="15"/>
      <c r="L401" s="15" t="str">
        <f t="shared" si="13"/>
        <v>NORMAL</v>
      </c>
    </row>
    <row r="402" spans="1:12" x14ac:dyDescent="0.25">
      <c r="A402" s="3" t="s">
        <v>6821</v>
      </c>
      <c r="B402" s="3" t="s">
        <v>6822</v>
      </c>
      <c r="C402" s="1">
        <v>20</v>
      </c>
      <c r="D402" s="1">
        <v>94.3</v>
      </c>
      <c r="E402" s="1" t="s">
        <v>333</v>
      </c>
      <c r="F402" s="1" t="s">
        <v>6823</v>
      </c>
      <c r="G402" s="3" t="s">
        <v>6824</v>
      </c>
      <c r="H402" s="11">
        <f t="shared" si="12"/>
        <v>449.48</v>
      </c>
      <c r="I402" s="9">
        <f>($K$2+0.02)*Tabla1[[#This Row],[PRECIO $]]*1.18</f>
        <v>383.89529999999996</v>
      </c>
      <c r="J402" s="7">
        <f>+Tabla1[[#This Row],[PRECIO EN SOLES]]-Tabla1[[#This Row],[PC]]</f>
        <v>65.584700000000055</v>
      </c>
      <c r="K402" s="15"/>
      <c r="L402" s="15" t="str">
        <f t="shared" si="13"/>
        <v>NORMAL</v>
      </c>
    </row>
    <row r="403" spans="1:12" x14ac:dyDescent="0.25">
      <c r="A403" s="3" t="s">
        <v>6825</v>
      </c>
      <c r="B403" s="3" t="s">
        <v>6826</v>
      </c>
      <c r="C403" s="1">
        <v>10</v>
      </c>
      <c r="D403" s="1">
        <v>88.3</v>
      </c>
      <c r="E403" s="1" t="s">
        <v>333</v>
      </c>
      <c r="F403" s="1" t="s">
        <v>6827</v>
      </c>
      <c r="G403" s="3"/>
      <c r="H403" s="11">
        <f t="shared" si="12"/>
        <v>421.39</v>
      </c>
      <c r="I403" s="9">
        <f>($K$2+0.02)*Tabla1[[#This Row],[PRECIO $]]*1.18</f>
        <v>359.46929999999998</v>
      </c>
      <c r="J403" s="7">
        <f>+Tabla1[[#This Row],[PRECIO EN SOLES]]-Tabla1[[#This Row],[PC]]</f>
        <v>61.920700000000011</v>
      </c>
      <c r="K403" s="15"/>
      <c r="L403" s="15" t="str">
        <f t="shared" si="13"/>
        <v>NORMAL</v>
      </c>
    </row>
    <row r="404" spans="1:12" x14ac:dyDescent="0.25">
      <c r="A404" s="3" t="s">
        <v>6828</v>
      </c>
      <c r="B404" s="3" t="s">
        <v>6829</v>
      </c>
      <c r="C404" s="1">
        <v>20</v>
      </c>
      <c r="D404" s="1">
        <v>104.5</v>
      </c>
      <c r="E404" s="1" t="s">
        <v>333</v>
      </c>
      <c r="F404" s="1" t="s">
        <v>6830</v>
      </c>
      <c r="G404" s="3" t="s">
        <v>6831</v>
      </c>
      <c r="H404" s="11">
        <f t="shared" si="12"/>
        <v>497.23</v>
      </c>
      <c r="I404" s="9">
        <f>($K$2+0.02)*Tabla1[[#This Row],[PRECIO $]]*1.18</f>
        <v>425.41950000000003</v>
      </c>
      <c r="J404" s="7">
        <f>+Tabla1[[#This Row],[PRECIO EN SOLES]]-Tabla1[[#This Row],[PC]]</f>
        <v>71.81049999999999</v>
      </c>
      <c r="K404" s="15"/>
      <c r="L404" s="15" t="str">
        <f t="shared" si="13"/>
        <v>NORMAL</v>
      </c>
    </row>
    <row r="405" spans="1:12" x14ac:dyDescent="0.25">
      <c r="A405" s="3" t="s">
        <v>6832</v>
      </c>
      <c r="B405" s="3" t="s">
        <v>6833</v>
      </c>
      <c r="C405" s="1">
        <v>16</v>
      </c>
      <c r="D405" s="1">
        <v>155.5</v>
      </c>
      <c r="E405" s="1" t="s">
        <v>333</v>
      </c>
      <c r="F405" s="1" t="s">
        <v>6834</v>
      </c>
      <c r="G405" s="3" t="s">
        <v>6835</v>
      </c>
      <c r="H405" s="11">
        <f t="shared" si="12"/>
        <v>736</v>
      </c>
      <c r="I405" s="9">
        <f>($K$2+0.02)*Tabla1[[#This Row],[PRECIO $]]*1.18</f>
        <v>633.04049999999995</v>
      </c>
      <c r="J405" s="7">
        <f>+Tabla1[[#This Row],[PRECIO EN SOLES]]-Tabla1[[#This Row],[PC]]</f>
        <v>102.95950000000005</v>
      </c>
      <c r="K405" s="15"/>
      <c r="L405" s="15" t="str">
        <f t="shared" si="13"/>
        <v>NORMAL</v>
      </c>
    </row>
    <row r="406" spans="1:12" x14ac:dyDescent="0.25">
      <c r="A406" s="3" t="s">
        <v>6836</v>
      </c>
      <c r="B406" s="3" t="s">
        <v>6837</v>
      </c>
      <c r="C406" s="1">
        <v>20</v>
      </c>
      <c r="D406" s="1">
        <v>155</v>
      </c>
      <c r="E406" s="1" t="s">
        <v>333</v>
      </c>
      <c r="F406" s="1" t="s">
        <v>6838</v>
      </c>
      <c r="G406" s="3" t="s">
        <v>6839</v>
      </c>
      <c r="H406" s="11">
        <f t="shared" si="12"/>
        <v>733.66</v>
      </c>
      <c r="I406" s="9">
        <f>($K$2+0.02)*Tabla1[[#This Row],[PRECIO $]]*1.18</f>
        <v>631.005</v>
      </c>
      <c r="J406" s="7">
        <f>+Tabla1[[#This Row],[PRECIO EN SOLES]]-Tabla1[[#This Row],[PC]]</f>
        <v>102.65499999999997</v>
      </c>
      <c r="K406" s="15"/>
      <c r="L406" s="15" t="str">
        <f t="shared" si="13"/>
        <v>NORMAL</v>
      </c>
    </row>
    <row r="407" spans="1:12" x14ac:dyDescent="0.25">
      <c r="A407" s="3" t="s">
        <v>951</v>
      </c>
      <c r="B407" s="3" t="s">
        <v>952</v>
      </c>
      <c r="C407" s="1">
        <v>20</v>
      </c>
      <c r="D407" s="1">
        <v>70</v>
      </c>
      <c r="E407" s="1" t="s">
        <v>916</v>
      </c>
      <c r="F407" s="1" t="s">
        <v>4733</v>
      </c>
      <c r="G407" s="3" t="s">
        <v>953</v>
      </c>
      <c r="H407" s="11">
        <f t="shared" si="12"/>
        <v>335.72</v>
      </c>
      <c r="I407" s="9">
        <f>($K$2+0.02)*Tabla1[[#This Row],[PRECIO $]]*1.18</f>
        <v>284.96999999999997</v>
      </c>
      <c r="J407" s="7">
        <f>+Tabla1[[#This Row],[PRECIO EN SOLES]]-Tabla1[[#This Row],[PC]]</f>
        <v>50.750000000000057</v>
      </c>
      <c r="K407" s="15"/>
      <c r="L407" s="15" t="str">
        <f t="shared" si="13"/>
        <v>NORMAL</v>
      </c>
    </row>
    <row r="408" spans="1:12" x14ac:dyDescent="0.25">
      <c r="A408" s="3" t="s">
        <v>954</v>
      </c>
      <c r="B408" s="3" t="s">
        <v>955</v>
      </c>
      <c r="C408" s="1">
        <v>20</v>
      </c>
      <c r="D408" s="1">
        <v>93.3</v>
      </c>
      <c r="E408" s="1" t="s">
        <v>916</v>
      </c>
      <c r="F408" s="1" t="s">
        <v>4734</v>
      </c>
      <c r="G408" s="3" t="s">
        <v>956</v>
      </c>
      <c r="H408" s="11">
        <f t="shared" si="12"/>
        <v>444.8</v>
      </c>
      <c r="I408" s="9">
        <f>($K$2+0.02)*Tabla1[[#This Row],[PRECIO $]]*1.18</f>
        <v>379.82429999999999</v>
      </c>
      <c r="J408" s="7">
        <f>+Tabla1[[#This Row],[PRECIO EN SOLES]]-Tabla1[[#This Row],[PC]]</f>
        <v>64.975700000000018</v>
      </c>
      <c r="K408" s="15"/>
      <c r="L408" s="15" t="str">
        <f t="shared" si="13"/>
        <v>NORMAL</v>
      </c>
    </row>
    <row r="409" spans="1:12" x14ac:dyDescent="0.25">
      <c r="A409" s="3" t="s">
        <v>6840</v>
      </c>
      <c r="B409" s="3" t="s">
        <v>6841</v>
      </c>
      <c r="C409" s="1">
        <v>1</v>
      </c>
      <c r="D409" s="1">
        <v>140.5</v>
      </c>
      <c r="E409" s="1" t="s">
        <v>916</v>
      </c>
      <c r="F409" s="1" t="s">
        <v>6842</v>
      </c>
      <c r="G409" s="3" t="s">
        <v>6843</v>
      </c>
      <c r="H409" s="11">
        <f t="shared" si="12"/>
        <v>665.77</v>
      </c>
      <c r="I409" s="9">
        <f>($K$2+0.02)*Tabla1[[#This Row],[PRECIO $]]*1.18</f>
        <v>571.97550000000001</v>
      </c>
      <c r="J409" s="7">
        <f>+Tabla1[[#This Row],[PRECIO EN SOLES]]-Tabla1[[#This Row],[PC]]</f>
        <v>93.794499999999971</v>
      </c>
      <c r="K409" s="15"/>
      <c r="L409" s="15" t="str">
        <f t="shared" si="13"/>
        <v>NORMAL</v>
      </c>
    </row>
    <row r="410" spans="1:12" x14ac:dyDescent="0.25">
      <c r="A410" s="3" t="s">
        <v>957</v>
      </c>
      <c r="B410" s="3" t="s">
        <v>958</v>
      </c>
      <c r="C410" s="1">
        <v>20</v>
      </c>
      <c r="D410" s="1">
        <v>198.3</v>
      </c>
      <c r="E410" s="1" t="s">
        <v>916</v>
      </c>
      <c r="F410" s="1" t="s">
        <v>4735</v>
      </c>
      <c r="G410" s="3" t="s">
        <v>959</v>
      </c>
      <c r="H410" s="11">
        <f t="shared" si="12"/>
        <v>936.37</v>
      </c>
      <c r="I410" s="9">
        <f>($K$2+0.02)*Tabla1[[#This Row],[PRECIO $]]*1.18</f>
        <v>807.27930000000003</v>
      </c>
      <c r="J410" s="7">
        <f>+Tabla1[[#This Row],[PRECIO EN SOLES]]-Tabla1[[#This Row],[PC]]</f>
        <v>129.09069999999997</v>
      </c>
      <c r="K410" s="15"/>
      <c r="L410" s="15" t="str">
        <f t="shared" si="13"/>
        <v>NORMAL</v>
      </c>
    </row>
    <row r="411" spans="1:12" x14ac:dyDescent="0.25">
      <c r="A411" s="3" t="s">
        <v>960</v>
      </c>
      <c r="B411" s="3" t="s">
        <v>961</v>
      </c>
      <c r="C411" s="1">
        <v>2</v>
      </c>
      <c r="D411" s="1">
        <v>313.5</v>
      </c>
      <c r="E411" s="1" t="s">
        <v>916</v>
      </c>
      <c r="F411" s="1" t="s">
        <v>4736</v>
      </c>
      <c r="G411" s="3" t="s">
        <v>962</v>
      </c>
      <c r="H411" s="11">
        <f t="shared" si="12"/>
        <v>1475.7</v>
      </c>
      <c r="I411" s="9">
        <f>($K$2+0.02)*Tabla1[[#This Row],[PRECIO $]]*1.18</f>
        <v>1276.2584999999999</v>
      </c>
      <c r="J411" s="7">
        <f>+Tabla1[[#This Row],[PRECIO EN SOLES]]-Tabla1[[#This Row],[PC]]</f>
        <v>199.44150000000013</v>
      </c>
      <c r="K411" s="15"/>
      <c r="L411" s="15" t="str">
        <f t="shared" si="13"/>
        <v>NORMAL</v>
      </c>
    </row>
    <row r="412" spans="1:12" x14ac:dyDescent="0.25">
      <c r="A412" s="3" t="s">
        <v>963</v>
      </c>
      <c r="B412" s="3" t="s">
        <v>964</v>
      </c>
      <c r="C412" s="1">
        <v>0</v>
      </c>
      <c r="D412" s="1">
        <v>2.0099999999999998</v>
      </c>
      <c r="E412" s="1" t="s">
        <v>965</v>
      </c>
      <c r="F412" s="1" t="s">
        <v>4737</v>
      </c>
      <c r="G412" s="3" t="s">
        <v>966</v>
      </c>
      <c r="H412" s="11">
        <f t="shared" si="12"/>
        <v>11.41</v>
      </c>
      <c r="I412" s="9">
        <f>($K$2+0.02)*Tabla1[[#This Row],[PRECIO $]]*1.18</f>
        <v>8.1827100000000002</v>
      </c>
      <c r="J412" s="7">
        <f>+Tabla1[[#This Row],[PRECIO EN SOLES]]-Tabla1[[#This Row],[PC]]</f>
        <v>3.22729</v>
      </c>
      <c r="K412" s="15"/>
      <c r="L412" s="15" t="str">
        <f t="shared" si="13"/>
        <v>NORMAL</v>
      </c>
    </row>
    <row r="413" spans="1:12" x14ac:dyDescent="0.25">
      <c r="A413" s="3" t="s">
        <v>4738</v>
      </c>
      <c r="B413" s="3" t="s">
        <v>4739</v>
      </c>
      <c r="C413" s="1">
        <v>20</v>
      </c>
      <c r="D413" s="1">
        <v>209.3</v>
      </c>
      <c r="E413" s="1" t="s">
        <v>965</v>
      </c>
      <c r="F413" s="1" t="s">
        <v>4740</v>
      </c>
      <c r="G413" s="3" t="s">
        <v>4741</v>
      </c>
      <c r="H413" s="11">
        <f t="shared" si="12"/>
        <v>987.87</v>
      </c>
      <c r="I413" s="9">
        <f>($K$2+0.02)*Tabla1[[#This Row],[PRECIO $]]*1.18</f>
        <v>852.06029999999998</v>
      </c>
      <c r="J413" s="7">
        <f>+Tabla1[[#This Row],[PRECIO EN SOLES]]-Tabla1[[#This Row],[PC]]</f>
        <v>135.80970000000002</v>
      </c>
      <c r="K413" s="15"/>
      <c r="L413" s="15" t="str">
        <f t="shared" si="13"/>
        <v>NORMAL</v>
      </c>
    </row>
    <row r="414" spans="1:12" x14ac:dyDescent="0.25">
      <c r="A414" s="3" t="s">
        <v>4742</v>
      </c>
      <c r="B414" s="3" t="s">
        <v>4743</v>
      </c>
      <c r="C414" s="1">
        <v>9</v>
      </c>
      <c r="D414" s="1">
        <v>346.5</v>
      </c>
      <c r="E414" s="1" t="s">
        <v>965</v>
      </c>
      <c r="F414" s="1" t="s">
        <v>4744</v>
      </c>
      <c r="G414" s="3" t="s">
        <v>4745</v>
      </c>
      <c r="H414" s="11">
        <f t="shared" si="12"/>
        <v>1630.19</v>
      </c>
      <c r="I414" s="9">
        <f>($K$2+0.02)*Tabla1[[#This Row],[PRECIO $]]*1.18</f>
        <v>1410.6014999999998</v>
      </c>
      <c r="J414" s="7">
        <f>+Tabla1[[#This Row],[PRECIO EN SOLES]]-Tabla1[[#This Row],[PC]]</f>
        <v>219.58850000000029</v>
      </c>
      <c r="K414" s="15"/>
      <c r="L414" s="15" t="str">
        <f t="shared" si="13"/>
        <v>NORMAL</v>
      </c>
    </row>
    <row r="415" spans="1:12" x14ac:dyDescent="0.25">
      <c r="A415" s="3" t="s">
        <v>4746</v>
      </c>
      <c r="B415" s="3" t="s">
        <v>4747</v>
      </c>
      <c r="C415" s="1">
        <v>5</v>
      </c>
      <c r="D415" s="1">
        <v>138.30000000000001</v>
      </c>
      <c r="E415" s="1" t="s">
        <v>965</v>
      </c>
      <c r="F415" s="1" t="s">
        <v>4748</v>
      </c>
      <c r="G415" s="3" t="s">
        <v>4749</v>
      </c>
      <c r="H415" s="11">
        <f t="shared" si="12"/>
        <v>655.47</v>
      </c>
      <c r="I415" s="9">
        <f>($K$2+0.02)*Tabla1[[#This Row],[PRECIO $]]*1.18</f>
        <v>563.01930000000004</v>
      </c>
      <c r="J415" s="7">
        <f>+Tabla1[[#This Row],[PRECIO EN SOLES]]-Tabla1[[#This Row],[PC]]</f>
        <v>92.450699999999983</v>
      </c>
      <c r="K415" s="15"/>
      <c r="L415" s="15" t="str">
        <f t="shared" si="13"/>
        <v>NORMAL</v>
      </c>
    </row>
    <row r="416" spans="1:12" x14ac:dyDescent="0.25">
      <c r="A416" s="3" t="s">
        <v>967</v>
      </c>
      <c r="B416" s="3" t="s">
        <v>968</v>
      </c>
      <c r="C416" s="1">
        <v>0</v>
      </c>
      <c r="D416" s="1">
        <v>134.30000000000001</v>
      </c>
      <c r="E416" s="1" t="s">
        <v>965</v>
      </c>
      <c r="F416" s="1" t="s">
        <v>4750</v>
      </c>
      <c r="G416" s="3" t="s">
        <v>969</v>
      </c>
      <c r="H416" s="11">
        <f t="shared" si="12"/>
        <v>636.75</v>
      </c>
      <c r="I416" s="9">
        <f>($K$2+0.02)*Tabla1[[#This Row],[PRECIO $]]*1.18</f>
        <v>546.73530000000005</v>
      </c>
      <c r="J416" s="7">
        <f>+Tabla1[[#This Row],[PRECIO EN SOLES]]-Tabla1[[#This Row],[PC]]</f>
        <v>90.014699999999948</v>
      </c>
      <c r="K416" s="15"/>
      <c r="L416" s="15" t="str">
        <f t="shared" si="13"/>
        <v>NORMAL</v>
      </c>
    </row>
    <row r="417" spans="1:12" x14ac:dyDescent="0.25">
      <c r="A417" s="3" t="s">
        <v>970</v>
      </c>
      <c r="B417" s="3" t="s">
        <v>971</v>
      </c>
      <c r="C417" s="1">
        <v>20</v>
      </c>
      <c r="D417" s="1">
        <v>134.30000000000001</v>
      </c>
      <c r="E417" s="1" t="s">
        <v>965</v>
      </c>
      <c r="F417" s="1" t="s">
        <v>4751</v>
      </c>
      <c r="G417" s="3" t="s">
        <v>972</v>
      </c>
      <c r="H417" s="11">
        <f t="shared" si="12"/>
        <v>636.75</v>
      </c>
      <c r="I417" s="9">
        <f>($K$2+0.02)*Tabla1[[#This Row],[PRECIO $]]*1.18</f>
        <v>546.73530000000005</v>
      </c>
      <c r="J417" s="7">
        <f>+Tabla1[[#This Row],[PRECIO EN SOLES]]-Tabla1[[#This Row],[PC]]</f>
        <v>90.014699999999948</v>
      </c>
      <c r="K417" s="15"/>
      <c r="L417" s="15" t="str">
        <f t="shared" si="13"/>
        <v>NORMAL</v>
      </c>
    </row>
    <row r="418" spans="1:12" x14ac:dyDescent="0.25">
      <c r="A418" s="3" t="s">
        <v>973</v>
      </c>
      <c r="B418" s="3" t="s">
        <v>974</v>
      </c>
      <c r="C418" s="1">
        <v>17</v>
      </c>
      <c r="D418" s="1">
        <v>232</v>
      </c>
      <c r="E418" s="1" t="s">
        <v>965</v>
      </c>
      <c r="F418" s="1" t="s">
        <v>4752</v>
      </c>
      <c r="G418" s="3" t="s">
        <v>975</v>
      </c>
      <c r="H418" s="11">
        <f t="shared" si="12"/>
        <v>1094.1400000000001</v>
      </c>
      <c r="I418" s="9">
        <f>($K$2+0.02)*Tabla1[[#This Row],[PRECIO $]]*1.18</f>
        <v>944.47200000000009</v>
      </c>
      <c r="J418" s="7">
        <f>+Tabla1[[#This Row],[PRECIO EN SOLES]]-Tabla1[[#This Row],[PC]]</f>
        <v>149.66800000000001</v>
      </c>
      <c r="K418" s="15"/>
      <c r="L418" s="15" t="str">
        <f t="shared" si="13"/>
        <v>NORMAL</v>
      </c>
    </row>
    <row r="419" spans="1:12" x14ac:dyDescent="0.25">
      <c r="A419" s="3" t="s">
        <v>976</v>
      </c>
      <c r="B419" s="3" t="s">
        <v>977</v>
      </c>
      <c r="C419" s="1">
        <v>20</v>
      </c>
      <c r="D419" s="1">
        <v>162.30000000000001</v>
      </c>
      <c r="E419" s="1" t="s">
        <v>965</v>
      </c>
      <c r="F419" s="1" t="s">
        <v>4753</v>
      </c>
      <c r="G419" s="3" t="s">
        <v>978</v>
      </c>
      <c r="H419" s="11">
        <f t="shared" si="12"/>
        <v>767.83</v>
      </c>
      <c r="I419" s="9">
        <f>($K$2+0.02)*Tabla1[[#This Row],[PRECIO $]]*1.18</f>
        <v>660.72329999999999</v>
      </c>
      <c r="J419" s="7">
        <f>+Tabla1[[#This Row],[PRECIO EN SOLES]]-Tabla1[[#This Row],[PC]]</f>
        <v>107.10670000000005</v>
      </c>
      <c r="K419" s="15"/>
      <c r="L419" s="15" t="str">
        <f t="shared" si="13"/>
        <v>NORMAL</v>
      </c>
    </row>
    <row r="420" spans="1:12" x14ac:dyDescent="0.25">
      <c r="A420" s="3" t="s">
        <v>4754</v>
      </c>
      <c r="B420" s="3" t="s">
        <v>4755</v>
      </c>
      <c r="C420" s="1">
        <v>5</v>
      </c>
      <c r="D420" s="1">
        <v>166.3</v>
      </c>
      <c r="E420" s="1" t="s">
        <v>965</v>
      </c>
      <c r="F420" s="1" t="s">
        <v>4756</v>
      </c>
      <c r="G420" s="3" t="s">
        <v>4757</v>
      </c>
      <c r="H420" s="11">
        <f t="shared" si="12"/>
        <v>786.56</v>
      </c>
      <c r="I420" s="9">
        <f>($K$2+0.02)*Tabla1[[#This Row],[PRECIO $]]*1.18</f>
        <v>677.00729999999999</v>
      </c>
      <c r="J420" s="7">
        <f>+Tabla1[[#This Row],[PRECIO EN SOLES]]-Tabla1[[#This Row],[PC]]</f>
        <v>109.55269999999996</v>
      </c>
      <c r="K420" s="15"/>
      <c r="L420" s="15" t="str">
        <f t="shared" si="13"/>
        <v>NORMAL</v>
      </c>
    </row>
    <row r="421" spans="1:12" x14ac:dyDescent="0.25">
      <c r="A421" s="3" t="s">
        <v>979</v>
      </c>
      <c r="B421" s="3" t="s">
        <v>980</v>
      </c>
      <c r="C421" s="1">
        <v>17</v>
      </c>
      <c r="D421" s="1">
        <v>221</v>
      </c>
      <c r="E421" s="1" t="s">
        <v>981</v>
      </c>
      <c r="F421" s="1" t="s">
        <v>4758</v>
      </c>
      <c r="G421" s="3" t="s">
        <v>982</v>
      </c>
      <c r="H421" s="11">
        <f t="shared" si="12"/>
        <v>1042.6400000000001</v>
      </c>
      <c r="I421" s="9">
        <f>($K$2+0.02)*Tabla1[[#This Row],[PRECIO $]]*1.18</f>
        <v>899.69100000000003</v>
      </c>
      <c r="J421" s="7">
        <f>+Tabla1[[#This Row],[PRECIO EN SOLES]]-Tabla1[[#This Row],[PC]]</f>
        <v>142.94900000000007</v>
      </c>
      <c r="K421" s="15"/>
      <c r="L421" s="15" t="str">
        <f t="shared" si="13"/>
        <v>NORMAL</v>
      </c>
    </row>
    <row r="422" spans="1:12" x14ac:dyDescent="0.25">
      <c r="A422" s="3" t="s">
        <v>983</v>
      </c>
      <c r="B422" s="3" t="s">
        <v>984</v>
      </c>
      <c r="C422" s="1">
        <v>20</v>
      </c>
      <c r="D422" s="1">
        <v>22.6</v>
      </c>
      <c r="E422" s="1" t="s">
        <v>985</v>
      </c>
      <c r="F422" s="1" t="s">
        <v>4759</v>
      </c>
      <c r="G422" s="3" t="s">
        <v>986</v>
      </c>
      <c r="H422" s="11">
        <f t="shared" si="12"/>
        <v>111.81</v>
      </c>
      <c r="I422" s="9">
        <f>($K$2+0.02)*Tabla1[[#This Row],[PRECIO $]]*1.18</f>
        <v>92.004600000000011</v>
      </c>
      <c r="J422" s="7">
        <f>+Tabla1[[#This Row],[PRECIO EN SOLES]]-Tabla1[[#This Row],[PC]]</f>
        <v>19.805399999999992</v>
      </c>
      <c r="K422" s="15"/>
      <c r="L422" s="15" t="str">
        <f t="shared" si="13"/>
        <v>NORMAL</v>
      </c>
    </row>
    <row r="423" spans="1:12" x14ac:dyDescent="0.25">
      <c r="A423" s="3" t="s">
        <v>987</v>
      </c>
      <c r="B423" s="3" t="s">
        <v>988</v>
      </c>
      <c r="C423" s="1">
        <v>5</v>
      </c>
      <c r="D423" s="1">
        <v>217</v>
      </c>
      <c r="E423" s="1" t="s">
        <v>989</v>
      </c>
      <c r="F423" s="1" t="s">
        <v>4760</v>
      </c>
      <c r="G423" s="3" t="s">
        <v>990</v>
      </c>
      <c r="H423" s="11">
        <f t="shared" si="12"/>
        <v>1023.92</v>
      </c>
      <c r="I423" s="9">
        <f>($K$2+0.02)*Tabla1[[#This Row],[PRECIO $]]*1.18</f>
        <v>883.40700000000004</v>
      </c>
      <c r="J423" s="7">
        <f>+Tabla1[[#This Row],[PRECIO EN SOLES]]-Tabla1[[#This Row],[PC]]</f>
        <v>140.51299999999992</v>
      </c>
      <c r="K423" s="15"/>
      <c r="L423" s="15" t="str">
        <f t="shared" si="13"/>
        <v>NORMAL</v>
      </c>
    </row>
    <row r="424" spans="1:12" x14ac:dyDescent="0.25">
      <c r="A424" s="3" t="s">
        <v>991</v>
      </c>
      <c r="B424" s="3" t="s">
        <v>992</v>
      </c>
      <c r="C424" s="1">
        <v>3</v>
      </c>
      <c r="D424" s="1">
        <v>38</v>
      </c>
      <c r="E424" s="1" t="s">
        <v>122</v>
      </c>
      <c r="F424" s="1" t="s">
        <v>4761</v>
      </c>
      <c r="G424" s="3" t="s">
        <v>993</v>
      </c>
      <c r="H424" s="11">
        <f t="shared" si="12"/>
        <v>185.9</v>
      </c>
      <c r="I424" s="9">
        <f>($K$2+0.02)*Tabla1[[#This Row],[PRECIO $]]*1.18</f>
        <v>154.69799999999998</v>
      </c>
      <c r="J424" s="7">
        <f>+Tabla1[[#This Row],[PRECIO EN SOLES]]-Tabla1[[#This Row],[PC]]</f>
        <v>31.202000000000027</v>
      </c>
      <c r="K424" s="15"/>
      <c r="L424" s="15" t="str">
        <f t="shared" si="13"/>
        <v>NORMAL</v>
      </c>
    </row>
    <row r="425" spans="1:12" x14ac:dyDescent="0.25">
      <c r="A425" s="3" t="s">
        <v>995</v>
      </c>
      <c r="B425" s="3" t="s">
        <v>996</v>
      </c>
      <c r="C425" s="1">
        <v>20</v>
      </c>
      <c r="D425" s="1">
        <v>30</v>
      </c>
      <c r="E425" s="1" t="s">
        <v>997</v>
      </c>
      <c r="F425" s="1" t="s">
        <v>4762</v>
      </c>
      <c r="G425" s="3" t="s">
        <v>998</v>
      </c>
      <c r="H425" s="11">
        <f t="shared" si="12"/>
        <v>146.44999999999999</v>
      </c>
      <c r="I425" s="9">
        <f>($K$2+0.02)*Tabla1[[#This Row],[PRECIO $]]*1.18</f>
        <v>122.13</v>
      </c>
      <c r="J425" s="7">
        <f>+Tabla1[[#This Row],[PRECIO EN SOLES]]-Tabla1[[#This Row],[PC]]</f>
        <v>24.319999999999993</v>
      </c>
      <c r="K425" s="15"/>
      <c r="L425" s="15" t="str">
        <f t="shared" si="13"/>
        <v>NORMAL</v>
      </c>
    </row>
    <row r="426" spans="1:12" x14ac:dyDescent="0.25">
      <c r="A426" s="3" t="s">
        <v>4763</v>
      </c>
      <c r="B426" s="3" t="s">
        <v>4764</v>
      </c>
      <c r="C426" s="1">
        <v>20</v>
      </c>
      <c r="D426" s="1">
        <v>30</v>
      </c>
      <c r="E426" s="1" t="s">
        <v>997</v>
      </c>
      <c r="F426" s="1" t="s">
        <v>4765</v>
      </c>
      <c r="G426" s="3" t="s">
        <v>4766</v>
      </c>
      <c r="H426" s="11">
        <f t="shared" si="12"/>
        <v>146.44999999999999</v>
      </c>
      <c r="I426" s="9">
        <f>($K$2+0.02)*Tabla1[[#This Row],[PRECIO $]]*1.18</f>
        <v>122.13</v>
      </c>
      <c r="J426" s="7">
        <f>+Tabla1[[#This Row],[PRECIO EN SOLES]]-Tabla1[[#This Row],[PC]]</f>
        <v>24.319999999999993</v>
      </c>
      <c r="K426" s="15"/>
      <c r="L426" s="15" t="str">
        <f t="shared" si="13"/>
        <v>NORMAL</v>
      </c>
    </row>
    <row r="427" spans="1:12" x14ac:dyDescent="0.25">
      <c r="A427" s="3" t="s">
        <v>4767</v>
      </c>
      <c r="B427" s="3" t="s">
        <v>4768</v>
      </c>
      <c r="C427" s="1">
        <v>20</v>
      </c>
      <c r="D427" s="1">
        <v>68</v>
      </c>
      <c r="E427" s="1" t="s">
        <v>997</v>
      </c>
      <c r="F427" s="1" t="s">
        <v>4769</v>
      </c>
      <c r="G427" s="3" t="s">
        <v>4770</v>
      </c>
      <c r="H427" s="11">
        <f t="shared" si="12"/>
        <v>326.35000000000002</v>
      </c>
      <c r="I427" s="9">
        <f>($K$2+0.02)*Tabla1[[#This Row],[PRECIO $]]*1.18</f>
        <v>276.82800000000003</v>
      </c>
      <c r="J427" s="7">
        <f>+Tabla1[[#This Row],[PRECIO EN SOLES]]-Tabla1[[#This Row],[PC]]</f>
        <v>49.521999999999991</v>
      </c>
      <c r="K427" s="15"/>
      <c r="L427" s="15" t="str">
        <f t="shared" si="13"/>
        <v>NORMAL</v>
      </c>
    </row>
    <row r="428" spans="1:12" x14ac:dyDescent="0.25">
      <c r="A428" s="3" t="s">
        <v>6844</v>
      </c>
      <c r="B428" s="3" t="s">
        <v>6845</v>
      </c>
      <c r="C428" s="1">
        <v>0</v>
      </c>
      <c r="D428" s="1">
        <v>135</v>
      </c>
      <c r="E428" s="1" t="s">
        <v>997</v>
      </c>
      <c r="F428" s="1" t="s">
        <v>6846</v>
      </c>
      <c r="G428" s="3" t="s">
        <v>6847</v>
      </c>
      <c r="H428" s="11">
        <f t="shared" si="12"/>
        <v>640.02</v>
      </c>
      <c r="I428" s="9">
        <f>($K$2+0.02)*Tabla1[[#This Row],[PRECIO $]]*1.18</f>
        <v>549.58499999999992</v>
      </c>
      <c r="J428" s="7">
        <f>+Tabla1[[#This Row],[PRECIO EN SOLES]]-Tabla1[[#This Row],[PC]]</f>
        <v>90.435000000000059</v>
      </c>
      <c r="K428" s="15"/>
      <c r="L428" s="15" t="str">
        <f t="shared" si="13"/>
        <v>NORMAL</v>
      </c>
    </row>
    <row r="429" spans="1:12" x14ac:dyDescent="0.25">
      <c r="A429" s="3" t="s">
        <v>999</v>
      </c>
      <c r="B429" s="3" t="s">
        <v>1000</v>
      </c>
      <c r="C429" s="1">
        <v>3</v>
      </c>
      <c r="D429" s="1">
        <v>343</v>
      </c>
      <c r="E429" s="1" t="s">
        <v>997</v>
      </c>
      <c r="F429" s="1" t="s">
        <v>4771</v>
      </c>
      <c r="G429" s="3" t="s">
        <v>1001</v>
      </c>
      <c r="H429" s="11">
        <f t="shared" si="12"/>
        <v>1613.81</v>
      </c>
      <c r="I429" s="9">
        <f>($K$2+0.02)*Tabla1[[#This Row],[PRECIO $]]*1.18</f>
        <v>1396.3530000000001</v>
      </c>
      <c r="J429" s="7">
        <f>+Tabla1[[#This Row],[PRECIO EN SOLES]]-Tabla1[[#This Row],[PC]]</f>
        <v>217.45699999999988</v>
      </c>
      <c r="K429" s="15"/>
      <c r="L429" s="15" t="str">
        <f t="shared" si="13"/>
        <v>NORMAL</v>
      </c>
    </row>
    <row r="430" spans="1:12" x14ac:dyDescent="0.25">
      <c r="A430" s="3" t="s">
        <v>1002</v>
      </c>
      <c r="B430" s="3" t="s">
        <v>1003</v>
      </c>
      <c r="C430" s="1">
        <v>4</v>
      </c>
      <c r="D430" s="1">
        <v>875</v>
      </c>
      <c r="E430" s="1" t="s">
        <v>997</v>
      </c>
      <c r="F430" s="1" t="s">
        <v>4772</v>
      </c>
      <c r="G430" s="3" t="s">
        <v>1004</v>
      </c>
      <c r="H430" s="11">
        <f t="shared" si="12"/>
        <v>4104.4399999999996</v>
      </c>
      <c r="I430" s="9">
        <f>($K$2+0.02)*Tabla1[[#This Row],[PRECIO $]]*1.18</f>
        <v>3562.125</v>
      </c>
      <c r="J430" s="7">
        <f>+Tabla1[[#This Row],[PRECIO EN SOLES]]-Tabla1[[#This Row],[PC]]</f>
        <v>542.3149999999996</v>
      </c>
      <c r="K430" s="15"/>
      <c r="L430" s="15" t="str">
        <f t="shared" si="13"/>
        <v>NORMAL</v>
      </c>
    </row>
    <row r="431" spans="1:12" x14ac:dyDescent="0.25">
      <c r="A431" s="3" t="s">
        <v>1005</v>
      </c>
      <c r="B431" s="3" t="s">
        <v>1006</v>
      </c>
      <c r="C431" s="1">
        <v>20</v>
      </c>
      <c r="D431" s="1">
        <v>12.8</v>
      </c>
      <c r="E431" s="1" t="s">
        <v>122</v>
      </c>
      <c r="F431" s="1" t="s">
        <v>4773</v>
      </c>
      <c r="G431" s="3" t="s">
        <v>1007</v>
      </c>
      <c r="H431" s="11">
        <f t="shared" si="12"/>
        <v>63.93</v>
      </c>
      <c r="I431" s="9">
        <f>($K$2+0.02)*Tabla1[[#This Row],[PRECIO $]]*1.18</f>
        <v>52.108800000000002</v>
      </c>
      <c r="J431" s="7">
        <f>+Tabla1[[#This Row],[PRECIO EN SOLES]]-Tabla1[[#This Row],[PC]]</f>
        <v>11.821199999999997</v>
      </c>
      <c r="K431" s="15"/>
      <c r="L431" s="15" t="str">
        <f t="shared" si="13"/>
        <v>NORMAL</v>
      </c>
    </row>
    <row r="432" spans="1:12" x14ac:dyDescent="0.25">
      <c r="A432" s="3" t="s">
        <v>6848</v>
      </c>
      <c r="B432" s="3" t="s">
        <v>6849</v>
      </c>
      <c r="C432" s="1">
        <v>6</v>
      </c>
      <c r="D432" s="1">
        <v>225</v>
      </c>
      <c r="E432" s="1" t="s">
        <v>997</v>
      </c>
      <c r="F432" s="1" t="s">
        <v>6850</v>
      </c>
      <c r="G432" s="3" t="s">
        <v>6851</v>
      </c>
      <c r="H432" s="11">
        <f t="shared" si="12"/>
        <v>1061.3699999999999</v>
      </c>
      <c r="I432" s="9">
        <f>($K$2+0.02)*Tabla1[[#This Row],[PRECIO $]]*1.18</f>
        <v>915.97499999999991</v>
      </c>
      <c r="J432" s="7">
        <f>+Tabla1[[#This Row],[PRECIO EN SOLES]]-Tabla1[[#This Row],[PC]]</f>
        <v>145.39499999999998</v>
      </c>
      <c r="K432" s="15"/>
      <c r="L432" s="15" t="str">
        <f t="shared" si="13"/>
        <v>NORMAL</v>
      </c>
    </row>
    <row r="433" spans="1:12" x14ac:dyDescent="0.25">
      <c r="A433" s="3" t="s">
        <v>1008</v>
      </c>
      <c r="B433" s="3" t="s">
        <v>1009</v>
      </c>
      <c r="C433" s="1">
        <v>5</v>
      </c>
      <c r="D433" s="1">
        <v>150</v>
      </c>
      <c r="E433" s="1" t="s">
        <v>997</v>
      </c>
      <c r="F433" s="1" t="s">
        <v>4774</v>
      </c>
      <c r="G433" s="3" t="s">
        <v>1010</v>
      </c>
      <c r="H433" s="11">
        <f t="shared" si="12"/>
        <v>710.25</v>
      </c>
      <c r="I433" s="9">
        <f>($K$2+0.02)*Tabla1[[#This Row],[PRECIO $]]*1.18</f>
        <v>610.65</v>
      </c>
      <c r="J433" s="7">
        <f>+Tabla1[[#This Row],[PRECIO EN SOLES]]-Tabla1[[#This Row],[PC]]</f>
        <v>99.600000000000023</v>
      </c>
      <c r="K433" s="15"/>
      <c r="L433" s="15" t="str">
        <f t="shared" si="13"/>
        <v>NORMAL</v>
      </c>
    </row>
    <row r="434" spans="1:12" x14ac:dyDescent="0.25">
      <c r="A434" s="3" t="s">
        <v>1011</v>
      </c>
      <c r="B434" s="3" t="s">
        <v>1012</v>
      </c>
      <c r="C434" s="1">
        <v>3</v>
      </c>
      <c r="D434" s="1">
        <v>158</v>
      </c>
      <c r="E434" s="1" t="s">
        <v>997</v>
      </c>
      <c r="F434" s="1" t="s">
        <v>4775</v>
      </c>
      <c r="G434" s="3" t="s">
        <v>1013</v>
      </c>
      <c r="H434" s="11">
        <f t="shared" si="12"/>
        <v>747.7</v>
      </c>
      <c r="I434" s="9">
        <f>($K$2+0.02)*Tabla1[[#This Row],[PRECIO $]]*1.18</f>
        <v>643.21799999999996</v>
      </c>
      <c r="J434" s="7">
        <f>+Tabla1[[#This Row],[PRECIO EN SOLES]]-Tabla1[[#This Row],[PC]]</f>
        <v>104.48200000000008</v>
      </c>
      <c r="K434" s="15"/>
      <c r="L434" s="15" t="str">
        <f t="shared" si="13"/>
        <v>NORMAL</v>
      </c>
    </row>
    <row r="435" spans="1:12" x14ac:dyDescent="0.25">
      <c r="A435" s="3" t="s">
        <v>4776</v>
      </c>
      <c r="B435" s="3" t="s">
        <v>4777</v>
      </c>
      <c r="C435" s="1">
        <v>6</v>
      </c>
      <c r="D435" s="1">
        <v>163</v>
      </c>
      <c r="E435" s="1" t="s">
        <v>997</v>
      </c>
      <c r="F435" s="1" t="s">
        <v>4778</v>
      </c>
      <c r="G435" s="3" t="s">
        <v>4779</v>
      </c>
      <c r="H435" s="11">
        <f t="shared" si="12"/>
        <v>771.11</v>
      </c>
      <c r="I435" s="9">
        <f>($K$2+0.02)*Tabla1[[#This Row],[PRECIO $]]*1.18</f>
        <v>663.57299999999998</v>
      </c>
      <c r="J435" s="7">
        <f>+Tabla1[[#This Row],[PRECIO EN SOLES]]-Tabla1[[#This Row],[PC]]</f>
        <v>107.53700000000003</v>
      </c>
      <c r="K435" s="15"/>
      <c r="L435" s="15" t="str">
        <f t="shared" si="13"/>
        <v>NORMAL</v>
      </c>
    </row>
    <row r="436" spans="1:12" x14ac:dyDescent="0.25">
      <c r="A436" s="3" t="s">
        <v>6852</v>
      </c>
      <c r="B436" s="3" t="s">
        <v>6853</v>
      </c>
      <c r="C436" s="1">
        <v>7</v>
      </c>
      <c r="D436" s="1">
        <v>218</v>
      </c>
      <c r="E436" s="1" t="s">
        <v>997</v>
      </c>
      <c r="F436" s="1" t="s">
        <v>6854</v>
      </c>
      <c r="G436" s="3" t="s">
        <v>6855</v>
      </c>
      <c r="H436" s="11">
        <f t="shared" si="12"/>
        <v>1028.5999999999999</v>
      </c>
      <c r="I436" s="9">
        <f>($K$2+0.02)*Tabla1[[#This Row],[PRECIO $]]*1.18</f>
        <v>887.47799999999995</v>
      </c>
      <c r="J436" s="7">
        <f>+Tabla1[[#This Row],[PRECIO EN SOLES]]-Tabla1[[#This Row],[PC]]</f>
        <v>141.12199999999996</v>
      </c>
      <c r="K436" s="15"/>
      <c r="L436" s="15" t="str">
        <f t="shared" si="13"/>
        <v>NORMAL</v>
      </c>
    </row>
    <row r="437" spans="1:12" x14ac:dyDescent="0.25">
      <c r="A437" s="3" t="s">
        <v>4780</v>
      </c>
      <c r="B437" s="3" t="s">
        <v>4781</v>
      </c>
      <c r="C437" s="1">
        <v>20</v>
      </c>
      <c r="D437" s="1">
        <v>9</v>
      </c>
      <c r="E437" s="1" t="s">
        <v>994</v>
      </c>
      <c r="F437" s="1" t="s">
        <v>4782</v>
      </c>
      <c r="G437" s="3" t="s">
        <v>6856</v>
      </c>
      <c r="H437" s="11">
        <f t="shared" si="12"/>
        <v>46.13</v>
      </c>
      <c r="I437" s="9">
        <f>($K$2+0.02)*Tabla1[[#This Row],[PRECIO $]]*1.18</f>
        <v>36.638999999999996</v>
      </c>
      <c r="J437" s="7">
        <f>+Tabla1[[#This Row],[PRECIO EN SOLES]]-Tabla1[[#This Row],[PC]]</f>
        <v>9.4910000000000068</v>
      </c>
      <c r="K437" s="15"/>
      <c r="L437" s="15" t="str">
        <f t="shared" si="13"/>
        <v>NORMAL</v>
      </c>
    </row>
    <row r="438" spans="1:12" x14ac:dyDescent="0.25">
      <c r="A438" s="3" t="s">
        <v>1014</v>
      </c>
      <c r="B438" s="3" t="s">
        <v>1006</v>
      </c>
      <c r="C438" s="1">
        <v>0</v>
      </c>
      <c r="D438" s="1">
        <v>999</v>
      </c>
      <c r="E438" s="1" t="s">
        <v>242</v>
      </c>
      <c r="F438" s="1" t="s">
        <v>4783</v>
      </c>
      <c r="G438" s="3"/>
      <c r="H438" s="11">
        <f t="shared" si="12"/>
        <v>4684.97</v>
      </c>
      <c r="I438" s="9">
        <f>($K$2+0.02)*Tabla1[[#This Row],[PRECIO $]]*1.18</f>
        <v>4066.9290000000001</v>
      </c>
      <c r="J438" s="7">
        <f>+Tabla1[[#This Row],[PRECIO EN SOLES]]-Tabla1[[#This Row],[PC]]</f>
        <v>618.04100000000017</v>
      </c>
      <c r="K438" s="15"/>
      <c r="L438" s="15" t="str">
        <f t="shared" si="13"/>
        <v>NORMAL</v>
      </c>
    </row>
    <row r="439" spans="1:12" x14ac:dyDescent="0.25">
      <c r="A439" s="3" t="s">
        <v>1015</v>
      </c>
      <c r="B439" s="3" t="s">
        <v>1016</v>
      </c>
      <c r="C439" s="1">
        <v>0</v>
      </c>
      <c r="D439" s="1">
        <v>110</v>
      </c>
      <c r="E439" s="1" t="s">
        <v>131</v>
      </c>
      <c r="F439" s="1" t="s">
        <v>4784</v>
      </c>
      <c r="G439" s="3"/>
      <c r="H439" s="11">
        <f t="shared" si="12"/>
        <v>522.98</v>
      </c>
      <c r="I439" s="9">
        <f>($K$2+0.02)*Tabla1[[#This Row],[PRECIO $]]*1.18</f>
        <v>447.81</v>
      </c>
      <c r="J439" s="7">
        <f>+Tabla1[[#This Row],[PRECIO EN SOLES]]-Tabla1[[#This Row],[PC]]</f>
        <v>75.170000000000016</v>
      </c>
      <c r="K439" s="15"/>
      <c r="L439" s="15" t="str">
        <f t="shared" si="13"/>
        <v>NORMAL</v>
      </c>
    </row>
    <row r="440" spans="1:12" x14ac:dyDescent="0.25">
      <c r="A440" s="3" t="s">
        <v>1017</v>
      </c>
      <c r="B440" s="3" t="s">
        <v>1018</v>
      </c>
      <c r="C440" s="1">
        <v>0</v>
      </c>
      <c r="D440" s="1">
        <v>145.5</v>
      </c>
      <c r="E440" s="1" t="s">
        <v>151</v>
      </c>
      <c r="F440" s="1" t="s">
        <v>4785</v>
      </c>
      <c r="G440" s="3" t="s">
        <v>1019</v>
      </c>
      <c r="H440" s="11">
        <f t="shared" si="12"/>
        <v>689.18</v>
      </c>
      <c r="I440" s="9">
        <f>($K$2+0.02)*Tabla1[[#This Row],[PRECIO $]]*1.18</f>
        <v>592.33050000000003</v>
      </c>
      <c r="J440" s="7">
        <f>+Tabla1[[#This Row],[PRECIO EN SOLES]]-Tabla1[[#This Row],[PC]]</f>
        <v>96.849499999999921</v>
      </c>
      <c r="K440" s="15"/>
      <c r="L440" s="15" t="str">
        <f t="shared" si="13"/>
        <v>NORMAL</v>
      </c>
    </row>
    <row r="441" spans="1:12" x14ac:dyDescent="0.25">
      <c r="A441" s="3" t="s">
        <v>1020</v>
      </c>
      <c r="B441" s="3" t="s">
        <v>1021</v>
      </c>
      <c r="C441" s="1">
        <v>5</v>
      </c>
      <c r="D441" s="1">
        <v>137</v>
      </c>
      <c r="E441" s="1" t="s">
        <v>151</v>
      </c>
      <c r="F441" s="1" t="s">
        <v>4786</v>
      </c>
      <c r="G441" s="3" t="s">
        <v>1022</v>
      </c>
      <c r="H441" s="11">
        <f t="shared" si="12"/>
        <v>649.39</v>
      </c>
      <c r="I441" s="9">
        <f>($K$2+0.02)*Tabla1[[#This Row],[PRECIO $]]*1.18</f>
        <v>557.72699999999998</v>
      </c>
      <c r="J441" s="7">
        <f>+Tabla1[[#This Row],[PRECIO EN SOLES]]-Tabla1[[#This Row],[PC]]</f>
        <v>91.663000000000011</v>
      </c>
      <c r="K441" s="15"/>
      <c r="L441" s="15" t="str">
        <f t="shared" si="13"/>
        <v>NORMAL</v>
      </c>
    </row>
    <row r="442" spans="1:12" x14ac:dyDescent="0.25">
      <c r="A442" s="3" t="s">
        <v>1023</v>
      </c>
      <c r="B442" s="3" t="s">
        <v>1024</v>
      </c>
      <c r="C442" s="1">
        <v>6</v>
      </c>
      <c r="D442" s="1">
        <v>98</v>
      </c>
      <c r="E442" s="1" t="s">
        <v>151</v>
      </c>
      <c r="F442" s="1" t="s">
        <v>4787</v>
      </c>
      <c r="G442" s="3" t="s">
        <v>4788</v>
      </c>
      <c r="H442" s="11">
        <f t="shared" si="12"/>
        <v>466.8</v>
      </c>
      <c r="I442" s="9">
        <f>($K$2+0.02)*Tabla1[[#This Row],[PRECIO $]]*1.18</f>
        <v>398.95800000000003</v>
      </c>
      <c r="J442" s="7">
        <f>+Tabla1[[#This Row],[PRECIO EN SOLES]]-Tabla1[[#This Row],[PC]]</f>
        <v>67.841999999999985</v>
      </c>
      <c r="K442" s="15"/>
      <c r="L442" s="15" t="str">
        <f t="shared" si="13"/>
        <v>NORMAL</v>
      </c>
    </row>
    <row r="443" spans="1:12" x14ac:dyDescent="0.25">
      <c r="A443" s="3" t="s">
        <v>1025</v>
      </c>
      <c r="B443" s="3" t="s">
        <v>1026</v>
      </c>
      <c r="C443" s="1">
        <v>9</v>
      </c>
      <c r="D443" s="1">
        <v>4.75</v>
      </c>
      <c r="E443" s="1" t="s">
        <v>122</v>
      </c>
      <c r="F443" s="1" t="s">
        <v>4789</v>
      </c>
      <c r="G443" s="3" t="s">
        <v>1027</v>
      </c>
      <c r="H443" s="11">
        <f t="shared" si="12"/>
        <v>24.24</v>
      </c>
      <c r="I443" s="9">
        <f>($K$2+0.02)*Tabla1[[#This Row],[PRECIO $]]*1.18</f>
        <v>19.337249999999997</v>
      </c>
      <c r="J443" s="7">
        <f>+Tabla1[[#This Row],[PRECIO EN SOLES]]-Tabla1[[#This Row],[PC]]</f>
        <v>4.9027500000000011</v>
      </c>
      <c r="K443" s="15"/>
      <c r="L443" s="15" t="str">
        <f t="shared" si="13"/>
        <v>NORMAL</v>
      </c>
    </row>
    <row r="444" spans="1:12" x14ac:dyDescent="0.25">
      <c r="A444" s="3" t="s">
        <v>1028</v>
      </c>
      <c r="B444" s="3" t="s">
        <v>1029</v>
      </c>
      <c r="C444" s="1">
        <v>20</v>
      </c>
      <c r="D444" s="1">
        <v>24.3</v>
      </c>
      <c r="E444" s="1" t="s">
        <v>122</v>
      </c>
      <c r="F444" s="1" t="s">
        <v>4790</v>
      </c>
      <c r="G444" s="3" t="s">
        <v>1030</v>
      </c>
      <c r="H444" s="11">
        <f t="shared" si="12"/>
        <v>119.76</v>
      </c>
      <c r="I444" s="9">
        <f>($K$2+0.02)*Tabla1[[#This Row],[PRECIO $]]*1.18</f>
        <v>98.925300000000007</v>
      </c>
      <c r="J444" s="7">
        <f>+Tabla1[[#This Row],[PRECIO EN SOLES]]-Tabla1[[#This Row],[PC]]</f>
        <v>20.834699999999998</v>
      </c>
      <c r="K444" s="15"/>
      <c r="L444" s="15" t="str">
        <f t="shared" si="13"/>
        <v>NORMAL</v>
      </c>
    </row>
    <row r="445" spans="1:12" x14ac:dyDescent="0.25">
      <c r="A445" s="3" t="s">
        <v>1031</v>
      </c>
      <c r="B445" s="3" t="s">
        <v>1032</v>
      </c>
      <c r="C445" s="1">
        <v>1</v>
      </c>
      <c r="D445" s="1">
        <v>54</v>
      </c>
      <c r="E445" s="1" t="s">
        <v>681</v>
      </c>
      <c r="F445" s="1" t="s">
        <v>4791</v>
      </c>
      <c r="G445" s="3"/>
      <c r="H445" s="11">
        <f t="shared" si="12"/>
        <v>260.81</v>
      </c>
      <c r="I445" s="9">
        <f>($K$2+0.02)*Tabla1[[#This Row],[PRECIO $]]*1.18</f>
        <v>219.834</v>
      </c>
      <c r="J445" s="7">
        <f>+Tabla1[[#This Row],[PRECIO EN SOLES]]-Tabla1[[#This Row],[PC]]</f>
        <v>40.975999999999999</v>
      </c>
      <c r="K445" s="15"/>
      <c r="L445" s="15" t="str">
        <f t="shared" si="13"/>
        <v>NORMAL</v>
      </c>
    </row>
    <row r="446" spans="1:12" x14ac:dyDescent="0.25">
      <c r="A446" s="3" t="s">
        <v>1033</v>
      </c>
      <c r="B446" s="3" t="s">
        <v>1034</v>
      </c>
      <c r="C446" s="1">
        <v>13</v>
      </c>
      <c r="D446" s="1">
        <v>67.91</v>
      </c>
      <c r="E446" s="1" t="s">
        <v>681</v>
      </c>
      <c r="F446" s="1" t="s">
        <v>4792</v>
      </c>
      <c r="G446" s="3"/>
      <c r="H446" s="11">
        <f t="shared" si="12"/>
        <v>325.93</v>
      </c>
      <c r="I446" s="9">
        <f>($K$2+0.02)*Tabla1[[#This Row],[PRECIO $]]*1.18</f>
        <v>276.46161000000001</v>
      </c>
      <c r="J446" s="7">
        <f>+Tabla1[[#This Row],[PRECIO EN SOLES]]-Tabla1[[#This Row],[PC]]</f>
        <v>49.468389999999999</v>
      </c>
      <c r="K446" s="15"/>
      <c r="L446" s="15" t="str">
        <f t="shared" si="13"/>
        <v>NORMAL</v>
      </c>
    </row>
    <row r="447" spans="1:12" x14ac:dyDescent="0.25">
      <c r="A447" s="3" t="s">
        <v>1035</v>
      </c>
      <c r="B447" s="3" t="s">
        <v>1036</v>
      </c>
      <c r="C447" s="1">
        <v>1</v>
      </c>
      <c r="D447" s="1">
        <v>908</v>
      </c>
      <c r="E447" s="1" t="s">
        <v>142</v>
      </c>
      <c r="F447" s="1" t="s">
        <v>4793</v>
      </c>
      <c r="G447" s="3" t="s">
        <v>1037</v>
      </c>
      <c r="H447" s="11">
        <f t="shared" si="12"/>
        <v>4258.9399999999996</v>
      </c>
      <c r="I447" s="9">
        <f>($K$2+0.02)*Tabla1[[#This Row],[PRECIO $]]*1.18</f>
        <v>3696.4680000000003</v>
      </c>
      <c r="J447" s="7">
        <f>+Tabla1[[#This Row],[PRECIO EN SOLES]]-Tabla1[[#This Row],[PC]]</f>
        <v>562.4719999999993</v>
      </c>
      <c r="K447" s="15"/>
      <c r="L447" s="15" t="str">
        <f t="shared" si="13"/>
        <v>NORMAL</v>
      </c>
    </row>
    <row r="448" spans="1:12" x14ac:dyDescent="0.25">
      <c r="A448" s="3" t="s">
        <v>1038</v>
      </c>
      <c r="B448" s="3" t="s">
        <v>1039</v>
      </c>
      <c r="C448" s="1">
        <v>1</v>
      </c>
      <c r="D448" s="1">
        <v>2000</v>
      </c>
      <c r="E448" s="1" t="s">
        <v>142</v>
      </c>
      <c r="F448" s="1" t="s">
        <v>4794</v>
      </c>
      <c r="G448" s="3"/>
      <c r="H448" s="11">
        <f t="shared" si="12"/>
        <v>9371.2999999999993</v>
      </c>
      <c r="I448" s="9">
        <f>($K$2+0.02)*Tabla1[[#This Row],[PRECIO $]]*1.18</f>
        <v>8142</v>
      </c>
      <c r="J448" s="7">
        <f>+Tabla1[[#This Row],[PRECIO EN SOLES]]-Tabla1[[#This Row],[PC]]</f>
        <v>1229.2999999999993</v>
      </c>
      <c r="K448" s="15"/>
      <c r="L448" s="15" t="str">
        <f t="shared" si="13"/>
        <v>NORMAL</v>
      </c>
    </row>
    <row r="449" spans="1:12" x14ac:dyDescent="0.25">
      <c r="A449" s="3" t="s">
        <v>1040</v>
      </c>
      <c r="B449" s="3" t="s">
        <v>1041</v>
      </c>
      <c r="C449" s="1">
        <v>5</v>
      </c>
      <c r="D449" s="1">
        <v>42</v>
      </c>
      <c r="E449" s="1" t="s">
        <v>606</v>
      </c>
      <c r="F449" s="1" t="s">
        <v>4795</v>
      </c>
      <c r="G449" s="3"/>
      <c r="H449" s="11">
        <f t="shared" si="12"/>
        <v>204.63</v>
      </c>
      <c r="I449" s="9">
        <f>($K$2+0.02)*Tabla1[[#This Row],[PRECIO $]]*1.18</f>
        <v>170.982</v>
      </c>
      <c r="J449" s="7">
        <f>+Tabla1[[#This Row],[PRECIO EN SOLES]]-Tabla1[[#This Row],[PC]]</f>
        <v>33.647999999999996</v>
      </c>
      <c r="K449" s="15"/>
      <c r="L449" s="15" t="str">
        <f t="shared" si="13"/>
        <v>NORMAL</v>
      </c>
    </row>
    <row r="450" spans="1:12" x14ac:dyDescent="0.25">
      <c r="A450" s="3" t="s">
        <v>1042</v>
      </c>
      <c r="B450" s="3" t="s">
        <v>1043</v>
      </c>
      <c r="C450" s="1">
        <v>3</v>
      </c>
      <c r="D450" s="1">
        <v>100</v>
      </c>
      <c r="E450" s="1" t="s">
        <v>606</v>
      </c>
      <c r="F450" s="1" t="s">
        <v>4796</v>
      </c>
      <c r="G450" s="3" t="s">
        <v>1044</v>
      </c>
      <c r="H450" s="11">
        <f t="shared" ref="H450:H513" si="14">ROUND(
IF(L450="GANCHO",
   IF(I450&lt;=50,I450*1.1+4,IF(I450&lt;=120,I450*1.1+7,IF(I450&lt;=250,I450*1.1+11,I450*1.1+19))),
IF(L450="NORMAL",
   IF(I450&lt;=30,I450*1.15+2,IF(I450&lt;=80,I450*1.15+4,IF(I450&lt;=150,I450*1.15+6,I450*1.15+8))),
IF(L450="COMPLEMENTO",
   IF(I450&lt;=25,I450*1.25+1.5,IF(I450&lt;=60,I450*1.25+3,IF(I450&lt;=120,I450*1.25+4,I450*1.25+5))),
""))),2)</f>
        <v>476.17</v>
      </c>
      <c r="I450" s="9">
        <f>($K$2+0.02)*Tabla1[[#This Row],[PRECIO $]]*1.18</f>
        <v>407.09999999999997</v>
      </c>
      <c r="J450" s="7">
        <f>+Tabla1[[#This Row],[PRECIO EN SOLES]]-Tabla1[[#This Row],[PC]]</f>
        <v>69.07000000000005</v>
      </c>
      <c r="K450" s="15"/>
      <c r="L450" s="15" t="str">
        <f t="shared" si="13"/>
        <v>NORMAL</v>
      </c>
    </row>
    <row r="451" spans="1:12" x14ac:dyDescent="0.25">
      <c r="A451" s="3" t="s">
        <v>1045</v>
      </c>
      <c r="B451" s="3" t="s">
        <v>1046</v>
      </c>
      <c r="C451" s="1">
        <v>20</v>
      </c>
      <c r="D451" s="1">
        <v>100</v>
      </c>
      <c r="E451" s="1" t="s">
        <v>269</v>
      </c>
      <c r="F451" s="1" t="s">
        <v>4797</v>
      </c>
      <c r="G451" s="3"/>
      <c r="H451" s="11">
        <f t="shared" si="14"/>
        <v>476.17</v>
      </c>
      <c r="I451" s="9">
        <f>($K$2+0.02)*Tabla1[[#This Row],[PRECIO $]]*1.18</f>
        <v>407.09999999999997</v>
      </c>
      <c r="J451" s="7">
        <f>+Tabla1[[#This Row],[PRECIO EN SOLES]]-Tabla1[[#This Row],[PC]]</f>
        <v>69.07000000000005</v>
      </c>
      <c r="K451" s="15"/>
      <c r="L451" s="15" t="str">
        <f t="shared" ref="L451:L514" si="15">IF(
OR(
ISNUMBER(SEARCH("BACKPACK",B451)),
ISNUMBER(SEARCH("MOCHILA",B451)),
ISNUMBER(SEARCH("FUNDA",B451)),
ISNUMBER(SEARCH("ESTUCHE",B451)),
ISNUMBER(SEARCH("BOOK COVER",B451)),
ISNUMBER(SEARCH("KEYBOARD PARA TABLET",B451)),
ISNUMBER(SEARCH("FLIP TABLET",B451)),
ISNUMBER(SEARCH("CASE FOR TABLET",B451)),
ISNUMBER(SEARCH("CABLE",B451)),
ISNUMBER(SEARCH("ADAPTADOR",B451)),
ISNUMBER(SEARCH("HUB",B451)),
ISNUMBER(SEARCH("DOCK",B451)),
ISNUMBER(SEARCH("MOUSE PAD",B451)),
ISNUMBER(SEARCH("MOUSEPAD",B451)),
ISNUMBER(SEARCH("SOPORTE",B451)),
ISNUMBER(SEARCH("STAND",B451)),
ISNUMBER(SEARCH("TRAVEL ADAPTER",B451)),
ISNUMBER(SEARCH("RJ45",B451)),
ISNUMBER(SEARCH("USB-C",B451)),
ISNUMBER(SEARCH("USB WIFI",B451)),
ISNUMBER(SEARCH("POWERBANK",B451)),
ISNUMBER(SEARCH("CARGADOR",B451)),
ISNUMBER(SEARCH("COOLER PARA NB",B451)),
ISNUMBER(SEARCH("SOPORTE PARA NB",B451)),
ISNUMBER(SEARCH("WEBCAM",B451)),
ISNUMBER(SEARCH("WEB CAM",B451)),
ISNUMBER(SEARCH("MOUSE",B451)),
ISNUMBER(SEARCH("TECLADO",B451))
),
"COMPLEMENTO",
IF(
OR(
LEFT(A451,2)="NB",
LEFT(A451,2)="PC",
LEFT(A451,2)="WS",
LEFT(A451,2)="TB",
LEFT(A451,3)="CEL",
LEFT(A451,3)="MON",
LEFT(A451,3)="PRE",
LEFT(A451,3)="PRH",
ISNUMBER(SEARCH("NOTEBOOK",B451)),
ISNUMBER(SEARCH("LAPTOP",B451)),
ISNUMBER(SEARCH("MONITOR",B451)),
ISNUMBER(SEARCH("TABLET",B451)),
ISNUMBER(SEARCH("SMARTPH",B451)),
ISNUMBER(SEARCH("IMPRESORA",B451)),
ISNUMBER(SEARCH("MULTIFUNCIONAL",B451)),
ISNUMBER(SEARCH("AIO",B451))
),
"GANCHO",
"NORMAL"
)
)</f>
        <v>NORMAL</v>
      </c>
    </row>
    <row r="452" spans="1:12" x14ac:dyDescent="0.25">
      <c r="A452" s="3" t="s">
        <v>1047</v>
      </c>
      <c r="B452" s="3" t="s">
        <v>1048</v>
      </c>
      <c r="C452" s="1">
        <v>20</v>
      </c>
      <c r="D452" s="1">
        <v>20</v>
      </c>
      <c r="E452" s="1" t="s">
        <v>269</v>
      </c>
      <c r="F452" s="1" t="s">
        <v>4798</v>
      </c>
      <c r="G452" s="3"/>
      <c r="H452" s="11">
        <f t="shared" si="14"/>
        <v>99.63</v>
      </c>
      <c r="I452" s="9">
        <f>($K$2+0.02)*Tabla1[[#This Row],[PRECIO $]]*1.18</f>
        <v>81.42</v>
      </c>
      <c r="J452" s="7">
        <f>+Tabla1[[#This Row],[PRECIO EN SOLES]]-Tabla1[[#This Row],[PC]]</f>
        <v>18.209999999999994</v>
      </c>
      <c r="K452" s="15"/>
      <c r="L452" s="15" t="str">
        <f t="shared" si="15"/>
        <v>NORMAL</v>
      </c>
    </row>
    <row r="453" spans="1:12" x14ac:dyDescent="0.25">
      <c r="A453" s="3" t="s">
        <v>1049</v>
      </c>
      <c r="B453" s="3" t="s">
        <v>1050</v>
      </c>
      <c r="C453" s="1">
        <v>1</v>
      </c>
      <c r="D453" s="1">
        <v>2000</v>
      </c>
      <c r="E453" s="1" t="s">
        <v>1051</v>
      </c>
      <c r="F453" s="1" t="s">
        <v>4799</v>
      </c>
      <c r="G453" s="3"/>
      <c r="H453" s="11">
        <f t="shared" si="14"/>
        <v>9371.2999999999993</v>
      </c>
      <c r="I453" s="9">
        <f>($K$2+0.02)*Tabla1[[#This Row],[PRECIO $]]*1.18</f>
        <v>8142</v>
      </c>
      <c r="J453" s="7">
        <f>+Tabla1[[#This Row],[PRECIO EN SOLES]]-Tabla1[[#This Row],[PC]]</f>
        <v>1229.2999999999993</v>
      </c>
      <c r="K453" s="15"/>
      <c r="L453" s="15" t="str">
        <f t="shared" si="15"/>
        <v>NORMAL</v>
      </c>
    </row>
    <row r="454" spans="1:12" x14ac:dyDescent="0.25">
      <c r="A454" s="3" t="s">
        <v>6857</v>
      </c>
      <c r="B454" s="3" t="s">
        <v>6858</v>
      </c>
      <c r="C454" s="1">
        <v>0</v>
      </c>
      <c r="D454" s="1">
        <v>100</v>
      </c>
      <c r="E454" s="1" t="s">
        <v>142</v>
      </c>
      <c r="F454" s="1" t="s">
        <v>6859</v>
      </c>
      <c r="G454" s="3"/>
      <c r="H454" s="11">
        <f t="shared" si="14"/>
        <v>476.17</v>
      </c>
      <c r="I454" s="9">
        <f>($K$2+0.02)*Tabla1[[#This Row],[PRECIO $]]*1.18</f>
        <v>407.09999999999997</v>
      </c>
      <c r="J454" s="7">
        <f>+Tabla1[[#This Row],[PRECIO EN SOLES]]-Tabla1[[#This Row],[PC]]</f>
        <v>69.07000000000005</v>
      </c>
      <c r="K454" s="15"/>
      <c r="L454" s="15" t="str">
        <f t="shared" si="15"/>
        <v>NORMAL</v>
      </c>
    </row>
    <row r="455" spans="1:12" x14ac:dyDescent="0.25">
      <c r="A455" s="3" t="s">
        <v>1052</v>
      </c>
      <c r="B455" s="3" t="s">
        <v>1053</v>
      </c>
      <c r="C455" s="1">
        <v>1</v>
      </c>
      <c r="D455" s="1">
        <v>65.27</v>
      </c>
      <c r="E455" s="1" t="s">
        <v>1054</v>
      </c>
      <c r="F455" s="1" t="s">
        <v>4800</v>
      </c>
      <c r="G455" s="3"/>
      <c r="H455" s="11">
        <f t="shared" si="14"/>
        <v>313.57</v>
      </c>
      <c r="I455" s="9">
        <f>($K$2+0.02)*Tabla1[[#This Row],[PRECIO $]]*1.18</f>
        <v>265.71416999999997</v>
      </c>
      <c r="J455" s="7">
        <f>+Tabla1[[#This Row],[PRECIO EN SOLES]]-Tabla1[[#This Row],[PC]]</f>
        <v>47.855830000000026</v>
      </c>
      <c r="K455" s="15"/>
      <c r="L455" s="15" t="str">
        <f t="shared" si="15"/>
        <v>NORMAL</v>
      </c>
    </row>
    <row r="456" spans="1:12" x14ac:dyDescent="0.25">
      <c r="A456" s="3" t="s">
        <v>1055</v>
      </c>
      <c r="B456" s="3" t="s">
        <v>1056</v>
      </c>
      <c r="C456" s="1">
        <v>0</v>
      </c>
      <c r="D456" s="1">
        <v>300</v>
      </c>
      <c r="E456" s="1" t="s">
        <v>1057</v>
      </c>
      <c r="F456" s="1" t="s">
        <v>4801</v>
      </c>
      <c r="G456" s="3" t="s">
        <v>1058</v>
      </c>
      <c r="H456" s="11">
        <f t="shared" si="14"/>
        <v>1412.5</v>
      </c>
      <c r="I456" s="9">
        <f>($K$2+0.02)*Tabla1[[#This Row],[PRECIO $]]*1.18</f>
        <v>1221.3</v>
      </c>
      <c r="J456" s="7">
        <f>+Tabla1[[#This Row],[PRECIO EN SOLES]]-Tabla1[[#This Row],[PC]]</f>
        <v>191.20000000000005</v>
      </c>
      <c r="K456" s="15"/>
      <c r="L456" s="15" t="str">
        <f t="shared" si="15"/>
        <v>NORMAL</v>
      </c>
    </row>
    <row r="457" spans="1:12" x14ac:dyDescent="0.25">
      <c r="A457" s="3" t="s">
        <v>1059</v>
      </c>
      <c r="B457" s="3" t="s">
        <v>1060</v>
      </c>
      <c r="C457" s="1">
        <v>2</v>
      </c>
      <c r="D457" s="1">
        <v>522</v>
      </c>
      <c r="E457" s="1" t="s">
        <v>1051</v>
      </c>
      <c r="F457" s="1" t="s">
        <v>4802</v>
      </c>
      <c r="G457" s="3"/>
      <c r="H457" s="11">
        <f t="shared" si="14"/>
        <v>2451.8200000000002</v>
      </c>
      <c r="I457" s="9">
        <f>($K$2+0.02)*Tabla1[[#This Row],[PRECIO $]]*1.18</f>
        <v>2125.0619999999999</v>
      </c>
      <c r="J457" s="7">
        <f>+Tabla1[[#This Row],[PRECIO EN SOLES]]-Tabla1[[#This Row],[PC]]</f>
        <v>326.75800000000027</v>
      </c>
      <c r="K457" s="15"/>
      <c r="L457" s="15" t="str">
        <f t="shared" si="15"/>
        <v>NORMAL</v>
      </c>
    </row>
    <row r="458" spans="1:12" x14ac:dyDescent="0.25">
      <c r="A458" s="3" t="s">
        <v>1061</v>
      </c>
      <c r="B458" s="3" t="s">
        <v>1062</v>
      </c>
      <c r="C458" s="1">
        <v>0</v>
      </c>
      <c r="D458" s="1">
        <v>350</v>
      </c>
      <c r="E458" s="1" t="s">
        <v>1051</v>
      </c>
      <c r="F458" s="1" t="s">
        <v>4803</v>
      </c>
      <c r="G458" s="3"/>
      <c r="H458" s="11">
        <f t="shared" si="14"/>
        <v>1646.58</v>
      </c>
      <c r="I458" s="9">
        <f>($K$2+0.02)*Tabla1[[#This Row],[PRECIO $]]*1.18</f>
        <v>1424.85</v>
      </c>
      <c r="J458" s="7">
        <f>+Tabla1[[#This Row],[PRECIO EN SOLES]]-Tabla1[[#This Row],[PC]]</f>
        <v>221.73000000000002</v>
      </c>
      <c r="K458" s="15"/>
      <c r="L458" s="15" t="str">
        <f t="shared" si="15"/>
        <v>NORMAL</v>
      </c>
    </row>
    <row r="459" spans="1:12" x14ac:dyDescent="0.25">
      <c r="A459" s="3" t="s">
        <v>1063</v>
      </c>
      <c r="B459" s="3" t="s">
        <v>1064</v>
      </c>
      <c r="C459" s="1">
        <v>7</v>
      </c>
      <c r="D459" s="1">
        <v>60</v>
      </c>
      <c r="E459" s="1" t="s">
        <v>1051</v>
      </c>
      <c r="F459" s="1" t="s">
        <v>4804</v>
      </c>
      <c r="G459" s="3"/>
      <c r="H459" s="11">
        <f t="shared" si="14"/>
        <v>288.89999999999998</v>
      </c>
      <c r="I459" s="9">
        <f>($K$2+0.02)*Tabla1[[#This Row],[PRECIO $]]*1.18</f>
        <v>244.26</v>
      </c>
      <c r="J459" s="7">
        <f>+Tabla1[[#This Row],[PRECIO EN SOLES]]-Tabla1[[#This Row],[PC]]</f>
        <v>44.639999999999986</v>
      </c>
      <c r="K459" s="15"/>
      <c r="L459" s="15" t="str">
        <f t="shared" si="15"/>
        <v>NORMAL</v>
      </c>
    </row>
    <row r="460" spans="1:12" x14ac:dyDescent="0.25">
      <c r="A460" s="3" t="s">
        <v>1065</v>
      </c>
      <c r="B460" s="3" t="s">
        <v>1066</v>
      </c>
      <c r="C460" s="1">
        <v>1</v>
      </c>
      <c r="D460" s="1">
        <v>15.3</v>
      </c>
      <c r="E460" s="1" t="s">
        <v>142</v>
      </c>
      <c r="F460" s="1" t="s">
        <v>4805</v>
      </c>
      <c r="G460" s="3"/>
      <c r="H460" s="11">
        <f t="shared" si="14"/>
        <v>75.63</v>
      </c>
      <c r="I460" s="9">
        <f>($K$2+0.02)*Tabla1[[#This Row],[PRECIO $]]*1.18</f>
        <v>62.286300000000004</v>
      </c>
      <c r="J460" s="7">
        <f>+Tabla1[[#This Row],[PRECIO EN SOLES]]-Tabla1[[#This Row],[PC]]</f>
        <v>13.343699999999991</v>
      </c>
      <c r="K460" s="15"/>
      <c r="L460" s="15" t="str">
        <f t="shared" si="15"/>
        <v>NORMAL</v>
      </c>
    </row>
    <row r="461" spans="1:12" x14ac:dyDescent="0.25">
      <c r="A461" s="3" t="s">
        <v>1067</v>
      </c>
      <c r="B461" s="3" t="s">
        <v>1068</v>
      </c>
      <c r="C461" s="1">
        <v>1</v>
      </c>
      <c r="D461" s="1">
        <v>52</v>
      </c>
      <c r="E461" s="1" t="s">
        <v>681</v>
      </c>
      <c r="F461" s="1" t="s">
        <v>4806</v>
      </c>
      <c r="G461" s="3" t="s">
        <v>1069</v>
      </c>
      <c r="H461" s="11">
        <f t="shared" si="14"/>
        <v>251.45</v>
      </c>
      <c r="I461" s="9">
        <f>($K$2+0.02)*Tabla1[[#This Row],[PRECIO $]]*1.18</f>
        <v>211.69200000000001</v>
      </c>
      <c r="J461" s="7">
        <f>+Tabla1[[#This Row],[PRECIO EN SOLES]]-Tabla1[[#This Row],[PC]]</f>
        <v>39.757999999999981</v>
      </c>
      <c r="K461" s="15"/>
      <c r="L461" s="15" t="str">
        <f t="shared" si="15"/>
        <v>NORMAL</v>
      </c>
    </row>
    <row r="462" spans="1:12" x14ac:dyDescent="0.25">
      <c r="A462" s="3" t="s">
        <v>1070</v>
      </c>
      <c r="B462" s="3" t="s">
        <v>1071</v>
      </c>
      <c r="C462" s="1">
        <v>1</v>
      </c>
      <c r="D462" s="1">
        <v>67</v>
      </c>
      <c r="E462" s="1" t="s">
        <v>681</v>
      </c>
      <c r="F462" s="1" t="s">
        <v>4807</v>
      </c>
      <c r="G462" s="3" t="s">
        <v>1072</v>
      </c>
      <c r="H462" s="11">
        <f t="shared" si="14"/>
        <v>321.67</v>
      </c>
      <c r="I462" s="9">
        <f>($K$2+0.02)*Tabla1[[#This Row],[PRECIO $]]*1.18</f>
        <v>272.75700000000001</v>
      </c>
      <c r="J462" s="7">
        <f>+Tabla1[[#This Row],[PRECIO EN SOLES]]-Tabla1[[#This Row],[PC]]</f>
        <v>48.913000000000011</v>
      </c>
      <c r="K462" s="15"/>
      <c r="L462" s="15" t="str">
        <f t="shared" si="15"/>
        <v>NORMAL</v>
      </c>
    </row>
    <row r="463" spans="1:12" x14ac:dyDescent="0.25">
      <c r="A463" s="3" t="s">
        <v>1073</v>
      </c>
      <c r="B463" s="3" t="s">
        <v>1074</v>
      </c>
      <c r="C463" s="1">
        <v>1</v>
      </c>
      <c r="D463" s="1">
        <v>520</v>
      </c>
      <c r="E463" s="1" t="s">
        <v>1051</v>
      </c>
      <c r="F463" s="1" t="s">
        <v>4808</v>
      </c>
      <c r="G463" s="3"/>
      <c r="H463" s="11">
        <f t="shared" si="14"/>
        <v>2442.46</v>
      </c>
      <c r="I463" s="9">
        <f>($K$2+0.02)*Tabla1[[#This Row],[PRECIO $]]*1.18</f>
        <v>2116.92</v>
      </c>
      <c r="J463" s="7">
        <f>+Tabla1[[#This Row],[PRECIO EN SOLES]]-Tabla1[[#This Row],[PC]]</f>
        <v>325.53999999999996</v>
      </c>
      <c r="K463" s="15"/>
      <c r="L463" s="15" t="str">
        <f t="shared" si="15"/>
        <v>NORMAL</v>
      </c>
    </row>
    <row r="464" spans="1:12" x14ac:dyDescent="0.25">
      <c r="A464" s="3" t="s">
        <v>1075</v>
      </c>
      <c r="B464" s="3" t="s">
        <v>1076</v>
      </c>
      <c r="C464" s="1">
        <v>0</v>
      </c>
      <c r="D464" s="1">
        <v>99</v>
      </c>
      <c r="E464" s="1" t="s">
        <v>142</v>
      </c>
      <c r="F464" s="1" t="s">
        <v>4809</v>
      </c>
      <c r="G464" s="3" t="s">
        <v>1077</v>
      </c>
      <c r="H464" s="11">
        <f t="shared" si="14"/>
        <v>471.48</v>
      </c>
      <c r="I464" s="9">
        <f>($K$2+0.02)*Tabla1[[#This Row],[PRECIO $]]*1.18</f>
        <v>403.029</v>
      </c>
      <c r="J464" s="7">
        <f>+Tabla1[[#This Row],[PRECIO EN SOLES]]-Tabla1[[#This Row],[PC]]</f>
        <v>68.451000000000022</v>
      </c>
      <c r="K464" s="15"/>
      <c r="L464" s="15" t="str">
        <f t="shared" si="15"/>
        <v>NORMAL</v>
      </c>
    </row>
    <row r="465" spans="1:12" x14ac:dyDescent="0.25">
      <c r="A465" s="3" t="s">
        <v>1078</v>
      </c>
      <c r="B465" s="3" t="s">
        <v>1079</v>
      </c>
      <c r="C465" s="1">
        <v>1</v>
      </c>
      <c r="D465" s="1">
        <v>38.6</v>
      </c>
      <c r="E465" s="1" t="s">
        <v>606</v>
      </c>
      <c r="F465" s="1" t="s">
        <v>4810</v>
      </c>
      <c r="G465" s="3" t="s">
        <v>1080</v>
      </c>
      <c r="H465" s="11">
        <f t="shared" si="14"/>
        <v>183.85</v>
      </c>
      <c r="I465" s="9">
        <f>($K$2+0.02)*Tabla1[[#This Row],[PRECIO $]]*1.18</f>
        <v>157.14060000000001</v>
      </c>
      <c r="J465" s="7">
        <f>+Tabla1[[#This Row],[PRECIO EN SOLES]]-Tabla1[[#This Row],[PC]]</f>
        <v>26.709399999999988</v>
      </c>
      <c r="K465" s="15"/>
      <c r="L465" s="15" t="str">
        <f t="shared" si="15"/>
        <v>GANCHO</v>
      </c>
    </row>
    <row r="466" spans="1:12" x14ac:dyDescent="0.25">
      <c r="A466" s="3" t="s">
        <v>1081</v>
      </c>
      <c r="B466" s="3" t="s">
        <v>1082</v>
      </c>
      <c r="C466" s="1">
        <v>1</v>
      </c>
      <c r="D466" s="1">
        <v>278.89999999999998</v>
      </c>
      <c r="E466" s="1" t="s">
        <v>1051</v>
      </c>
      <c r="F466" s="1" t="s">
        <v>4811</v>
      </c>
      <c r="G466" s="3" t="s">
        <v>1083</v>
      </c>
      <c r="H466" s="11">
        <f t="shared" si="14"/>
        <v>1313.71</v>
      </c>
      <c r="I466" s="9">
        <f>($K$2+0.02)*Tabla1[[#This Row],[PRECIO $]]*1.18</f>
        <v>1135.4018999999998</v>
      </c>
      <c r="J466" s="7">
        <f>+Tabla1[[#This Row],[PRECIO EN SOLES]]-Tabla1[[#This Row],[PC]]</f>
        <v>178.30810000000019</v>
      </c>
      <c r="K466" s="15"/>
      <c r="L466" s="15" t="str">
        <f t="shared" si="15"/>
        <v>NORMAL</v>
      </c>
    </row>
    <row r="467" spans="1:12" x14ac:dyDescent="0.25">
      <c r="A467" s="3" t="s">
        <v>1084</v>
      </c>
      <c r="B467" s="3" t="s">
        <v>1085</v>
      </c>
      <c r="C467" s="1">
        <v>0</v>
      </c>
      <c r="D467" s="1">
        <v>9999999.9900000002</v>
      </c>
      <c r="E467" s="1" t="s">
        <v>142</v>
      </c>
      <c r="F467" s="1" t="s">
        <v>4812</v>
      </c>
      <c r="G467" s="3" t="s">
        <v>1086</v>
      </c>
      <c r="H467" s="11">
        <f t="shared" si="14"/>
        <v>46816507.950000003</v>
      </c>
      <c r="I467" s="9">
        <f>($K$2+0.02)*Tabla1[[#This Row],[PRECIO $]]*1.18</f>
        <v>40709999.959290005</v>
      </c>
      <c r="J467" s="7">
        <f>+Tabla1[[#This Row],[PRECIO EN SOLES]]-Tabla1[[#This Row],[PC]]</f>
        <v>6106507.9907099977</v>
      </c>
      <c r="K467" s="15"/>
      <c r="L467" s="15" t="str">
        <f t="shared" si="15"/>
        <v>NORMAL</v>
      </c>
    </row>
    <row r="468" spans="1:12" x14ac:dyDescent="0.25">
      <c r="A468" s="3" t="s">
        <v>1087</v>
      </c>
      <c r="B468" s="3" t="s">
        <v>1088</v>
      </c>
      <c r="C468" s="1">
        <v>1</v>
      </c>
      <c r="D468" s="1">
        <v>218</v>
      </c>
      <c r="E468" s="1" t="s">
        <v>1051</v>
      </c>
      <c r="F468" s="1" t="s">
        <v>4813</v>
      </c>
      <c r="G468" s="3"/>
      <c r="H468" s="11">
        <f t="shared" si="14"/>
        <v>1028.5999999999999</v>
      </c>
      <c r="I468" s="9">
        <f>($K$2+0.02)*Tabla1[[#This Row],[PRECIO $]]*1.18</f>
        <v>887.47799999999995</v>
      </c>
      <c r="J468" s="7">
        <f>+Tabla1[[#This Row],[PRECIO EN SOLES]]-Tabla1[[#This Row],[PC]]</f>
        <v>141.12199999999996</v>
      </c>
      <c r="K468" s="15"/>
      <c r="L468" s="15" t="str">
        <f t="shared" si="15"/>
        <v>NORMAL</v>
      </c>
    </row>
    <row r="469" spans="1:12" x14ac:dyDescent="0.25">
      <c r="A469" s="3" t="s">
        <v>1089</v>
      </c>
      <c r="B469" s="3" t="s">
        <v>1090</v>
      </c>
      <c r="C469" s="1">
        <v>2</v>
      </c>
      <c r="D469" s="1">
        <v>1000</v>
      </c>
      <c r="E469" s="1" t="s">
        <v>1051</v>
      </c>
      <c r="F469" s="1" t="s">
        <v>4814</v>
      </c>
      <c r="G469" s="3" t="s">
        <v>1091</v>
      </c>
      <c r="H469" s="11">
        <f t="shared" si="14"/>
        <v>4689.6499999999996</v>
      </c>
      <c r="I469" s="9">
        <f>($K$2+0.02)*Tabla1[[#This Row],[PRECIO $]]*1.18</f>
        <v>4071</v>
      </c>
      <c r="J469" s="7">
        <f>+Tabla1[[#This Row],[PRECIO EN SOLES]]-Tabla1[[#This Row],[PC]]</f>
        <v>618.64999999999964</v>
      </c>
      <c r="K469" s="15"/>
      <c r="L469" s="15" t="str">
        <f t="shared" si="15"/>
        <v>NORMAL</v>
      </c>
    </row>
    <row r="470" spans="1:12" x14ac:dyDescent="0.25">
      <c r="A470" s="3" t="s">
        <v>1092</v>
      </c>
      <c r="B470" s="3" t="s">
        <v>1093</v>
      </c>
      <c r="C470" s="1">
        <v>1</v>
      </c>
      <c r="D470" s="1">
        <v>1000</v>
      </c>
      <c r="E470" s="1" t="s">
        <v>1051</v>
      </c>
      <c r="F470" s="1" t="s">
        <v>4815</v>
      </c>
      <c r="G470" s="3" t="s">
        <v>1094</v>
      </c>
      <c r="H470" s="11">
        <f t="shared" si="14"/>
        <v>4689.6499999999996</v>
      </c>
      <c r="I470" s="9">
        <f>($K$2+0.02)*Tabla1[[#This Row],[PRECIO $]]*1.18</f>
        <v>4071</v>
      </c>
      <c r="J470" s="7">
        <f>+Tabla1[[#This Row],[PRECIO EN SOLES]]-Tabla1[[#This Row],[PC]]</f>
        <v>618.64999999999964</v>
      </c>
      <c r="K470" s="15"/>
      <c r="L470" s="15" t="str">
        <f t="shared" si="15"/>
        <v>NORMAL</v>
      </c>
    </row>
    <row r="471" spans="1:12" x14ac:dyDescent="0.25">
      <c r="A471" s="3" t="s">
        <v>1095</v>
      </c>
      <c r="B471" s="3" t="s">
        <v>1096</v>
      </c>
      <c r="C471" s="1">
        <v>20</v>
      </c>
      <c r="D471" s="1">
        <v>113</v>
      </c>
      <c r="E471" s="1" t="s">
        <v>142</v>
      </c>
      <c r="F471" s="1" t="s">
        <v>4816</v>
      </c>
      <c r="G471" s="3" t="s">
        <v>1097</v>
      </c>
      <c r="H471" s="11">
        <f t="shared" si="14"/>
        <v>537.03</v>
      </c>
      <c r="I471" s="9">
        <f>($K$2+0.02)*Tabla1[[#This Row],[PRECIO $]]*1.18</f>
        <v>460.02300000000002</v>
      </c>
      <c r="J471" s="7">
        <f>+Tabla1[[#This Row],[PRECIO EN SOLES]]-Tabla1[[#This Row],[PC]]</f>
        <v>77.006999999999948</v>
      </c>
      <c r="K471" s="15"/>
      <c r="L471" s="15" t="str">
        <f t="shared" si="15"/>
        <v>NORMAL</v>
      </c>
    </row>
    <row r="472" spans="1:12" x14ac:dyDescent="0.25">
      <c r="A472" s="3" t="s">
        <v>1098</v>
      </c>
      <c r="B472" s="3" t="s">
        <v>1099</v>
      </c>
      <c r="C472" s="1">
        <v>2</v>
      </c>
      <c r="D472" s="1">
        <v>150</v>
      </c>
      <c r="E472" s="1" t="s">
        <v>1100</v>
      </c>
      <c r="F472" s="1" t="s">
        <v>4817</v>
      </c>
      <c r="G472" s="3"/>
      <c r="H472" s="11">
        <f t="shared" si="14"/>
        <v>710.25</v>
      </c>
      <c r="I472" s="9">
        <f>($K$2+0.02)*Tabla1[[#This Row],[PRECIO $]]*1.18</f>
        <v>610.65</v>
      </c>
      <c r="J472" s="7">
        <f>+Tabla1[[#This Row],[PRECIO EN SOLES]]-Tabla1[[#This Row],[PC]]</f>
        <v>99.600000000000023</v>
      </c>
      <c r="K472" s="15"/>
      <c r="L472" s="15" t="str">
        <f t="shared" si="15"/>
        <v>NORMAL</v>
      </c>
    </row>
    <row r="473" spans="1:12" x14ac:dyDescent="0.25">
      <c r="A473" s="3" t="s">
        <v>1101</v>
      </c>
      <c r="B473" s="3" t="s">
        <v>1102</v>
      </c>
      <c r="C473" s="1">
        <v>13</v>
      </c>
      <c r="D473" s="1">
        <v>177.2</v>
      </c>
      <c r="E473" s="1" t="s">
        <v>528</v>
      </c>
      <c r="F473" s="1" t="s">
        <v>4818</v>
      </c>
      <c r="G473" s="3"/>
      <c r="H473" s="11">
        <f t="shared" si="14"/>
        <v>837.59</v>
      </c>
      <c r="I473" s="9">
        <f>($K$2+0.02)*Tabla1[[#This Row],[PRECIO $]]*1.18</f>
        <v>721.38120000000004</v>
      </c>
      <c r="J473" s="7">
        <f>+Tabla1[[#This Row],[PRECIO EN SOLES]]-Tabla1[[#This Row],[PC]]</f>
        <v>116.2088</v>
      </c>
      <c r="K473" s="15"/>
      <c r="L473" s="15" t="str">
        <f t="shared" si="15"/>
        <v>NORMAL</v>
      </c>
    </row>
    <row r="474" spans="1:12" x14ac:dyDescent="0.25">
      <c r="A474" s="3" t="s">
        <v>1103</v>
      </c>
      <c r="B474" s="3" t="s">
        <v>1104</v>
      </c>
      <c r="C474" s="1">
        <v>2</v>
      </c>
      <c r="D474" s="1">
        <v>170.15</v>
      </c>
      <c r="E474" s="1" t="s">
        <v>681</v>
      </c>
      <c r="F474" s="1" t="s">
        <v>4819</v>
      </c>
      <c r="G474" s="3" t="s">
        <v>1105</v>
      </c>
      <c r="H474" s="11">
        <f t="shared" si="14"/>
        <v>804.58</v>
      </c>
      <c r="I474" s="9">
        <f>($K$2+0.02)*Tabla1[[#This Row],[PRECIO $]]*1.18</f>
        <v>692.68065000000001</v>
      </c>
      <c r="J474" s="7">
        <f>+Tabla1[[#This Row],[PRECIO EN SOLES]]-Tabla1[[#This Row],[PC]]</f>
        <v>111.89935000000003</v>
      </c>
      <c r="K474" s="15"/>
      <c r="L474" s="15" t="str">
        <f t="shared" si="15"/>
        <v>NORMAL</v>
      </c>
    </row>
    <row r="475" spans="1:12" x14ac:dyDescent="0.25">
      <c r="A475" s="3" t="s">
        <v>1106</v>
      </c>
      <c r="B475" s="3" t="s">
        <v>1107</v>
      </c>
      <c r="C475" s="1">
        <v>13</v>
      </c>
      <c r="D475" s="1">
        <v>29</v>
      </c>
      <c r="E475" s="1" t="s">
        <v>122</v>
      </c>
      <c r="F475" s="1" t="s">
        <v>4820</v>
      </c>
      <c r="G475" s="3" t="s">
        <v>1108</v>
      </c>
      <c r="H475" s="11">
        <f t="shared" si="14"/>
        <v>141.77000000000001</v>
      </c>
      <c r="I475" s="9">
        <f>($K$2+0.02)*Tabla1[[#This Row],[PRECIO $]]*1.18</f>
        <v>118.05900000000001</v>
      </c>
      <c r="J475" s="7">
        <f>+Tabla1[[#This Row],[PRECIO EN SOLES]]-Tabla1[[#This Row],[PC]]</f>
        <v>23.710999999999999</v>
      </c>
      <c r="K475" s="15"/>
      <c r="L475" s="15" t="str">
        <f t="shared" si="15"/>
        <v>NORMAL</v>
      </c>
    </row>
    <row r="476" spans="1:12" x14ac:dyDescent="0.25">
      <c r="A476" s="3" t="s">
        <v>1109</v>
      </c>
      <c r="B476" s="3" t="s">
        <v>1110</v>
      </c>
      <c r="C476" s="1">
        <v>8</v>
      </c>
      <c r="D476" s="1">
        <v>44</v>
      </c>
      <c r="E476" s="1" t="s">
        <v>528</v>
      </c>
      <c r="F476" s="1" t="s">
        <v>4821</v>
      </c>
      <c r="G476" s="3"/>
      <c r="H476" s="11">
        <f t="shared" si="14"/>
        <v>213.99</v>
      </c>
      <c r="I476" s="9">
        <f>($K$2+0.02)*Tabla1[[#This Row],[PRECIO $]]*1.18</f>
        <v>179.124</v>
      </c>
      <c r="J476" s="7">
        <f>+Tabla1[[#This Row],[PRECIO EN SOLES]]-Tabla1[[#This Row],[PC]]</f>
        <v>34.866000000000014</v>
      </c>
      <c r="K476" s="15"/>
      <c r="L476" s="15" t="str">
        <f t="shared" si="15"/>
        <v>NORMAL</v>
      </c>
    </row>
    <row r="477" spans="1:12" x14ac:dyDescent="0.25">
      <c r="A477" s="3" t="s">
        <v>1111</v>
      </c>
      <c r="B477" s="3" t="s">
        <v>1112</v>
      </c>
      <c r="C477" s="1">
        <v>3</v>
      </c>
      <c r="D477" s="1">
        <v>300</v>
      </c>
      <c r="E477" s="1" t="s">
        <v>681</v>
      </c>
      <c r="F477" s="1" t="s">
        <v>4822</v>
      </c>
      <c r="G477" s="3" t="s">
        <v>1113</v>
      </c>
      <c r="H477" s="11">
        <f t="shared" si="14"/>
        <v>1412.5</v>
      </c>
      <c r="I477" s="9">
        <f>($K$2+0.02)*Tabla1[[#This Row],[PRECIO $]]*1.18</f>
        <v>1221.3</v>
      </c>
      <c r="J477" s="7">
        <f>+Tabla1[[#This Row],[PRECIO EN SOLES]]-Tabla1[[#This Row],[PC]]</f>
        <v>191.20000000000005</v>
      </c>
      <c r="K477" s="15"/>
      <c r="L477" s="15" t="str">
        <f t="shared" si="15"/>
        <v>NORMAL</v>
      </c>
    </row>
    <row r="478" spans="1:12" x14ac:dyDescent="0.25">
      <c r="A478" s="3" t="s">
        <v>1114</v>
      </c>
      <c r="B478" s="3" t="s">
        <v>1115</v>
      </c>
      <c r="C478" s="1">
        <v>0</v>
      </c>
      <c r="D478" s="1">
        <v>10</v>
      </c>
      <c r="E478" s="1" t="s">
        <v>126</v>
      </c>
      <c r="F478" s="1" t="s">
        <v>4823</v>
      </c>
      <c r="G478" s="3"/>
      <c r="H478" s="11">
        <f t="shared" si="14"/>
        <v>50.82</v>
      </c>
      <c r="I478" s="9">
        <f>($K$2+0.02)*Tabla1[[#This Row],[PRECIO $]]*1.18</f>
        <v>40.71</v>
      </c>
      <c r="J478" s="7">
        <f>+Tabla1[[#This Row],[PRECIO EN SOLES]]-Tabla1[[#This Row],[PC]]</f>
        <v>10.11</v>
      </c>
      <c r="K478" s="15"/>
      <c r="L478" s="15" t="str">
        <f t="shared" si="15"/>
        <v>NORMAL</v>
      </c>
    </row>
    <row r="479" spans="1:12" x14ac:dyDescent="0.25">
      <c r="A479" s="3" t="s">
        <v>1116</v>
      </c>
      <c r="B479" s="3" t="s">
        <v>1117</v>
      </c>
      <c r="C479" s="1">
        <v>20</v>
      </c>
      <c r="D479" s="1">
        <v>528</v>
      </c>
      <c r="E479" s="1" t="s">
        <v>528</v>
      </c>
      <c r="F479" s="1" t="s">
        <v>4824</v>
      </c>
      <c r="G479" s="3" t="s">
        <v>1118</v>
      </c>
      <c r="H479" s="11">
        <f t="shared" si="14"/>
        <v>2479.91</v>
      </c>
      <c r="I479" s="9">
        <f>($K$2+0.02)*Tabla1[[#This Row],[PRECIO $]]*1.18</f>
        <v>2149.4879999999998</v>
      </c>
      <c r="J479" s="7">
        <f>+Tabla1[[#This Row],[PRECIO EN SOLES]]-Tabla1[[#This Row],[PC]]</f>
        <v>330.42200000000003</v>
      </c>
      <c r="K479" s="15"/>
      <c r="L479" s="15" t="str">
        <f t="shared" si="15"/>
        <v>NORMAL</v>
      </c>
    </row>
    <row r="480" spans="1:12" x14ac:dyDescent="0.25">
      <c r="A480" s="3" t="s">
        <v>1119</v>
      </c>
      <c r="B480" s="3" t="s">
        <v>1120</v>
      </c>
      <c r="C480" s="1">
        <v>20</v>
      </c>
      <c r="D480" s="1">
        <v>920</v>
      </c>
      <c r="E480" s="1" t="s">
        <v>528</v>
      </c>
      <c r="F480" s="1" t="s">
        <v>4825</v>
      </c>
      <c r="G480" s="3" t="s">
        <v>1121</v>
      </c>
      <c r="H480" s="11">
        <f t="shared" si="14"/>
        <v>4315.12</v>
      </c>
      <c r="I480" s="9">
        <f>($K$2+0.02)*Tabla1[[#This Row],[PRECIO $]]*1.18</f>
        <v>3745.3199999999997</v>
      </c>
      <c r="J480" s="7">
        <f>+Tabla1[[#This Row],[PRECIO EN SOLES]]-Tabla1[[#This Row],[PC]]</f>
        <v>569.80000000000018</v>
      </c>
      <c r="K480" s="15"/>
      <c r="L480" s="15" t="str">
        <f t="shared" si="15"/>
        <v>NORMAL</v>
      </c>
    </row>
    <row r="481" spans="1:12" x14ac:dyDescent="0.25">
      <c r="A481" s="3" t="s">
        <v>1122</v>
      </c>
      <c r="B481" s="3" t="s">
        <v>1123</v>
      </c>
      <c r="C481" s="1">
        <v>11</v>
      </c>
      <c r="D481" s="1">
        <v>433</v>
      </c>
      <c r="E481" s="1" t="s">
        <v>528</v>
      </c>
      <c r="F481" s="1" t="s">
        <v>4826</v>
      </c>
      <c r="G481" s="3" t="s">
        <v>1124</v>
      </c>
      <c r="H481" s="11">
        <f t="shared" si="14"/>
        <v>2035.15</v>
      </c>
      <c r="I481" s="9">
        <f>($K$2+0.02)*Tabla1[[#This Row],[PRECIO $]]*1.18</f>
        <v>1762.7430000000002</v>
      </c>
      <c r="J481" s="7">
        <f>+Tabla1[[#This Row],[PRECIO EN SOLES]]-Tabla1[[#This Row],[PC]]</f>
        <v>272.40699999999993</v>
      </c>
      <c r="K481" s="15"/>
      <c r="L481" s="15" t="str">
        <f t="shared" si="15"/>
        <v>NORMAL</v>
      </c>
    </row>
    <row r="482" spans="1:12" x14ac:dyDescent="0.25">
      <c r="A482" s="3" t="s">
        <v>1125</v>
      </c>
      <c r="B482" s="3" t="s">
        <v>1126</v>
      </c>
      <c r="C482" s="1">
        <v>1</v>
      </c>
      <c r="D482" s="1">
        <v>1612</v>
      </c>
      <c r="E482" s="1" t="s">
        <v>528</v>
      </c>
      <c r="F482" s="1" t="s">
        <v>4827</v>
      </c>
      <c r="G482" s="3" t="s">
        <v>1127</v>
      </c>
      <c r="H482" s="11">
        <f t="shared" si="14"/>
        <v>7554.82</v>
      </c>
      <c r="I482" s="9">
        <f>($K$2+0.02)*Tabla1[[#This Row],[PRECIO $]]*1.18</f>
        <v>6562.4520000000002</v>
      </c>
      <c r="J482" s="7">
        <f>+Tabla1[[#This Row],[PRECIO EN SOLES]]-Tabla1[[#This Row],[PC]]</f>
        <v>992.36799999999948</v>
      </c>
      <c r="K482" s="15"/>
      <c r="L482" s="15" t="str">
        <f t="shared" si="15"/>
        <v>NORMAL</v>
      </c>
    </row>
    <row r="483" spans="1:12" x14ac:dyDescent="0.25">
      <c r="A483" s="3" t="s">
        <v>1128</v>
      </c>
      <c r="B483" s="3" t="s">
        <v>1129</v>
      </c>
      <c r="C483" s="1">
        <v>0</v>
      </c>
      <c r="D483" s="1">
        <v>4235</v>
      </c>
      <c r="E483" s="1" t="s">
        <v>528</v>
      </c>
      <c r="F483" s="1" t="s">
        <v>4828</v>
      </c>
      <c r="G483" s="3" t="s">
        <v>1130</v>
      </c>
      <c r="H483" s="11">
        <f t="shared" si="14"/>
        <v>19834.79</v>
      </c>
      <c r="I483" s="9">
        <f>($K$2+0.02)*Tabla1[[#This Row],[PRECIO $]]*1.18</f>
        <v>17240.684999999998</v>
      </c>
      <c r="J483" s="7">
        <f>+Tabla1[[#This Row],[PRECIO EN SOLES]]-Tabla1[[#This Row],[PC]]</f>
        <v>2594.1050000000032</v>
      </c>
      <c r="K483" s="15"/>
      <c r="L483" s="15" t="str">
        <f t="shared" si="15"/>
        <v>NORMAL</v>
      </c>
    </row>
    <row r="484" spans="1:12" x14ac:dyDescent="0.25">
      <c r="A484" s="3" t="s">
        <v>6860</v>
      </c>
      <c r="B484" s="3" t="s">
        <v>6861</v>
      </c>
      <c r="C484" s="1">
        <v>3</v>
      </c>
      <c r="D484" s="1">
        <v>2960</v>
      </c>
      <c r="E484" s="1" t="s">
        <v>528</v>
      </c>
      <c r="F484" s="1" t="s">
        <v>6862</v>
      </c>
      <c r="G484" s="3" t="s">
        <v>6863</v>
      </c>
      <c r="H484" s="11">
        <f t="shared" si="14"/>
        <v>13865.68</v>
      </c>
      <c r="I484" s="9">
        <f>($K$2+0.02)*Tabla1[[#This Row],[PRECIO $]]*1.18</f>
        <v>12050.16</v>
      </c>
      <c r="J484" s="7">
        <f>+Tabla1[[#This Row],[PRECIO EN SOLES]]-Tabla1[[#This Row],[PC]]</f>
        <v>1815.5200000000004</v>
      </c>
      <c r="K484" s="15"/>
      <c r="L484" s="15" t="str">
        <f t="shared" si="15"/>
        <v>NORMAL</v>
      </c>
    </row>
    <row r="485" spans="1:12" x14ac:dyDescent="0.25">
      <c r="A485" s="3" t="s">
        <v>4829</v>
      </c>
      <c r="B485" s="3" t="s">
        <v>4830</v>
      </c>
      <c r="C485" s="1">
        <v>2</v>
      </c>
      <c r="D485" s="1">
        <v>480</v>
      </c>
      <c r="E485" s="1" t="s">
        <v>681</v>
      </c>
      <c r="F485" s="1" t="s">
        <v>4831</v>
      </c>
      <c r="G485" s="3"/>
      <c r="H485" s="11">
        <f t="shared" si="14"/>
        <v>2255.19</v>
      </c>
      <c r="I485" s="9">
        <f>($K$2+0.02)*Tabla1[[#This Row],[PRECIO $]]*1.18</f>
        <v>1954.08</v>
      </c>
      <c r="J485" s="7">
        <f>+Tabla1[[#This Row],[PRECIO EN SOLES]]-Tabla1[[#This Row],[PC]]</f>
        <v>301.11000000000013</v>
      </c>
      <c r="K485" s="15"/>
      <c r="L485" s="15" t="str">
        <f t="shared" si="15"/>
        <v>NORMAL</v>
      </c>
    </row>
    <row r="486" spans="1:12" x14ac:dyDescent="0.25">
      <c r="A486" s="3" t="s">
        <v>4832</v>
      </c>
      <c r="B486" s="3" t="s">
        <v>4833</v>
      </c>
      <c r="C486" s="1">
        <v>1</v>
      </c>
      <c r="D486" s="1">
        <v>480</v>
      </c>
      <c r="E486" s="1" t="s">
        <v>681</v>
      </c>
      <c r="F486" s="1" t="s">
        <v>4834</v>
      </c>
      <c r="G486" s="3"/>
      <c r="H486" s="11">
        <f t="shared" si="14"/>
        <v>2255.19</v>
      </c>
      <c r="I486" s="9">
        <f>($K$2+0.02)*Tabla1[[#This Row],[PRECIO $]]*1.18</f>
        <v>1954.08</v>
      </c>
      <c r="J486" s="7">
        <f>+Tabla1[[#This Row],[PRECIO EN SOLES]]-Tabla1[[#This Row],[PC]]</f>
        <v>301.11000000000013</v>
      </c>
      <c r="K486" s="15"/>
      <c r="L486" s="15" t="str">
        <f t="shared" si="15"/>
        <v>NORMAL</v>
      </c>
    </row>
    <row r="487" spans="1:12" x14ac:dyDescent="0.25">
      <c r="A487" s="3" t="s">
        <v>1131</v>
      </c>
      <c r="B487" s="3" t="s">
        <v>1132</v>
      </c>
      <c r="C487" s="1">
        <v>7</v>
      </c>
      <c r="D487" s="1">
        <v>373</v>
      </c>
      <c r="E487" s="1" t="s">
        <v>681</v>
      </c>
      <c r="F487" s="1" t="s">
        <v>4835</v>
      </c>
      <c r="G487" s="3" t="s">
        <v>1133</v>
      </c>
      <c r="H487" s="11">
        <f t="shared" si="14"/>
        <v>1754.26</v>
      </c>
      <c r="I487" s="9">
        <f>($K$2+0.02)*Tabla1[[#This Row],[PRECIO $]]*1.18</f>
        <v>1518.4830000000002</v>
      </c>
      <c r="J487" s="7">
        <f>+Tabla1[[#This Row],[PRECIO EN SOLES]]-Tabla1[[#This Row],[PC]]</f>
        <v>235.77699999999982</v>
      </c>
      <c r="K487" s="15"/>
      <c r="L487" s="15" t="str">
        <f t="shared" si="15"/>
        <v>NORMAL</v>
      </c>
    </row>
    <row r="488" spans="1:12" x14ac:dyDescent="0.25">
      <c r="A488" s="3" t="s">
        <v>1134</v>
      </c>
      <c r="B488" s="3" t="s">
        <v>1135</v>
      </c>
      <c r="C488" s="1">
        <v>18</v>
      </c>
      <c r="D488" s="1">
        <v>919</v>
      </c>
      <c r="E488" s="1" t="s">
        <v>681</v>
      </c>
      <c r="F488" s="1" t="s">
        <v>4836</v>
      </c>
      <c r="G488" s="3"/>
      <c r="H488" s="11">
        <f t="shared" si="14"/>
        <v>4310.4399999999996</v>
      </c>
      <c r="I488" s="9">
        <f>($K$2+0.02)*Tabla1[[#This Row],[PRECIO $]]*1.18</f>
        <v>3741.2489999999998</v>
      </c>
      <c r="J488" s="7">
        <f>+Tabla1[[#This Row],[PRECIO EN SOLES]]-Tabla1[[#This Row],[PC]]</f>
        <v>569.1909999999998</v>
      </c>
      <c r="K488" s="15"/>
      <c r="L488" s="15" t="str">
        <f t="shared" si="15"/>
        <v>NORMAL</v>
      </c>
    </row>
    <row r="489" spans="1:12" x14ac:dyDescent="0.25">
      <c r="A489" s="3" t="s">
        <v>1136</v>
      </c>
      <c r="B489" s="3" t="s">
        <v>1137</v>
      </c>
      <c r="C489" s="1">
        <v>10</v>
      </c>
      <c r="D489" s="1">
        <v>1465</v>
      </c>
      <c r="E489" s="1" t="s">
        <v>528</v>
      </c>
      <c r="F489" s="1" t="s">
        <v>4837</v>
      </c>
      <c r="G489" s="3" t="s">
        <v>1138</v>
      </c>
      <c r="H489" s="11">
        <f t="shared" si="14"/>
        <v>6866.62</v>
      </c>
      <c r="I489" s="9">
        <f>($K$2+0.02)*Tabla1[[#This Row],[PRECIO $]]*1.18</f>
        <v>5964.0149999999994</v>
      </c>
      <c r="J489" s="7">
        <f>+Tabla1[[#This Row],[PRECIO EN SOLES]]-Tabla1[[#This Row],[PC]]</f>
        <v>902.60500000000047</v>
      </c>
      <c r="K489" s="15"/>
      <c r="L489" s="15" t="str">
        <f t="shared" si="15"/>
        <v>NORMAL</v>
      </c>
    </row>
    <row r="490" spans="1:12" x14ac:dyDescent="0.25">
      <c r="A490" s="3" t="s">
        <v>6864</v>
      </c>
      <c r="B490" s="3" t="s">
        <v>6865</v>
      </c>
      <c r="C490" s="1">
        <v>0</v>
      </c>
      <c r="D490" s="1">
        <v>1699</v>
      </c>
      <c r="E490" s="1" t="s">
        <v>528</v>
      </c>
      <c r="F490" s="1" t="s">
        <v>6866</v>
      </c>
      <c r="G490" s="3" t="s">
        <v>6867</v>
      </c>
      <c r="H490" s="11">
        <f t="shared" si="14"/>
        <v>7962.12</v>
      </c>
      <c r="I490" s="9">
        <f>($K$2+0.02)*Tabla1[[#This Row],[PRECIO $]]*1.18</f>
        <v>6916.6289999999999</v>
      </c>
      <c r="J490" s="7">
        <f>+Tabla1[[#This Row],[PRECIO EN SOLES]]-Tabla1[[#This Row],[PC]]</f>
        <v>1045.491</v>
      </c>
      <c r="K490" s="15"/>
      <c r="L490" s="15" t="str">
        <f t="shared" si="15"/>
        <v>NORMAL</v>
      </c>
    </row>
    <row r="491" spans="1:12" x14ac:dyDescent="0.25">
      <c r="A491" s="3" t="s">
        <v>1139</v>
      </c>
      <c r="B491" s="3" t="s">
        <v>1140</v>
      </c>
      <c r="C491" s="1">
        <v>0</v>
      </c>
      <c r="D491" s="1">
        <v>572</v>
      </c>
      <c r="E491" s="1" t="s">
        <v>681</v>
      </c>
      <c r="F491" s="1" t="s">
        <v>4838</v>
      </c>
      <c r="G491" s="3" t="s">
        <v>1141</v>
      </c>
      <c r="H491" s="11">
        <f t="shared" si="14"/>
        <v>2685.9</v>
      </c>
      <c r="I491" s="9">
        <f>($K$2+0.02)*Tabla1[[#This Row],[PRECIO $]]*1.18</f>
        <v>2328.6120000000001</v>
      </c>
      <c r="J491" s="7">
        <f>+Tabla1[[#This Row],[PRECIO EN SOLES]]-Tabla1[[#This Row],[PC]]</f>
        <v>357.28800000000001</v>
      </c>
      <c r="K491" s="15"/>
      <c r="L491" s="15" t="str">
        <f t="shared" si="15"/>
        <v>NORMAL</v>
      </c>
    </row>
    <row r="492" spans="1:12" x14ac:dyDescent="0.25">
      <c r="A492" s="3" t="s">
        <v>1142</v>
      </c>
      <c r="B492" s="3" t="s">
        <v>1143</v>
      </c>
      <c r="C492" s="1">
        <v>20</v>
      </c>
      <c r="D492" s="1">
        <v>524</v>
      </c>
      <c r="E492" s="1" t="s">
        <v>681</v>
      </c>
      <c r="F492" s="1" t="s">
        <v>4839</v>
      </c>
      <c r="G492" s="3" t="s">
        <v>1144</v>
      </c>
      <c r="H492" s="11">
        <f t="shared" si="14"/>
        <v>2461.1799999999998</v>
      </c>
      <c r="I492" s="9">
        <f>($K$2+0.02)*Tabla1[[#This Row],[PRECIO $]]*1.18</f>
        <v>2133.2040000000002</v>
      </c>
      <c r="J492" s="7">
        <f>+Tabla1[[#This Row],[PRECIO EN SOLES]]-Tabla1[[#This Row],[PC]]</f>
        <v>327.97599999999966</v>
      </c>
      <c r="K492" s="15"/>
      <c r="L492" s="15" t="str">
        <f t="shared" si="15"/>
        <v>NORMAL</v>
      </c>
    </row>
    <row r="493" spans="1:12" x14ac:dyDescent="0.25">
      <c r="A493" s="3" t="s">
        <v>1145</v>
      </c>
      <c r="B493" s="3" t="s">
        <v>1146</v>
      </c>
      <c r="C493" s="1">
        <v>20</v>
      </c>
      <c r="D493" s="1">
        <v>376</v>
      </c>
      <c r="E493" s="1" t="s">
        <v>681</v>
      </c>
      <c r="F493" s="1" t="s">
        <v>4840</v>
      </c>
      <c r="G493" s="3"/>
      <c r="H493" s="11">
        <f t="shared" si="14"/>
        <v>1768.3</v>
      </c>
      <c r="I493" s="9">
        <f>($K$2+0.02)*Tabla1[[#This Row],[PRECIO $]]*1.18</f>
        <v>1530.6959999999999</v>
      </c>
      <c r="J493" s="7">
        <f>+Tabla1[[#This Row],[PRECIO EN SOLES]]-Tabla1[[#This Row],[PC]]</f>
        <v>237.60400000000004</v>
      </c>
      <c r="K493" s="15"/>
      <c r="L493" s="15" t="str">
        <f t="shared" si="15"/>
        <v>NORMAL</v>
      </c>
    </row>
    <row r="494" spans="1:12" x14ac:dyDescent="0.25">
      <c r="A494" s="3" t="s">
        <v>1147</v>
      </c>
      <c r="B494" s="3" t="s">
        <v>1148</v>
      </c>
      <c r="C494" s="1">
        <v>4</v>
      </c>
      <c r="D494" s="1">
        <v>734</v>
      </c>
      <c r="E494" s="1" t="s">
        <v>681</v>
      </c>
      <c r="F494" s="1" t="s">
        <v>4841</v>
      </c>
      <c r="G494" s="3"/>
      <c r="H494" s="11">
        <f t="shared" si="14"/>
        <v>3444.33</v>
      </c>
      <c r="I494" s="9">
        <f>($K$2+0.02)*Tabla1[[#This Row],[PRECIO $]]*1.18</f>
        <v>2988.114</v>
      </c>
      <c r="J494" s="7">
        <f>+Tabla1[[#This Row],[PRECIO EN SOLES]]-Tabla1[[#This Row],[PC]]</f>
        <v>456.21599999999989</v>
      </c>
      <c r="K494" s="15"/>
      <c r="L494" s="15" t="str">
        <f t="shared" si="15"/>
        <v>NORMAL</v>
      </c>
    </row>
    <row r="495" spans="1:12" x14ac:dyDescent="0.25">
      <c r="A495" s="3" t="s">
        <v>1149</v>
      </c>
      <c r="B495" s="3" t="s">
        <v>1150</v>
      </c>
      <c r="C495" s="1">
        <v>20</v>
      </c>
      <c r="D495" s="1">
        <v>503</v>
      </c>
      <c r="E495" s="1" t="s">
        <v>681</v>
      </c>
      <c r="F495" s="1" t="s">
        <v>4842</v>
      </c>
      <c r="G495" s="3" t="s">
        <v>1151</v>
      </c>
      <c r="H495" s="11">
        <f t="shared" si="14"/>
        <v>2362.87</v>
      </c>
      <c r="I495" s="9">
        <f>($K$2+0.02)*Tabla1[[#This Row],[PRECIO $]]*1.18</f>
        <v>2047.713</v>
      </c>
      <c r="J495" s="7">
        <f>+Tabla1[[#This Row],[PRECIO EN SOLES]]-Tabla1[[#This Row],[PC]]</f>
        <v>315.15699999999993</v>
      </c>
      <c r="K495" s="15"/>
      <c r="L495" s="15" t="str">
        <f t="shared" si="15"/>
        <v>NORMAL</v>
      </c>
    </row>
    <row r="496" spans="1:12" x14ac:dyDescent="0.25">
      <c r="A496" s="3" t="s">
        <v>1152</v>
      </c>
      <c r="B496" s="3" t="s">
        <v>1153</v>
      </c>
      <c r="C496" s="1">
        <v>0</v>
      </c>
      <c r="D496" s="1">
        <v>2420</v>
      </c>
      <c r="E496" s="1" t="s">
        <v>528</v>
      </c>
      <c r="F496" s="1" t="s">
        <v>4843</v>
      </c>
      <c r="G496" s="3"/>
      <c r="H496" s="11">
        <f t="shared" si="14"/>
        <v>10856</v>
      </c>
      <c r="I496" s="9">
        <f>($K$2+0.02)*Tabla1[[#This Row],[PRECIO $]]*1.18</f>
        <v>9851.82</v>
      </c>
      <c r="J496" s="7">
        <f>+Tabla1[[#This Row],[PRECIO EN SOLES]]-Tabla1[[#This Row],[PC]]</f>
        <v>1004.1800000000003</v>
      </c>
      <c r="K496" s="15"/>
      <c r="L496" s="15" t="str">
        <f t="shared" si="15"/>
        <v>GANCHO</v>
      </c>
    </row>
    <row r="497" spans="1:12" x14ac:dyDescent="0.25">
      <c r="A497" s="3" t="s">
        <v>6868</v>
      </c>
      <c r="B497" s="3" t="s">
        <v>6869</v>
      </c>
      <c r="C497" s="1">
        <v>0</v>
      </c>
      <c r="D497" s="1">
        <v>356.4</v>
      </c>
      <c r="E497" s="1" t="s">
        <v>1156</v>
      </c>
      <c r="F497" s="1" t="s">
        <v>6870</v>
      </c>
      <c r="G497" s="3"/>
      <c r="H497" s="11">
        <f t="shared" si="14"/>
        <v>1676.54</v>
      </c>
      <c r="I497" s="9">
        <f>($K$2+0.02)*Tabla1[[#This Row],[PRECIO $]]*1.18</f>
        <v>1450.9043999999999</v>
      </c>
      <c r="J497" s="7">
        <f>+Tabla1[[#This Row],[PRECIO EN SOLES]]-Tabla1[[#This Row],[PC]]</f>
        <v>225.63560000000007</v>
      </c>
      <c r="K497" s="15"/>
      <c r="L497" s="15" t="str">
        <f t="shared" si="15"/>
        <v>NORMAL</v>
      </c>
    </row>
    <row r="498" spans="1:12" x14ac:dyDescent="0.25">
      <c r="A498" s="3" t="s">
        <v>1154</v>
      </c>
      <c r="B498" s="3" t="s">
        <v>1155</v>
      </c>
      <c r="C498" s="1">
        <v>5</v>
      </c>
      <c r="D498" s="1">
        <v>85</v>
      </c>
      <c r="E498" s="1" t="s">
        <v>1156</v>
      </c>
      <c r="F498" s="1" t="s">
        <v>4844</v>
      </c>
      <c r="G498" s="3" t="s">
        <v>1157</v>
      </c>
      <c r="H498" s="11">
        <f t="shared" si="14"/>
        <v>405.94</v>
      </c>
      <c r="I498" s="9">
        <f>($K$2+0.02)*Tabla1[[#This Row],[PRECIO $]]*1.18</f>
        <v>346.03499999999997</v>
      </c>
      <c r="J498" s="7">
        <f>+Tabla1[[#This Row],[PRECIO EN SOLES]]-Tabla1[[#This Row],[PC]]</f>
        <v>59.90500000000003</v>
      </c>
      <c r="K498" s="15"/>
      <c r="L498" s="15" t="str">
        <f t="shared" si="15"/>
        <v>NORMAL</v>
      </c>
    </row>
    <row r="499" spans="1:12" x14ac:dyDescent="0.25">
      <c r="A499" s="3" t="s">
        <v>1158</v>
      </c>
      <c r="B499" s="3" t="s">
        <v>1159</v>
      </c>
      <c r="C499" s="1">
        <v>1</v>
      </c>
      <c r="D499" s="1">
        <v>726</v>
      </c>
      <c r="E499" s="1" t="s">
        <v>528</v>
      </c>
      <c r="F499" s="1" t="s">
        <v>4845</v>
      </c>
      <c r="G499" s="3" t="s">
        <v>1160</v>
      </c>
      <c r="H499" s="11">
        <f t="shared" si="14"/>
        <v>3270.1</v>
      </c>
      <c r="I499" s="9">
        <f>($K$2+0.02)*Tabla1[[#This Row],[PRECIO $]]*1.18</f>
        <v>2955.5460000000003</v>
      </c>
      <c r="J499" s="7">
        <f>+Tabla1[[#This Row],[PRECIO EN SOLES]]-Tabla1[[#This Row],[PC]]</f>
        <v>314.55399999999963</v>
      </c>
      <c r="K499" s="15"/>
      <c r="L499" s="15" t="str">
        <f t="shared" si="15"/>
        <v>GANCHO</v>
      </c>
    </row>
    <row r="500" spans="1:12" x14ac:dyDescent="0.25">
      <c r="A500" s="3" t="s">
        <v>1161</v>
      </c>
      <c r="B500" s="3" t="s">
        <v>1162</v>
      </c>
      <c r="C500" s="1">
        <v>20</v>
      </c>
      <c r="D500" s="1">
        <v>560</v>
      </c>
      <c r="E500" s="1" t="s">
        <v>142</v>
      </c>
      <c r="F500" s="1" t="s">
        <v>4846</v>
      </c>
      <c r="G500" s="3" t="s">
        <v>1163</v>
      </c>
      <c r="H500" s="11">
        <f t="shared" si="14"/>
        <v>2526.7399999999998</v>
      </c>
      <c r="I500" s="9">
        <f>($K$2+0.02)*Tabla1[[#This Row],[PRECIO $]]*1.18</f>
        <v>2279.7599999999998</v>
      </c>
      <c r="J500" s="7">
        <f>+Tabla1[[#This Row],[PRECIO EN SOLES]]-Tabla1[[#This Row],[PC]]</f>
        <v>246.98000000000002</v>
      </c>
      <c r="K500" s="15"/>
      <c r="L500" s="15" t="str">
        <f t="shared" si="15"/>
        <v>GANCHO</v>
      </c>
    </row>
    <row r="501" spans="1:12" x14ac:dyDescent="0.25">
      <c r="A501" s="3" t="s">
        <v>1164</v>
      </c>
      <c r="B501" s="3" t="s">
        <v>1165</v>
      </c>
      <c r="C501" s="1">
        <v>20</v>
      </c>
      <c r="D501" s="1">
        <v>97</v>
      </c>
      <c r="E501" s="1" t="s">
        <v>142</v>
      </c>
      <c r="F501" s="1" t="s">
        <v>4847</v>
      </c>
      <c r="G501" s="3" t="s">
        <v>1166</v>
      </c>
      <c r="H501" s="11">
        <f t="shared" si="14"/>
        <v>453.38</v>
      </c>
      <c r="I501" s="9">
        <f>($K$2+0.02)*Tabla1[[#This Row],[PRECIO $]]*1.18</f>
        <v>394.887</v>
      </c>
      <c r="J501" s="7">
        <f>+Tabla1[[#This Row],[PRECIO EN SOLES]]-Tabla1[[#This Row],[PC]]</f>
        <v>58.492999999999995</v>
      </c>
      <c r="K501" s="15"/>
      <c r="L501" s="15" t="str">
        <f t="shared" si="15"/>
        <v>GANCHO</v>
      </c>
    </row>
    <row r="502" spans="1:12" x14ac:dyDescent="0.25">
      <c r="A502" s="3" t="s">
        <v>4848</v>
      </c>
      <c r="B502" s="3" t="s">
        <v>4849</v>
      </c>
      <c r="C502" s="1">
        <v>10</v>
      </c>
      <c r="D502" s="1">
        <v>952</v>
      </c>
      <c r="E502" s="1" t="s">
        <v>142</v>
      </c>
      <c r="F502" s="1" t="s">
        <v>4850</v>
      </c>
      <c r="G502" s="3"/>
      <c r="H502" s="11">
        <f t="shared" si="14"/>
        <v>4282.1499999999996</v>
      </c>
      <c r="I502" s="9">
        <f>($K$2+0.02)*Tabla1[[#This Row],[PRECIO $]]*1.18</f>
        <v>3875.5920000000001</v>
      </c>
      <c r="J502" s="7">
        <f>+Tabla1[[#This Row],[PRECIO EN SOLES]]-Tabla1[[#This Row],[PC]]</f>
        <v>406.55799999999954</v>
      </c>
      <c r="K502" s="15"/>
      <c r="L502" s="15" t="str">
        <f t="shared" si="15"/>
        <v>GANCHO</v>
      </c>
    </row>
    <row r="503" spans="1:12" x14ac:dyDescent="0.25">
      <c r="A503" s="3" t="s">
        <v>1167</v>
      </c>
      <c r="B503" s="3" t="s">
        <v>1168</v>
      </c>
      <c r="C503" s="1">
        <v>20</v>
      </c>
      <c r="D503" s="1">
        <v>268</v>
      </c>
      <c r="E503" s="1" t="s">
        <v>142</v>
      </c>
      <c r="F503" s="1" t="s">
        <v>4851</v>
      </c>
      <c r="G503" s="3" t="s">
        <v>1169</v>
      </c>
      <c r="H503" s="11">
        <f t="shared" si="14"/>
        <v>1219.1300000000001</v>
      </c>
      <c r="I503" s="9">
        <f>($K$2+0.02)*Tabla1[[#This Row],[PRECIO $]]*1.18</f>
        <v>1091.028</v>
      </c>
      <c r="J503" s="7">
        <f>+Tabla1[[#This Row],[PRECIO EN SOLES]]-Tabla1[[#This Row],[PC]]</f>
        <v>128.10200000000009</v>
      </c>
      <c r="K503" s="15"/>
      <c r="L503" s="15" t="str">
        <f t="shared" si="15"/>
        <v>GANCHO</v>
      </c>
    </row>
    <row r="504" spans="1:12" x14ac:dyDescent="0.25">
      <c r="A504" s="3" t="s">
        <v>1170</v>
      </c>
      <c r="B504" s="3" t="s">
        <v>1171</v>
      </c>
      <c r="C504" s="1">
        <v>20</v>
      </c>
      <c r="D504" s="1">
        <v>423</v>
      </c>
      <c r="E504" s="1" t="s">
        <v>142</v>
      </c>
      <c r="F504" s="1" t="s">
        <v>4852</v>
      </c>
      <c r="G504" s="3" t="s">
        <v>1172</v>
      </c>
      <c r="H504" s="11">
        <f t="shared" si="14"/>
        <v>1913.24</v>
      </c>
      <c r="I504" s="9">
        <f>($K$2+0.02)*Tabla1[[#This Row],[PRECIO $]]*1.18</f>
        <v>1722.0330000000001</v>
      </c>
      <c r="J504" s="7">
        <f>+Tabla1[[#This Row],[PRECIO EN SOLES]]-Tabla1[[#This Row],[PC]]</f>
        <v>191.20699999999988</v>
      </c>
      <c r="K504" s="15"/>
      <c r="L504" s="15" t="str">
        <f t="shared" si="15"/>
        <v>GANCHO</v>
      </c>
    </row>
    <row r="505" spans="1:12" x14ac:dyDescent="0.25">
      <c r="A505" s="3" t="s">
        <v>1173</v>
      </c>
      <c r="B505" s="3" t="s">
        <v>1174</v>
      </c>
      <c r="C505" s="1">
        <v>9</v>
      </c>
      <c r="D505" s="1">
        <v>396</v>
      </c>
      <c r="E505" s="1" t="s">
        <v>142</v>
      </c>
      <c r="F505" s="1" t="s">
        <v>4853</v>
      </c>
      <c r="G505" s="3" t="s">
        <v>1175</v>
      </c>
      <c r="H505" s="11">
        <f t="shared" si="14"/>
        <v>1792.33</v>
      </c>
      <c r="I505" s="9">
        <f>($K$2+0.02)*Tabla1[[#This Row],[PRECIO $]]*1.18</f>
        <v>1612.116</v>
      </c>
      <c r="J505" s="7">
        <f>+Tabla1[[#This Row],[PRECIO EN SOLES]]-Tabla1[[#This Row],[PC]]</f>
        <v>180.21399999999994</v>
      </c>
      <c r="K505" s="15"/>
      <c r="L505" s="15" t="str">
        <f t="shared" si="15"/>
        <v>GANCHO</v>
      </c>
    </row>
    <row r="506" spans="1:12" x14ac:dyDescent="0.25">
      <c r="A506" s="3" t="s">
        <v>1176</v>
      </c>
      <c r="B506" s="3" t="s">
        <v>1177</v>
      </c>
      <c r="C506" s="1">
        <v>3</v>
      </c>
      <c r="D506" s="1">
        <v>1495</v>
      </c>
      <c r="E506" s="1" t="s">
        <v>528</v>
      </c>
      <c r="F506" s="1" t="s">
        <v>4854</v>
      </c>
      <c r="G506" s="3" t="s">
        <v>1178</v>
      </c>
      <c r="H506" s="11">
        <f t="shared" si="14"/>
        <v>6713.76</v>
      </c>
      <c r="I506" s="9">
        <f>($K$2+0.02)*Tabla1[[#This Row],[PRECIO $]]*1.18</f>
        <v>6086.1449999999995</v>
      </c>
      <c r="J506" s="7">
        <f>+Tabla1[[#This Row],[PRECIO EN SOLES]]-Tabla1[[#This Row],[PC]]</f>
        <v>627.61500000000069</v>
      </c>
      <c r="K506" s="15"/>
      <c r="L506" s="15" t="str">
        <f t="shared" si="15"/>
        <v>GANCHO</v>
      </c>
    </row>
    <row r="507" spans="1:12" x14ac:dyDescent="0.25">
      <c r="A507" s="3" t="s">
        <v>1179</v>
      </c>
      <c r="B507" s="3" t="s">
        <v>1180</v>
      </c>
      <c r="C507" s="1">
        <v>1</v>
      </c>
      <c r="D507" s="1">
        <v>9</v>
      </c>
      <c r="E507" s="1" t="s">
        <v>606</v>
      </c>
      <c r="F507" s="1" t="s">
        <v>4855</v>
      </c>
      <c r="G507" s="3"/>
      <c r="H507" s="11">
        <f t="shared" si="14"/>
        <v>44.3</v>
      </c>
      <c r="I507" s="9">
        <f>($K$2+0.02)*Tabla1[[#This Row],[PRECIO $]]*1.18</f>
        <v>36.638999999999996</v>
      </c>
      <c r="J507" s="7">
        <f>+Tabla1[[#This Row],[PRECIO EN SOLES]]-Tabla1[[#This Row],[PC]]</f>
        <v>7.6610000000000014</v>
      </c>
      <c r="K507" s="15"/>
      <c r="L507" s="15" t="str">
        <f t="shared" si="15"/>
        <v>GANCHO</v>
      </c>
    </row>
    <row r="508" spans="1:12" x14ac:dyDescent="0.25">
      <c r="A508" s="3" t="s">
        <v>1181</v>
      </c>
      <c r="B508" s="3" t="s">
        <v>1182</v>
      </c>
      <c r="C508" s="1">
        <v>0</v>
      </c>
      <c r="D508" s="1">
        <v>723</v>
      </c>
      <c r="E508" s="1" t="s">
        <v>528</v>
      </c>
      <c r="F508" s="1" t="s">
        <v>4856</v>
      </c>
      <c r="G508" s="3" t="s">
        <v>1183</v>
      </c>
      <c r="H508" s="11">
        <f t="shared" si="14"/>
        <v>3392.83</v>
      </c>
      <c r="I508" s="9">
        <f>($K$2+0.02)*Tabla1[[#This Row],[PRECIO $]]*1.18</f>
        <v>2943.3329999999996</v>
      </c>
      <c r="J508" s="7">
        <f>+Tabla1[[#This Row],[PRECIO EN SOLES]]-Tabla1[[#This Row],[PC]]</f>
        <v>449.4970000000003</v>
      </c>
      <c r="K508" s="15"/>
      <c r="L508" s="15" t="str">
        <f t="shared" si="15"/>
        <v>NORMAL</v>
      </c>
    </row>
    <row r="509" spans="1:12" x14ac:dyDescent="0.25">
      <c r="A509" s="3" t="s">
        <v>1184</v>
      </c>
      <c r="B509" s="3" t="s">
        <v>1185</v>
      </c>
      <c r="C509" s="1">
        <v>20</v>
      </c>
      <c r="D509" s="1">
        <v>38.700000000000003</v>
      </c>
      <c r="E509" s="1" t="s">
        <v>131</v>
      </c>
      <c r="F509" s="1" t="s">
        <v>4857</v>
      </c>
      <c r="G509" s="3" t="s">
        <v>1186</v>
      </c>
      <c r="H509" s="11">
        <f t="shared" si="14"/>
        <v>189.18</v>
      </c>
      <c r="I509" s="9">
        <f>($K$2+0.02)*Tabla1[[#This Row],[PRECIO $]]*1.18</f>
        <v>157.54770000000002</v>
      </c>
      <c r="J509" s="7">
        <f>+Tabla1[[#This Row],[PRECIO EN SOLES]]-Tabla1[[#This Row],[PC]]</f>
        <v>31.632299999999987</v>
      </c>
      <c r="K509" s="15"/>
      <c r="L509" s="15" t="str">
        <f t="shared" si="15"/>
        <v>NORMAL</v>
      </c>
    </row>
    <row r="510" spans="1:12" x14ac:dyDescent="0.25">
      <c r="A510" s="3" t="s">
        <v>1187</v>
      </c>
      <c r="B510" s="3" t="s">
        <v>1188</v>
      </c>
      <c r="C510" s="1">
        <v>0</v>
      </c>
      <c r="D510" s="1">
        <v>9999999.9900000002</v>
      </c>
      <c r="E510" s="1" t="s">
        <v>131</v>
      </c>
      <c r="F510" s="1" t="s">
        <v>4858</v>
      </c>
      <c r="G510" s="3"/>
      <c r="H510" s="11">
        <f t="shared" si="14"/>
        <v>46816507.950000003</v>
      </c>
      <c r="I510" s="9">
        <f>($K$2+0.02)*Tabla1[[#This Row],[PRECIO $]]*1.18</f>
        <v>40709999.959290005</v>
      </c>
      <c r="J510" s="7">
        <f>+Tabla1[[#This Row],[PRECIO EN SOLES]]-Tabla1[[#This Row],[PC]]</f>
        <v>6106507.9907099977</v>
      </c>
      <c r="K510" s="15"/>
      <c r="L510" s="15" t="str">
        <f t="shared" si="15"/>
        <v>NORMAL</v>
      </c>
    </row>
    <row r="511" spans="1:12" x14ac:dyDescent="0.25">
      <c r="A511" s="3" t="s">
        <v>1189</v>
      </c>
      <c r="B511" s="3" t="s">
        <v>1188</v>
      </c>
      <c r="C511" s="1">
        <v>20</v>
      </c>
      <c r="D511" s="1">
        <v>83</v>
      </c>
      <c r="E511" s="1" t="s">
        <v>131</v>
      </c>
      <c r="F511" s="1" t="s">
        <v>4859</v>
      </c>
      <c r="G511" s="3" t="s">
        <v>1190</v>
      </c>
      <c r="H511" s="11">
        <f t="shared" si="14"/>
        <v>396.58</v>
      </c>
      <c r="I511" s="9">
        <f>($K$2+0.02)*Tabla1[[#This Row],[PRECIO $]]*1.18</f>
        <v>337.89300000000003</v>
      </c>
      <c r="J511" s="7">
        <f>+Tabla1[[#This Row],[PRECIO EN SOLES]]-Tabla1[[#This Row],[PC]]</f>
        <v>58.686999999999955</v>
      </c>
      <c r="K511" s="15"/>
      <c r="L511" s="15" t="str">
        <f t="shared" si="15"/>
        <v>NORMAL</v>
      </c>
    </row>
    <row r="512" spans="1:12" x14ac:dyDescent="0.25">
      <c r="A512" s="3" t="s">
        <v>1191</v>
      </c>
      <c r="B512" s="3" t="s">
        <v>1192</v>
      </c>
      <c r="C512" s="1">
        <v>0</v>
      </c>
      <c r="D512" s="1">
        <v>9999999.9900000002</v>
      </c>
      <c r="E512" s="1" t="s">
        <v>131</v>
      </c>
      <c r="F512" s="1" t="s">
        <v>4860</v>
      </c>
      <c r="G512" s="3"/>
      <c r="H512" s="11">
        <f t="shared" si="14"/>
        <v>44781018.960000001</v>
      </c>
      <c r="I512" s="9">
        <f>($K$2+0.02)*Tabla1[[#This Row],[PRECIO $]]*1.18</f>
        <v>40709999.959290005</v>
      </c>
      <c r="J512" s="7">
        <f>+Tabla1[[#This Row],[PRECIO EN SOLES]]-Tabla1[[#This Row],[PC]]</f>
        <v>4071019.0007099956</v>
      </c>
      <c r="K512" s="15"/>
      <c r="L512" s="15" t="str">
        <f t="shared" si="15"/>
        <v>GANCHO</v>
      </c>
    </row>
    <row r="513" spans="1:12" x14ac:dyDescent="0.25">
      <c r="A513" s="3" t="s">
        <v>1193</v>
      </c>
      <c r="B513" s="3" t="s">
        <v>1194</v>
      </c>
      <c r="C513" s="1">
        <v>20</v>
      </c>
      <c r="D513" s="1">
        <v>61.2</v>
      </c>
      <c r="E513" s="1" t="s">
        <v>131</v>
      </c>
      <c r="F513" s="1" t="s">
        <v>4861</v>
      </c>
      <c r="G513" s="3" t="s">
        <v>4862</v>
      </c>
      <c r="H513" s="11">
        <f t="shared" si="14"/>
        <v>285.06</v>
      </c>
      <c r="I513" s="9">
        <f>($K$2+0.02)*Tabla1[[#This Row],[PRECIO $]]*1.18</f>
        <v>249.14520000000002</v>
      </c>
      <c r="J513" s="7">
        <f>+Tabla1[[#This Row],[PRECIO EN SOLES]]-Tabla1[[#This Row],[PC]]</f>
        <v>35.914799999999985</v>
      </c>
      <c r="K513" s="15"/>
      <c r="L513" s="15" t="str">
        <f t="shared" si="15"/>
        <v>GANCHO</v>
      </c>
    </row>
    <row r="514" spans="1:12" x14ac:dyDescent="0.25">
      <c r="A514" s="3" t="s">
        <v>1195</v>
      </c>
      <c r="B514" s="3" t="s">
        <v>1196</v>
      </c>
      <c r="C514" s="1">
        <v>20</v>
      </c>
      <c r="D514" s="1">
        <v>313</v>
      </c>
      <c r="E514" s="1" t="s">
        <v>528</v>
      </c>
      <c r="F514" s="1" t="s">
        <v>4863</v>
      </c>
      <c r="G514" s="3"/>
      <c r="H514" s="11">
        <f t="shared" ref="H514:H577" si="16">ROUND(
IF(L514="GANCHO",
   IF(I514&lt;=50,I514*1.1+4,IF(I514&lt;=120,I514*1.1+7,IF(I514&lt;=250,I514*1.1+11,I514*1.1+19))),
IF(L514="NORMAL",
   IF(I514&lt;=30,I514*1.15+2,IF(I514&lt;=80,I514*1.15+4,IF(I514&lt;=150,I514*1.15+6,I514*1.15+8))),
IF(L514="COMPLEMENTO",
   IF(I514&lt;=25,I514*1.25+1.5,IF(I514&lt;=60,I514*1.25+3,IF(I514&lt;=120,I514*1.25+4,I514*1.25+5))),
""))),2)</f>
        <v>1473.36</v>
      </c>
      <c r="I514" s="9">
        <f>($K$2+0.02)*Tabla1[[#This Row],[PRECIO $]]*1.18</f>
        <v>1274.2230000000002</v>
      </c>
      <c r="J514" s="7">
        <f>+Tabla1[[#This Row],[PRECIO EN SOLES]]-Tabla1[[#This Row],[PC]]</f>
        <v>199.13699999999972</v>
      </c>
      <c r="K514" s="15"/>
      <c r="L514" s="15" t="str">
        <f t="shared" si="15"/>
        <v>NORMAL</v>
      </c>
    </row>
    <row r="515" spans="1:12" x14ac:dyDescent="0.25">
      <c r="A515" s="3" t="s">
        <v>1197</v>
      </c>
      <c r="B515" s="3" t="s">
        <v>1198</v>
      </c>
      <c r="C515" s="1">
        <v>1</v>
      </c>
      <c r="D515" s="1">
        <v>2368</v>
      </c>
      <c r="E515" s="1" t="s">
        <v>528</v>
      </c>
      <c r="F515" s="1" t="s">
        <v>4864</v>
      </c>
      <c r="G515" s="3" t="s">
        <v>1199</v>
      </c>
      <c r="H515" s="11">
        <f t="shared" si="16"/>
        <v>10623.14</v>
      </c>
      <c r="I515" s="9">
        <f>($K$2+0.02)*Tabla1[[#This Row],[PRECIO $]]*1.18</f>
        <v>9640.1280000000006</v>
      </c>
      <c r="J515" s="7">
        <f>+Tabla1[[#This Row],[PRECIO EN SOLES]]-Tabla1[[#This Row],[PC]]</f>
        <v>983.01199999999881</v>
      </c>
      <c r="K515" s="15"/>
      <c r="L515" s="15" t="str">
        <f t="shared" ref="L515:L578" si="17">IF(
OR(
ISNUMBER(SEARCH("BACKPACK",B515)),
ISNUMBER(SEARCH("MOCHILA",B515)),
ISNUMBER(SEARCH("FUNDA",B515)),
ISNUMBER(SEARCH("ESTUCHE",B515)),
ISNUMBER(SEARCH("BOOK COVER",B515)),
ISNUMBER(SEARCH("KEYBOARD PARA TABLET",B515)),
ISNUMBER(SEARCH("FLIP TABLET",B515)),
ISNUMBER(SEARCH("CASE FOR TABLET",B515)),
ISNUMBER(SEARCH("CABLE",B515)),
ISNUMBER(SEARCH("ADAPTADOR",B515)),
ISNUMBER(SEARCH("HUB",B515)),
ISNUMBER(SEARCH("DOCK",B515)),
ISNUMBER(SEARCH("MOUSE PAD",B515)),
ISNUMBER(SEARCH("MOUSEPAD",B515)),
ISNUMBER(SEARCH("SOPORTE",B515)),
ISNUMBER(SEARCH("STAND",B515)),
ISNUMBER(SEARCH("TRAVEL ADAPTER",B515)),
ISNUMBER(SEARCH("RJ45",B515)),
ISNUMBER(SEARCH("USB-C",B515)),
ISNUMBER(SEARCH("USB WIFI",B515)),
ISNUMBER(SEARCH("POWERBANK",B515)),
ISNUMBER(SEARCH("CARGADOR",B515)),
ISNUMBER(SEARCH("COOLER PARA NB",B515)),
ISNUMBER(SEARCH("SOPORTE PARA NB",B515)),
ISNUMBER(SEARCH("WEBCAM",B515)),
ISNUMBER(SEARCH("WEB CAM",B515)),
ISNUMBER(SEARCH("MOUSE",B515)),
ISNUMBER(SEARCH("TECLADO",B515))
),
"COMPLEMENTO",
IF(
OR(
LEFT(A515,2)="NB",
LEFT(A515,2)="PC",
LEFT(A515,2)="WS",
LEFT(A515,2)="TB",
LEFT(A515,3)="CEL",
LEFT(A515,3)="MON",
LEFT(A515,3)="PRE",
LEFT(A515,3)="PRH",
ISNUMBER(SEARCH("NOTEBOOK",B515)),
ISNUMBER(SEARCH("LAPTOP",B515)),
ISNUMBER(SEARCH("MONITOR",B515)),
ISNUMBER(SEARCH("TABLET",B515)),
ISNUMBER(SEARCH("SMARTPH",B515)),
ISNUMBER(SEARCH("IMPRESORA",B515)),
ISNUMBER(SEARCH("MULTIFUNCIONAL",B515)),
ISNUMBER(SEARCH("AIO",B515))
),
"GANCHO",
"NORMAL"
)
)</f>
        <v>GANCHO</v>
      </c>
    </row>
    <row r="516" spans="1:12" x14ac:dyDescent="0.25">
      <c r="A516" s="3" t="s">
        <v>1200</v>
      </c>
      <c r="B516" s="3" t="s">
        <v>1201</v>
      </c>
      <c r="C516" s="1">
        <v>20</v>
      </c>
      <c r="D516" s="1">
        <v>121</v>
      </c>
      <c r="E516" s="1" t="s">
        <v>528</v>
      </c>
      <c r="F516" s="1" t="s">
        <v>4865</v>
      </c>
      <c r="G516" s="3" t="s">
        <v>1202</v>
      </c>
      <c r="H516" s="11">
        <f t="shared" si="16"/>
        <v>560.85</v>
      </c>
      <c r="I516" s="9">
        <f>($K$2+0.02)*Tabla1[[#This Row],[PRECIO $]]*1.18</f>
        <v>492.59100000000001</v>
      </c>
      <c r="J516" s="7">
        <f>+Tabla1[[#This Row],[PRECIO EN SOLES]]-Tabla1[[#This Row],[PC]]</f>
        <v>68.259000000000015</v>
      </c>
      <c r="K516" s="15"/>
      <c r="L516" s="15" t="str">
        <f t="shared" si="17"/>
        <v>GANCHO</v>
      </c>
    </row>
    <row r="517" spans="1:12" x14ac:dyDescent="0.25">
      <c r="A517" s="3" t="s">
        <v>1203</v>
      </c>
      <c r="B517" s="3" t="s">
        <v>1204</v>
      </c>
      <c r="C517" s="1">
        <v>20</v>
      </c>
      <c r="D517" s="1">
        <v>157</v>
      </c>
      <c r="E517" s="1" t="s">
        <v>528</v>
      </c>
      <c r="F517" s="1" t="s">
        <v>4866</v>
      </c>
      <c r="G517" s="3" t="s">
        <v>1205</v>
      </c>
      <c r="H517" s="11">
        <f t="shared" si="16"/>
        <v>722.06</v>
      </c>
      <c r="I517" s="9">
        <f>($K$2+0.02)*Tabla1[[#This Row],[PRECIO $]]*1.18</f>
        <v>639.14699999999993</v>
      </c>
      <c r="J517" s="7">
        <f>+Tabla1[[#This Row],[PRECIO EN SOLES]]-Tabla1[[#This Row],[PC]]</f>
        <v>82.913000000000011</v>
      </c>
      <c r="K517" s="15"/>
      <c r="L517" s="15" t="str">
        <f t="shared" si="17"/>
        <v>GANCHO</v>
      </c>
    </row>
    <row r="518" spans="1:12" x14ac:dyDescent="0.25">
      <c r="A518" s="3" t="s">
        <v>1206</v>
      </c>
      <c r="B518" s="3" t="s">
        <v>1207</v>
      </c>
      <c r="C518" s="1">
        <v>20</v>
      </c>
      <c r="D518" s="1">
        <v>318</v>
      </c>
      <c r="E518" s="1" t="s">
        <v>528</v>
      </c>
      <c r="F518" s="1" t="s">
        <v>4867</v>
      </c>
      <c r="G518" s="3" t="s">
        <v>1208</v>
      </c>
      <c r="H518" s="11">
        <f t="shared" si="16"/>
        <v>1443.04</v>
      </c>
      <c r="I518" s="9">
        <f>($K$2+0.02)*Tabla1[[#This Row],[PRECIO $]]*1.18</f>
        <v>1294.5780000000002</v>
      </c>
      <c r="J518" s="7">
        <f>+Tabla1[[#This Row],[PRECIO EN SOLES]]-Tabla1[[#This Row],[PC]]</f>
        <v>148.46199999999976</v>
      </c>
      <c r="K518" s="15"/>
      <c r="L518" s="15" t="str">
        <f t="shared" si="17"/>
        <v>GANCHO</v>
      </c>
    </row>
    <row r="519" spans="1:12" x14ac:dyDescent="0.25">
      <c r="A519" s="3" t="s">
        <v>1209</v>
      </c>
      <c r="B519" s="3" t="s">
        <v>1210</v>
      </c>
      <c r="C519" s="1">
        <v>2</v>
      </c>
      <c r="D519" s="1">
        <v>345</v>
      </c>
      <c r="E519" s="1" t="s">
        <v>528</v>
      </c>
      <c r="F519" s="1" t="s">
        <v>4868</v>
      </c>
      <c r="G519" s="3" t="s">
        <v>1211</v>
      </c>
      <c r="H519" s="11">
        <f t="shared" si="16"/>
        <v>1563.94</v>
      </c>
      <c r="I519" s="9">
        <f>($K$2+0.02)*Tabla1[[#This Row],[PRECIO $]]*1.18</f>
        <v>1404.4949999999999</v>
      </c>
      <c r="J519" s="7">
        <f>+Tabla1[[#This Row],[PRECIO EN SOLES]]-Tabla1[[#This Row],[PC]]</f>
        <v>159.44500000000016</v>
      </c>
      <c r="K519" s="15"/>
      <c r="L519" s="15" t="str">
        <f t="shared" si="17"/>
        <v>GANCHO</v>
      </c>
    </row>
    <row r="520" spans="1:12" x14ac:dyDescent="0.25">
      <c r="A520" s="3" t="s">
        <v>1212</v>
      </c>
      <c r="B520" s="3" t="s">
        <v>1213</v>
      </c>
      <c r="C520" s="1">
        <v>20</v>
      </c>
      <c r="D520" s="1">
        <v>134</v>
      </c>
      <c r="E520" s="1" t="s">
        <v>528</v>
      </c>
      <c r="F520" s="1" t="s">
        <v>4869</v>
      </c>
      <c r="G520" s="3"/>
      <c r="H520" s="11">
        <f t="shared" si="16"/>
        <v>635.34</v>
      </c>
      <c r="I520" s="9">
        <f>($K$2+0.02)*Tabla1[[#This Row],[PRECIO $]]*1.18</f>
        <v>545.51400000000001</v>
      </c>
      <c r="J520" s="7">
        <f>+Tabla1[[#This Row],[PRECIO EN SOLES]]-Tabla1[[#This Row],[PC]]</f>
        <v>89.826000000000022</v>
      </c>
      <c r="K520" s="15"/>
      <c r="L520" s="15" t="str">
        <f t="shared" si="17"/>
        <v>NORMAL</v>
      </c>
    </row>
    <row r="521" spans="1:12" x14ac:dyDescent="0.25">
      <c r="A521" s="3" t="s">
        <v>1214</v>
      </c>
      <c r="B521" s="3" t="s">
        <v>1215</v>
      </c>
      <c r="C521" s="1">
        <v>20</v>
      </c>
      <c r="D521" s="1">
        <v>28</v>
      </c>
      <c r="E521" s="1" t="s">
        <v>131</v>
      </c>
      <c r="F521" s="1" t="s">
        <v>4870</v>
      </c>
      <c r="G521" s="3" t="s">
        <v>1216</v>
      </c>
      <c r="H521" s="11">
        <f t="shared" si="16"/>
        <v>137.09</v>
      </c>
      <c r="I521" s="9">
        <f>($K$2+0.02)*Tabla1[[#This Row],[PRECIO $]]*1.18</f>
        <v>113.988</v>
      </c>
      <c r="J521" s="7">
        <f>+Tabla1[[#This Row],[PRECIO EN SOLES]]-Tabla1[[#This Row],[PC]]</f>
        <v>23.102000000000004</v>
      </c>
      <c r="K521" s="15"/>
      <c r="L521" s="15" t="str">
        <f t="shared" si="17"/>
        <v>NORMAL</v>
      </c>
    </row>
    <row r="522" spans="1:12" x14ac:dyDescent="0.25">
      <c r="A522" s="3" t="s">
        <v>1217</v>
      </c>
      <c r="B522" s="3" t="s">
        <v>1218</v>
      </c>
      <c r="C522" s="1">
        <v>20</v>
      </c>
      <c r="D522" s="1">
        <v>34.799999999999997</v>
      </c>
      <c r="E522" s="1" t="s">
        <v>131</v>
      </c>
      <c r="F522" s="1" t="s">
        <v>4871</v>
      </c>
      <c r="G522" s="3" t="s">
        <v>1219</v>
      </c>
      <c r="H522" s="11">
        <f t="shared" si="16"/>
        <v>168.92</v>
      </c>
      <c r="I522" s="9">
        <f>($K$2+0.02)*Tabla1[[#This Row],[PRECIO $]]*1.18</f>
        <v>141.67079999999999</v>
      </c>
      <c r="J522" s="7">
        <f>+Tabla1[[#This Row],[PRECIO EN SOLES]]-Tabla1[[#This Row],[PC]]</f>
        <v>27.249200000000002</v>
      </c>
      <c r="K522" s="15"/>
      <c r="L522" s="15" t="str">
        <f t="shared" si="17"/>
        <v>NORMAL</v>
      </c>
    </row>
    <row r="523" spans="1:12" x14ac:dyDescent="0.25">
      <c r="A523" s="3" t="s">
        <v>1220</v>
      </c>
      <c r="B523" s="3" t="s">
        <v>1221</v>
      </c>
      <c r="C523" s="1">
        <v>20</v>
      </c>
      <c r="D523" s="1">
        <v>4.97</v>
      </c>
      <c r="E523" s="1" t="s">
        <v>131</v>
      </c>
      <c r="F523" s="1" t="s">
        <v>4872</v>
      </c>
      <c r="G523" s="3"/>
      <c r="H523" s="11">
        <f t="shared" si="16"/>
        <v>25.27</v>
      </c>
      <c r="I523" s="9">
        <f>($K$2+0.02)*Tabla1[[#This Row],[PRECIO $]]*1.18</f>
        <v>20.232869999999998</v>
      </c>
      <c r="J523" s="7">
        <f>+Tabla1[[#This Row],[PRECIO EN SOLES]]-Tabla1[[#This Row],[PC]]</f>
        <v>5.0371300000000012</v>
      </c>
      <c r="K523" s="15"/>
      <c r="L523" s="15" t="str">
        <f t="shared" si="17"/>
        <v>NORMAL</v>
      </c>
    </row>
    <row r="524" spans="1:12" x14ac:dyDescent="0.25">
      <c r="A524" s="3" t="s">
        <v>1222</v>
      </c>
      <c r="B524" s="3" t="s">
        <v>1221</v>
      </c>
      <c r="C524" s="1">
        <v>20</v>
      </c>
      <c r="D524" s="1">
        <v>7.97</v>
      </c>
      <c r="E524" s="1" t="s">
        <v>131</v>
      </c>
      <c r="F524" s="1" t="s">
        <v>4873</v>
      </c>
      <c r="G524" s="3"/>
      <c r="H524" s="11">
        <f t="shared" si="16"/>
        <v>41.31</v>
      </c>
      <c r="I524" s="9">
        <f>($K$2+0.02)*Tabla1[[#This Row],[PRECIO $]]*1.18</f>
        <v>32.445869999999999</v>
      </c>
      <c r="J524" s="7">
        <f>+Tabla1[[#This Row],[PRECIO EN SOLES]]-Tabla1[[#This Row],[PC]]</f>
        <v>8.864130000000003</v>
      </c>
      <c r="K524" s="15"/>
      <c r="L524" s="15" t="str">
        <f t="shared" si="17"/>
        <v>NORMAL</v>
      </c>
    </row>
    <row r="525" spans="1:12" x14ac:dyDescent="0.25">
      <c r="A525" s="3" t="s">
        <v>1223</v>
      </c>
      <c r="B525" s="3" t="s">
        <v>1221</v>
      </c>
      <c r="C525" s="1">
        <v>20</v>
      </c>
      <c r="D525" s="1">
        <v>9.4700000000000006</v>
      </c>
      <c r="E525" s="1" t="s">
        <v>131</v>
      </c>
      <c r="F525" s="1" t="s">
        <v>4874</v>
      </c>
      <c r="G525" s="3"/>
      <c r="H525" s="11">
        <f t="shared" si="16"/>
        <v>48.34</v>
      </c>
      <c r="I525" s="9">
        <f>($K$2+0.02)*Tabla1[[#This Row],[PRECIO $]]*1.18</f>
        <v>38.552370000000003</v>
      </c>
      <c r="J525" s="7">
        <f>+Tabla1[[#This Row],[PRECIO EN SOLES]]-Tabla1[[#This Row],[PC]]</f>
        <v>9.7876300000000001</v>
      </c>
      <c r="K525" s="15"/>
      <c r="L525" s="15" t="str">
        <f t="shared" si="17"/>
        <v>NORMAL</v>
      </c>
    </row>
    <row r="526" spans="1:12" x14ac:dyDescent="0.25">
      <c r="A526" s="3" t="s">
        <v>1224</v>
      </c>
      <c r="B526" s="3" t="s">
        <v>1225</v>
      </c>
      <c r="C526" s="1">
        <v>5</v>
      </c>
      <c r="D526" s="1">
        <v>24.11</v>
      </c>
      <c r="E526" s="1" t="s">
        <v>528</v>
      </c>
      <c r="F526" s="1" t="s">
        <v>4875</v>
      </c>
      <c r="G526" s="3"/>
      <c r="H526" s="11">
        <f t="shared" si="16"/>
        <v>118.87</v>
      </c>
      <c r="I526" s="9">
        <f>($K$2+0.02)*Tabla1[[#This Row],[PRECIO $]]*1.18</f>
        <v>98.151809999999998</v>
      </c>
      <c r="J526" s="7">
        <f>+Tabla1[[#This Row],[PRECIO EN SOLES]]-Tabla1[[#This Row],[PC]]</f>
        <v>20.718190000000007</v>
      </c>
      <c r="K526" s="15"/>
      <c r="L526" s="15" t="str">
        <f t="shared" si="17"/>
        <v>NORMAL</v>
      </c>
    </row>
    <row r="527" spans="1:12" x14ac:dyDescent="0.25">
      <c r="A527" s="3" t="s">
        <v>1226</v>
      </c>
      <c r="B527" s="3" t="s">
        <v>1227</v>
      </c>
      <c r="C527" s="1">
        <v>0</v>
      </c>
      <c r="D527" s="1">
        <v>373</v>
      </c>
      <c r="E527" s="1" t="s">
        <v>142</v>
      </c>
      <c r="F527" s="1" t="s">
        <v>4876</v>
      </c>
      <c r="G527" s="3" t="s">
        <v>1228</v>
      </c>
      <c r="H527" s="11">
        <f t="shared" si="16"/>
        <v>1754.26</v>
      </c>
      <c r="I527" s="9">
        <f>($K$2+0.02)*Tabla1[[#This Row],[PRECIO $]]*1.18</f>
        <v>1518.4830000000002</v>
      </c>
      <c r="J527" s="7">
        <f>+Tabla1[[#This Row],[PRECIO EN SOLES]]-Tabla1[[#This Row],[PC]]</f>
        <v>235.77699999999982</v>
      </c>
      <c r="K527" s="15"/>
      <c r="L527" s="15" t="str">
        <f t="shared" si="17"/>
        <v>NORMAL</v>
      </c>
    </row>
    <row r="528" spans="1:12" x14ac:dyDescent="0.25">
      <c r="A528" s="3" t="s">
        <v>1229</v>
      </c>
      <c r="B528" s="3" t="s">
        <v>1230</v>
      </c>
      <c r="C528" s="1">
        <v>0</v>
      </c>
      <c r="D528" s="1">
        <v>40</v>
      </c>
      <c r="E528" s="1" t="s">
        <v>528</v>
      </c>
      <c r="F528" s="1" t="s">
        <v>4877</v>
      </c>
      <c r="G528" s="3"/>
      <c r="H528" s="11">
        <f t="shared" si="16"/>
        <v>208.55</v>
      </c>
      <c r="I528" s="9">
        <f>($K$2+0.02)*Tabla1[[#This Row],[PRECIO $]]*1.18</f>
        <v>162.84</v>
      </c>
      <c r="J528" s="7">
        <f>+Tabla1[[#This Row],[PRECIO EN SOLES]]-Tabla1[[#This Row],[PC]]</f>
        <v>45.710000000000008</v>
      </c>
      <c r="K528" s="15"/>
      <c r="L528" s="15" t="str">
        <f t="shared" si="17"/>
        <v>COMPLEMENTO</v>
      </c>
    </row>
    <row r="529" spans="1:12" x14ac:dyDescent="0.25">
      <c r="A529" s="3" t="s">
        <v>1231</v>
      </c>
      <c r="B529" s="3" t="s">
        <v>1232</v>
      </c>
      <c r="C529" s="1">
        <v>0</v>
      </c>
      <c r="D529" s="1">
        <v>110</v>
      </c>
      <c r="E529" s="1" t="s">
        <v>126</v>
      </c>
      <c r="F529" s="1" t="s">
        <v>4878</v>
      </c>
      <c r="G529" s="3" t="s">
        <v>1233</v>
      </c>
      <c r="H529" s="11">
        <f t="shared" si="16"/>
        <v>564.76</v>
      </c>
      <c r="I529" s="9">
        <f>($K$2+0.02)*Tabla1[[#This Row],[PRECIO $]]*1.18</f>
        <v>447.81</v>
      </c>
      <c r="J529" s="7">
        <f>+Tabla1[[#This Row],[PRECIO EN SOLES]]-Tabla1[[#This Row],[PC]]</f>
        <v>116.94999999999999</v>
      </c>
      <c r="K529" s="15"/>
      <c r="L529" s="15" t="str">
        <f t="shared" si="17"/>
        <v>COMPLEMENTO</v>
      </c>
    </row>
    <row r="530" spans="1:12" x14ac:dyDescent="0.25">
      <c r="A530" s="3" t="s">
        <v>1234</v>
      </c>
      <c r="B530" s="3" t="s">
        <v>1235</v>
      </c>
      <c r="C530" s="1">
        <v>0</v>
      </c>
      <c r="D530" s="1">
        <v>1100</v>
      </c>
      <c r="E530" s="1" t="s">
        <v>142</v>
      </c>
      <c r="F530" s="1" t="s">
        <v>4879</v>
      </c>
      <c r="G530" s="3" t="s">
        <v>1236</v>
      </c>
      <c r="H530" s="11">
        <f t="shared" si="16"/>
        <v>5157.82</v>
      </c>
      <c r="I530" s="9">
        <f>($K$2+0.02)*Tabla1[[#This Row],[PRECIO $]]*1.18</f>
        <v>4478.0999999999995</v>
      </c>
      <c r="J530" s="7">
        <f>+Tabla1[[#This Row],[PRECIO EN SOLES]]-Tabla1[[#This Row],[PC]]</f>
        <v>679.72000000000025</v>
      </c>
      <c r="K530" s="15"/>
      <c r="L530" s="15" t="str">
        <f t="shared" si="17"/>
        <v>NORMAL</v>
      </c>
    </row>
    <row r="531" spans="1:12" x14ac:dyDescent="0.25">
      <c r="A531" s="3" t="s">
        <v>1237</v>
      </c>
      <c r="B531" s="3" t="s">
        <v>1238</v>
      </c>
      <c r="C531" s="1">
        <v>2</v>
      </c>
      <c r="D531" s="1">
        <v>22.3</v>
      </c>
      <c r="E531" s="1" t="s">
        <v>528</v>
      </c>
      <c r="F531" s="1" t="s">
        <v>4880</v>
      </c>
      <c r="G531" s="3"/>
      <c r="H531" s="11">
        <f t="shared" si="16"/>
        <v>110.4</v>
      </c>
      <c r="I531" s="9">
        <f>($K$2+0.02)*Tabla1[[#This Row],[PRECIO $]]*1.18</f>
        <v>90.783299999999997</v>
      </c>
      <c r="J531" s="7">
        <f>+Tabla1[[#This Row],[PRECIO EN SOLES]]-Tabla1[[#This Row],[PC]]</f>
        <v>19.616700000000009</v>
      </c>
      <c r="K531" s="15"/>
      <c r="L531" s="15" t="str">
        <f t="shared" si="17"/>
        <v>NORMAL</v>
      </c>
    </row>
    <row r="532" spans="1:12" x14ac:dyDescent="0.25">
      <c r="A532" s="3" t="s">
        <v>1239</v>
      </c>
      <c r="B532" s="3" t="s">
        <v>1240</v>
      </c>
      <c r="C532" s="1">
        <v>7</v>
      </c>
      <c r="D532" s="1">
        <v>23.8</v>
      </c>
      <c r="E532" s="1" t="s">
        <v>528</v>
      </c>
      <c r="F532" s="1" t="s">
        <v>4881</v>
      </c>
      <c r="G532" s="3"/>
      <c r="H532" s="11">
        <f t="shared" si="16"/>
        <v>117.42</v>
      </c>
      <c r="I532" s="9">
        <f>($K$2+0.02)*Tabla1[[#This Row],[PRECIO $]]*1.18</f>
        <v>96.889800000000008</v>
      </c>
      <c r="J532" s="7">
        <f>+Tabla1[[#This Row],[PRECIO EN SOLES]]-Tabla1[[#This Row],[PC]]</f>
        <v>20.530199999999994</v>
      </c>
      <c r="K532" s="15"/>
      <c r="L532" s="15" t="str">
        <f t="shared" si="17"/>
        <v>NORMAL</v>
      </c>
    </row>
    <row r="533" spans="1:12" x14ac:dyDescent="0.25">
      <c r="A533" s="3" t="s">
        <v>1241</v>
      </c>
      <c r="B533" s="3" t="s">
        <v>1242</v>
      </c>
      <c r="C533" s="1">
        <v>0</v>
      </c>
      <c r="D533" s="1">
        <v>9999999.9900000002</v>
      </c>
      <c r="E533" s="1" t="s">
        <v>1243</v>
      </c>
      <c r="F533" s="1" t="s">
        <v>4882</v>
      </c>
      <c r="G533" s="3"/>
      <c r="H533" s="11">
        <f t="shared" si="16"/>
        <v>46816507.950000003</v>
      </c>
      <c r="I533" s="9">
        <f>($K$2+0.02)*Tabla1[[#This Row],[PRECIO $]]*1.18</f>
        <v>40709999.959290005</v>
      </c>
      <c r="J533" s="7">
        <f>+Tabla1[[#This Row],[PRECIO EN SOLES]]-Tabla1[[#This Row],[PC]]</f>
        <v>6106507.9907099977</v>
      </c>
      <c r="K533" s="15"/>
      <c r="L533" s="15" t="str">
        <f t="shared" si="17"/>
        <v>NORMAL</v>
      </c>
    </row>
    <row r="534" spans="1:12" x14ac:dyDescent="0.25">
      <c r="A534" s="3" t="s">
        <v>1244</v>
      </c>
      <c r="B534" s="3" t="s">
        <v>1245</v>
      </c>
      <c r="C534" s="1">
        <v>20</v>
      </c>
      <c r="D534" s="1">
        <v>65</v>
      </c>
      <c r="E534" s="1" t="s">
        <v>1246</v>
      </c>
      <c r="F534" s="1" t="s">
        <v>4883</v>
      </c>
      <c r="G534" s="3" t="s">
        <v>1247</v>
      </c>
      <c r="H534" s="11">
        <f t="shared" si="16"/>
        <v>312.31</v>
      </c>
      <c r="I534" s="9">
        <f>($K$2+0.02)*Tabla1[[#This Row],[PRECIO $]]*1.18</f>
        <v>264.61500000000001</v>
      </c>
      <c r="J534" s="7">
        <f>+Tabla1[[#This Row],[PRECIO EN SOLES]]-Tabla1[[#This Row],[PC]]</f>
        <v>47.694999999999993</v>
      </c>
      <c r="K534" s="15"/>
      <c r="L534" s="15" t="str">
        <f t="shared" si="17"/>
        <v>NORMAL</v>
      </c>
    </row>
    <row r="535" spans="1:12" x14ac:dyDescent="0.25">
      <c r="A535" s="3" t="s">
        <v>1248</v>
      </c>
      <c r="B535" s="3" t="s">
        <v>1249</v>
      </c>
      <c r="C535" s="1">
        <v>20</v>
      </c>
      <c r="D535" s="1">
        <v>148.94</v>
      </c>
      <c r="E535" s="1" t="s">
        <v>1246</v>
      </c>
      <c r="F535" s="1" t="s">
        <v>4884</v>
      </c>
      <c r="G535" s="3" t="s">
        <v>1250</v>
      </c>
      <c r="H535" s="11">
        <f t="shared" si="16"/>
        <v>705.28</v>
      </c>
      <c r="I535" s="9">
        <f>($K$2+0.02)*Tabla1[[#This Row],[PRECIO $]]*1.18</f>
        <v>606.33474000000001</v>
      </c>
      <c r="J535" s="7">
        <f>+Tabla1[[#This Row],[PRECIO EN SOLES]]-Tabla1[[#This Row],[PC]]</f>
        <v>98.945259999999962</v>
      </c>
      <c r="K535" s="15"/>
      <c r="L535" s="15" t="str">
        <f t="shared" si="17"/>
        <v>NORMAL</v>
      </c>
    </row>
    <row r="536" spans="1:12" x14ac:dyDescent="0.25">
      <c r="A536" s="3" t="s">
        <v>1251</v>
      </c>
      <c r="B536" s="3" t="s">
        <v>1252</v>
      </c>
      <c r="C536" s="1">
        <v>20</v>
      </c>
      <c r="D536" s="1">
        <v>189.31</v>
      </c>
      <c r="E536" s="1" t="s">
        <v>1246</v>
      </c>
      <c r="F536" s="1" t="s">
        <v>4885</v>
      </c>
      <c r="G536" s="3" t="s">
        <v>1253</v>
      </c>
      <c r="H536" s="11">
        <f t="shared" si="16"/>
        <v>894.28</v>
      </c>
      <c r="I536" s="9">
        <f>($K$2+0.02)*Tabla1[[#This Row],[PRECIO $]]*1.18</f>
        <v>770.68101000000001</v>
      </c>
      <c r="J536" s="7">
        <f>+Tabla1[[#This Row],[PRECIO EN SOLES]]-Tabla1[[#This Row],[PC]]</f>
        <v>123.59898999999996</v>
      </c>
      <c r="K536" s="15"/>
      <c r="L536" s="15" t="str">
        <f t="shared" si="17"/>
        <v>NORMAL</v>
      </c>
    </row>
    <row r="537" spans="1:12" x14ac:dyDescent="0.25">
      <c r="A537" s="3" t="s">
        <v>1254</v>
      </c>
      <c r="B537" s="3" t="s">
        <v>1255</v>
      </c>
      <c r="C537" s="1">
        <v>20</v>
      </c>
      <c r="D537" s="1">
        <v>232.47</v>
      </c>
      <c r="E537" s="1" t="s">
        <v>1246</v>
      </c>
      <c r="F537" s="1" t="s">
        <v>4886</v>
      </c>
      <c r="G537" s="3" t="s">
        <v>1256</v>
      </c>
      <c r="H537" s="11">
        <f t="shared" si="16"/>
        <v>1096.3399999999999</v>
      </c>
      <c r="I537" s="9">
        <f>($K$2+0.02)*Tabla1[[#This Row],[PRECIO $]]*1.18</f>
        <v>946.38536999999997</v>
      </c>
      <c r="J537" s="7">
        <f>+Tabla1[[#This Row],[PRECIO EN SOLES]]-Tabla1[[#This Row],[PC]]</f>
        <v>149.95462999999995</v>
      </c>
      <c r="K537" s="15"/>
      <c r="L537" s="15" t="str">
        <f t="shared" si="17"/>
        <v>NORMAL</v>
      </c>
    </row>
    <row r="538" spans="1:12" x14ac:dyDescent="0.25">
      <c r="A538" s="3" t="s">
        <v>1257</v>
      </c>
      <c r="B538" s="3" t="s">
        <v>1258</v>
      </c>
      <c r="C538" s="1">
        <v>20</v>
      </c>
      <c r="D538" s="1">
        <v>223</v>
      </c>
      <c r="E538" s="1" t="s">
        <v>1246</v>
      </c>
      <c r="F538" s="1" t="s">
        <v>4887</v>
      </c>
      <c r="G538" s="3" t="s">
        <v>1259</v>
      </c>
      <c r="H538" s="11">
        <f t="shared" si="16"/>
        <v>1052.01</v>
      </c>
      <c r="I538" s="9">
        <f>($K$2+0.02)*Tabla1[[#This Row],[PRECIO $]]*1.18</f>
        <v>907.83299999999997</v>
      </c>
      <c r="J538" s="7">
        <f>+Tabla1[[#This Row],[PRECIO EN SOLES]]-Tabla1[[#This Row],[PC]]</f>
        <v>144.17700000000002</v>
      </c>
      <c r="K538" s="15"/>
      <c r="L538" s="15" t="str">
        <f t="shared" si="17"/>
        <v>NORMAL</v>
      </c>
    </row>
    <row r="539" spans="1:12" x14ac:dyDescent="0.25">
      <c r="A539" s="3" t="s">
        <v>1260</v>
      </c>
      <c r="B539" s="3" t="s">
        <v>1261</v>
      </c>
      <c r="C539" s="1">
        <v>20</v>
      </c>
      <c r="D539" s="1">
        <v>498.24</v>
      </c>
      <c r="E539" s="1" t="s">
        <v>1246</v>
      </c>
      <c r="F539" s="1" t="s">
        <v>4888</v>
      </c>
      <c r="G539" s="3" t="s">
        <v>1262</v>
      </c>
      <c r="H539" s="11">
        <f t="shared" si="16"/>
        <v>2340.59</v>
      </c>
      <c r="I539" s="9">
        <f>($K$2+0.02)*Tabla1[[#This Row],[PRECIO $]]*1.18</f>
        <v>2028.3350399999999</v>
      </c>
      <c r="J539" s="7">
        <f>+Tabla1[[#This Row],[PRECIO EN SOLES]]-Tabla1[[#This Row],[PC]]</f>
        <v>312.25496000000021</v>
      </c>
      <c r="K539" s="15"/>
      <c r="L539" s="15" t="str">
        <f t="shared" si="17"/>
        <v>NORMAL</v>
      </c>
    </row>
    <row r="540" spans="1:12" x14ac:dyDescent="0.25">
      <c r="A540" s="3" t="s">
        <v>1263</v>
      </c>
      <c r="B540" s="3" t="s">
        <v>1264</v>
      </c>
      <c r="C540" s="1">
        <v>20</v>
      </c>
      <c r="D540" s="1">
        <v>19.149999999999999</v>
      </c>
      <c r="E540" s="1" t="s">
        <v>1246</v>
      </c>
      <c r="F540" s="1" t="s">
        <v>4889</v>
      </c>
      <c r="G540" s="3" t="s">
        <v>1265</v>
      </c>
      <c r="H540" s="11">
        <f t="shared" si="16"/>
        <v>101.45</v>
      </c>
      <c r="I540" s="9">
        <f>($K$2+0.02)*Tabla1[[#This Row],[PRECIO $]]*1.18</f>
        <v>77.959649999999996</v>
      </c>
      <c r="J540" s="7">
        <f>+Tabla1[[#This Row],[PRECIO EN SOLES]]-Tabla1[[#This Row],[PC]]</f>
        <v>23.490350000000007</v>
      </c>
      <c r="K540" s="15"/>
      <c r="L540" s="15" t="str">
        <f t="shared" si="17"/>
        <v>COMPLEMENTO</v>
      </c>
    </row>
    <row r="541" spans="1:12" x14ac:dyDescent="0.25">
      <c r="A541" s="3" t="s">
        <v>1266</v>
      </c>
      <c r="B541" s="3" t="s">
        <v>1264</v>
      </c>
      <c r="C541" s="1">
        <v>0</v>
      </c>
      <c r="D541" s="1">
        <v>999</v>
      </c>
      <c r="E541" s="1" t="s">
        <v>1246</v>
      </c>
      <c r="F541" s="1" t="s">
        <v>4890</v>
      </c>
      <c r="G541" s="3"/>
      <c r="H541" s="11">
        <f t="shared" si="16"/>
        <v>5088.66</v>
      </c>
      <c r="I541" s="9">
        <f>($K$2+0.02)*Tabla1[[#This Row],[PRECIO $]]*1.18</f>
        <v>4066.9290000000001</v>
      </c>
      <c r="J541" s="7">
        <f>+Tabla1[[#This Row],[PRECIO EN SOLES]]-Tabla1[[#This Row],[PC]]</f>
        <v>1021.7309999999998</v>
      </c>
      <c r="K541" s="15"/>
      <c r="L541" s="15" t="str">
        <f t="shared" si="17"/>
        <v>COMPLEMENTO</v>
      </c>
    </row>
    <row r="542" spans="1:12" x14ac:dyDescent="0.25">
      <c r="A542" s="3" t="s">
        <v>1267</v>
      </c>
      <c r="B542" s="3" t="s">
        <v>1268</v>
      </c>
      <c r="C542" s="1">
        <v>20</v>
      </c>
      <c r="D542" s="1">
        <v>26.81</v>
      </c>
      <c r="E542" s="1" t="s">
        <v>1246</v>
      </c>
      <c r="F542" s="1" t="s">
        <v>4891</v>
      </c>
      <c r="G542" s="3" t="s">
        <v>1269</v>
      </c>
      <c r="H542" s="11">
        <f t="shared" si="16"/>
        <v>140.43</v>
      </c>
      <c r="I542" s="9">
        <f>($K$2+0.02)*Tabla1[[#This Row],[PRECIO $]]*1.18</f>
        <v>109.14350999999999</v>
      </c>
      <c r="J542" s="7">
        <f>+Tabla1[[#This Row],[PRECIO EN SOLES]]-Tabla1[[#This Row],[PC]]</f>
        <v>31.286490000000015</v>
      </c>
      <c r="K542" s="15"/>
      <c r="L542" s="15" t="str">
        <f t="shared" si="17"/>
        <v>COMPLEMENTO</v>
      </c>
    </row>
    <row r="543" spans="1:12" x14ac:dyDescent="0.25">
      <c r="A543" s="3" t="s">
        <v>1270</v>
      </c>
      <c r="B543" s="3" t="s">
        <v>1271</v>
      </c>
      <c r="C543" s="1">
        <v>20</v>
      </c>
      <c r="D543" s="1">
        <v>34.47</v>
      </c>
      <c r="E543" s="1" t="s">
        <v>1246</v>
      </c>
      <c r="F543" s="1" t="s">
        <v>4892</v>
      </c>
      <c r="G543" s="3" t="s">
        <v>1272</v>
      </c>
      <c r="H543" s="11">
        <f t="shared" si="16"/>
        <v>180.41</v>
      </c>
      <c r="I543" s="9">
        <f>($K$2+0.02)*Tabla1[[#This Row],[PRECIO $]]*1.18</f>
        <v>140.32737</v>
      </c>
      <c r="J543" s="7">
        <f>+Tabla1[[#This Row],[PRECIO EN SOLES]]-Tabla1[[#This Row],[PC]]</f>
        <v>40.082629999999995</v>
      </c>
      <c r="K543" s="15"/>
      <c r="L543" s="15" t="str">
        <f t="shared" si="17"/>
        <v>COMPLEMENTO</v>
      </c>
    </row>
    <row r="544" spans="1:12" x14ac:dyDescent="0.25">
      <c r="A544" s="3" t="s">
        <v>1273</v>
      </c>
      <c r="B544" s="3" t="s">
        <v>1274</v>
      </c>
      <c r="C544" s="1">
        <v>20</v>
      </c>
      <c r="D544" s="1">
        <v>48.52</v>
      </c>
      <c r="E544" s="1" t="s">
        <v>1246</v>
      </c>
      <c r="F544" s="1" t="s">
        <v>4893</v>
      </c>
      <c r="G544" s="3" t="s">
        <v>1275</v>
      </c>
      <c r="H544" s="11">
        <f t="shared" si="16"/>
        <v>251.91</v>
      </c>
      <c r="I544" s="9">
        <f>($K$2+0.02)*Tabla1[[#This Row],[PRECIO $]]*1.18</f>
        <v>197.52492000000001</v>
      </c>
      <c r="J544" s="7">
        <f>+Tabla1[[#This Row],[PRECIO EN SOLES]]-Tabla1[[#This Row],[PC]]</f>
        <v>54.385079999999988</v>
      </c>
      <c r="K544" s="15"/>
      <c r="L544" s="15" t="str">
        <f t="shared" si="17"/>
        <v>COMPLEMENTO</v>
      </c>
    </row>
    <row r="545" spans="1:12" x14ac:dyDescent="0.25">
      <c r="A545" s="3" t="s">
        <v>1276</v>
      </c>
      <c r="B545" s="3" t="s">
        <v>1277</v>
      </c>
      <c r="C545" s="1">
        <v>20</v>
      </c>
      <c r="D545" s="1">
        <v>26.81</v>
      </c>
      <c r="E545" s="1" t="s">
        <v>1246</v>
      </c>
      <c r="F545" s="1" t="s">
        <v>4894</v>
      </c>
      <c r="G545" s="3" t="s">
        <v>1278</v>
      </c>
      <c r="H545" s="11">
        <f t="shared" si="16"/>
        <v>131.52000000000001</v>
      </c>
      <c r="I545" s="9">
        <f>($K$2+0.02)*Tabla1[[#This Row],[PRECIO $]]*1.18</f>
        <v>109.14350999999999</v>
      </c>
      <c r="J545" s="7">
        <f>+Tabla1[[#This Row],[PRECIO EN SOLES]]-Tabla1[[#This Row],[PC]]</f>
        <v>22.376490000000018</v>
      </c>
      <c r="K545" s="15"/>
      <c r="L545" s="15" t="str">
        <f t="shared" si="17"/>
        <v>NORMAL</v>
      </c>
    </row>
    <row r="546" spans="1:12" x14ac:dyDescent="0.25">
      <c r="A546" s="3" t="s">
        <v>1279</v>
      </c>
      <c r="B546" s="3" t="s">
        <v>1280</v>
      </c>
      <c r="C546" s="1">
        <v>20</v>
      </c>
      <c r="D546" s="1">
        <v>34.47</v>
      </c>
      <c r="E546" s="1" t="s">
        <v>1246</v>
      </c>
      <c r="F546" s="1" t="s">
        <v>4895</v>
      </c>
      <c r="G546" s="3" t="s">
        <v>1281</v>
      </c>
      <c r="H546" s="11">
        <f t="shared" si="16"/>
        <v>167.38</v>
      </c>
      <c r="I546" s="9">
        <f>($K$2+0.02)*Tabla1[[#This Row],[PRECIO $]]*1.18</f>
        <v>140.32737</v>
      </c>
      <c r="J546" s="7">
        <f>+Tabla1[[#This Row],[PRECIO EN SOLES]]-Tabla1[[#This Row],[PC]]</f>
        <v>27.052629999999994</v>
      </c>
      <c r="K546" s="15"/>
      <c r="L546" s="15" t="str">
        <f t="shared" si="17"/>
        <v>NORMAL</v>
      </c>
    </row>
    <row r="547" spans="1:12" x14ac:dyDescent="0.25">
      <c r="A547" s="3" t="s">
        <v>1282</v>
      </c>
      <c r="B547" s="3" t="s">
        <v>1283</v>
      </c>
      <c r="C547" s="1">
        <v>20</v>
      </c>
      <c r="D547" s="1">
        <v>42.14</v>
      </c>
      <c r="E547" s="1" t="s">
        <v>1246</v>
      </c>
      <c r="F547" s="1" t="s">
        <v>4896</v>
      </c>
      <c r="G547" s="3" t="s">
        <v>1284</v>
      </c>
      <c r="H547" s="11">
        <f t="shared" si="16"/>
        <v>205.28</v>
      </c>
      <c r="I547" s="9">
        <f>($K$2+0.02)*Tabla1[[#This Row],[PRECIO $]]*1.18</f>
        <v>171.55194</v>
      </c>
      <c r="J547" s="7">
        <f>+Tabla1[[#This Row],[PRECIO EN SOLES]]-Tabla1[[#This Row],[PC]]</f>
        <v>33.728059999999999</v>
      </c>
      <c r="K547" s="15"/>
      <c r="L547" s="15" t="str">
        <f t="shared" si="17"/>
        <v>NORMAL</v>
      </c>
    </row>
    <row r="548" spans="1:12" x14ac:dyDescent="0.25">
      <c r="A548" s="3" t="s">
        <v>1285</v>
      </c>
      <c r="B548" s="3" t="s">
        <v>1286</v>
      </c>
      <c r="C548" s="1">
        <v>20</v>
      </c>
      <c r="D548" s="1">
        <v>54.9</v>
      </c>
      <c r="E548" s="1" t="s">
        <v>1246</v>
      </c>
      <c r="F548" s="1" t="s">
        <v>4897</v>
      </c>
      <c r="G548" s="3" t="s">
        <v>1287</v>
      </c>
      <c r="H548" s="11">
        <f t="shared" si="16"/>
        <v>265.02</v>
      </c>
      <c r="I548" s="9">
        <f>($K$2+0.02)*Tabla1[[#This Row],[PRECIO $]]*1.18</f>
        <v>223.49789999999999</v>
      </c>
      <c r="J548" s="7">
        <f>+Tabla1[[#This Row],[PRECIO EN SOLES]]-Tabla1[[#This Row],[PC]]</f>
        <v>41.522099999999995</v>
      </c>
      <c r="K548" s="15"/>
      <c r="L548" s="15" t="str">
        <f t="shared" si="17"/>
        <v>NORMAL</v>
      </c>
    </row>
    <row r="549" spans="1:12" x14ac:dyDescent="0.25">
      <c r="A549" s="3" t="s">
        <v>1288</v>
      </c>
      <c r="B549" s="3" t="s">
        <v>1289</v>
      </c>
      <c r="C549" s="1">
        <v>20</v>
      </c>
      <c r="D549" s="1">
        <v>38.31</v>
      </c>
      <c r="E549" s="1" t="s">
        <v>1246</v>
      </c>
      <c r="F549" s="1" t="s">
        <v>4898</v>
      </c>
      <c r="G549" s="3" t="s">
        <v>1290</v>
      </c>
      <c r="H549" s="11">
        <f t="shared" si="16"/>
        <v>187.35</v>
      </c>
      <c r="I549" s="9">
        <f>($K$2+0.02)*Tabla1[[#This Row],[PRECIO $]]*1.18</f>
        <v>155.96001000000001</v>
      </c>
      <c r="J549" s="7">
        <f>+Tabla1[[#This Row],[PRECIO EN SOLES]]-Tabla1[[#This Row],[PC]]</f>
        <v>31.389989999999983</v>
      </c>
      <c r="K549" s="15"/>
      <c r="L549" s="15" t="str">
        <f t="shared" si="17"/>
        <v>NORMAL</v>
      </c>
    </row>
    <row r="550" spans="1:12" x14ac:dyDescent="0.25">
      <c r="A550" s="3" t="s">
        <v>1291</v>
      </c>
      <c r="B550" s="3" t="s">
        <v>1292</v>
      </c>
      <c r="C550" s="1">
        <v>20</v>
      </c>
      <c r="D550" s="1">
        <v>54</v>
      </c>
      <c r="E550" s="1" t="s">
        <v>1246</v>
      </c>
      <c r="F550" s="1" t="s">
        <v>4899</v>
      </c>
      <c r="G550" s="3" t="s">
        <v>1293</v>
      </c>
      <c r="H550" s="11">
        <f t="shared" si="16"/>
        <v>260.81</v>
      </c>
      <c r="I550" s="9">
        <f>($K$2+0.02)*Tabla1[[#This Row],[PRECIO $]]*1.18</f>
        <v>219.834</v>
      </c>
      <c r="J550" s="7">
        <f>+Tabla1[[#This Row],[PRECIO EN SOLES]]-Tabla1[[#This Row],[PC]]</f>
        <v>40.975999999999999</v>
      </c>
      <c r="K550" s="15"/>
      <c r="L550" s="15" t="str">
        <f t="shared" si="17"/>
        <v>NORMAL</v>
      </c>
    </row>
    <row r="551" spans="1:12" x14ac:dyDescent="0.25">
      <c r="A551" s="3" t="s">
        <v>1294</v>
      </c>
      <c r="B551" s="3" t="s">
        <v>1295</v>
      </c>
      <c r="C551" s="1">
        <v>20</v>
      </c>
      <c r="D551" s="1">
        <v>18.829999999999998</v>
      </c>
      <c r="E551" s="1" t="s">
        <v>1246</v>
      </c>
      <c r="F551" s="1" t="s">
        <v>4900</v>
      </c>
      <c r="G551" s="3"/>
      <c r="H551" s="11">
        <f t="shared" si="16"/>
        <v>92.16</v>
      </c>
      <c r="I551" s="9">
        <f>($K$2+0.02)*Tabla1[[#This Row],[PRECIO $]]*1.18</f>
        <v>76.656929999999988</v>
      </c>
      <c r="J551" s="7">
        <f>+Tabla1[[#This Row],[PRECIO EN SOLES]]-Tabla1[[#This Row],[PC]]</f>
        <v>15.503070000000008</v>
      </c>
      <c r="K551" s="15"/>
      <c r="L551" s="15" t="str">
        <f t="shared" si="17"/>
        <v>NORMAL</v>
      </c>
    </row>
    <row r="552" spans="1:12" x14ac:dyDescent="0.25">
      <c r="A552" s="3" t="s">
        <v>1296</v>
      </c>
      <c r="B552" s="3" t="s">
        <v>1297</v>
      </c>
      <c r="C552" s="1">
        <v>20</v>
      </c>
      <c r="D552" s="1">
        <v>300</v>
      </c>
      <c r="E552" s="1" t="s">
        <v>1246</v>
      </c>
      <c r="F552" s="1" t="s">
        <v>4901</v>
      </c>
      <c r="G552" s="3"/>
      <c r="H552" s="11">
        <f t="shared" si="16"/>
        <v>1412.5</v>
      </c>
      <c r="I552" s="9">
        <f>($K$2+0.02)*Tabla1[[#This Row],[PRECIO $]]*1.18</f>
        <v>1221.3</v>
      </c>
      <c r="J552" s="7">
        <f>+Tabla1[[#This Row],[PRECIO EN SOLES]]-Tabla1[[#This Row],[PC]]</f>
        <v>191.20000000000005</v>
      </c>
      <c r="K552" s="15"/>
      <c r="L552" s="15" t="str">
        <f t="shared" si="17"/>
        <v>NORMAL</v>
      </c>
    </row>
    <row r="553" spans="1:12" x14ac:dyDescent="0.25">
      <c r="A553" s="3" t="s">
        <v>1298</v>
      </c>
      <c r="B553" s="3" t="s">
        <v>1299</v>
      </c>
      <c r="C553" s="1">
        <v>20</v>
      </c>
      <c r="D553" s="1">
        <v>666</v>
      </c>
      <c r="E553" s="1" t="s">
        <v>1300</v>
      </c>
      <c r="F553" s="1" t="s">
        <v>4902</v>
      </c>
      <c r="G553" s="3"/>
      <c r="H553" s="11">
        <f t="shared" si="16"/>
        <v>3125.98</v>
      </c>
      <c r="I553" s="9">
        <f>($K$2+0.02)*Tabla1[[#This Row],[PRECIO $]]*1.18</f>
        <v>2711.2860000000001</v>
      </c>
      <c r="J553" s="7">
        <f>+Tabla1[[#This Row],[PRECIO EN SOLES]]-Tabla1[[#This Row],[PC]]</f>
        <v>414.69399999999996</v>
      </c>
      <c r="K553" s="15"/>
      <c r="L553" s="15" t="str">
        <f t="shared" si="17"/>
        <v>NORMAL</v>
      </c>
    </row>
    <row r="554" spans="1:12" x14ac:dyDescent="0.25">
      <c r="A554" s="3" t="s">
        <v>1301</v>
      </c>
      <c r="B554" s="3" t="s">
        <v>1302</v>
      </c>
      <c r="C554" s="1">
        <v>20</v>
      </c>
      <c r="D554" s="1">
        <v>666</v>
      </c>
      <c r="E554" s="1" t="s">
        <v>261</v>
      </c>
      <c r="F554" s="1" t="s">
        <v>4903</v>
      </c>
      <c r="G554" s="3"/>
      <c r="H554" s="11">
        <f t="shared" si="16"/>
        <v>3394.11</v>
      </c>
      <c r="I554" s="9">
        <f>($K$2+0.02)*Tabla1[[#This Row],[PRECIO $]]*1.18</f>
        <v>2711.2860000000001</v>
      </c>
      <c r="J554" s="7">
        <f>+Tabla1[[#This Row],[PRECIO EN SOLES]]-Tabla1[[#This Row],[PC]]</f>
        <v>682.82400000000007</v>
      </c>
      <c r="K554" s="15"/>
      <c r="L554" s="15" t="str">
        <f t="shared" si="17"/>
        <v>COMPLEMENTO</v>
      </c>
    </row>
    <row r="555" spans="1:12" x14ac:dyDescent="0.25">
      <c r="A555" s="3" t="s">
        <v>1303</v>
      </c>
      <c r="B555" s="3" t="s">
        <v>1304</v>
      </c>
      <c r="C555" s="1">
        <v>0</v>
      </c>
      <c r="D555" s="1">
        <v>999</v>
      </c>
      <c r="E555" s="1" t="s">
        <v>1300</v>
      </c>
      <c r="F555" s="1" t="s">
        <v>4904</v>
      </c>
      <c r="G555" s="3"/>
      <c r="H555" s="11">
        <f t="shared" si="16"/>
        <v>4684.97</v>
      </c>
      <c r="I555" s="9">
        <f>($K$2+0.02)*Tabla1[[#This Row],[PRECIO $]]*1.18</f>
        <v>4066.9290000000001</v>
      </c>
      <c r="J555" s="7">
        <f>+Tabla1[[#This Row],[PRECIO EN SOLES]]-Tabla1[[#This Row],[PC]]</f>
        <v>618.04100000000017</v>
      </c>
      <c r="K555" s="15"/>
      <c r="L555" s="15" t="str">
        <f t="shared" si="17"/>
        <v>NORMAL</v>
      </c>
    </row>
    <row r="556" spans="1:12" x14ac:dyDescent="0.25">
      <c r="A556" s="3" t="s">
        <v>1305</v>
      </c>
      <c r="B556" s="3" t="s">
        <v>1306</v>
      </c>
      <c r="C556" s="1">
        <v>0</v>
      </c>
      <c r="D556" s="1">
        <v>15.3</v>
      </c>
      <c r="E556" s="1" t="s">
        <v>1156</v>
      </c>
      <c r="F556" s="1" t="s">
        <v>4905</v>
      </c>
      <c r="G556" s="3"/>
      <c r="H556" s="11">
        <f t="shared" si="16"/>
        <v>75.63</v>
      </c>
      <c r="I556" s="9">
        <f>($K$2+0.02)*Tabla1[[#This Row],[PRECIO $]]*1.18</f>
        <v>62.286300000000004</v>
      </c>
      <c r="J556" s="7">
        <f>+Tabla1[[#This Row],[PRECIO EN SOLES]]-Tabla1[[#This Row],[PC]]</f>
        <v>13.343699999999991</v>
      </c>
      <c r="K556" s="15"/>
      <c r="L556" s="15" t="str">
        <f t="shared" si="17"/>
        <v>NORMAL</v>
      </c>
    </row>
    <row r="557" spans="1:12" x14ac:dyDescent="0.25">
      <c r="A557" s="3" t="s">
        <v>1307</v>
      </c>
      <c r="B557" s="3" t="s">
        <v>1308</v>
      </c>
      <c r="C557" s="1">
        <v>1</v>
      </c>
      <c r="D557" s="1">
        <v>8.5</v>
      </c>
      <c r="E557" s="1" t="s">
        <v>1156</v>
      </c>
      <c r="F557" s="1" t="s">
        <v>4906</v>
      </c>
      <c r="G557" s="3"/>
      <c r="H557" s="11">
        <f t="shared" si="16"/>
        <v>43.79</v>
      </c>
      <c r="I557" s="9">
        <f>($K$2+0.02)*Tabla1[[#This Row],[PRECIO $]]*1.18</f>
        <v>34.603500000000004</v>
      </c>
      <c r="J557" s="7">
        <f>+Tabla1[[#This Row],[PRECIO EN SOLES]]-Tabla1[[#This Row],[PC]]</f>
        <v>9.1864999999999952</v>
      </c>
      <c r="K557" s="15"/>
      <c r="L557" s="15" t="str">
        <f t="shared" si="17"/>
        <v>NORMAL</v>
      </c>
    </row>
    <row r="558" spans="1:12" x14ac:dyDescent="0.25">
      <c r="A558" s="3" t="s">
        <v>1309</v>
      </c>
      <c r="B558" s="3" t="s">
        <v>1310</v>
      </c>
      <c r="C558" s="1">
        <v>20</v>
      </c>
      <c r="D558" s="1">
        <v>4.2</v>
      </c>
      <c r="E558" s="1" t="s">
        <v>1156</v>
      </c>
      <c r="F558" s="1" t="s">
        <v>4907</v>
      </c>
      <c r="G558" s="3" t="s">
        <v>1311</v>
      </c>
      <c r="H558" s="11">
        <f t="shared" si="16"/>
        <v>21.66</v>
      </c>
      <c r="I558" s="9">
        <f>($K$2+0.02)*Tabla1[[#This Row],[PRECIO $]]*1.18</f>
        <v>17.098200000000002</v>
      </c>
      <c r="J558" s="7">
        <f>+Tabla1[[#This Row],[PRECIO EN SOLES]]-Tabla1[[#This Row],[PC]]</f>
        <v>4.5617999999999981</v>
      </c>
      <c r="K558" s="15"/>
      <c r="L558" s="15" t="str">
        <f t="shared" si="17"/>
        <v>NORMAL</v>
      </c>
    </row>
    <row r="559" spans="1:12" x14ac:dyDescent="0.25">
      <c r="A559" s="3" t="s">
        <v>1312</v>
      </c>
      <c r="B559" s="3" t="s">
        <v>1313</v>
      </c>
      <c r="C559" s="1">
        <v>18</v>
      </c>
      <c r="D559" s="1">
        <v>4.5999999999999996</v>
      </c>
      <c r="E559" s="1" t="s">
        <v>1156</v>
      </c>
      <c r="F559" s="1" t="s">
        <v>4908</v>
      </c>
      <c r="G559" s="3" t="s">
        <v>1314</v>
      </c>
      <c r="H559" s="11">
        <f t="shared" si="16"/>
        <v>23.54</v>
      </c>
      <c r="I559" s="9">
        <f>($K$2+0.02)*Tabla1[[#This Row],[PRECIO $]]*1.18</f>
        <v>18.726599999999998</v>
      </c>
      <c r="J559" s="7">
        <f>+Tabla1[[#This Row],[PRECIO EN SOLES]]-Tabla1[[#This Row],[PC]]</f>
        <v>4.8134000000000015</v>
      </c>
      <c r="K559" s="15"/>
      <c r="L559" s="15" t="str">
        <f t="shared" si="17"/>
        <v>NORMAL</v>
      </c>
    </row>
    <row r="560" spans="1:12" x14ac:dyDescent="0.25">
      <c r="A560" s="3" t="s">
        <v>1315</v>
      </c>
      <c r="B560" s="3" t="s">
        <v>1310</v>
      </c>
      <c r="C560" s="1">
        <v>9</v>
      </c>
      <c r="D560" s="1">
        <v>8</v>
      </c>
      <c r="E560" s="1" t="s">
        <v>1156</v>
      </c>
      <c r="F560" s="1" t="s">
        <v>4909</v>
      </c>
      <c r="G560" s="3" t="s">
        <v>1316</v>
      </c>
      <c r="H560" s="11">
        <f t="shared" si="16"/>
        <v>41.45</v>
      </c>
      <c r="I560" s="9">
        <f>($K$2+0.02)*Tabla1[[#This Row],[PRECIO $]]*1.18</f>
        <v>32.567999999999998</v>
      </c>
      <c r="J560" s="7">
        <f>+Tabla1[[#This Row],[PRECIO EN SOLES]]-Tabla1[[#This Row],[PC]]</f>
        <v>8.882000000000005</v>
      </c>
      <c r="K560" s="15"/>
      <c r="L560" s="15" t="str">
        <f t="shared" si="17"/>
        <v>NORMAL</v>
      </c>
    </row>
    <row r="561" spans="1:12" x14ac:dyDescent="0.25">
      <c r="A561" s="3" t="s">
        <v>1317</v>
      </c>
      <c r="B561" s="3" t="s">
        <v>1318</v>
      </c>
      <c r="C561" s="1">
        <v>4</v>
      </c>
      <c r="D561" s="1">
        <v>3.1</v>
      </c>
      <c r="E561" s="1" t="s">
        <v>1156</v>
      </c>
      <c r="F561" s="1" t="s">
        <v>4910</v>
      </c>
      <c r="G561" s="3" t="s">
        <v>1319</v>
      </c>
      <c r="H561" s="11">
        <f t="shared" si="16"/>
        <v>16.510000000000002</v>
      </c>
      <c r="I561" s="9">
        <f>($K$2+0.02)*Tabla1[[#This Row],[PRECIO $]]*1.18</f>
        <v>12.620099999999999</v>
      </c>
      <c r="J561" s="7">
        <f>+Tabla1[[#This Row],[PRECIO EN SOLES]]-Tabla1[[#This Row],[PC]]</f>
        <v>3.8899000000000026</v>
      </c>
      <c r="K561" s="15"/>
      <c r="L561" s="15" t="str">
        <f t="shared" si="17"/>
        <v>NORMAL</v>
      </c>
    </row>
    <row r="562" spans="1:12" x14ac:dyDescent="0.25">
      <c r="A562" s="3" t="s">
        <v>1320</v>
      </c>
      <c r="B562" s="3" t="s">
        <v>1321</v>
      </c>
      <c r="C562" s="1">
        <v>8</v>
      </c>
      <c r="D562" s="1">
        <v>54.5</v>
      </c>
      <c r="E562" s="1" t="s">
        <v>1156</v>
      </c>
      <c r="F562" s="1" t="s">
        <v>4911</v>
      </c>
      <c r="G562" s="3" t="s">
        <v>1322</v>
      </c>
      <c r="H562" s="11">
        <f t="shared" si="16"/>
        <v>263.14999999999998</v>
      </c>
      <c r="I562" s="9">
        <f>($K$2+0.02)*Tabla1[[#This Row],[PRECIO $]]*1.18</f>
        <v>221.86949999999999</v>
      </c>
      <c r="J562" s="7">
        <f>+Tabla1[[#This Row],[PRECIO EN SOLES]]-Tabla1[[#This Row],[PC]]</f>
        <v>41.280499999999989</v>
      </c>
      <c r="K562" s="15"/>
      <c r="L562" s="15" t="str">
        <f t="shared" si="17"/>
        <v>NORMAL</v>
      </c>
    </row>
    <row r="563" spans="1:12" x14ac:dyDescent="0.25">
      <c r="A563" s="3" t="s">
        <v>1323</v>
      </c>
      <c r="B563" s="3" t="s">
        <v>1324</v>
      </c>
      <c r="C563" s="1">
        <v>5</v>
      </c>
      <c r="D563" s="1">
        <v>17.5</v>
      </c>
      <c r="E563" s="1" t="s">
        <v>1156</v>
      </c>
      <c r="F563" s="1" t="s">
        <v>4912</v>
      </c>
      <c r="G563" s="3" t="s">
        <v>1325</v>
      </c>
      <c r="H563" s="11">
        <f t="shared" si="16"/>
        <v>85.93</v>
      </c>
      <c r="I563" s="9">
        <f>($K$2+0.02)*Tabla1[[#This Row],[PRECIO $]]*1.18</f>
        <v>71.242499999999993</v>
      </c>
      <c r="J563" s="7">
        <f>+Tabla1[[#This Row],[PRECIO EN SOLES]]-Tabla1[[#This Row],[PC]]</f>
        <v>14.687500000000014</v>
      </c>
      <c r="K563" s="15"/>
      <c r="L563" s="15" t="str">
        <f t="shared" si="17"/>
        <v>NORMAL</v>
      </c>
    </row>
    <row r="564" spans="1:12" x14ac:dyDescent="0.25">
      <c r="A564" s="3" t="s">
        <v>1326</v>
      </c>
      <c r="B564" s="3" t="s">
        <v>1327</v>
      </c>
      <c r="C564" s="1">
        <v>18</v>
      </c>
      <c r="D564" s="1">
        <v>5.0999999999999996</v>
      </c>
      <c r="E564" s="1" t="s">
        <v>1156</v>
      </c>
      <c r="F564" s="1" t="s">
        <v>4913</v>
      </c>
      <c r="G564" s="3" t="s">
        <v>1328</v>
      </c>
      <c r="H564" s="11">
        <f t="shared" si="16"/>
        <v>25.88</v>
      </c>
      <c r="I564" s="9">
        <f>($K$2+0.02)*Tabla1[[#This Row],[PRECIO $]]*1.18</f>
        <v>20.762099999999997</v>
      </c>
      <c r="J564" s="7">
        <f>+Tabla1[[#This Row],[PRECIO EN SOLES]]-Tabla1[[#This Row],[PC]]</f>
        <v>5.1179000000000023</v>
      </c>
      <c r="K564" s="15"/>
      <c r="L564" s="15" t="str">
        <f t="shared" si="17"/>
        <v>NORMAL</v>
      </c>
    </row>
    <row r="565" spans="1:12" x14ac:dyDescent="0.25">
      <c r="A565" s="3" t="s">
        <v>1329</v>
      </c>
      <c r="B565" s="3" t="s">
        <v>1330</v>
      </c>
      <c r="C565" s="1">
        <v>20</v>
      </c>
      <c r="D565" s="1">
        <v>1870</v>
      </c>
      <c r="E565" s="1" t="s">
        <v>456</v>
      </c>
      <c r="F565" s="1" t="s">
        <v>4914</v>
      </c>
      <c r="G565" s="3" t="s">
        <v>1331</v>
      </c>
      <c r="H565" s="11">
        <f t="shared" si="16"/>
        <v>8762.69</v>
      </c>
      <c r="I565" s="9">
        <f>($K$2+0.02)*Tabla1[[#This Row],[PRECIO $]]*1.18</f>
        <v>7612.7699999999995</v>
      </c>
      <c r="J565" s="7">
        <f>+Tabla1[[#This Row],[PRECIO EN SOLES]]-Tabla1[[#This Row],[PC]]</f>
        <v>1149.920000000001</v>
      </c>
      <c r="K565" s="15"/>
      <c r="L565" s="15" t="str">
        <f t="shared" si="17"/>
        <v>NORMAL</v>
      </c>
    </row>
    <row r="566" spans="1:12" x14ac:dyDescent="0.25">
      <c r="A566" s="3" t="s">
        <v>4915</v>
      </c>
      <c r="B566" s="3" t="s">
        <v>4916</v>
      </c>
      <c r="C566" s="1">
        <v>20</v>
      </c>
      <c r="D566" s="1">
        <v>82</v>
      </c>
      <c r="E566" s="1" t="s">
        <v>340</v>
      </c>
      <c r="F566" s="1" t="s">
        <v>4917</v>
      </c>
      <c r="G566" s="3"/>
      <c r="H566" s="11">
        <f t="shared" si="16"/>
        <v>391.9</v>
      </c>
      <c r="I566" s="9">
        <f>($K$2+0.02)*Tabla1[[#This Row],[PRECIO $]]*1.18</f>
        <v>333.822</v>
      </c>
      <c r="J566" s="7">
        <f>+Tabla1[[#This Row],[PRECIO EN SOLES]]-Tabla1[[#This Row],[PC]]</f>
        <v>58.077999999999975</v>
      </c>
      <c r="K566" s="15"/>
      <c r="L566" s="15" t="str">
        <f t="shared" si="17"/>
        <v>NORMAL</v>
      </c>
    </row>
    <row r="567" spans="1:12" x14ac:dyDescent="0.25">
      <c r="A567" s="3" t="s">
        <v>1332</v>
      </c>
      <c r="B567" s="3" t="s">
        <v>1333</v>
      </c>
      <c r="C567" s="1">
        <v>20</v>
      </c>
      <c r="D567" s="1">
        <v>61.1</v>
      </c>
      <c r="E567" s="1" t="s">
        <v>340</v>
      </c>
      <c r="F567" s="1" t="s">
        <v>4918</v>
      </c>
      <c r="G567" s="3" t="s">
        <v>1334</v>
      </c>
      <c r="H567" s="11">
        <f t="shared" si="16"/>
        <v>294.05</v>
      </c>
      <c r="I567" s="9">
        <f>($K$2+0.02)*Tabla1[[#This Row],[PRECIO $]]*1.18</f>
        <v>248.7381</v>
      </c>
      <c r="J567" s="7">
        <f>+Tabla1[[#This Row],[PRECIO EN SOLES]]-Tabla1[[#This Row],[PC]]</f>
        <v>45.311900000000009</v>
      </c>
      <c r="K567" s="15"/>
      <c r="L567" s="15" t="str">
        <f t="shared" si="17"/>
        <v>NORMAL</v>
      </c>
    </row>
    <row r="568" spans="1:12" x14ac:dyDescent="0.25">
      <c r="A568" s="3" t="s">
        <v>1335</v>
      </c>
      <c r="B568" s="3" t="s">
        <v>1336</v>
      </c>
      <c r="C568" s="1">
        <v>20</v>
      </c>
      <c r="D568" s="1">
        <v>82.5</v>
      </c>
      <c r="E568" s="1" t="s">
        <v>442</v>
      </c>
      <c r="F568" s="1" t="s">
        <v>4919</v>
      </c>
      <c r="G568" s="3" t="s">
        <v>1337</v>
      </c>
      <c r="H568" s="11">
        <f t="shared" si="16"/>
        <v>394.24</v>
      </c>
      <c r="I568" s="9">
        <f>($K$2+0.02)*Tabla1[[#This Row],[PRECIO $]]*1.18</f>
        <v>335.85749999999996</v>
      </c>
      <c r="J568" s="7">
        <f>+Tabla1[[#This Row],[PRECIO EN SOLES]]-Tabla1[[#This Row],[PC]]</f>
        <v>58.38250000000005</v>
      </c>
      <c r="K568" s="15"/>
      <c r="L568" s="15" t="str">
        <f t="shared" si="17"/>
        <v>NORMAL</v>
      </c>
    </row>
    <row r="569" spans="1:12" x14ac:dyDescent="0.25">
      <c r="A569" s="3" t="s">
        <v>1338</v>
      </c>
      <c r="B569" s="3" t="s">
        <v>1339</v>
      </c>
      <c r="C569" s="1">
        <v>4</v>
      </c>
      <c r="D569" s="1">
        <v>74.400000000000006</v>
      </c>
      <c r="E569" s="1" t="s">
        <v>442</v>
      </c>
      <c r="F569" s="1" t="s">
        <v>4920</v>
      </c>
      <c r="G569" s="3" t="s">
        <v>1340</v>
      </c>
      <c r="H569" s="11">
        <f t="shared" si="16"/>
        <v>356.31</v>
      </c>
      <c r="I569" s="9">
        <f>($K$2+0.02)*Tabla1[[#This Row],[PRECIO $]]*1.18</f>
        <v>302.88240000000002</v>
      </c>
      <c r="J569" s="7">
        <f>+Tabla1[[#This Row],[PRECIO EN SOLES]]-Tabla1[[#This Row],[PC]]</f>
        <v>53.427599999999984</v>
      </c>
      <c r="K569" s="15"/>
      <c r="L569" s="15" t="str">
        <f t="shared" si="17"/>
        <v>NORMAL</v>
      </c>
    </row>
    <row r="570" spans="1:12" x14ac:dyDescent="0.25">
      <c r="A570" s="3" t="s">
        <v>1341</v>
      </c>
      <c r="B570" s="3" t="s">
        <v>1342</v>
      </c>
      <c r="C570" s="1">
        <v>20</v>
      </c>
      <c r="D570" s="1">
        <v>71.099999999999994</v>
      </c>
      <c r="E570" s="1" t="s">
        <v>442</v>
      </c>
      <c r="F570" s="1" t="s">
        <v>4921</v>
      </c>
      <c r="G570" s="3" t="s">
        <v>1343</v>
      </c>
      <c r="H570" s="11">
        <f t="shared" si="16"/>
        <v>340.87</v>
      </c>
      <c r="I570" s="9">
        <f>($K$2+0.02)*Tabla1[[#This Row],[PRECIO $]]*1.18</f>
        <v>289.44809999999995</v>
      </c>
      <c r="J570" s="7">
        <f>+Tabla1[[#This Row],[PRECIO EN SOLES]]-Tabla1[[#This Row],[PC]]</f>
        <v>51.421900000000051</v>
      </c>
      <c r="K570" s="15"/>
      <c r="L570" s="15" t="str">
        <f t="shared" si="17"/>
        <v>NORMAL</v>
      </c>
    </row>
    <row r="571" spans="1:12" x14ac:dyDescent="0.25">
      <c r="A571" s="3" t="s">
        <v>1344</v>
      </c>
      <c r="B571" s="3" t="s">
        <v>1345</v>
      </c>
      <c r="C571" s="1">
        <v>20</v>
      </c>
      <c r="D571" s="1">
        <v>57.1</v>
      </c>
      <c r="E571" s="1" t="s">
        <v>442</v>
      </c>
      <c r="F571" s="1" t="s">
        <v>4922</v>
      </c>
      <c r="G571" s="3" t="s">
        <v>1346</v>
      </c>
      <c r="H571" s="11">
        <f t="shared" si="16"/>
        <v>275.32</v>
      </c>
      <c r="I571" s="9">
        <f>($K$2+0.02)*Tabla1[[#This Row],[PRECIO $]]*1.18</f>
        <v>232.45409999999998</v>
      </c>
      <c r="J571" s="7">
        <f>+Tabla1[[#This Row],[PRECIO EN SOLES]]-Tabla1[[#This Row],[PC]]</f>
        <v>42.865900000000011</v>
      </c>
      <c r="K571" s="15"/>
      <c r="L571" s="15" t="str">
        <f t="shared" si="17"/>
        <v>NORMAL</v>
      </c>
    </row>
    <row r="572" spans="1:12" x14ac:dyDescent="0.25">
      <c r="A572" s="3" t="s">
        <v>1347</v>
      </c>
      <c r="B572" s="3" t="s">
        <v>1348</v>
      </c>
      <c r="C572" s="1">
        <v>20</v>
      </c>
      <c r="D572" s="1">
        <v>74.2</v>
      </c>
      <c r="E572" s="1" t="s">
        <v>355</v>
      </c>
      <c r="F572" s="1" t="s">
        <v>4923</v>
      </c>
      <c r="G572" s="3" t="s">
        <v>1349</v>
      </c>
      <c r="H572" s="11">
        <f t="shared" si="16"/>
        <v>355.38</v>
      </c>
      <c r="I572" s="9">
        <f>($K$2+0.02)*Tabla1[[#This Row],[PRECIO $]]*1.18</f>
        <v>302.06819999999999</v>
      </c>
      <c r="J572" s="7">
        <f>+Tabla1[[#This Row],[PRECIO EN SOLES]]-Tabla1[[#This Row],[PC]]</f>
        <v>53.311800000000005</v>
      </c>
      <c r="K572" s="15"/>
      <c r="L572" s="15" t="str">
        <f t="shared" si="17"/>
        <v>NORMAL</v>
      </c>
    </row>
    <row r="573" spans="1:12" x14ac:dyDescent="0.25">
      <c r="A573" s="3" t="s">
        <v>1350</v>
      </c>
      <c r="B573" s="3" t="s">
        <v>1351</v>
      </c>
      <c r="C573" s="1">
        <v>20</v>
      </c>
      <c r="D573" s="1">
        <v>59.95</v>
      </c>
      <c r="E573" s="1" t="s">
        <v>355</v>
      </c>
      <c r="F573" s="1" t="s">
        <v>4924</v>
      </c>
      <c r="G573" s="3" t="s">
        <v>1352</v>
      </c>
      <c r="H573" s="11">
        <f t="shared" si="16"/>
        <v>288.66000000000003</v>
      </c>
      <c r="I573" s="9">
        <f>($K$2+0.02)*Tabla1[[#This Row],[PRECIO $]]*1.18</f>
        <v>244.05645000000001</v>
      </c>
      <c r="J573" s="7">
        <f>+Tabla1[[#This Row],[PRECIO EN SOLES]]-Tabla1[[#This Row],[PC]]</f>
        <v>44.603550000000013</v>
      </c>
      <c r="K573" s="15"/>
      <c r="L573" s="15" t="str">
        <f t="shared" si="17"/>
        <v>NORMAL</v>
      </c>
    </row>
    <row r="574" spans="1:12" x14ac:dyDescent="0.25">
      <c r="A574" s="3" t="s">
        <v>1353</v>
      </c>
      <c r="B574" s="3" t="s">
        <v>1354</v>
      </c>
      <c r="C574" s="1">
        <v>11</v>
      </c>
      <c r="D574" s="1">
        <v>57.85</v>
      </c>
      <c r="E574" s="1" t="s">
        <v>355</v>
      </c>
      <c r="F574" s="1" t="s">
        <v>4925</v>
      </c>
      <c r="G574" s="3" t="s">
        <v>1355</v>
      </c>
      <c r="H574" s="11">
        <f t="shared" si="16"/>
        <v>278.83</v>
      </c>
      <c r="I574" s="9">
        <f>($K$2+0.02)*Tabla1[[#This Row],[PRECIO $]]*1.18</f>
        <v>235.50735</v>
      </c>
      <c r="J574" s="7">
        <f>+Tabla1[[#This Row],[PRECIO EN SOLES]]-Tabla1[[#This Row],[PC]]</f>
        <v>43.322649999999982</v>
      </c>
      <c r="K574" s="15"/>
      <c r="L574" s="15" t="str">
        <f t="shared" si="17"/>
        <v>NORMAL</v>
      </c>
    </row>
    <row r="575" spans="1:12" x14ac:dyDescent="0.25">
      <c r="A575" s="3" t="s">
        <v>6871</v>
      </c>
      <c r="B575" s="3" t="s">
        <v>6872</v>
      </c>
      <c r="C575" s="1">
        <v>20</v>
      </c>
      <c r="D575" s="1">
        <v>94.5</v>
      </c>
      <c r="E575" s="1" t="s">
        <v>442</v>
      </c>
      <c r="F575" s="1" t="s">
        <v>6873</v>
      </c>
      <c r="G575" s="3" t="s">
        <v>6874</v>
      </c>
      <c r="H575" s="11">
        <f t="shared" si="16"/>
        <v>450.42</v>
      </c>
      <c r="I575" s="9">
        <f>($K$2+0.02)*Tabla1[[#This Row],[PRECIO $]]*1.18</f>
        <v>384.70950000000005</v>
      </c>
      <c r="J575" s="7">
        <f>+Tabla1[[#This Row],[PRECIO EN SOLES]]-Tabla1[[#This Row],[PC]]</f>
        <v>65.710499999999968</v>
      </c>
      <c r="K575" s="15"/>
      <c r="L575" s="15" t="str">
        <f t="shared" si="17"/>
        <v>NORMAL</v>
      </c>
    </row>
    <row r="576" spans="1:12" x14ac:dyDescent="0.25">
      <c r="A576" s="3" t="s">
        <v>1356</v>
      </c>
      <c r="B576" s="3" t="s">
        <v>1357</v>
      </c>
      <c r="C576" s="1">
        <v>20</v>
      </c>
      <c r="D576" s="1">
        <v>97</v>
      </c>
      <c r="E576" s="1" t="s">
        <v>340</v>
      </c>
      <c r="F576" s="1" t="s">
        <v>4926</v>
      </c>
      <c r="G576" s="3" t="s">
        <v>1358</v>
      </c>
      <c r="H576" s="11">
        <f t="shared" si="16"/>
        <v>462.12</v>
      </c>
      <c r="I576" s="9">
        <f>($K$2+0.02)*Tabla1[[#This Row],[PRECIO $]]*1.18</f>
        <v>394.887</v>
      </c>
      <c r="J576" s="7">
        <f>+Tabla1[[#This Row],[PRECIO EN SOLES]]-Tabla1[[#This Row],[PC]]</f>
        <v>67.233000000000004</v>
      </c>
      <c r="K576" s="15"/>
      <c r="L576" s="15" t="str">
        <f t="shared" si="17"/>
        <v>NORMAL</v>
      </c>
    </row>
    <row r="577" spans="1:12" x14ac:dyDescent="0.25">
      <c r="A577" s="3" t="s">
        <v>1359</v>
      </c>
      <c r="B577" s="3" t="s">
        <v>1360</v>
      </c>
      <c r="C577" s="1">
        <v>20</v>
      </c>
      <c r="D577" s="1">
        <v>63.35</v>
      </c>
      <c r="E577" s="1" t="s">
        <v>340</v>
      </c>
      <c r="F577" s="1" t="s">
        <v>4927</v>
      </c>
      <c r="G577" s="3" t="s">
        <v>1361</v>
      </c>
      <c r="H577" s="11">
        <f t="shared" si="16"/>
        <v>304.58</v>
      </c>
      <c r="I577" s="9">
        <f>($K$2+0.02)*Tabla1[[#This Row],[PRECIO $]]*1.18</f>
        <v>257.89785000000001</v>
      </c>
      <c r="J577" s="7">
        <f>+Tabla1[[#This Row],[PRECIO EN SOLES]]-Tabla1[[#This Row],[PC]]</f>
        <v>46.682149999999979</v>
      </c>
      <c r="K577" s="15"/>
      <c r="L577" s="15" t="str">
        <f t="shared" si="17"/>
        <v>NORMAL</v>
      </c>
    </row>
    <row r="578" spans="1:12" x14ac:dyDescent="0.25">
      <c r="A578" s="3" t="s">
        <v>1362</v>
      </c>
      <c r="B578" s="3" t="s">
        <v>1363</v>
      </c>
      <c r="C578" s="1">
        <v>20</v>
      </c>
      <c r="D578" s="1">
        <v>125.6</v>
      </c>
      <c r="E578" s="1" t="s">
        <v>442</v>
      </c>
      <c r="F578" s="1" t="s">
        <v>4928</v>
      </c>
      <c r="G578" s="3"/>
      <c r="H578" s="11">
        <f t="shared" ref="H578:H641" si="18">ROUND(
IF(L578="GANCHO",
   IF(I578&lt;=50,I578*1.1+4,IF(I578&lt;=120,I578*1.1+7,IF(I578&lt;=250,I578*1.1+11,I578*1.1+19))),
IF(L578="NORMAL",
   IF(I578&lt;=30,I578*1.15+2,IF(I578&lt;=80,I578*1.15+4,IF(I578&lt;=150,I578*1.15+6,I578*1.15+8))),
IF(L578="COMPLEMENTO",
   IF(I578&lt;=25,I578*1.25+1.5,IF(I578&lt;=60,I578*1.25+3,IF(I578&lt;=120,I578*1.25+4,I578*1.25+5))),
""))),2)</f>
        <v>596.02</v>
      </c>
      <c r="I578" s="9">
        <f>($K$2+0.02)*Tabla1[[#This Row],[PRECIO $]]*1.18</f>
        <v>511.31759999999997</v>
      </c>
      <c r="J578" s="7">
        <f>+Tabla1[[#This Row],[PRECIO EN SOLES]]-Tabla1[[#This Row],[PC]]</f>
        <v>84.702400000000011</v>
      </c>
      <c r="K578" s="15"/>
      <c r="L578" s="15" t="str">
        <f t="shared" si="17"/>
        <v>NORMAL</v>
      </c>
    </row>
    <row r="579" spans="1:12" x14ac:dyDescent="0.25">
      <c r="A579" s="3" t="s">
        <v>1364</v>
      </c>
      <c r="B579" s="3" t="s">
        <v>1365</v>
      </c>
      <c r="C579" s="1">
        <v>20</v>
      </c>
      <c r="D579" s="1">
        <v>89.5</v>
      </c>
      <c r="E579" s="1" t="s">
        <v>442</v>
      </c>
      <c r="F579" s="1" t="s">
        <v>4929</v>
      </c>
      <c r="G579" s="3" t="s">
        <v>1366</v>
      </c>
      <c r="H579" s="11">
        <f t="shared" si="18"/>
        <v>427.01</v>
      </c>
      <c r="I579" s="9">
        <f>($K$2+0.02)*Tabla1[[#This Row],[PRECIO $]]*1.18</f>
        <v>364.35450000000003</v>
      </c>
      <c r="J579" s="7">
        <f>+Tabla1[[#This Row],[PRECIO EN SOLES]]-Tabla1[[#This Row],[PC]]</f>
        <v>62.655499999999961</v>
      </c>
      <c r="K579" s="15"/>
      <c r="L579" s="15" t="str">
        <f t="shared" ref="L579:L642" si="19">IF(
OR(
ISNUMBER(SEARCH("BACKPACK",B579)),
ISNUMBER(SEARCH("MOCHILA",B579)),
ISNUMBER(SEARCH("FUNDA",B579)),
ISNUMBER(SEARCH("ESTUCHE",B579)),
ISNUMBER(SEARCH("BOOK COVER",B579)),
ISNUMBER(SEARCH("KEYBOARD PARA TABLET",B579)),
ISNUMBER(SEARCH("FLIP TABLET",B579)),
ISNUMBER(SEARCH("CASE FOR TABLET",B579)),
ISNUMBER(SEARCH("CABLE",B579)),
ISNUMBER(SEARCH("ADAPTADOR",B579)),
ISNUMBER(SEARCH("HUB",B579)),
ISNUMBER(SEARCH("DOCK",B579)),
ISNUMBER(SEARCH("MOUSE PAD",B579)),
ISNUMBER(SEARCH("MOUSEPAD",B579)),
ISNUMBER(SEARCH("SOPORTE",B579)),
ISNUMBER(SEARCH("STAND",B579)),
ISNUMBER(SEARCH("TRAVEL ADAPTER",B579)),
ISNUMBER(SEARCH("RJ45",B579)),
ISNUMBER(SEARCH("USB-C",B579)),
ISNUMBER(SEARCH("USB WIFI",B579)),
ISNUMBER(SEARCH("POWERBANK",B579)),
ISNUMBER(SEARCH("CARGADOR",B579)),
ISNUMBER(SEARCH("COOLER PARA NB",B579)),
ISNUMBER(SEARCH("SOPORTE PARA NB",B579)),
ISNUMBER(SEARCH("WEBCAM",B579)),
ISNUMBER(SEARCH("WEB CAM",B579)),
ISNUMBER(SEARCH("MOUSE",B579)),
ISNUMBER(SEARCH("TECLADO",B579))
),
"COMPLEMENTO",
IF(
OR(
LEFT(A579,2)="NB",
LEFT(A579,2)="PC",
LEFT(A579,2)="WS",
LEFT(A579,2)="TB",
LEFT(A579,3)="CEL",
LEFT(A579,3)="MON",
LEFT(A579,3)="PRE",
LEFT(A579,3)="PRH",
ISNUMBER(SEARCH("NOTEBOOK",B579)),
ISNUMBER(SEARCH("LAPTOP",B579)),
ISNUMBER(SEARCH("MONITOR",B579)),
ISNUMBER(SEARCH("TABLET",B579)),
ISNUMBER(SEARCH("SMARTPH",B579)),
ISNUMBER(SEARCH("IMPRESORA",B579)),
ISNUMBER(SEARCH("MULTIFUNCIONAL",B579)),
ISNUMBER(SEARCH("AIO",B579))
),
"GANCHO",
"NORMAL"
)
)</f>
        <v>NORMAL</v>
      </c>
    </row>
    <row r="580" spans="1:12" x14ac:dyDescent="0.25">
      <c r="A580" s="3" t="s">
        <v>1367</v>
      </c>
      <c r="B580" s="3" t="s">
        <v>1368</v>
      </c>
      <c r="C580" s="1">
        <v>7</v>
      </c>
      <c r="D580" s="1">
        <v>110.6</v>
      </c>
      <c r="E580" s="1" t="s">
        <v>442</v>
      </c>
      <c r="F580" s="1" t="s">
        <v>4930</v>
      </c>
      <c r="G580" s="3" t="s">
        <v>1369</v>
      </c>
      <c r="H580" s="11">
        <f t="shared" si="18"/>
        <v>525.79</v>
      </c>
      <c r="I580" s="9">
        <f>($K$2+0.02)*Tabla1[[#This Row],[PRECIO $]]*1.18</f>
        <v>450.25259999999997</v>
      </c>
      <c r="J580" s="7">
        <f>+Tabla1[[#This Row],[PRECIO EN SOLES]]-Tabla1[[#This Row],[PC]]</f>
        <v>75.537399999999991</v>
      </c>
      <c r="K580" s="15"/>
      <c r="L580" s="15" t="str">
        <f t="shared" si="19"/>
        <v>NORMAL</v>
      </c>
    </row>
    <row r="581" spans="1:12" x14ac:dyDescent="0.25">
      <c r="A581" s="3" t="s">
        <v>1370</v>
      </c>
      <c r="B581" s="3" t="s">
        <v>1371</v>
      </c>
      <c r="C581" s="1">
        <v>20</v>
      </c>
      <c r="D581" s="1">
        <v>84.1</v>
      </c>
      <c r="E581" s="1" t="s">
        <v>442</v>
      </c>
      <c r="F581" s="1" t="s">
        <v>4931</v>
      </c>
      <c r="G581" s="3" t="s">
        <v>1372</v>
      </c>
      <c r="H581" s="11">
        <f t="shared" si="18"/>
        <v>401.73</v>
      </c>
      <c r="I581" s="9">
        <f>($K$2+0.02)*Tabla1[[#This Row],[PRECIO $]]*1.18</f>
        <v>342.37109999999996</v>
      </c>
      <c r="J581" s="7">
        <f>+Tabla1[[#This Row],[PRECIO EN SOLES]]-Tabla1[[#This Row],[PC]]</f>
        <v>59.358900000000062</v>
      </c>
      <c r="K581" s="15"/>
      <c r="L581" s="15" t="str">
        <f t="shared" si="19"/>
        <v>NORMAL</v>
      </c>
    </row>
    <row r="582" spans="1:12" x14ac:dyDescent="0.25">
      <c r="A582" s="3" t="s">
        <v>1373</v>
      </c>
      <c r="B582" s="3" t="s">
        <v>1374</v>
      </c>
      <c r="C582" s="1">
        <v>20</v>
      </c>
      <c r="D582" s="1">
        <v>59.9</v>
      </c>
      <c r="E582" s="1" t="s">
        <v>442</v>
      </c>
      <c r="F582" s="1" t="s">
        <v>4932</v>
      </c>
      <c r="G582" s="3" t="s">
        <v>1375</v>
      </c>
      <c r="H582" s="11">
        <f t="shared" si="18"/>
        <v>288.43</v>
      </c>
      <c r="I582" s="9">
        <f>($K$2+0.02)*Tabla1[[#This Row],[PRECIO $]]*1.18</f>
        <v>243.85289999999998</v>
      </c>
      <c r="J582" s="7">
        <f>+Tabla1[[#This Row],[PRECIO EN SOLES]]-Tabla1[[#This Row],[PC]]</f>
        <v>44.57710000000003</v>
      </c>
      <c r="K582" s="15"/>
      <c r="L582" s="15" t="str">
        <f t="shared" si="19"/>
        <v>NORMAL</v>
      </c>
    </row>
    <row r="583" spans="1:12" x14ac:dyDescent="0.25">
      <c r="A583" s="3" t="s">
        <v>1376</v>
      </c>
      <c r="B583" s="3" t="s">
        <v>1377</v>
      </c>
      <c r="C583" s="1">
        <v>20</v>
      </c>
      <c r="D583" s="1">
        <v>86.5</v>
      </c>
      <c r="E583" s="1" t="s">
        <v>355</v>
      </c>
      <c r="F583" s="1" t="s">
        <v>4933</v>
      </c>
      <c r="G583" s="3" t="s">
        <v>1378</v>
      </c>
      <c r="H583" s="11">
        <f t="shared" si="18"/>
        <v>412.96</v>
      </c>
      <c r="I583" s="9">
        <f>($K$2+0.02)*Tabla1[[#This Row],[PRECIO $]]*1.18</f>
        <v>352.14150000000001</v>
      </c>
      <c r="J583" s="7">
        <f>+Tabla1[[#This Row],[PRECIO EN SOLES]]-Tabla1[[#This Row],[PC]]</f>
        <v>60.818499999999972</v>
      </c>
      <c r="K583" s="15"/>
      <c r="L583" s="15" t="str">
        <f t="shared" si="19"/>
        <v>NORMAL</v>
      </c>
    </row>
    <row r="584" spans="1:12" x14ac:dyDescent="0.25">
      <c r="A584" s="3" t="s">
        <v>4934</v>
      </c>
      <c r="B584" s="3" t="s">
        <v>4935</v>
      </c>
      <c r="C584" s="1">
        <v>14</v>
      </c>
      <c r="D584" s="1">
        <v>60.65</v>
      </c>
      <c r="E584" s="1" t="s">
        <v>355</v>
      </c>
      <c r="F584" s="1" t="s">
        <v>4936</v>
      </c>
      <c r="G584" s="3" t="s">
        <v>4937</v>
      </c>
      <c r="H584" s="11">
        <f t="shared" si="18"/>
        <v>291.94</v>
      </c>
      <c r="I584" s="9">
        <f>($K$2+0.02)*Tabla1[[#This Row],[PRECIO $]]*1.18</f>
        <v>246.90615</v>
      </c>
      <c r="J584" s="7">
        <f>+Tabla1[[#This Row],[PRECIO EN SOLES]]-Tabla1[[#This Row],[PC]]</f>
        <v>45.033850000000001</v>
      </c>
      <c r="K584" s="15"/>
      <c r="L584" s="15" t="str">
        <f t="shared" si="19"/>
        <v>NORMAL</v>
      </c>
    </row>
    <row r="585" spans="1:12" x14ac:dyDescent="0.25">
      <c r="A585" s="3" t="s">
        <v>1379</v>
      </c>
      <c r="B585" s="3" t="s">
        <v>1380</v>
      </c>
      <c r="C585" s="1">
        <v>18</v>
      </c>
      <c r="D585" s="1">
        <v>174.5</v>
      </c>
      <c r="E585" s="1" t="s">
        <v>340</v>
      </c>
      <c r="F585" s="1" t="s">
        <v>4938</v>
      </c>
      <c r="G585" s="3" t="s">
        <v>1381</v>
      </c>
      <c r="H585" s="11">
        <f t="shared" si="18"/>
        <v>824.95</v>
      </c>
      <c r="I585" s="9">
        <f>($K$2+0.02)*Tabla1[[#This Row],[PRECIO $]]*1.18</f>
        <v>710.38949999999988</v>
      </c>
      <c r="J585" s="7">
        <f>+Tabla1[[#This Row],[PRECIO EN SOLES]]-Tabla1[[#This Row],[PC]]</f>
        <v>114.56050000000016</v>
      </c>
      <c r="K585" s="15"/>
      <c r="L585" s="15" t="str">
        <f t="shared" si="19"/>
        <v>NORMAL</v>
      </c>
    </row>
    <row r="586" spans="1:12" x14ac:dyDescent="0.25">
      <c r="A586" s="3" t="s">
        <v>1382</v>
      </c>
      <c r="B586" s="3" t="s">
        <v>1383</v>
      </c>
      <c r="C586" s="1">
        <v>20</v>
      </c>
      <c r="D586" s="1">
        <v>161.9</v>
      </c>
      <c r="E586" s="1" t="s">
        <v>340</v>
      </c>
      <c r="F586" s="1" t="s">
        <v>4939</v>
      </c>
      <c r="G586" s="3" t="s">
        <v>1384</v>
      </c>
      <c r="H586" s="11">
        <f t="shared" si="18"/>
        <v>765.96</v>
      </c>
      <c r="I586" s="9">
        <f>($K$2+0.02)*Tabla1[[#This Row],[PRECIO $]]*1.18</f>
        <v>659.09490000000005</v>
      </c>
      <c r="J586" s="7">
        <f>+Tabla1[[#This Row],[PRECIO EN SOLES]]-Tabla1[[#This Row],[PC]]</f>
        <v>106.86509999999998</v>
      </c>
      <c r="K586" s="15"/>
      <c r="L586" s="15" t="str">
        <f t="shared" si="19"/>
        <v>NORMAL</v>
      </c>
    </row>
    <row r="587" spans="1:12" x14ac:dyDescent="0.25">
      <c r="A587" s="3" t="s">
        <v>1385</v>
      </c>
      <c r="B587" s="3" t="s">
        <v>1386</v>
      </c>
      <c r="C587" s="1">
        <v>0</v>
      </c>
      <c r="D587" s="1">
        <v>178.5</v>
      </c>
      <c r="E587" s="1" t="s">
        <v>442</v>
      </c>
      <c r="F587" s="1" t="s">
        <v>4940</v>
      </c>
      <c r="G587" s="3" t="s">
        <v>1387</v>
      </c>
      <c r="H587" s="11">
        <f t="shared" si="18"/>
        <v>843.67</v>
      </c>
      <c r="I587" s="9">
        <f>($K$2+0.02)*Tabla1[[#This Row],[PRECIO $]]*1.18</f>
        <v>726.67349999999999</v>
      </c>
      <c r="J587" s="7">
        <f>+Tabla1[[#This Row],[PRECIO EN SOLES]]-Tabla1[[#This Row],[PC]]</f>
        <v>116.99649999999997</v>
      </c>
      <c r="K587" s="15"/>
      <c r="L587" s="15" t="str">
        <f t="shared" si="19"/>
        <v>NORMAL</v>
      </c>
    </row>
    <row r="588" spans="1:12" x14ac:dyDescent="0.25">
      <c r="A588" s="3" t="s">
        <v>1388</v>
      </c>
      <c r="B588" s="3" t="s">
        <v>1389</v>
      </c>
      <c r="C588" s="1">
        <v>5</v>
      </c>
      <c r="D588" s="1">
        <v>243.5</v>
      </c>
      <c r="E588" s="1" t="s">
        <v>442</v>
      </c>
      <c r="F588" s="1" t="s">
        <v>4941</v>
      </c>
      <c r="G588" s="3" t="s">
        <v>1390</v>
      </c>
      <c r="H588" s="11">
        <f t="shared" si="18"/>
        <v>1147.98</v>
      </c>
      <c r="I588" s="9">
        <f>($K$2+0.02)*Tabla1[[#This Row],[PRECIO $]]*1.18</f>
        <v>991.2885</v>
      </c>
      <c r="J588" s="7">
        <f>+Tabla1[[#This Row],[PRECIO EN SOLES]]-Tabla1[[#This Row],[PC]]</f>
        <v>156.69150000000002</v>
      </c>
      <c r="K588" s="15"/>
      <c r="L588" s="15" t="str">
        <f t="shared" si="19"/>
        <v>NORMAL</v>
      </c>
    </row>
    <row r="589" spans="1:12" x14ac:dyDescent="0.25">
      <c r="A589" s="3" t="s">
        <v>6875</v>
      </c>
      <c r="B589" s="3" t="s">
        <v>6876</v>
      </c>
      <c r="C589" s="1">
        <v>15</v>
      </c>
      <c r="D589" s="1">
        <v>170.5</v>
      </c>
      <c r="E589" s="1" t="s">
        <v>442</v>
      </c>
      <c r="F589" s="1" t="s">
        <v>6877</v>
      </c>
      <c r="G589" s="3" t="s">
        <v>6878</v>
      </c>
      <c r="H589" s="11">
        <f t="shared" si="18"/>
        <v>806.22</v>
      </c>
      <c r="I589" s="9">
        <f>($K$2+0.02)*Tabla1[[#This Row],[PRECIO $]]*1.18</f>
        <v>694.10550000000001</v>
      </c>
      <c r="J589" s="7">
        <f>+Tabla1[[#This Row],[PRECIO EN SOLES]]-Tabla1[[#This Row],[PC]]</f>
        <v>112.11450000000002</v>
      </c>
      <c r="K589" s="15"/>
      <c r="L589" s="15" t="str">
        <f t="shared" si="19"/>
        <v>NORMAL</v>
      </c>
    </row>
    <row r="590" spans="1:12" x14ac:dyDescent="0.25">
      <c r="A590" s="3" t="s">
        <v>1391</v>
      </c>
      <c r="B590" s="3" t="s">
        <v>1392</v>
      </c>
      <c r="C590" s="1">
        <v>15</v>
      </c>
      <c r="D590" s="1">
        <v>211</v>
      </c>
      <c r="E590" s="1" t="s">
        <v>442</v>
      </c>
      <c r="F590" s="1" t="s">
        <v>4942</v>
      </c>
      <c r="G590" s="3" t="s">
        <v>1393</v>
      </c>
      <c r="H590" s="11">
        <f t="shared" si="18"/>
        <v>995.83</v>
      </c>
      <c r="I590" s="9">
        <f>($K$2+0.02)*Tabla1[[#This Row],[PRECIO $]]*1.18</f>
        <v>858.98099999999999</v>
      </c>
      <c r="J590" s="7">
        <f>+Tabla1[[#This Row],[PRECIO EN SOLES]]-Tabla1[[#This Row],[PC]]</f>
        <v>136.84900000000005</v>
      </c>
      <c r="K590" s="15"/>
      <c r="L590" s="15" t="str">
        <f t="shared" si="19"/>
        <v>NORMAL</v>
      </c>
    </row>
    <row r="591" spans="1:12" x14ac:dyDescent="0.25">
      <c r="A591" s="3" t="s">
        <v>6879</v>
      </c>
      <c r="B591" s="3" t="s">
        <v>6880</v>
      </c>
      <c r="C591" s="1">
        <v>12</v>
      </c>
      <c r="D591" s="1">
        <v>217.5</v>
      </c>
      <c r="E591" s="1" t="s">
        <v>442</v>
      </c>
      <c r="F591" s="1" t="s">
        <v>6881</v>
      </c>
      <c r="G591" s="3" t="s">
        <v>6882</v>
      </c>
      <c r="H591" s="11">
        <f t="shared" si="18"/>
        <v>1026.26</v>
      </c>
      <c r="I591" s="9">
        <f>($K$2+0.02)*Tabla1[[#This Row],[PRECIO $]]*1.18</f>
        <v>885.4425</v>
      </c>
      <c r="J591" s="7">
        <f>+Tabla1[[#This Row],[PRECIO EN SOLES]]-Tabla1[[#This Row],[PC]]</f>
        <v>140.8175</v>
      </c>
      <c r="K591" s="15"/>
      <c r="L591" s="15" t="str">
        <f t="shared" si="19"/>
        <v>NORMAL</v>
      </c>
    </row>
    <row r="592" spans="1:12" x14ac:dyDescent="0.25">
      <c r="A592" s="3" t="s">
        <v>1394</v>
      </c>
      <c r="B592" s="3" t="s">
        <v>1395</v>
      </c>
      <c r="C592" s="1">
        <v>20</v>
      </c>
      <c r="D592" s="1">
        <v>91.5</v>
      </c>
      <c r="E592" s="1" t="s">
        <v>456</v>
      </c>
      <c r="F592" s="1" t="s">
        <v>4943</v>
      </c>
      <c r="G592" s="3" t="s">
        <v>1396</v>
      </c>
      <c r="H592" s="11">
        <f t="shared" si="18"/>
        <v>436.37</v>
      </c>
      <c r="I592" s="9">
        <f>($K$2+0.02)*Tabla1[[#This Row],[PRECIO $]]*1.18</f>
        <v>372.49649999999997</v>
      </c>
      <c r="J592" s="7">
        <f>+Tabla1[[#This Row],[PRECIO EN SOLES]]-Tabla1[[#This Row],[PC]]</f>
        <v>63.873500000000035</v>
      </c>
      <c r="K592" s="15"/>
      <c r="L592" s="15" t="str">
        <f t="shared" si="19"/>
        <v>NORMAL</v>
      </c>
    </row>
    <row r="593" spans="1:12" x14ac:dyDescent="0.25">
      <c r="A593" s="3" t="s">
        <v>1397</v>
      </c>
      <c r="B593" s="3" t="s">
        <v>1398</v>
      </c>
      <c r="C593" s="1">
        <v>0</v>
      </c>
      <c r="D593" s="1">
        <v>107.8</v>
      </c>
      <c r="E593" s="1" t="s">
        <v>456</v>
      </c>
      <c r="F593" s="1" t="s">
        <v>4944</v>
      </c>
      <c r="G593" s="3"/>
      <c r="H593" s="11">
        <f t="shared" si="18"/>
        <v>512.67999999999995</v>
      </c>
      <c r="I593" s="9">
        <f>($K$2+0.02)*Tabla1[[#This Row],[PRECIO $]]*1.18</f>
        <v>438.85379999999998</v>
      </c>
      <c r="J593" s="7">
        <f>+Tabla1[[#This Row],[PRECIO EN SOLES]]-Tabla1[[#This Row],[PC]]</f>
        <v>73.826199999999972</v>
      </c>
      <c r="K593" s="15"/>
      <c r="L593" s="15" t="str">
        <f t="shared" si="19"/>
        <v>NORMAL</v>
      </c>
    </row>
    <row r="594" spans="1:12" x14ac:dyDescent="0.25">
      <c r="A594" s="3" t="s">
        <v>1399</v>
      </c>
      <c r="B594" s="3" t="s">
        <v>1400</v>
      </c>
      <c r="C594" s="1">
        <v>6</v>
      </c>
      <c r="D594" s="1">
        <v>124.5</v>
      </c>
      <c r="E594" s="1" t="s">
        <v>456</v>
      </c>
      <c r="F594" s="1" t="s">
        <v>4945</v>
      </c>
      <c r="G594" s="3"/>
      <c r="H594" s="11">
        <f t="shared" si="18"/>
        <v>590.87</v>
      </c>
      <c r="I594" s="9">
        <f>($K$2+0.02)*Tabla1[[#This Row],[PRECIO $]]*1.18</f>
        <v>506.83949999999999</v>
      </c>
      <c r="J594" s="7">
        <f>+Tabla1[[#This Row],[PRECIO EN SOLES]]-Tabla1[[#This Row],[PC]]</f>
        <v>84.030500000000018</v>
      </c>
      <c r="K594" s="15"/>
      <c r="L594" s="15" t="str">
        <f t="shared" si="19"/>
        <v>NORMAL</v>
      </c>
    </row>
    <row r="595" spans="1:12" x14ac:dyDescent="0.25">
      <c r="A595" s="3" t="s">
        <v>1401</v>
      </c>
      <c r="B595" s="3" t="s">
        <v>1402</v>
      </c>
      <c r="C595" s="1">
        <v>20</v>
      </c>
      <c r="D595" s="1">
        <v>85.25</v>
      </c>
      <c r="E595" s="1" t="s">
        <v>456</v>
      </c>
      <c r="F595" s="1" t="s">
        <v>4946</v>
      </c>
      <c r="G595" s="3" t="s">
        <v>1403</v>
      </c>
      <c r="H595" s="11">
        <f t="shared" si="18"/>
        <v>407.11</v>
      </c>
      <c r="I595" s="9">
        <f>($K$2+0.02)*Tabla1[[#This Row],[PRECIO $]]*1.18</f>
        <v>347.05275</v>
      </c>
      <c r="J595" s="7">
        <f>+Tabla1[[#This Row],[PRECIO EN SOLES]]-Tabla1[[#This Row],[PC]]</f>
        <v>60.05725000000001</v>
      </c>
      <c r="K595" s="15"/>
      <c r="L595" s="15" t="str">
        <f t="shared" si="19"/>
        <v>NORMAL</v>
      </c>
    </row>
    <row r="596" spans="1:12" x14ac:dyDescent="0.25">
      <c r="A596" s="3" t="s">
        <v>6883</v>
      </c>
      <c r="B596" s="3" t="s">
        <v>6884</v>
      </c>
      <c r="C596" s="1">
        <v>3</v>
      </c>
      <c r="D596" s="1">
        <v>108.1</v>
      </c>
      <c r="E596" s="1" t="s">
        <v>340</v>
      </c>
      <c r="F596" s="1" t="s">
        <v>6885</v>
      </c>
      <c r="G596" s="3" t="s">
        <v>6886</v>
      </c>
      <c r="H596" s="11">
        <f t="shared" si="18"/>
        <v>514.09</v>
      </c>
      <c r="I596" s="9">
        <f>($K$2+0.02)*Tabla1[[#This Row],[PRECIO $]]*1.18</f>
        <v>440.07509999999996</v>
      </c>
      <c r="J596" s="7">
        <f>+Tabla1[[#This Row],[PRECIO EN SOLES]]-Tabla1[[#This Row],[PC]]</f>
        <v>74.014900000000068</v>
      </c>
      <c r="K596" s="15"/>
      <c r="L596" s="15" t="str">
        <f t="shared" si="19"/>
        <v>NORMAL</v>
      </c>
    </row>
    <row r="597" spans="1:12" x14ac:dyDescent="0.25">
      <c r="A597" s="3" t="s">
        <v>1404</v>
      </c>
      <c r="B597" s="3" t="s">
        <v>1405</v>
      </c>
      <c r="C597" s="1">
        <v>20</v>
      </c>
      <c r="D597" s="1">
        <v>87.08</v>
      </c>
      <c r="E597" s="1" t="s">
        <v>340</v>
      </c>
      <c r="F597" s="1" t="s">
        <v>4947</v>
      </c>
      <c r="G597" s="3" t="s">
        <v>1406</v>
      </c>
      <c r="H597" s="11">
        <f t="shared" si="18"/>
        <v>415.68</v>
      </c>
      <c r="I597" s="9">
        <f>($K$2+0.02)*Tabla1[[#This Row],[PRECIO $]]*1.18</f>
        <v>354.50267999999994</v>
      </c>
      <c r="J597" s="7">
        <f>+Tabla1[[#This Row],[PRECIO EN SOLES]]-Tabla1[[#This Row],[PC]]</f>
        <v>61.177320000000066</v>
      </c>
      <c r="K597" s="15"/>
      <c r="L597" s="15" t="str">
        <f t="shared" si="19"/>
        <v>NORMAL</v>
      </c>
    </row>
    <row r="598" spans="1:12" x14ac:dyDescent="0.25">
      <c r="A598" s="3" t="s">
        <v>1407</v>
      </c>
      <c r="B598" s="3" t="s">
        <v>1408</v>
      </c>
      <c r="C598" s="1">
        <v>9</v>
      </c>
      <c r="D598" s="1">
        <v>237.5</v>
      </c>
      <c r="E598" s="1" t="s">
        <v>340</v>
      </c>
      <c r="F598" s="1" t="s">
        <v>4948</v>
      </c>
      <c r="G598" s="3" t="s">
        <v>1409</v>
      </c>
      <c r="H598" s="11">
        <f t="shared" si="18"/>
        <v>1119.8900000000001</v>
      </c>
      <c r="I598" s="9">
        <f>($K$2+0.02)*Tabla1[[#This Row],[PRECIO $]]*1.18</f>
        <v>966.86249999999995</v>
      </c>
      <c r="J598" s="7">
        <f>+Tabla1[[#This Row],[PRECIO EN SOLES]]-Tabla1[[#This Row],[PC]]</f>
        <v>153.02750000000015</v>
      </c>
      <c r="K598" s="15"/>
      <c r="L598" s="15" t="str">
        <f t="shared" si="19"/>
        <v>NORMAL</v>
      </c>
    </row>
    <row r="599" spans="1:12" x14ac:dyDescent="0.25">
      <c r="A599" s="3" t="s">
        <v>1410</v>
      </c>
      <c r="B599" s="3" t="s">
        <v>1411</v>
      </c>
      <c r="C599" s="1">
        <v>20</v>
      </c>
      <c r="D599" s="1">
        <v>118.6</v>
      </c>
      <c r="E599" s="1" t="s">
        <v>442</v>
      </c>
      <c r="F599" s="1" t="s">
        <v>4949</v>
      </c>
      <c r="G599" s="3" t="s">
        <v>1412</v>
      </c>
      <c r="H599" s="11">
        <f t="shared" si="18"/>
        <v>563.24</v>
      </c>
      <c r="I599" s="9">
        <f>($K$2+0.02)*Tabla1[[#This Row],[PRECIO $]]*1.18</f>
        <v>482.82060000000001</v>
      </c>
      <c r="J599" s="7">
        <f>+Tabla1[[#This Row],[PRECIO EN SOLES]]-Tabla1[[#This Row],[PC]]</f>
        <v>80.419399999999996</v>
      </c>
      <c r="K599" s="15"/>
      <c r="L599" s="15" t="str">
        <f t="shared" si="19"/>
        <v>NORMAL</v>
      </c>
    </row>
    <row r="600" spans="1:12" x14ac:dyDescent="0.25">
      <c r="A600" s="3" t="s">
        <v>6887</v>
      </c>
      <c r="B600" s="3" t="s">
        <v>6888</v>
      </c>
      <c r="C600" s="1">
        <v>20</v>
      </c>
      <c r="D600" s="1">
        <v>103.2</v>
      </c>
      <c r="E600" s="1" t="s">
        <v>442</v>
      </c>
      <c r="F600" s="1" t="s">
        <v>6889</v>
      </c>
      <c r="G600" s="3" t="s">
        <v>6890</v>
      </c>
      <c r="H600" s="11">
        <f t="shared" si="18"/>
        <v>491.15</v>
      </c>
      <c r="I600" s="9">
        <f>($K$2+0.02)*Tabla1[[#This Row],[PRECIO $]]*1.18</f>
        <v>420.12720000000002</v>
      </c>
      <c r="J600" s="7">
        <f>+Tabla1[[#This Row],[PRECIO EN SOLES]]-Tabla1[[#This Row],[PC]]</f>
        <v>71.022799999999961</v>
      </c>
      <c r="K600" s="15"/>
      <c r="L600" s="15" t="str">
        <f t="shared" si="19"/>
        <v>NORMAL</v>
      </c>
    </row>
    <row r="601" spans="1:12" x14ac:dyDescent="0.25">
      <c r="A601" s="3" t="s">
        <v>1413</v>
      </c>
      <c r="B601" s="3" t="s">
        <v>1414</v>
      </c>
      <c r="C601" s="1">
        <v>19</v>
      </c>
      <c r="D601" s="1">
        <v>96.5</v>
      </c>
      <c r="E601" s="1" t="s">
        <v>442</v>
      </c>
      <c r="F601" s="1" t="s">
        <v>4950</v>
      </c>
      <c r="G601" s="3" t="s">
        <v>1415</v>
      </c>
      <c r="H601" s="11">
        <f t="shared" si="18"/>
        <v>459.78</v>
      </c>
      <c r="I601" s="9">
        <f>($K$2+0.02)*Tabla1[[#This Row],[PRECIO $]]*1.18</f>
        <v>392.85149999999999</v>
      </c>
      <c r="J601" s="7">
        <f>+Tabla1[[#This Row],[PRECIO EN SOLES]]-Tabla1[[#This Row],[PC]]</f>
        <v>66.928499999999985</v>
      </c>
      <c r="K601" s="15"/>
      <c r="L601" s="15" t="str">
        <f t="shared" si="19"/>
        <v>NORMAL</v>
      </c>
    </row>
    <row r="602" spans="1:12" x14ac:dyDescent="0.25">
      <c r="A602" s="3" t="s">
        <v>1416</v>
      </c>
      <c r="B602" s="3" t="s">
        <v>1417</v>
      </c>
      <c r="C602" s="1">
        <v>20</v>
      </c>
      <c r="D602" s="1">
        <v>94</v>
      </c>
      <c r="E602" s="1" t="s">
        <v>442</v>
      </c>
      <c r="F602" s="1" t="s">
        <v>4951</v>
      </c>
      <c r="G602" s="3" t="s">
        <v>1418</v>
      </c>
      <c r="H602" s="11">
        <f t="shared" si="18"/>
        <v>448.08</v>
      </c>
      <c r="I602" s="9">
        <f>($K$2+0.02)*Tabla1[[#This Row],[PRECIO $]]*1.18</f>
        <v>382.67399999999998</v>
      </c>
      <c r="J602" s="7">
        <f>+Tabla1[[#This Row],[PRECIO EN SOLES]]-Tabla1[[#This Row],[PC]]</f>
        <v>65.406000000000006</v>
      </c>
      <c r="K602" s="15"/>
      <c r="L602" s="15" t="str">
        <f t="shared" si="19"/>
        <v>NORMAL</v>
      </c>
    </row>
    <row r="603" spans="1:12" x14ac:dyDescent="0.25">
      <c r="A603" s="3" t="s">
        <v>1419</v>
      </c>
      <c r="B603" s="3" t="s">
        <v>1420</v>
      </c>
      <c r="C603" s="1">
        <v>20</v>
      </c>
      <c r="D603" s="1">
        <v>77.5</v>
      </c>
      <c r="E603" s="1" t="s">
        <v>442</v>
      </c>
      <c r="F603" s="1" t="s">
        <v>4952</v>
      </c>
      <c r="G603" s="3" t="s">
        <v>1421</v>
      </c>
      <c r="H603" s="11">
        <f t="shared" si="18"/>
        <v>370.83</v>
      </c>
      <c r="I603" s="9">
        <f>($K$2+0.02)*Tabla1[[#This Row],[PRECIO $]]*1.18</f>
        <v>315.5025</v>
      </c>
      <c r="J603" s="7">
        <f>+Tabla1[[#This Row],[PRECIO EN SOLES]]-Tabla1[[#This Row],[PC]]</f>
        <v>55.327499999999986</v>
      </c>
      <c r="K603" s="15"/>
      <c r="L603" s="15" t="str">
        <f t="shared" si="19"/>
        <v>NORMAL</v>
      </c>
    </row>
    <row r="604" spans="1:12" x14ac:dyDescent="0.25">
      <c r="A604" s="3" t="s">
        <v>1422</v>
      </c>
      <c r="B604" s="3" t="s">
        <v>1423</v>
      </c>
      <c r="C604" s="1">
        <v>1</v>
      </c>
      <c r="D604" s="1">
        <v>950</v>
      </c>
      <c r="E604" s="1" t="s">
        <v>442</v>
      </c>
      <c r="F604" s="1" t="s">
        <v>4953</v>
      </c>
      <c r="G604" s="3"/>
      <c r="H604" s="11">
        <f t="shared" si="18"/>
        <v>4455.57</v>
      </c>
      <c r="I604" s="9">
        <f>($K$2+0.02)*Tabla1[[#This Row],[PRECIO $]]*1.18</f>
        <v>3867.45</v>
      </c>
      <c r="J604" s="7">
        <f>+Tabla1[[#This Row],[PRECIO EN SOLES]]-Tabla1[[#This Row],[PC]]</f>
        <v>588.11999999999989</v>
      </c>
      <c r="K604" s="15"/>
      <c r="L604" s="15" t="str">
        <f t="shared" si="19"/>
        <v>NORMAL</v>
      </c>
    </row>
    <row r="605" spans="1:12" x14ac:dyDescent="0.25">
      <c r="A605" s="3" t="s">
        <v>1424</v>
      </c>
      <c r="B605" s="3" t="s">
        <v>1425</v>
      </c>
      <c r="C605" s="1">
        <v>20</v>
      </c>
      <c r="D605" s="1">
        <v>221</v>
      </c>
      <c r="E605" s="1" t="s">
        <v>442</v>
      </c>
      <c r="F605" s="1" t="s">
        <v>4954</v>
      </c>
      <c r="G605" s="3" t="s">
        <v>1426</v>
      </c>
      <c r="H605" s="11">
        <f t="shared" si="18"/>
        <v>1042.6400000000001</v>
      </c>
      <c r="I605" s="9">
        <f>($K$2+0.02)*Tabla1[[#This Row],[PRECIO $]]*1.18</f>
        <v>899.69100000000003</v>
      </c>
      <c r="J605" s="7">
        <f>+Tabla1[[#This Row],[PRECIO EN SOLES]]-Tabla1[[#This Row],[PC]]</f>
        <v>142.94900000000007</v>
      </c>
      <c r="K605" s="15"/>
      <c r="L605" s="15" t="str">
        <f t="shared" si="19"/>
        <v>NORMAL</v>
      </c>
    </row>
    <row r="606" spans="1:12" x14ac:dyDescent="0.25">
      <c r="A606" s="3" t="s">
        <v>1427</v>
      </c>
      <c r="B606" s="3" t="s">
        <v>1428</v>
      </c>
      <c r="C606" s="1">
        <v>20</v>
      </c>
      <c r="D606" s="1">
        <v>95.75</v>
      </c>
      <c r="E606" s="1" t="s">
        <v>355</v>
      </c>
      <c r="F606" s="1" t="s">
        <v>4955</v>
      </c>
      <c r="G606" s="3"/>
      <c r="H606" s="11">
        <f t="shared" si="18"/>
        <v>456.27</v>
      </c>
      <c r="I606" s="9">
        <f>($K$2+0.02)*Tabla1[[#This Row],[PRECIO $]]*1.18</f>
        <v>389.79825</v>
      </c>
      <c r="J606" s="7">
        <f>+Tabla1[[#This Row],[PRECIO EN SOLES]]-Tabla1[[#This Row],[PC]]</f>
        <v>66.471749999999986</v>
      </c>
      <c r="K606" s="15"/>
      <c r="L606" s="15" t="str">
        <f t="shared" si="19"/>
        <v>NORMAL</v>
      </c>
    </row>
    <row r="607" spans="1:12" x14ac:dyDescent="0.25">
      <c r="A607" s="3" t="s">
        <v>1429</v>
      </c>
      <c r="B607" s="3" t="s">
        <v>1430</v>
      </c>
      <c r="C607" s="1">
        <v>20</v>
      </c>
      <c r="D607" s="1">
        <v>80.150000000000006</v>
      </c>
      <c r="E607" s="1" t="s">
        <v>355</v>
      </c>
      <c r="F607" s="1" t="s">
        <v>4956</v>
      </c>
      <c r="G607" s="3" t="s">
        <v>1431</v>
      </c>
      <c r="H607" s="11">
        <f t="shared" si="18"/>
        <v>383.23</v>
      </c>
      <c r="I607" s="9">
        <f>($K$2+0.02)*Tabla1[[#This Row],[PRECIO $]]*1.18</f>
        <v>326.29065000000003</v>
      </c>
      <c r="J607" s="7">
        <f>+Tabla1[[#This Row],[PRECIO EN SOLES]]-Tabla1[[#This Row],[PC]]</f>
        <v>56.93934999999999</v>
      </c>
      <c r="K607" s="15"/>
      <c r="L607" s="15" t="str">
        <f t="shared" si="19"/>
        <v>NORMAL</v>
      </c>
    </row>
    <row r="608" spans="1:12" x14ac:dyDescent="0.25">
      <c r="A608" s="3" t="s">
        <v>1432</v>
      </c>
      <c r="B608" s="3" t="s">
        <v>1433</v>
      </c>
      <c r="C608" s="1">
        <v>20</v>
      </c>
      <c r="D608" s="1">
        <v>79.599999999999994</v>
      </c>
      <c r="E608" s="1" t="s">
        <v>355</v>
      </c>
      <c r="F608" s="1" t="s">
        <v>4957</v>
      </c>
      <c r="G608" s="3"/>
      <c r="H608" s="11">
        <f t="shared" si="18"/>
        <v>380.66</v>
      </c>
      <c r="I608" s="9">
        <f>($K$2+0.02)*Tabla1[[#This Row],[PRECIO $]]*1.18</f>
        <v>324.05160000000001</v>
      </c>
      <c r="J608" s="7">
        <f>+Tabla1[[#This Row],[PRECIO EN SOLES]]-Tabla1[[#This Row],[PC]]</f>
        <v>56.608400000000017</v>
      </c>
      <c r="K608" s="15"/>
      <c r="L608" s="15" t="str">
        <f t="shared" si="19"/>
        <v>NORMAL</v>
      </c>
    </row>
    <row r="609" spans="1:12" x14ac:dyDescent="0.25">
      <c r="A609" s="3" t="s">
        <v>1434</v>
      </c>
      <c r="B609" s="3" t="s">
        <v>1435</v>
      </c>
      <c r="C609" s="1">
        <v>1</v>
      </c>
      <c r="D609" s="1">
        <v>141</v>
      </c>
      <c r="E609" s="1" t="s">
        <v>456</v>
      </c>
      <c r="F609" s="1" t="s">
        <v>4958</v>
      </c>
      <c r="G609" s="3"/>
      <c r="H609" s="11">
        <f t="shared" si="18"/>
        <v>668.11</v>
      </c>
      <c r="I609" s="9">
        <f>($K$2+0.02)*Tabla1[[#This Row],[PRECIO $]]*1.18</f>
        <v>574.01099999999997</v>
      </c>
      <c r="J609" s="7">
        <f>+Tabla1[[#This Row],[PRECIO EN SOLES]]-Tabla1[[#This Row],[PC]]</f>
        <v>94.099000000000046</v>
      </c>
      <c r="K609" s="15"/>
      <c r="L609" s="15" t="str">
        <f t="shared" si="19"/>
        <v>NORMAL</v>
      </c>
    </row>
    <row r="610" spans="1:12" x14ac:dyDescent="0.25">
      <c r="A610" s="3" t="s">
        <v>1436</v>
      </c>
      <c r="B610" s="3" t="s">
        <v>1437</v>
      </c>
      <c r="C610" s="1">
        <v>3</v>
      </c>
      <c r="D610" s="1">
        <v>357</v>
      </c>
      <c r="E610" s="1" t="s">
        <v>456</v>
      </c>
      <c r="F610" s="1" t="s">
        <v>4959</v>
      </c>
      <c r="G610" s="3" t="s">
        <v>1438</v>
      </c>
      <c r="H610" s="11">
        <f t="shared" si="18"/>
        <v>1679.35</v>
      </c>
      <c r="I610" s="9">
        <f>($K$2+0.02)*Tabla1[[#This Row],[PRECIO $]]*1.18</f>
        <v>1453.347</v>
      </c>
      <c r="J610" s="7">
        <f>+Tabla1[[#This Row],[PRECIO EN SOLES]]-Tabla1[[#This Row],[PC]]</f>
        <v>226.00299999999993</v>
      </c>
      <c r="K610" s="15"/>
      <c r="L610" s="15" t="str">
        <f t="shared" si="19"/>
        <v>NORMAL</v>
      </c>
    </row>
    <row r="611" spans="1:12" x14ac:dyDescent="0.25">
      <c r="A611" s="3" t="s">
        <v>1439</v>
      </c>
      <c r="B611" s="3" t="s">
        <v>1440</v>
      </c>
      <c r="C611" s="1">
        <v>15</v>
      </c>
      <c r="D611" s="1">
        <v>214.2</v>
      </c>
      <c r="E611" s="1" t="s">
        <v>456</v>
      </c>
      <c r="F611" s="1" t="s">
        <v>4960</v>
      </c>
      <c r="G611" s="3" t="s">
        <v>1441</v>
      </c>
      <c r="H611" s="11">
        <f t="shared" si="18"/>
        <v>1010.81</v>
      </c>
      <c r="I611" s="9">
        <f>($K$2+0.02)*Tabla1[[#This Row],[PRECIO $]]*1.18</f>
        <v>872.00819999999999</v>
      </c>
      <c r="J611" s="7">
        <f>+Tabla1[[#This Row],[PRECIO EN SOLES]]-Tabla1[[#This Row],[PC]]</f>
        <v>138.80179999999996</v>
      </c>
      <c r="K611" s="15"/>
      <c r="L611" s="15" t="str">
        <f t="shared" si="19"/>
        <v>NORMAL</v>
      </c>
    </row>
    <row r="612" spans="1:12" x14ac:dyDescent="0.25">
      <c r="A612" s="3" t="s">
        <v>1442</v>
      </c>
      <c r="B612" s="3" t="s">
        <v>1443</v>
      </c>
      <c r="C612" s="1">
        <v>4</v>
      </c>
      <c r="D612" s="1">
        <v>484</v>
      </c>
      <c r="E612" s="1" t="s">
        <v>456</v>
      </c>
      <c r="F612" s="1" t="s">
        <v>4961</v>
      </c>
      <c r="G612" s="3"/>
      <c r="H612" s="11">
        <f t="shared" si="18"/>
        <v>2273.92</v>
      </c>
      <c r="I612" s="9">
        <f>($K$2+0.02)*Tabla1[[#This Row],[PRECIO $]]*1.18</f>
        <v>1970.364</v>
      </c>
      <c r="J612" s="7">
        <f>+Tabla1[[#This Row],[PRECIO EN SOLES]]-Tabla1[[#This Row],[PC]]</f>
        <v>303.55600000000004</v>
      </c>
      <c r="K612" s="15"/>
      <c r="L612" s="15" t="str">
        <f t="shared" si="19"/>
        <v>NORMAL</v>
      </c>
    </row>
    <row r="613" spans="1:12" x14ac:dyDescent="0.25">
      <c r="A613" s="3" t="s">
        <v>1444</v>
      </c>
      <c r="B613" s="3" t="s">
        <v>1445</v>
      </c>
      <c r="C613" s="1">
        <v>9</v>
      </c>
      <c r="D613" s="1">
        <v>231.49</v>
      </c>
      <c r="E613" s="1" t="s">
        <v>340</v>
      </c>
      <c r="F613" s="1" t="s">
        <v>4962</v>
      </c>
      <c r="G613" s="3" t="s">
        <v>1446</v>
      </c>
      <c r="H613" s="11">
        <f t="shared" si="18"/>
        <v>1091.76</v>
      </c>
      <c r="I613" s="9">
        <f>($K$2+0.02)*Tabla1[[#This Row],[PRECIO $]]*1.18</f>
        <v>942.39579000000003</v>
      </c>
      <c r="J613" s="7">
        <f>+Tabla1[[#This Row],[PRECIO EN SOLES]]-Tabla1[[#This Row],[PC]]</f>
        <v>149.36420999999996</v>
      </c>
      <c r="K613" s="15"/>
      <c r="L613" s="15" t="str">
        <f t="shared" si="19"/>
        <v>NORMAL</v>
      </c>
    </row>
    <row r="614" spans="1:12" x14ac:dyDescent="0.25">
      <c r="A614" s="3" t="s">
        <v>1447</v>
      </c>
      <c r="B614" s="3" t="s">
        <v>1448</v>
      </c>
      <c r="C614" s="1">
        <v>20</v>
      </c>
      <c r="D614" s="1">
        <v>249</v>
      </c>
      <c r="E614" s="1" t="s">
        <v>340</v>
      </c>
      <c r="F614" s="1" t="s">
        <v>4963</v>
      </c>
      <c r="G614" s="3" t="s">
        <v>1449</v>
      </c>
      <c r="H614" s="11">
        <f t="shared" si="18"/>
        <v>1173.73</v>
      </c>
      <c r="I614" s="9">
        <f>($K$2+0.02)*Tabla1[[#This Row],[PRECIO $]]*1.18</f>
        <v>1013.679</v>
      </c>
      <c r="J614" s="7">
        <f>+Tabla1[[#This Row],[PRECIO EN SOLES]]-Tabla1[[#This Row],[PC]]</f>
        <v>160.05100000000004</v>
      </c>
      <c r="K614" s="15"/>
      <c r="L614" s="15" t="str">
        <f t="shared" si="19"/>
        <v>NORMAL</v>
      </c>
    </row>
    <row r="615" spans="1:12" x14ac:dyDescent="0.25">
      <c r="A615" s="3" t="s">
        <v>1450</v>
      </c>
      <c r="B615" s="3" t="s">
        <v>1451</v>
      </c>
      <c r="C615" s="1">
        <v>11</v>
      </c>
      <c r="D615" s="1">
        <v>581</v>
      </c>
      <c r="E615" s="1" t="s">
        <v>340</v>
      </c>
      <c r="F615" s="1" t="s">
        <v>4964</v>
      </c>
      <c r="G615" s="3" t="s">
        <v>1452</v>
      </c>
      <c r="H615" s="11">
        <f t="shared" si="18"/>
        <v>2728.04</v>
      </c>
      <c r="I615" s="9">
        <f>($K$2+0.02)*Tabla1[[#This Row],[PRECIO $]]*1.18</f>
        <v>2365.2509999999997</v>
      </c>
      <c r="J615" s="7">
        <f>+Tabla1[[#This Row],[PRECIO EN SOLES]]-Tabla1[[#This Row],[PC]]</f>
        <v>362.78900000000021</v>
      </c>
      <c r="K615" s="15"/>
      <c r="L615" s="15" t="str">
        <f t="shared" si="19"/>
        <v>NORMAL</v>
      </c>
    </row>
    <row r="616" spans="1:12" x14ac:dyDescent="0.25">
      <c r="A616" s="3" t="s">
        <v>1453</v>
      </c>
      <c r="B616" s="3" t="s">
        <v>1454</v>
      </c>
      <c r="C616" s="1">
        <v>10</v>
      </c>
      <c r="D616" s="1">
        <v>463.5</v>
      </c>
      <c r="E616" s="1" t="s">
        <v>340</v>
      </c>
      <c r="F616" s="1" t="s">
        <v>4965</v>
      </c>
      <c r="G616" s="3" t="s">
        <v>1455</v>
      </c>
      <c r="H616" s="11">
        <f t="shared" si="18"/>
        <v>2177.94</v>
      </c>
      <c r="I616" s="9">
        <f>($K$2+0.02)*Tabla1[[#This Row],[PRECIO $]]*1.18</f>
        <v>1886.9085</v>
      </c>
      <c r="J616" s="7">
        <f>+Tabla1[[#This Row],[PRECIO EN SOLES]]-Tabla1[[#This Row],[PC]]</f>
        <v>291.03150000000005</v>
      </c>
      <c r="K616" s="15"/>
      <c r="L616" s="15" t="str">
        <f t="shared" si="19"/>
        <v>NORMAL</v>
      </c>
    </row>
    <row r="617" spans="1:12" x14ac:dyDescent="0.25">
      <c r="A617" s="3" t="s">
        <v>1458</v>
      </c>
      <c r="B617" s="3" t="s">
        <v>1456</v>
      </c>
      <c r="C617" s="1">
        <v>9</v>
      </c>
      <c r="D617" s="1">
        <v>390.23</v>
      </c>
      <c r="E617" s="1" t="s">
        <v>340</v>
      </c>
      <c r="F617" s="1" t="s">
        <v>4966</v>
      </c>
      <c r="G617" s="3" t="s">
        <v>1457</v>
      </c>
      <c r="H617" s="11">
        <f t="shared" si="18"/>
        <v>1834.92</v>
      </c>
      <c r="I617" s="9">
        <f>($K$2+0.02)*Tabla1[[#This Row],[PRECIO $]]*1.18</f>
        <v>1588.6263300000003</v>
      </c>
      <c r="J617" s="7">
        <f>+Tabla1[[#This Row],[PRECIO EN SOLES]]-Tabla1[[#This Row],[PC]]</f>
        <v>246.29366999999979</v>
      </c>
      <c r="K617" s="15"/>
      <c r="L617" s="15" t="str">
        <f t="shared" si="19"/>
        <v>NORMAL</v>
      </c>
    </row>
    <row r="618" spans="1:12" x14ac:dyDescent="0.25">
      <c r="A618" s="3" t="s">
        <v>1459</v>
      </c>
      <c r="B618" s="3" t="s">
        <v>1460</v>
      </c>
      <c r="C618" s="1">
        <v>20</v>
      </c>
      <c r="D618" s="1">
        <v>300.5</v>
      </c>
      <c r="E618" s="1" t="s">
        <v>340</v>
      </c>
      <c r="F618" s="1" t="s">
        <v>4967</v>
      </c>
      <c r="G618" s="3" t="s">
        <v>1461</v>
      </c>
      <c r="H618" s="11">
        <f t="shared" si="18"/>
        <v>1414.84</v>
      </c>
      <c r="I618" s="9">
        <f>($K$2+0.02)*Tabla1[[#This Row],[PRECIO $]]*1.18</f>
        <v>1223.3355000000001</v>
      </c>
      <c r="J618" s="7">
        <f>+Tabla1[[#This Row],[PRECIO EN SOLES]]-Tabla1[[#This Row],[PC]]</f>
        <v>191.50449999999978</v>
      </c>
      <c r="K618" s="15"/>
      <c r="L618" s="15" t="str">
        <f t="shared" si="19"/>
        <v>NORMAL</v>
      </c>
    </row>
    <row r="619" spans="1:12" x14ac:dyDescent="0.25">
      <c r="A619" s="3" t="s">
        <v>6891</v>
      </c>
      <c r="B619" s="3" t="s">
        <v>6892</v>
      </c>
      <c r="C619" s="1">
        <v>20</v>
      </c>
      <c r="D619" s="1">
        <v>209</v>
      </c>
      <c r="E619" s="1" t="s">
        <v>442</v>
      </c>
      <c r="F619" s="1" t="s">
        <v>6893</v>
      </c>
      <c r="G619" s="3"/>
      <c r="H619" s="11">
        <f t="shared" si="18"/>
        <v>986.46</v>
      </c>
      <c r="I619" s="9">
        <f>($K$2+0.02)*Tabla1[[#This Row],[PRECIO $]]*1.18</f>
        <v>850.83900000000006</v>
      </c>
      <c r="J619" s="7">
        <f>+Tabla1[[#This Row],[PRECIO EN SOLES]]-Tabla1[[#This Row],[PC]]</f>
        <v>135.62099999999998</v>
      </c>
      <c r="K619" s="15"/>
      <c r="L619" s="15" t="str">
        <f t="shared" si="19"/>
        <v>NORMAL</v>
      </c>
    </row>
    <row r="620" spans="1:12" x14ac:dyDescent="0.25">
      <c r="A620" s="3" t="s">
        <v>6894</v>
      </c>
      <c r="B620" s="3" t="s">
        <v>6895</v>
      </c>
      <c r="C620" s="1">
        <v>20</v>
      </c>
      <c r="D620" s="1">
        <v>184</v>
      </c>
      <c r="E620" s="1" t="s">
        <v>442</v>
      </c>
      <c r="F620" s="1" t="s">
        <v>6896</v>
      </c>
      <c r="G620" s="3" t="s">
        <v>6897</v>
      </c>
      <c r="H620" s="11">
        <f t="shared" si="18"/>
        <v>869.42</v>
      </c>
      <c r="I620" s="9">
        <f>($K$2+0.02)*Tabla1[[#This Row],[PRECIO $]]*1.18</f>
        <v>749.06400000000008</v>
      </c>
      <c r="J620" s="7">
        <f>+Tabla1[[#This Row],[PRECIO EN SOLES]]-Tabla1[[#This Row],[PC]]</f>
        <v>120.35599999999988</v>
      </c>
      <c r="K620" s="15"/>
      <c r="L620" s="15" t="str">
        <f t="shared" si="19"/>
        <v>NORMAL</v>
      </c>
    </row>
    <row r="621" spans="1:12" x14ac:dyDescent="0.25">
      <c r="A621" s="3" t="s">
        <v>6898</v>
      </c>
      <c r="B621" s="3" t="s">
        <v>6899</v>
      </c>
      <c r="C621" s="1">
        <v>19</v>
      </c>
      <c r="D621" s="1">
        <v>163.25</v>
      </c>
      <c r="E621" s="1" t="s">
        <v>442</v>
      </c>
      <c r="F621" s="1" t="s">
        <v>6900</v>
      </c>
      <c r="G621" s="3" t="s">
        <v>6901</v>
      </c>
      <c r="H621" s="11">
        <f t="shared" si="18"/>
        <v>772.28</v>
      </c>
      <c r="I621" s="9">
        <f>($K$2+0.02)*Tabla1[[#This Row],[PRECIO $]]*1.18</f>
        <v>664.59074999999996</v>
      </c>
      <c r="J621" s="7">
        <f>+Tabla1[[#This Row],[PRECIO EN SOLES]]-Tabla1[[#This Row],[PC]]</f>
        <v>107.68925000000002</v>
      </c>
      <c r="K621" s="15"/>
      <c r="L621" s="15" t="str">
        <f t="shared" si="19"/>
        <v>NORMAL</v>
      </c>
    </row>
    <row r="622" spans="1:12" x14ac:dyDescent="0.25">
      <c r="A622" s="3" t="s">
        <v>6902</v>
      </c>
      <c r="B622" s="3" t="s">
        <v>6903</v>
      </c>
      <c r="C622" s="1">
        <v>0</v>
      </c>
      <c r="D622" s="1">
        <v>9999999.9900000002</v>
      </c>
      <c r="E622" s="1" t="s">
        <v>442</v>
      </c>
      <c r="F622" s="1" t="s">
        <v>6904</v>
      </c>
      <c r="G622" s="3"/>
      <c r="H622" s="11">
        <f t="shared" si="18"/>
        <v>46816507.950000003</v>
      </c>
      <c r="I622" s="9">
        <f>($K$2+0.02)*Tabla1[[#This Row],[PRECIO $]]*1.18</f>
        <v>40709999.959290005</v>
      </c>
      <c r="J622" s="7">
        <f>+Tabla1[[#This Row],[PRECIO EN SOLES]]-Tabla1[[#This Row],[PC]]</f>
        <v>6106507.9907099977</v>
      </c>
      <c r="K622" s="15"/>
      <c r="L622" s="15" t="str">
        <f t="shared" si="19"/>
        <v>NORMAL</v>
      </c>
    </row>
    <row r="623" spans="1:12" x14ac:dyDescent="0.25">
      <c r="A623" s="3" t="s">
        <v>1462</v>
      </c>
      <c r="B623" s="3" t="s">
        <v>1463</v>
      </c>
      <c r="C623" s="1">
        <v>5</v>
      </c>
      <c r="D623" s="1">
        <v>260.5</v>
      </c>
      <c r="E623" s="1" t="s">
        <v>442</v>
      </c>
      <c r="F623" s="1" t="s">
        <v>4968</v>
      </c>
      <c r="G623" s="3" t="s">
        <v>1464</v>
      </c>
      <c r="H623" s="11">
        <f t="shared" si="18"/>
        <v>1227.57</v>
      </c>
      <c r="I623" s="9">
        <f>($K$2+0.02)*Tabla1[[#This Row],[PRECIO $]]*1.18</f>
        <v>1060.4955</v>
      </c>
      <c r="J623" s="7">
        <f>+Tabla1[[#This Row],[PRECIO EN SOLES]]-Tabla1[[#This Row],[PC]]</f>
        <v>167.07449999999994</v>
      </c>
      <c r="K623" s="15"/>
      <c r="L623" s="15" t="str">
        <f t="shared" si="19"/>
        <v>NORMAL</v>
      </c>
    </row>
    <row r="624" spans="1:12" x14ac:dyDescent="0.25">
      <c r="A624" s="3" t="s">
        <v>1465</v>
      </c>
      <c r="B624" s="3" t="s">
        <v>1466</v>
      </c>
      <c r="C624" s="1">
        <v>7</v>
      </c>
      <c r="D624" s="1">
        <v>295.5</v>
      </c>
      <c r="E624" s="1" t="s">
        <v>442</v>
      </c>
      <c r="F624" s="1" t="s">
        <v>4969</v>
      </c>
      <c r="G624" s="3" t="s">
        <v>1467</v>
      </c>
      <c r="H624" s="11">
        <f t="shared" si="18"/>
        <v>1391.43</v>
      </c>
      <c r="I624" s="9">
        <f>($K$2+0.02)*Tabla1[[#This Row],[PRECIO $]]*1.18</f>
        <v>1202.9804999999999</v>
      </c>
      <c r="J624" s="7">
        <f>+Tabla1[[#This Row],[PRECIO EN SOLES]]-Tabla1[[#This Row],[PC]]</f>
        <v>188.44950000000017</v>
      </c>
      <c r="K624" s="15"/>
      <c r="L624" s="15" t="str">
        <f t="shared" si="19"/>
        <v>NORMAL</v>
      </c>
    </row>
    <row r="625" spans="1:12" x14ac:dyDescent="0.25">
      <c r="A625" s="3" t="s">
        <v>1468</v>
      </c>
      <c r="B625" s="3" t="s">
        <v>1469</v>
      </c>
      <c r="C625" s="1">
        <v>12</v>
      </c>
      <c r="D625" s="1">
        <v>248</v>
      </c>
      <c r="E625" s="1" t="s">
        <v>442</v>
      </c>
      <c r="F625" s="1" t="s">
        <v>4970</v>
      </c>
      <c r="G625" s="3"/>
      <c r="H625" s="11">
        <f t="shared" si="18"/>
        <v>1169.05</v>
      </c>
      <c r="I625" s="9">
        <f>($K$2+0.02)*Tabla1[[#This Row],[PRECIO $]]*1.18</f>
        <v>1009.6079999999999</v>
      </c>
      <c r="J625" s="7">
        <f>+Tabla1[[#This Row],[PRECIO EN SOLES]]-Tabla1[[#This Row],[PC]]</f>
        <v>159.44200000000001</v>
      </c>
      <c r="K625" s="15"/>
      <c r="L625" s="15" t="str">
        <f t="shared" si="19"/>
        <v>NORMAL</v>
      </c>
    </row>
    <row r="626" spans="1:12" x14ac:dyDescent="0.25">
      <c r="A626" s="3" t="s">
        <v>1470</v>
      </c>
      <c r="B626" s="3" t="s">
        <v>1471</v>
      </c>
      <c r="C626" s="1">
        <v>1</v>
      </c>
      <c r="D626" s="1">
        <v>482</v>
      </c>
      <c r="E626" s="1" t="s">
        <v>442</v>
      </c>
      <c r="F626" s="1" t="s">
        <v>4971</v>
      </c>
      <c r="G626" s="3" t="s">
        <v>1472</v>
      </c>
      <c r="H626" s="11">
        <f t="shared" si="18"/>
        <v>2264.56</v>
      </c>
      <c r="I626" s="9">
        <f>($K$2+0.02)*Tabla1[[#This Row],[PRECIO $]]*1.18</f>
        <v>1962.222</v>
      </c>
      <c r="J626" s="7">
        <f>+Tabla1[[#This Row],[PRECIO EN SOLES]]-Tabla1[[#This Row],[PC]]</f>
        <v>302.33799999999997</v>
      </c>
      <c r="K626" s="15"/>
      <c r="L626" s="15" t="str">
        <f t="shared" si="19"/>
        <v>NORMAL</v>
      </c>
    </row>
    <row r="627" spans="1:12" x14ac:dyDescent="0.25">
      <c r="A627" s="3" t="s">
        <v>1473</v>
      </c>
      <c r="B627" s="3" t="s">
        <v>1474</v>
      </c>
      <c r="C627" s="1">
        <v>11</v>
      </c>
      <c r="D627" s="1">
        <v>340</v>
      </c>
      <c r="E627" s="1" t="s">
        <v>442</v>
      </c>
      <c r="F627" s="1" t="s">
        <v>4972</v>
      </c>
      <c r="G627" s="3" t="s">
        <v>1475</v>
      </c>
      <c r="H627" s="11">
        <f t="shared" si="18"/>
        <v>1599.76</v>
      </c>
      <c r="I627" s="9">
        <f>($K$2+0.02)*Tabla1[[#This Row],[PRECIO $]]*1.18</f>
        <v>1384.1399999999999</v>
      </c>
      <c r="J627" s="7">
        <f>+Tabla1[[#This Row],[PRECIO EN SOLES]]-Tabla1[[#This Row],[PC]]</f>
        <v>215.62000000000012</v>
      </c>
      <c r="K627" s="15"/>
      <c r="L627" s="15" t="str">
        <f t="shared" si="19"/>
        <v>NORMAL</v>
      </c>
    </row>
    <row r="628" spans="1:12" x14ac:dyDescent="0.25">
      <c r="A628" s="3" t="s">
        <v>1476</v>
      </c>
      <c r="B628" s="3" t="s">
        <v>1477</v>
      </c>
      <c r="C628" s="1">
        <v>8</v>
      </c>
      <c r="D628" s="1">
        <v>220.5</v>
      </c>
      <c r="E628" s="1" t="s">
        <v>442</v>
      </c>
      <c r="F628" s="1" t="s">
        <v>4973</v>
      </c>
      <c r="G628" s="3" t="s">
        <v>1478</v>
      </c>
      <c r="H628" s="11">
        <f t="shared" si="18"/>
        <v>1040.3</v>
      </c>
      <c r="I628" s="9">
        <f>($K$2+0.02)*Tabla1[[#This Row],[PRECIO $]]*1.18</f>
        <v>897.65549999999996</v>
      </c>
      <c r="J628" s="7">
        <f>+Tabla1[[#This Row],[PRECIO EN SOLES]]-Tabla1[[#This Row],[PC]]</f>
        <v>142.64449999999999</v>
      </c>
      <c r="K628" s="15"/>
      <c r="L628" s="15" t="str">
        <f t="shared" si="19"/>
        <v>NORMAL</v>
      </c>
    </row>
    <row r="629" spans="1:12" x14ac:dyDescent="0.25">
      <c r="A629" s="3" t="s">
        <v>1479</v>
      </c>
      <c r="B629" s="3" t="s">
        <v>1480</v>
      </c>
      <c r="C629" s="1">
        <v>1</v>
      </c>
      <c r="D629" s="1">
        <v>226</v>
      </c>
      <c r="E629" s="1" t="s">
        <v>442</v>
      </c>
      <c r="F629" s="1" t="s">
        <v>4974</v>
      </c>
      <c r="G629" s="3" t="s">
        <v>1481</v>
      </c>
      <c r="H629" s="11">
        <f t="shared" si="18"/>
        <v>1066.05</v>
      </c>
      <c r="I629" s="9">
        <f>($K$2+0.02)*Tabla1[[#This Row],[PRECIO $]]*1.18</f>
        <v>920.04600000000005</v>
      </c>
      <c r="J629" s="7">
        <f>+Tabla1[[#This Row],[PRECIO EN SOLES]]-Tabla1[[#This Row],[PC]]</f>
        <v>146.00399999999991</v>
      </c>
      <c r="K629" s="15"/>
      <c r="L629" s="15" t="str">
        <f t="shared" si="19"/>
        <v>NORMAL</v>
      </c>
    </row>
    <row r="630" spans="1:12" x14ac:dyDescent="0.25">
      <c r="A630" s="3" t="s">
        <v>1482</v>
      </c>
      <c r="B630" s="3" t="s">
        <v>1483</v>
      </c>
      <c r="C630" s="1">
        <v>2</v>
      </c>
      <c r="D630" s="1">
        <v>623</v>
      </c>
      <c r="E630" s="1" t="s">
        <v>442</v>
      </c>
      <c r="F630" s="1" t="s">
        <v>4975</v>
      </c>
      <c r="G630" s="3"/>
      <c r="H630" s="11">
        <f t="shared" si="18"/>
        <v>2924.67</v>
      </c>
      <c r="I630" s="9">
        <f>($K$2+0.02)*Tabla1[[#This Row],[PRECIO $]]*1.18</f>
        <v>2536.2329999999997</v>
      </c>
      <c r="J630" s="7">
        <f>+Tabla1[[#This Row],[PRECIO EN SOLES]]-Tabla1[[#This Row],[PC]]</f>
        <v>388.43700000000035</v>
      </c>
      <c r="K630" s="15"/>
      <c r="L630" s="15" t="str">
        <f t="shared" si="19"/>
        <v>NORMAL</v>
      </c>
    </row>
    <row r="631" spans="1:12" x14ac:dyDescent="0.25">
      <c r="A631" s="3" t="s">
        <v>1484</v>
      </c>
      <c r="B631" s="3" t="s">
        <v>1485</v>
      </c>
      <c r="C631" s="1">
        <v>20</v>
      </c>
      <c r="D631" s="1">
        <v>47.3</v>
      </c>
      <c r="E631" s="1" t="s">
        <v>456</v>
      </c>
      <c r="F631" s="1" t="s">
        <v>4976</v>
      </c>
      <c r="G631" s="3" t="s">
        <v>1486</v>
      </c>
      <c r="H631" s="11">
        <f t="shared" si="18"/>
        <v>229.44</v>
      </c>
      <c r="I631" s="9">
        <f>($K$2+0.02)*Tabla1[[#This Row],[PRECIO $]]*1.18</f>
        <v>192.5583</v>
      </c>
      <c r="J631" s="7">
        <f>+Tabla1[[#This Row],[PRECIO EN SOLES]]-Tabla1[[#This Row],[PC]]</f>
        <v>36.881699999999995</v>
      </c>
      <c r="K631" s="15"/>
      <c r="L631" s="15" t="str">
        <f t="shared" si="19"/>
        <v>NORMAL</v>
      </c>
    </row>
    <row r="632" spans="1:12" x14ac:dyDescent="0.25">
      <c r="A632" s="3" t="s">
        <v>1487</v>
      </c>
      <c r="B632" s="3" t="s">
        <v>1488</v>
      </c>
      <c r="C632" s="1">
        <v>20</v>
      </c>
      <c r="D632" s="1">
        <v>46.5</v>
      </c>
      <c r="E632" s="1" t="s">
        <v>340</v>
      </c>
      <c r="F632" s="1" t="s">
        <v>4977</v>
      </c>
      <c r="G632" s="3" t="s">
        <v>1489</v>
      </c>
      <c r="H632" s="11">
        <f t="shared" si="18"/>
        <v>225.7</v>
      </c>
      <c r="I632" s="9">
        <f>($K$2+0.02)*Tabla1[[#This Row],[PRECIO $]]*1.18</f>
        <v>189.3015</v>
      </c>
      <c r="J632" s="7">
        <f>+Tabla1[[#This Row],[PRECIO EN SOLES]]-Tabla1[[#This Row],[PC]]</f>
        <v>36.398499999999984</v>
      </c>
      <c r="K632" s="15"/>
      <c r="L632" s="15" t="str">
        <f t="shared" si="19"/>
        <v>NORMAL</v>
      </c>
    </row>
    <row r="633" spans="1:12" x14ac:dyDescent="0.25">
      <c r="A633" s="3" t="s">
        <v>1490</v>
      </c>
      <c r="B633" s="3" t="s">
        <v>1491</v>
      </c>
      <c r="C633" s="1">
        <v>20</v>
      </c>
      <c r="D633" s="1">
        <v>46.5</v>
      </c>
      <c r="E633" s="1" t="s">
        <v>340</v>
      </c>
      <c r="F633" s="1" t="s">
        <v>4978</v>
      </c>
      <c r="G633" s="3" t="s">
        <v>1492</v>
      </c>
      <c r="H633" s="11">
        <f t="shared" si="18"/>
        <v>225.7</v>
      </c>
      <c r="I633" s="9">
        <f>($K$2+0.02)*Tabla1[[#This Row],[PRECIO $]]*1.18</f>
        <v>189.3015</v>
      </c>
      <c r="J633" s="7">
        <f>+Tabla1[[#This Row],[PRECIO EN SOLES]]-Tabla1[[#This Row],[PC]]</f>
        <v>36.398499999999984</v>
      </c>
      <c r="K633" s="15"/>
      <c r="L633" s="15" t="str">
        <f t="shared" si="19"/>
        <v>NORMAL</v>
      </c>
    </row>
    <row r="634" spans="1:12" x14ac:dyDescent="0.25">
      <c r="A634" s="3" t="s">
        <v>1493</v>
      </c>
      <c r="B634" s="3" t="s">
        <v>1494</v>
      </c>
      <c r="C634" s="1">
        <v>20</v>
      </c>
      <c r="D634" s="1">
        <v>86.5</v>
      </c>
      <c r="E634" s="1" t="s">
        <v>340</v>
      </c>
      <c r="F634" s="1" t="s">
        <v>4979</v>
      </c>
      <c r="G634" s="3" t="s">
        <v>1495</v>
      </c>
      <c r="H634" s="11">
        <f t="shared" si="18"/>
        <v>412.96</v>
      </c>
      <c r="I634" s="9">
        <f>($K$2+0.02)*Tabla1[[#This Row],[PRECIO $]]*1.18</f>
        <v>352.14150000000001</v>
      </c>
      <c r="J634" s="7">
        <f>+Tabla1[[#This Row],[PRECIO EN SOLES]]-Tabla1[[#This Row],[PC]]</f>
        <v>60.818499999999972</v>
      </c>
      <c r="K634" s="15"/>
      <c r="L634" s="15" t="str">
        <f t="shared" si="19"/>
        <v>NORMAL</v>
      </c>
    </row>
    <row r="635" spans="1:12" x14ac:dyDescent="0.25">
      <c r="A635" s="3" t="s">
        <v>6905</v>
      </c>
      <c r="B635" s="3" t="s">
        <v>6906</v>
      </c>
      <c r="C635" s="1">
        <v>20</v>
      </c>
      <c r="D635" s="1">
        <v>71.650000000000006</v>
      </c>
      <c r="E635" s="1" t="s">
        <v>442</v>
      </c>
      <c r="F635" s="1" t="s">
        <v>6907</v>
      </c>
      <c r="G635" s="3" t="s">
        <v>6908</v>
      </c>
      <c r="H635" s="11">
        <f t="shared" si="18"/>
        <v>343.44</v>
      </c>
      <c r="I635" s="9">
        <f>($K$2+0.02)*Tabla1[[#This Row],[PRECIO $]]*1.18</f>
        <v>291.68715000000003</v>
      </c>
      <c r="J635" s="7">
        <f>+Tabla1[[#This Row],[PRECIO EN SOLES]]-Tabla1[[#This Row],[PC]]</f>
        <v>51.752849999999967</v>
      </c>
      <c r="K635" s="15"/>
      <c r="L635" s="15" t="str">
        <f t="shared" si="19"/>
        <v>NORMAL</v>
      </c>
    </row>
    <row r="636" spans="1:12" x14ac:dyDescent="0.25">
      <c r="A636" s="3" t="s">
        <v>6909</v>
      </c>
      <c r="B636" s="3" t="s">
        <v>6910</v>
      </c>
      <c r="C636" s="1">
        <v>20</v>
      </c>
      <c r="D636" s="1">
        <v>56.9</v>
      </c>
      <c r="E636" s="1" t="s">
        <v>442</v>
      </c>
      <c r="F636" s="1" t="s">
        <v>6911</v>
      </c>
      <c r="G636" s="3" t="s">
        <v>6912</v>
      </c>
      <c r="H636" s="11">
        <f t="shared" si="18"/>
        <v>274.39</v>
      </c>
      <c r="I636" s="9">
        <f>($K$2+0.02)*Tabla1[[#This Row],[PRECIO $]]*1.18</f>
        <v>231.63989999999998</v>
      </c>
      <c r="J636" s="7">
        <f>+Tabla1[[#This Row],[PRECIO EN SOLES]]-Tabla1[[#This Row],[PC]]</f>
        <v>42.750100000000003</v>
      </c>
      <c r="K636" s="15"/>
      <c r="L636" s="15" t="str">
        <f t="shared" si="19"/>
        <v>NORMAL</v>
      </c>
    </row>
    <row r="637" spans="1:12" x14ac:dyDescent="0.25">
      <c r="A637" s="3" t="s">
        <v>1496</v>
      </c>
      <c r="B637" s="3" t="s">
        <v>1497</v>
      </c>
      <c r="C637" s="1">
        <v>20</v>
      </c>
      <c r="D637" s="1">
        <v>43.7</v>
      </c>
      <c r="E637" s="1" t="s">
        <v>442</v>
      </c>
      <c r="F637" s="1" t="s">
        <v>4980</v>
      </c>
      <c r="G637" s="3" t="s">
        <v>1498</v>
      </c>
      <c r="H637" s="11">
        <f t="shared" si="18"/>
        <v>212.59</v>
      </c>
      <c r="I637" s="9">
        <f>($K$2+0.02)*Tabla1[[#This Row],[PRECIO $]]*1.18</f>
        <v>177.90270000000001</v>
      </c>
      <c r="J637" s="7">
        <f>+Tabla1[[#This Row],[PRECIO EN SOLES]]-Tabla1[[#This Row],[PC]]</f>
        <v>34.687299999999993</v>
      </c>
      <c r="K637" s="15"/>
      <c r="L637" s="15" t="str">
        <f t="shared" si="19"/>
        <v>NORMAL</v>
      </c>
    </row>
    <row r="638" spans="1:12" x14ac:dyDescent="0.25">
      <c r="A638" s="3" t="s">
        <v>1499</v>
      </c>
      <c r="B638" s="3" t="s">
        <v>1500</v>
      </c>
      <c r="C638" s="1">
        <v>0</v>
      </c>
      <c r="D638" s="1">
        <v>65.8</v>
      </c>
      <c r="E638" s="1" t="s">
        <v>442</v>
      </c>
      <c r="F638" s="1" t="s">
        <v>4981</v>
      </c>
      <c r="G638" s="3" t="s">
        <v>1501</v>
      </c>
      <c r="H638" s="11">
        <f t="shared" si="18"/>
        <v>316.05</v>
      </c>
      <c r="I638" s="9">
        <f>($K$2+0.02)*Tabla1[[#This Row],[PRECIO $]]*1.18</f>
        <v>267.87179999999995</v>
      </c>
      <c r="J638" s="7">
        <f>+Tabla1[[#This Row],[PRECIO EN SOLES]]-Tabla1[[#This Row],[PC]]</f>
        <v>48.178200000000061</v>
      </c>
      <c r="K638" s="15"/>
      <c r="L638" s="15" t="str">
        <f t="shared" si="19"/>
        <v>NORMAL</v>
      </c>
    </row>
    <row r="639" spans="1:12" x14ac:dyDescent="0.25">
      <c r="A639" s="3" t="s">
        <v>1502</v>
      </c>
      <c r="B639" s="3" t="s">
        <v>1503</v>
      </c>
      <c r="C639" s="1">
        <v>0</v>
      </c>
      <c r="D639" s="1">
        <v>64.8</v>
      </c>
      <c r="E639" s="1" t="s">
        <v>355</v>
      </c>
      <c r="F639" s="1" t="s">
        <v>4982</v>
      </c>
      <c r="G639" s="3" t="s">
        <v>1504</v>
      </c>
      <c r="H639" s="11">
        <f t="shared" si="18"/>
        <v>311.37</v>
      </c>
      <c r="I639" s="9">
        <f>($K$2+0.02)*Tabla1[[#This Row],[PRECIO $]]*1.18</f>
        <v>263.80079999999998</v>
      </c>
      <c r="J639" s="7">
        <f>+Tabla1[[#This Row],[PRECIO EN SOLES]]-Tabla1[[#This Row],[PC]]</f>
        <v>47.569200000000023</v>
      </c>
      <c r="K639" s="15"/>
      <c r="L639" s="15" t="str">
        <f t="shared" si="19"/>
        <v>NORMAL</v>
      </c>
    </row>
    <row r="640" spans="1:12" x14ac:dyDescent="0.25">
      <c r="A640" s="3" t="s">
        <v>1505</v>
      </c>
      <c r="B640" s="3" t="s">
        <v>1506</v>
      </c>
      <c r="C640" s="1">
        <v>20</v>
      </c>
      <c r="D640" s="1">
        <v>71.650000000000006</v>
      </c>
      <c r="E640" s="1" t="s">
        <v>340</v>
      </c>
      <c r="F640" s="1" t="s">
        <v>4983</v>
      </c>
      <c r="G640" s="3" t="s">
        <v>1507</v>
      </c>
      <c r="H640" s="11">
        <f t="shared" si="18"/>
        <v>343.44</v>
      </c>
      <c r="I640" s="9">
        <f>($K$2+0.02)*Tabla1[[#This Row],[PRECIO $]]*1.18</f>
        <v>291.68715000000003</v>
      </c>
      <c r="J640" s="7">
        <f>+Tabla1[[#This Row],[PRECIO EN SOLES]]-Tabla1[[#This Row],[PC]]</f>
        <v>51.752849999999967</v>
      </c>
      <c r="K640" s="15"/>
      <c r="L640" s="15" t="str">
        <f t="shared" si="19"/>
        <v>NORMAL</v>
      </c>
    </row>
    <row r="641" spans="1:12" x14ac:dyDescent="0.25">
      <c r="A641" s="3" t="s">
        <v>1508</v>
      </c>
      <c r="B641" s="3" t="s">
        <v>1509</v>
      </c>
      <c r="C641" s="1">
        <v>20</v>
      </c>
      <c r="D641" s="1">
        <v>142.19999999999999</v>
      </c>
      <c r="E641" s="1" t="s">
        <v>340</v>
      </c>
      <c r="F641" s="1" t="s">
        <v>4984</v>
      </c>
      <c r="G641" s="3" t="s">
        <v>1510</v>
      </c>
      <c r="H641" s="11">
        <f t="shared" si="18"/>
        <v>673.73</v>
      </c>
      <c r="I641" s="9">
        <f>($K$2+0.02)*Tabla1[[#This Row],[PRECIO $]]*1.18</f>
        <v>578.89619999999991</v>
      </c>
      <c r="J641" s="7">
        <f>+Tabla1[[#This Row],[PRECIO EN SOLES]]-Tabla1[[#This Row],[PC]]</f>
        <v>94.83380000000011</v>
      </c>
      <c r="K641" s="15"/>
      <c r="L641" s="15" t="str">
        <f t="shared" si="19"/>
        <v>NORMAL</v>
      </c>
    </row>
    <row r="642" spans="1:12" x14ac:dyDescent="0.25">
      <c r="A642" s="3" t="s">
        <v>1511</v>
      </c>
      <c r="B642" s="3" t="s">
        <v>1512</v>
      </c>
      <c r="C642" s="1">
        <v>20</v>
      </c>
      <c r="D642" s="1">
        <v>141</v>
      </c>
      <c r="E642" s="1" t="s">
        <v>442</v>
      </c>
      <c r="F642" s="1" t="s">
        <v>4985</v>
      </c>
      <c r="G642" s="3" t="s">
        <v>1513</v>
      </c>
      <c r="H642" s="11">
        <f t="shared" ref="H642:H705" si="20">ROUND(
IF(L642="GANCHO",
   IF(I642&lt;=50,I642*1.1+4,IF(I642&lt;=120,I642*1.1+7,IF(I642&lt;=250,I642*1.1+11,I642*1.1+19))),
IF(L642="NORMAL",
   IF(I642&lt;=30,I642*1.15+2,IF(I642&lt;=80,I642*1.15+4,IF(I642&lt;=150,I642*1.15+6,I642*1.15+8))),
IF(L642="COMPLEMENTO",
   IF(I642&lt;=25,I642*1.25+1.5,IF(I642&lt;=60,I642*1.25+3,IF(I642&lt;=120,I642*1.25+4,I642*1.25+5))),
""))),2)</f>
        <v>668.11</v>
      </c>
      <c r="I642" s="9">
        <f>($K$2+0.02)*Tabla1[[#This Row],[PRECIO $]]*1.18</f>
        <v>574.01099999999997</v>
      </c>
      <c r="J642" s="7">
        <f>+Tabla1[[#This Row],[PRECIO EN SOLES]]-Tabla1[[#This Row],[PC]]</f>
        <v>94.099000000000046</v>
      </c>
      <c r="K642" s="15"/>
      <c r="L642" s="15" t="str">
        <f t="shared" si="19"/>
        <v>NORMAL</v>
      </c>
    </row>
    <row r="643" spans="1:12" x14ac:dyDescent="0.25">
      <c r="A643" s="3" t="s">
        <v>1514</v>
      </c>
      <c r="B643" s="3" t="s">
        <v>1515</v>
      </c>
      <c r="C643" s="1">
        <v>20</v>
      </c>
      <c r="D643" s="1">
        <v>108</v>
      </c>
      <c r="E643" s="1" t="s">
        <v>442</v>
      </c>
      <c r="F643" s="1" t="s">
        <v>4986</v>
      </c>
      <c r="G643" s="3" t="s">
        <v>1516</v>
      </c>
      <c r="H643" s="11">
        <f t="shared" si="20"/>
        <v>513.62</v>
      </c>
      <c r="I643" s="9">
        <f>($K$2+0.02)*Tabla1[[#This Row],[PRECIO $]]*1.18</f>
        <v>439.66800000000001</v>
      </c>
      <c r="J643" s="7">
        <f>+Tabla1[[#This Row],[PRECIO EN SOLES]]-Tabla1[[#This Row],[PC]]</f>
        <v>73.951999999999998</v>
      </c>
      <c r="K643" s="15"/>
      <c r="L643" s="15" t="str">
        <f t="shared" ref="L643:L706" si="21">IF(
OR(
ISNUMBER(SEARCH("BACKPACK",B643)),
ISNUMBER(SEARCH("MOCHILA",B643)),
ISNUMBER(SEARCH("FUNDA",B643)),
ISNUMBER(SEARCH("ESTUCHE",B643)),
ISNUMBER(SEARCH("BOOK COVER",B643)),
ISNUMBER(SEARCH("KEYBOARD PARA TABLET",B643)),
ISNUMBER(SEARCH("FLIP TABLET",B643)),
ISNUMBER(SEARCH("CASE FOR TABLET",B643)),
ISNUMBER(SEARCH("CABLE",B643)),
ISNUMBER(SEARCH("ADAPTADOR",B643)),
ISNUMBER(SEARCH("HUB",B643)),
ISNUMBER(SEARCH("DOCK",B643)),
ISNUMBER(SEARCH("MOUSE PAD",B643)),
ISNUMBER(SEARCH("MOUSEPAD",B643)),
ISNUMBER(SEARCH("SOPORTE",B643)),
ISNUMBER(SEARCH("STAND",B643)),
ISNUMBER(SEARCH("TRAVEL ADAPTER",B643)),
ISNUMBER(SEARCH("RJ45",B643)),
ISNUMBER(SEARCH("USB-C",B643)),
ISNUMBER(SEARCH("USB WIFI",B643)),
ISNUMBER(SEARCH("POWERBANK",B643)),
ISNUMBER(SEARCH("CARGADOR",B643)),
ISNUMBER(SEARCH("COOLER PARA NB",B643)),
ISNUMBER(SEARCH("SOPORTE PARA NB",B643)),
ISNUMBER(SEARCH("WEBCAM",B643)),
ISNUMBER(SEARCH("WEB CAM",B643)),
ISNUMBER(SEARCH("MOUSE",B643)),
ISNUMBER(SEARCH("TECLADO",B643))
),
"COMPLEMENTO",
IF(
OR(
LEFT(A643,2)="NB",
LEFT(A643,2)="PC",
LEFT(A643,2)="WS",
LEFT(A643,2)="TB",
LEFT(A643,3)="CEL",
LEFT(A643,3)="MON",
LEFT(A643,3)="PRE",
LEFT(A643,3)="PRH",
ISNUMBER(SEARCH("NOTEBOOK",B643)),
ISNUMBER(SEARCH("LAPTOP",B643)),
ISNUMBER(SEARCH("MONITOR",B643)),
ISNUMBER(SEARCH("TABLET",B643)),
ISNUMBER(SEARCH("SMARTPH",B643)),
ISNUMBER(SEARCH("IMPRESORA",B643)),
ISNUMBER(SEARCH("MULTIFUNCIONAL",B643)),
ISNUMBER(SEARCH("AIO",B643))
),
"GANCHO",
"NORMAL"
)
)</f>
        <v>NORMAL</v>
      </c>
    </row>
    <row r="644" spans="1:12" x14ac:dyDescent="0.25">
      <c r="A644" s="3" t="s">
        <v>1517</v>
      </c>
      <c r="B644" s="3" t="s">
        <v>1518</v>
      </c>
      <c r="C644" s="1">
        <v>20</v>
      </c>
      <c r="D644" s="1">
        <v>101.6</v>
      </c>
      <c r="E644" s="1" t="s">
        <v>442</v>
      </c>
      <c r="F644" s="1" t="s">
        <v>4987</v>
      </c>
      <c r="G644" s="3" t="s">
        <v>1519</v>
      </c>
      <c r="H644" s="11">
        <f t="shared" si="20"/>
        <v>483.66</v>
      </c>
      <c r="I644" s="9">
        <f>($K$2+0.02)*Tabla1[[#This Row],[PRECIO $]]*1.18</f>
        <v>413.61359999999996</v>
      </c>
      <c r="J644" s="7">
        <f>+Tabla1[[#This Row],[PRECIO EN SOLES]]-Tabla1[[#This Row],[PC]]</f>
        <v>70.046400000000062</v>
      </c>
      <c r="K644" s="15"/>
      <c r="L644" s="15" t="str">
        <f t="shared" si="21"/>
        <v>NORMAL</v>
      </c>
    </row>
    <row r="645" spans="1:12" x14ac:dyDescent="0.25">
      <c r="A645" s="3" t="s">
        <v>1520</v>
      </c>
      <c r="B645" s="3" t="s">
        <v>1521</v>
      </c>
      <c r="C645" s="1">
        <v>20</v>
      </c>
      <c r="D645" s="1">
        <v>78.45</v>
      </c>
      <c r="E645" s="1" t="s">
        <v>442</v>
      </c>
      <c r="F645" s="1" t="s">
        <v>4988</v>
      </c>
      <c r="G645" s="3" t="s">
        <v>1522</v>
      </c>
      <c r="H645" s="11">
        <f t="shared" si="20"/>
        <v>375.28</v>
      </c>
      <c r="I645" s="9">
        <f>($K$2+0.02)*Tabla1[[#This Row],[PRECIO $]]*1.18</f>
        <v>319.36995000000002</v>
      </c>
      <c r="J645" s="7">
        <f>+Tabla1[[#This Row],[PRECIO EN SOLES]]-Tabla1[[#This Row],[PC]]</f>
        <v>55.910049999999956</v>
      </c>
      <c r="K645" s="15"/>
      <c r="L645" s="15" t="str">
        <f t="shared" si="21"/>
        <v>NORMAL</v>
      </c>
    </row>
    <row r="646" spans="1:12" x14ac:dyDescent="0.25">
      <c r="A646" s="3" t="s">
        <v>1523</v>
      </c>
      <c r="B646" s="3" t="s">
        <v>1524</v>
      </c>
      <c r="C646" s="1">
        <v>20</v>
      </c>
      <c r="D646" s="1">
        <v>115.6</v>
      </c>
      <c r="E646" s="1" t="s">
        <v>355</v>
      </c>
      <c r="F646" s="1" t="s">
        <v>4989</v>
      </c>
      <c r="G646" s="3" t="s">
        <v>1525</v>
      </c>
      <c r="H646" s="11">
        <f t="shared" si="20"/>
        <v>549.20000000000005</v>
      </c>
      <c r="I646" s="9">
        <f>($K$2+0.02)*Tabla1[[#This Row],[PRECIO $]]*1.18</f>
        <v>470.60759999999999</v>
      </c>
      <c r="J646" s="7">
        <f>+Tabla1[[#This Row],[PRECIO EN SOLES]]-Tabla1[[#This Row],[PC]]</f>
        <v>78.592400000000055</v>
      </c>
      <c r="K646" s="15"/>
      <c r="L646" s="15" t="str">
        <f t="shared" si="21"/>
        <v>NORMAL</v>
      </c>
    </row>
    <row r="647" spans="1:12" x14ac:dyDescent="0.25">
      <c r="A647" s="3" t="s">
        <v>1526</v>
      </c>
      <c r="B647" s="3" t="s">
        <v>1527</v>
      </c>
      <c r="C647" s="1">
        <v>14</v>
      </c>
      <c r="D647" s="1">
        <v>111.6</v>
      </c>
      <c r="E647" s="1" t="s">
        <v>456</v>
      </c>
      <c r="F647" s="1" t="s">
        <v>4990</v>
      </c>
      <c r="G647" s="3" t="s">
        <v>1528</v>
      </c>
      <c r="H647" s="11">
        <f t="shared" si="20"/>
        <v>530.47</v>
      </c>
      <c r="I647" s="9">
        <f>($K$2+0.02)*Tabla1[[#This Row],[PRECIO $]]*1.18</f>
        <v>454.32359999999994</v>
      </c>
      <c r="J647" s="7">
        <f>+Tabla1[[#This Row],[PRECIO EN SOLES]]-Tabla1[[#This Row],[PC]]</f>
        <v>76.146400000000085</v>
      </c>
      <c r="K647" s="15"/>
      <c r="L647" s="15" t="str">
        <f t="shared" si="21"/>
        <v>NORMAL</v>
      </c>
    </row>
    <row r="648" spans="1:12" x14ac:dyDescent="0.25">
      <c r="A648" s="3" t="s">
        <v>1529</v>
      </c>
      <c r="B648" s="3" t="s">
        <v>1530</v>
      </c>
      <c r="C648" s="1">
        <v>20</v>
      </c>
      <c r="D648" s="1">
        <v>115</v>
      </c>
      <c r="E648" s="1" t="s">
        <v>456</v>
      </c>
      <c r="F648" s="1" t="s">
        <v>4991</v>
      </c>
      <c r="G648" s="3" t="s">
        <v>1531</v>
      </c>
      <c r="H648" s="11">
        <f t="shared" si="20"/>
        <v>546.39</v>
      </c>
      <c r="I648" s="9">
        <f>($K$2+0.02)*Tabla1[[#This Row],[PRECIO $]]*1.18</f>
        <v>468.16499999999996</v>
      </c>
      <c r="J648" s="7">
        <f>+Tabla1[[#This Row],[PRECIO EN SOLES]]-Tabla1[[#This Row],[PC]]</f>
        <v>78.225000000000023</v>
      </c>
      <c r="K648" s="15"/>
      <c r="L648" s="15" t="str">
        <f t="shared" si="21"/>
        <v>NORMAL</v>
      </c>
    </row>
    <row r="649" spans="1:12" x14ac:dyDescent="0.25">
      <c r="A649" s="3" t="s">
        <v>1532</v>
      </c>
      <c r="B649" s="3" t="s">
        <v>1533</v>
      </c>
      <c r="C649" s="1">
        <v>2</v>
      </c>
      <c r="D649" s="1">
        <v>181.5</v>
      </c>
      <c r="E649" s="1" t="s">
        <v>456</v>
      </c>
      <c r="F649" s="1" t="s">
        <v>4992</v>
      </c>
      <c r="G649" s="3"/>
      <c r="H649" s="11">
        <f t="shared" si="20"/>
        <v>857.72</v>
      </c>
      <c r="I649" s="9">
        <f>($K$2+0.02)*Tabla1[[#This Row],[PRECIO $]]*1.18</f>
        <v>738.88650000000007</v>
      </c>
      <c r="J649" s="7">
        <f>+Tabla1[[#This Row],[PRECIO EN SOLES]]-Tabla1[[#This Row],[PC]]</f>
        <v>118.83349999999996</v>
      </c>
      <c r="K649" s="15"/>
      <c r="L649" s="15" t="str">
        <f t="shared" si="21"/>
        <v>NORMAL</v>
      </c>
    </row>
    <row r="650" spans="1:12" x14ac:dyDescent="0.25">
      <c r="A650" s="3" t="s">
        <v>1534</v>
      </c>
      <c r="B650" s="3" t="s">
        <v>1535</v>
      </c>
      <c r="C650" s="1">
        <v>20</v>
      </c>
      <c r="D650" s="1">
        <v>110</v>
      </c>
      <c r="E650" s="1" t="s">
        <v>340</v>
      </c>
      <c r="F650" s="1" t="s">
        <v>4993</v>
      </c>
      <c r="G650" s="3" t="s">
        <v>1536</v>
      </c>
      <c r="H650" s="11">
        <f t="shared" si="20"/>
        <v>522.98</v>
      </c>
      <c r="I650" s="9">
        <f>($K$2+0.02)*Tabla1[[#This Row],[PRECIO $]]*1.18</f>
        <v>447.81</v>
      </c>
      <c r="J650" s="7">
        <f>+Tabla1[[#This Row],[PRECIO EN SOLES]]-Tabla1[[#This Row],[PC]]</f>
        <v>75.170000000000016</v>
      </c>
      <c r="K650" s="15"/>
      <c r="L650" s="15" t="str">
        <f t="shared" si="21"/>
        <v>NORMAL</v>
      </c>
    </row>
    <row r="651" spans="1:12" x14ac:dyDescent="0.25">
      <c r="A651" s="3" t="s">
        <v>1537</v>
      </c>
      <c r="B651" s="3" t="s">
        <v>1538</v>
      </c>
      <c r="C651" s="1">
        <v>20</v>
      </c>
      <c r="D651" s="1">
        <v>75.400000000000006</v>
      </c>
      <c r="E651" s="1" t="s">
        <v>340</v>
      </c>
      <c r="F651" s="1" t="s">
        <v>4994</v>
      </c>
      <c r="G651" s="3" t="s">
        <v>1539</v>
      </c>
      <c r="H651" s="11">
        <f t="shared" si="20"/>
        <v>361</v>
      </c>
      <c r="I651" s="9">
        <f>($K$2+0.02)*Tabla1[[#This Row],[PRECIO $]]*1.18</f>
        <v>306.95340000000004</v>
      </c>
      <c r="J651" s="7">
        <f>+Tabla1[[#This Row],[PRECIO EN SOLES]]-Tabla1[[#This Row],[PC]]</f>
        <v>54.046599999999955</v>
      </c>
      <c r="K651" s="15"/>
      <c r="L651" s="15" t="str">
        <f t="shared" si="21"/>
        <v>NORMAL</v>
      </c>
    </row>
    <row r="652" spans="1:12" x14ac:dyDescent="0.25">
      <c r="A652" s="3" t="s">
        <v>1540</v>
      </c>
      <c r="B652" s="3" t="s">
        <v>1541</v>
      </c>
      <c r="C652" s="1">
        <v>1</v>
      </c>
      <c r="D652" s="1">
        <v>91.5</v>
      </c>
      <c r="E652" s="1" t="s">
        <v>442</v>
      </c>
      <c r="F652" s="1" t="s">
        <v>4995</v>
      </c>
      <c r="G652" s="3" t="s">
        <v>1542</v>
      </c>
      <c r="H652" s="11">
        <f t="shared" si="20"/>
        <v>436.37</v>
      </c>
      <c r="I652" s="9">
        <f>($K$2+0.02)*Tabla1[[#This Row],[PRECIO $]]*1.18</f>
        <v>372.49649999999997</v>
      </c>
      <c r="J652" s="7">
        <f>+Tabla1[[#This Row],[PRECIO EN SOLES]]-Tabla1[[#This Row],[PC]]</f>
        <v>63.873500000000035</v>
      </c>
      <c r="K652" s="15"/>
      <c r="L652" s="15" t="str">
        <f t="shared" si="21"/>
        <v>NORMAL</v>
      </c>
    </row>
    <row r="653" spans="1:12" x14ac:dyDescent="0.25">
      <c r="A653" s="3" t="s">
        <v>1543</v>
      </c>
      <c r="B653" s="3" t="s">
        <v>1544</v>
      </c>
      <c r="C653" s="1">
        <v>20</v>
      </c>
      <c r="D653" s="1">
        <v>109.2</v>
      </c>
      <c r="E653" s="1" t="s">
        <v>442</v>
      </c>
      <c r="F653" s="1" t="s">
        <v>4996</v>
      </c>
      <c r="G653" s="3" t="s">
        <v>1545</v>
      </c>
      <c r="H653" s="11">
        <f t="shared" si="20"/>
        <v>519.24</v>
      </c>
      <c r="I653" s="9">
        <f>($K$2+0.02)*Tabla1[[#This Row],[PRECIO $]]*1.18</f>
        <v>444.5532</v>
      </c>
      <c r="J653" s="7">
        <f>+Tabla1[[#This Row],[PRECIO EN SOLES]]-Tabla1[[#This Row],[PC]]</f>
        <v>74.686800000000005</v>
      </c>
      <c r="K653" s="15"/>
      <c r="L653" s="15" t="str">
        <f t="shared" si="21"/>
        <v>NORMAL</v>
      </c>
    </row>
    <row r="654" spans="1:12" x14ac:dyDescent="0.25">
      <c r="A654" s="3" t="s">
        <v>1546</v>
      </c>
      <c r="B654" s="3" t="s">
        <v>1547</v>
      </c>
      <c r="C654" s="1">
        <v>1</v>
      </c>
      <c r="D654" s="1">
        <v>179.5</v>
      </c>
      <c r="E654" s="1" t="s">
        <v>442</v>
      </c>
      <c r="F654" s="1" t="s">
        <v>4997</v>
      </c>
      <c r="G654" s="3" t="s">
        <v>1548</v>
      </c>
      <c r="H654" s="11">
        <f t="shared" si="20"/>
        <v>848.36</v>
      </c>
      <c r="I654" s="9">
        <f>($K$2+0.02)*Tabla1[[#This Row],[PRECIO $]]*1.18</f>
        <v>730.7444999999999</v>
      </c>
      <c r="J654" s="7">
        <f>+Tabla1[[#This Row],[PRECIO EN SOLES]]-Tabla1[[#This Row],[PC]]</f>
        <v>117.61550000000011</v>
      </c>
      <c r="K654" s="15"/>
      <c r="L654" s="15" t="str">
        <f t="shared" si="21"/>
        <v>NORMAL</v>
      </c>
    </row>
    <row r="655" spans="1:12" x14ac:dyDescent="0.25">
      <c r="A655" s="3" t="s">
        <v>1549</v>
      </c>
      <c r="B655" s="3" t="s">
        <v>1550</v>
      </c>
      <c r="C655" s="1">
        <v>14</v>
      </c>
      <c r="D655" s="1">
        <v>104.6</v>
      </c>
      <c r="E655" s="1" t="s">
        <v>442</v>
      </c>
      <c r="F655" s="1" t="s">
        <v>4998</v>
      </c>
      <c r="G655" s="3" t="s">
        <v>1551</v>
      </c>
      <c r="H655" s="11">
        <f t="shared" si="20"/>
        <v>497.7</v>
      </c>
      <c r="I655" s="9">
        <f>($K$2+0.02)*Tabla1[[#This Row],[PRECIO $]]*1.18</f>
        <v>425.82659999999998</v>
      </c>
      <c r="J655" s="7">
        <f>+Tabla1[[#This Row],[PRECIO EN SOLES]]-Tabla1[[#This Row],[PC]]</f>
        <v>71.873400000000004</v>
      </c>
      <c r="K655" s="15"/>
      <c r="L655" s="15" t="str">
        <f t="shared" si="21"/>
        <v>NORMAL</v>
      </c>
    </row>
    <row r="656" spans="1:12" x14ac:dyDescent="0.25">
      <c r="A656" s="3" t="s">
        <v>1552</v>
      </c>
      <c r="B656" s="3" t="s">
        <v>1553</v>
      </c>
      <c r="C656" s="1">
        <v>20</v>
      </c>
      <c r="D656" s="1">
        <v>115</v>
      </c>
      <c r="E656" s="1" t="s">
        <v>442</v>
      </c>
      <c r="F656" s="1" t="s">
        <v>4999</v>
      </c>
      <c r="G656" s="3" t="s">
        <v>1554</v>
      </c>
      <c r="H656" s="11">
        <f t="shared" si="20"/>
        <v>546.39</v>
      </c>
      <c r="I656" s="9">
        <f>($K$2+0.02)*Tabla1[[#This Row],[PRECIO $]]*1.18</f>
        <v>468.16499999999996</v>
      </c>
      <c r="J656" s="7">
        <f>+Tabla1[[#This Row],[PRECIO EN SOLES]]-Tabla1[[#This Row],[PC]]</f>
        <v>78.225000000000023</v>
      </c>
      <c r="K656" s="15"/>
      <c r="L656" s="15" t="str">
        <f t="shared" si="21"/>
        <v>NORMAL</v>
      </c>
    </row>
    <row r="657" spans="1:12" x14ac:dyDescent="0.25">
      <c r="A657" s="3" t="s">
        <v>1555</v>
      </c>
      <c r="B657" s="3" t="s">
        <v>1556</v>
      </c>
      <c r="C657" s="1">
        <v>20</v>
      </c>
      <c r="D657" s="1">
        <v>107.1</v>
      </c>
      <c r="E657" s="1" t="s">
        <v>442</v>
      </c>
      <c r="F657" s="1" t="s">
        <v>5000</v>
      </c>
      <c r="G657" s="3" t="s">
        <v>1557</v>
      </c>
      <c r="H657" s="11">
        <f t="shared" si="20"/>
        <v>509.4</v>
      </c>
      <c r="I657" s="9">
        <f>($K$2+0.02)*Tabla1[[#This Row],[PRECIO $]]*1.18</f>
        <v>436.00409999999999</v>
      </c>
      <c r="J657" s="7">
        <f>+Tabla1[[#This Row],[PRECIO EN SOLES]]-Tabla1[[#This Row],[PC]]</f>
        <v>73.395899999999983</v>
      </c>
      <c r="K657" s="15"/>
      <c r="L657" s="15" t="str">
        <f t="shared" si="21"/>
        <v>NORMAL</v>
      </c>
    </row>
    <row r="658" spans="1:12" x14ac:dyDescent="0.25">
      <c r="A658" s="3" t="s">
        <v>1558</v>
      </c>
      <c r="B658" s="3" t="s">
        <v>1559</v>
      </c>
      <c r="C658" s="1">
        <v>20</v>
      </c>
      <c r="D658" s="1">
        <v>74.900000000000006</v>
      </c>
      <c r="E658" s="1" t="s">
        <v>442</v>
      </c>
      <c r="F658" s="1" t="s">
        <v>5001</v>
      </c>
      <c r="G658" s="3" t="s">
        <v>1560</v>
      </c>
      <c r="H658" s="11">
        <f t="shared" si="20"/>
        <v>358.66</v>
      </c>
      <c r="I658" s="9">
        <f>($K$2+0.02)*Tabla1[[#This Row],[PRECIO $]]*1.18</f>
        <v>304.91790000000003</v>
      </c>
      <c r="J658" s="7">
        <f>+Tabla1[[#This Row],[PRECIO EN SOLES]]-Tabla1[[#This Row],[PC]]</f>
        <v>53.742099999999994</v>
      </c>
      <c r="K658" s="15"/>
      <c r="L658" s="15" t="str">
        <f t="shared" si="21"/>
        <v>NORMAL</v>
      </c>
    </row>
    <row r="659" spans="1:12" x14ac:dyDescent="0.25">
      <c r="A659" s="3" t="s">
        <v>6913</v>
      </c>
      <c r="B659" s="3" t="s">
        <v>6914</v>
      </c>
      <c r="C659" s="1">
        <v>8</v>
      </c>
      <c r="D659" s="1">
        <v>363</v>
      </c>
      <c r="E659" s="1" t="s">
        <v>442</v>
      </c>
      <c r="F659" s="1" t="s">
        <v>6915</v>
      </c>
      <c r="G659" s="3"/>
      <c r="H659" s="11">
        <f t="shared" si="20"/>
        <v>1707.44</v>
      </c>
      <c r="I659" s="9">
        <f>($K$2+0.02)*Tabla1[[#This Row],[PRECIO $]]*1.18</f>
        <v>1477.7730000000001</v>
      </c>
      <c r="J659" s="7">
        <f>+Tabla1[[#This Row],[PRECIO EN SOLES]]-Tabla1[[#This Row],[PC]]</f>
        <v>229.66699999999992</v>
      </c>
      <c r="K659" s="15"/>
      <c r="L659" s="15" t="str">
        <f t="shared" si="21"/>
        <v>NORMAL</v>
      </c>
    </row>
    <row r="660" spans="1:12" x14ac:dyDescent="0.25">
      <c r="A660" s="3" t="s">
        <v>1561</v>
      </c>
      <c r="B660" s="3" t="s">
        <v>1562</v>
      </c>
      <c r="C660" s="1">
        <v>20</v>
      </c>
      <c r="D660" s="1">
        <v>62.1</v>
      </c>
      <c r="E660" s="1" t="s">
        <v>355</v>
      </c>
      <c r="F660" s="1" t="s">
        <v>5002</v>
      </c>
      <c r="G660" s="3" t="s">
        <v>1563</v>
      </c>
      <c r="H660" s="11">
        <f t="shared" si="20"/>
        <v>298.73</v>
      </c>
      <c r="I660" s="9">
        <f>($K$2+0.02)*Tabla1[[#This Row],[PRECIO $]]*1.18</f>
        <v>252.8091</v>
      </c>
      <c r="J660" s="7">
        <f>+Tabla1[[#This Row],[PRECIO EN SOLES]]-Tabla1[[#This Row],[PC]]</f>
        <v>45.920900000000017</v>
      </c>
      <c r="K660" s="15"/>
      <c r="L660" s="15" t="str">
        <f t="shared" si="21"/>
        <v>NORMAL</v>
      </c>
    </row>
    <row r="661" spans="1:12" x14ac:dyDescent="0.25">
      <c r="A661" s="3" t="s">
        <v>1564</v>
      </c>
      <c r="B661" s="3" t="s">
        <v>1565</v>
      </c>
      <c r="C661" s="1">
        <v>20</v>
      </c>
      <c r="D661" s="1">
        <v>68.400000000000006</v>
      </c>
      <c r="E661" s="1" t="s">
        <v>355</v>
      </c>
      <c r="F661" s="1" t="s">
        <v>5003</v>
      </c>
      <c r="G661" s="3" t="s">
        <v>1566</v>
      </c>
      <c r="H661" s="11">
        <f t="shared" si="20"/>
        <v>328.22</v>
      </c>
      <c r="I661" s="9">
        <f>($K$2+0.02)*Tabla1[[#This Row],[PRECIO $]]*1.18</f>
        <v>278.45640000000003</v>
      </c>
      <c r="J661" s="7">
        <f>+Tabla1[[#This Row],[PRECIO EN SOLES]]-Tabla1[[#This Row],[PC]]</f>
        <v>49.763599999999997</v>
      </c>
      <c r="K661" s="15"/>
      <c r="L661" s="15" t="str">
        <f t="shared" si="21"/>
        <v>NORMAL</v>
      </c>
    </row>
    <row r="662" spans="1:12" x14ac:dyDescent="0.25">
      <c r="A662" s="3" t="s">
        <v>1567</v>
      </c>
      <c r="B662" s="3" t="s">
        <v>1568</v>
      </c>
      <c r="C662" s="1">
        <v>20</v>
      </c>
      <c r="D662" s="1">
        <v>72.8</v>
      </c>
      <c r="E662" s="1" t="s">
        <v>355</v>
      </c>
      <c r="F662" s="1" t="s">
        <v>5004</v>
      </c>
      <c r="G662" s="3" t="s">
        <v>1569</v>
      </c>
      <c r="H662" s="11">
        <f t="shared" si="20"/>
        <v>348.82</v>
      </c>
      <c r="I662" s="9">
        <f>($K$2+0.02)*Tabla1[[#This Row],[PRECIO $]]*1.18</f>
        <v>296.36879999999996</v>
      </c>
      <c r="J662" s="7">
        <f>+Tabla1[[#This Row],[PRECIO EN SOLES]]-Tabla1[[#This Row],[PC]]</f>
        <v>52.451200000000028</v>
      </c>
      <c r="K662" s="15"/>
      <c r="L662" s="15" t="str">
        <f t="shared" si="21"/>
        <v>NORMAL</v>
      </c>
    </row>
    <row r="663" spans="1:12" x14ac:dyDescent="0.25">
      <c r="A663" s="3" t="s">
        <v>1570</v>
      </c>
      <c r="B663" s="3" t="s">
        <v>1571</v>
      </c>
      <c r="C663" s="1">
        <v>20</v>
      </c>
      <c r="D663" s="1">
        <v>111</v>
      </c>
      <c r="E663" s="1" t="s">
        <v>355</v>
      </c>
      <c r="F663" s="1" t="s">
        <v>5005</v>
      </c>
      <c r="G663" s="3" t="s">
        <v>1572</v>
      </c>
      <c r="H663" s="11">
        <f t="shared" si="20"/>
        <v>527.66</v>
      </c>
      <c r="I663" s="9">
        <f>($K$2+0.02)*Tabla1[[#This Row],[PRECIO $]]*1.18</f>
        <v>451.88100000000003</v>
      </c>
      <c r="J663" s="7">
        <f>+Tabla1[[#This Row],[PRECIO EN SOLES]]-Tabla1[[#This Row],[PC]]</f>
        <v>75.77899999999994</v>
      </c>
      <c r="K663" s="15"/>
      <c r="L663" s="15" t="str">
        <f t="shared" si="21"/>
        <v>NORMAL</v>
      </c>
    </row>
    <row r="664" spans="1:12" x14ac:dyDescent="0.25">
      <c r="A664" s="3" t="s">
        <v>1573</v>
      </c>
      <c r="B664" s="3" t="s">
        <v>1574</v>
      </c>
      <c r="C664" s="1">
        <v>13</v>
      </c>
      <c r="D664" s="1">
        <v>231.5</v>
      </c>
      <c r="E664" s="1" t="s">
        <v>355</v>
      </c>
      <c r="F664" s="1" t="s">
        <v>5006</v>
      </c>
      <c r="G664" s="3" t="s">
        <v>1575</v>
      </c>
      <c r="H664" s="11">
        <f t="shared" si="20"/>
        <v>1091.8</v>
      </c>
      <c r="I664" s="9">
        <f>($K$2+0.02)*Tabla1[[#This Row],[PRECIO $]]*1.18</f>
        <v>942.43650000000002</v>
      </c>
      <c r="J664" s="7">
        <f>+Tabla1[[#This Row],[PRECIO EN SOLES]]-Tabla1[[#This Row],[PC]]</f>
        <v>149.36349999999993</v>
      </c>
      <c r="K664" s="15"/>
      <c r="L664" s="15" t="str">
        <f t="shared" si="21"/>
        <v>NORMAL</v>
      </c>
    </row>
    <row r="665" spans="1:12" x14ac:dyDescent="0.25">
      <c r="A665" s="3" t="s">
        <v>1576</v>
      </c>
      <c r="B665" s="3" t="s">
        <v>1577</v>
      </c>
      <c r="C665" s="1">
        <v>3</v>
      </c>
      <c r="D665" s="1">
        <v>111.1</v>
      </c>
      <c r="E665" s="1" t="s">
        <v>456</v>
      </c>
      <c r="F665" s="1" t="s">
        <v>5007</v>
      </c>
      <c r="G665" s="3"/>
      <c r="H665" s="11">
        <f t="shared" si="20"/>
        <v>528.13</v>
      </c>
      <c r="I665" s="9">
        <f>($K$2+0.02)*Tabla1[[#This Row],[PRECIO $]]*1.18</f>
        <v>452.28809999999999</v>
      </c>
      <c r="J665" s="7">
        <f>+Tabla1[[#This Row],[PRECIO EN SOLES]]-Tabla1[[#This Row],[PC]]</f>
        <v>75.84190000000001</v>
      </c>
      <c r="K665" s="15"/>
      <c r="L665" s="15" t="str">
        <f t="shared" si="21"/>
        <v>NORMAL</v>
      </c>
    </row>
    <row r="666" spans="1:12" x14ac:dyDescent="0.25">
      <c r="A666" s="3" t="s">
        <v>1578</v>
      </c>
      <c r="B666" s="3" t="s">
        <v>1579</v>
      </c>
      <c r="C666" s="1">
        <v>3</v>
      </c>
      <c r="D666" s="1">
        <v>434</v>
      </c>
      <c r="E666" s="1" t="s">
        <v>456</v>
      </c>
      <c r="F666" s="1" t="s">
        <v>5008</v>
      </c>
      <c r="G666" s="3" t="s">
        <v>1580</v>
      </c>
      <c r="H666" s="11">
        <f t="shared" si="20"/>
        <v>2039.84</v>
      </c>
      <c r="I666" s="9">
        <f>($K$2+0.02)*Tabla1[[#This Row],[PRECIO $]]*1.18</f>
        <v>1766.8140000000001</v>
      </c>
      <c r="J666" s="7">
        <f>+Tabla1[[#This Row],[PRECIO EN SOLES]]-Tabla1[[#This Row],[PC]]</f>
        <v>273.02599999999984</v>
      </c>
      <c r="K666" s="15"/>
      <c r="L666" s="15" t="str">
        <f t="shared" si="21"/>
        <v>NORMAL</v>
      </c>
    </row>
    <row r="667" spans="1:12" x14ac:dyDescent="0.25">
      <c r="A667" s="3" t="s">
        <v>1581</v>
      </c>
      <c r="B667" s="3" t="s">
        <v>1582</v>
      </c>
      <c r="C667" s="1">
        <v>10</v>
      </c>
      <c r="D667" s="1">
        <v>248</v>
      </c>
      <c r="E667" s="1" t="s">
        <v>456</v>
      </c>
      <c r="F667" s="1" t="s">
        <v>5009</v>
      </c>
      <c r="G667" s="3"/>
      <c r="H667" s="11">
        <f t="shared" si="20"/>
        <v>1169.05</v>
      </c>
      <c r="I667" s="9">
        <f>($K$2+0.02)*Tabla1[[#This Row],[PRECIO $]]*1.18</f>
        <v>1009.6079999999999</v>
      </c>
      <c r="J667" s="7">
        <f>+Tabla1[[#This Row],[PRECIO EN SOLES]]-Tabla1[[#This Row],[PC]]</f>
        <v>159.44200000000001</v>
      </c>
      <c r="K667" s="15"/>
      <c r="L667" s="15" t="str">
        <f t="shared" si="21"/>
        <v>NORMAL</v>
      </c>
    </row>
    <row r="668" spans="1:12" x14ac:dyDescent="0.25">
      <c r="A668" s="3" t="s">
        <v>1583</v>
      </c>
      <c r="B668" s="3" t="s">
        <v>1584</v>
      </c>
      <c r="C668" s="1">
        <v>5</v>
      </c>
      <c r="D668" s="1">
        <v>316</v>
      </c>
      <c r="E668" s="1" t="s">
        <v>456</v>
      </c>
      <c r="F668" s="1" t="s">
        <v>5010</v>
      </c>
      <c r="G668" s="3"/>
      <c r="H668" s="11">
        <f t="shared" si="20"/>
        <v>1487.4</v>
      </c>
      <c r="I668" s="9">
        <f>($K$2+0.02)*Tabla1[[#This Row],[PRECIO $]]*1.18</f>
        <v>1286.4359999999999</v>
      </c>
      <c r="J668" s="7">
        <f>+Tabla1[[#This Row],[PRECIO EN SOLES]]-Tabla1[[#This Row],[PC]]</f>
        <v>200.96400000000017</v>
      </c>
      <c r="K668" s="15"/>
      <c r="L668" s="15" t="str">
        <f t="shared" si="21"/>
        <v>NORMAL</v>
      </c>
    </row>
    <row r="669" spans="1:12" x14ac:dyDescent="0.25">
      <c r="A669" s="3" t="s">
        <v>1585</v>
      </c>
      <c r="B669" s="3" t="s">
        <v>1586</v>
      </c>
      <c r="C669" s="1">
        <v>8</v>
      </c>
      <c r="D669" s="1">
        <v>232</v>
      </c>
      <c r="E669" s="1" t="s">
        <v>456</v>
      </c>
      <c r="F669" s="1" t="s">
        <v>5011</v>
      </c>
      <c r="G669" s="3" t="s">
        <v>1587</v>
      </c>
      <c r="H669" s="11">
        <f t="shared" si="20"/>
        <v>1094.1400000000001</v>
      </c>
      <c r="I669" s="9">
        <f>($K$2+0.02)*Tabla1[[#This Row],[PRECIO $]]*1.18</f>
        <v>944.47200000000009</v>
      </c>
      <c r="J669" s="7">
        <f>+Tabla1[[#This Row],[PRECIO EN SOLES]]-Tabla1[[#This Row],[PC]]</f>
        <v>149.66800000000001</v>
      </c>
      <c r="K669" s="15"/>
      <c r="L669" s="15" t="str">
        <f t="shared" si="21"/>
        <v>NORMAL</v>
      </c>
    </row>
    <row r="670" spans="1:12" x14ac:dyDescent="0.25">
      <c r="A670" s="3" t="s">
        <v>1588</v>
      </c>
      <c r="B670" s="3" t="s">
        <v>1589</v>
      </c>
      <c r="C670" s="1">
        <v>3</v>
      </c>
      <c r="D670" s="1">
        <v>288.5</v>
      </c>
      <c r="E670" s="1" t="s">
        <v>456</v>
      </c>
      <c r="F670" s="1" t="s">
        <v>5012</v>
      </c>
      <c r="G670" s="3" t="s">
        <v>1590</v>
      </c>
      <c r="H670" s="11">
        <f t="shared" si="20"/>
        <v>1358.66</v>
      </c>
      <c r="I670" s="9">
        <f>($K$2+0.02)*Tabla1[[#This Row],[PRECIO $]]*1.18</f>
        <v>1174.4835</v>
      </c>
      <c r="J670" s="7">
        <f>+Tabla1[[#This Row],[PRECIO EN SOLES]]-Tabla1[[#This Row],[PC]]</f>
        <v>184.17650000000003</v>
      </c>
      <c r="K670" s="15"/>
      <c r="L670" s="15" t="str">
        <f t="shared" si="21"/>
        <v>NORMAL</v>
      </c>
    </row>
    <row r="671" spans="1:12" x14ac:dyDescent="0.25">
      <c r="A671" s="3" t="s">
        <v>1591</v>
      </c>
      <c r="B671" s="3" t="s">
        <v>1592</v>
      </c>
      <c r="C671" s="1">
        <v>14</v>
      </c>
      <c r="D671" s="1">
        <v>128.19999999999999</v>
      </c>
      <c r="E671" s="1" t="s">
        <v>340</v>
      </c>
      <c r="F671" s="1" t="s">
        <v>5013</v>
      </c>
      <c r="G671" s="3" t="s">
        <v>1593</v>
      </c>
      <c r="H671" s="11">
        <f t="shared" si="20"/>
        <v>608.19000000000005</v>
      </c>
      <c r="I671" s="9">
        <f>($K$2+0.02)*Tabla1[[#This Row],[PRECIO $]]*1.18</f>
        <v>521.90219999999988</v>
      </c>
      <c r="J671" s="7">
        <f>+Tabla1[[#This Row],[PRECIO EN SOLES]]-Tabla1[[#This Row],[PC]]</f>
        <v>86.287800000000175</v>
      </c>
      <c r="K671" s="15"/>
      <c r="L671" s="15" t="str">
        <f t="shared" si="21"/>
        <v>NORMAL</v>
      </c>
    </row>
    <row r="672" spans="1:12" x14ac:dyDescent="0.25">
      <c r="A672" s="3" t="s">
        <v>1594</v>
      </c>
      <c r="B672" s="3" t="s">
        <v>1595</v>
      </c>
      <c r="C672" s="1">
        <v>3</v>
      </c>
      <c r="D672" s="1">
        <v>305</v>
      </c>
      <c r="E672" s="1" t="s">
        <v>340</v>
      </c>
      <c r="F672" s="1" t="s">
        <v>5014</v>
      </c>
      <c r="G672" s="3" t="s">
        <v>1596</v>
      </c>
      <c r="H672" s="11">
        <f t="shared" si="20"/>
        <v>1435.9</v>
      </c>
      <c r="I672" s="9">
        <f>($K$2+0.02)*Tabla1[[#This Row],[PRECIO $]]*1.18</f>
        <v>1241.655</v>
      </c>
      <c r="J672" s="7">
        <f>+Tabla1[[#This Row],[PRECIO EN SOLES]]-Tabla1[[#This Row],[PC]]</f>
        <v>194.24500000000012</v>
      </c>
      <c r="K672" s="15"/>
      <c r="L672" s="15" t="str">
        <f t="shared" si="21"/>
        <v>NORMAL</v>
      </c>
    </row>
    <row r="673" spans="1:12" x14ac:dyDescent="0.25">
      <c r="A673" s="3" t="s">
        <v>1597</v>
      </c>
      <c r="B673" s="3" t="s">
        <v>1598</v>
      </c>
      <c r="C673" s="1">
        <v>20</v>
      </c>
      <c r="D673" s="1">
        <v>163</v>
      </c>
      <c r="E673" s="1" t="s">
        <v>340</v>
      </c>
      <c r="F673" s="1" t="s">
        <v>5015</v>
      </c>
      <c r="G673" s="3" t="s">
        <v>1599</v>
      </c>
      <c r="H673" s="11">
        <f t="shared" si="20"/>
        <v>771.11</v>
      </c>
      <c r="I673" s="9">
        <f>($K$2+0.02)*Tabla1[[#This Row],[PRECIO $]]*1.18</f>
        <v>663.57299999999998</v>
      </c>
      <c r="J673" s="7">
        <f>+Tabla1[[#This Row],[PRECIO EN SOLES]]-Tabla1[[#This Row],[PC]]</f>
        <v>107.53700000000003</v>
      </c>
      <c r="K673" s="15"/>
      <c r="L673" s="15" t="str">
        <f t="shared" si="21"/>
        <v>NORMAL</v>
      </c>
    </row>
    <row r="674" spans="1:12" x14ac:dyDescent="0.25">
      <c r="A674" s="3" t="s">
        <v>5016</v>
      </c>
      <c r="B674" s="3" t="s">
        <v>5017</v>
      </c>
      <c r="C674" s="1">
        <v>1</v>
      </c>
      <c r="D674" s="1">
        <v>178.5</v>
      </c>
      <c r="E674" s="1" t="s">
        <v>340</v>
      </c>
      <c r="F674" s="1" t="s">
        <v>5018</v>
      </c>
      <c r="G674" s="3" t="s">
        <v>5019</v>
      </c>
      <c r="H674" s="11">
        <f t="shared" si="20"/>
        <v>843.67</v>
      </c>
      <c r="I674" s="9">
        <f>($K$2+0.02)*Tabla1[[#This Row],[PRECIO $]]*1.18</f>
        <v>726.67349999999999</v>
      </c>
      <c r="J674" s="7">
        <f>+Tabla1[[#This Row],[PRECIO EN SOLES]]-Tabla1[[#This Row],[PC]]</f>
        <v>116.99649999999997</v>
      </c>
      <c r="K674" s="15"/>
      <c r="L674" s="15" t="str">
        <f t="shared" si="21"/>
        <v>NORMAL</v>
      </c>
    </row>
    <row r="675" spans="1:12" x14ac:dyDescent="0.25">
      <c r="A675" s="3" t="s">
        <v>1600</v>
      </c>
      <c r="B675" s="3" t="s">
        <v>1601</v>
      </c>
      <c r="C675" s="1">
        <v>20</v>
      </c>
      <c r="D675" s="1">
        <v>114.2</v>
      </c>
      <c r="E675" s="1" t="s">
        <v>340</v>
      </c>
      <c r="F675" s="1" t="s">
        <v>5020</v>
      </c>
      <c r="G675" s="3" t="s">
        <v>1602</v>
      </c>
      <c r="H675" s="11">
        <f t="shared" si="20"/>
        <v>542.64</v>
      </c>
      <c r="I675" s="9">
        <f>($K$2+0.02)*Tabla1[[#This Row],[PRECIO $]]*1.18</f>
        <v>464.90819999999997</v>
      </c>
      <c r="J675" s="7">
        <f>+Tabla1[[#This Row],[PRECIO EN SOLES]]-Tabla1[[#This Row],[PC]]</f>
        <v>77.731800000000021</v>
      </c>
      <c r="K675" s="15"/>
      <c r="L675" s="15" t="str">
        <f t="shared" si="21"/>
        <v>NORMAL</v>
      </c>
    </row>
    <row r="676" spans="1:12" x14ac:dyDescent="0.25">
      <c r="A676" s="3" t="s">
        <v>1603</v>
      </c>
      <c r="B676" s="3" t="s">
        <v>1604</v>
      </c>
      <c r="C676" s="1">
        <v>20</v>
      </c>
      <c r="D676" s="1">
        <v>263.13</v>
      </c>
      <c r="E676" s="1" t="s">
        <v>340</v>
      </c>
      <c r="F676" s="1" t="s">
        <v>5021</v>
      </c>
      <c r="G676" s="3" t="s">
        <v>1605</v>
      </c>
      <c r="H676" s="11">
        <f t="shared" si="20"/>
        <v>1239.8800000000001</v>
      </c>
      <c r="I676" s="9">
        <f>($K$2+0.02)*Tabla1[[#This Row],[PRECIO $]]*1.18</f>
        <v>1071.2022299999999</v>
      </c>
      <c r="J676" s="7">
        <f>+Tabla1[[#This Row],[PRECIO EN SOLES]]-Tabla1[[#This Row],[PC]]</f>
        <v>168.67777000000024</v>
      </c>
      <c r="K676" s="15"/>
      <c r="L676" s="15" t="str">
        <f t="shared" si="21"/>
        <v>NORMAL</v>
      </c>
    </row>
    <row r="677" spans="1:12" x14ac:dyDescent="0.25">
      <c r="A677" s="3" t="s">
        <v>1606</v>
      </c>
      <c r="B677" s="3" t="s">
        <v>1607</v>
      </c>
      <c r="C677" s="1">
        <v>20</v>
      </c>
      <c r="D677" s="1">
        <v>354.13</v>
      </c>
      <c r="E677" s="1" t="s">
        <v>340</v>
      </c>
      <c r="F677" s="1" t="s">
        <v>5022</v>
      </c>
      <c r="G677" s="3" t="s">
        <v>1608</v>
      </c>
      <c r="H677" s="11">
        <f t="shared" si="20"/>
        <v>1665.91</v>
      </c>
      <c r="I677" s="9">
        <f>($K$2+0.02)*Tabla1[[#This Row],[PRECIO $]]*1.18</f>
        <v>1441.6632300000001</v>
      </c>
      <c r="J677" s="7">
        <f>+Tabla1[[#This Row],[PRECIO EN SOLES]]-Tabla1[[#This Row],[PC]]</f>
        <v>224.24676999999997</v>
      </c>
      <c r="K677" s="15"/>
      <c r="L677" s="15" t="str">
        <f t="shared" si="21"/>
        <v>NORMAL</v>
      </c>
    </row>
    <row r="678" spans="1:12" x14ac:dyDescent="0.25">
      <c r="A678" s="3" t="s">
        <v>1609</v>
      </c>
      <c r="B678" s="3" t="s">
        <v>1610</v>
      </c>
      <c r="C678" s="1">
        <v>5</v>
      </c>
      <c r="D678" s="1">
        <v>147.80000000000001</v>
      </c>
      <c r="E678" s="1" t="s">
        <v>340</v>
      </c>
      <c r="F678" s="1" t="s">
        <v>5023</v>
      </c>
      <c r="G678" s="3" t="s">
        <v>1611</v>
      </c>
      <c r="H678" s="11">
        <f t="shared" si="20"/>
        <v>699.95</v>
      </c>
      <c r="I678" s="9">
        <f>($K$2+0.02)*Tabla1[[#This Row],[PRECIO $]]*1.18</f>
        <v>601.69380000000001</v>
      </c>
      <c r="J678" s="7">
        <f>+Tabla1[[#This Row],[PRECIO EN SOLES]]-Tabla1[[#This Row],[PC]]</f>
        <v>98.256200000000035</v>
      </c>
      <c r="K678" s="15"/>
      <c r="L678" s="15" t="str">
        <f t="shared" si="21"/>
        <v>NORMAL</v>
      </c>
    </row>
    <row r="679" spans="1:12" x14ac:dyDescent="0.25">
      <c r="A679" s="3" t="s">
        <v>1612</v>
      </c>
      <c r="B679" s="3" t="s">
        <v>1613</v>
      </c>
      <c r="C679" s="1">
        <v>20</v>
      </c>
      <c r="D679" s="1">
        <v>203.93</v>
      </c>
      <c r="E679" s="1" t="s">
        <v>340</v>
      </c>
      <c r="F679" s="1" t="s">
        <v>5024</v>
      </c>
      <c r="G679" s="3" t="s">
        <v>1614</v>
      </c>
      <c r="H679" s="11">
        <f t="shared" si="20"/>
        <v>962.73</v>
      </c>
      <c r="I679" s="9">
        <f>($K$2+0.02)*Tabla1[[#This Row],[PRECIO $]]*1.18</f>
        <v>830.19903000000011</v>
      </c>
      <c r="J679" s="7">
        <f>+Tabla1[[#This Row],[PRECIO EN SOLES]]-Tabla1[[#This Row],[PC]]</f>
        <v>132.53096999999991</v>
      </c>
      <c r="K679" s="15"/>
      <c r="L679" s="15" t="str">
        <f t="shared" si="21"/>
        <v>NORMAL</v>
      </c>
    </row>
    <row r="680" spans="1:12" x14ac:dyDescent="0.25">
      <c r="A680" s="3" t="s">
        <v>1615</v>
      </c>
      <c r="B680" s="3" t="s">
        <v>1616</v>
      </c>
      <c r="C680" s="1">
        <v>20</v>
      </c>
      <c r="D680" s="1">
        <v>219.3</v>
      </c>
      <c r="E680" s="1" t="s">
        <v>340</v>
      </c>
      <c r="F680" s="1" t="s">
        <v>5025</v>
      </c>
      <c r="G680" s="3" t="s">
        <v>1617</v>
      </c>
      <c r="H680" s="11">
        <f t="shared" si="20"/>
        <v>1034.69</v>
      </c>
      <c r="I680" s="9">
        <f>($K$2+0.02)*Tabla1[[#This Row],[PRECIO $]]*1.18</f>
        <v>892.77030000000002</v>
      </c>
      <c r="J680" s="7">
        <f>+Tabla1[[#This Row],[PRECIO EN SOLES]]-Tabla1[[#This Row],[PC]]</f>
        <v>141.91970000000003</v>
      </c>
      <c r="K680" s="15"/>
      <c r="L680" s="15" t="str">
        <f t="shared" si="21"/>
        <v>NORMAL</v>
      </c>
    </row>
    <row r="681" spans="1:12" x14ac:dyDescent="0.25">
      <c r="A681" s="3" t="s">
        <v>1618</v>
      </c>
      <c r="B681" s="3" t="s">
        <v>1619</v>
      </c>
      <c r="C681" s="1">
        <v>16</v>
      </c>
      <c r="D681" s="1">
        <v>302.04000000000002</v>
      </c>
      <c r="E681" s="1" t="s">
        <v>340</v>
      </c>
      <c r="F681" s="1" t="s">
        <v>5026</v>
      </c>
      <c r="G681" s="3" t="s">
        <v>1620</v>
      </c>
      <c r="H681" s="11">
        <f t="shared" si="20"/>
        <v>1422.05</v>
      </c>
      <c r="I681" s="9">
        <f>($K$2+0.02)*Tabla1[[#This Row],[PRECIO $]]*1.18</f>
        <v>1229.60484</v>
      </c>
      <c r="J681" s="7">
        <f>+Tabla1[[#This Row],[PRECIO EN SOLES]]-Tabla1[[#This Row],[PC]]</f>
        <v>192.44515999999999</v>
      </c>
      <c r="K681" s="15"/>
      <c r="L681" s="15" t="str">
        <f t="shared" si="21"/>
        <v>NORMAL</v>
      </c>
    </row>
    <row r="682" spans="1:12" x14ac:dyDescent="0.25">
      <c r="A682" s="3" t="s">
        <v>1621</v>
      </c>
      <c r="B682" s="3" t="s">
        <v>1622</v>
      </c>
      <c r="C682" s="1">
        <v>20</v>
      </c>
      <c r="D682" s="1">
        <v>274.48</v>
      </c>
      <c r="E682" s="1" t="s">
        <v>340</v>
      </c>
      <c r="F682" s="1" t="s">
        <v>5027</v>
      </c>
      <c r="G682" s="3" t="s">
        <v>1623</v>
      </c>
      <c r="H682" s="11">
        <f t="shared" si="20"/>
        <v>1293.02</v>
      </c>
      <c r="I682" s="9">
        <f>($K$2+0.02)*Tabla1[[#This Row],[PRECIO $]]*1.18</f>
        <v>1117.4080800000002</v>
      </c>
      <c r="J682" s="7">
        <f>+Tabla1[[#This Row],[PRECIO EN SOLES]]-Tabla1[[#This Row],[PC]]</f>
        <v>175.61191999999983</v>
      </c>
      <c r="K682" s="15"/>
      <c r="L682" s="15" t="str">
        <f t="shared" si="21"/>
        <v>NORMAL</v>
      </c>
    </row>
    <row r="683" spans="1:12" x14ac:dyDescent="0.25">
      <c r="A683" s="3" t="s">
        <v>1624</v>
      </c>
      <c r="B683" s="3" t="s">
        <v>1625</v>
      </c>
      <c r="C683" s="1">
        <v>20</v>
      </c>
      <c r="D683" s="1">
        <v>231.49</v>
      </c>
      <c r="E683" s="1" t="s">
        <v>340</v>
      </c>
      <c r="F683" s="1" t="s">
        <v>5028</v>
      </c>
      <c r="G683" s="3" t="s">
        <v>1626</v>
      </c>
      <c r="H683" s="11">
        <f t="shared" si="20"/>
        <v>1091.76</v>
      </c>
      <c r="I683" s="9">
        <f>($K$2+0.02)*Tabla1[[#This Row],[PRECIO $]]*1.18</f>
        <v>942.39579000000003</v>
      </c>
      <c r="J683" s="7">
        <f>+Tabla1[[#This Row],[PRECIO EN SOLES]]-Tabla1[[#This Row],[PC]]</f>
        <v>149.36420999999996</v>
      </c>
      <c r="K683" s="15"/>
      <c r="L683" s="15" t="str">
        <f t="shared" si="21"/>
        <v>NORMAL</v>
      </c>
    </row>
    <row r="684" spans="1:12" x14ac:dyDescent="0.25">
      <c r="A684" s="3" t="s">
        <v>1627</v>
      </c>
      <c r="B684" s="3" t="s">
        <v>1628</v>
      </c>
      <c r="C684" s="1">
        <v>9</v>
      </c>
      <c r="D684" s="1">
        <v>474</v>
      </c>
      <c r="E684" s="1" t="s">
        <v>340</v>
      </c>
      <c r="F684" s="1" t="s">
        <v>5029</v>
      </c>
      <c r="G684" s="3" t="s">
        <v>1629</v>
      </c>
      <c r="H684" s="11">
        <f t="shared" si="20"/>
        <v>2227.1</v>
      </c>
      <c r="I684" s="9">
        <f>($K$2+0.02)*Tabla1[[#This Row],[PRECIO $]]*1.18</f>
        <v>1929.6540000000002</v>
      </c>
      <c r="J684" s="7">
        <f>+Tabla1[[#This Row],[PRECIO EN SOLES]]-Tabla1[[#This Row],[PC]]</f>
        <v>297.44599999999969</v>
      </c>
      <c r="K684" s="15"/>
      <c r="L684" s="15" t="str">
        <f t="shared" si="21"/>
        <v>NORMAL</v>
      </c>
    </row>
    <row r="685" spans="1:12" x14ac:dyDescent="0.25">
      <c r="A685" s="3" t="s">
        <v>1630</v>
      </c>
      <c r="B685" s="3" t="s">
        <v>1631</v>
      </c>
      <c r="C685" s="1">
        <v>6</v>
      </c>
      <c r="D685" s="1">
        <v>185.5</v>
      </c>
      <c r="E685" s="1" t="s">
        <v>442</v>
      </c>
      <c r="F685" s="1" t="s">
        <v>5030</v>
      </c>
      <c r="G685" s="3" t="s">
        <v>1632</v>
      </c>
      <c r="H685" s="11">
        <f t="shared" si="20"/>
        <v>876.45</v>
      </c>
      <c r="I685" s="9">
        <f>($K$2+0.02)*Tabla1[[#This Row],[PRECIO $]]*1.18</f>
        <v>755.17049999999995</v>
      </c>
      <c r="J685" s="7">
        <f>+Tabla1[[#This Row],[PRECIO EN SOLES]]-Tabla1[[#This Row],[PC]]</f>
        <v>121.2795000000001</v>
      </c>
      <c r="K685" s="15"/>
      <c r="L685" s="15" t="str">
        <f t="shared" si="21"/>
        <v>NORMAL</v>
      </c>
    </row>
    <row r="686" spans="1:12" x14ac:dyDescent="0.25">
      <c r="A686" s="3" t="s">
        <v>1633</v>
      </c>
      <c r="B686" s="3" t="s">
        <v>1634</v>
      </c>
      <c r="C686" s="1">
        <v>6</v>
      </c>
      <c r="D686" s="1">
        <v>142.80000000000001</v>
      </c>
      <c r="E686" s="1" t="s">
        <v>442</v>
      </c>
      <c r="F686" s="1" t="s">
        <v>5031</v>
      </c>
      <c r="G686" s="3" t="s">
        <v>1635</v>
      </c>
      <c r="H686" s="11">
        <f t="shared" si="20"/>
        <v>676.54</v>
      </c>
      <c r="I686" s="9">
        <f>($K$2+0.02)*Tabla1[[#This Row],[PRECIO $]]*1.18</f>
        <v>581.33880000000011</v>
      </c>
      <c r="J686" s="7">
        <f>+Tabla1[[#This Row],[PRECIO EN SOLES]]-Tabla1[[#This Row],[PC]]</f>
        <v>95.201199999999858</v>
      </c>
      <c r="K686" s="15"/>
      <c r="L686" s="15" t="str">
        <f t="shared" si="21"/>
        <v>NORMAL</v>
      </c>
    </row>
    <row r="687" spans="1:12" x14ac:dyDescent="0.25">
      <c r="A687" s="3" t="s">
        <v>1636</v>
      </c>
      <c r="B687" s="3" t="s">
        <v>1637</v>
      </c>
      <c r="C687" s="1">
        <v>17</v>
      </c>
      <c r="D687" s="1">
        <v>151</v>
      </c>
      <c r="E687" s="1" t="s">
        <v>442</v>
      </c>
      <c r="F687" s="1" t="s">
        <v>5032</v>
      </c>
      <c r="G687" s="3" t="s">
        <v>1638</v>
      </c>
      <c r="H687" s="11">
        <f t="shared" si="20"/>
        <v>714.93</v>
      </c>
      <c r="I687" s="9">
        <f>($K$2+0.02)*Tabla1[[#This Row],[PRECIO $]]*1.18</f>
        <v>614.721</v>
      </c>
      <c r="J687" s="7">
        <f>+Tabla1[[#This Row],[PRECIO EN SOLES]]-Tabla1[[#This Row],[PC]]</f>
        <v>100.20899999999995</v>
      </c>
      <c r="K687" s="15"/>
      <c r="L687" s="15" t="str">
        <f t="shared" si="21"/>
        <v>NORMAL</v>
      </c>
    </row>
    <row r="688" spans="1:12" x14ac:dyDescent="0.25">
      <c r="A688" s="3" t="s">
        <v>1639</v>
      </c>
      <c r="B688" s="3" t="s">
        <v>1640</v>
      </c>
      <c r="C688" s="1">
        <v>2</v>
      </c>
      <c r="D688" s="1">
        <v>169</v>
      </c>
      <c r="E688" s="1" t="s">
        <v>442</v>
      </c>
      <c r="F688" s="1" t="s">
        <v>5033</v>
      </c>
      <c r="G688" s="3" t="s">
        <v>1641</v>
      </c>
      <c r="H688" s="11">
        <f t="shared" si="20"/>
        <v>799.2</v>
      </c>
      <c r="I688" s="9">
        <f>($K$2+0.02)*Tabla1[[#This Row],[PRECIO $]]*1.18</f>
        <v>687.99900000000002</v>
      </c>
      <c r="J688" s="7">
        <f>+Tabla1[[#This Row],[PRECIO EN SOLES]]-Tabla1[[#This Row],[PC]]</f>
        <v>111.20100000000002</v>
      </c>
      <c r="K688" s="15"/>
      <c r="L688" s="15" t="str">
        <f t="shared" si="21"/>
        <v>NORMAL</v>
      </c>
    </row>
    <row r="689" spans="1:12" x14ac:dyDescent="0.25">
      <c r="A689" s="3" t="s">
        <v>1642</v>
      </c>
      <c r="B689" s="3" t="s">
        <v>1643</v>
      </c>
      <c r="C689" s="1">
        <v>16</v>
      </c>
      <c r="D689" s="1">
        <v>172</v>
      </c>
      <c r="E689" s="1" t="s">
        <v>442</v>
      </c>
      <c r="F689" s="1" t="s">
        <v>5034</v>
      </c>
      <c r="G689" s="3" t="s">
        <v>1644</v>
      </c>
      <c r="H689" s="11">
        <f t="shared" si="20"/>
        <v>813.24</v>
      </c>
      <c r="I689" s="9">
        <f>($K$2+0.02)*Tabla1[[#This Row],[PRECIO $]]*1.18</f>
        <v>700.21199999999999</v>
      </c>
      <c r="J689" s="7">
        <f>+Tabla1[[#This Row],[PRECIO EN SOLES]]-Tabla1[[#This Row],[PC]]</f>
        <v>113.02800000000002</v>
      </c>
      <c r="K689" s="15"/>
      <c r="L689" s="15" t="str">
        <f t="shared" si="21"/>
        <v>NORMAL</v>
      </c>
    </row>
    <row r="690" spans="1:12" x14ac:dyDescent="0.25">
      <c r="A690" s="3" t="s">
        <v>1645</v>
      </c>
      <c r="B690" s="3" t="s">
        <v>1646</v>
      </c>
      <c r="C690" s="1">
        <v>20</v>
      </c>
      <c r="D690" s="1">
        <v>127.7</v>
      </c>
      <c r="E690" s="1" t="s">
        <v>442</v>
      </c>
      <c r="F690" s="1" t="s">
        <v>5035</v>
      </c>
      <c r="G690" s="3" t="s">
        <v>1647</v>
      </c>
      <c r="H690" s="11">
        <f t="shared" si="20"/>
        <v>605.85</v>
      </c>
      <c r="I690" s="9">
        <f>($K$2+0.02)*Tabla1[[#This Row],[PRECIO $]]*1.18</f>
        <v>519.86670000000004</v>
      </c>
      <c r="J690" s="7">
        <f>+Tabla1[[#This Row],[PRECIO EN SOLES]]-Tabla1[[#This Row],[PC]]</f>
        <v>85.983299999999986</v>
      </c>
      <c r="K690" s="15"/>
      <c r="L690" s="15" t="str">
        <f t="shared" si="21"/>
        <v>NORMAL</v>
      </c>
    </row>
    <row r="691" spans="1:12" x14ac:dyDescent="0.25">
      <c r="A691" s="3" t="s">
        <v>1648</v>
      </c>
      <c r="B691" s="3" t="s">
        <v>1649</v>
      </c>
      <c r="C691" s="1">
        <v>13</v>
      </c>
      <c r="D691" s="1">
        <v>147.9</v>
      </c>
      <c r="E691" s="1" t="s">
        <v>442</v>
      </c>
      <c r="F691" s="1" t="s">
        <v>5036</v>
      </c>
      <c r="G691" s="3" t="s">
        <v>1650</v>
      </c>
      <c r="H691" s="11">
        <f t="shared" si="20"/>
        <v>700.42</v>
      </c>
      <c r="I691" s="9">
        <f>($K$2+0.02)*Tabla1[[#This Row],[PRECIO $]]*1.18</f>
        <v>602.10090000000002</v>
      </c>
      <c r="J691" s="7">
        <f>+Tabla1[[#This Row],[PRECIO EN SOLES]]-Tabla1[[#This Row],[PC]]</f>
        <v>98.319099999999935</v>
      </c>
      <c r="K691" s="15"/>
      <c r="L691" s="15" t="str">
        <f t="shared" si="21"/>
        <v>NORMAL</v>
      </c>
    </row>
    <row r="692" spans="1:12" x14ac:dyDescent="0.25">
      <c r="A692" s="3" t="s">
        <v>1651</v>
      </c>
      <c r="B692" s="3" t="s">
        <v>1652</v>
      </c>
      <c r="C692" s="1">
        <v>8</v>
      </c>
      <c r="D692" s="1">
        <v>191</v>
      </c>
      <c r="E692" s="1" t="s">
        <v>442</v>
      </c>
      <c r="F692" s="1" t="s">
        <v>5037</v>
      </c>
      <c r="G692" s="3" t="s">
        <v>1653</v>
      </c>
      <c r="H692" s="11">
        <f t="shared" si="20"/>
        <v>902.2</v>
      </c>
      <c r="I692" s="9">
        <f>($K$2+0.02)*Tabla1[[#This Row],[PRECIO $]]*1.18</f>
        <v>777.56100000000004</v>
      </c>
      <c r="J692" s="7">
        <f>+Tabla1[[#This Row],[PRECIO EN SOLES]]-Tabla1[[#This Row],[PC]]</f>
        <v>124.63900000000001</v>
      </c>
      <c r="K692" s="15"/>
      <c r="L692" s="15" t="str">
        <f t="shared" si="21"/>
        <v>NORMAL</v>
      </c>
    </row>
    <row r="693" spans="1:12" x14ac:dyDescent="0.25">
      <c r="A693" s="3" t="s">
        <v>1654</v>
      </c>
      <c r="B693" s="3" t="s">
        <v>1655</v>
      </c>
      <c r="C693" s="1">
        <v>7</v>
      </c>
      <c r="D693" s="1">
        <v>204.5</v>
      </c>
      <c r="E693" s="1" t="s">
        <v>442</v>
      </c>
      <c r="F693" s="1" t="s">
        <v>5038</v>
      </c>
      <c r="G693" s="3" t="s">
        <v>1656</v>
      </c>
      <c r="H693" s="11">
        <f t="shared" si="20"/>
        <v>965.4</v>
      </c>
      <c r="I693" s="9">
        <f>($K$2+0.02)*Tabla1[[#This Row],[PRECIO $]]*1.18</f>
        <v>832.51950000000011</v>
      </c>
      <c r="J693" s="7">
        <f>+Tabla1[[#This Row],[PRECIO EN SOLES]]-Tabla1[[#This Row],[PC]]</f>
        <v>132.88049999999987</v>
      </c>
      <c r="K693" s="15"/>
      <c r="L693" s="15" t="str">
        <f t="shared" si="21"/>
        <v>NORMAL</v>
      </c>
    </row>
    <row r="694" spans="1:12" x14ac:dyDescent="0.25">
      <c r="A694" s="3" t="s">
        <v>1657</v>
      </c>
      <c r="B694" s="3" t="s">
        <v>1658</v>
      </c>
      <c r="C694" s="1">
        <v>4</v>
      </c>
      <c r="D694" s="1">
        <v>180</v>
      </c>
      <c r="E694" s="1" t="s">
        <v>442</v>
      </c>
      <c r="F694" s="1" t="s">
        <v>5039</v>
      </c>
      <c r="G694" s="3" t="s">
        <v>1659</v>
      </c>
      <c r="H694" s="11">
        <f t="shared" si="20"/>
        <v>850.7</v>
      </c>
      <c r="I694" s="9">
        <f>($K$2+0.02)*Tabla1[[#This Row],[PRECIO $]]*1.18</f>
        <v>732.78</v>
      </c>
      <c r="J694" s="7">
        <f>+Tabla1[[#This Row],[PRECIO EN SOLES]]-Tabla1[[#This Row],[PC]]</f>
        <v>117.92000000000007</v>
      </c>
      <c r="K694" s="15"/>
      <c r="L694" s="15" t="str">
        <f t="shared" si="21"/>
        <v>NORMAL</v>
      </c>
    </row>
    <row r="695" spans="1:12" x14ac:dyDescent="0.25">
      <c r="A695" s="3" t="s">
        <v>1660</v>
      </c>
      <c r="B695" s="3" t="s">
        <v>1661</v>
      </c>
      <c r="C695" s="1">
        <v>12</v>
      </c>
      <c r="D695" s="1">
        <v>174.5</v>
      </c>
      <c r="E695" s="1" t="s">
        <v>442</v>
      </c>
      <c r="F695" s="1" t="s">
        <v>5040</v>
      </c>
      <c r="G695" s="3"/>
      <c r="H695" s="11">
        <f t="shared" si="20"/>
        <v>824.95</v>
      </c>
      <c r="I695" s="9">
        <f>($K$2+0.02)*Tabla1[[#This Row],[PRECIO $]]*1.18</f>
        <v>710.38949999999988</v>
      </c>
      <c r="J695" s="7">
        <f>+Tabla1[[#This Row],[PRECIO EN SOLES]]-Tabla1[[#This Row],[PC]]</f>
        <v>114.56050000000016</v>
      </c>
      <c r="K695" s="15"/>
      <c r="L695" s="15" t="str">
        <f t="shared" si="21"/>
        <v>NORMAL</v>
      </c>
    </row>
    <row r="696" spans="1:12" x14ac:dyDescent="0.25">
      <c r="A696" s="3" t="s">
        <v>1662</v>
      </c>
      <c r="B696" s="3" t="s">
        <v>1663</v>
      </c>
      <c r="C696" s="1">
        <v>20</v>
      </c>
      <c r="D696" s="1">
        <v>185.3</v>
      </c>
      <c r="E696" s="1" t="s">
        <v>442</v>
      </c>
      <c r="F696" s="1" t="s">
        <v>5041</v>
      </c>
      <c r="G696" s="3" t="s">
        <v>1664</v>
      </c>
      <c r="H696" s="11">
        <f t="shared" si="20"/>
        <v>875.51</v>
      </c>
      <c r="I696" s="9">
        <f>($K$2+0.02)*Tabla1[[#This Row],[PRECIO $]]*1.18</f>
        <v>754.35630000000003</v>
      </c>
      <c r="J696" s="7">
        <f>+Tabla1[[#This Row],[PRECIO EN SOLES]]-Tabla1[[#This Row],[PC]]</f>
        <v>121.15369999999996</v>
      </c>
      <c r="K696" s="15"/>
      <c r="L696" s="15" t="str">
        <f t="shared" si="21"/>
        <v>NORMAL</v>
      </c>
    </row>
    <row r="697" spans="1:12" x14ac:dyDescent="0.25">
      <c r="A697" s="3" t="s">
        <v>1665</v>
      </c>
      <c r="B697" s="3" t="s">
        <v>1666</v>
      </c>
      <c r="C697" s="1">
        <v>20</v>
      </c>
      <c r="D697" s="1">
        <v>118.6</v>
      </c>
      <c r="E697" s="1" t="s">
        <v>442</v>
      </c>
      <c r="F697" s="1" t="s">
        <v>5042</v>
      </c>
      <c r="G697" s="3" t="s">
        <v>1667</v>
      </c>
      <c r="H697" s="11">
        <f t="shared" si="20"/>
        <v>563.24</v>
      </c>
      <c r="I697" s="9">
        <f>($K$2+0.02)*Tabla1[[#This Row],[PRECIO $]]*1.18</f>
        <v>482.82060000000001</v>
      </c>
      <c r="J697" s="7">
        <f>+Tabla1[[#This Row],[PRECIO EN SOLES]]-Tabla1[[#This Row],[PC]]</f>
        <v>80.419399999999996</v>
      </c>
      <c r="K697" s="15"/>
      <c r="L697" s="15" t="str">
        <f t="shared" si="21"/>
        <v>NORMAL</v>
      </c>
    </row>
    <row r="698" spans="1:12" x14ac:dyDescent="0.25">
      <c r="A698" s="3" t="s">
        <v>1668</v>
      </c>
      <c r="B698" s="3" t="s">
        <v>1669</v>
      </c>
      <c r="C698" s="1">
        <v>15</v>
      </c>
      <c r="D698" s="1">
        <v>145.80000000000001</v>
      </c>
      <c r="E698" s="1" t="s">
        <v>442</v>
      </c>
      <c r="F698" s="1" t="s">
        <v>5043</v>
      </c>
      <c r="G698" s="3" t="s">
        <v>1670</v>
      </c>
      <c r="H698" s="11">
        <f t="shared" si="20"/>
        <v>690.58</v>
      </c>
      <c r="I698" s="9">
        <f>($K$2+0.02)*Tabla1[[#This Row],[PRECIO $]]*1.18</f>
        <v>593.55180000000007</v>
      </c>
      <c r="J698" s="7">
        <f>+Tabla1[[#This Row],[PRECIO EN SOLES]]-Tabla1[[#This Row],[PC]]</f>
        <v>97.02819999999997</v>
      </c>
      <c r="K698" s="15"/>
      <c r="L698" s="15" t="str">
        <f t="shared" si="21"/>
        <v>NORMAL</v>
      </c>
    </row>
    <row r="699" spans="1:12" x14ac:dyDescent="0.25">
      <c r="A699" s="3" t="s">
        <v>1671</v>
      </c>
      <c r="B699" s="3" t="s">
        <v>1672</v>
      </c>
      <c r="C699" s="1">
        <v>6</v>
      </c>
      <c r="D699" s="1">
        <v>251.5</v>
      </c>
      <c r="E699" s="1" t="s">
        <v>442</v>
      </c>
      <c r="F699" s="1" t="s">
        <v>5044</v>
      </c>
      <c r="G699" s="3" t="s">
        <v>1673</v>
      </c>
      <c r="H699" s="11">
        <f t="shared" si="20"/>
        <v>1185.43</v>
      </c>
      <c r="I699" s="9">
        <f>($K$2+0.02)*Tabla1[[#This Row],[PRECIO $]]*1.18</f>
        <v>1023.8565</v>
      </c>
      <c r="J699" s="7">
        <f>+Tabla1[[#This Row],[PRECIO EN SOLES]]-Tabla1[[#This Row],[PC]]</f>
        <v>161.57350000000008</v>
      </c>
      <c r="K699" s="15"/>
      <c r="L699" s="15" t="str">
        <f t="shared" si="21"/>
        <v>NORMAL</v>
      </c>
    </row>
    <row r="700" spans="1:12" x14ac:dyDescent="0.25">
      <c r="A700" s="3" t="s">
        <v>1674</v>
      </c>
      <c r="B700" s="3" t="s">
        <v>1675</v>
      </c>
      <c r="C700" s="1">
        <v>5</v>
      </c>
      <c r="D700" s="1">
        <v>248</v>
      </c>
      <c r="E700" s="1" t="s">
        <v>442</v>
      </c>
      <c r="F700" s="1" t="s">
        <v>5045</v>
      </c>
      <c r="G700" s="3" t="s">
        <v>1676</v>
      </c>
      <c r="H700" s="11">
        <f t="shared" si="20"/>
        <v>1169.05</v>
      </c>
      <c r="I700" s="9">
        <f>($K$2+0.02)*Tabla1[[#This Row],[PRECIO $]]*1.18</f>
        <v>1009.6079999999999</v>
      </c>
      <c r="J700" s="7">
        <f>+Tabla1[[#This Row],[PRECIO EN SOLES]]-Tabla1[[#This Row],[PC]]</f>
        <v>159.44200000000001</v>
      </c>
      <c r="K700" s="15"/>
      <c r="L700" s="15" t="str">
        <f t="shared" si="21"/>
        <v>NORMAL</v>
      </c>
    </row>
    <row r="701" spans="1:12" x14ac:dyDescent="0.25">
      <c r="A701" s="3" t="s">
        <v>1677</v>
      </c>
      <c r="B701" s="3" t="s">
        <v>1678</v>
      </c>
      <c r="C701" s="1">
        <v>0</v>
      </c>
      <c r="D701" s="1">
        <v>284</v>
      </c>
      <c r="E701" s="1" t="s">
        <v>442</v>
      </c>
      <c r="F701" s="1" t="s">
        <v>5046</v>
      </c>
      <c r="G701" s="3" t="s">
        <v>1679</v>
      </c>
      <c r="H701" s="11">
        <f t="shared" si="20"/>
        <v>1337.59</v>
      </c>
      <c r="I701" s="9">
        <f>($K$2+0.02)*Tabla1[[#This Row],[PRECIO $]]*1.18</f>
        <v>1156.164</v>
      </c>
      <c r="J701" s="7">
        <f>+Tabla1[[#This Row],[PRECIO EN SOLES]]-Tabla1[[#This Row],[PC]]</f>
        <v>181.42599999999993</v>
      </c>
      <c r="K701" s="15"/>
      <c r="L701" s="15" t="str">
        <f t="shared" si="21"/>
        <v>NORMAL</v>
      </c>
    </row>
    <row r="702" spans="1:12" x14ac:dyDescent="0.25">
      <c r="A702" s="3" t="s">
        <v>1680</v>
      </c>
      <c r="B702" s="3" t="s">
        <v>1681</v>
      </c>
      <c r="C702" s="1">
        <v>10</v>
      </c>
      <c r="D702" s="1">
        <v>204</v>
      </c>
      <c r="E702" s="1" t="s">
        <v>442</v>
      </c>
      <c r="F702" s="1" t="s">
        <v>5047</v>
      </c>
      <c r="G702" s="3" t="s">
        <v>1682</v>
      </c>
      <c r="H702" s="11">
        <f t="shared" si="20"/>
        <v>963.06</v>
      </c>
      <c r="I702" s="9">
        <f>($K$2+0.02)*Tabla1[[#This Row],[PRECIO $]]*1.18</f>
        <v>830.48400000000004</v>
      </c>
      <c r="J702" s="7">
        <f>+Tabla1[[#This Row],[PRECIO EN SOLES]]-Tabla1[[#This Row],[PC]]</f>
        <v>132.57599999999991</v>
      </c>
      <c r="K702" s="15"/>
      <c r="L702" s="15" t="str">
        <f t="shared" si="21"/>
        <v>NORMAL</v>
      </c>
    </row>
    <row r="703" spans="1:12" x14ac:dyDescent="0.25">
      <c r="A703" s="3" t="s">
        <v>1683</v>
      </c>
      <c r="B703" s="3" t="s">
        <v>1684</v>
      </c>
      <c r="C703" s="1">
        <v>7</v>
      </c>
      <c r="D703" s="1">
        <v>322</v>
      </c>
      <c r="E703" s="1" t="s">
        <v>442</v>
      </c>
      <c r="F703" s="1" t="s">
        <v>5048</v>
      </c>
      <c r="G703" s="3"/>
      <c r="H703" s="11">
        <f t="shared" si="20"/>
        <v>1515.49</v>
      </c>
      <c r="I703" s="9">
        <f>($K$2+0.02)*Tabla1[[#This Row],[PRECIO $]]*1.18</f>
        <v>1310.8620000000001</v>
      </c>
      <c r="J703" s="7">
        <f>+Tabla1[[#This Row],[PRECIO EN SOLES]]-Tabla1[[#This Row],[PC]]</f>
        <v>204.62799999999993</v>
      </c>
      <c r="K703" s="15"/>
      <c r="L703" s="15" t="str">
        <f t="shared" si="21"/>
        <v>NORMAL</v>
      </c>
    </row>
    <row r="704" spans="1:12" x14ac:dyDescent="0.25">
      <c r="A704" s="3" t="s">
        <v>1685</v>
      </c>
      <c r="B704" s="3" t="s">
        <v>1686</v>
      </c>
      <c r="C704" s="1">
        <v>1</v>
      </c>
      <c r="D704" s="1">
        <v>330</v>
      </c>
      <c r="E704" s="1" t="s">
        <v>442</v>
      </c>
      <c r="F704" s="1" t="s">
        <v>5049</v>
      </c>
      <c r="G704" s="3" t="s">
        <v>1687</v>
      </c>
      <c r="H704" s="11">
        <f t="shared" si="20"/>
        <v>1552.94</v>
      </c>
      <c r="I704" s="9">
        <f>($K$2+0.02)*Tabla1[[#This Row],[PRECIO $]]*1.18</f>
        <v>1343.4299999999998</v>
      </c>
      <c r="J704" s="7">
        <f>+Tabla1[[#This Row],[PRECIO EN SOLES]]-Tabla1[[#This Row],[PC]]</f>
        <v>209.51000000000022</v>
      </c>
      <c r="K704" s="15"/>
      <c r="L704" s="15" t="str">
        <f t="shared" si="21"/>
        <v>NORMAL</v>
      </c>
    </row>
    <row r="705" spans="1:12" x14ac:dyDescent="0.25">
      <c r="A705" s="3" t="s">
        <v>6916</v>
      </c>
      <c r="B705" s="3" t="s">
        <v>6917</v>
      </c>
      <c r="C705" s="1">
        <v>16</v>
      </c>
      <c r="D705" s="1">
        <v>190.6</v>
      </c>
      <c r="E705" s="1" t="s">
        <v>442</v>
      </c>
      <c r="F705" s="1" t="s">
        <v>6918</v>
      </c>
      <c r="G705" s="3" t="s">
        <v>6919</v>
      </c>
      <c r="H705" s="11">
        <f t="shared" si="20"/>
        <v>900.32</v>
      </c>
      <c r="I705" s="9">
        <f>($K$2+0.02)*Tabla1[[#This Row],[PRECIO $]]*1.18</f>
        <v>775.93259999999998</v>
      </c>
      <c r="J705" s="7">
        <f>+Tabla1[[#This Row],[PRECIO EN SOLES]]-Tabla1[[#This Row],[PC]]</f>
        <v>124.38740000000007</v>
      </c>
      <c r="K705" s="15"/>
      <c r="L705" s="15" t="str">
        <f t="shared" si="21"/>
        <v>NORMAL</v>
      </c>
    </row>
    <row r="706" spans="1:12" x14ac:dyDescent="0.25">
      <c r="A706" s="3" t="s">
        <v>1688</v>
      </c>
      <c r="B706" s="3" t="s">
        <v>1689</v>
      </c>
      <c r="C706" s="1">
        <v>3</v>
      </c>
      <c r="D706" s="1">
        <v>216</v>
      </c>
      <c r="E706" s="1" t="s">
        <v>442</v>
      </c>
      <c r="F706" s="1" t="s">
        <v>5050</v>
      </c>
      <c r="G706" s="3" t="s">
        <v>1690</v>
      </c>
      <c r="H706" s="11">
        <f t="shared" ref="H706:H769" si="22">ROUND(
IF(L706="GANCHO",
   IF(I706&lt;=50,I706*1.1+4,IF(I706&lt;=120,I706*1.1+7,IF(I706&lt;=250,I706*1.1+11,I706*1.1+19))),
IF(L706="NORMAL",
   IF(I706&lt;=30,I706*1.15+2,IF(I706&lt;=80,I706*1.15+4,IF(I706&lt;=150,I706*1.15+6,I706*1.15+8))),
IF(L706="COMPLEMENTO",
   IF(I706&lt;=25,I706*1.25+1.5,IF(I706&lt;=60,I706*1.25+3,IF(I706&lt;=120,I706*1.25+4,I706*1.25+5))),
""))),2)</f>
        <v>1019.24</v>
      </c>
      <c r="I706" s="9">
        <f>($K$2+0.02)*Tabla1[[#This Row],[PRECIO $]]*1.18</f>
        <v>879.33600000000001</v>
      </c>
      <c r="J706" s="7">
        <f>+Tabla1[[#This Row],[PRECIO EN SOLES]]-Tabla1[[#This Row],[PC]]</f>
        <v>139.904</v>
      </c>
      <c r="K706" s="15"/>
      <c r="L706" s="15" t="str">
        <f t="shared" si="21"/>
        <v>NORMAL</v>
      </c>
    </row>
    <row r="707" spans="1:12" x14ac:dyDescent="0.25">
      <c r="A707" s="3" t="s">
        <v>1691</v>
      </c>
      <c r="B707" s="3" t="s">
        <v>1692</v>
      </c>
      <c r="C707" s="1">
        <v>20</v>
      </c>
      <c r="D707" s="1">
        <v>206</v>
      </c>
      <c r="E707" s="1" t="s">
        <v>442</v>
      </c>
      <c r="F707" s="1" t="s">
        <v>5051</v>
      </c>
      <c r="G707" s="3" t="s">
        <v>1693</v>
      </c>
      <c r="H707" s="11">
        <f t="shared" si="22"/>
        <v>972.42</v>
      </c>
      <c r="I707" s="9">
        <f>($K$2+0.02)*Tabla1[[#This Row],[PRECIO $]]*1.18</f>
        <v>838.62599999999998</v>
      </c>
      <c r="J707" s="7">
        <f>+Tabla1[[#This Row],[PRECIO EN SOLES]]-Tabla1[[#This Row],[PC]]</f>
        <v>133.79399999999998</v>
      </c>
      <c r="K707" s="15"/>
      <c r="L707" s="15" t="str">
        <f t="shared" ref="L707:L770" si="23">IF(
OR(
ISNUMBER(SEARCH("BACKPACK",B707)),
ISNUMBER(SEARCH("MOCHILA",B707)),
ISNUMBER(SEARCH("FUNDA",B707)),
ISNUMBER(SEARCH("ESTUCHE",B707)),
ISNUMBER(SEARCH("BOOK COVER",B707)),
ISNUMBER(SEARCH("KEYBOARD PARA TABLET",B707)),
ISNUMBER(SEARCH("FLIP TABLET",B707)),
ISNUMBER(SEARCH("CASE FOR TABLET",B707)),
ISNUMBER(SEARCH("CABLE",B707)),
ISNUMBER(SEARCH("ADAPTADOR",B707)),
ISNUMBER(SEARCH("HUB",B707)),
ISNUMBER(SEARCH("DOCK",B707)),
ISNUMBER(SEARCH("MOUSE PAD",B707)),
ISNUMBER(SEARCH("MOUSEPAD",B707)),
ISNUMBER(SEARCH("SOPORTE",B707)),
ISNUMBER(SEARCH("STAND",B707)),
ISNUMBER(SEARCH("TRAVEL ADAPTER",B707)),
ISNUMBER(SEARCH("RJ45",B707)),
ISNUMBER(SEARCH("USB-C",B707)),
ISNUMBER(SEARCH("USB WIFI",B707)),
ISNUMBER(SEARCH("POWERBANK",B707)),
ISNUMBER(SEARCH("CARGADOR",B707)),
ISNUMBER(SEARCH("COOLER PARA NB",B707)),
ISNUMBER(SEARCH("SOPORTE PARA NB",B707)),
ISNUMBER(SEARCH("WEBCAM",B707)),
ISNUMBER(SEARCH("WEB CAM",B707)),
ISNUMBER(SEARCH("MOUSE",B707)),
ISNUMBER(SEARCH("TECLADO",B707))
),
"COMPLEMENTO",
IF(
OR(
LEFT(A707,2)="NB",
LEFT(A707,2)="PC",
LEFT(A707,2)="WS",
LEFT(A707,2)="TB",
LEFT(A707,3)="CEL",
LEFT(A707,3)="MON",
LEFT(A707,3)="PRE",
LEFT(A707,3)="PRH",
ISNUMBER(SEARCH("NOTEBOOK",B707)),
ISNUMBER(SEARCH("LAPTOP",B707)),
ISNUMBER(SEARCH("MONITOR",B707)),
ISNUMBER(SEARCH("TABLET",B707)),
ISNUMBER(SEARCH("SMARTPH",B707)),
ISNUMBER(SEARCH("IMPRESORA",B707)),
ISNUMBER(SEARCH("MULTIFUNCIONAL",B707)),
ISNUMBER(SEARCH("AIO",B707))
),
"GANCHO",
"NORMAL"
)
)</f>
        <v>NORMAL</v>
      </c>
    </row>
    <row r="708" spans="1:12" x14ac:dyDescent="0.25">
      <c r="A708" s="3" t="s">
        <v>1694</v>
      </c>
      <c r="B708" s="3" t="s">
        <v>1692</v>
      </c>
      <c r="C708" s="1">
        <v>2</v>
      </c>
      <c r="D708" s="1">
        <v>212.5</v>
      </c>
      <c r="E708" s="1" t="s">
        <v>442</v>
      </c>
      <c r="F708" s="1" t="s">
        <v>5052</v>
      </c>
      <c r="G708" s="3" t="s">
        <v>1695</v>
      </c>
      <c r="H708" s="11">
        <f t="shared" si="22"/>
        <v>1002.85</v>
      </c>
      <c r="I708" s="9">
        <f>($K$2+0.02)*Tabla1[[#This Row],[PRECIO $]]*1.18</f>
        <v>865.08749999999998</v>
      </c>
      <c r="J708" s="7">
        <f>+Tabla1[[#This Row],[PRECIO EN SOLES]]-Tabla1[[#This Row],[PC]]</f>
        <v>137.76250000000005</v>
      </c>
      <c r="K708" s="15"/>
      <c r="L708" s="15" t="str">
        <f t="shared" si="23"/>
        <v>NORMAL</v>
      </c>
    </row>
    <row r="709" spans="1:12" x14ac:dyDescent="0.25">
      <c r="A709" s="3" t="s">
        <v>1696</v>
      </c>
      <c r="B709" s="3" t="s">
        <v>1697</v>
      </c>
      <c r="C709" s="1">
        <v>10</v>
      </c>
      <c r="D709" s="1">
        <v>239</v>
      </c>
      <c r="E709" s="1" t="s">
        <v>355</v>
      </c>
      <c r="F709" s="1" t="s">
        <v>5053</v>
      </c>
      <c r="G709" s="3" t="s">
        <v>1698</v>
      </c>
      <c r="H709" s="11">
        <f t="shared" si="22"/>
        <v>1126.9100000000001</v>
      </c>
      <c r="I709" s="9">
        <f>($K$2+0.02)*Tabla1[[#This Row],[PRECIO $]]*1.18</f>
        <v>972.96900000000005</v>
      </c>
      <c r="J709" s="7">
        <f>+Tabla1[[#This Row],[PRECIO EN SOLES]]-Tabla1[[#This Row],[PC]]</f>
        <v>153.94100000000003</v>
      </c>
      <c r="K709" s="15"/>
      <c r="L709" s="15" t="str">
        <f t="shared" si="23"/>
        <v>NORMAL</v>
      </c>
    </row>
    <row r="710" spans="1:12" x14ac:dyDescent="0.25">
      <c r="A710" s="3" t="s">
        <v>1699</v>
      </c>
      <c r="B710" s="3" t="s">
        <v>1700</v>
      </c>
      <c r="C710" s="1">
        <v>8</v>
      </c>
      <c r="D710" s="1">
        <v>230.5</v>
      </c>
      <c r="E710" s="1" t="s">
        <v>355</v>
      </c>
      <c r="F710" s="1" t="s">
        <v>5054</v>
      </c>
      <c r="G710" s="3" t="s">
        <v>1701</v>
      </c>
      <c r="H710" s="11">
        <f t="shared" si="22"/>
        <v>1087.1199999999999</v>
      </c>
      <c r="I710" s="9">
        <f>($K$2+0.02)*Tabla1[[#This Row],[PRECIO $]]*1.18</f>
        <v>938.3655</v>
      </c>
      <c r="J710" s="7">
        <f>+Tabla1[[#This Row],[PRECIO EN SOLES]]-Tabla1[[#This Row],[PC]]</f>
        <v>148.75449999999989</v>
      </c>
      <c r="K710" s="15"/>
      <c r="L710" s="15" t="str">
        <f t="shared" si="23"/>
        <v>NORMAL</v>
      </c>
    </row>
    <row r="711" spans="1:12" x14ac:dyDescent="0.25">
      <c r="A711" s="3" t="s">
        <v>1702</v>
      </c>
      <c r="B711" s="3" t="s">
        <v>1703</v>
      </c>
      <c r="C711" s="1">
        <v>5</v>
      </c>
      <c r="D711" s="1">
        <v>435</v>
      </c>
      <c r="E711" s="1" t="s">
        <v>355</v>
      </c>
      <c r="F711" s="1" t="s">
        <v>5055</v>
      </c>
      <c r="G711" s="3" t="s">
        <v>1704</v>
      </c>
      <c r="H711" s="11">
        <f t="shared" si="22"/>
        <v>2044.52</v>
      </c>
      <c r="I711" s="9">
        <f>($K$2+0.02)*Tabla1[[#This Row],[PRECIO $]]*1.18</f>
        <v>1770.885</v>
      </c>
      <c r="J711" s="7">
        <f>+Tabla1[[#This Row],[PRECIO EN SOLES]]-Tabla1[[#This Row],[PC]]</f>
        <v>273.63499999999999</v>
      </c>
      <c r="K711" s="15"/>
      <c r="L711" s="15" t="str">
        <f t="shared" si="23"/>
        <v>NORMAL</v>
      </c>
    </row>
    <row r="712" spans="1:12" x14ac:dyDescent="0.25">
      <c r="A712" s="3" t="s">
        <v>1705</v>
      </c>
      <c r="B712" s="3" t="s">
        <v>1706</v>
      </c>
      <c r="C712" s="1">
        <v>8</v>
      </c>
      <c r="D712" s="1">
        <v>256.64999999999998</v>
      </c>
      <c r="E712" s="1" t="s">
        <v>355</v>
      </c>
      <c r="F712" s="1" t="s">
        <v>5056</v>
      </c>
      <c r="G712" s="3" t="s">
        <v>1707</v>
      </c>
      <c r="H712" s="11">
        <f t="shared" si="22"/>
        <v>1209.55</v>
      </c>
      <c r="I712" s="9">
        <f>($K$2+0.02)*Tabla1[[#This Row],[PRECIO $]]*1.18</f>
        <v>1044.82215</v>
      </c>
      <c r="J712" s="7">
        <f>+Tabla1[[#This Row],[PRECIO EN SOLES]]-Tabla1[[#This Row],[PC]]</f>
        <v>164.72784999999999</v>
      </c>
      <c r="K712" s="15"/>
      <c r="L712" s="15" t="str">
        <f t="shared" si="23"/>
        <v>NORMAL</v>
      </c>
    </row>
    <row r="713" spans="1:12" x14ac:dyDescent="0.25">
      <c r="A713" s="3" t="s">
        <v>1708</v>
      </c>
      <c r="B713" s="3" t="s">
        <v>1709</v>
      </c>
      <c r="C713" s="1">
        <v>3</v>
      </c>
      <c r="D713" s="1">
        <v>250.5</v>
      </c>
      <c r="E713" s="1" t="s">
        <v>355</v>
      </c>
      <c r="F713" s="1" t="s">
        <v>5057</v>
      </c>
      <c r="G713" s="3" t="s">
        <v>1710</v>
      </c>
      <c r="H713" s="11">
        <f t="shared" si="22"/>
        <v>1180.75</v>
      </c>
      <c r="I713" s="9">
        <f>($K$2+0.02)*Tabla1[[#This Row],[PRECIO $]]*1.18</f>
        <v>1019.7855</v>
      </c>
      <c r="J713" s="7">
        <f>+Tabla1[[#This Row],[PRECIO EN SOLES]]-Tabla1[[#This Row],[PC]]</f>
        <v>160.96450000000004</v>
      </c>
      <c r="K713" s="15"/>
      <c r="L713" s="15" t="str">
        <f t="shared" si="23"/>
        <v>NORMAL</v>
      </c>
    </row>
    <row r="714" spans="1:12" x14ac:dyDescent="0.25">
      <c r="A714" s="3" t="s">
        <v>1711</v>
      </c>
      <c r="B714" s="3" t="s">
        <v>5058</v>
      </c>
      <c r="C714" s="1">
        <v>20</v>
      </c>
      <c r="D714" s="1">
        <v>271.5</v>
      </c>
      <c r="E714" s="1" t="s">
        <v>131</v>
      </c>
      <c r="F714" s="1" t="s">
        <v>5059</v>
      </c>
      <c r="G714" s="3" t="s">
        <v>5060</v>
      </c>
      <c r="H714" s="11">
        <f t="shared" si="22"/>
        <v>1279.07</v>
      </c>
      <c r="I714" s="9">
        <f>($K$2+0.02)*Tabla1[[#This Row],[PRECIO $]]*1.18</f>
        <v>1105.2764999999999</v>
      </c>
      <c r="J714" s="7">
        <f>+Tabla1[[#This Row],[PRECIO EN SOLES]]-Tabla1[[#This Row],[PC]]</f>
        <v>173.79349999999999</v>
      </c>
      <c r="K714" s="15"/>
      <c r="L714" s="15" t="str">
        <f t="shared" si="23"/>
        <v>NORMAL</v>
      </c>
    </row>
    <row r="715" spans="1:12" x14ac:dyDescent="0.25">
      <c r="A715" s="3" t="s">
        <v>5061</v>
      </c>
      <c r="B715" s="3" t="s">
        <v>5062</v>
      </c>
      <c r="C715" s="1">
        <v>20</v>
      </c>
      <c r="D715" s="1">
        <v>367</v>
      </c>
      <c r="E715" s="1" t="s">
        <v>131</v>
      </c>
      <c r="F715" s="1" t="s">
        <v>5063</v>
      </c>
      <c r="G715" s="3" t="s">
        <v>5064</v>
      </c>
      <c r="H715" s="11">
        <f t="shared" si="22"/>
        <v>1726.17</v>
      </c>
      <c r="I715" s="9">
        <f>($K$2+0.02)*Tabla1[[#This Row],[PRECIO $]]*1.18</f>
        <v>1494.057</v>
      </c>
      <c r="J715" s="7">
        <f>+Tabla1[[#This Row],[PRECIO EN SOLES]]-Tabla1[[#This Row],[PC]]</f>
        <v>232.11300000000006</v>
      </c>
      <c r="K715" s="15"/>
      <c r="L715" s="15" t="str">
        <f t="shared" si="23"/>
        <v>NORMAL</v>
      </c>
    </row>
    <row r="716" spans="1:12" x14ac:dyDescent="0.25">
      <c r="A716" s="3" t="s">
        <v>1712</v>
      </c>
      <c r="B716" s="3" t="s">
        <v>1713</v>
      </c>
      <c r="C716" s="1">
        <v>1</v>
      </c>
      <c r="D716" s="1">
        <v>525</v>
      </c>
      <c r="E716" s="1" t="s">
        <v>456</v>
      </c>
      <c r="F716" s="1" t="s">
        <v>5065</v>
      </c>
      <c r="G716" s="3" t="s">
        <v>1714</v>
      </c>
      <c r="H716" s="11">
        <f t="shared" si="22"/>
        <v>2465.87</v>
      </c>
      <c r="I716" s="9">
        <f>($K$2+0.02)*Tabla1[[#This Row],[PRECIO $]]*1.18</f>
        <v>2137.2750000000001</v>
      </c>
      <c r="J716" s="7">
        <f>+Tabla1[[#This Row],[PRECIO EN SOLES]]-Tabla1[[#This Row],[PC]]</f>
        <v>328.5949999999998</v>
      </c>
      <c r="K716" s="15"/>
      <c r="L716" s="15" t="str">
        <f t="shared" si="23"/>
        <v>NORMAL</v>
      </c>
    </row>
    <row r="717" spans="1:12" x14ac:dyDescent="0.25">
      <c r="A717" s="3" t="s">
        <v>1715</v>
      </c>
      <c r="B717" s="3" t="s">
        <v>1716</v>
      </c>
      <c r="C717" s="1">
        <v>16</v>
      </c>
      <c r="D717" s="1">
        <v>151</v>
      </c>
      <c r="E717" s="1" t="s">
        <v>1717</v>
      </c>
      <c r="F717" s="1" t="s">
        <v>5066</v>
      </c>
      <c r="G717" s="3" t="s">
        <v>1718</v>
      </c>
      <c r="H717" s="11">
        <f t="shared" si="22"/>
        <v>714.93</v>
      </c>
      <c r="I717" s="9">
        <f>($K$2+0.02)*Tabla1[[#This Row],[PRECIO $]]*1.18</f>
        <v>614.721</v>
      </c>
      <c r="J717" s="7">
        <f>+Tabla1[[#This Row],[PRECIO EN SOLES]]-Tabla1[[#This Row],[PC]]</f>
        <v>100.20899999999995</v>
      </c>
      <c r="K717" s="15"/>
      <c r="L717" s="15" t="str">
        <f t="shared" si="23"/>
        <v>NORMAL</v>
      </c>
    </row>
    <row r="718" spans="1:12" x14ac:dyDescent="0.25">
      <c r="A718" s="3" t="s">
        <v>1719</v>
      </c>
      <c r="B718" s="3" t="s">
        <v>1720</v>
      </c>
      <c r="C718" s="1">
        <v>20</v>
      </c>
      <c r="D718" s="1">
        <v>137.69999999999999</v>
      </c>
      <c r="E718" s="1" t="s">
        <v>965</v>
      </c>
      <c r="F718" s="1" t="s">
        <v>5067</v>
      </c>
      <c r="G718" s="3" t="s">
        <v>1721</v>
      </c>
      <c r="H718" s="11">
        <f t="shared" si="22"/>
        <v>652.66</v>
      </c>
      <c r="I718" s="9">
        <f>($K$2+0.02)*Tabla1[[#This Row],[PRECIO $]]*1.18</f>
        <v>560.57669999999996</v>
      </c>
      <c r="J718" s="7">
        <f>+Tabla1[[#This Row],[PRECIO EN SOLES]]-Tabla1[[#This Row],[PC]]</f>
        <v>92.083300000000008</v>
      </c>
      <c r="K718" s="15"/>
      <c r="L718" s="15" t="str">
        <f t="shared" si="23"/>
        <v>NORMAL</v>
      </c>
    </row>
    <row r="719" spans="1:12" x14ac:dyDescent="0.25">
      <c r="A719" s="3" t="s">
        <v>1722</v>
      </c>
      <c r="B719" s="3" t="s">
        <v>1723</v>
      </c>
      <c r="C719" s="1">
        <v>20</v>
      </c>
      <c r="D719" s="1">
        <v>132.75</v>
      </c>
      <c r="E719" s="1" t="s">
        <v>965</v>
      </c>
      <c r="F719" s="1" t="s">
        <v>5068</v>
      </c>
      <c r="G719" s="3" t="s">
        <v>1724</v>
      </c>
      <c r="H719" s="11">
        <f t="shared" si="22"/>
        <v>629.49</v>
      </c>
      <c r="I719" s="9">
        <f>($K$2+0.02)*Tabla1[[#This Row],[PRECIO $]]*1.18</f>
        <v>540.42525000000001</v>
      </c>
      <c r="J719" s="7">
        <f>+Tabla1[[#This Row],[PRECIO EN SOLES]]-Tabla1[[#This Row],[PC]]</f>
        <v>89.064750000000004</v>
      </c>
      <c r="K719" s="15"/>
      <c r="L719" s="15" t="str">
        <f t="shared" si="23"/>
        <v>NORMAL</v>
      </c>
    </row>
    <row r="720" spans="1:12" x14ac:dyDescent="0.25">
      <c r="A720" s="3" t="s">
        <v>1725</v>
      </c>
      <c r="B720" s="3" t="s">
        <v>1726</v>
      </c>
      <c r="C720" s="1">
        <v>20</v>
      </c>
      <c r="D720" s="1">
        <v>138.69999999999999</v>
      </c>
      <c r="E720" s="1" t="s">
        <v>1727</v>
      </c>
      <c r="F720" s="1" t="s">
        <v>5069</v>
      </c>
      <c r="G720" s="3" t="s">
        <v>1728</v>
      </c>
      <c r="H720" s="11">
        <f t="shared" si="22"/>
        <v>657.34</v>
      </c>
      <c r="I720" s="9">
        <f>($K$2+0.02)*Tabla1[[#This Row],[PRECIO $]]*1.18</f>
        <v>564.64769999999999</v>
      </c>
      <c r="J720" s="7">
        <f>+Tabla1[[#This Row],[PRECIO EN SOLES]]-Tabla1[[#This Row],[PC]]</f>
        <v>92.692300000000046</v>
      </c>
      <c r="K720" s="15"/>
      <c r="L720" s="15" t="str">
        <f t="shared" si="23"/>
        <v>NORMAL</v>
      </c>
    </row>
    <row r="721" spans="1:12" x14ac:dyDescent="0.25">
      <c r="A721" s="3" t="s">
        <v>5070</v>
      </c>
      <c r="B721" s="3" t="s">
        <v>5071</v>
      </c>
      <c r="C721" s="1">
        <v>20</v>
      </c>
      <c r="D721" s="1">
        <v>123.7</v>
      </c>
      <c r="E721" s="1" t="s">
        <v>1750</v>
      </c>
      <c r="F721" s="1" t="s">
        <v>5072</v>
      </c>
      <c r="G721" s="3" t="s">
        <v>5073</v>
      </c>
      <c r="H721" s="11">
        <f t="shared" si="22"/>
        <v>587.12</v>
      </c>
      <c r="I721" s="9">
        <f>($K$2+0.02)*Tabla1[[#This Row],[PRECIO $]]*1.18</f>
        <v>503.58270000000005</v>
      </c>
      <c r="J721" s="7">
        <f>+Tabla1[[#This Row],[PRECIO EN SOLES]]-Tabla1[[#This Row],[PC]]</f>
        <v>83.537299999999959</v>
      </c>
      <c r="K721" s="15"/>
      <c r="L721" s="15" t="str">
        <f t="shared" si="23"/>
        <v>NORMAL</v>
      </c>
    </row>
    <row r="722" spans="1:12" x14ac:dyDescent="0.25">
      <c r="A722" s="3" t="s">
        <v>1729</v>
      </c>
      <c r="B722" s="3" t="s">
        <v>1730</v>
      </c>
      <c r="C722" s="1">
        <v>20</v>
      </c>
      <c r="D722" s="1">
        <v>147.19999999999999</v>
      </c>
      <c r="E722" s="1" t="s">
        <v>965</v>
      </c>
      <c r="F722" s="1" t="s">
        <v>5074</v>
      </c>
      <c r="G722" s="3" t="s">
        <v>1731</v>
      </c>
      <c r="H722" s="11">
        <f t="shared" si="22"/>
        <v>697.14</v>
      </c>
      <c r="I722" s="9">
        <f>($K$2+0.02)*Tabla1[[#This Row],[PRECIO $]]*1.18</f>
        <v>599.25119999999993</v>
      </c>
      <c r="J722" s="7">
        <f>+Tabla1[[#This Row],[PRECIO EN SOLES]]-Tabla1[[#This Row],[PC]]</f>
        <v>97.88880000000006</v>
      </c>
      <c r="K722" s="15"/>
      <c r="L722" s="15" t="str">
        <f t="shared" si="23"/>
        <v>NORMAL</v>
      </c>
    </row>
    <row r="723" spans="1:12" x14ac:dyDescent="0.25">
      <c r="A723" s="3" t="s">
        <v>1732</v>
      </c>
      <c r="B723" s="3" t="s">
        <v>1733</v>
      </c>
      <c r="C723" s="1">
        <v>2</v>
      </c>
      <c r="D723" s="1">
        <v>211</v>
      </c>
      <c r="E723" s="1" t="s">
        <v>965</v>
      </c>
      <c r="F723" s="1" t="s">
        <v>5075</v>
      </c>
      <c r="G723" s="3" t="s">
        <v>1734</v>
      </c>
      <c r="H723" s="11">
        <f t="shared" si="22"/>
        <v>995.83</v>
      </c>
      <c r="I723" s="9">
        <f>($K$2+0.02)*Tabla1[[#This Row],[PRECIO $]]*1.18</f>
        <v>858.98099999999999</v>
      </c>
      <c r="J723" s="7">
        <f>+Tabla1[[#This Row],[PRECIO EN SOLES]]-Tabla1[[#This Row],[PC]]</f>
        <v>136.84900000000005</v>
      </c>
      <c r="K723" s="15"/>
      <c r="L723" s="15" t="str">
        <f t="shared" si="23"/>
        <v>NORMAL</v>
      </c>
    </row>
    <row r="724" spans="1:12" x14ac:dyDescent="0.25">
      <c r="A724" s="3" t="s">
        <v>1735</v>
      </c>
      <c r="B724" s="3" t="s">
        <v>1736</v>
      </c>
      <c r="C724" s="1">
        <v>20</v>
      </c>
      <c r="D724" s="1">
        <v>111</v>
      </c>
      <c r="E724" s="1" t="s">
        <v>122</v>
      </c>
      <c r="F724" s="1" t="s">
        <v>5076</v>
      </c>
      <c r="G724" s="3" t="s">
        <v>1737</v>
      </c>
      <c r="H724" s="11">
        <f t="shared" si="22"/>
        <v>527.66</v>
      </c>
      <c r="I724" s="9">
        <f>($K$2+0.02)*Tabla1[[#This Row],[PRECIO $]]*1.18</f>
        <v>451.88100000000003</v>
      </c>
      <c r="J724" s="7">
        <f>+Tabla1[[#This Row],[PRECIO EN SOLES]]-Tabla1[[#This Row],[PC]]</f>
        <v>75.77899999999994</v>
      </c>
      <c r="K724" s="15"/>
      <c r="L724" s="15" t="str">
        <f t="shared" si="23"/>
        <v>NORMAL</v>
      </c>
    </row>
    <row r="725" spans="1:12" x14ac:dyDescent="0.25">
      <c r="A725" s="3" t="s">
        <v>1738</v>
      </c>
      <c r="B725" s="3" t="s">
        <v>1739</v>
      </c>
      <c r="C725" s="1">
        <v>20</v>
      </c>
      <c r="D725" s="1">
        <v>123.5</v>
      </c>
      <c r="E725" s="1" t="s">
        <v>1727</v>
      </c>
      <c r="F725" s="1" t="s">
        <v>5077</v>
      </c>
      <c r="G725" s="3" t="s">
        <v>1740</v>
      </c>
      <c r="H725" s="11">
        <f t="shared" si="22"/>
        <v>586.17999999999995</v>
      </c>
      <c r="I725" s="9">
        <f>($K$2+0.02)*Tabla1[[#This Row],[PRECIO $]]*1.18</f>
        <v>502.76850000000002</v>
      </c>
      <c r="J725" s="7">
        <f>+Tabla1[[#This Row],[PRECIO EN SOLES]]-Tabla1[[#This Row],[PC]]</f>
        <v>83.411499999999933</v>
      </c>
      <c r="K725" s="15"/>
      <c r="L725" s="15" t="str">
        <f t="shared" si="23"/>
        <v>NORMAL</v>
      </c>
    </row>
    <row r="726" spans="1:12" x14ac:dyDescent="0.25">
      <c r="A726" s="3" t="s">
        <v>1741</v>
      </c>
      <c r="B726" s="3" t="s">
        <v>1742</v>
      </c>
      <c r="C726" s="1">
        <v>20</v>
      </c>
      <c r="D726" s="1">
        <v>124</v>
      </c>
      <c r="E726" s="1" t="s">
        <v>1743</v>
      </c>
      <c r="F726" s="1" t="s">
        <v>5078</v>
      </c>
      <c r="G726" s="3" t="s">
        <v>1744</v>
      </c>
      <c r="H726" s="11">
        <f t="shared" si="22"/>
        <v>588.52</v>
      </c>
      <c r="I726" s="9">
        <f>($K$2+0.02)*Tabla1[[#This Row],[PRECIO $]]*1.18</f>
        <v>504.80399999999997</v>
      </c>
      <c r="J726" s="7">
        <f>+Tabla1[[#This Row],[PRECIO EN SOLES]]-Tabla1[[#This Row],[PC]]</f>
        <v>83.716000000000008</v>
      </c>
      <c r="K726" s="15"/>
      <c r="L726" s="15" t="str">
        <f t="shared" si="23"/>
        <v>NORMAL</v>
      </c>
    </row>
    <row r="727" spans="1:12" x14ac:dyDescent="0.25">
      <c r="A727" s="3" t="s">
        <v>1745</v>
      </c>
      <c r="B727" s="3" t="s">
        <v>1746</v>
      </c>
      <c r="C727" s="1">
        <v>20</v>
      </c>
      <c r="D727" s="1">
        <v>67.2</v>
      </c>
      <c r="E727" s="1" t="s">
        <v>265</v>
      </c>
      <c r="F727" s="1" t="s">
        <v>5079</v>
      </c>
      <c r="G727" s="3" t="s">
        <v>1747</v>
      </c>
      <c r="H727" s="11">
        <f t="shared" si="22"/>
        <v>322.61</v>
      </c>
      <c r="I727" s="9">
        <f>($K$2+0.02)*Tabla1[[#This Row],[PRECIO $]]*1.18</f>
        <v>273.57120000000003</v>
      </c>
      <c r="J727" s="7">
        <f>+Tabla1[[#This Row],[PRECIO EN SOLES]]-Tabla1[[#This Row],[PC]]</f>
        <v>49.038799999999981</v>
      </c>
      <c r="K727" s="15"/>
      <c r="L727" s="15" t="str">
        <f t="shared" si="23"/>
        <v>NORMAL</v>
      </c>
    </row>
    <row r="728" spans="1:12" x14ac:dyDescent="0.25">
      <c r="A728" s="3" t="s">
        <v>1748</v>
      </c>
      <c r="B728" s="3" t="s">
        <v>1749</v>
      </c>
      <c r="C728" s="1">
        <v>20</v>
      </c>
      <c r="D728" s="1">
        <v>65.900000000000006</v>
      </c>
      <c r="E728" s="1" t="s">
        <v>1750</v>
      </c>
      <c r="F728" s="1" t="s">
        <v>5080</v>
      </c>
      <c r="G728" s="3" t="s">
        <v>1751</v>
      </c>
      <c r="H728" s="11">
        <f t="shared" si="22"/>
        <v>316.52</v>
      </c>
      <c r="I728" s="9">
        <f>($K$2+0.02)*Tabla1[[#This Row],[PRECIO $]]*1.18</f>
        <v>268.27890000000002</v>
      </c>
      <c r="J728" s="7">
        <f>+Tabla1[[#This Row],[PRECIO EN SOLES]]-Tabla1[[#This Row],[PC]]</f>
        <v>48.24109999999996</v>
      </c>
      <c r="K728" s="15"/>
      <c r="L728" s="15" t="str">
        <f t="shared" si="23"/>
        <v>NORMAL</v>
      </c>
    </row>
    <row r="729" spans="1:12" x14ac:dyDescent="0.25">
      <c r="A729" s="3" t="s">
        <v>1752</v>
      </c>
      <c r="B729" s="3" t="s">
        <v>1753</v>
      </c>
      <c r="C729" s="1">
        <v>20</v>
      </c>
      <c r="D729" s="1">
        <v>74</v>
      </c>
      <c r="E729" s="1" t="s">
        <v>965</v>
      </c>
      <c r="F729" s="1" t="s">
        <v>5081</v>
      </c>
      <c r="G729" s="3" t="s">
        <v>1754</v>
      </c>
      <c r="H729" s="11">
        <f t="shared" si="22"/>
        <v>354.44</v>
      </c>
      <c r="I729" s="9">
        <f>($K$2+0.02)*Tabla1[[#This Row],[PRECIO $]]*1.18</f>
        <v>301.25400000000002</v>
      </c>
      <c r="J729" s="7">
        <f>+Tabla1[[#This Row],[PRECIO EN SOLES]]-Tabla1[[#This Row],[PC]]</f>
        <v>53.185999999999979</v>
      </c>
      <c r="K729" s="15"/>
      <c r="L729" s="15" t="str">
        <f t="shared" si="23"/>
        <v>NORMAL</v>
      </c>
    </row>
    <row r="730" spans="1:12" x14ac:dyDescent="0.25">
      <c r="A730" s="3" t="s">
        <v>1755</v>
      </c>
      <c r="B730" s="3" t="s">
        <v>1756</v>
      </c>
      <c r="C730" s="1">
        <v>20</v>
      </c>
      <c r="D730" s="1">
        <v>72</v>
      </c>
      <c r="E730" s="1" t="s">
        <v>1727</v>
      </c>
      <c r="F730" s="1" t="s">
        <v>5082</v>
      </c>
      <c r="G730" s="3" t="s">
        <v>1757</v>
      </c>
      <c r="H730" s="11">
        <f t="shared" si="22"/>
        <v>345.08</v>
      </c>
      <c r="I730" s="9">
        <f>($K$2+0.02)*Tabla1[[#This Row],[PRECIO $]]*1.18</f>
        <v>293.11199999999997</v>
      </c>
      <c r="J730" s="7">
        <f>+Tabla1[[#This Row],[PRECIO EN SOLES]]-Tabla1[[#This Row],[PC]]</f>
        <v>51.968000000000018</v>
      </c>
      <c r="K730" s="15"/>
      <c r="L730" s="15" t="str">
        <f t="shared" si="23"/>
        <v>NORMAL</v>
      </c>
    </row>
    <row r="731" spans="1:12" x14ac:dyDescent="0.25">
      <c r="A731" s="3" t="s">
        <v>1758</v>
      </c>
      <c r="B731" s="3" t="s">
        <v>1759</v>
      </c>
      <c r="C731" s="1">
        <v>19</v>
      </c>
      <c r="D731" s="1">
        <v>66.349999999999994</v>
      </c>
      <c r="E731" s="1" t="s">
        <v>1743</v>
      </c>
      <c r="F731" s="1" t="s">
        <v>5083</v>
      </c>
      <c r="G731" s="3" t="s">
        <v>1760</v>
      </c>
      <c r="H731" s="11">
        <f t="shared" si="22"/>
        <v>318.63</v>
      </c>
      <c r="I731" s="9">
        <f>($K$2+0.02)*Tabla1[[#This Row],[PRECIO $]]*1.18</f>
        <v>270.11084999999997</v>
      </c>
      <c r="J731" s="7">
        <f>+Tabla1[[#This Row],[PRECIO EN SOLES]]-Tabla1[[#This Row],[PC]]</f>
        <v>48.519150000000025</v>
      </c>
      <c r="K731" s="15"/>
      <c r="L731" s="15" t="str">
        <f t="shared" si="23"/>
        <v>NORMAL</v>
      </c>
    </row>
    <row r="732" spans="1:12" x14ac:dyDescent="0.25">
      <c r="A732" s="3" t="s">
        <v>1761</v>
      </c>
      <c r="B732" s="3" t="s">
        <v>1762</v>
      </c>
      <c r="C732" s="1">
        <v>0</v>
      </c>
      <c r="D732" s="1">
        <v>112.6</v>
      </c>
      <c r="E732" s="1" t="s">
        <v>1727</v>
      </c>
      <c r="F732" s="1" t="s">
        <v>5084</v>
      </c>
      <c r="G732" s="3" t="s">
        <v>1763</v>
      </c>
      <c r="H732" s="11">
        <f t="shared" si="22"/>
        <v>535.15</v>
      </c>
      <c r="I732" s="9">
        <f>($K$2+0.02)*Tabla1[[#This Row],[PRECIO $]]*1.18</f>
        <v>458.39460000000003</v>
      </c>
      <c r="J732" s="7">
        <f>+Tabla1[[#This Row],[PRECIO EN SOLES]]-Tabla1[[#This Row],[PC]]</f>
        <v>76.755399999999952</v>
      </c>
      <c r="K732" s="15"/>
      <c r="L732" s="15" t="str">
        <f t="shared" si="23"/>
        <v>NORMAL</v>
      </c>
    </row>
    <row r="733" spans="1:12" x14ac:dyDescent="0.25">
      <c r="A733" s="3" t="s">
        <v>1764</v>
      </c>
      <c r="B733" s="3" t="s">
        <v>1765</v>
      </c>
      <c r="C733" s="1">
        <v>0</v>
      </c>
      <c r="D733" s="1">
        <v>9999999.9900000002</v>
      </c>
      <c r="E733" s="1" t="s">
        <v>965</v>
      </c>
      <c r="F733" s="1" t="s">
        <v>5085</v>
      </c>
      <c r="G733" s="3"/>
      <c r="H733" s="11">
        <f t="shared" si="22"/>
        <v>46816507.950000003</v>
      </c>
      <c r="I733" s="9">
        <f>($K$2+0.02)*Tabla1[[#This Row],[PRECIO $]]*1.18</f>
        <v>40709999.959290005</v>
      </c>
      <c r="J733" s="7">
        <f>+Tabla1[[#This Row],[PRECIO EN SOLES]]-Tabla1[[#This Row],[PC]]</f>
        <v>6106507.9907099977</v>
      </c>
      <c r="K733" s="15"/>
      <c r="L733" s="15" t="str">
        <f t="shared" si="23"/>
        <v>NORMAL</v>
      </c>
    </row>
    <row r="734" spans="1:12" x14ac:dyDescent="0.25">
      <c r="A734" s="3" t="s">
        <v>1766</v>
      </c>
      <c r="B734" s="3" t="s">
        <v>1765</v>
      </c>
      <c r="C734" s="1">
        <v>20</v>
      </c>
      <c r="D734" s="1">
        <v>145.19999999999999</v>
      </c>
      <c r="E734" s="1" t="s">
        <v>965</v>
      </c>
      <c r="F734" s="1" t="s">
        <v>5086</v>
      </c>
      <c r="G734" s="3" t="s">
        <v>1767</v>
      </c>
      <c r="H734" s="11">
        <f t="shared" si="22"/>
        <v>687.78</v>
      </c>
      <c r="I734" s="9">
        <f>($K$2+0.02)*Tabla1[[#This Row],[PRECIO $]]*1.18</f>
        <v>591.10919999999999</v>
      </c>
      <c r="J734" s="7">
        <f>+Tabla1[[#This Row],[PRECIO EN SOLES]]-Tabla1[[#This Row],[PC]]</f>
        <v>96.670799999999986</v>
      </c>
      <c r="K734" s="15"/>
      <c r="L734" s="15" t="str">
        <f t="shared" si="23"/>
        <v>NORMAL</v>
      </c>
    </row>
    <row r="735" spans="1:12" x14ac:dyDescent="0.25">
      <c r="A735" s="3" t="s">
        <v>1768</v>
      </c>
      <c r="B735" s="3" t="s">
        <v>1769</v>
      </c>
      <c r="C735" s="1">
        <v>20</v>
      </c>
      <c r="D735" s="1">
        <v>99.5</v>
      </c>
      <c r="E735" s="1" t="s">
        <v>965</v>
      </c>
      <c r="F735" s="1" t="s">
        <v>5087</v>
      </c>
      <c r="G735" s="3" t="s">
        <v>1770</v>
      </c>
      <c r="H735" s="11">
        <f t="shared" si="22"/>
        <v>473.82</v>
      </c>
      <c r="I735" s="9">
        <f>($K$2+0.02)*Tabla1[[#This Row],[PRECIO $]]*1.18</f>
        <v>405.06450000000001</v>
      </c>
      <c r="J735" s="7">
        <f>+Tabla1[[#This Row],[PRECIO EN SOLES]]-Tabla1[[#This Row],[PC]]</f>
        <v>68.755499999999984</v>
      </c>
      <c r="K735" s="15"/>
      <c r="L735" s="15" t="str">
        <f t="shared" si="23"/>
        <v>NORMAL</v>
      </c>
    </row>
    <row r="736" spans="1:12" x14ac:dyDescent="0.25">
      <c r="A736" s="3" t="s">
        <v>1771</v>
      </c>
      <c r="B736" s="3" t="s">
        <v>1772</v>
      </c>
      <c r="C736" s="1">
        <v>20</v>
      </c>
      <c r="D736" s="1">
        <v>180</v>
      </c>
      <c r="E736" s="1" t="s">
        <v>1750</v>
      </c>
      <c r="F736" s="1" t="s">
        <v>5088</v>
      </c>
      <c r="G736" s="3" t="s">
        <v>1773</v>
      </c>
      <c r="H736" s="11">
        <f t="shared" si="22"/>
        <v>850.7</v>
      </c>
      <c r="I736" s="9">
        <f>($K$2+0.02)*Tabla1[[#This Row],[PRECIO $]]*1.18</f>
        <v>732.78</v>
      </c>
      <c r="J736" s="7">
        <f>+Tabla1[[#This Row],[PRECIO EN SOLES]]-Tabla1[[#This Row],[PC]]</f>
        <v>117.92000000000007</v>
      </c>
      <c r="K736" s="15"/>
      <c r="L736" s="15" t="str">
        <f t="shared" si="23"/>
        <v>NORMAL</v>
      </c>
    </row>
    <row r="737" spans="1:12" x14ac:dyDescent="0.25">
      <c r="A737" s="3" t="s">
        <v>1774</v>
      </c>
      <c r="B737" s="3" t="s">
        <v>1775</v>
      </c>
      <c r="C737" s="1">
        <v>20</v>
      </c>
      <c r="D737" s="1">
        <v>201</v>
      </c>
      <c r="E737" s="1" t="s">
        <v>265</v>
      </c>
      <c r="F737" s="1" t="s">
        <v>5089</v>
      </c>
      <c r="G737" s="3" t="s">
        <v>1776</v>
      </c>
      <c r="H737" s="11">
        <f t="shared" si="22"/>
        <v>949.01</v>
      </c>
      <c r="I737" s="9">
        <f>($K$2+0.02)*Tabla1[[#This Row],[PRECIO $]]*1.18</f>
        <v>818.27099999999996</v>
      </c>
      <c r="J737" s="7">
        <f>+Tabla1[[#This Row],[PRECIO EN SOLES]]-Tabla1[[#This Row],[PC]]</f>
        <v>130.73900000000003</v>
      </c>
      <c r="K737" s="15"/>
      <c r="L737" s="15" t="str">
        <f t="shared" si="23"/>
        <v>NORMAL</v>
      </c>
    </row>
    <row r="738" spans="1:12" x14ac:dyDescent="0.25">
      <c r="A738" s="3" t="s">
        <v>1777</v>
      </c>
      <c r="B738" s="3" t="s">
        <v>1778</v>
      </c>
      <c r="C738" s="1">
        <v>20</v>
      </c>
      <c r="D738" s="1">
        <v>206</v>
      </c>
      <c r="E738" s="1" t="s">
        <v>265</v>
      </c>
      <c r="F738" s="1" t="s">
        <v>5090</v>
      </c>
      <c r="G738" s="3" t="s">
        <v>1779</v>
      </c>
      <c r="H738" s="11">
        <f t="shared" si="22"/>
        <v>972.42</v>
      </c>
      <c r="I738" s="9">
        <f>($K$2+0.02)*Tabla1[[#This Row],[PRECIO $]]*1.18</f>
        <v>838.62599999999998</v>
      </c>
      <c r="J738" s="7">
        <f>+Tabla1[[#This Row],[PRECIO EN SOLES]]-Tabla1[[#This Row],[PC]]</f>
        <v>133.79399999999998</v>
      </c>
      <c r="K738" s="15"/>
      <c r="L738" s="15" t="str">
        <f t="shared" si="23"/>
        <v>NORMAL</v>
      </c>
    </row>
    <row r="739" spans="1:12" x14ac:dyDescent="0.25">
      <c r="A739" s="3" t="s">
        <v>6920</v>
      </c>
      <c r="B739" s="3" t="s">
        <v>1781</v>
      </c>
      <c r="C739" s="1">
        <v>0</v>
      </c>
      <c r="D739" s="1">
        <v>9999999.9900000002</v>
      </c>
      <c r="E739" s="1" t="s">
        <v>965</v>
      </c>
      <c r="F739" s="1" t="s">
        <v>6921</v>
      </c>
      <c r="G739" s="3"/>
      <c r="H739" s="11">
        <f t="shared" si="22"/>
        <v>46816507.950000003</v>
      </c>
      <c r="I739" s="9">
        <f>($K$2+0.02)*Tabla1[[#This Row],[PRECIO $]]*1.18</f>
        <v>40709999.959290005</v>
      </c>
      <c r="J739" s="7">
        <f>+Tabla1[[#This Row],[PRECIO EN SOLES]]-Tabla1[[#This Row],[PC]]</f>
        <v>6106507.9907099977</v>
      </c>
      <c r="K739" s="15"/>
      <c r="L739" s="15" t="str">
        <f t="shared" si="23"/>
        <v>NORMAL</v>
      </c>
    </row>
    <row r="740" spans="1:12" x14ac:dyDescent="0.25">
      <c r="A740" s="3" t="s">
        <v>1780</v>
      </c>
      <c r="B740" s="3" t="s">
        <v>1781</v>
      </c>
      <c r="C740" s="1">
        <v>20</v>
      </c>
      <c r="D740" s="1">
        <v>217.2</v>
      </c>
      <c r="E740" s="1" t="s">
        <v>965</v>
      </c>
      <c r="F740" s="1" t="s">
        <v>5091</v>
      </c>
      <c r="G740" s="3" t="s">
        <v>1782</v>
      </c>
      <c r="H740" s="11">
        <f t="shared" si="22"/>
        <v>1024.8499999999999</v>
      </c>
      <c r="I740" s="9">
        <f>($K$2+0.02)*Tabla1[[#This Row],[PRECIO $]]*1.18</f>
        <v>884.22119999999995</v>
      </c>
      <c r="J740" s="7">
        <f>+Tabla1[[#This Row],[PRECIO EN SOLES]]-Tabla1[[#This Row],[PC]]</f>
        <v>140.62879999999996</v>
      </c>
      <c r="K740" s="15"/>
      <c r="L740" s="15" t="str">
        <f t="shared" si="23"/>
        <v>NORMAL</v>
      </c>
    </row>
    <row r="741" spans="1:12" x14ac:dyDescent="0.25">
      <c r="A741" s="3" t="s">
        <v>1783</v>
      </c>
      <c r="B741" s="3" t="s">
        <v>1784</v>
      </c>
      <c r="C741" s="1">
        <v>20</v>
      </c>
      <c r="D741" s="1">
        <v>231</v>
      </c>
      <c r="E741" s="1" t="s">
        <v>965</v>
      </c>
      <c r="F741" s="1" t="s">
        <v>5092</v>
      </c>
      <c r="G741" s="3" t="s">
        <v>1785</v>
      </c>
      <c r="H741" s="11">
        <f t="shared" si="22"/>
        <v>1089.46</v>
      </c>
      <c r="I741" s="9">
        <f>($K$2+0.02)*Tabla1[[#This Row],[PRECIO $]]*1.18</f>
        <v>940.40099999999995</v>
      </c>
      <c r="J741" s="7">
        <f>+Tabla1[[#This Row],[PRECIO EN SOLES]]-Tabla1[[#This Row],[PC]]</f>
        <v>149.05900000000008</v>
      </c>
      <c r="K741" s="15"/>
      <c r="L741" s="15" t="str">
        <f t="shared" si="23"/>
        <v>NORMAL</v>
      </c>
    </row>
    <row r="742" spans="1:12" x14ac:dyDescent="0.25">
      <c r="A742" s="3" t="s">
        <v>5093</v>
      </c>
      <c r="B742" s="3" t="s">
        <v>5094</v>
      </c>
      <c r="C742" s="1">
        <v>20</v>
      </c>
      <c r="D742" s="1">
        <v>198</v>
      </c>
      <c r="E742" s="1" t="s">
        <v>1750</v>
      </c>
      <c r="F742" s="1" t="s">
        <v>5095</v>
      </c>
      <c r="G742" s="3"/>
      <c r="H742" s="11">
        <f t="shared" si="22"/>
        <v>934.97</v>
      </c>
      <c r="I742" s="9">
        <f>($K$2+0.02)*Tabla1[[#This Row],[PRECIO $]]*1.18</f>
        <v>806.05799999999999</v>
      </c>
      <c r="J742" s="7">
        <f>+Tabla1[[#This Row],[PRECIO EN SOLES]]-Tabla1[[#This Row],[PC]]</f>
        <v>128.91200000000003</v>
      </c>
      <c r="K742" s="15"/>
      <c r="L742" s="15" t="str">
        <f t="shared" si="23"/>
        <v>NORMAL</v>
      </c>
    </row>
    <row r="743" spans="1:12" x14ac:dyDescent="0.25">
      <c r="A743" s="3" t="s">
        <v>5096</v>
      </c>
      <c r="B743" s="3" t="s">
        <v>5097</v>
      </c>
      <c r="C743" s="1">
        <v>1</v>
      </c>
      <c r="D743" s="1">
        <v>226</v>
      </c>
      <c r="E743" s="1" t="s">
        <v>965</v>
      </c>
      <c r="F743" s="1" t="s">
        <v>5098</v>
      </c>
      <c r="G743" s="3" t="s">
        <v>5099</v>
      </c>
      <c r="H743" s="11">
        <f t="shared" si="22"/>
        <v>1066.05</v>
      </c>
      <c r="I743" s="9">
        <f>($K$2+0.02)*Tabla1[[#This Row],[PRECIO $]]*1.18</f>
        <v>920.04600000000005</v>
      </c>
      <c r="J743" s="7">
        <f>+Tabla1[[#This Row],[PRECIO EN SOLES]]-Tabla1[[#This Row],[PC]]</f>
        <v>146.00399999999991</v>
      </c>
      <c r="K743" s="15"/>
      <c r="L743" s="15" t="str">
        <f t="shared" si="23"/>
        <v>NORMAL</v>
      </c>
    </row>
    <row r="744" spans="1:12" x14ac:dyDescent="0.25">
      <c r="A744" s="3" t="s">
        <v>1786</v>
      </c>
      <c r="B744" s="3" t="s">
        <v>1787</v>
      </c>
      <c r="C744" s="1">
        <v>20</v>
      </c>
      <c r="D744" s="1">
        <v>225.25</v>
      </c>
      <c r="E744" s="1" t="s">
        <v>965</v>
      </c>
      <c r="F744" s="1" t="s">
        <v>5100</v>
      </c>
      <c r="G744" s="3" t="s">
        <v>1788</v>
      </c>
      <c r="H744" s="11">
        <f t="shared" si="22"/>
        <v>1062.54</v>
      </c>
      <c r="I744" s="9">
        <f>($K$2+0.02)*Tabla1[[#This Row],[PRECIO $]]*1.18</f>
        <v>916.99275</v>
      </c>
      <c r="J744" s="7">
        <f>+Tabla1[[#This Row],[PRECIO EN SOLES]]-Tabla1[[#This Row],[PC]]</f>
        <v>145.54724999999996</v>
      </c>
      <c r="K744" s="15"/>
      <c r="L744" s="15" t="str">
        <f t="shared" si="23"/>
        <v>NORMAL</v>
      </c>
    </row>
    <row r="745" spans="1:12" x14ac:dyDescent="0.25">
      <c r="A745" s="3" t="s">
        <v>1789</v>
      </c>
      <c r="B745" s="3" t="s">
        <v>1790</v>
      </c>
      <c r="C745" s="1">
        <v>20</v>
      </c>
      <c r="D745" s="1">
        <v>199</v>
      </c>
      <c r="E745" s="1" t="s">
        <v>1791</v>
      </c>
      <c r="F745" s="1" t="s">
        <v>5101</v>
      </c>
      <c r="G745" s="3" t="s">
        <v>1792</v>
      </c>
      <c r="H745" s="11">
        <f t="shared" si="22"/>
        <v>939.65</v>
      </c>
      <c r="I745" s="9">
        <f>($K$2+0.02)*Tabla1[[#This Row],[PRECIO $]]*1.18</f>
        <v>810.12900000000002</v>
      </c>
      <c r="J745" s="7">
        <f>+Tabla1[[#This Row],[PRECIO EN SOLES]]-Tabla1[[#This Row],[PC]]</f>
        <v>129.52099999999996</v>
      </c>
      <c r="K745" s="15"/>
      <c r="L745" s="15" t="str">
        <f t="shared" si="23"/>
        <v>NORMAL</v>
      </c>
    </row>
    <row r="746" spans="1:12" x14ac:dyDescent="0.25">
      <c r="A746" s="3" t="s">
        <v>1793</v>
      </c>
      <c r="B746" s="3" t="s">
        <v>1794</v>
      </c>
      <c r="C746" s="1">
        <v>20</v>
      </c>
      <c r="D746" s="1">
        <v>226</v>
      </c>
      <c r="E746" s="1" t="s">
        <v>1727</v>
      </c>
      <c r="F746" s="1" t="s">
        <v>5102</v>
      </c>
      <c r="G746" s="3" t="s">
        <v>1795</v>
      </c>
      <c r="H746" s="11">
        <f t="shared" si="22"/>
        <v>1066.05</v>
      </c>
      <c r="I746" s="9">
        <f>($K$2+0.02)*Tabla1[[#This Row],[PRECIO $]]*1.18</f>
        <v>920.04600000000005</v>
      </c>
      <c r="J746" s="7">
        <f>+Tabla1[[#This Row],[PRECIO EN SOLES]]-Tabla1[[#This Row],[PC]]</f>
        <v>146.00399999999991</v>
      </c>
      <c r="K746" s="15"/>
      <c r="L746" s="15" t="str">
        <f t="shared" si="23"/>
        <v>NORMAL</v>
      </c>
    </row>
    <row r="747" spans="1:12" x14ac:dyDescent="0.25">
      <c r="A747" s="3" t="s">
        <v>1796</v>
      </c>
      <c r="B747" s="3" t="s">
        <v>1797</v>
      </c>
      <c r="C747" s="1">
        <v>8</v>
      </c>
      <c r="D747" s="1">
        <v>224</v>
      </c>
      <c r="E747" s="1" t="s">
        <v>1727</v>
      </c>
      <c r="F747" s="1" t="s">
        <v>5103</v>
      </c>
      <c r="G747" s="3" t="s">
        <v>1798</v>
      </c>
      <c r="H747" s="11">
        <f t="shared" si="22"/>
        <v>1056.69</v>
      </c>
      <c r="I747" s="9">
        <f>($K$2+0.02)*Tabla1[[#This Row],[PRECIO $]]*1.18</f>
        <v>911.904</v>
      </c>
      <c r="J747" s="7">
        <f>+Tabla1[[#This Row],[PRECIO EN SOLES]]-Tabla1[[#This Row],[PC]]</f>
        <v>144.78600000000006</v>
      </c>
      <c r="K747" s="15"/>
      <c r="L747" s="15" t="str">
        <f t="shared" si="23"/>
        <v>NORMAL</v>
      </c>
    </row>
    <row r="748" spans="1:12" x14ac:dyDescent="0.25">
      <c r="A748" s="3" t="s">
        <v>6922</v>
      </c>
      <c r="B748" s="3" t="s">
        <v>5105</v>
      </c>
      <c r="C748" s="1">
        <v>0</v>
      </c>
      <c r="D748" s="1">
        <v>9999999.9900000002</v>
      </c>
      <c r="E748" s="1" t="s">
        <v>1743</v>
      </c>
      <c r="F748" s="1" t="s">
        <v>6923</v>
      </c>
      <c r="G748" s="3" t="s">
        <v>5107</v>
      </c>
      <c r="H748" s="11">
        <f t="shared" si="22"/>
        <v>46816507.950000003</v>
      </c>
      <c r="I748" s="9">
        <f>($K$2+0.02)*Tabla1[[#This Row],[PRECIO $]]*1.18</f>
        <v>40709999.959290005</v>
      </c>
      <c r="J748" s="7">
        <f>+Tabla1[[#This Row],[PRECIO EN SOLES]]-Tabla1[[#This Row],[PC]]</f>
        <v>6106507.9907099977</v>
      </c>
      <c r="K748" s="15"/>
      <c r="L748" s="15" t="str">
        <f t="shared" si="23"/>
        <v>NORMAL</v>
      </c>
    </row>
    <row r="749" spans="1:12" x14ac:dyDescent="0.25">
      <c r="A749" s="3" t="s">
        <v>5104</v>
      </c>
      <c r="B749" s="3" t="s">
        <v>5105</v>
      </c>
      <c r="C749" s="1">
        <v>20</v>
      </c>
      <c r="D749" s="1">
        <v>199</v>
      </c>
      <c r="E749" s="1" t="s">
        <v>1743</v>
      </c>
      <c r="F749" s="1" t="s">
        <v>5106</v>
      </c>
      <c r="G749" s="3" t="s">
        <v>5107</v>
      </c>
      <c r="H749" s="11">
        <f t="shared" si="22"/>
        <v>939.65</v>
      </c>
      <c r="I749" s="9">
        <f>($K$2+0.02)*Tabla1[[#This Row],[PRECIO $]]*1.18</f>
        <v>810.12900000000002</v>
      </c>
      <c r="J749" s="7">
        <f>+Tabla1[[#This Row],[PRECIO EN SOLES]]-Tabla1[[#This Row],[PC]]</f>
        <v>129.52099999999996</v>
      </c>
      <c r="K749" s="15"/>
      <c r="L749" s="15" t="str">
        <f t="shared" si="23"/>
        <v>NORMAL</v>
      </c>
    </row>
    <row r="750" spans="1:12" x14ac:dyDescent="0.25">
      <c r="A750" s="3" t="s">
        <v>1799</v>
      </c>
      <c r="B750" s="3" t="s">
        <v>1800</v>
      </c>
      <c r="C750" s="1">
        <v>0</v>
      </c>
      <c r="D750" s="1">
        <v>452.48</v>
      </c>
      <c r="E750" s="1" t="s">
        <v>965</v>
      </c>
      <c r="F750" s="1" t="s">
        <v>5108</v>
      </c>
      <c r="G750" s="3" t="s">
        <v>1801</v>
      </c>
      <c r="H750" s="11">
        <f t="shared" si="22"/>
        <v>2126.35</v>
      </c>
      <c r="I750" s="9">
        <f>($K$2+0.02)*Tabla1[[#This Row],[PRECIO $]]*1.18</f>
        <v>1842.0460799999998</v>
      </c>
      <c r="J750" s="7">
        <f>+Tabla1[[#This Row],[PRECIO EN SOLES]]-Tabla1[[#This Row],[PC]]</f>
        <v>284.30392000000006</v>
      </c>
      <c r="K750" s="15"/>
      <c r="L750" s="15" t="str">
        <f t="shared" si="23"/>
        <v>NORMAL</v>
      </c>
    </row>
    <row r="751" spans="1:12" x14ac:dyDescent="0.25">
      <c r="A751" s="3" t="s">
        <v>1802</v>
      </c>
      <c r="B751" s="3" t="s">
        <v>1803</v>
      </c>
      <c r="C751" s="1">
        <v>20</v>
      </c>
      <c r="D751" s="1">
        <v>453.58</v>
      </c>
      <c r="E751" s="1" t="s">
        <v>965</v>
      </c>
      <c r="F751" s="1" t="s">
        <v>5109</v>
      </c>
      <c r="G751" s="3" t="s">
        <v>1804</v>
      </c>
      <c r="H751" s="11">
        <f t="shared" si="22"/>
        <v>2131.5</v>
      </c>
      <c r="I751" s="9">
        <f>($K$2+0.02)*Tabla1[[#This Row],[PRECIO $]]*1.18</f>
        <v>1846.5241800000001</v>
      </c>
      <c r="J751" s="7">
        <f>+Tabla1[[#This Row],[PRECIO EN SOLES]]-Tabla1[[#This Row],[PC]]</f>
        <v>284.97581999999989</v>
      </c>
      <c r="K751" s="15"/>
      <c r="L751" s="15" t="str">
        <f t="shared" si="23"/>
        <v>NORMAL</v>
      </c>
    </row>
    <row r="752" spans="1:12" x14ac:dyDescent="0.25">
      <c r="A752" s="3" t="s">
        <v>1805</v>
      </c>
      <c r="B752" s="3" t="s">
        <v>1806</v>
      </c>
      <c r="C752" s="1">
        <v>20</v>
      </c>
      <c r="D752" s="1">
        <v>126</v>
      </c>
      <c r="E752" s="1" t="s">
        <v>965</v>
      </c>
      <c r="F752" s="1" t="s">
        <v>5110</v>
      </c>
      <c r="G752" s="3" t="s">
        <v>1807</v>
      </c>
      <c r="H752" s="11">
        <f t="shared" si="22"/>
        <v>597.89</v>
      </c>
      <c r="I752" s="9">
        <f>($K$2+0.02)*Tabla1[[#This Row],[PRECIO $]]*1.18</f>
        <v>512.94600000000003</v>
      </c>
      <c r="J752" s="7">
        <f>+Tabla1[[#This Row],[PRECIO EN SOLES]]-Tabla1[[#This Row],[PC]]</f>
        <v>84.94399999999996</v>
      </c>
      <c r="K752" s="15"/>
      <c r="L752" s="15" t="str">
        <f t="shared" si="23"/>
        <v>NORMAL</v>
      </c>
    </row>
    <row r="753" spans="1:12" x14ac:dyDescent="0.25">
      <c r="A753" s="3" t="s">
        <v>1808</v>
      </c>
      <c r="B753" s="3" t="s">
        <v>1809</v>
      </c>
      <c r="C753" s="1">
        <v>20</v>
      </c>
      <c r="D753" s="1">
        <v>122.5</v>
      </c>
      <c r="E753" s="1" t="s">
        <v>965</v>
      </c>
      <c r="F753" s="1" t="s">
        <v>5111</v>
      </c>
      <c r="G753" s="3" t="s">
        <v>1810</v>
      </c>
      <c r="H753" s="11">
        <f t="shared" si="22"/>
        <v>581.5</v>
      </c>
      <c r="I753" s="9">
        <f>($K$2+0.02)*Tabla1[[#This Row],[PRECIO $]]*1.18</f>
        <v>498.69749999999999</v>
      </c>
      <c r="J753" s="7">
        <f>+Tabla1[[#This Row],[PRECIO EN SOLES]]-Tabla1[[#This Row],[PC]]</f>
        <v>82.802500000000009</v>
      </c>
      <c r="K753" s="15"/>
      <c r="L753" s="15" t="str">
        <f t="shared" si="23"/>
        <v>NORMAL</v>
      </c>
    </row>
    <row r="754" spans="1:12" x14ac:dyDescent="0.25">
      <c r="A754" s="3" t="s">
        <v>1811</v>
      </c>
      <c r="B754" s="3" t="s">
        <v>1812</v>
      </c>
      <c r="C754" s="1">
        <v>20</v>
      </c>
      <c r="D754" s="1">
        <v>101.99</v>
      </c>
      <c r="E754" s="1" t="s">
        <v>1727</v>
      </c>
      <c r="F754" s="1" t="s">
        <v>5112</v>
      </c>
      <c r="G754" s="3"/>
      <c r="H754" s="11">
        <f t="shared" si="22"/>
        <v>485.48</v>
      </c>
      <c r="I754" s="9">
        <f>($K$2+0.02)*Tabla1[[#This Row],[PRECIO $]]*1.18</f>
        <v>415.20128999999997</v>
      </c>
      <c r="J754" s="7">
        <f>+Tabla1[[#This Row],[PRECIO EN SOLES]]-Tabla1[[#This Row],[PC]]</f>
        <v>70.278710000000046</v>
      </c>
      <c r="K754" s="15"/>
      <c r="L754" s="15" t="str">
        <f t="shared" si="23"/>
        <v>NORMAL</v>
      </c>
    </row>
    <row r="755" spans="1:12" x14ac:dyDescent="0.25">
      <c r="A755" s="3" t="s">
        <v>5113</v>
      </c>
      <c r="B755" s="3" t="s">
        <v>5114</v>
      </c>
      <c r="C755" s="1">
        <v>20</v>
      </c>
      <c r="D755" s="1">
        <v>120.7</v>
      </c>
      <c r="E755" s="1" t="s">
        <v>1743</v>
      </c>
      <c r="F755" s="1" t="s">
        <v>5115</v>
      </c>
      <c r="G755" s="3" t="s">
        <v>5116</v>
      </c>
      <c r="H755" s="11">
        <f t="shared" si="22"/>
        <v>573.08000000000004</v>
      </c>
      <c r="I755" s="9">
        <f>($K$2+0.02)*Tabla1[[#This Row],[PRECIO $]]*1.18</f>
        <v>491.36970000000002</v>
      </c>
      <c r="J755" s="7">
        <f>+Tabla1[[#This Row],[PRECIO EN SOLES]]-Tabla1[[#This Row],[PC]]</f>
        <v>81.710300000000018</v>
      </c>
      <c r="K755" s="15"/>
      <c r="L755" s="15" t="str">
        <f t="shared" si="23"/>
        <v>NORMAL</v>
      </c>
    </row>
    <row r="756" spans="1:12" x14ac:dyDescent="0.25">
      <c r="A756" s="3" t="s">
        <v>5117</v>
      </c>
      <c r="B756" s="3" t="s">
        <v>5118</v>
      </c>
      <c r="C756" s="1">
        <v>20</v>
      </c>
      <c r="D756" s="1">
        <v>122.7</v>
      </c>
      <c r="E756" s="1" t="s">
        <v>1743</v>
      </c>
      <c r="F756" s="1" t="s">
        <v>5119</v>
      </c>
      <c r="G756" s="3" t="s">
        <v>6924</v>
      </c>
      <c r="H756" s="11">
        <f t="shared" si="22"/>
        <v>582.44000000000005</v>
      </c>
      <c r="I756" s="9">
        <f>($K$2+0.02)*Tabla1[[#This Row],[PRECIO $]]*1.18</f>
        <v>499.51170000000002</v>
      </c>
      <c r="J756" s="7">
        <f>+Tabla1[[#This Row],[PRECIO EN SOLES]]-Tabla1[[#This Row],[PC]]</f>
        <v>82.928300000000036</v>
      </c>
      <c r="K756" s="15"/>
      <c r="L756" s="15" t="str">
        <f t="shared" si="23"/>
        <v>NORMAL</v>
      </c>
    </row>
    <row r="757" spans="1:12" x14ac:dyDescent="0.25">
      <c r="A757" s="3" t="s">
        <v>1813</v>
      </c>
      <c r="B757" s="3" t="s">
        <v>1814</v>
      </c>
      <c r="C757" s="1">
        <v>20</v>
      </c>
      <c r="D757" s="1">
        <v>203</v>
      </c>
      <c r="E757" s="1" t="s">
        <v>265</v>
      </c>
      <c r="F757" s="1" t="s">
        <v>5120</v>
      </c>
      <c r="G757" s="3" t="s">
        <v>1815</v>
      </c>
      <c r="H757" s="11">
        <f t="shared" si="22"/>
        <v>958.37</v>
      </c>
      <c r="I757" s="9">
        <f>($K$2+0.02)*Tabla1[[#This Row],[PRECIO $]]*1.18</f>
        <v>826.41300000000001</v>
      </c>
      <c r="J757" s="7">
        <f>+Tabla1[[#This Row],[PRECIO EN SOLES]]-Tabla1[[#This Row],[PC]]</f>
        <v>131.95699999999999</v>
      </c>
      <c r="K757" s="15"/>
      <c r="L757" s="15" t="str">
        <f t="shared" si="23"/>
        <v>NORMAL</v>
      </c>
    </row>
    <row r="758" spans="1:12" x14ac:dyDescent="0.25">
      <c r="A758" s="3" t="s">
        <v>1816</v>
      </c>
      <c r="B758" s="3" t="s">
        <v>1817</v>
      </c>
      <c r="C758" s="1">
        <v>20</v>
      </c>
      <c r="D758" s="1">
        <v>231</v>
      </c>
      <c r="E758" s="1" t="s">
        <v>1727</v>
      </c>
      <c r="F758" s="1" t="s">
        <v>5121</v>
      </c>
      <c r="G758" s="3" t="s">
        <v>1818</v>
      </c>
      <c r="H758" s="11">
        <f t="shared" si="22"/>
        <v>1089.46</v>
      </c>
      <c r="I758" s="9">
        <f>($K$2+0.02)*Tabla1[[#This Row],[PRECIO $]]*1.18</f>
        <v>940.40099999999995</v>
      </c>
      <c r="J758" s="7">
        <f>+Tabla1[[#This Row],[PRECIO EN SOLES]]-Tabla1[[#This Row],[PC]]</f>
        <v>149.05900000000008</v>
      </c>
      <c r="K758" s="15"/>
      <c r="L758" s="15" t="str">
        <f t="shared" si="23"/>
        <v>NORMAL</v>
      </c>
    </row>
    <row r="759" spans="1:12" x14ac:dyDescent="0.25">
      <c r="A759" s="3" t="s">
        <v>1819</v>
      </c>
      <c r="B759" s="3" t="s">
        <v>1820</v>
      </c>
      <c r="C759" s="1">
        <v>20</v>
      </c>
      <c r="D759" s="1">
        <v>209</v>
      </c>
      <c r="E759" s="1" t="s">
        <v>265</v>
      </c>
      <c r="F759" s="1" t="s">
        <v>5122</v>
      </c>
      <c r="G759" s="3" t="s">
        <v>1821</v>
      </c>
      <c r="H759" s="11">
        <f t="shared" si="22"/>
        <v>986.46</v>
      </c>
      <c r="I759" s="9">
        <f>($K$2+0.02)*Tabla1[[#This Row],[PRECIO $]]*1.18</f>
        <v>850.83900000000006</v>
      </c>
      <c r="J759" s="7">
        <f>+Tabla1[[#This Row],[PRECIO EN SOLES]]-Tabla1[[#This Row],[PC]]</f>
        <v>135.62099999999998</v>
      </c>
      <c r="K759" s="15"/>
      <c r="L759" s="15" t="str">
        <f t="shared" si="23"/>
        <v>NORMAL</v>
      </c>
    </row>
    <row r="760" spans="1:12" x14ac:dyDescent="0.25">
      <c r="A760" s="3" t="s">
        <v>1822</v>
      </c>
      <c r="B760" s="3" t="s">
        <v>1823</v>
      </c>
      <c r="C760" s="1">
        <v>20</v>
      </c>
      <c r="D760" s="1">
        <v>206.63</v>
      </c>
      <c r="E760" s="1" t="s">
        <v>965</v>
      </c>
      <c r="F760" s="1" t="s">
        <v>5123</v>
      </c>
      <c r="G760" s="3" t="s">
        <v>1824</v>
      </c>
      <c r="H760" s="11">
        <f t="shared" si="22"/>
        <v>975.37</v>
      </c>
      <c r="I760" s="9">
        <f>($K$2+0.02)*Tabla1[[#This Row],[PRECIO $]]*1.18</f>
        <v>841.19073000000003</v>
      </c>
      <c r="J760" s="7">
        <f>+Tabla1[[#This Row],[PRECIO EN SOLES]]-Tabla1[[#This Row],[PC]]</f>
        <v>134.17926999999997</v>
      </c>
      <c r="K760" s="15"/>
      <c r="L760" s="15" t="str">
        <f t="shared" si="23"/>
        <v>NORMAL</v>
      </c>
    </row>
    <row r="761" spans="1:12" x14ac:dyDescent="0.25">
      <c r="A761" s="3" t="s">
        <v>1825</v>
      </c>
      <c r="B761" s="3" t="s">
        <v>1826</v>
      </c>
      <c r="C761" s="1">
        <v>20</v>
      </c>
      <c r="D761" s="1">
        <v>230</v>
      </c>
      <c r="E761" s="1" t="s">
        <v>965</v>
      </c>
      <c r="F761" s="1" t="s">
        <v>5124</v>
      </c>
      <c r="G761" s="3" t="s">
        <v>1827</v>
      </c>
      <c r="H761" s="11">
        <f t="shared" si="22"/>
        <v>1084.78</v>
      </c>
      <c r="I761" s="9">
        <f>($K$2+0.02)*Tabla1[[#This Row],[PRECIO $]]*1.18</f>
        <v>936.32999999999993</v>
      </c>
      <c r="J761" s="7">
        <f>+Tabla1[[#This Row],[PRECIO EN SOLES]]-Tabla1[[#This Row],[PC]]</f>
        <v>148.45000000000005</v>
      </c>
      <c r="K761" s="15"/>
      <c r="L761" s="15" t="str">
        <f t="shared" si="23"/>
        <v>NORMAL</v>
      </c>
    </row>
    <row r="762" spans="1:12" x14ac:dyDescent="0.25">
      <c r="A762" s="3" t="s">
        <v>1828</v>
      </c>
      <c r="B762" s="3" t="s">
        <v>1826</v>
      </c>
      <c r="C762" s="1">
        <v>20</v>
      </c>
      <c r="D762" s="1">
        <v>225</v>
      </c>
      <c r="E762" s="1" t="s">
        <v>965</v>
      </c>
      <c r="F762" s="1" t="s">
        <v>5125</v>
      </c>
      <c r="G762" s="3" t="s">
        <v>1829</v>
      </c>
      <c r="H762" s="11">
        <f t="shared" si="22"/>
        <v>1061.3699999999999</v>
      </c>
      <c r="I762" s="9">
        <f>($K$2+0.02)*Tabla1[[#This Row],[PRECIO $]]*1.18</f>
        <v>915.97499999999991</v>
      </c>
      <c r="J762" s="7">
        <f>+Tabla1[[#This Row],[PRECIO EN SOLES]]-Tabla1[[#This Row],[PC]]</f>
        <v>145.39499999999998</v>
      </c>
      <c r="K762" s="15"/>
      <c r="L762" s="15" t="str">
        <f t="shared" si="23"/>
        <v>NORMAL</v>
      </c>
    </row>
    <row r="763" spans="1:12" x14ac:dyDescent="0.25">
      <c r="A763" s="3" t="s">
        <v>5126</v>
      </c>
      <c r="B763" s="3" t="s">
        <v>5127</v>
      </c>
      <c r="C763" s="1">
        <v>20</v>
      </c>
      <c r="D763" s="1">
        <v>208</v>
      </c>
      <c r="E763" s="1" t="s">
        <v>1743</v>
      </c>
      <c r="F763" s="1" t="s">
        <v>5128</v>
      </c>
      <c r="G763" s="3" t="s">
        <v>6925</v>
      </c>
      <c r="H763" s="11">
        <f t="shared" si="22"/>
        <v>981.78</v>
      </c>
      <c r="I763" s="9">
        <f>($K$2+0.02)*Tabla1[[#This Row],[PRECIO $]]*1.18</f>
        <v>846.76800000000003</v>
      </c>
      <c r="J763" s="7">
        <f>+Tabla1[[#This Row],[PRECIO EN SOLES]]-Tabla1[[#This Row],[PC]]</f>
        <v>135.01199999999994</v>
      </c>
      <c r="K763" s="15"/>
      <c r="L763" s="15" t="str">
        <f t="shared" si="23"/>
        <v>NORMAL</v>
      </c>
    </row>
    <row r="764" spans="1:12" x14ac:dyDescent="0.25">
      <c r="A764" s="3" t="s">
        <v>5129</v>
      </c>
      <c r="B764" s="3" t="s">
        <v>5130</v>
      </c>
      <c r="C764" s="1">
        <v>20</v>
      </c>
      <c r="D764" s="1">
        <v>212</v>
      </c>
      <c r="E764" s="1" t="s">
        <v>1743</v>
      </c>
      <c r="F764" s="1" t="s">
        <v>5131</v>
      </c>
      <c r="G764" s="3" t="s">
        <v>6926</v>
      </c>
      <c r="H764" s="11">
        <f t="shared" si="22"/>
        <v>1000.51</v>
      </c>
      <c r="I764" s="9">
        <f>($K$2+0.02)*Tabla1[[#This Row],[PRECIO $]]*1.18</f>
        <v>863.05200000000002</v>
      </c>
      <c r="J764" s="7">
        <f>+Tabla1[[#This Row],[PRECIO EN SOLES]]-Tabla1[[#This Row],[PC]]</f>
        <v>137.45799999999997</v>
      </c>
      <c r="K764" s="15"/>
      <c r="L764" s="15" t="str">
        <f t="shared" si="23"/>
        <v>NORMAL</v>
      </c>
    </row>
    <row r="765" spans="1:12" x14ac:dyDescent="0.25">
      <c r="A765" s="3" t="s">
        <v>5132</v>
      </c>
      <c r="B765" s="3" t="s">
        <v>5133</v>
      </c>
      <c r="C765" s="1">
        <v>13</v>
      </c>
      <c r="D765" s="1">
        <v>459.5</v>
      </c>
      <c r="E765" s="1" t="s">
        <v>965</v>
      </c>
      <c r="F765" s="1" t="s">
        <v>5134</v>
      </c>
      <c r="G765" s="3" t="s">
        <v>5135</v>
      </c>
      <c r="H765" s="11">
        <f t="shared" si="22"/>
        <v>2159.2199999999998</v>
      </c>
      <c r="I765" s="9">
        <f>($K$2+0.02)*Tabla1[[#This Row],[PRECIO $]]*1.18</f>
        <v>1870.6244999999999</v>
      </c>
      <c r="J765" s="7">
        <f>+Tabla1[[#This Row],[PRECIO EN SOLES]]-Tabla1[[#This Row],[PC]]</f>
        <v>288.5954999999999</v>
      </c>
      <c r="K765" s="15"/>
      <c r="L765" s="15" t="str">
        <f t="shared" si="23"/>
        <v>NORMAL</v>
      </c>
    </row>
    <row r="766" spans="1:12" x14ac:dyDescent="0.25">
      <c r="A766" s="3" t="s">
        <v>1830</v>
      </c>
      <c r="B766" s="3" t="s">
        <v>1831</v>
      </c>
      <c r="C766" s="1">
        <v>6</v>
      </c>
      <c r="D766" s="1">
        <v>444</v>
      </c>
      <c r="E766" s="1" t="s">
        <v>1832</v>
      </c>
      <c r="F766" s="1" t="s">
        <v>5136</v>
      </c>
      <c r="G766" s="3" t="s">
        <v>1833</v>
      </c>
      <c r="H766" s="11">
        <f t="shared" si="22"/>
        <v>2086.65</v>
      </c>
      <c r="I766" s="9">
        <f>($K$2+0.02)*Tabla1[[#This Row],[PRECIO $]]*1.18</f>
        <v>1807.5240000000001</v>
      </c>
      <c r="J766" s="7">
        <f>+Tabla1[[#This Row],[PRECIO EN SOLES]]-Tabla1[[#This Row],[PC]]</f>
        <v>279.12599999999998</v>
      </c>
      <c r="K766" s="15"/>
      <c r="L766" s="15" t="str">
        <f t="shared" si="23"/>
        <v>NORMAL</v>
      </c>
    </row>
    <row r="767" spans="1:12" x14ac:dyDescent="0.25">
      <c r="A767" s="3" t="s">
        <v>1834</v>
      </c>
      <c r="B767" s="3" t="s">
        <v>1831</v>
      </c>
      <c r="C767" s="1">
        <v>7</v>
      </c>
      <c r="D767" s="1">
        <v>444</v>
      </c>
      <c r="E767" s="1" t="s">
        <v>1832</v>
      </c>
      <c r="F767" s="1" t="s">
        <v>5137</v>
      </c>
      <c r="G767" s="3" t="s">
        <v>1833</v>
      </c>
      <c r="H767" s="11">
        <f t="shared" si="22"/>
        <v>2086.65</v>
      </c>
      <c r="I767" s="9">
        <f>($K$2+0.02)*Tabla1[[#This Row],[PRECIO $]]*1.18</f>
        <v>1807.5240000000001</v>
      </c>
      <c r="J767" s="7">
        <f>+Tabla1[[#This Row],[PRECIO EN SOLES]]-Tabla1[[#This Row],[PC]]</f>
        <v>279.12599999999998</v>
      </c>
      <c r="K767" s="15"/>
      <c r="L767" s="15" t="str">
        <f t="shared" si="23"/>
        <v>NORMAL</v>
      </c>
    </row>
    <row r="768" spans="1:12" x14ac:dyDescent="0.25">
      <c r="A768" s="3" t="s">
        <v>6927</v>
      </c>
      <c r="B768" s="3" t="s">
        <v>6928</v>
      </c>
      <c r="C768" s="1">
        <v>20</v>
      </c>
      <c r="D768" s="1">
        <v>613.03</v>
      </c>
      <c r="E768" s="1" t="s">
        <v>1837</v>
      </c>
      <c r="F768" s="1" t="s">
        <v>6929</v>
      </c>
      <c r="G768" s="3"/>
      <c r="H768" s="11">
        <f t="shared" si="22"/>
        <v>2877.99</v>
      </c>
      <c r="I768" s="9">
        <f>($K$2+0.02)*Tabla1[[#This Row],[PRECIO $]]*1.18</f>
        <v>2495.6451299999999</v>
      </c>
      <c r="J768" s="7">
        <f>+Tabla1[[#This Row],[PRECIO EN SOLES]]-Tabla1[[#This Row],[PC]]</f>
        <v>382.3448699999999</v>
      </c>
      <c r="K768" s="15"/>
      <c r="L768" s="15" t="str">
        <f t="shared" si="23"/>
        <v>NORMAL</v>
      </c>
    </row>
    <row r="769" spans="1:12" x14ac:dyDescent="0.25">
      <c r="A769" s="3" t="s">
        <v>1835</v>
      </c>
      <c r="B769" s="3" t="s">
        <v>1836</v>
      </c>
      <c r="C769" s="1">
        <v>4</v>
      </c>
      <c r="D769" s="1">
        <v>907</v>
      </c>
      <c r="E769" s="1" t="s">
        <v>1837</v>
      </c>
      <c r="F769" s="1" t="s">
        <v>5138</v>
      </c>
      <c r="G769" s="3" t="s">
        <v>1838</v>
      </c>
      <c r="H769" s="11">
        <f t="shared" si="22"/>
        <v>4254.26</v>
      </c>
      <c r="I769" s="9">
        <f>($K$2+0.02)*Tabla1[[#This Row],[PRECIO $]]*1.18</f>
        <v>3692.3969999999999</v>
      </c>
      <c r="J769" s="7">
        <f>+Tabla1[[#This Row],[PRECIO EN SOLES]]-Tabla1[[#This Row],[PC]]</f>
        <v>561.86300000000028</v>
      </c>
      <c r="K769" s="15"/>
      <c r="L769" s="15" t="str">
        <f t="shared" si="23"/>
        <v>NORMAL</v>
      </c>
    </row>
    <row r="770" spans="1:12" x14ac:dyDescent="0.25">
      <c r="A770" s="3" t="s">
        <v>1839</v>
      </c>
      <c r="B770" s="3" t="s">
        <v>1840</v>
      </c>
      <c r="C770" s="1">
        <v>20</v>
      </c>
      <c r="D770" s="1">
        <v>122.7</v>
      </c>
      <c r="E770" s="1" t="s">
        <v>965</v>
      </c>
      <c r="F770" s="1" t="s">
        <v>5139</v>
      </c>
      <c r="G770" s="3" t="s">
        <v>1841</v>
      </c>
      <c r="H770" s="11">
        <f t="shared" ref="H770:H833" si="24">ROUND(
IF(L770="GANCHO",
   IF(I770&lt;=50,I770*1.1+4,IF(I770&lt;=120,I770*1.1+7,IF(I770&lt;=250,I770*1.1+11,I770*1.1+19))),
IF(L770="NORMAL",
   IF(I770&lt;=30,I770*1.15+2,IF(I770&lt;=80,I770*1.15+4,IF(I770&lt;=150,I770*1.15+6,I770*1.15+8))),
IF(L770="COMPLEMENTO",
   IF(I770&lt;=25,I770*1.25+1.5,IF(I770&lt;=60,I770*1.25+3,IF(I770&lt;=120,I770*1.25+4,I770*1.25+5))),
""))),2)</f>
        <v>582.44000000000005</v>
      </c>
      <c r="I770" s="9">
        <f>($K$2+0.02)*Tabla1[[#This Row],[PRECIO $]]*1.18</f>
        <v>499.51170000000002</v>
      </c>
      <c r="J770" s="7">
        <f>+Tabla1[[#This Row],[PRECIO EN SOLES]]-Tabla1[[#This Row],[PC]]</f>
        <v>82.928300000000036</v>
      </c>
      <c r="K770" s="15"/>
      <c r="L770" s="15" t="str">
        <f t="shared" si="23"/>
        <v>NORMAL</v>
      </c>
    </row>
    <row r="771" spans="1:12" x14ac:dyDescent="0.25">
      <c r="A771" s="3" t="s">
        <v>1842</v>
      </c>
      <c r="B771" s="3" t="s">
        <v>1843</v>
      </c>
      <c r="C771" s="1">
        <v>7</v>
      </c>
      <c r="D771" s="1">
        <v>105.5</v>
      </c>
      <c r="E771" s="1" t="s">
        <v>1727</v>
      </c>
      <c r="F771" s="1" t="s">
        <v>5140</v>
      </c>
      <c r="G771" s="3" t="s">
        <v>1844</v>
      </c>
      <c r="H771" s="11">
        <f t="shared" si="24"/>
        <v>501.91</v>
      </c>
      <c r="I771" s="9">
        <f>($K$2+0.02)*Tabla1[[#This Row],[PRECIO $]]*1.18</f>
        <v>429.4905</v>
      </c>
      <c r="J771" s="7">
        <f>+Tabla1[[#This Row],[PRECIO EN SOLES]]-Tabla1[[#This Row],[PC]]</f>
        <v>72.419500000000028</v>
      </c>
      <c r="K771" s="15"/>
      <c r="L771" s="15" t="str">
        <f t="shared" ref="L771:L834" si="25">IF(
OR(
ISNUMBER(SEARCH("BACKPACK",B771)),
ISNUMBER(SEARCH("MOCHILA",B771)),
ISNUMBER(SEARCH("FUNDA",B771)),
ISNUMBER(SEARCH("ESTUCHE",B771)),
ISNUMBER(SEARCH("BOOK COVER",B771)),
ISNUMBER(SEARCH("KEYBOARD PARA TABLET",B771)),
ISNUMBER(SEARCH("FLIP TABLET",B771)),
ISNUMBER(SEARCH("CASE FOR TABLET",B771)),
ISNUMBER(SEARCH("CABLE",B771)),
ISNUMBER(SEARCH("ADAPTADOR",B771)),
ISNUMBER(SEARCH("HUB",B771)),
ISNUMBER(SEARCH("DOCK",B771)),
ISNUMBER(SEARCH("MOUSE PAD",B771)),
ISNUMBER(SEARCH("MOUSEPAD",B771)),
ISNUMBER(SEARCH("SOPORTE",B771)),
ISNUMBER(SEARCH("STAND",B771)),
ISNUMBER(SEARCH("TRAVEL ADAPTER",B771)),
ISNUMBER(SEARCH("RJ45",B771)),
ISNUMBER(SEARCH("USB-C",B771)),
ISNUMBER(SEARCH("USB WIFI",B771)),
ISNUMBER(SEARCH("POWERBANK",B771)),
ISNUMBER(SEARCH("CARGADOR",B771)),
ISNUMBER(SEARCH("COOLER PARA NB",B771)),
ISNUMBER(SEARCH("SOPORTE PARA NB",B771)),
ISNUMBER(SEARCH("WEBCAM",B771)),
ISNUMBER(SEARCH("WEB CAM",B771)),
ISNUMBER(SEARCH("MOUSE",B771)),
ISNUMBER(SEARCH("TECLADO",B771))
),
"COMPLEMENTO",
IF(
OR(
LEFT(A771,2)="NB",
LEFT(A771,2)="PC",
LEFT(A771,2)="WS",
LEFT(A771,2)="TB",
LEFT(A771,3)="CEL",
LEFT(A771,3)="MON",
LEFT(A771,3)="PRE",
LEFT(A771,3)="PRH",
ISNUMBER(SEARCH("NOTEBOOK",B771)),
ISNUMBER(SEARCH("LAPTOP",B771)),
ISNUMBER(SEARCH("MONITOR",B771)),
ISNUMBER(SEARCH("TABLET",B771)),
ISNUMBER(SEARCH("SMARTPH",B771)),
ISNUMBER(SEARCH("IMPRESORA",B771)),
ISNUMBER(SEARCH("MULTIFUNCIONAL",B771)),
ISNUMBER(SEARCH("AIO",B771))
),
"GANCHO",
"NORMAL"
)
)</f>
        <v>NORMAL</v>
      </c>
    </row>
    <row r="772" spans="1:12" x14ac:dyDescent="0.25">
      <c r="A772" s="3" t="s">
        <v>1845</v>
      </c>
      <c r="B772" s="3" t="s">
        <v>1846</v>
      </c>
      <c r="C772" s="1">
        <v>20</v>
      </c>
      <c r="D772" s="1">
        <v>232.75</v>
      </c>
      <c r="E772" s="1" t="s">
        <v>965</v>
      </c>
      <c r="F772" s="1" t="s">
        <v>5141</v>
      </c>
      <c r="G772" s="3" t="s">
        <v>1847</v>
      </c>
      <c r="H772" s="11">
        <f t="shared" si="24"/>
        <v>1097.6500000000001</v>
      </c>
      <c r="I772" s="9">
        <f>($K$2+0.02)*Tabla1[[#This Row],[PRECIO $]]*1.18</f>
        <v>947.52525000000003</v>
      </c>
      <c r="J772" s="7">
        <f>+Tabla1[[#This Row],[PRECIO EN SOLES]]-Tabla1[[#This Row],[PC]]</f>
        <v>150.12475000000006</v>
      </c>
      <c r="K772" s="15"/>
      <c r="L772" s="15" t="str">
        <f t="shared" si="25"/>
        <v>NORMAL</v>
      </c>
    </row>
    <row r="773" spans="1:12" x14ac:dyDescent="0.25">
      <c r="A773" s="3" t="s">
        <v>1848</v>
      </c>
      <c r="B773" s="3" t="s">
        <v>1849</v>
      </c>
      <c r="C773" s="1">
        <v>20</v>
      </c>
      <c r="D773" s="1">
        <v>235</v>
      </c>
      <c r="E773" s="1" t="s">
        <v>965</v>
      </c>
      <c r="F773" s="1" t="s">
        <v>5142</v>
      </c>
      <c r="G773" s="3" t="s">
        <v>1850</v>
      </c>
      <c r="H773" s="11">
        <f t="shared" si="24"/>
        <v>1108.19</v>
      </c>
      <c r="I773" s="9">
        <f>($K$2+0.02)*Tabla1[[#This Row],[PRECIO $]]*1.18</f>
        <v>956.68499999999995</v>
      </c>
      <c r="J773" s="7">
        <f>+Tabla1[[#This Row],[PRECIO EN SOLES]]-Tabla1[[#This Row],[PC]]</f>
        <v>151.50500000000011</v>
      </c>
      <c r="K773" s="15"/>
      <c r="L773" s="15" t="str">
        <f t="shared" si="25"/>
        <v>NORMAL</v>
      </c>
    </row>
    <row r="774" spans="1:12" x14ac:dyDescent="0.25">
      <c r="A774" s="3" t="s">
        <v>1851</v>
      </c>
      <c r="B774" s="3" t="s">
        <v>1852</v>
      </c>
      <c r="C774" s="1">
        <v>20</v>
      </c>
      <c r="D774" s="1">
        <v>230.5</v>
      </c>
      <c r="E774" s="1" t="s">
        <v>965</v>
      </c>
      <c r="F774" s="1" t="s">
        <v>5143</v>
      </c>
      <c r="G774" s="3" t="s">
        <v>1853</v>
      </c>
      <c r="H774" s="11">
        <f t="shared" si="24"/>
        <v>1087.1199999999999</v>
      </c>
      <c r="I774" s="9">
        <f>($K$2+0.02)*Tabla1[[#This Row],[PRECIO $]]*1.18</f>
        <v>938.3655</v>
      </c>
      <c r="J774" s="7">
        <f>+Tabla1[[#This Row],[PRECIO EN SOLES]]-Tabla1[[#This Row],[PC]]</f>
        <v>148.75449999999989</v>
      </c>
      <c r="K774" s="15"/>
      <c r="L774" s="15" t="str">
        <f t="shared" si="25"/>
        <v>NORMAL</v>
      </c>
    </row>
    <row r="775" spans="1:12" x14ac:dyDescent="0.25">
      <c r="A775" s="3" t="s">
        <v>5144</v>
      </c>
      <c r="B775" s="3" t="s">
        <v>5145</v>
      </c>
      <c r="C775" s="1">
        <v>14</v>
      </c>
      <c r="D775" s="1">
        <v>477.5</v>
      </c>
      <c r="E775" s="1" t="s">
        <v>965</v>
      </c>
      <c r="F775" s="1" t="s">
        <v>5146</v>
      </c>
      <c r="G775" s="3" t="s">
        <v>5147</v>
      </c>
      <c r="H775" s="11">
        <f t="shared" si="24"/>
        <v>2243.4899999999998</v>
      </c>
      <c r="I775" s="9">
        <f>($K$2+0.02)*Tabla1[[#This Row],[PRECIO $]]*1.18</f>
        <v>1943.9024999999999</v>
      </c>
      <c r="J775" s="7">
        <f>+Tabla1[[#This Row],[PRECIO EN SOLES]]-Tabla1[[#This Row],[PC]]</f>
        <v>299.58749999999986</v>
      </c>
      <c r="K775" s="15"/>
      <c r="L775" s="15" t="str">
        <f t="shared" si="25"/>
        <v>NORMAL</v>
      </c>
    </row>
    <row r="776" spans="1:12" x14ac:dyDescent="0.25">
      <c r="A776" s="3" t="s">
        <v>5148</v>
      </c>
      <c r="B776" s="3" t="s">
        <v>5149</v>
      </c>
      <c r="C776" s="1">
        <v>20</v>
      </c>
      <c r="D776" s="1">
        <v>476.5</v>
      </c>
      <c r="E776" s="1" t="s">
        <v>965</v>
      </c>
      <c r="F776" s="1" t="s">
        <v>5150</v>
      </c>
      <c r="G776" s="3" t="s">
        <v>5151</v>
      </c>
      <c r="H776" s="11">
        <f t="shared" si="24"/>
        <v>2238.81</v>
      </c>
      <c r="I776" s="9">
        <f>($K$2+0.02)*Tabla1[[#This Row],[PRECIO $]]*1.18</f>
        <v>1939.8315</v>
      </c>
      <c r="J776" s="7">
        <f>+Tabla1[[#This Row],[PRECIO EN SOLES]]-Tabla1[[#This Row],[PC]]</f>
        <v>298.97849999999994</v>
      </c>
      <c r="K776" s="15"/>
      <c r="L776" s="15" t="str">
        <f t="shared" si="25"/>
        <v>NORMAL</v>
      </c>
    </row>
    <row r="777" spans="1:12" x14ac:dyDescent="0.25">
      <c r="A777" s="3" t="s">
        <v>5152</v>
      </c>
      <c r="B777" s="3" t="s">
        <v>5153</v>
      </c>
      <c r="C777" s="1">
        <v>19</v>
      </c>
      <c r="D777" s="1">
        <v>476.5</v>
      </c>
      <c r="E777" s="1" t="s">
        <v>965</v>
      </c>
      <c r="F777" s="1" t="s">
        <v>5154</v>
      </c>
      <c r="G777" s="3" t="s">
        <v>5155</v>
      </c>
      <c r="H777" s="11">
        <f t="shared" si="24"/>
        <v>2238.81</v>
      </c>
      <c r="I777" s="9">
        <f>($K$2+0.02)*Tabla1[[#This Row],[PRECIO $]]*1.18</f>
        <v>1939.8315</v>
      </c>
      <c r="J777" s="7">
        <f>+Tabla1[[#This Row],[PRECIO EN SOLES]]-Tabla1[[#This Row],[PC]]</f>
        <v>298.97849999999994</v>
      </c>
      <c r="K777" s="15"/>
      <c r="L777" s="15" t="str">
        <f t="shared" si="25"/>
        <v>NORMAL</v>
      </c>
    </row>
    <row r="778" spans="1:12" x14ac:dyDescent="0.25">
      <c r="A778" s="3" t="s">
        <v>1854</v>
      </c>
      <c r="B778" s="3" t="s">
        <v>1855</v>
      </c>
      <c r="C778" s="1">
        <v>20</v>
      </c>
      <c r="D778" s="1">
        <v>225.74</v>
      </c>
      <c r="E778" s="1" t="s">
        <v>965</v>
      </c>
      <c r="F778" s="1" t="s">
        <v>5156</v>
      </c>
      <c r="G778" s="3" t="s">
        <v>1856</v>
      </c>
      <c r="H778" s="11">
        <f t="shared" si="24"/>
        <v>1064.8399999999999</v>
      </c>
      <c r="I778" s="9">
        <f>($K$2+0.02)*Tabla1[[#This Row],[PRECIO $]]*1.18</f>
        <v>918.98754000000008</v>
      </c>
      <c r="J778" s="7">
        <f>+Tabla1[[#This Row],[PRECIO EN SOLES]]-Tabla1[[#This Row],[PC]]</f>
        <v>145.85245999999984</v>
      </c>
      <c r="K778" s="15"/>
      <c r="L778" s="15" t="str">
        <f t="shared" si="25"/>
        <v>NORMAL</v>
      </c>
    </row>
    <row r="779" spans="1:12" x14ac:dyDescent="0.25">
      <c r="A779" s="3" t="s">
        <v>1857</v>
      </c>
      <c r="B779" s="3" t="s">
        <v>1858</v>
      </c>
      <c r="C779" s="1">
        <v>14</v>
      </c>
      <c r="D779" s="1">
        <v>225.74</v>
      </c>
      <c r="E779" s="1" t="s">
        <v>965</v>
      </c>
      <c r="F779" s="1" t="s">
        <v>5157</v>
      </c>
      <c r="G779" s="3" t="s">
        <v>1859</v>
      </c>
      <c r="H779" s="11">
        <f t="shared" si="24"/>
        <v>1064.8399999999999</v>
      </c>
      <c r="I779" s="9">
        <f>($K$2+0.02)*Tabla1[[#This Row],[PRECIO $]]*1.18</f>
        <v>918.98754000000008</v>
      </c>
      <c r="J779" s="7">
        <f>+Tabla1[[#This Row],[PRECIO EN SOLES]]-Tabla1[[#This Row],[PC]]</f>
        <v>145.85245999999984</v>
      </c>
      <c r="K779" s="15"/>
      <c r="L779" s="15" t="str">
        <f t="shared" si="25"/>
        <v>NORMAL</v>
      </c>
    </row>
    <row r="780" spans="1:12" x14ac:dyDescent="0.25">
      <c r="A780" s="3" t="s">
        <v>1860</v>
      </c>
      <c r="B780" s="3" t="s">
        <v>1861</v>
      </c>
      <c r="C780" s="1">
        <v>17</v>
      </c>
      <c r="D780" s="1">
        <v>233.16</v>
      </c>
      <c r="E780" s="1" t="s">
        <v>965</v>
      </c>
      <c r="F780" s="1" t="s">
        <v>5158</v>
      </c>
      <c r="G780" s="3" t="s">
        <v>1862</v>
      </c>
      <c r="H780" s="11">
        <f t="shared" si="24"/>
        <v>1099.57</v>
      </c>
      <c r="I780" s="9">
        <f>($K$2+0.02)*Tabla1[[#This Row],[PRECIO $]]*1.18</f>
        <v>949.19435999999996</v>
      </c>
      <c r="J780" s="7">
        <f>+Tabla1[[#This Row],[PRECIO EN SOLES]]-Tabla1[[#This Row],[PC]]</f>
        <v>150.37563999999998</v>
      </c>
      <c r="K780" s="15"/>
      <c r="L780" s="15" t="str">
        <f t="shared" si="25"/>
        <v>NORMAL</v>
      </c>
    </row>
    <row r="781" spans="1:12" x14ac:dyDescent="0.25">
      <c r="A781" s="3" t="s">
        <v>1863</v>
      </c>
      <c r="B781" s="3" t="s">
        <v>1864</v>
      </c>
      <c r="C781" s="1">
        <v>10</v>
      </c>
      <c r="D781" s="1">
        <v>654</v>
      </c>
      <c r="E781" s="1" t="s">
        <v>1727</v>
      </c>
      <c r="F781" s="1" t="s">
        <v>5159</v>
      </c>
      <c r="G781" s="3" t="s">
        <v>1865</v>
      </c>
      <c r="H781" s="11">
        <f t="shared" si="24"/>
        <v>3069.8</v>
      </c>
      <c r="I781" s="9">
        <f>($K$2+0.02)*Tabla1[[#This Row],[PRECIO $]]*1.18</f>
        <v>2662.4340000000002</v>
      </c>
      <c r="J781" s="7">
        <f>+Tabla1[[#This Row],[PRECIO EN SOLES]]-Tabla1[[#This Row],[PC]]</f>
        <v>407.36599999999999</v>
      </c>
      <c r="K781" s="15"/>
      <c r="L781" s="15" t="str">
        <f t="shared" si="25"/>
        <v>NORMAL</v>
      </c>
    </row>
    <row r="782" spans="1:12" x14ac:dyDescent="0.25">
      <c r="A782" s="3" t="s">
        <v>1866</v>
      </c>
      <c r="B782" s="3" t="s">
        <v>1867</v>
      </c>
      <c r="C782" s="1">
        <v>20</v>
      </c>
      <c r="D782" s="1">
        <v>242.3</v>
      </c>
      <c r="E782" s="1" t="s">
        <v>965</v>
      </c>
      <c r="F782" s="1" t="s">
        <v>5160</v>
      </c>
      <c r="G782" s="3"/>
      <c r="H782" s="11">
        <f t="shared" si="24"/>
        <v>1142.3599999999999</v>
      </c>
      <c r="I782" s="9">
        <f>($K$2+0.02)*Tabla1[[#This Row],[PRECIO $]]*1.18</f>
        <v>986.40330000000006</v>
      </c>
      <c r="J782" s="7">
        <f>+Tabla1[[#This Row],[PRECIO EN SOLES]]-Tabla1[[#This Row],[PC]]</f>
        <v>155.95669999999984</v>
      </c>
      <c r="K782" s="15"/>
      <c r="L782" s="15" t="str">
        <f t="shared" si="25"/>
        <v>NORMAL</v>
      </c>
    </row>
    <row r="783" spans="1:12" x14ac:dyDescent="0.25">
      <c r="A783" s="3" t="s">
        <v>1868</v>
      </c>
      <c r="B783" s="3" t="s">
        <v>1869</v>
      </c>
      <c r="C783" s="1">
        <v>20</v>
      </c>
      <c r="D783" s="1">
        <v>26.1</v>
      </c>
      <c r="E783" s="1" t="s">
        <v>965</v>
      </c>
      <c r="F783" s="1" t="s">
        <v>5161</v>
      </c>
      <c r="G783" s="3" t="s">
        <v>1870</v>
      </c>
      <c r="H783" s="11">
        <f t="shared" si="24"/>
        <v>128.19</v>
      </c>
      <c r="I783" s="9">
        <f>($K$2+0.02)*Tabla1[[#This Row],[PRECIO $]]*1.18</f>
        <v>106.25310000000002</v>
      </c>
      <c r="J783" s="7">
        <f>+Tabla1[[#This Row],[PRECIO EN SOLES]]-Tabla1[[#This Row],[PC]]</f>
        <v>21.93689999999998</v>
      </c>
      <c r="K783" s="15"/>
      <c r="L783" s="15" t="str">
        <f t="shared" si="25"/>
        <v>NORMAL</v>
      </c>
    </row>
    <row r="784" spans="1:12" x14ac:dyDescent="0.25">
      <c r="A784" s="3" t="s">
        <v>1871</v>
      </c>
      <c r="B784" s="3" t="s">
        <v>1872</v>
      </c>
      <c r="C784" s="1">
        <v>20</v>
      </c>
      <c r="D784" s="1">
        <v>97.3</v>
      </c>
      <c r="E784" s="1" t="s">
        <v>965</v>
      </c>
      <c r="F784" s="1" t="s">
        <v>5162</v>
      </c>
      <c r="G784" s="3" t="s">
        <v>1873</v>
      </c>
      <c r="H784" s="11">
        <f t="shared" si="24"/>
        <v>463.52</v>
      </c>
      <c r="I784" s="9">
        <f>($K$2+0.02)*Tabla1[[#This Row],[PRECIO $]]*1.18</f>
        <v>396.10829999999999</v>
      </c>
      <c r="J784" s="7">
        <f>+Tabla1[[#This Row],[PRECIO EN SOLES]]-Tabla1[[#This Row],[PC]]</f>
        <v>67.411699999999996</v>
      </c>
      <c r="K784" s="15"/>
      <c r="L784" s="15" t="str">
        <f t="shared" si="25"/>
        <v>NORMAL</v>
      </c>
    </row>
    <row r="785" spans="1:12" x14ac:dyDescent="0.25">
      <c r="A785" s="3" t="s">
        <v>5163</v>
      </c>
      <c r="B785" s="3" t="s">
        <v>5164</v>
      </c>
      <c r="C785" s="1">
        <v>12</v>
      </c>
      <c r="D785" s="1">
        <v>18.02</v>
      </c>
      <c r="E785" s="1" t="s">
        <v>965</v>
      </c>
      <c r="F785" s="1" t="s">
        <v>5165</v>
      </c>
      <c r="G785" s="3" t="s">
        <v>5166</v>
      </c>
      <c r="H785" s="11">
        <f t="shared" si="24"/>
        <v>88.36</v>
      </c>
      <c r="I785" s="9">
        <f>($K$2+0.02)*Tabla1[[#This Row],[PRECIO $]]*1.18</f>
        <v>73.35942</v>
      </c>
      <c r="J785" s="7">
        <f>+Tabla1[[#This Row],[PRECIO EN SOLES]]-Tabla1[[#This Row],[PC]]</f>
        <v>15.000579999999999</v>
      </c>
      <c r="K785" s="15"/>
      <c r="L785" s="15" t="str">
        <f t="shared" si="25"/>
        <v>NORMAL</v>
      </c>
    </row>
    <row r="786" spans="1:12" x14ac:dyDescent="0.25">
      <c r="A786" s="3" t="s">
        <v>1874</v>
      </c>
      <c r="B786" s="3" t="s">
        <v>1875</v>
      </c>
      <c r="C786" s="1">
        <v>20</v>
      </c>
      <c r="D786" s="1">
        <v>28.22</v>
      </c>
      <c r="E786" s="1" t="s">
        <v>965</v>
      </c>
      <c r="F786" s="1" t="s">
        <v>5167</v>
      </c>
      <c r="G786" s="3" t="s">
        <v>1876</v>
      </c>
      <c r="H786" s="11">
        <f t="shared" si="24"/>
        <v>138.12</v>
      </c>
      <c r="I786" s="9">
        <f>($K$2+0.02)*Tabla1[[#This Row],[PRECIO $]]*1.18</f>
        <v>114.88361999999999</v>
      </c>
      <c r="J786" s="7">
        <f>+Tabla1[[#This Row],[PRECIO EN SOLES]]-Tabla1[[#This Row],[PC]]</f>
        <v>23.236380000000011</v>
      </c>
      <c r="K786" s="15"/>
      <c r="L786" s="15" t="str">
        <f t="shared" si="25"/>
        <v>NORMAL</v>
      </c>
    </row>
    <row r="787" spans="1:12" x14ac:dyDescent="0.25">
      <c r="A787" s="3" t="s">
        <v>1877</v>
      </c>
      <c r="B787" s="3" t="s">
        <v>1878</v>
      </c>
      <c r="C787" s="1">
        <v>20</v>
      </c>
      <c r="D787" s="1">
        <v>64.3</v>
      </c>
      <c r="E787" s="1" t="s">
        <v>965</v>
      </c>
      <c r="F787" s="1" t="s">
        <v>5168</v>
      </c>
      <c r="G787" s="3" t="s">
        <v>1879</v>
      </c>
      <c r="H787" s="11">
        <f t="shared" si="24"/>
        <v>309.02999999999997</v>
      </c>
      <c r="I787" s="9">
        <f>($K$2+0.02)*Tabla1[[#This Row],[PRECIO $]]*1.18</f>
        <v>261.76529999999997</v>
      </c>
      <c r="J787" s="7">
        <f>+Tabla1[[#This Row],[PRECIO EN SOLES]]-Tabla1[[#This Row],[PC]]</f>
        <v>47.264700000000005</v>
      </c>
      <c r="K787" s="15"/>
      <c r="L787" s="15" t="str">
        <f t="shared" si="25"/>
        <v>NORMAL</v>
      </c>
    </row>
    <row r="788" spans="1:12" x14ac:dyDescent="0.25">
      <c r="A788" s="3" t="s">
        <v>1880</v>
      </c>
      <c r="B788" s="3" t="s">
        <v>1881</v>
      </c>
      <c r="C788" s="1">
        <v>20</v>
      </c>
      <c r="D788" s="1">
        <v>13.71</v>
      </c>
      <c r="E788" s="1" t="s">
        <v>965</v>
      </c>
      <c r="F788" s="1" t="s">
        <v>5169</v>
      </c>
      <c r="G788" s="3" t="s">
        <v>1882</v>
      </c>
      <c r="H788" s="11">
        <f t="shared" si="24"/>
        <v>68.19</v>
      </c>
      <c r="I788" s="9">
        <f>($K$2+0.02)*Tabla1[[#This Row],[PRECIO $]]*1.18</f>
        <v>55.813409999999998</v>
      </c>
      <c r="J788" s="7">
        <f>+Tabla1[[#This Row],[PRECIO EN SOLES]]-Tabla1[[#This Row],[PC]]</f>
        <v>12.37659</v>
      </c>
      <c r="K788" s="15"/>
      <c r="L788" s="15" t="str">
        <f t="shared" si="25"/>
        <v>NORMAL</v>
      </c>
    </row>
    <row r="789" spans="1:12" x14ac:dyDescent="0.25">
      <c r="A789" s="3" t="s">
        <v>1883</v>
      </c>
      <c r="B789" s="3" t="s">
        <v>1884</v>
      </c>
      <c r="C789" s="1">
        <v>7</v>
      </c>
      <c r="D789" s="1">
        <v>145.30000000000001</v>
      </c>
      <c r="E789" s="1" t="s">
        <v>981</v>
      </c>
      <c r="F789" s="1" t="s">
        <v>5170</v>
      </c>
      <c r="G789" s="3" t="s">
        <v>1885</v>
      </c>
      <c r="H789" s="11">
        <f t="shared" si="24"/>
        <v>688.24</v>
      </c>
      <c r="I789" s="9">
        <f>($K$2+0.02)*Tabla1[[#This Row],[PRECIO $]]*1.18</f>
        <v>591.51630000000011</v>
      </c>
      <c r="J789" s="7">
        <f>+Tabla1[[#This Row],[PRECIO EN SOLES]]-Tabla1[[#This Row],[PC]]</f>
        <v>96.723699999999894</v>
      </c>
      <c r="K789" s="15"/>
      <c r="L789" s="15" t="str">
        <f t="shared" si="25"/>
        <v>NORMAL</v>
      </c>
    </row>
    <row r="790" spans="1:12" x14ac:dyDescent="0.25">
      <c r="A790" s="3" t="s">
        <v>1886</v>
      </c>
      <c r="B790" s="3" t="s">
        <v>1887</v>
      </c>
      <c r="C790" s="1">
        <v>10</v>
      </c>
      <c r="D790" s="1">
        <v>165.3</v>
      </c>
      <c r="E790" s="1" t="s">
        <v>981</v>
      </c>
      <c r="F790" s="1" t="s">
        <v>5171</v>
      </c>
      <c r="G790" s="3" t="s">
        <v>1888</v>
      </c>
      <c r="H790" s="11">
        <f t="shared" si="24"/>
        <v>781.88</v>
      </c>
      <c r="I790" s="9">
        <f>($K$2+0.02)*Tabla1[[#This Row],[PRECIO $]]*1.18</f>
        <v>672.93630000000007</v>
      </c>
      <c r="J790" s="7">
        <f>+Tabla1[[#This Row],[PRECIO EN SOLES]]-Tabla1[[#This Row],[PC]]</f>
        <v>108.94369999999992</v>
      </c>
      <c r="K790" s="15"/>
      <c r="L790" s="15" t="str">
        <f t="shared" si="25"/>
        <v>NORMAL</v>
      </c>
    </row>
    <row r="791" spans="1:12" x14ac:dyDescent="0.25">
      <c r="A791" s="3" t="s">
        <v>1889</v>
      </c>
      <c r="B791" s="3" t="s">
        <v>1890</v>
      </c>
      <c r="C791" s="1">
        <v>3</v>
      </c>
      <c r="D791" s="1">
        <v>16.43</v>
      </c>
      <c r="E791" s="1" t="s">
        <v>981</v>
      </c>
      <c r="F791" s="1" t="s">
        <v>5172</v>
      </c>
      <c r="G791" s="3"/>
      <c r="H791" s="11">
        <f t="shared" si="24"/>
        <v>80.92</v>
      </c>
      <c r="I791" s="9">
        <f>($K$2+0.02)*Tabla1[[#This Row],[PRECIO $]]*1.18</f>
        <v>66.886529999999993</v>
      </c>
      <c r="J791" s="7">
        <f>+Tabla1[[#This Row],[PRECIO EN SOLES]]-Tabla1[[#This Row],[PC]]</f>
        <v>14.033470000000008</v>
      </c>
      <c r="K791" s="15"/>
      <c r="L791" s="15" t="str">
        <f t="shared" si="25"/>
        <v>NORMAL</v>
      </c>
    </row>
    <row r="792" spans="1:12" x14ac:dyDescent="0.25">
      <c r="A792" s="3" t="s">
        <v>1891</v>
      </c>
      <c r="B792" s="3" t="s">
        <v>1892</v>
      </c>
      <c r="C792" s="1">
        <v>20</v>
      </c>
      <c r="D792" s="1">
        <v>18.62</v>
      </c>
      <c r="E792" s="1" t="s">
        <v>965</v>
      </c>
      <c r="F792" s="1" t="s">
        <v>5173</v>
      </c>
      <c r="G792" s="3" t="s">
        <v>1893</v>
      </c>
      <c r="H792" s="11">
        <f t="shared" si="24"/>
        <v>91.17</v>
      </c>
      <c r="I792" s="9">
        <f>($K$2+0.02)*Tabla1[[#This Row],[PRECIO $]]*1.18</f>
        <v>75.802019999999999</v>
      </c>
      <c r="J792" s="7">
        <f>+Tabla1[[#This Row],[PRECIO EN SOLES]]-Tabla1[[#This Row],[PC]]</f>
        <v>15.367980000000003</v>
      </c>
      <c r="K792" s="15"/>
      <c r="L792" s="15" t="str">
        <f t="shared" si="25"/>
        <v>NORMAL</v>
      </c>
    </row>
    <row r="793" spans="1:12" x14ac:dyDescent="0.25">
      <c r="A793" s="3" t="s">
        <v>1894</v>
      </c>
      <c r="B793" s="3" t="s">
        <v>1895</v>
      </c>
      <c r="C793" s="1">
        <v>20</v>
      </c>
      <c r="D793" s="1">
        <v>35.56</v>
      </c>
      <c r="E793" s="1" t="s">
        <v>965</v>
      </c>
      <c r="F793" s="1" t="s">
        <v>5174</v>
      </c>
      <c r="G793" s="3" t="s">
        <v>1893</v>
      </c>
      <c r="H793" s="11">
        <f t="shared" si="24"/>
        <v>172.48</v>
      </c>
      <c r="I793" s="9">
        <f>($K$2+0.02)*Tabla1[[#This Row],[PRECIO $]]*1.18</f>
        <v>144.76476000000002</v>
      </c>
      <c r="J793" s="7">
        <f>+Tabla1[[#This Row],[PRECIO EN SOLES]]-Tabla1[[#This Row],[PC]]</f>
        <v>27.715239999999966</v>
      </c>
      <c r="K793" s="15"/>
      <c r="L793" s="15" t="str">
        <f t="shared" si="25"/>
        <v>NORMAL</v>
      </c>
    </row>
    <row r="794" spans="1:12" x14ac:dyDescent="0.25">
      <c r="A794" s="3" t="s">
        <v>1896</v>
      </c>
      <c r="B794" s="3" t="s">
        <v>1897</v>
      </c>
      <c r="C794" s="1">
        <v>13</v>
      </c>
      <c r="D794" s="1">
        <v>14.4</v>
      </c>
      <c r="E794" s="1" t="s">
        <v>965</v>
      </c>
      <c r="F794" s="1" t="s">
        <v>5175</v>
      </c>
      <c r="G794" s="3" t="s">
        <v>1893</v>
      </c>
      <c r="H794" s="11">
        <f t="shared" si="24"/>
        <v>71.42</v>
      </c>
      <c r="I794" s="9">
        <f>($K$2+0.02)*Tabla1[[#This Row],[PRECIO $]]*1.18</f>
        <v>58.622400000000006</v>
      </c>
      <c r="J794" s="7">
        <f>+Tabla1[[#This Row],[PRECIO EN SOLES]]-Tabla1[[#This Row],[PC]]</f>
        <v>12.797599999999996</v>
      </c>
      <c r="K794" s="15"/>
      <c r="L794" s="15" t="str">
        <f t="shared" si="25"/>
        <v>NORMAL</v>
      </c>
    </row>
    <row r="795" spans="1:12" x14ac:dyDescent="0.25">
      <c r="A795" s="3" t="s">
        <v>1898</v>
      </c>
      <c r="B795" s="3" t="s">
        <v>1899</v>
      </c>
      <c r="C795" s="1">
        <v>20</v>
      </c>
      <c r="D795" s="1">
        <v>5.46</v>
      </c>
      <c r="E795" s="1" t="s">
        <v>965</v>
      </c>
      <c r="F795" s="1" t="s">
        <v>5176</v>
      </c>
      <c r="G795" s="3" t="s">
        <v>1900</v>
      </c>
      <c r="H795" s="11">
        <f t="shared" si="24"/>
        <v>27.56</v>
      </c>
      <c r="I795" s="9">
        <f>($K$2+0.02)*Tabla1[[#This Row],[PRECIO $]]*1.18</f>
        <v>22.22766</v>
      </c>
      <c r="J795" s="7">
        <f>+Tabla1[[#This Row],[PRECIO EN SOLES]]-Tabla1[[#This Row],[PC]]</f>
        <v>5.3323399999999985</v>
      </c>
      <c r="K795" s="15"/>
      <c r="L795" s="15" t="str">
        <f t="shared" si="25"/>
        <v>NORMAL</v>
      </c>
    </row>
    <row r="796" spans="1:12" x14ac:dyDescent="0.25">
      <c r="A796" s="3" t="s">
        <v>1901</v>
      </c>
      <c r="B796" s="3" t="s">
        <v>1902</v>
      </c>
      <c r="C796" s="1">
        <v>20</v>
      </c>
      <c r="D796" s="1">
        <v>5.46</v>
      </c>
      <c r="E796" s="1" t="s">
        <v>965</v>
      </c>
      <c r="F796" s="1" t="s">
        <v>5177</v>
      </c>
      <c r="G796" s="3" t="s">
        <v>1903</v>
      </c>
      <c r="H796" s="11">
        <f t="shared" si="24"/>
        <v>27.56</v>
      </c>
      <c r="I796" s="9">
        <f>($K$2+0.02)*Tabla1[[#This Row],[PRECIO $]]*1.18</f>
        <v>22.22766</v>
      </c>
      <c r="J796" s="7">
        <f>+Tabla1[[#This Row],[PRECIO EN SOLES]]-Tabla1[[#This Row],[PC]]</f>
        <v>5.3323399999999985</v>
      </c>
      <c r="K796" s="15"/>
      <c r="L796" s="15" t="str">
        <f t="shared" si="25"/>
        <v>NORMAL</v>
      </c>
    </row>
    <row r="797" spans="1:12" x14ac:dyDescent="0.25">
      <c r="A797" s="3" t="s">
        <v>1904</v>
      </c>
      <c r="B797" s="3" t="s">
        <v>1905</v>
      </c>
      <c r="C797" s="1">
        <v>3</v>
      </c>
      <c r="D797" s="1">
        <v>20.61</v>
      </c>
      <c r="E797" s="1" t="s">
        <v>965</v>
      </c>
      <c r="F797" s="1" t="s">
        <v>5178</v>
      </c>
      <c r="G797" s="3" t="s">
        <v>1906</v>
      </c>
      <c r="H797" s="11">
        <f t="shared" si="24"/>
        <v>102.49</v>
      </c>
      <c r="I797" s="9">
        <f>($K$2+0.02)*Tabla1[[#This Row],[PRECIO $]]*1.18</f>
        <v>83.903309999999991</v>
      </c>
      <c r="J797" s="7">
        <f>+Tabla1[[#This Row],[PRECIO EN SOLES]]-Tabla1[[#This Row],[PC]]</f>
        <v>18.586690000000004</v>
      </c>
      <c r="K797" s="15"/>
      <c r="L797" s="15" t="str">
        <f t="shared" si="25"/>
        <v>NORMAL</v>
      </c>
    </row>
    <row r="798" spans="1:12" x14ac:dyDescent="0.25">
      <c r="A798" s="3" t="s">
        <v>5179</v>
      </c>
      <c r="B798" s="3" t="s">
        <v>5180</v>
      </c>
      <c r="C798" s="1">
        <v>4</v>
      </c>
      <c r="D798" s="1">
        <v>39.1</v>
      </c>
      <c r="E798" s="1" t="s">
        <v>965</v>
      </c>
      <c r="F798" s="1" t="s">
        <v>5181</v>
      </c>
      <c r="G798" s="3" t="s">
        <v>5182</v>
      </c>
      <c r="H798" s="11">
        <f t="shared" si="24"/>
        <v>191.05</v>
      </c>
      <c r="I798" s="9">
        <f>($K$2+0.02)*Tabla1[[#This Row],[PRECIO $]]*1.18</f>
        <v>159.17609999999999</v>
      </c>
      <c r="J798" s="7">
        <f>+Tabla1[[#This Row],[PRECIO EN SOLES]]-Tabla1[[#This Row],[PC]]</f>
        <v>31.87390000000002</v>
      </c>
      <c r="K798" s="15"/>
      <c r="L798" s="15" t="str">
        <f t="shared" si="25"/>
        <v>NORMAL</v>
      </c>
    </row>
    <row r="799" spans="1:12" x14ac:dyDescent="0.25">
      <c r="A799" s="3" t="s">
        <v>1907</v>
      </c>
      <c r="B799" s="3" t="s">
        <v>1908</v>
      </c>
      <c r="C799" s="1">
        <v>20</v>
      </c>
      <c r="D799" s="1">
        <v>19.88</v>
      </c>
      <c r="E799" s="1" t="s">
        <v>965</v>
      </c>
      <c r="F799" s="1" t="s">
        <v>5183</v>
      </c>
      <c r="G799" s="3" t="s">
        <v>1909</v>
      </c>
      <c r="H799" s="11">
        <f t="shared" si="24"/>
        <v>99.07</v>
      </c>
      <c r="I799" s="9">
        <f>($K$2+0.02)*Tabla1[[#This Row],[PRECIO $]]*1.18</f>
        <v>80.931479999999993</v>
      </c>
      <c r="J799" s="7">
        <f>+Tabla1[[#This Row],[PRECIO EN SOLES]]-Tabla1[[#This Row],[PC]]</f>
        <v>18.13852</v>
      </c>
      <c r="K799" s="15"/>
      <c r="L799" s="15" t="str">
        <f t="shared" si="25"/>
        <v>NORMAL</v>
      </c>
    </row>
    <row r="800" spans="1:12" x14ac:dyDescent="0.25">
      <c r="A800" s="3" t="s">
        <v>1910</v>
      </c>
      <c r="B800" s="3" t="s">
        <v>1911</v>
      </c>
      <c r="C800" s="1">
        <v>12</v>
      </c>
      <c r="D800" s="1">
        <v>27.2</v>
      </c>
      <c r="E800" s="1" t="s">
        <v>965</v>
      </c>
      <c r="F800" s="1" t="s">
        <v>5184</v>
      </c>
      <c r="G800" s="3" t="s">
        <v>1912</v>
      </c>
      <c r="H800" s="11">
        <f t="shared" si="24"/>
        <v>133.34</v>
      </c>
      <c r="I800" s="9">
        <f>($K$2+0.02)*Tabla1[[#This Row],[PRECIO $]]*1.18</f>
        <v>110.7312</v>
      </c>
      <c r="J800" s="7">
        <f>+Tabla1[[#This Row],[PRECIO EN SOLES]]-Tabla1[[#This Row],[PC]]</f>
        <v>22.608800000000002</v>
      </c>
      <c r="K800" s="15"/>
      <c r="L800" s="15" t="str">
        <f t="shared" si="25"/>
        <v>NORMAL</v>
      </c>
    </row>
    <row r="801" spans="1:12" x14ac:dyDescent="0.25">
      <c r="A801" s="3" t="s">
        <v>1913</v>
      </c>
      <c r="B801" s="3" t="s">
        <v>1914</v>
      </c>
      <c r="C801" s="1">
        <v>20</v>
      </c>
      <c r="D801" s="1">
        <v>64.099999999999994</v>
      </c>
      <c r="E801" s="1" t="s">
        <v>965</v>
      </c>
      <c r="F801" s="1" t="s">
        <v>5185</v>
      </c>
      <c r="G801" s="3" t="s">
        <v>1915</v>
      </c>
      <c r="H801" s="11">
        <f t="shared" si="24"/>
        <v>308.08999999999997</v>
      </c>
      <c r="I801" s="9">
        <f>($K$2+0.02)*Tabla1[[#This Row],[PRECIO $]]*1.18</f>
        <v>260.95109999999994</v>
      </c>
      <c r="J801" s="7">
        <f>+Tabla1[[#This Row],[PRECIO EN SOLES]]-Tabla1[[#This Row],[PC]]</f>
        <v>47.138900000000035</v>
      </c>
      <c r="K801" s="15"/>
      <c r="L801" s="15" t="str">
        <f t="shared" si="25"/>
        <v>NORMAL</v>
      </c>
    </row>
    <row r="802" spans="1:12" x14ac:dyDescent="0.25">
      <c r="A802" s="3" t="s">
        <v>1916</v>
      </c>
      <c r="B802" s="3" t="s">
        <v>1917</v>
      </c>
      <c r="C802" s="1">
        <v>20</v>
      </c>
      <c r="D802" s="1">
        <v>11.98</v>
      </c>
      <c r="E802" s="1" t="s">
        <v>965</v>
      </c>
      <c r="F802" s="1" t="s">
        <v>5186</v>
      </c>
      <c r="G802" s="3" t="s">
        <v>1918</v>
      </c>
      <c r="H802" s="11">
        <f t="shared" si="24"/>
        <v>60.09</v>
      </c>
      <c r="I802" s="9">
        <f>($K$2+0.02)*Tabla1[[#This Row],[PRECIO $]]*1.18</f>
        <v>48.770580000000002</v>
      </c>
      <c r="J802" s="7">
        <f>+Tabla1[[#This Row],[PRECIO EN SOLES]]-Tabla1[[#This Row],[PC]]</f>
        <v>11.319420000000001</v>
      </c>
      <c r="K802" s="15"/>
      <c r="L802" s="15" t="str">
        <f t="shared" si="25"/>
        <v>NORMAL</v>
      </c>
    </row>
    <row r="803" spans="1:12" x14ac:dyDescent="0.25">
      <c r="A803" s="3" t="s">
        <v>1919</v>
      </c>
      <c r="B803" s="3" t="s">
        <v>1920</v>
      </c>
      <c r="C803" s="1">
        <v>20</v>
      </c>
      <c r="D803" s="1">
        <v>18.309999999999999</v>
      </c>
      <c r="E803" s="1" t="s">
        <v>965</v>
      </c>
      <c r="F803" s="1" t="s">
        <v>5187</v>
      </c>
      <c r="G803" s="3" t="s">
        <v>1921</v>
      </c>
      <c r="H803" s="11">
        <f t="shared" si="24"/>
        <v>89.72</v>
      </c>
      <c r="I803" s="9">
        <f>($K$2+0.02)*Tabla1[[#This Row],[PRECIO $]]*1.18</f>
        <v>74.540009999999995</v>
      </c>
      <c r="J803" s="7">
        <f>+Tabla1[[#This Row],[PRECIO EN SOLES]]-Tabla1[[#This Row],[PC]]</f>
        <v>15.179990000000004</v>
      </c>
      <c r="K803" s="15"/>
      <c r="L803" s="15" t="str">
        <f t="shared" si="25"/>
        <v>NORMAL</v>
      </c>
    </row>
    <row r="804" spans="1:12" x14ac:dyDescent="0.25">
      <c r="A804" s="3" t="s">
        <v>1922</v>
      </c>
      <c r="B804" s="3" t="s">
        <v>1923</v>
      </c>
      <c r="C804" s="1">
        <v>20</v>
      </c>
      <c r="D804" s="1">
        <v>35.01</v>
      </c>
      <c r="E804" s="1" t="s">
        <v>965</v>
      </c>
      <c r="F804" s="1" t="s">
        <v>5188</v>
      </c>
      <c r="G804" s="3" t="s">
        <v>1924</v>
      </c>
      <c r="H804" s="11">
        <f t="shared" si="24"/>
        <v>169.9</v>
      </c>
      <c r="I804" s="9">
        <f>($K$2+0.02)*Tabla1[[#This Row],[PRECIO $]]*1.18</f>
        <v>142.52570999999998</v>
      </c>
      <c r="J804" s="7">
        <f>+Tabla1[[#This Row],[PRECIO EN SOLES]]-Tabla1[[#This Row],[PC]]</f>
        <v>27.37429000000003</v>
      </c>
      <c r="K804" s="15"/>
      <c r="L804" s="15" t="str">
        <f t="shared" si="25"/>
        <v>NORMAL</v>
      </c>
    </row>
    <row r="805" spans="1:12" x14ac:dyDescent="0.25">
      <c r="A805" s="3" t="s">
        <v>1925</v>
      </c>
      <c r="B805" s="3" t="s">
        <v>1926</v>
      </c>
      <c r="C805" s="1">
        <v>20</v>
      </c>
      <c r="D805" s="1">
        <v>64.599999999999994</v>
      </c>
      <c r="E805" s="1" t="s">
        <v>965</v>
      </c>
      <c r="F805" s="1" t="s">
        <v>5189</v>
      </c>
      <c r="G805" s="3" t="s">
        <v>1927</v>
      </c>
      <c r="H805" s="11">
        <f t="shared" si="24"/>
        <v>310.43</v>
      </c>
      <c r="I805" s="9">
        <f>($K$2+0.02)*Tabla1[[#This Row],[PRECIO $]]*1.18</f>
        <v>262.98660000000001</v>
      </c>
      <c r="J805" s="7">
        <f>+Tabla1[[#This Row],[PRECIO EN SOLES]]-Tabla1[[#This Row],[PC]]</f>
        <v>47.443399999999997</v>
      </c>
      <c r="K805" s="15"/>
      <c r="L805" s="15" t="str">
        <f t="shared" si="25"/>
        <v>NORMAL</v>
      </c>
    </row>
    <row r="806" spans="1:12" x14ac:dyDescent="0.25">
      <c r="A806" s="3" t="s">
        <v>1928</v>
      </c>
      <c r="B806" s="3" t="s">
        <v>1929</v>
      </c>
      <c r="C806" s="1">
        <v>0</v>
      </c>
      <c r="D806" s="1">
        <v>10.98</v>
      </c>
      <c r="E806" s="1" t="s">
        <v>965</v>
      </c>
      <c r="F806" s="1" t="s">
        <v>5190</v>
      </c>
      <c r="G806" s="3" t="s">
        <v>1930</v>
      </c>
      <c r="H806" s="11">
        <f t="shared" si="24"/>
        <v>55.4</v>
      </c>
      <c r="I806" s="9">
        <f>($K$2+0.02)*Tabla1[[#This Row],[PRECIO $]]*1.18</f>
        <v>44.699579999999997</v>
      </c>
      <c r="J806" s="7">
        <f>+Tabla1[[#This Row],[PRECIO EN SOLES]]-Tabla1[[#This Row],[PC]]</f>
        <v>10.700420000000001</v>
      </c>
      <c r="K806" s="15"/>
      <c r="L806" s="15" t="str">
        <f t="shared" si="25"/>
        <v>NORMAL</v>
      </c>
    </row>
    <row r="807" spans="1:12" x14ac:dyDescent="0.25">
      <c r="A807" s="3" t="s">
        <v>1931</v>
      </c>
      <c r="B807" s="3" t="s">
        <v>1932</v>
      </c>
      <c r="C807" s="1">
        <v>20</v>
      </c>
      <c r="D807" s="1">
        <v>8.5</v>
      </c>
      <c r="E807" s="1" t="s">
        <v>965</v>
      </c>
      <c r="F807" s="1" t="s">
        <v>5191</v>
      </c>
      <c r="G807" s="3" t="s">
        <v>1933</v>
      </c>
      <c r="H807" s="11">
        <f t="shared" si="24"/>
        <v>43.79</v>
      </c>
      <c r="I807" s="9">
        <f>($K$2+0.02)*Tabla1[[#This Row],[PRECIO $]]*1.18</f>
        <v>34.603500000000004</v>
      </c>
      <c r="J807" s="7">
        <f>+Tabla1[[#This Row],[PRECIO EN SOLES]]-Tabla1[[#This Row],[PC]]</f>
        <v>9.1864999999999952</v>
      </c>
      <c r="K807" s="15"/>
      <c r="L807" s="15" t="str">
        <f t="shared" si="25"/>
        <v>NORMAL</v>
      </c>
    </row>
    <row r="808" spans="1:12" x14ac:dyDescent="0.25">
      <c r="A808" s="3" t="s">
        <v>1934</v>
      </c>
      <c r="B808" s="3" t="s">
        <v>1935</v>
      </c>
      <c r="C808" s="1">
        <v>6</v>
      </c>
      <c r="D808" s="1">
        <v>21.21</v>
      </c>
      <c r="E808" s="1" t="s">
        <v>965</v>
      </c>
      <c r="F808" s="1" t="s">
        <v>5192</v>
      </c>
      <c r="G808" s="3" t="s">
        <v>1936</v>
      </c>
      <c r="H808" s="11">
        <f t="shared" si="24"/>
        <v>105.3</v>
      </c>
      <c r="I808" s="9">
        <f>($K$2+0.02)*Tabla1[[#This Row],[PRECIO $]]*1.18</f>
        <v>86.345910000000003</v>
      </c>
      <c r="J808" s="7">
        <f>+Tabla1[[#This Row],[PRECIO EN SOLES]]-Tabla1[[#This Row],[PC]]</f>
        <v>18.954089999999994</v>
      </c>
      <c r="K808" s="15"/>
      <c r="L808" s="15" t="str">
        <f t="shared" si="25"/>
        <v>NORMAL</v>
      </c>
    </row>
    <row r="809" spans="1:12" x14ac:dyDescent="0.25">
      <c r="A809" s="3" t="s">
        <v>6930</v>
      </c>
      <c r="B809" s="3" t="s">
        <v>6931</v>
      </c>
      <c r="C809" s="1">
        <v>20</v>
      </c>
      <c r="D809" s="1">
        <v>5.31</v>
      </c>
      <c r="E809" s="1" t="s">
        <v>965</v>
      </c>
      <c r="F809" s="1" t="s">
        <v>6932</v>
      </c>
      <c r="G809" s="3" t="s">
        <v>6933</v>
      </c>
      <c r="H809" s="11">
        <f t="shared" si="24"/>
        <v>26.86</v>
      </c>
      <c r="I809" s="9">
        <f>($K$2+0.02)*Tabla1[[#This Row],[PRECIO $]]*1.18</f>
        <v>21.617009999999997</v>
      </c>
      <c r="J809" s="7">
        <f>+Tabla1[[#This Row],[PRECIO EN SOLES]]-Tabla1[[#This Row],[PC]]</f>
        <v>5.2429900000000025</v>
      </c>
      <c r="K809" s="15"/>
      <c r="L809" s="15" t="str">
        <f t="shared" si="25"/>
        <v>NORMAL</v>
      </c>
    </row>
    <row r="810" spans="1:12" x14ac:dyDescent="0.25">
      <c r="A810" s="3" t="s">
        <v>1937</v>
      </c>
      <c r="B810" s="3" t="s">
        <v>1938</v>
      </c>
      <c r="C810" s="1">
        <v>20</v>
      </c>
      <c r="D810" s="1">
        <v>10.55</v>
      </c>
      <c r="E810" s="1" t="s">
        <v>1750</v>
      </c>
      <c r="F810" s="1" t="s">
        <v>5193</v>
      </c>
      <c r="G810" s="3" t="s">
        <v>1939</v>
      </c>
      <c r="H810" s="11">
        <f t="shared" si="24"/>
        <v>53.39</v>
      </c>
      <c r="I810" s="9">
        <f>($K$2+0.02)*Tabla1[[#This Row],[PRECIO $]]*1.18</f>
        <v>42.94905</v>
      </c>
      <c r="J810" s="7">
        <f>+Tabla1[[#This Row],[PRECIO EN SOLES]]-Tabla1[[#This Row],[PC]]</f>
        <v>10.440950000000001</v>
      </c>
      <c r="K810" s="15"/>
      <c r="L810" s="15" t="str">
        <f t="shared" si="25"/>
        <v>NORMAL</v>
      </c>
    </row>
    <row r="811" spans="1:12" x14ac:dyDescent="0.25">
      <c r="A811" s="3" t="s">
        <v>1940</v>
      </c>
      <c r="B811" s="3" t="s">
        <v>1941</v>
      </c>
      <c r="C811" s="1">
        <v>20</v>
      </c>
      <c r="D811" s="1">
        <v>10.85</v>
      </c>
      <c r="E811" s="1" t="s">
        <v>1727</v>
      </c>
      <c r="F811" s="1" t="s">
        <v>5194</v>
      </c>
      <c r="G811" s="3" t="s">
        <v>1942</v>
      </c>
      <c r="H811" s="11">
        <f t="shared" si="24"/>
        <v>54.8</v>
      </c>
      <c r="I811" s="9">
        <f>($K$2+0.02)*Tabla1[[#This Row],[PRECIO $]]*1.18</f>
        <v>44.170349999999992</v>
      </c>
      <c r="J811" s="7">
        <f>+Tabla1[[#This Row],[PRECIO EN SOLES]]-Tabla1[[#This Row],[PC]]</f>
        <v>10.629650000000005</v>
      </c>
      <c r="K811" s="15"/>
      <c r="L811" s="15" t="str">
        <f t="shared" si="25"/>
        <v>NORMAL</v>
      </c>
    </row>
    <row r="812" spans="1:12" x14ac:dyDescent="0.25">
      <c r="A812" s="3" t="s">
        <v>1943</v>
      </c>
      <c r="B812" s="3" t="s">
        <v>1944</v>
      </c>
      <c r="C812" s="1">
        <v>20</v>
      </c>
      <c r="D812" s="1">
        <v>18.600000000000001</v>
      </c>
      <c r="E812" s="1" t="s">
        <v>1945</v>
      </c>
      <c r="F812" s="1" t="s">
        <v>5195</v>
      </c>
      <c r="G812" s="3"/>
      <c r="H812" s="11">
        <f t="shared" si="24"/>
        <v>91.08</v>
      </c>
      <c r="I812" s="9">
        <f>($K$2+0.02)*Tabla1[[#This Row],[PRECIO $]]*1.18</f>
        <v>75.720600000000005</v>
      </c>
      <c r="J812" s="7">
        <f>+Tabla1[[#This Row],[PRECIO EN SOLES]]-Tabla1[[#This Row],[PC]]</f>
        <v>15.359399999999994</v>
      </c>
      <c r="K812" s="15"/>
      <c r="L812" s="15" t="str">
        <f t="shared" si="25"/>
        <v>NORMAL</v>
      </c>
    </row>
    <row r="813" spans="1:12" x14ac:dyDescent="0.25">
      <c r="A813" s="3" t="s">
        <v>1946</v>
      </c>
      <c r="B813" s="3" t="s">
        <v>1947</v>
      </c>
      <c r="C813" s="1">
        <v>20</v>
      </c>
      <c r="D813" s="1">
        <v>80.930000000000007</v>
      </c>
      <c r="E813" s="1" t="s">
        <v>1750</v>
      </c>
      <c r="F813" s="1" t="s">
        <v>5196</v>
      </c>
      <c r="G813" s="3" t="s">
        <v>1948</v>
      </c>
      <c r="H813" s="11">
        <f t="shared" si="24"/>
        <v>386.89</v>
      </c>
      <c r="I813" s="9">
        <f>($K$2+0.02)*Tabla1[[#This Row],[PRECIO $]]*1.18</f>
        <v>329.46602999999999</v>
      </c>
      <c r="J813" s="7">
        <f>+Tabla1[[#This Row],[PRECIO EN SOLES]]-Tabla1[[#This Row],[PC]]</f>
        <v>57.423969999999997</v>
      </c>
      <c r="K813" s="15"/>
      <c r="L813" s="15" t="str">
        <f t="shared" si="25"/>
        <v>NORMAL</v>
      </c>
    </row>
    <row r="814" spans="1:12" x14ac:dyDescent="0.25">
      <c r="A814" s="3" t="s">
        <v>1949</v>
      </c>
      <c r="B814" s="3" t="s">
        <v>1950</v>
      </c>
      <c r="C814" s="1">
        <v>20</v>
      </c>
      <c r="D814" s="1">
        <v>47</v>
      </c>
      <c r="E814" s="1" t="s">
        <v>1945</v>
      </c>
      <c r="F814" s="1" t="s">
        <v>5197</v>
      </c>
      <c r="G814" s="3"/>
      <c r="H814" s="11">
        <f t="shared" si="24"/>
        <v>228.04</v>
      </c>
      <c r="I814" s="9">
        <f>($K$2+0.02)*Tabla1[[#This Row],[PRECIO $]]*1.18</f>
        <v>191.33699999999999</v>
      </c>
      <c r="J814" s="7">
        <f>+Tabla1[[#This Row],[PRECIO EN SOLES]]-Tabla1[[#This Row],[PC]]</f>
        <v>36.703000000000003</v>
      </c>
      <c r="K814" s="15"/>
      <c r="L814" s="15" t="str">
        <f t="shared" si="25"/>
        <v>NORMAL</v>
      </c>
    </row>
    <row r="815" spans="1:12" x14ac:dyDescent="0.25">
      <c r="A815" s="3" t="s">
        <v>1951</v>
      </c>
      <c r="B815" s="3" t="s">
        <v>1952</v>
      </c>
      <c r="C815" s="1">
        <v>20</v>
      </c>
      <c r="D815" s="1">
        <v>95.5</v>
      </c>
      <c r="E815" s="1" t="s">
        <v>1727</v>
      </c>
      <c r="F815" s="1" t="s">
        <v>5198</v>
      </c>
      <c r="G815" s="3" t="s">
        <v>1953</v>
      </c>
      <c r="H815" s="11">
        <f t="shared" si="24"/>
        <v>455.1</v>
      </c>
      <c r="I815" s="9">
        <f>($K$2+0.02)*Tabla1[[#This Row],[PRECIO $]]*1.18</f>
        <v>388.78050000000002</v>
      </c>
      <c r="J815" s="7">
        <f>+Tabla1[[#This Row],[PRECIO EN SOLES]]-Tabla1[[#This Row],[PC]]</f>
        <v>66.319500000000005</v>
      </c>
      <c r="K815" s="15"/>
      <c r="L815" s="15" t="str">
        <f t="shared" si="25"/>
        <v>NORMAL</v>
      </c>
    </row>
    <row r="816" spans="1:12" x14ac:dyDescent="0.25">
      <c r="A816" s="3" t="s">
        <v>1954</v>
      </c>
      <c r="B816" s="3" t="s">
        <v>1955</v>
      </c>
      <c r="C816" s="1">
        <v>20</v>
      </c>
      <c r="D816" s="1">
        <v>95.5</v>
      </c>
      <c r="E816" s="1" t="s">
        <v>1750</v>
      </c>
      <c r="F816" s="1" t="s">
        <v>5199</v>
      </c>
      <c r="G816" s="3" t="s">
        <v>1956</v>
      </c>
      <c r="H816" s="11">
        <f t="shared" si="24"/>
        <v>455.1</v>
      </c>
      <c r="I816" s="9">
        <f>($K$2+0.02)*Tabla1[[#This Row],[PRECIO $]]*1.18</f>
        <v>388.78050000000002</v>
      </c>
      <c r="J816" s="7">
        <f>+Tabla1[[#This Row],[PRECIO EN SOLES]]-Tabla1[[#This Row],[PC]]</f>
        <v>66.319500000000005</v>
      </c>
      <c r="K816" s="15"/>
      <c r="L816" s="15" t="str">
        <f t="shared" si="25"/>
        <v>NORMAL</v>
      </c>
    </row>
    <row r="817" spans="1:12" x14ac:dyDescent="0.25">
      <c r="A817" s="3" t="s">
        <v>1957</v>
      </c>
      <c r="B817" s="3" t="s">
        <v>1958</v>
      </c>
      <c r="C817" s="1">
        <v>20</v>
      </c>
      <c r="D817" s="1">
        <v>143.61000000000001</v>
      </c>
      <c r="E817" s="1" t="s">
        <v>965</v>
      </c>
      <c r="F817" s="1" t="s">
        <v>5200</v>
      </c>
      <c r="G817" s="3" t="s">
        <v>1959</v>
      </c>
      <c r="H817" s="11">
        <f t="shared" si="24"/>
        <v>680.33</v>
      </c>
      <c r="I817" s="9">
        <f>($K$2+0.02)*Tabla1[[#This Row],[PRECIO $]]*1.18</f>
        <v>584.63630999999998</v>
      </c>
      <c r="J817" s="7">
        <f>+Tabla1[[#This Row],[PRECIO EN SOLES]]-Tabla1[[#This Row],[PC]]</f>
        <v>95.693690000000061</v>
      </c>
      <c r="K817" s="15"/>
      <c r="L817" s="15" t="str">
        <f t="shared" si="25"/>
        <v>NORMAL</v>
      </c>
    </row>
    <row r="818" spans="1:12" x14ac:dyDescent="0.25">
      <c r="A818" s="3" t="s">
        <v>1960</v>
      </c>
      <c r="B818" s="3" t="s">
        <v>1961</v>
      </c>
      <c r="C818" s="1">
        <v>20</v>
      </c>
      <c r="D818" s="1">
        <v>142.5</v>
      </c>
      <c r="E818" s="1" t="s">
        <v>965</v>
      </c>
      <c r="F818" s="1" t="s">
        <v>5201</v>
      </c>
      <c r="G818" s="3" t="s">
        <v>1962</v>
      </c>
      <c r="H818" s="11">
        <f t="shared" si="24"/>
        <v>675.14</v>
      </c>
      <c r="I818" s="9">
        <f>($K$2+0.02)*Tabla1[[#This Row],[PRECIO $]]*1.18</f>
        <v>580.11749999999995</v>
      </c>
      <c r="J818" s="7">
        <f>+Tabla1[[#This Row],[PRECIO EN SOLES]]-Tabla1[[#This Row],[PC]]</f>
        <v>95.022500000000036</v>
      </c>
      <c r="K818" s="15"/>
      <c r="L818" s="15" t="str">
        <f t="shared" si="25"/>
        <v>NORMAL</v>
      </c>
    </row>
    <row r="819" spans="1:12" x14ac:dyDescent="0.25">
      <c r="A819" s="3" t="s">
        <v>5202</v>
      </c>
      <c r="B819" s="3" t="s">
        <v>5203</v>
      </c>
      <c r="C819" s="1">
        <v>20</v>
      </c>
      <c r="D819" s="1">
        <v>65.400000000000006</v>
      </c>
      <c r="E819" s="1" t="s">
        <v>1750</v>
      </c>
      <c r="F819" s="1" t="s">
        <v>5204</v>
      </c>
      <c r="G819" s="3" t="s">
        <v>5205</v>
      </c>
      <c r="H819" s="11">
        <f t="shared" si="24"/>
        <v>314.18</v>
      </c>
      <c r="I819" s="9">
        <f>($K$2+0.02)*Tabla1[[#This Row],[PRECIO $]]*1.18</f>
        <v>266.24340000000001</v>
      </c>
      <c r="J819" s="7">
        <f>+Tabla1[[#This Row],[PRECIO EN SOLES]]-Tabla1[[#This Row],[PC]]</f>
        <v>47.936599999999999</v>
      </c>
      <c r="K819" s="15"/>
      <c r="L819" s="15" t="str">
        <f t="shared" si="25"/>
        <v>NORMAL</v>
      </c>
    </row>
    <row r="820" spans="1:12" x14ac:dyDescent="0.25">
      <c r="A820" s="3" t="s">
        <v>1963</v>
      </c>
      <c r="B820" s="3" t="s">
        <v>1964</v>
      </c>
      <c r="C820" s="1">
        <v>20</v>
      </c>
      <c r="D820" s="1">
        <v>101.35</v>
      </c>
      <c r="E820" s="1" t="s">
        <v>965</v>
      </c>
      <c r="F820" s="1" t="s">
        <v>5206</v>
      </c>
      <c r="G820" s="3" t="s">
        <v>1965</v>
      </c>
      <c r="H820" s="11">
        <f t="shared" si="24"/>
        <v>482.49</v>
      </c>
      <c r="I820" s="9">
        <f>($K$2+0.02)*Tabla1[[#This Row],[PRECIO $]]*1.18</f>
        <v>412.59584999999993</v>
      </c>
      <c r="J820" s="7">
        <f>+Tabla1[[#This Row],[PRECIO EN SOLES]]-Tabla1[[#This Row],[PC]]</f>
        <v>69.894150000000081</v>
      </c>
      <c r="K820" s="15"/>
      <c r="L820" s="15" t="str">
        <f t="shared" si="25"/>
        <v>NORMAL</v>
      </c>
    </row>
    <row r="821" spans="1:12" x14ac:dyDescent="0.25">
      <c r="A821" s="3" t="s">
        <v>1966</v>
      </c>
      <c r="B821" s="3" t="s">
        <v>1967</v>
      </c>
      <c r="C821" s="1">
        <v>20</v>
      </c>
      <c r="D821" s="1">
        <v>101.63</v>
      </c>
      <c r="E821" s="1" t="s">
        <v>965</v>
      </c>
      <c r="F821" s="1" t="s">
        <v>5207</v>
      </c>
      <c r="G821" s="3" t="s">
        <v>1968</v>
      </c>
      <c r="H821" s="11">
        <f t="shared" si="24"/>
        <v>483.8</v>
      </c>
      <c r="I821" s="9">
        <f>($K$2+0.02)*Tabla1[[#This Row],[PRECIO $]]*1.18</f>
        <v>413.73572999999993</v>
      </c>
      <c r="J821" s="7">
        <f>+Tabla1[[#This Row],[PRECIO EN SOLES]]-Tabla1[[#This Row],[PC]]</f>
        <v>70.064270000000079</v>
      </c>
      <c r="K821" s="15"/>
      <c r="L821" s="15" t="str">
        <f t="shared" si="25"/>
        <v>NORMAL</v>
      </c>
    </row>
    <row r="822" spans="1:12" x14ac:dyDescent="0.25">
      <c r="A822" s="3" t="s">
        <v>1969</v>
      </c>
      <c r="B822" s="3" t="s">
        <v>1970</v>
      </c>
      <c r="C822" s="1">
        <v>20</v>
      </c>
      <c r="D822" s="1">
        <v>89.2</v>
      </c>
      <c r="E822" s="1" t="s">
        <v>965</v>
      </c>
      <c r="F822" s="1" t="s">
        <v>5208</v>
      </c>
      <c r="G822" s="3" t="s">
        <v>1971</v>
      </c>
      <c r="H822" s="11">
        <f t="shared" si="24"/>
        <v>425.6</v>
      </c>
      <c r="I822" s="9">
        <f>($K$2+0.02)*Tabla1[[#This Row],[PRECIO $]]*1.18</f>
        <v>363.13319999999999</v>
      </c>
      <c r="J822" s="7">
        <f>+Tabla1[[#This Row],[PRECIO EN SOLES]]-Tabla1[[#This Row],[PC]]</f>
        <v>62.466800000000035</v>
      </c>
      <c r="K822" s="15"/>
      <c r="L822" s="15" t="str">
        <f t="shared" si="25"/>
        <v>NORMAL</v>
      </c>
    </row>
    <row r="823" spans="1:12" x14ac:dyDescent="0.25">
      <c r="A823" s="3" t="s">
        <v>1972</v>
      </c>
      <c r="B823" s="3" t="s">
        <v>1973</v>
      </c>
      <c r="C823" s="1">
        <v>20</v>
      </c>
      <c r="D823" s="1">
        <v>227.25</v>
      </c>
      <c r="E823" s="1" t="s">
        <v>965</v>
      </c>
      <c r="F823" s="1" t="s">
        <v>5209</v>
      </c>
      <c r="G823" s="3" t="s">
        <v>1974</v>
      </c>
      <c r="H823" s="11">
        <f t="shared" si="24"/>
        <v>1071.9000000000001</v>
      </c>
      <c r="I823" s="9">
        <f>($K$2+0.02)*Tabla1[[#This Row],[PRECIO $]]*1.18</f>
        <v>925.13475000000005</v>
      </c>
      <c r="J823" s="7">
        <f>+Tabla1[[#This Row],[PRECIO EN SOLES]]-Tabla1[[#This Row],[PC]]</f>
        <v>146.76525000000004</v>
      </c>
      <c r="K823" s="15"/>
      <c r="L823" s="15" t="str">
        <f t="shared" si="25"/>
        <v>NORMAL</v>
      </c>
    </row>
    <row r="824" spans="1:12" x14ac:dyDescent="0.25">
      <c r="A824" s="3" t="s">
        <v>1975</v>
      </c>
      <c r="B824" s="3" t="s">
        <v>1976</v>
      </c>
      <c r="C824" s="1">
        <v>20</v>
      </c>
      <c r="D824" s="1">
        <v>232.05</v>
      </c>
      <c r="E824" s="1" t="s">
        <v>965</v>
      </c>
      <c r="F824" s="1" t="s">
        <v>5210</v>
      </c>
      <c r="G824" s="3" t="s">
        <v>1977</v>
      </c>
      <c r="H824" s="11">
        <f t="shared" si="24"/>
        <v>1094.3800000000001</v>
      </c>
      <c r="I824" s="9">
        <f>($K$2+0.02)*Tabla1[[#This Row],[PRECIO $]]*1.18</f>
        <v>944.67555000000004</v>
      </c>
      <c r="J824" s="7">
        <f>+Tabla1[[#This Row],[PRECIO EN SOLES]]-Tabla1[[#This Row],[PC]]</f>
        <v>149.70445000000007</v>
      </c>
      <c r="K824" s="15"/>
      <c r="L824" s="15" t="str">
        <f t="shared" si="25"/>
        <v>NORMAL</v>
      </c>
    </row>
    <row r="825" spans="1:12" x14ac:dyDescent="0.25">
      <c r="A825" s="3" t="s">
        <v>5211</v>
      </c>
      <c r="B825" s="3" t="s">
        <v>5212</v>
      </c>
      <c r="C825" s="1">
        <v>20</v>
      </c>
      <c r="D825" s="1">
        <v>199</v>
      </c>
      <c r="E825" s="1" t="s">
        <v>1750</v>
      </c>
      <c r="F825" s="1" t="s">
        <v>5213</v>
      </c>
      <c r="G825" s="3" t="s">
        <v>5214</v>
      </c>
      <c r="H825" s="11">
        <f t="shared" si="24"/>
        <v>939.65</v>
      </c>
      <c r="I825" s="9">
        <f>($K$2+0.02)*Tabla1[[#This Row],[PRECIO $]]*1.18</f>
        <v>810.12900000000002</v>
      </c>
      <c r="J825" s="7">
        <f>+Tabla1[[#This Row],[PRECIO EN SOLES]]-Tabla1[[#This Row],[PC]]</f>
        <v>129.52099999999996</v>
      </c>
      <c r="K825" s="15"/>
      <c r="L825" s="15" t="str">
        <f t="shared" si="25"/>
        <v>NORMAL</v>
      </c>
    </row>
    <row r="826" spans="1:12" x14ac:dyDescent="0.25">
      <c r="A826" s="3" t="s">
        <v>1978</v>
      </c>
      <c r="B826" s="3" t="s">
        <v>1979</v>
      </c>
      <c r="C826" s="1">
        <v>20</v>
      </c>
      <c r="D826" s="1">
        <v>225</v>
      </c>
      <c r="E826" s="1" t="s">
        <v>965</v>
      </c>
      <c r="F826" s="1" t="s">
        <v>5215</v>
      </c>
      <c r="G826" s="3" t="s">
        <v>1980</v>
      </c>
      <c r="H826" s="11">
        <f t="shared" si="24"/>
        <v>1061.3699999999999</v>
      </c>
      <c r="I826" s="9">
        <f>($K$2+0.02)*Tabla1[[#This Row],[PRECIO $]]*1.18</f>
        <v>915.97499999999991</v>
      </c>
      <c r="J826" s="7">
        <f>+Tabla1[[#This Row],[PRECIO EN SOLES]]-Tabla1[[#This Row],[PC]]</f>
        <v>145.39499999999998</v>
      </c>
      <c r="K826" s="15"/>
      <c r="L826" s="15" t="str">
        <f t="shared" si="25"/>
        <v>NORMAL</v>
      </c>
    </row>
    <row r="827" spans="1:12" x14ac:dyDescent="0.25">
      <c r="A827" s="3" t="s">
        <v>1981</v>
      </c>
      <c r="B827" s="3" t="s">
        <v>1982</v>
      </c>
      <c r="C827" s="1">
        <v>20</v>
      </c>
      <c r="D827" s="1">
        <v>228.73</v>
      </c>
      <c r="E827" s="1" t="s">
        <v>965</v>
      </c>
      <c r="F827" s="1" t="s">
        <v>5216</v>
      </c>
      <c r="G827" s="3" t="s">
        <v>1983</v>
      </c>
      <c r="H827" s="11">
        <f t="shared" si="24"/>
        <v>1078.83</v>
      </c>
      <c r="I827" s="9">
        <f>($K$2+0.02)*Tabla1[[#This Row],[PRECIO $]]*1.18</f>
        <v>931.15982999999994</v>
      </c>
      <c r="J827" s="7">
        <f>+Tabla1[[#This Row],[PRECIO EN SOLES]]-Tabla1[[#This Row],[PC]]</f>
        <v>147.67016999999998</v>
      </c>
      <c r="K827" s="15"/>
      <c r="L827" s="15" t="str">
        <f t="shared" si="25"/>
        <v>NORMAL</v>
      </c>
    </row>
    <row r="828" spans="1:12" x14ac:dyDescent="0.25">
      <c r="A828" s="3" t="s">
        <v>1984</v>
      </c>
      <c r="B828" s="3" t="s">
        <v>1985</v>
      </c>
      <c r="C828" s="1">
        <v>19</v>
      </c>
      <c r="D828" s="1">
        <v>283.5</v>
      </c>
      <c r="E828" s="1" t="s">
        <v>265</v>
      </c>
      <c r="F828" s="1" t="s">
        <v>5217</v>
      </c>
      <c r="G828" s="3" t="s">
        <v>1986</v>
      </c>
      <c r="H828" s="11">
        <f t="shared" si="24"/>
        <v>1335.25</v>
      </c>
      <c r="I828" s="9">
        <f>($K$2+0.02)*Tabla1[[#This Row],[PRECIO $]]*1.18</f>
        <v>1154.1285</v>
      </c>
      <c r="J828" s="7">
        <f>+Tabla1[[#This Row],[PRECIO EN SOLES]]-Tabla1[[#This Row],[PC]]</f>
        <v>181.12149999999997</v>
      </c>
      <c r="K828" s="15"/>
      <c r="L828" s="15" t="str">
        <f t="shared" si="25"/>
        <v>NORMAL</v>
      </c>
    </row>
    <row r="829" spans="1:12" x14ac:dyDescent="0.25">
      <c r="A829" s="3" t="s">
        <v>1987</v>
      </c>
      <c r="B829" s="3" t="s">
        <v>1988</v>
      </c>
      <c r="C829" s="1">
        <v>20</v>
      </c>
      <c r="D829" s="1">
        <v>452.48</v>
      </c>
      <c r="E829" s="1" t="s">
        <v>965</v>
      </c>
      <c r="F829" s="1" t="s">
        <v>5218</v>
      </c>
      <c r="G829" s="3" t="s">
        <v>1989</v>
      </c>
      <c r="H829" s="11">
        <f t="shared" si="24"/>
        <v>2126.35</v>
      </c>
      <c r="I829" s="9">
        <f>($K$2+0.02)*Tabla1[[#This Row],[PRECIO $]]*1.18</f>
        <v>1842.0460799999998</v>
      </c>
      <c r="J829" s="7">
        <f>+Tabla1[[#This Row],[PRECIO EN SOLES]]-Tabla1[[#This Row],[PC]]</f>
        <v>284.30392000000006</v>
      </c>
      <c r="K829" s="15"/>
      <c r="L829" s="15" t="str">
        <f t="shared" si="25"/>
        <v>NORMAL</v>
      </c>
    </row>
    <row r="830" spans="1:12" x14ac:dyDescent="0.25">
      <c r="A830" s="3" t="s">
        <v>1990</v>
      </c>
      <c r="B830" s="3" t="s">
        <v>1991</v>
      </c>
      <c r="C830" s="1">
        <v>20</v>
      </c>
      <c r="D830" s="1">
        <v>448</v>
      </c>
      <c r="E830" s="1" t="s">
        <v>965</v>
      </c>
      <c r="F830" s="1" t="s">
        <v>5219</v>
      </c>
      <c r="G830" s="3" t="s">
        <v>1989</v>
      </c>
      <c r="H830" s="11">
        <f t="shared" si="24"/>
        <v>2105.38</v>
      </c>
      <c r="I830" s="9">
        <f>($K$2+0.02)*Tabla1[[#This Row],[PRECIO $]]*1.18</f>
        <v>1823.808</v>
      </c>
      <c r="J830" s="7">
        <f>+Tabla1[[#This Row],[PRECIO EN SOLES]]-Tabla1[[#This Row],[PC]]</f>
        <v>281.57200000000012</v>
      </c>
      <c r="K830" s="15"/>
      <c r="L830" s="15" t="str">
        <f t="shared" si="25"/>
        <v>NORMAL</v>
      </c>
    </row>
    <row r="831" spans="1:12" x14ac:dyDescent="0.25">
      <c r="A831" s="3" t="s">
        <v>1992</v>
      </c>
      <c r="B831" s="3" t="s">
        <v>1993</v>
      </c>
      <c r="C831" s="1">
        <v>20</v>
      </c>
      <c r="D831" s="1">
        <v>124.15</v>
      </c>
      <c r="E831" s="1" t="s">
        <v>965</v>
      </c>
      <c r="F831" s="1" t="s">
        <v>5220</v>
      </c>
      <c r="G831" s="3" t="s">
        <v>1994</v>
      </c>
      <c r="H831" s="11">
        <f t="shared" si="24"/>
        <v>589.23</v>
      </c>
      <c r="I831" s="9">
        <f>($K$2+0.02)*Tabla1[[#This Row],[PRECIO $]]*1.18</f>
        <v>505.41465000000005</v>
      </c>
      <c r="J831" s="7">
        <f>+Tabla1[[#This Row],[PRECIO EN SOLES]]-Tabla1[[#This Row],[PC]]</f>
        <v>83.815349999999967</v>
      </c>
      <c r="K831" s="15"/>
      <c r="L831" s="15" t="str">
        <f t="shared" si="25"/>
        <v>NORMAL</v>
      </c>
    </row>
    <row r="832" spans="1:12" x14ac:dyDescent="0.25">
      <c r="A832" s="3" t="s">
        <v>1995</v>
      </c>
      <c r="B832" s="3" t="s">
        <v>1996</v>
      </c>
      <c r="C832" s="1">
        <v>20</v>
      </c>
      <c r="D832" s="1">
        <v>126</v>
      </c>
      <c r="E832" s="1" t="s">
        <v>965</v>
      </c>
      <c r="F832" s="1" t="s">
        <v>5221</v>
      </c>
      <c r="G832" s="3" t="s">
        <v>1997</v>
      </c>
      <c r="H832" s="11">
        <f t="shared" si="24"/>
        <v>597.89</v>
      </c>
      <c r="I832" s="9">
        <f>($K$2+0.02)*Tabla1[[#This Row],[PRECIO $]]*1.18</f>
        <v>512.94600000000003</v>
      </c>
      <c r="J832" s="7">
        <f>+Tabla1[[#This Row],[PRECIO EN SOLES]]-Tabla1[[#This Row],[PC]]</f>
        <v>84.94399999999996</v>
      </c>
      <c r="K832" s="15"/>
      <c r="L832" s="15" t="str">
        <f t="shared" si="25"/>
        <v>NORMAL</v>
      </c>
    </row>
    <row r="833" spans="1:12" x14ac:dyDescent="0.25">
      <c r="A833" s="3" t="s">
        <v>1998</v>
      </c>
      <c r="B833" s="3" t="s">
        <v>1999</v>
      </c>
      <c r="C833" s="1">
        <v>20</v>
      </c>
      <c r="D833" s="1">
        <v>206.07</v>
      </c>
      <c r="E833" s="1" t="s">
        <v>965</v>
      </c>
      <c r="F833" s="1" t="s">
        <v>5222</v>
      </c>
      <c r="G833" s="3" t="s">
        <v>2000</v>
      </c>
      <c r="H833" s="11">
        <f t="shared" si="24"/>
        <v>972.75</v>
      </c>
      <c r="I833" s="9">
        <f>($K$2+0.02)*Tabla1[[#This Row],[PRECIO $]]*1.18</f>
        <v>838.91097000000002</v>
      </c>
      <c r="J833" s="7">
        <f>+Tabla1[[#This Row],[PRECIO EN SOLES]]-Tabla1[[#This Row],[PC]]</f>
        <v>133.83902999999998</v>
      </c>
      <c r="K833" s="15"/>
      <c r="L833" s="15" t="str">
        <f t="shared" si="25"/>
        <v>NORMAL</v>
      </c>
    </row>
    <row r="834" spans="1:12" x14ac:dyDescent="0.25">
      <c r="A834" s="3" t="s">
        <v>2001</v>
      </c>
      <c r="B834" s="3" t="s">
        <v>2002</v>
      </c>
      <c r="C834" s="1">
        <v>20</v>
      </c>
      <c r="D834" s="1">
        <v>440</v>
      </c>
      <c r="E834" s="1" t="s">
        <v>965</v>
      </c>
      <c r="F834" s="1" t="s">
        <v>5223</v>
      </c>
      <c r="G834" s="3" t="s">
        <v>2003</v>
      </c>
      <c r="H834" s="11">
        <f t="shared" ref="H834:H897" si="26">ROUND(
IF(L834="GANCHO",
   IF(I834&lt;=50,I834*1.1+4,IF(I834&lt;=120,I834*1.1+7,IF(I834&lt;=250,I834*1.1+11,I834*1.1+19))),
IF(L834="NORMAL",
   IF(I834&lt;=30,I834*1.15+2,IF(I834&lt;=80,I834*1.15+4,IF(I834&lt;=150,I834*1.15+6,I834*1.15+8))),
IF(L834="COMPLEMENTO",
   IF(I834&lt;=25,I834*1.25+1.5,IF(I834&lt;=60,I834*1.25+3,IF(I834&lt;=120,I834*1.25+4,I834*1.25+5))),
""))),2)</f>
        <v>2067.9299999999998</v>
      </c>
      <c r="I834" s="9">
        <f>($K$2+0.02)*Tabla1[[#This Row],[PRECIO $]]*1.18</f>
        <v>1791.24</v>
      </c>
      <c r="J834" s="7">
        <f>+Tabla1[[#This Row],[PRECIO EN SOLES]]-Tabla1[[#This Row],[PC]]</f>
        <v>276.68999999999983</v>
      </c>
      <c r="K834" s="15"/>
      <c r="L834" s="15" t="str">
        <f t="shared" si="25"/>
        <v>NORMAL</v>
      </c>
    </row>
    <row r="835" spans="1:12" x14ac:dyDescent="0.25">
      <c r="A835" s="3" t="s">
        <v>2004</v>
      </c>
      <c r="B835" s="3" t="s">
        <v>2005</v>
      </c>
      <c r="C835" s="1">
        <v>10</v>
      </c>
      <c r="D835" s="1">
        <v>114.7</v>
      </c>
      <c r="E835" s="1" t="s">
        <v>965</v>
      </c>
      <c r="F835" s="1" t="s">
        <v>5224</v>
      </c>
      <c r="G835" s="3" t="s">
        <v>2006</v>
      </c>
      <c r="H835" s="11">
        <f t="shared" si="26"/>
        <v>544.99</v>
      </c>
      <c r="I835" s="9">
        <f>($K$2+0.02)*Tabla1[[#This Row],[PRECIO $]]*1.18</f>
        <v>466.94370000000004</v>
      </c>
      <c r="J835" s="7">
        <f>+Tabla1[[#This Row],[PRECIO EN SOLES]]-Tabla1[[#This Row],[PC]]</f>
        <v>78.046299999999974</v>
      </c>
      <c r="K835" s="15"/>
      <c r="L835" s="15" t="str">
        <f t="shared" ref="L835:L898" si="27">IF(
OR(
ISNUMBER(SEARCH("BACKPACK",B835)),
ISNUMBER(SEARCH("MOCHILA",B835)),
ISNUMBER(SEARCH("FUNDA",B835)),
ISNUMBER(SEARCH("ESTUCHE",B835)),
ISNUMBER(SEARCH("BOOK COVER",B835)),
ISNUMBER(SEARCH("KEYBOARD PARA TABLET",B835)),
ISNUMBER(SEARCH("FLIP TABLET",B835)),
ISNUMBER(SEARCH("CASE FOR TABLET",B835)),
ISNUMBER(SEARCH("CABLE",B835)),
ISNUMBER(SEARCH("ADAPTADOR",B835)),
ISNUMBER(SEARCH("HUB",B835)),
ISNUMBER(SEARCH("DOCK",B835)),
ISNUMBER(SEARCH("MOUSE PAD",B835)),
ISNUMBER(SEARCH("MOUSEPAD",B835)),
ISNUMBER(SEARCH("SOPORTE",B835)),
ISNUMBER(SEARCH("STAND",B835)),
ISNUMBER(SEARCH("TRAVEL ADAPTER",B835)),
ISNUMBER(SEARCH("RJ45",B835)),
ISNUMBER(SEARCH("USB-C",B835)),
ISNUMBER(SEARCH("USB WIFI",B835)),
ISNUMBER(SEARCH("POWERBANK",B835)),
ISNUMBER(SEARCH("CARGADOR",B835)),
ISNUMBER(SEARCH("COOLER PARA NB",B835)),
ISNUMBER(SEARCH("SOPORTE PARA NB",B835)),
ISNUMBER(SEARCH("WEBCAM",B835)),
ISNUMBER(SEARCH("WEB CAM",B835)),
ISNUMBER(SEARCH("MOUSE",B835)),
ISNUMBER(SEARCH("TECLADO",B835))
),
"COMPLEMENTO",
IF(
OR(
LEFT(A835,2)="NB",
LEFT(A835,2)="PC",
LEFT(A835,2)="WS",
LEFT(A835,2)="TB",
LEFT(A835,3)="CEL",
LEFT(A835,3)="MON",
LEFT(A835,3)="PRE",
LEFT(A835,3)="PRH",
ISNUMBER(SEARCH("NOTEBOOK",B835)),
ISNUMBER(SEARCH("LAPTOP",B835)),
ISNUMBER(SEARCH("MONITOR",B835)),
ISNUMBER(SEARCH("TABLET",B835)),
ISNUMBER(SEARCH("SMARTPH",B835)),
ISNUMBER(SEARCH("IMPRESORA",B835)),
ISNUMBER(SEARCH("MULTIFUNCIONAL",B835)),
ISNUMBER(SEARCH("AIO",B835))
),
"GANCHO",
"NORMAL"
)
)</f>
        <v>NORMAL</v>
      </c>
    </row>
    <row r="836" spans="1:12" x14ac:dyDescent="0.25">
      <c r="A836" s="3" t="s">
        <v>5225</v>
      </c>
      <c r="B836" s="3" t="s">
        <v>6934</v>
      </c>
      <c r="C836" s="1">
        <v>0</v>
      </c>
      <c r="D836" s="1">
        <v>99</v>
      </c>
      <c r="E836" s="1" t="s">
        <v>135</v>
      </c>
      <c r="F836" s="1" t="s">
        <v>5226</v>
      </c>
      <c r="G836" s="3"/>
      <c r="H836" s="11">
        <f t="shared" si="26"/>
        <v>471.48</v>
      </c>
      <c r="I836" s="9">
        <f>($K$2+0.02)*Tabla1[[#This Row],[PRECIO $]]*1.18</f>
        <v>403.029</v>
      </c>
      <c r="J836" s="7">
        <f>+Tabla1[[#This Row],[PRECIO EN SOLES]]-Tabla1[[#This Row],[PC]]</f>
        <v>68.451000000000022</v>
      </c>
      <c r="K836" s="15"/>
      <c r="L836" s="15" t="str">
        <f t="shared" si="27"/>
        <v>NORMAL</v>
      </c>
    </row>
    <row r="837" spans="1:12" x14ac:dyDescent="0.25">
      <c r="A837" s="3" t="s">
        <v>2007</v>
      </c>
      <c r="B837" s="3" t="s">
        <v>2008</v>
      </c>
      <c r="C837" s="1">
        <v>20</v>
      </c>
      <c r="D837" s="1">
        <v>100</v>
      </c>
      <c r="E837" s="1" t="s">
        <v>131</v>
      </c>
      <c r="F837" s="1" t="s">
        <v>5227</v>
      </c>
      <c r="G837" s="3"/>
      <c r="H837" s="11">
        <f t="shared" si="26"/>
        <v>476.17</v>
      </c>
      <c r="I837" s="9">
        <f>($K$2+0.02)*Tabla1[[#This Row],[PRECIO $]]*1.18</f>
        <v>407.09999999999997</v>
      </c>
      <c r="J837" s="7">
        <f>+Tabla1[[#This Row],[PRECIO EN SOLES]]-Tabla1[[#This Row],[PC]]</f>
        <v>69.07000000000005</v>
      </c>
      <c r="K837" s="15"/>
      <c r="L837" s="15" t="str">
        <f t="shared" si="27"/>
        <v>NORMAL</v>
      </c>
    </row>
    <row r="838" spans="1:12" x14ac:dyDescent="0.25">
      <c r="A838" s="3" t="s">
        <v>2009</v>
      </c>
      <c r="B838" s="3" t="s">
        <v>2010</v>
      </c>
      <c r="C838" s="1">
        <v>1</v>
      </c>
      <c r="D838" s="1">
        <v>60</v>
      </c>
      <c r="E838" s="1" t="s">
        <v>135</v>
      </c>
      <c r="F838" s="1" t="s">
        <v>5228</v>
      </c>
      <c r="G838" s="3"/>
      <c r="H838" s="11">
        <f t="shared" si="26"/>
        <v>288.89999999999998</v>
      </c>
      <c r="I838" s="9">
        <f>($K$2+0.02)*Tabla1[[#This Row],[PRECIO $]]*1.18</f>
        <v>244.26</v>
      </c>
      <c r="J838" s="7">
        <f>+Tabla1[[#This Row],[PRECIO EN SOLES]]-Tabla1[[#This Row],[PC]]</f>
        <v>44.639999999999986</v>
      </c>
      <c r="K838" s="15"/>
      <c r="L838" s="15" t="str">
        <f t="shared" si="27"/>
        <v>NORMAL</v>
      </c>
    </row>
    <row r="839" spans="1:12" x14ac:dyDescent="0.25">
      <c r="A839" s="3" t="s">
        <v>2011</v>
      </c>
      <c r="B839" s="3" t="s">
        <v>2012</v>
      </c>
      <c r="C839" s="1">
        <v>20</v>
      </c>
      <c r="D839" s="1">
        <v>37</v>
      </c>
      <c r="E839" s="1" t="s">
        <v>135</v>
      </c>
      <c r="F839" s="1" t="s">
        <v>5229</v>
      </c>
      <c r="G839" s="3" t="s">
        <v>2013</v>
      </c>
      <c r="H839" s="11">
        <f t="shared" si="26"/>
        <v>181.22</v>
      </c>
      <c r="I839" s="9">
        <f>($K$2+0.02)*Tabla1[[#This Row],[PRECIO $]]*1.18</f>
        <v>150.62700000000001</v>
      </c>
      <c r="J839" s="7">
        <f>+Tabla1[[#This Row],[PRECIO EN SOLES]]-Tabla1[[#This Row],[PC]]</f>
        <v>30.592999999999989</v>
      </c>
      <c r="K839" s="15"/>
      <c r="L839" s="15" t="str">
        <f t="shared" si="27"/>
        <v>NORMAL</v>
      </c>
    </row>
    <row r="840" spans="1:12" x14ac:dyDescent="0.25">
      <c r="A840" s="3" t="s">
        <v>2014</v>
      </c>
      <c r="B840" s="3" t="s">
        <v>2015</v>
      </c>
      <c r="C840" s="1">
        <v>19</v>
      </c>
      <c r="D840" s="1">
        <v>30</v>
      </c>
      <c r="E840" s="1" t="s">
        <v>135</v>
      </c>
      <c r="F840" s="1" t="s">
        <v>5230</v>
      </c>
      <c r="G840" s="3" t="s">
        <v>2013</v>
      </c>
      <c r="H840" s="11">
        <f t="shared" si="26"/>
        <v>146.44999999999999</v>
      </c>
      <c r="I840" s="9">
        <f>($K$2+0.02)*Tabla1[[#This Row],[PRECIO $]]*1.18</f>
        <v>122.13</v>
      </c>
      <c r="J840" s="7">
        <f>+Tabla1[[#This Row],[PRECIO EN SOLES]]-Tabla1[[#This Row],[PC]]</f>
        <v>24.319999999999993</v>
      </c>
      <c r="K840" s="15"/>
      <c r="L840" s="15" t="str">
        <f t="shared" si="27"/>
        <v>NORMAL</v>
      </c>
    </row>
    <row r="841" spans="1:12" x14ac:dyDescent="0.25">
      <c r="A841" s="3" t="s">
        <v>2016</v>
      </c>
      <c r="B841" s="3" t="s">
        <v>2017</v>
      </c>
      <c r="C841" s="1">
        <v>20</v>
      </c>
      <c r="D841" s="1">
        <v>4</v>
      </c>
      <c r="E841" s="1" t="s">
        <v>135</v>
      </c>
      <c r="F841" s="1" t="s">
        <v>5231</v>
      </c>
      <c r="G841" s="3"/>
      <c r="H841" s="11">
        <f t="shared" si="26"/>
        <v>20.73</v>
      </c>
      <c r="I841" s="9">
        <f>($K$2+0.02)*Tabla1[[#This Row],[PRECIO $]]*1.18</f>
        <v>16.283999999999999</v>
      </c>
      <c r="J841" s="7">
        <f>+Tabla1[[#This Row],[PRECIO EN SOLES]]-Tabla1[[#This Row],[PC]]</f>
        <v>4.4460000000000015</v>
      </c>
      <c r="K841" s="15"/>
      <c r="L841" s="15" t="str">
        <f t="shared" si="27"/>
        <v>NORMAL</v>
      </c>
    </row>
    <row r="842" spans="1:12" x14ac:dyDescent="0.25">
      <c r="A842" s="3" t="s">
        <v>2018</v>
      </c>
      <c r="B842" s="3" t="s">
        <v>2019</v>
      </c>
      <c r="C842" s="1">
        <v>1</v>
      </c>
      <c r="D842" s="1">
        <v>70</v>
      </c>
      <c r="E842" s="1" t="s">
        <v>135</v>
      </c>
      <c r="F842" s="1" t="s">
        <v>5232</v>
      </c>
      <c r="G842" s="3"/>
      <c r="H842" s="11">
        <f t="shared" si="26"/>
        <v>335.72</v>
      </c>
      <c r="I842" s="9">
        <f>($K$2+0.02)*Tabla1[[#This Row],[PRECIO $]]*1.18</f>
        <v>284.96999999999997</v>
      </c>
      <c r="J842" s="7">
        <f>+Tabla1[[#This Row],[PRECIO EN SOLES]]-Tabla1[[#This Row],[PC]]</f>
        <v>50.750000000000057</v>
      </c>
      <c r="K842" s="15"/>
      <c r="L842" s="15" t="str">
        <f t="shared" si="27"/>
        <v>NORMAL</v>
      </c>
    </row>
    <row r="843" spans="1:12" x14ac:dyDescent="0.25">
      <c r="A843" s="3" t="s">
        <v>2020</v>
      </c>
      <c r="B843" s="3" t="s">
        <v>2021</v>
      </c>
      <c r="C843" s="1">
        <v>8</v>
      </c>
      <c r="D843" s="1">
        <v>200</v>
      </c>
      <c r="E843" s="1" t="s">
        <v>135</v>
      </c>
      <c r="F843" s="1" t="s">
        <v>5233</v>
      </c>
      <c r="G843" s="3"/>
      <c r="H843" s="11">
        <f t="shared" si="26"/>
        <v>944.33</v>
      </c>
      <c r="I843" s="9">
        <f>($K$2+0.02)*Tabla1[[#This Row],[PRECIO $]]*1.18</f>
        <v>814.19999999999993</v>
      </c>
      <c r="J843" s="7">
        <f>+Tabla1[[#This Row],[PRECIO EN SOLES]]-Tabla1[[#This Row],[PC]]</f>
        <v>130.13000000000011</v>
      </c>
      <c r="K843" s="15"/>
      <c r="L843" s="15" t="str">
        <f t="shared" si="27"/>
        <v>NORMAL</v>
      </c>
    </row>
    <row r="844" spans="1:12" x14ac:dyDescent="0.25">
      <c r="A844" s="3" t="s">
        <v>2022</v>
      </c>
      <c r="B844" s="3" t="s">
        <v>2023</v>
      </c>
      <c r="C844" s="1">
        <v>13</v>
      </c>
      <c r="D844" s="1">
        <v>200</v>
      </c>
      <c r="E844" s="1" t="s">
        <v>135</v>
      </c>
      <c r="F844" s="1" t="s">
        <v>5234</v>
      </c>
      <c r="G844" s="3"/>
      <c r="H844" s="11">
        <f t="shared" si="26"/>
        <v>944.33</v>
      </c>
      <c r="I844" s="9">
        <f>($K$2+0.02)*Tabla1[[#This Row],[PRECIO $]]*1.18</f>
        <v>814.19999999999993</v>
      </c>
      <c r="J844" s="7">
        <f>+Tabla1[[#This Row],[PRECIO EN SOLES]]-Tabla1[[#This Row],[PC]]</f>
        <v>130.13000000000011</v>
      </c>
      <c r="K844" s="15"/>
      <c r="L844" s="15" t="str">
        <f t="shared" si="27"/>
        <v>NORMAL</v>
      </c>
    </row>
    <row r="845" spans="1:12" x14ac:dyDescent="0.25">
      <c r="A845" s="3" t="s">
        <v>2024</v>
      </c>
      <c r="B845" s="3" t="s">
        <v>2025</v>
      </c>
      <c r="C845" s="1">
        <v>3</v>
      </c>
      <c r="D845" s="1">
        <v>200</v>
      </c>
      <c r="E845" s="1" t="s">
        <v>135</v>
      </c>
      <c r="F845" s="1" t="s">
        <v>5235</v>
      </c>
      <c r="G845" s="3"/>
      <c r="H845" s="11">
        <f t="shared" si="26"/>
        <v>944.33</v>
      </c>
      <c r="I845" s="9">
        <f>($K$2+0.02)*Tabla1[[#This Row],[PRECIO $]]*1.18</f>
        <v>814.19999999999993</v>
      </c>
      <c r="J845" s="7">
        <f>+Tabla1[[#This Row],[PRECIO EN SOLES]]-Tabla1[[#This Row],[PC]]</f>
        <v>130.13000000000011</v>
      </c>
      <c r="K845" s="15"/>
      <c r="L845" s="15" t="str">
        <f t="shared" si="27"/>
        <v>NORMAL</v>
      </c>
    </row>
    <row r="846" spans="1:12" x14ac:dyDescent="0.25">
      <c r="A846" s="3" t="s">
        <v>2026</v>
      </c>
      <c r="B846" s="3" t="s">
        <v>2027</v>
      </c>
      <c r="C846" s="1">
        <v>20</v>
      </c>
      <c r="D846" s="1">
        <v>50</v>
      </c>
      <c r="E846" s="1" t="s">
        <v>131</v>
      </c>
      <c r="F846" s="1" t="s">
        <v>5236</v>
      </c>
      <c r="G846" s="3"/>
      <c r="H846" s="11">
        <f t="shared" si="26"/>
        <v>242.08</v>
      </c>
      <c r="I846" s="9">
        <f>($K$2+0.02)*Tabla1[[#This Row],[PRECIO $]]*1.18</f>
        <v>203.54999999999998</v>
      </c>
      <c r="J846" s="7">
        <f>+Tabla1[[#This Row],[PRECIO EN SOLES]]-Tabla1[[#This Row],[PC]]</f>
        <v>38.53000000000003</v>
      </c>
      <c r="K846" s="15"/>
      <c r="L846" s="15" t="str">
        <f t="shared" si="27"/>
        <v>NORMAL</v>
      </c>
    </row>
    <row r="847" spans="1:12" x14ac:dyDescent="0.25">
      <c r="A847" s="3" t="s">
        <v>2028</v>
      </c>
      <c r="B847" s="3" t="s">
        <v>2029</v>
      </c>
      <c r="C847" s="1">
        <v>0</v>
      </c>
      <c r="D847" s="1">
        <v>5</v>
      </c>
      <c r="E847" s="1" t="s">
        <v>135</v>
      </c>
      <c r="F847" s="1" t="s">
        <v>5237</v>
      </c>
      <c r="G847" s="3"/>
      <c r="H847" s="11">
        <f t="shared" si="26"/>
        <v>25.41</v>
      </c>
      <c r="I847" s="9">
        <f>($K$2+0.02)*Tabla1[[#This Row],[PRECIO $]]*1.18</f>
        <v>20.355</v>
      </c>
      <c r="J847" s="7">
        <f>+Tabla1[[#This Row],[PRECIO EN SOLES]]-Tabla1[[#This Row],[PC]]</f>
        <v>5.0549999999999997</v>
      </c>
      <c r="K847" s="15"/>
      <c r="L847" s="15" t="str">
        <f t="shared" si="27"/>
        <v>NORMAL</v>
      </c>
    </row>
    <row r="848" spans="1:12" x14ac:dyDescent="0.25">
      <c r="A848" s="3" t="s">
        <v>2030</v>
      </c>
      <c r="B848" s="3" t="s">
        <v>2031</v>
      </c>
      <c r="C848" s="1">
        <v>20</v>
      </c>
      <c r="D848" s="1">
        <v>50</v>
      </c>
      <c r="E848" s="1" t="s">
        <v>135</v>
      </c>
      <c r="F848" s="1" t="s">
        <v>5238</v>
      </c>
      <c r="G848" s="3"/>
      <c r="H848" s="11">
        <f t="shared" si="26"/>
        <v>242.08</v>
      </c>
      <c r="I848" s="9">
        <f>($K$2+0.02)*Tabla1[[#This Row],[PRECIO $]]*1.18</f>
        <v>203.54999999999998</v>
      </c>
      <c r="J848" s="7">
        <f>+Tabla1[[#This Row],[PRECIO EN SOLES]]-Tabla1[[#This Row],[PC]]</f>
        <v>38.53000000000003</v>
      </c>
      <c r="K848" s="15"/>
      <c r="L848" s="15" t="str">
        <f t="shared" si="27"/>
        <v>NORMAL</v>
      </c>
    </row>
    <row r="849" spans="1:12" x14ac:dyDescent="0.25">
      <c r="A849" s="3" t="s">
        <v>2032</v>
      </c>
      <c r="B849" s="3" t="s">
        <v>2033</v>
      </c>
      <c r="C849" s="1">
        <v>20</v>
      </c>
      <c r="D849" s="1">
        <v>2</v>
      </c>
      <c r="E849" s="1" t="s">
        <v>135</v>
      </c>
      <c r="F849" s="1" t="s">
        <v>5239</v>
      </c>
      <c r="G849" s="3"/>
      <c r="H849" s="11">
        <f t="shared" si="26"/>
        <v>11.36</v>
      </c>
      <c r="I849" s="9">
        <f>($K$2+0.02)*Tabla1[[#This Row],[PRECIO $]]*1.18</f>
        <v>8.1419999999999995</v>
      </c>
      <c r="J849" s="7">
        <f>+Tabla1[[#This Row],[PRECIO EN SOLES]]-Tabla1[[#This Row],[PC]]</f>
        <v>3.218</v>
      </c>
      <c r="K849" s="15"/>
      <c r="L849" s="15" t="str">
        <f t="shared" si="27"/>
        <v>NORMAL</v>
      </c>
    </row>
    <row r="850" spans="1:12" x14ac:dyDescent="0.25">
      <c r="A850" s="3" t="s">
        <v>2034</v>
      </c>
      <c r="B850" s="3" t="s">
        <v>2035</v>
      </c>
      <c r="C850" s="1">
        <v>20</v>
      </c>
      <c r="D850" s="1">
        <v>19</v>
      </c>
      <c r="E850" s="1" t="s">
        <v>122</v>
      </c>
      <c r="F850" s="1" t="s">
        <v>5240</v>
      </c>
      <c r="G850" s="3"/>
      <c r="H850" s="11">
        <f t="shared" si="26"/>
        <v>92.95</v>
      </c>
      <c r="I850" s="9">
        <f>($K$2+0.02)*Tabla1[[#This Row],[PRECIO $]]*1.18</f>
        <v>77.34899999999999</v>
      </c>
      <c r="J850" s="7">
        <f>+Tabla1[[#This Row],[PRECIO EN SOLES]]-Tabla1[[#This Row],[PC]]</f>
        <v>15.601000000000013</v>
      </c>
      <c r="K850" s="15"/>
      <c r="L850" s="15" t="str">
        <f t="shared" si="27"/>
        <v>NORMAL</v>
      </c>
    </row>
    <row r="851" spans="1:12" x14ac:dyDescent="0.25">
      <c r="A851" s="3" t="s">
        <v>2036</v>
      </c>
      <c r="B851" s="3" t="s">
        <v>2037</v>
      </c>
      <c r="C851" s="1">
        <v>20</v>
      </c>
      <c r="D851" s="1">
        <v>666</v>
      </c>
      <c r="E851" s="1" t="s">
        <v>122</v>
      </c>
      <c r="F851" s="1" t="s">
        <v>5241</v>
      </c>
      <c r="G851" s="3"/>
      <c r="H851" s="11">
        <f t="shared" si="26"/>
        <v>3125.98</v>
      </c>
      <c r="I851" s="9">
        <f>($K$2+0.02)*Tabla1[[#This Row],[PRECIO $]]*1.18</f>
        <v>2711.2860000000001</v>
      </c>
      <c r="J851" s="7">
        <f>+Tabla1[[#This Row],[PRECIO EN SOLES]]-Tabla1[[#This Row],[PC]]</f>
        <v>414.69399999999996</v>
      </c>
      <c r="K851" s="15"/>
      <c r="L851" s="15" t="str">
        <f t="shared" si="27"/>
        <v>NORMAL</v>
      </c>
    </row>
    <row r="852" spans="1:12" x14ac:dyDescent="0.25">
      <c r="A852" s="3" t="s">
        <v>2038</v>
      </c>
      <c r="B852" s="3" t="s">
        <v>2039</v>
      </c>
      <c r="C852" s="1">
        <v>20</v>
      </c>
      <c r="D852" s="1">
        <v>100</v>
      </c>
      <c r="E852" s="1" t="s">
        <v>122</v>
      </c>
      <c r="F852" s="1" t="s">
        <v>5242</v>
      </c>
      <c r="G852" s="3"/>
      <c r="H852" s="11">
        <f t="shared" si="26"/>
        <v>476.17</v>
      </c>
      <c r="I852" s="9">
        <f>($K$2+0.02)*Tabla1[[#This Row],[PRECIO $]]*1.18</f>
        <v>407.09999999999997</v>
      </c>
      <c r="J852" s="7">
        <f>+Tabla1[[#This Row],[PRECIO EN SOLES]]-Tabla1[[#This Row],[PC]]</f>
        <v>69.07000000000005</v>
      </c>
      <c r="K852" s="15"/>
      <c r="L852" s="15" t="str">
        <f t="shared" si="27"/>
        <v>NORMAL</v>
      </c>
    </row>
    <row r="853" spans="1:12" x14ac:dyDescent="0.25">
      <c r="A853" s="3" t="s">
        <v>2040</v>
      </c>
      <c r="B853" s="3" t="s">
        <v>2041</v>
      </c>
      <c r="C853" s="1">
        <v>20</v>
      </c>
      <c r="D853" s="1">
        <v>13</v>
      </c>
      <c r="E853" s="1" t="s">
        <v>122</v>
      </c>
      <c r="F853" s="1" t="s">
        <v>5243</v>
      </c>
      <c r="G853" s="3"/>
      <c r="H853" s="11">
        <f t="shared" si="26"/>
        <v>64.86</v>
      </c>
      <c r="I853" s="9">
        <f>($K$2+0.02)*Tabla1[[#This Row],[PRECIO $]]*1.18</f>
        <v>52.923000000000002</v>
      </c>
      <c r="J853" s="7">
        <f>+Tabla1[[#This Row],[PRECIO EN SOLES]]-Tabla1[[#This Row],[PC]]</f>
        <v>11.936999999999998</v>
      </c>
      <c r="K853" s="15"/>
      <c r="L853" s="15" t="str">
        <f t="shared" si="27"/>
        <v>NORMAL</v>
      </c>
    </row>
    <row r="854" spans="1:12" x14ac:dyDescent="0.25">
      <c r="A854" s="3" t="s">
        <v>2042</v>
      </c>
      <c r="B854" s="3" t="s">
        <v>2043</v>
      </c>
      <c r="C854" s="1">
        <v>20</v>
      </c>
      <c r="D854" s="1">
        <v>7.6</v>
      </c>
      <c r="E854" s="1" t="s">
        <v>122</v>
      </c>
      <c r="F854" s="1" t="s">
        <v>5244</v>
      </c>
      <c r="G854" s="3"/>
      <c r="H854" s="11">
        <f t="shared" si="26"/>
        <v>39.58</v>
      </c>
      <c r="I854" s="9">
        <f>($K$2+0.02)*Tabla1[[#This Row],[PRECIO $]]*1.18</f>
        <v>30.939599999999999</v>
      </c>
      <c r="J854" s="7">
        <f>+Tabla1[[#This Row],[PRECIO EN SOLES]]-Tabla1[[#This Row],[PC]]</f>
        <v>8.6403999999999996</v>
      </c>
      <c r="K854" s="15"/>
      <c r="L854" s="15" t="str">
        <f t="shared" si="27"/>
        <v>NORMAL</v>
      </c>
    </row>
    <row r="855" spans="1:12" x14ac:dyDescent="0.25">
      <c r="A855" s="3" t="s">
        <v>2044</v>
      </c>
      <c r="B855" s="3" t="s">
        <v>2045</v>
      </c>
      <c r="C855" s="1">
        <v>20</v>
      </c>
      <c r="D855" s="1">
        <v>4</v>
      </c>
      <c r="E855" s="1" t="s">
        <v>122</v>
      </c>
      <c r="F855" s="1" t="s">
        <v>5245</v>
      </c>
      <c r="G855" s="3"/>
      <c r="H855" s="11">
        <f t="shared" si="26"/>
        <v>20.73</v>
      </c>
      <c r="I855" s="9">
        <f>($K$2+0.02)*Tabla1[[#This Row],[PRECIO $]]*1.18</f>
        <v>16.283999999999999</v>
      </c>
      <c r="J855" s="7">
        <f>+Tabla1[[#This Row],[PRECIO EN SOLES]]-Tabla1[[#This Row],[PC]]</f>
        <v>4.4460000000000015</v>
      </c>
      <c r="K855" s="15"/>
      <c r="L855" s="15" t="str">
        <f t="shared" si="27"/>
        <v>NORMAL</v>
      </c>
    </row>
    <row r="856" spans="1:12" x14ac:dyDescent="0.25">
      <c r="A856" s="3" t="s">
        <v>2046</v>
      </c>
      <c r="B856" s="3" t="s">
        <v>2047</v>
      </c>
      <c r="C856" s="1">
        <v>20</v>
      </c>
      <c r="D856" s="1">
        <v>8</v>
      </c>
      <c r="E856" s="1" t="s">
        <v>135</v>
      </c>
      <c r="F856" s="1" t="s">
        <v>5246</v>
      </c>
      <c r="G856" s="3"/>
      <c r="H856" s="11">
        <f t="shared" si="26"/>
        <v>41.45</v>
      </c>
      <c r="I856" s="9">
        <f>($K$2+0.02)*Tabla1[[#This Row],[PRECIO $]]*1.18</f>
        <v>32.567999999999998</v>
      </c>
      <c r="J856" s="7">
        <f>+Tabla1[[#This Row],[PRECIO EN SOLES]]-Tabla1[[#This Row],[PC]]</f>
        <v>8.882000000000005</v>
      </c>
      <c r="K856" s="15"/>
      <c r="L856" s="15" t="str">
        <f t="shared" si="27"/>
        <v>NORMAL</v>
      </c>
    </row>
    <row r="857" spans="1:12" x14ac:dyDescent="0.25">
      <c r="A857" s="3" t="s">
        <v>2048</v>
      </c>
      <c r="B857" s="3" t="s">
        <v>2049</v>
      </c>
      <c r="C857" s="1">
        <v>20</v>
      </c>
      <c r="D857" s="1">
        <v>19.59</v>
      </c>
      <c r="E857" s="1" t="s">
        <v>135</v>
      </c>
      <c r="F857" s="1" t="s">
        <v>5247</v>
      </c>
      <c r="G857" s="3"/>
      <c r="H857" s="11">
        <f t="shared" si="26"/>
        <v>94.73</v>
      </c>
      <c r="I857" s="9">
        <f>($K$2+0.02)*Tabla1[[#This Row],[PRECIO $]]*1.18</f>
        <v>79.750889999999998</v>
      </c>
      <c r="J857" s="7">
        <f>+Tabla1[[#This Row],[PRECIO EN SOLES]]-Tabla1[[#This Row],[PC]]</f>
        <v>14.979110000000006</v>
      </c>
      <c r="K857" s="15"/>
      <c r="L857" s="15" t="str">
        <f t="shared" si="27"/>
        <v>GANCHO</v>
      </c>
    </row>
    <row r="858" spans="1:12" x14ac:dyDescent="0.25">
      <c r="A858" s="3" t="s">
        <v>2050</v>
      </c>
      <c r="B858" s="3" t="s">
        <v>2051</v>
      </c>
      <c r="C858" s="1">
        <v>20</v>
      </c>
      <c r="D858" s="1">
        <v>8.5</v>
      </c>
      <c r="E858" s="1" t="s">
        <v>135</v>
      </c>
      <c r="F858" s="1" t="s">
        <v>5248</v>
      </c>
      <c r="G858" s="3"/>
      <c r="H858" s="11">
        <f t="shared" si="26"/>
        <v>43.79</v>
      </c>
      <c r="I858" s="9">
        <f>($K$2+0.02)*Tabla1[[#This Row],[PRECIO $]]*1.18</f>
        <v>34.603500000000004</v>
      </c>
      <c r="J858" s="7">
        <f>+Tabla1[[#This Row],[PRECIO EN SOLES]]-Tabla1[[#This Row],[PC]]</f>
        <v>9.1864999999999952</v>
      </c>
      <c r="K858" s="15"/>
      <c r="L858" s="15" t="str">
        <f t="shared" si="27"/>
        <v>NORMAL</v>
      </c>
    </row>
    <row r="859" spans="1:12" x14ac:dyDescent="0.25">
      <c r="A859" s="3" t="s">
        <v>2052</v>
      </c>
      <c r="B859" s="3" t="s">
        <v>2051</v>
      </c>
      <c r="C859" s="1">
        <v>0</v>
      </c>
      <c r="D859" s="1">
        <v>99</v>
      </c>
      <c r="E859" s="1" t="s">
        <v>135</v>
      </c>
      <c r="F859" s="1" t="s">
        <v>5249</v>
      </c>
      <c r="G859" s="3"/>
      <c r="H859" s="11">
        <f t="shared" si="26"/>
        <v>471.48</v>
      </c>
      <c r="I859" s="9">
        <f>($K$2+0.02)*Tabla1[[#This Row],[PRECIO $]]*1.18</f>
        <v>403.029</v>
      </c>
      <c r="J859" s="7">
        <f>+Tabla1[[#This Row],[PRECIO EN SOLES]]-Tabla1[[#This Row],[PC]]</f>
        <v>68.451000000000022</v>
      </c>
      <c r="K859" s="15"/>
      <c r="L859" s="15" t="str">
        <f t="shared" si="27"/>
        <v>NORMAL</v>
      </c>
    </row>
    <row r="860" spans="1:12" x14ac:dyDescent="0.25">
      <c r="A860" s="3" t="s">
        <v>2053</v>
      </c>
      <c r="B860" s="3" t="s">
        <v>2054</v>
      </c>
      <c r="C860" s="1">
        <v>20</v>
      </c>
      <c r="D860" s="1">
        <v>20</v>
      </c>
      <c r="E860" s="1" t="s">
        <v>135</v>
      </c>
      <c r="F860" s="1" t="s">
        <v>5250</v>
      </c>
      <c r="G860" s="3"/>
      <c r="H860" s="11">
        <f t="shared" si="26"/>
        <v>99.63</v>
      </c>
      <c r="I860" s="9">
        <f>($K$2+0.02)*Tabla1[[#This Row],[PRECIO $]]*1.18</f>
        <v>81.42</v>
      </c>
      <c r="J860" s="7">
        <f>+Tabla1[[#This Row],[PRECIO EN SOLES]]-Tabla1[[#This Row],[PC]]</f>
        <v>18.209999999999994</v>
      </c>
      <c r="K860" s="15"/>
      <c r="L860" s="15" t="str">
        <f t="shared" si="27"/>
        <v>NORMAL</v>
      </c>
    </row>
    <row r="861" spans="1:12" x14ac:dyDescent="0.25">
      <c r="A861" s="3" t="s">
        <v>2055</v>
      </c>
      <c r="B861" s="3" t="s">
        <v>2056</v>
      </c>
      <c r="C861" s="1">
        <v>20</v>
      </c>
      <c r="D861" s="1">
        <v>5</v>
      </c>
      <c r="E861" s="1" t="s">
        <v>269</v>
      </c>
      <c r="F861" s="1" t="s">
        <v>5251</v>
      </c>
      <c r="G861" s="3"/>
      <c r="H861" s="11">
        <f t="shared" si="26"/>
        <v>25.41</v>
      </c>
      <c r="I861" s="9">
        <f>($K$2+0.02)*Tabla1[[#This Row],[PRECIO $]]*1.18</f>
        <v>20.355</v>
      </c>
      <c r="J861" s="7">
        <f>+Tabla1[[#This Row],[PRECIO EN SOLES]]-Tabla1[[#This Row],[PC]]</f>
        <v>5.0549999999999997</v>
      </c>
      <c r="K861" s="15"/>
      <c r="L861" s="15" t="str">
        <f t="shared" si="27"/>
        <v>NORMAL</v>
      </c>
    </row>
    <row r="862" spans="1:12" x14ac:dyDescent="0.25">
      <c r="A862" s="3" t="s">
        <v>2057</v>
      </c>
      <c r="B862" s="3" t="s">
        <v>2058</v>
      </c>
      <c r="C862" s="1">
        <v>20</v>
      </c>
      <c r="D862" s="1">
        <v>5</v>
      </c>
      <c r="E862" s="1" t="s">
        <v>261</v>
      </c>
      <c r="F862" s="1" t="s">
        <v>5252</v>
      </c>
      <c r="G862" s="3"/>
      <c r="H862" s="11">
        <f t="shared" si="26"/>
        <v>25.41</v>
      </c>
      <c r="I862" s="9">
        <f>($K$2+0.02)*Tabla1[[#This Row],[PRECIO $]]*1.18</f>
        <v>20.355</v>
      </c>
      <c r="J862" s="7">
        <f>+Tabla1[[#This Row],[PRECIO EN SOLES]]-Tabla1[[#This Row],[PC]]</f>
        <v>5.0549999999999997</v>
      </c>
      <c r="K862" s="15"/>
      <c r="L862" s="15" t="str">
        <f t="shared" si="27"/>
        <v>NORMAL</v>
      </c>
    </row>
    <row r="863" spans="1:12" x14ac:dyDescent="0.25">
      <c r="A863" s="3" t="s">
        <v>2059</v>
      </c>
      <c r="B863" s="3" t="s">
        <v>2060</v>
      </c>
      <c r="C863" s="1">
        <v>20</v>
      </c>
      <c r="D863" s="1">
        <v>100</v>
      </c>
      <c r="E863" s="1" t="s">
        <v>131</v>
      </c>
      <c r="F863" s="1" t="s">
        <v>5253</v>
      </c>
      <c r="G863" s="3"/>
      <c r="H863" s="11">
        <f t="shared" si="26"/>
        <v>476.17</v>
      </c>
      <c r="I863" s="9">
        <f>($K$2+0.02)*Tabla1[[#This Row],[PRECIO $]]*1.18</f>
        <v>407.09999999999997</v>
      </c>
      <c r="J863" s="7">
        <f>+Tabla1[[#This Row],[PRECIO EN SOLES]]-Tabla1[[#This Row],[PC]]</f>
        <v>69.07000000000005</v>
      </c>
      <c r="K863" s="15"/>
      <c r="L863" s="15" t="str">
        <f t="shared" si="27"/>
        <v>NORMAL</v>
      </c>
    </row>
    <row r="864" spans="1:12" x14ac:dyDescent="0.25">
      <c r="A864" s="3" t="s">
        <v>2061</v>
      </c>
      <c r="B864" s="3" t="s">
        <v>2062</v>
      </c>
      <c r="C864" s="1">
        <v>20</v>
      </c>
      <c r="D864" s="1">
        <v>100</v>
      </c>
      <c r="E864" s="1" t="s">
        <v>131</v>
      </c>
      <c r="F864" s="1" t="s">
        <v>5254</v>
      </c>
      <c r="G864" s="3"/>
      <c r="H864" s="11">
        <f t="shared" si="26"/>
        <v>476.17</v>
      </c>
      <c r="I864" s="9">
        <f>($K$2+0.02)*Tabla1[[#This Row],[PRECIO $]]*1.18</f>
        <v>407.09999999999997</v>
      </c>
      <c r="J864" s="7">
        <f>+Tabla1[[#This Row],[PRECIO EN SOLES]]-Tabla1[[#This Row],[PC]]</f>
        <v>69.07000000000005</v>
      </c>
      <c r="K864" s="15"/>
      <c r="L864" s="15" t="str">
        <f t="shared" si="27"/>
        <v>NORMAL</v>
      </c>
    </row>
    <row r="865" spans="1:12" x14ac:dyDescent="0.25">
      <c r="A865" s="3" t="s">
        <v>2063</v>
      </c>
      <c r="B865" s="3" t="s">
        <v>2064</v>
      </c>
      <c r="C865" s="1">
        <v>0</v>
      </c>
      <c r="D865" s="1">
        <v>99</v>
      </c>
      <c r="E865" s="1" t="s">
        <v>135</v>
      </c>
      <c r="F865" s="1" t="s">
        <v>5255</v>
      </c>
      <c r="G865" s="3"/>
      <c r="H865" s="11">
        <f t="shared" si="26"/>
        <v>471.48</v>
      </c>
      <c r="I865" s="9">
        <f>($K$2+0.02)*Tabla1[[#This Row],[PRECIO $]]*1.18</f>
        <v>403.029</v>
      </c>
      <c r="J865" s="7">
        <f>+Tabla1[[#This Row],[PRECIO EN SOLES]]-Tabla1[[#This Row],[PC]]</f>
        <v>68.451000000000022</v>
      </c>
      <c r="K865" s="15"/>
      <c r="L865" s="15" t="str">
        <f t="shared" si="27"/>
        <v>NORMAL</v>
      </c>
    </row>
    <row r="866" spans="1:12" x14ac:dyDescent="0.25">
      <c r="A866" s="3" t="s">
        <v>2065</v>
      </c>
      <c r="B866" s="3" t="s">
        <v>2066</v>
      </c>
      <c r="C866" s="1">
        <v>20</v>
      </c>
      <c r="D866" s="1">
        <v>6.5</v>
      </c>
      <c r="E866" s="1" t="s">
        <v>122</v>
      </c>
      <c r="F866" s="1" t="s">
        <v>5256</v>
      </c>
      <c r="G866" s="3"/>
      <c r="H866" s="11">
        <f t="shared" si="26"/>
        <v>32.43</v>
      </c>
      <c r="I866" s="9">
        <f>($K$2+0.02)*Tabla1[[#This Row],[PRECIO $]]*1.18</f>
        <v>26.461500000000001</v>
      </c>
      <c r="J866" s="7">
        <f>+Tabla1[[#This Row],[PRECIO EN SOLES]]-Tabla1[[#This Row],[PC]]</f>
        <v>5.9684999999999988</v>
      </c>
      <c r="K866" s="15"/>
      <c r="L866" s="15" t="str">
        <f t="shared" si="27"/>
        <v>NORMAL</v>
      </c>
    </row>
    <row r="867" spans="1:12" x14ac:dyDescent="0.25">
      <c r="A867" s="3" t="s">
        <v>2067</v>
      </c>
      <c r="B867" s="3" t="s">
        <v>2068</v>
      </c>
      <c r="C867" s="1">
        <v>0</v>
      </c>
      <c r="D867" s="1">
        <v>99</v>
      </c>
      <c r="E867" s="1" t="s">
        <v>122</v>
      </c>
      <c r="F867" s="1" t="s">
        <v>5257</v>
      </c>
      <c r="G867" s="3"/>
      <c r="H867" s="11">
        <f t="shared" si="26"/>
        <v>471.48</v>
      </c>
      <c r="I867" s="9">
        <f>($K$2+0.02)*Tabla1[[#This Row],[PRECIO $]]*1.18</f>
        <v>403.029</v>
      </c>
      <c r="J867" s="7">
        <f>+Tabla1[[#This Row],[PRECIO EN SOLES]]-Tabla1[[#This Row],[PC]]</f>
        <v>68.451000000000022</v>
      </c>
      <c r="K867" s="15"/>
      <c r="L867" s="15" t="str">
        <f t="shared" si="27"/>
        <v>NORMAL</v>
      </c>
    </row>
    <row r="868" spans="1:12" x14ac:dyDescent="0.25">
      <c r="A868" s="3" t="s">
        <v>2069</v>
      </c>
      <c r="B868" s="3" t="s">
        <v>2070</v>
      </c>
      <c r="C868" s="1">
        <v>0</v>
      </c>
      <c r="D868" s="1">
        <v>99</v>
      </c>
      <c r="E868" s="1" t="s">
        <v>122</v>
      </c>
      <c r="F868" s="1" t="s">
        <v>5258</v>
      </c>
      <c r="G868" s="3"/>
      <c r="H868" s="11">
        <f t="shared" si="26"/>
        <v>471.48</v>
      </c>
      <c r="I868" s="9">
        <f>($K$2+0.02)*Tabla1[[#This Row],[PRECIO $]]*1.18</f>
        <v>403.029</v>
      </c>
      <c r="J868" s="7">
        <f>+Tabla1[[#This Row],[PRECIO EN SOLES]]-Tabla1[[#This Row],[PC]]</f>
        <v>68.451000000000022</v>
      </c>
      <c r="K868" s="15"/>
      <c r="L868" s="15" t="str">
        <f t="shared" si="27"/>
        <v>NORMAL</v>
      </c>
    </row>
    <row r="869" spans="1:12" x14ac:dyDescent="0.25">
      <c r="A869" s="3" t="s">
        <v>2071</v>
      </c>
      <c r="B869" s="3" t="s">
        <v>2068</v>
      </c>
      <c r="C869" s="1">
        <v>20</v>
      </c>
      <c r="D869" s="1">
        <v>10</v>
      </c>
      <c r="E869" s="1" t="s">
        <v>122</v>
      </c>
      <c r="F869" s="1" t="s">
        <v>5259</v>
      </c>
      <c r="G869" s="3"/>
      <c r="H869" s="11">
        <f t="shared" si="26"/>
        <v>50.82</v>
      </c>
      <c r="I869" s="9">
        <f>($K$2+0.02)*Tabla1[[#This Row],[PRECIO $]]*1.18</f>
        <v>40.71</v>
      </c>
      <c r="J869" s="7">
        <f>+Tabla1[[#This Row],[PRECIO EN SOLES]]-Tabla1[[#This Row],[PC]]</f>
        <v>10.11</v>
      </c>
      <c r="K869" s="15"/>
      <c r="L869" s="15" t="str">
        <f t="shared" si="27"/>
        <v>NORMAL</v>
      </c>
    </row>
    <row r="870" spans="1:12" x14ac:dyDescent="0.25">
      <c r="A870" s="3" t="s">
        <v>2072</v>
      </c>
      <c r="B870" s="3" t="s">
        <v>2073</v>
      </c>
      <c r="C870" s="1">
        <v>20</v>
      </c>
      <c r="D870" s="1">
        <v>20</v>
      </c>
      <c r="E870" s="1" t="s">
        <v>122</v>
      </c>
      <c r="F870" s="1" t="s">
        <v>5260</v>
      </c>
      <c r="G870" s="3"/>
      <c r="H870" s="11">
        <f t="shared" si="26"/>
        <v>99.63</v>
      </c>
      <c r="I870" s="9">
        <f>($K$2+0.02)*Tabla1[[#This Row],[PRECIO $]]*1.18</f>
        <v>81.42</v>
      </c>
      <c r="J870" s="7">
        <f>+Tabla1[[#This Row],[PRECIO EN SOLES]]-Tabla1[[#This Row],[PC]]</f>
        <v>18.209999999999994</v>
      </c>
      <c r="K870" s="15"/>
      <c r="L870" s="15" t="str">
        <f t="shared" si="27"/>
        <v>NORMAL</v>
      </c>
    </row>
    <row r="871" spans="1:12" x14ac:dyDescent="0.25">
      <c r="A871" s="3" t="s">
        <v>2074</v>
      </c>
      <c r="B871" s="3" t="s">
        <v>2075</v>
      </c>
      <c r="C871" s="1">
        <v>20</v>
      </c>
      <c r="D871" s="1">
        <v>50</v>
      </c>
      <c r="E871" s="1" t="s">
        <v>122</v>
      </c>
      <c r="F871" s="1" t="s">
        <v>5261</v>
      </c>
      <c r="G871" s="3"/>
      <c r="H871" s="11">
        <f t="shared" si="26"/>
        <v>242.08</v>
      </c>
      <c r="I871" s="9">
        <f>($K$2+0.02)*Tabla1[[#This Row],[PRECIO $]]*1.18</f>
        <v>203.54999999999998</v>
      </c>
      <c r="J871" s="7">
        <f>+Tabla1[[#This Row],[PRECIO EN SOLES]]-Tabla1[[#This Row],[PC]]</f>
        <v>38.53000000000003</v>
      </c>
      <c r="K871" s="15"/>
      <c r="L871" s="15" t="str">
        <f t="shared" si="27"/>
        <v>NORMAL</v>
      </c>
    </row>
    <row r="872" spans="1:12" x14ac:dyDescent="0.25">
      <c r="A872" s="3" t="s">
        <v>2076</v>
      </c>
      <c r="B872" s="3" t="s">
        <v>2077</v>
      </c>
      <c r="C872" s="1">
        <v>20</v>
      </c>
      <c r="D872" s="1">
        <v>50</v>
      </c>
      <c r="E872" s="1" t="s">
        <v>122</v>
      </c>
      <c r="F872" s="1" t="s">
        <v>5262</v>
      </c>
      <c r="G872" s="3"/>
      <c r="H872" s="11">
        <f t="shared" si="26"/>
        <v>242.08</v>
      </c>
      <c r="I872" s="9">
        <f>($K$2+0.02)*Tabla1[[#This Row],[PRECIO $]]*1.18</f>
        <v>203.54999999999998</v>
      </c>
      <c r="J872" s="7">
        <f>+Tabla1[[#This Row],[PRECIO EN SOLES]]-Tabla1[[#This Row],[PC]]</f>
        <v>38.53000000000003</v>
      </c>
      <c r="K872" s="15"/>
      <c r="L872" s="15" t="str">
        <f t="shared" si="27"/>
        <v>NORMAL</v>
      </c>
    </row>
    <row r="873" spans="1:12" x14ac:dyDescent="0.25">
      <c r="A873" s="3" t="s">
        <v>2078</v>
      </c>
      <c r="B873" s="3" t="s">
        <v>2079</v>
      </c>
      <c r="C873" s="1">
        <v>5</v>
      </c>
      <c r="D873" s="1">
        <v>666</v>
      </c>
      <c r="E873" s="1" t="s">
        <v>135</v>
      </c>
      <c r="F873" s="1" t="s">
        <v>5263</v>
      </c>
      <c r="G873" s="3"/>
      <c r="H873" s="11">
        <f t="shared" si="26"/>
        <v>3125.98</v>
      </c>
      <c r="I873" s="9">
        <f>($K$2+0.02)*Tabla1[[#This Row],[PRECIO $]]*1.18</f>
        <v>2711.2860000000001</v>
      </c>
      <c r="J873" s="7">
        <f>+Tabla1[[#This Row],[PRECIO EN SOLES]]-Tabla1[[#This Row],[PC]]</f>
        <v>414.69399999999996</v>
      </c>
      <c r="K873" s="15"/>
      <c r="L873" s="15" t="str">
        <f t="shared" si="27"/>
        <v>NORMAL</v>
      </c>
    </row>
    <row r="874" spans="1:12" x14ac:dyDescent="0.25">
      <c r="A874" s="3" t="s">
        <v>2080</v>
      </c>
      <c r="B874" s="3" t="s">
        <v>2081</v>
      </c>
      <c r="C874" s="1">
        <v>0</v>
      </c>
      <c r="D874" s="1">
        <v>666</v>
      </c>
      <c r="E874" s="1" t="s">
        <v>135</v>
      </c>
      <c r="F874" s="1" t="s">
        <v>5264</v>
      </c>
      <c r="G874" s="3"/>
      <c r="H874" s="11">
        <f t="shared" si="26"/>
        <v>3125.98</v>
      </c>
      <c r="I874" s="9">
        <f>($K$2+0.02)*Tabla1[[#This Row],[PRECIO $]]*1.18</f>
        <v>2711.2860000000001</v>
      </c>
      <c r="J874" s="7">
        <f>+Tabla1[[#This Row],[PRECIO EN SOLES]]-Tabla1[[#This Row],[PC]]</f>
        <v>414.69399999999996</v>
      </c>
      <c r="K874" s="15"/>
      <c r="L874" s="15" t="str">
        <f t="shared" si="27"/>
        <v>NORMAL</v>
      </c>
    </row>
    <row r="875" spans="1:12" x14ac:dyDescent="0.25">
      <c r="A875" s="3" t="s">
        <v>2082</v>
      </c>
      <c r="B875" s="3" t="s">
        <v>2083</v>
      </c>
      <c r="C875" s="1">
        <v>20</v>
      </c>
      <c r="D875" s="1">
        <v>0.06</v>
      </c>
      <c r="E875" s="1" t="s">
        <v>126</v>
      </c>
      <c r="F875" s="1" t="s">
        <v>5265</v>
      </c>
      <c r="G875" s="3"/>
      <c r="H875" s="11">
        <f t="shared" si="26"/>
        <v>2.2799999999999998</v>
      </c>
      <c r="I875" s="9">
        <f>($K$2+0.02)*Tabla1[[#This Row],[PRECIO $]]*1.18</f>
        <v>0.24425999999999998</v>
      </c>
      <c r="J875" s="7">
        <f>+Tabla1[[#This Row],[PRECIO EN SOLES]]-Tabla1[[#This Row],[PC]]</f>
        <v>2.0357399999999997</v>
      </c>
      <c r="K875" s="15"/>
      <c r="L875" s="15" t="str">
        <f t="shared" si="27"/>
        <v>NORMAL</v>
      </c>
    </row>
    <row r="876" spans="1:12" x14ac:dyDescent="0.25">
      <c r="A876" s="3" t="s">
        <v>2084</v>
      </c>
      <c r="B876" s="3" t="s">
        <v>2085</v>
      </c>
      <c r="C876" s="1">
        <v>20</v>
      </c>
      <c r="D876" s="1">
        <v>600</v>
      </c>
      <c r="E876" s="1" t="s">
        <v>126</v>
      </c>
      <c r="F876" s="1" t="s">
        <v>5266</v>
      </c>
      <c r="G876" s="3"/>
      <c r="H876" s="11">
        <f t="shared" si="26"/>
        <v>2816.99</v>
      </c>
      <c r="I876" s="9">
        <f>($K$2+0.02)*Tabla1[[#This Row],[PRECIO $]]*1.18</f>
        <v>2442.6</v>
      </c>
      <c r="J876" s="7">
        <f>+Tabla1[[#This Row],[PRECIO EN SOLES]]-Tabla1[[#This Row],[PC]]</f>
        <v>374.38999999999987</v>
      </c>
      <c r="K876" s="15"/>
      <c r="L876" s="15" t="str">
        <f t="shared" si="27"/>
        <v>NORMAL</v>
      </c>
    </row>
    <row r="877" spans="1:12" x14ac:dyDescent="0.25">
      <c r="A877" s="3" t="s">
        <v>2086</v>
      </c>
      <c r="B877" s="3" t="s">
        <v>2087</v>
      </c>
      <c r="C877" s="1">
        <v>10</v>
      </c>
      <c r="D877" s="1">
        <v>666</v>
      </c>
      <c r="E877" s="1" t="s">
        <v>1300</v>
      </c>
      <c r="F877" s="1" t="s">
        <v>5267</v>
      </c>
      <c r="G877" s="3"/>
      <c r="H877" s="11">
        <f t="shared" si="26"/>
        <v>3125.98</v>
      </c>
      <c r="I877" s="9">
        <f>($K$2+0.02)*Tabla1[[#This Row],[PRECIO $]]*1.18</f>
        <v>2711.2860000000001</v>
      </c>
      <c r="J877" s="7">
        <f>+Tabla1[[#This Row],[PRECIO EN SOLES]]-Tabla1[[#This Row],[PC]]</f>
        <v>414.69399999999996</v>
      </c>
      <c r="K877" s="15"/>
      <c r="L877" s="15" t="str">
        <f t="shared" si="27"/>
        <v>NORMAL</v>
      </c>
    </row>
    <row r="878" spans="1:12" x14ac:dyDescent="0.25">
      <c r="A878" s="3" t="s">
        <v>2088</v>
      </c>
      <c r="B878" s="3" t="s">
        <v>2089</v>
      </c>
      <c r="C878" s="1">
        <v>18</v>
      </c>
      <c r="D878" s="1">
        <v>600</v>
      </c>
      <c r="E878" s="1" t="s">
        <v>135</v>
      </c>
      <c r="F878" s="1" t="s">
        <v>5268</v>
      </c>
      <c r="G878" s="3"/>
      <c r="H878" s="11">
        <f t="shared" si="26"/>
        <v>2816.99</v>
      </c>
      <c r="I878" s="9">
        <f>($K$2+0.02)*Tabla1[[#This Row],[PRECIO $]]*1.18</f>
        <v>2442.6</v>
      </c>
      <c r="J878" s="7">
        <f>+Tabla1[[#This Row],[PRECIO EN SOLES]]-Tabla1[[#This Row],[PC]]</f>
        <v>374.38999999999987</v>
      </c>
      <c r="K878" s="15"/>
      <c r="L878" s="15" t="str">
        <f t="shared" si="27"/>
        <v>NORMAL</v>
      </c>
    </row>
    <row r="879" spans="1:12" x14ac:dyDescent="0.25">
      <c r="A879" s="3" t="s">
        <v>2090</v>
      </c>
      <c r="B879" s="3" t="s">
        <v>2091</v>
      </c>
      <c r="C879" s="1">
        <v>0</v>
      </c>
      <c r="D879" s="1">
        <v>9999999.9900000002</v>
      </c>
      <c r="E879" s="1" t="s">
        <v>2092</v>
      </c>
      <c r="F879" s="1" t="s">
        <v>5269</v>
      </c>
      <c r="G879" s="3"/>
      <c r="H879" s="11">
        <f t="shared" si="26"/>
        <v>46816507.950000003</v>
      </c>
      <c r="I879" s="9">
        <f>($K$2+0.02)*Tabla1[[#This Row],[PRECIO $]]*1.18</f>
        <v>40709999.959290005</v>
      </c>
      <c r="J879" s="7">
        <f>+Tabla1[[#This Row],[PRECIO EN SOLES]]-Tabla1[[#This Row],[PC]]</f>
        <v>6106507.9907099977</v>
      </c>
      <c r="K879" s="15"/>
      <c r="L879" s="15" t="str">
        <f t="shared" si="27"/>
        <v>NORMAL</v>
      </c>
    </row>
    <row r="880" spans="1:12" x14ac:dyDescent="0.25">
      <c r="A880" s="3" t="s">
        <v>2093</v>
      </c>
      <c r="B880" s="3" t="s">
        <v>2094</v>
      </c>
      <c r="C880" s="1">
        <v>20</v>
      </c>
      <c r="D880" s="1">
        <v>600</v>
      </c>
      <c r="E880" s="1" t="s">
        <v>135</v>
      </c>
      <c r="F880" s="1" t="s">
        <v>5270</v>
      </c>
      <c r="G880" s="3"/>
      <c r="H880" s="11">
        <f t="shared" si="26"/>
        <v>2816.99</v>
      </c>
      <c r="I880" s="9">
        <f>($K$2+0.02)*Tabla1[[#This Row],[PRECIO $]]*1.18</f>
        <v>2442.6</v>
      </c>
      <c r="J880" s="7">
        <f>+Tabla1[[#This Row],[PRECIO EN SOLES]]-Tabla1[[#This Row],[PC]]</f>
        <v>374.38999999999987</v>
      </c>
      <c r="K880" s="15"/>
      <c r="L880" s="15" t="str">
        <f t="shared" si="27"/>
        <v>NORMAL</v>
      </c>
    </row>
    <row r="881" spans="1:12" x14ac:dyDescent="0.25">
      <c r="A881" s="3" t="s">
        <v>2095</v>
      </c>
      <c r="B881" s="3" t="s">
        <v>2096</v>
      </c>
      <c r="C881" s="1">
        <v>0</v>
      </c>
      <c r="D881" s="1">
        <v>999</v>
      </c>
      <c r="E881" s="1" t="s">
        <v>2097</v>
      </c>
      <c r="F881" s="1" t="s">
        <v>5271</v>
      </c>
      <c r="G881" s="3"/>
      <c r="H881" s="11">
        <f t="shared" si="26"/>
        <v>4684.97</v>
      </c>
      <c r="I881" s="9">
        <f>($K$2+0.02)*Tabla1[[#This Row],[PRECIO $]]*1.18</f>
        <v>4066.9290000000001</v>
      </c>
      <c r="J881" s="7">
        <f>+Tabla1[[#This Row],[PRECIO EN SOLES]]-Tabla1[[#This Row],[PC]]</f>
        <v>618.04100000000017</v>
      </c>
      <c r="K881" s="15"/>
      <c r="L881" s="15" t="str">
        <f t="shared" si="27"/>
        <v>NORMAL</v>
      </c>
    </row>
    <row r="882" spans="1:12" x14ac:dyDescent="0.25">
      <c r="A882" s="3" t="s">
        <v>2098</v>
      </c>
      <c r="B882" s="3" t="s">
        <v>2099</v>
      </c>
      <c r="C882" s="1">
        <v>0</v>
      </c>
      <c r="D882" s="1">
        <v>666</v>
      </c>
      <c r="E882" s="1" t="s">
        <v>681</v>
      </c>
      <c r="F882" s="1" t="s">
        <v>5272</v>
      </c>
      <c r="G882" s="3"/>
      <c r="H882" s="11">
        <f t="shared" si="26"/>
        <v>3125.98</v>
      </c>
      <c r="I882" s="9">
        <f>($K$2+0.02)*Tabla1[[#This Row],[PRECIO $]]*1.18</f>
        <v>2711.2860000000001</v>
      </c>
      <c r="J882" s="7">
        <f>+Tabla1[[#This Row],[PRECIO EN SOLES]]-Tabla1[[#This Row],[PC]]</f>
        <v>414.69399999999996</v>
      </c>
      <c r="K882" s="15"/>
      <c r="L882" s="15" t="str">
        <f t="shared" si="27"/>
        <v>NORMAL</v>
      </c>
    </row>
    <row r="883" spans="1:12" x14ac:dyDescent="0.25">
      <c r="A883" s="3" t="s">
        <v>2100</v>
      </c>
      <c r="B883" s="3" t="s">
        <v>2101</v>
      </c>
      <c r="C883" s="1">
        <v>1</v>
      </c>
      <c r="D883" s="1">
        <v>666</v>
      </c>
      <c r="E883" s="1" t="s">
        <v>2092</v>
      </c>
      <c r="F883" s="1" t="s">
        <v>5273</v>
      </c>
      <c r="G883" s="3"/>
      <c r="H883" s="11">
        <f t="shared" si="26"/>
        <v>3125.98</v>
      </c>
      <c r="I883" s="9">
        <f>($K$2+0.02)*Tabla1[[#This Row],[PRECIO $]]*1.18</f>
        <v>2711.2860000000001</v>
      </c>
      <c r="J883" s="7">
        <f>+Tabla1[[#This Row],[PRECIO EN SOLES]]-Tabla1[[#This Row],[PC]]</f>
        <v>414.69399999999996</v>
      </c>
      <c r="K883" s="15"/>
      <c r="L883" s="15" t="str">
        <f t="shared" si="27"/>
        <v>NORMAL</v>
      </c>
    </row>
    <row r="884" spans="1:12" x14ac:dyDescent="0.25">
      <c r="A884" s="3" t="s">
        <v>2102</v>
      </c>
      <c r="B884" s="3" t="s">
        <v>2103</v>
      </c>
      <c r="C884" s="1">
        <v>16</v>
      </c>
      <c r="D884" s="1">
        <v>666</v>
      </c>
      <c r="E884" s="1" t="s">
        <v>1300</v>
      </c>
      <c r="F884" s="1" t="s">
        <v>5274</v>
      </c>
      <c r="G884" s="3"/>
      <c r="H884" s="11">
        <f t="shared" si="26"/>
        <v>3125.98</v>
      </c>
      <c r="I884" s="9">
        <f>($K$2+0.02)*Tabla1[[#This Row],[PRECIO $]]*1.18</f>
        <v>2711.2860000000001</v>
      </c>
      <c r="J884" s="7">
        <f>+Tabla1[[#This Row],[PRECIO EN SOLES]]-Tabla1[[#This Row],[PC]]</f>
        <v>414.69399999999996</v>
      </c>
      <c r="K884" s="15"/>
      <c r="L884" s="15" t="str">
        <f t="shared" si="27"/>
        <v>NORMAL</v>
      </c>
    </row>
    <row r="885" spans="1:12" x14ac:dyDescent="0.25">
      <c r="A885" s="3" t="s">
        <v>2104</v>
      </c>
      <c r="B885" s="3" t="s">
        <v>2105</v>
      </c>
      <c r="C885" s="1">
        <v>0</v>
      </c>
      <c r="D885" s="1">
        <v>999</v>
      </c>
      <c r="E885" s="1" t="s">
        <v>761</v>
      </c>
      <c r="F885" s="1" t="s">
        <v>5275</v>
      </c>
      <c r="G885" s="3"/>
      <c r="H885" s="11">
        <f t="shared" si="26"/>
        <v>4684.97</v>
      </c>
      <c r="I885" s="9">
        <f>($K$2+0.02)*Tabla1[[#This Row],[PRECIO $]]*1.18</f>
        <v>4066.9290000000001</v>
      </c>
      <c r="J885" s="7">
        <f>+Tabla1[[#This Row],[PRECIO EN SOLES]]-Tabla1[[#This Row],[PC]]</f>
        <v>618.04100000000017</v>
      </c>
      <c r="K885" s="15"/>
      <c r="L885" s="15" t="str">
        <f t="shared" si="27"/>
        <v>NORMAL</v>
      </c>
    </row>
    <row r="886" spans="1:12" x14ac:dyDescent="0.25">
      <c r="A886" s="3" t="s">
        <v>2106</v>
      </c>
      <c r="B886" s="3" t="s">
        <v>2107</v>
      </c>
      <c r="C886" s="1">
        <v>0</v>
      </c>
      <c r="D886" s="1">
        <v>999</v>
      </c>
      <c r="E886" s="1" t="s">
        <v>761</v>
      </c>
      <c r="F886" s="1" t="s">
        <v>5276</v>
      </c>
      <c r="G886" s="3"/>
      <c r="H886" s="11">
        <f t="shared" si="26"/>
        <v>4684.97</v>
      </c>
      <c r="I886" s="9">
        <f>($K$2+0.02)*Tabla1[[#This Row],[PRECIO $]]*1.18</f>
        <v>4066.9290000000001</v>
      </c>
      <c r="J886" s="7">
        <f>+Tabla1[[#This Row],[PRECIO EN SOLES]]-Tabla1[[#This Row],[PC]]</f>
        <v>618.04100000000017</v>
      </c>
      <c r="K886" s="15"/>
      <c r="L886" s="15" t="str">
        <f t="shared" si="27"/>
        <v>NORMAL</v>
      </c>
    </row>
    <row r="887" spans="1:12" x14ac:dyDescent="0.25">
      <c r="A887" s="3" t="s">
        <v>2108</v>
      </c>
      <c r="B887" s="3" t="s">
        <v>2109</v>
      </c>
      <c r="C887" s="1">
        <v>0</v>
      </c>
      <c r="D887" s="1">
        <v>600</v>
      </c>
      <c r="E887" s="1" t="s">
        <v>135</v>
      </c>
      <c r="F887" s="1" t="s">
        <v>5277</v>
      </c>
      <c r="G887" s="3"/>
      <c r="H887" s="11">
        <f t="shared" si="26"/>
        <v>2816.99</v>
      </c>
      <c r="I887" s="9">
        <f>($K$2+0.02)*Tabla1[[#This Row],[PRECIO $]]*1.18</f>
        <v>2442.6</v>
      </c>
      <c r="J887" s="7">
        <f>+Tabla1[[#This Row],[PRECIO EN SOLES]]-Tabla1[[#This Row],[PC]]</f>
        <v>374.38999999999987</v>
      </c>
      <c r="K887" s="15"/>
      <c r="L887" s="15" t="str">
        <f t="shared" si="27"/>
        <v>NORMAL</v>
      </c>
    </row>
    <row r="888" spans="1:12" x14ac:dyDescent="0.25">
      <c r="A888" s="3" t="s">
        <v>2110</v>
      </c>
      <c r="B888" s="3" t="s">
        <v>2111</v>
      </c>
      <c r="C888" s="1">
        <v>20</v>
      </c>
      <c r="D888" s="1">
        <v>666</v>
      </c>
      <c r="E888" s="1" t="s">
        <v>761</v>
      </c>
      <c r="F888" s="1" t="s">
        <v>5278</v>
      </c>
      <c r="G888" s="3"/>
      <c r="H888" s="11">
        <f t="shared" si="26"/>
        <v>3125.98</v>
      </c>
      <c r="I888" s="9">
        <f>($K$2+0.02)*Tabla1[[#This Row],[PRECIO $]]*1.18</f>
        <v>2711.2860000000001</v>
      </c>
      <c r="J888" s="7">
        <f>+Tabla1[[#This Row],[PRECIO EN SOLES]]-Tabla1[[#This Row],[PC]]</f>
        <v>414.69399999999996</v>
      </c>
      <c r="K888" s="15"/>
      <c r="L888" s="15" t="str">
        <f t="shared" si="27"/>
        <v>NORMAL</v>
      </c>
    </row>
    <row r="889" spans="1:12" x14ac:dyDescent="0.25">
      <c r="A889" s="3" t="s">
        <v>2112</v>
      </c>
      <c r="B889" s="3" t="s">
        <v>2113</v>
      </c>
      <c r="C889" s="1">
        <v>0</v>
      </c>
      <c r="D889" s="1">
        <v>999</v>
      </c>
      <c r="E889" s="1" t="s">
        <v>981</v>
      </c>
      <c r="F889" s="1" t="s">
        <v>5279</v>
      </c>
      <c r="G889" s="3"/>
      <c r="H889" s="11">
        <f t="shared" si="26"/>
        <v>4684.97</v>
      </c>
      <c r="I889" s="9">
        <f>($K$2+0.02)*Tabla1[[#This Row],[PRECIO $]]*1.18</f>
        <v>4066.9290000000001</v>
      </c>
      <c r="J889" s="7">
        <f>+Tabla1[[#This Row],[PRECIO EN SOLES]]-Tabla1[[#This Row],[PC]]</f>
        <v>618.04100000000017</v>
      </c>
      <c r="K889" s="15"/>
      <c r="L889" s="15" t="str">
        <f t="shared" si="27"/>
        <v>NORMAL</v>
      </c>
    </row>
    <row r="890" spans="1:12" x14ac:dyDescent="0.25">
      <c r="A890" s="3" t="s">
        <v>2114</v>
      </c>
      <c r="B890" s="3" t="s">
        <v>2115</v>
      </c>
      <c r="C890" s="1">
        <v>20</v>
      </c>
      <c r="D890" s="1">
        <v>666</v>
      </c>
      <c r="E890" s="1" t="s">
        <v>761</v>
      </c>
      <c r="F890" s="1" t="s">
        <v>5280</v>
      </c>
      <c r="G890" s="3"/>
      <c r="H890" s="11">
        <f t="shared" si="26"/>
        <v>3125.98</v>
      </c>
      <c r="I890" s="9">
        <f>($K$2+0.02)*Tabla1[[#This Row],[PRECIO $]]*1.18</f>
        <v>2711.2860000000001</v>
      </c>
      <c r="J890" s="7">
        <f>+Tabla1[[#This Row],[PRECIO EN SOLES]]-Tabla1[[#This Row],[PC]]</f>
        <v>414.69399999999996</v>
      </c>
      <c r="K890" s="15"/>
      <c r="L890" s="15" t="str">
        <f t="shared" si="27"/>
        <v>NORMAL</v>
      </c>
    </row>
    <row r="891" spans="1:12" x14ac:dyDescent="0.25">
      <c r="A891" s="3" t="s">
        <v>2116</v>
      </c>
      <c r="B891" s="3" t="s">
        <v>2117</v>
      </c>
      <c r="C891" s="1">
        <v>0</v>
      </c>
      <c r="D891" s="1">
        <v>999</v>
      </c>
      <c r="E891" s="1" t="s">
        <v>981</v>
      </c>
      <c r="F891" s="1" t="s">
        <v>5281</v>
      </c>
      <c r="G891" s="3"/>
      <c r="H891" s="11">
        <f t="shared" si="26"/>
        <v>4684.97</v>
      </c>
      <c r="I891" s="9">
        <f>($K$2+0.02)*Tabla1[[#This Row],[PRECIO $]]*1.18</f>
        <v>4066.9290000000001</v>
      </c>
      <c r="J891" s="7">
        <f>+Tabla1[[#This Row],[PRECIO EN SOLES]]-Tabla1[[#This Row],[PC]]</f>
        <v>618.04100000000017</v>
      </c>
      <c r="K891" s="15"/>
      <c r="L891" s="15" t="str">
        <f t="shared" si="27"/>
        <v>NORMAL</v>
      </c>
    </row>
    <row r="892" spans="1:12" x14ac:dyDescent="0.25">
      <c r="A892" s="3" t="s">
        <v>2118</v>
      </c>
      <c r="B892" s="3" t="s">
        <v>2119</v>
      </c>
      <c r="C892" s="1">
        <v>20</v>
      </c>
      <c r="D892" s="1">
        <v>100</v>
      </c>
      <c r="E892" s="1" t="s">
        <v>985</v>
      </c>
      <c r="F892" s="1" t="s">
        <v>5282</v>
      </c>
      <c r="G892" s="3"/>
      <c r="H892" s="11">
        <f t="shared" si="26"/>
        <v>476.17</v>
      </c>
      <c r="I892" s="9">
        <f>($K$2+0.02)*Tabla1[[#This Row],[PRECIO $]]*1.18</f>
        <v>407.09999999999997</v>
      </c>
      <c r="J892" s="7">
        <f>+Tabla1[[#This Row],[PRECIO EN SOLES]]-Tabla1[[#This Row],[PC]]</f>
        <v>69.07000000000005</v>
      </c>
      <c r="K892" s="15"/>
      <c r="L892" s="15" t="str">
        <f t="shared" si="27"/>
        <v>NORMAL</v>
      </c>
    </row>
    <row r="893" spans="1:12" x14ac:dyDescent="0.25">
      <c r="A893" s="3" t="s">
        <v>2120</v>
      </c>
      <c r="B893" s="3" t="s">
        <v>2121</v>
      </c>
      <c r="C893" s="1">
        <v>0</v>
      </c>
      <c r="D893" s="1">
        <v>10</v>
      </c>
      <c r="E893" s="1" t="s">
        <v>126</v>
      </c>
      <c r="F893" s="1" t="s">
        <v>5283</v>
      </c>
      <c r="G893" s="3"/>
      <c r="H893" s="11">
        <f t="shared" si="26"/>
        <v>50.82</v>
      </c>
      <c r="I893" s="9">
        <f>($K$2+0.02)*Tabla1[[#This Row],[PRECIO $]]*1.18</f>
        <v>40.71</v>
      </c>
      <c r="J893" s="7">
        <f>+Tabla1[[#This Row],[PRECIO EN SOLES]]-Tabla1[[#This Row],[PC]]</f>
        <v>10.11</v>
      </c>
      <c r="K893" s="15"/>
      <c r="L893" s="15" t="str">
        <f t="shared" si="27"/>
        <v>NORMAL</v>
      </c>
    </row>
    <row r="894" spans="1:12" x14ac:dyDescent="0.25">
      <c r="A894" s="3" t="s">
        <v>2122</v>
      </c>
      <c r="B894" s="3" t="s">
        <v>2123</v>
      </c>
      <c r="C894" s="1">
        <v>20</v>
      </c>
      <c r="D894" s="1">
        <v>100</v>
      </c>
      <c r="E894" s="1" t="s">
        <v>985</v>
      </c>
      <c r="F894" s="1" t="s">
        <v>5284</v>
      </c>
      <c r="G894" s="3"/>
      <c r="H894" s="11">
        <f t="shared" si="26"/>
        <v>476.17</v>
      </c>
      <c r="I894" s="9">
        <f>($K$2+0.02)*Tabla1[[#This Row],[PRECIO $]]*1.18</f>
        <v>407.09999999999997</v>
      </c>
      <c r="J894" s="7">
        <f>+Tabla1[[#This Row],[PRECIO EN SOLES]]-Tabla1[[#This Row],[PC]]</f>
        <v>69.07000000000005</v>
      </c>
      <c r="K894" s="15"/>
      <c r="L894" s="15" t="str">
        <f t="shared" si="27"/>
        <v>NORMAL</v>
      </c>
    </row>
    <row r="895" spans="1:12" x14ac:dyDescent="0.25">
      <c r="A895" s="3" t="s">
        <v>2124</v>
      </c>
      <c r="B895" s="3" t="s">
        <v>2125</v>
      </c>
      <c r="C895" s="1">
        <v>20</v>
      </c>
      <c r="D895" s="1">
        <v>6.2</v>
      </c>
      <c r="E895" s="1" t="s">
        <v>122</v>
      </c>
      <c r="F895" s="1" t="s">
        <v>5285</v>
      </c>
      <c r="G895" s="3"/>
      <c r="H895" s="11">
        <f t="shared" si="26"/>
        <v>31.03</v>
      </c>
      <c r="I895" s="9">
        <f>($K$2+0.02)*Tabla1[[#This Row],[PRECIO $]]*1.18</f>
        <v>25.240199999999998</v>
      </c>
      <c r="J895" s="7">
        <f>+Tabla1[[#This Row],[PRECIO EN SOLES]]-Tabla1[[#This Row],[PC]]</f>
        <v>5.7898000000000032</v>
      </c>
      <c r="K895" s="15"/>
      <c r="L895" s="15" t="str">
        <f t="shared" si="27"/>
        <v>NORMAL</v>
      </c>
    </row>
    <row r="896" spans="1:12" x14ac:dyDescent="0.25">
      <c r="A896" s="3" t="s">
        <v>2126</v>
      </c>
      <c r="B896" s="3" t="s">
        <v>2127</v>
      </c>
      <c r="C896" s="1">
        <v>20</v>
      </c>
      <c r="D896" s="1">
        <v>600</v>
      </c>
      <c r="E896" s="1" t="s">
        <v>135</v>
      </c>
      <c r="F896" s="1" t="s">
        <v>5286</v>
      </c>
      <c r="G896" s="3"/>
      <c r="H896" s="11">
        <f t="shared" si="26"/>
        <v>3058.25</v>
      </c>
      <c r="I896" s="9">
        <f>($K$2+0.02)*Tabla1[[#This Row],[PRECIO $]]*1.18</f>
        <v>2442.6</v>
      </c>
      <c r="J896" s="7">
        <f>+Tabla1[[#This Row],[PRECIO EN SOLES]]-Tabla1[[#This Row],[PC]]</f>
        <v>615.65000000000009</v>
      </c>
      <c r="K896" s="15"/>
      <c r="L896" s="15" t="str">
        <f t="shared" si="27"/>
        <v>COMPLEMENTO</v>
      </c>
    </row>
    <row r="897" spans="1:12" x14ac:dyDescent="0.25">
      <c r="A897" s="3" t="s">
        <v>2128</v>
      </c>
      <c r="B897" s="3" t="s">
        <v>2129</v>
      </c>
      <c r="C897" s="1">
        <v>20</v>
      </c>
      <c r="D897" s="1">
        <v>100</v>
      </c>
      <c r="E897" s="1" t="s">
        <v>985</v>
      </c>
      <c r="F897" s="1" t="s">
        <v>5287</v>
      </c>
      <c r="G897" s="3"/>
      <c r="H897" s="11">
        <f t="shared" si="26"/>
        <v>476.17</v>
      </c>
      <c r="I897" s="9">
        <f>($K$2+0.02)*Tabla1[[#This Row],[PRECIO $]]*1.18</f>
        <v>407.09999999999997</v>
      </c>
      <c r="J897" s="7">
        <f>+Tabla1[[#This Row],[PRECIO EN SOLES]]-Tabla1[[#This Row],[PC]]</f>
        <v>69.07000000000005</v>
      </c>
      <c r="K897" s="15"/>
      <c r="L897" s="15" t="str">
        <f t="shared" si="27"/>
        <v>NORMAL</v>
      </c>
    </row>
    <row r="898" spans="1:12" x14ac:dyDescent="0.25">
      <c r="A898" s="3" t="s">
        <v>2130</v>
      </c>
      <c r="B898" s="3" t="s">
        <v>2131</v>
      </c>
      <c r="C898" s="1">
        <v>20</v>
      </c>
      <c r="D898" s="1">
        <v>666</v>
      </c>
      <c r="E898" s="1" t="s">
        <v>1300</v>
      </c>
      <c r="F898" s="1" t="s">
        <v>5288</v>
      </c>
      <c r="G898" s="3"/>
      <c r="H898" s="11">
        <f t="shared" ref="H898:H961" si="28">ROUND(
IF(L898="GANCHO",
   IF(I898&lt;=50,I898*1.1+4,IF(I898&lt;=120,I898*1.1+7,IF(I898&lt;=250,I898*1.1+11,I898*1.1+19))),
IF(L898="NORMAL",
   IF(I898&lt;=30,I898*1.15+2,IF(I898&lt;=80,I898*1.15+4,IF(I898&lt;=150,I898*1.15+6,I898*1.15+8))),
IF(L898="COMPLEMENTO",
   IF(I898&lt;=25,I898*1.25+1.5,IF(I898&lt;=60,I898*1.25+3,IF(I898&lt;=120,I898*1.25+4,I898*1.25+5))),
""))),2)</f>
        <v>3125.98</v>
      </c>
      <c r="I898" s="9">
        <f>($K$2+0.02)*Tabla1[[#This Row],[PRECIO $]]*1.18</f>
        <v>2711.2860000000001</v>
      </c>
      <c r="J898" s="7">
        <f>+Tabla1[[#This Row],[PRECIO EN SOLES]]-Tabla1[[#This Row],[PC]]</f>
        <v>414.69399999999996</v>
      </c>
      <c r="K898" s="15"/>
      <c r="L898" s="15" t="str">
        <f t="shared" si="27"/>
        <v>NORMAL</v>
      </c>
    </row>
    <row r="899" spans="1:12" x14ac:dyDescent="0.25">
      <c r="A899" s="3" t="s">
        <v>2132</v>
      </c>
      <c r="B899" s="3" t="s">
        <v>2133</v>
      </c>
      <c r="C899" s="1">
        <v>1</v>
      </c>
      <c r="D899" s="1">
        <v>666</v>
      </c>
      <c r="E899" s="1" t="s">
        <v>126</v>
      </c>
      <c r="F899" s="1" t="s">
        <v>5289</v>
      </c>
      <c r="G899" s="3"/>
      <c r="H899" s="11">
        <f t="shared" si="28"/>
        <v>3125.98</v>
      </c>
      <c r="I899" s="9">
        <f>($K$2+0.02)*Tabla1[[#This Row],[PRECIO $]]*1.18</f>
        <v>2711.2860000000001</v>
      </c>
      <c r="J899" s="7">
        <f>+Tabla1[[#This Row],[PRECIO EN SOLES]]-Tabla1[[#This Row],[PC]]</f>
        <v>414.69399999999996</v>
      </c>
      <c r="K899" s="15"/>
      <c r="L899" s="15" t="str">
        <f t="shared" ref="L899:L962" si="29">IF(
OR(
ISNUMBER(SEARCH("BACKPACK",B899)),
ISNUMBER(SEARCH("MOCHILA",B899)),
ISNUMBER(SEARCH("FUNDA",B899)),
ISNUMBER(SEARCH("ESTUCHE",B899)),
ISNUMBER(SEARCH("BOOK COVER",B899)),
ISNUMBER(SEARCH("KEYBOARD PARA TABLET",B899)),
ISNUMBER(SEARCH("FLIP TABLET",B899)),
ISNUMBER(SEARCH("CASE FOR TABLET",B899)),
ISNUMBER(SEARCH("CABLE",B899)),
ISNUMBER(SEARCH("ADAPTADOR",B899)),
ISNUMBER(SEARCH("HUB",B899)),
ISNUMBER(SEARCH("DOCK",B899)),
ISNUMBER(SEARCH("MOUSE PAD",B899)),
ISNUMBER(SEARCH("MOUSEPAD",B899)),
ISNUMBER(SEARCH("SOPORTE",B899)),
ISNUMBER(SEARCH("STAND",B899)),
ISNUMBER(SEARCH("TRAVEL ADAPTER",B899)),
ISNUMBER(SEARCH("RJ45",B899)),
ISNUMBER(SEARCH("USB-C",B899)),
ISNUMBER(SEARCH("USB WIFI",B899)),
ISNUMBER(SEARCH("POWERBANK",B899)),
ISNUMBER(SEARCH("CARGADOR",B899)),
ISNUMBER(SEARCH("COOLER PARA NB",B899)),
ISNUMBER(SEARCH("SOPORTE PARA NB",B899)),
ISNUMBER(SEARCH("WEBCAM",B899)),
ISNUMBER(SEARCH("WEB CAM",B899)),
ISNUMBER(SEARCH("MOUSE",B899)),
ISNUMBER(SEARCH("TECLADO",B899))
),
"COMPLEMENTO",
IF(
OR(
LEFT(A899,2)="NB",
LEFT(A899,2)="PC",
LEFT(A899,2)="WS",
LEFT(A899,2)="TB",
LEFT(A899,3)="CEL",
LEFT(A899,3)="MON",
LEFT(A899,3)="PRE",
LEFT(A899,3)="PRH",
ISNUMBER(SEARCH("NOTEBOOK",B899)),
ISNUMBER(SEARCH("LAPTOP",B899)),
ISNUMBER(SEARCH("MONITOR",B899)),
ISNUMBER(SEARCH("TABLET",B899)),
ISNUMBER(SEARCH("SMARTPH",B899)),
ISNUMBER(SEARCH("IMPRESORA",B899)),
ISNUMBER(SEARCH("MULTIFUNCIONAL",B899)),
ISNUMBER(SEARCH("AIO",B899))
),
"GANCHO",
"NORMAL"
)
)</f>
        <v>NORMAL</v>
      </c>
    </row>
    <row r="900" spans="1:12" x14ac:dyDescent="0.25">
      <c r="A900" s="3" t="s">
        <v>2134</v>
      </c>
      <c r="B900" s="3" t="s">
        <v>2135</v>
      </c>
      <c r="C900" s="1">
        <v>20</v>
      </c>
      <c r="D900" s="1">
        <v>55</v>
      </c>
      <c r="E900" s="1" t="s">
        <v>1300</v>
      </c>
      <c r="F900" s="1" t="s">
        <v>5290</v>
      </c>
      <c r="G900" s="3"/>
      <c r="H900" s="11">
        <f t="shared" si="28"/>
        <v>265.49</v>
      </c>
      <c r="I900" s="9">
        <f>($K$2+0.02)*Tabla1[[#This Row],[PRECIO $]]*1.18</f>
        <v>223.905</v>
      </c>
      <c r="J900" s="7">
        <f>+Tabla1[[#This Row],[PRECIO EN SOLES]]-Tabla1[[#This Row],[PC]]</f>
        <v>41.585000000000008</v>
      </c>
      <c r="K900" s="15"/>
      <c r="L900" s="15" t="str">
        <f t="shared" si="29"/>
        <v>NORMAL</v>
      </c>
    </row>
    <row r="901" spans="1:12" x14ac:dyDescent="0.25">
      <c r="A901" s="3" t="s">
        <v>2136</v>
      </c>
      <c r="B901" s="3" t="s">
        <v>2137</v>
      </c>
      <c r="C901" s="1">
        <v>5</v>
      </c>
      <c r="D901" s="1">
        <v>55</v>
      </c>
      <c r="E901" s="1" t="s">
        <v>1300</v>
      </c>
      <c r="F901" s="1" t="s">
        <v>5291</v>
      </c>
      <c r="G901" s="3"/>
      <c r="H901" s="11">
        <f t="shared" si="28"/>
        <v>265.49</v>
      </c>
      <c r="I901" s="9">
        <f>($K$2+0.02)*Tabla1[[#This Row],[PRECIO $]]*1.18</f>
        <v>223.905</v>
      </c>
      <c r="J901" s="7">
        <f>+Tabla1[[#This Row],[PRECIO EN SOLES]]-Tabla1[[#This Row],[PC]]</f>
        <v>41.585000000000008</v>
      </c>
      <c r="K901" s="15"/>
      <c r="L901" s="15" t="str">
        <f t="shared" si="29"/>
        <v>NORMAL</v>
      </c>
    </row>
    <row r="902" spans="1:12" x14ac:dyDescent="0.25">
      <c r="A902" s="3" t="s">
        <v>2138</v>
      </c>
      <c r="B902" s="3" t="s">
        <v>2139</v>
      </c>
      <c r="C902" s="1">
        <v>20</v>
      </c>
      <c r="D902" s="1">
        <v>666</v>
      </c>
      <c r="E902" s="1" t="s">
        <v>761</v>
      </c>
      <c r="F902" s="1" t="s">
        <v>5292</v>
      </c>
      <c r="G902" s="3"/>
      <c r="H902" s="11">
        <f t="shared" si="28"/>
        <v>3125.98</v>
      </c>
      <c r="I902" s="9">
        <f>($K$2+0.02)*Tabla1[[#This Row],[PRECIO $]]*1.18</f>
        <v>2711.2860000000001</v>
      </c>
      <c r="J902" s="7">
        <f>+Tabla1[[#This Row],[PRECIO EN SOLES]]-Tabla1[[#This Row],[PC]]</f>
        <v>414.69399999999996</v>
      </c>
      <c r="K902" s="15"/>
      <c r="L902" s="15" t="str">
        <f t="shared" si="29"/>
        <v>NORMAL</v>
      </c>
    </row>
    <row r="903" spans="1:12" x14ac:dyDescent="0.25">
      <c r="A903" s="3" t="s">
        <v>2140</v>
      </c>
      <c r="B903" s="3" t="s">
        <v>2141</v>
      </c>
      <c r="C903" s="1">
        <v>5</v>
      </c>
      <c r="D903" s="1">
        <v>50</v>
      </c>
      <c r="E903" s="1" t="s">
        <v>681</v>
      </c>
      <c r="F903" s="1" t="s">
        <v>5293</v>
      </c>
      <c r="G903" s="3"/>
      <c r="H903" s="11">
        <f t="shared" si="28"/>
        <v>242.08</v>
      </c>
      <c r="I903" s="9">
        <f>($K$2+0.02)*Tabla1[[#This Row],[PRECIO $]]*1.18</f>
        <v>203.54999999999998</v>
      </c>
      <c r="J903" s="7">
        <f>+Tabla1[[#This Row],[PRECIO EN SOLES]]-Tabla1[[#This Row],[PC]]</f>
        <v>38.53000000000003</v>
      </c>
      <c r="K903" s="15"/>
      <c r="L903" s="15" t="str">
        <f t="shared" si="29"/>
        <v>NORMAL</v>
      </c>
    </row>
    <row r="904" spans="1:12" x14ac:dyDescent="0.25">
      <c r="A904" s="3" t="s">
        <v>2142</v>
      </c>
      <c r="B904" s="3" t="s">
        <v>2143</v>
      </c>
      <c r="C904" s="1">
        <v>20</v>
      </c>
      <c r="D904" s="1">
        <v>666</v>
      </c>
      <c r="E904" s="1" t="s">
        <v>761</v>
      </c>
      <c r="F904" s="1" t="s">
        <v>5294</v>
      </c>
      <c r="G904" s="3"/>
      <c r="H904" s="11">
        <f t="shared" si="28"/>
        <v>3125.98</v>
      </c>
      <c r="I904" s="9">
        <f>($K$2+0.02)*Tabla1[[#This Row],[PRECIO $]]*1.18</f>
        <v>2711.2860000000001</v>
      </c>
      <c r="J904" s="7">
        <f>+Tabla1[[#This Row],[PRECIO EN SOLES]]-Tabla1[[#This Row],[PC]]</f>
        <v>414.69399999999996</v>
      </c>
      <c r="K904" s="15"/>
      <c r="L904" s="15" t="str">
        <f t="shared" si="29"/>
        <v>NORMAL</v>
      </c>
    </row>
    <row r="905" spans="1:12" x14ac:dyDescent="0.25">
      <c r="A905" s="3" t="s">
        <v>2144</v>
      </c>
      <c r="B905" s="3" t="s">
        <v>2145</v>
      </c>
      <c r="C905" s="1">
        <v>0</v>
      </c>
      <c r="D905" s="1">
        <v>999</v>
      </c>
      <c r="E905" s="1" t="s">
        <v>126</v>
      </c>
      <c r="F905" s="1" t="s">
        <v>5295</v>
      </c>
      <c r="G905" s="3"/>
      <c r="H905" s="11">
        <f t="shared" si="28"/>
        <v>4684.97</v>
      </c>
      <c r="I905" s="9">
        <f>($K$2+0.02)*Tabla1[[#This Row],[PRECIO $]]*1.18</f>
        <v>4066.9290000000001</v>
      </c>
      <c r="J905" s="7">
        <f>+Tabla1[[#This Row],[PRECIO EN SOLES]]-Tabla1[[#This Row],[PC]]</f>
        <v>618.04100000000017</v>
      </c>
      <c r="K905" s="15"/>
      <c r="L905" s="15" t="str">
        <f t="shared" si="29"/>
        <v>NORMAL</v>
      </c>
    </row>
    <row r="906" spans="1:12" x14ac:dyDescent="0.25">
      <c r="A906" s="3" t="s">
        <v>2146</v>
      </c>
      <c r="B906" s="3" t="s">
        <v>2147</v>
      </c>
      <c r="C906" s="1">
        <v>20</v>
      </c>
      <c r="D906" s="1">
        <v>600</v>
      </c>
      <c r="E906" s="1" t="s">
        <v>135</v>
      </c>
      <c r="F906" s="1" t="s">
        <v>5296</v>
      </c>
      <c r="G906" s="3"/>
      <c r="H906" s="11">
        <f t="shared" si="28"/>
        <v>2816.99</v>
      </c>
      <c r="I906" s="9">
        <f>($K$2+0.02)*Tabla1[[#This Row],[PRECIO $]]*1.18</f>
        <v>2442.6</v>
      </c>
      <c r="J906" s="7">
        <f>+Tabla1[[#This Row],[PRECIO EN SOLES]]-Tabla1[[#This Row],[PC]]</f>
        <v>374.38999999999987</v>
      </c>
      <c r="K906" s="15"/>
      <c r="L906" s="15" t="str">
        <f t="shared" si="29"/>
        <v>NORMAL</v>
      </c>
    </row>
    <row r="907" spans="1:12" x14ac:dyDescent="0.25">
      <c r="A907" s="3" t="s">
        <v>2148</v>
      </c>
      <c r="B907" s="3" t="s">
        <v>2149</v>
      </c>
      <c r="C907" s="1">
        <v>0</v>
      </c>
      <c r="D907" s="1">
        <v>666</v>
      </c>
      <c r="E907" s="1" t="s">
        <v>681</v>
      </c>
      <c r="F907" s="1" t="s">
        <v>5297</v>
      </c>
      <c r="G907" s="3"/>
      <c r="H907" s="11">
        <f t="shared" si="28"/>
        <v>3125.98</v>
      </c>
      <c r="I907" s="9">
        <f>($K$2+0.02)*Tabla1[[#This Row],[PRECIO $]]*1.18</f>
        <v>2711.2860000000001</v>
      </c>
      <c r="J907" s="7">
        <f>+Tabla1[[#This Row],[PRECIO EN SOLES]]-Tabla1[[#This Row],[PC]]</f>
        <v>414.69399999999996</v>
      </c>
      <c r="K907" s="15"/>
      <c r="L907" s="15" t="str">
        <f t="shared" si="29"/>
        <v>NORMAL</v>
      </c>
    </row>
    <row r="908" spans="1:12" x14ac:dyDescent="0.25">
      <c r="A908" s="3" t="s">
        <v>2150</v>
      </c>
      <c r="B908" s="3" t="s">
        <v>2151</v>
      </c>
      <c r="C908" s="1">
        <v>10</v>
      </c>
      <c r="D908" s="1">
        <v>4.97</v>
      </c>
      <c r="E908" s="1" t="s">
        <v>122</v>
      </c>
      <c r="F908" s="1" t="s">
        <v>5298</v>
      </c>
      <c r="G908" s="3"/>
      <c r="H908" s="11">
        <f t="shared" si="28"/>
        <v>25.27</v>
      </c>
      <c r="I908" s="9">
        <f>($K$2+0.02)*Tabla1[[#This Row],[PRECIO $]]*1.18</f>
        <v>20.232869999999998</v>
      </c>
      <c r="J908" s="7">
        <f>+Tabla1[[#This Row],[PRECIO EN SOLES]]-Tabla1[[#This Row],[PC]]</f>
        <v>5.0371300000000012</v>
      </c>
      <c r="K908" s="15"/>
      <c r="L908" s="15" t="str">
        <f t="shared" si="29"/>
        <v>NORMAL</v>
      </c>
    </row>
    <row r="909" spans="1:12" x14ac:dyDescent="0.25">
      <c r="A909" s="3" t="s">
        <v>2152</v>
      </c>
      <c r="B909" s="3" t="s">
        <v>2153</v>
      </c>
      <c r="C909" s="1">
        <v>0</v>
      </c>
      <c r="D909" s="1">
        <v>666</v>
      </c>
      <c r="E909" s="1" t="s">
        <v>2154</v>
      </c>
      <c r="F909" s="1" t="s">
        <v>5299</v>
      </c>
      <c r="G909" s="3"/>
      <c r="H909" s="11">
        <f t="shared" si="28"/>
        <v>3125.98</v>
      </c>
      <c r="I909" s="9">
        <f>($K$2+0.02)*Tabla1[[#This Row],[PRECIO $]]*1.18</f>
        <v>2711.2860000000001</v>
      </c>
      <c r="J909" s="7">
        <f>+Tabla1[[#This Row],[PRECIO EN SOLES]]-Tabla1[[#This Row],[PC]]</f>
        <v>414.69399999999996</v>
      </c>
      <c r="K909" s="15"/>
      <c r="L909" s="15" t="str">
        <f t="shared" si="29"/>
        <v>NORMAL</v>
      </c>
    </row>
    <row r="910" spans="1:12" x14ac:dyDescent="0.25">
      <c r="A910" s="3" t="s">
        <v>2155</v>
      </c>
      <c r="B910" s="3" t="s">
        <v>2156</v>
      </c>
      <c r="C910" s="1">
        <v>20</v>
      </c>
      <c r="D910" s="1">
        <v>666</v>
      </c>
      <c r="E910" s="1" t="s">
        <v>681</v>
      </c>
      <c r="F910" s="1" t="s">
        <v>5300</v>
      </c>
      <c r="G910" s="3"/>
      <c r="H910" s="11">
        <f t="shared" si="28"/>
        <v>3125.98</v>
      </c>
      <c r="I910" s="9">
        <f>($K$2+0.02)*Tabla1[[#This Row],[PRECIO $]]*1.18</f>
        <v>2711.2860000000001</v>
      </c>
      <c r="J910" s="7">
        <f>+Tabla1[[#This Row],[PRECIO EN SOLES]]-Tabla1[[#This Row],[PC]]</f>
        <v>414.69399999999996</v>
      </c>
      <c r="K910" s="15"/>
      <c r="L910" s="15" t="str">
        <f t="shared" si="29"/>
        <v>NORMAL</v>
      </c>
    </row>
    <row r="911" spans="1:12" x14ac:dyDescent="0.25">
      <c r="A911" s="3" t="s">
        <v>2157</v>
      </c>
      <c r="B911" s="3" t="s">
        <v>2158</v>
      </c>
      <c r="C911" s="1">
        <v>0</v>
      </c>
      <c r="D911" s="1">
        <v>9999999.9900000002</v>
      </c>
      <c r="E911" s="1" t="s">
        <v>142</v>
      </c>
      <c r="F911" s="1" t="s">
        <v>5301</v>
      </c>
      <c r="G911" s="3"/>
      <c r="H911" s="11">
        <f t="shared" si="28"/>
        <v>46816507.950000003</v>
      </c>
      <c r="I911" s="9">
        <f>($K$2+0.02)*Tabla1[[#This Row],[PRECIO $]]*1.18</f>
        <v>40709999.959290005</v>
      </c>
      <c r="J911" s="7">
        <f>+Tabla1[[#This Row],[PRECIO EN SOLES]]-Tabla1[[#This Row],[PC]]</f>
        <v>6106507.9907099977</v>
      </c>
      <c r="K911" s="15"/>
      <c r="L911" s="15" t="str">
        <f t="shared" si="29"/>
        <v>NORMAL</v>
      </c>
    </row>
    <row r="912" spans="1:12" x14ac:dyDescent="0.25">
      <c r="A912" s="3" t="s">
        <v>2159</v>
      </c>
      <c r="B912" s="3" t="s">
        <v>2160</v>
      </c>
      <c r="C912" s="1">
        <v>0</v>
      </c>
      <c r="D912" s="1">
        <v>9999999.9900000002</v>
      </c>
      <c r="E912" s="1" t="s">
        <v>142</v>
      </c>
      <c r="F912" s="1" t="s">
        <v>5302</v>
      </c>
      <c r="G912" s="3"/>
      <c r="H912" s="11">
        <f t="shared" si="28"/>
        <v>46816507.950000003</v>
      </c>
      <c r="I912" s="9">
        <f>($K$2+0.02)*Tabla1[[#This Row],[PRECIO $]]*1.18</f>
        <v>40709999.959290005</v>
      </c>
      <c r="J912" s="7">
        <f>+Tabla1[[#This Row],[PRECIO EN SOLES]]-Tabla1[[#This Row],[PC]]</f>
        <v>6106507.9907099977</v>
      </c>
      <c r="K912" s="15"/>
      <c r="L912" s="15" t="str">
        <f t="shared" si="29"/>
        <v>NORMAL</v>
      </c>
    </row>
    <row r="913" spans="1:12" x14ac:dyDescent="0.25">
      <c r="A913" s="3" t="s">
        <v>2161</v>
      </c>
      <c r="B913" s="3" t="s">
        <v>2162</v>
      </c>
      <c r="C913" s="1">
        <v>1</v>
      </c>
      <c r="D913" s="1">
        <v>100</v>
      </c>
      <c r="E913" s="1" t="s">
        <v>297</v>
      </c>
      <c r="F913" s="1" t="s">
        <v>5303</v>
      </c>
      <c r="G913" s="3"/>
      <c r="H913" s="11">
        <f t="shared" si="28"/>
        <v>476.17</v>
      </c>
      <c r="I913" s="9">
        <f>($K$2+0.02)*Tabla1[[#This Row],[PRECIO $]]*1.18</f>
        <v>407.09999999999997</v>
      </c>
      <c r="J913" s="7">
        <f>+Tabla1[[#This Row],[PRECIO EN SOLES]]-Tabla1[[#This Row],[PC]]</f>
        <v>69.07000000000005</v>
      </c>
      <c r="K913" s="15"/>
      <c r="L913" s="15" t="str">
        <f t="shared" si="29"/>
        <v>NORMAL</v>
      </c>
    </row>
    <row r="914" spans="1:12" x14ac:dyDescent="0.25">
      <c r="A914" s="3" t="s">
        <v>2163</v>
      </c>
      <c r="B914" s="3" t="s">
        <v>2164</v>
      </c>
      <c r="C914" s="1">
        <v>20</v>
      </c>
      <c r="D914" s="1">
        <v>100</v>
      </c>
      <c r="E914" s="1" t="s">
        <v>985</v>
      </c>
      <c r="F914" s="1" t="s">
        <v>5304</v>
      </c>
      <c r="G914" s="3"/>
      <c r="H914" s="11">
        <f t="shared" si="28"/>
        <v>476.17</v>
      </c>
      <c r="I914" s="9">
        <f>($K$2+0.02)*Tabla1[[#This Row],[PRECIO $]]*1.18</f>
        <v>407.09999999999997</v>
      </c>
      <c r="J914" s="7">
        <f>+Tabla1[[#This Row],[PRECIO EN SOLES]]-Tabla1[[#This Row],[PC]]</f>
        <v>69.07000000000005</v>
      </c>
      <c r="K914" s="15"/>
      <c r="L914" s="15" t="str">
        <f t="shared" si="29"/>
        <v>NORMAL</v>
      </c>
    </row>
    <row r="915" spans="1:12" x14ac:dyDescent="0.25">
      <c r="A915" s="3" t="s">
        <v>2165</v>
      </c>
      <c r="B915" s="3" t="s">
        <v>2166</v>
      </c>
      <c r="C915" s="1">
        <v>20</v>
      </c>
      <c r="D915" s="1">
        <v>50</v>
      </c>
      <c r="E915" s="1" t="s">
        <v>126</v>
      </c>
      <c r="F915" s="1" t="s">
        <v>5305</v>
      </c>
      <c r="G915" s="3"/>
      <c r="H915" s="11">
        <f t="shared" si="28"/>
        <v>242.08</v>
      </c>
      <c r="I915" s="9">
        <f>($K$2+0.02)*Tabla1[[#This Row],[PRECIO $]]*1.18</f>
        <v>203.54999999999998</v>
      </c>
      <c r="J915" s="7">
        <f>+Tabla1[[#This Row],[PRECIO EN SOLES]]-Tabla1[[#This Row],[PC]]</f>
        <v>38.53000000000003</v>
      </c>
      <c r="K915" s="15"/>
      <c r="L915" s="15" t="str">
        <f t="shared" si="29"/>
        <v>NORMAL</v>
      </c>
    </row>
    <row r="916" spans="1:12" x14ac:dyDescent="0.25">
      <c r="A916" s="3" t="s">
        <v>2167</v>
      </c>
      <c r="B916" s="3" t="s">
        <v>2168</v>
      </c>
      <c r="C916" s="1">
        <v>20</v>
      </c>
      <c r="D916" s="1">
        <v>600</v>
      </c>
      <c r="E916" s="1" t="s">
        <v>135</v>
      </c>
      <c r="F916" s="1" t="s">
        <v>5306</v>
      </c>
      <c r="G916" s="3"/>
      <c r="H916" s="11">
        <f t="shared" si="28"/>
        <v>2816.99</v>
      </c>
      <c r="I916" s="9">
        <f>($K$2+0.02)*Tabla1[[#This Row],[PRECIO $]]*1.18</f>
        <v>2442.6</v>
      </c>
      <c r="J916" s="7">
        <f>+Tabla1[[#This Row],[PRECIO EN SOLES]]-Tabla1[[#This Row],[PC]]</f>
        <v>374.38999999999987</v>
      </c>
      <c r="K916" s="15"/>
      <c r="L916" s="15" t="str">
        <f t="shared" si="29"/>
        <v>NORMAL</v>
      </c>
    </row>
    <row r="917" spans="1:12" x14ac:dyDescent="0.25">
      <c r="A917" s="3" t="s">
        <v>2169</v>
      </c>
      <c r="B917" s="3" t="s">
        <v>2170</v>
      </c>
      <c r="C917" s="1">
        <v>20</v>
      </c>
      <c r="D917" s="1">
        <v>11</v>
      </c>
      <c r="E917" s="1" t="s">
        <v>135</v>
      </c>
      <c r="F917" s="1" t="s">
        <v>5307</v>
      </c>
      <c r="G917" s="3"/>
      <c r="H917" s="11">
        <f t="shared" si="28"/>
        <v>55.5</v>
      </c>
      <c r="I917" s="9">
        <f>($K$2+0.02)*Tabla1[[#This Row],[PRECIO $]]*1.18</f>
        <v>44.780999999999999</v>
      </c>
      <c r="J917" s="7">
        <f>+Tabla1[[#This Row],[PRECIO EN SOLES]]-Tabla1[[#This Row],[PC]]</f>
        <v>10.719000000000001</v>
      </c>
      <c r="K917" s="15"/>
      <c r="L917" s="15" t="str">
        <f t="shared" si="29"/>
        <v>NORMAL</v>
      </c>
    </row>
    <row r="918" spans="1:12" x14ac:dyDescent="0.25">
      <c r="A918" s="3" t="s">
        <v>2171</v>
      </c>
      <c r="B918" s="3" t="s">
        <v>2172</v>
      </c>
      <c r="C918" s="1">
        <v>0</v>
      </c>
      <c r="D918" s="1">
        <v>2</v>
      </c>
      <c r="E918" s="1" t="s">
        <v>135</v>
      </c>
      <c r="F918" s="1" t="s">
        <v>5308</v>
      </c>
      <c r="G918" s="3"/>
      <c r="H918" s="11">
        <f t="shared" si="28"/>
        <v>11.68</v>
      </c>
      <c r="I918" s="9">
        <f>($K$2+0.02)*Tabla1[[#This Row],[PRECIO $]]*1.18</f>
        <v>8.1419999999999995</v>
      </c>
      <c r="J918" s="7">
        <f>+Tabla1[[#This Row],[PRECIO EN SOLES]]-Tabla1[[#This Row],[PC]]</f>
        <v>3.5380000000000003</v>
      </c>
      <c r="K918" s="15"/>
      <c r="L918" s="15" t="str">
        <f t="shared" si="29"/>
        <v>COMPLEMENTO</v>
      </c>
    </row>
    <row r="919" spans="1:12" x14ac:dyDescent="0.25">
      <c r="A919" s="3" t="s">
        <v>2173</v>
      </c>
      <c r="B919" s="3" t="s">
        <v>2174</v>
      </c>
      <c r="C919" s="1">
        <v>0</v>
      </c>
      <c r="D919" s="1">
        <v>99</v>
      </c>
      <c r="E919" s="1" t="s">
        <v>2175</v>
      </c>
      <c r="F919" s="1" t="s">
        <v>5309</v>
      </c>
      <c r="G919" s="3"/>
      <c r="H919" s="11">
        <f t="shared" si="28"/>
        <v>471.48</v>
      </c>
      <c r="I919" s="9">
        <f>($K$2+0.02)*Tabla1[[#This Row],[PRECIO $]]*1.18</f>
        <v>403.029</v>
      </c>
      <c r="J919" s="7">
        <f>+Tabla1[[#This Row],[PRECIO EN SOLES]]-Tabla1[[#This Row],[PC]]</f>
        <v>68.451000000000022</v>
      </c>
      <c r="K919" s="15"/>
      <c r="L919" s="15" t="str">
        <f t="shared" si="29"/>
        <v>NORMAL</v>
      </c>
    </row>
    <row r="920" spans="1:12" x14ac:dyDescent="0.25">
      <c r="A920" s="3" t="s">
        <v>2176</v>
      </c>
      <c r="B920" s="3" t="s">
        <v>2177</v>
      </c>
      <c r="C920" s="1">
        <v>1</v>
      </c>
      <c r="D920" s="1">
        <v>0.45</v>
      </c>
      <c r="E920" s="1" t="s">
        <v>131</v>
      </c>
      <c r="F920" s="1" t="s">
        <v>5310</v>
      </c>
      <c r="G920" s="3"/>
      <c r="H920" s="11">
        <f t="shared" si="28"/>
        <v>4.1100000000000003</v>
      </c>
      <c r="I920" s="9">
        <f>($K$2+0.02)*Tabla1[[#This Row],[PRECIO $]]*1.18</f>
        <v>1.8319500000000002</v>
      </c>
      <c r="J920" s="7">
        <f>+Tabla1[[#This Row],[PRECIO EN SOLES]]-Tabla1[[#This Row],[PC]]</f>
        <v>2.2780500000000004</v>
      </c>
      <c r="K920" s="15"/>
      <c r="L920" s="15" t="str">
        <f t="shared" si="29"/>
        <v>NORMAL</v>
      </c>
    </row>
    <row r="921" spans="1:12" x14ac:dyDescent="0.25">
      <c r="A921" s="3" t="s">
        <v>2178</v>
      </c>
      <c r="B921" s="3" t="s">
        <v>2179</v>
      </c>
      <c r="C921" s="1">
        <v>1</v>
      </c>
      <c r="D921" s="1">
        <v>100</v>
      </c>
      <c r="E921" s="1" t="s">
        <v>135</v>
      </c>
      <c r="F921" s="1" t="s">
        <v>5311</v>
      </c>
      <c r="G921" s="3"/>
      <c r="H921" s="11">
        <f t="shared" si="28"/>
        <v>476.17</v>
      </c>
      <c r="I921" s="9">
        <f>($K$2+0.02)*Tabla1[[#This Row],[PRECIO $]]*1.18</f>
        <v>407.09999999999997</v>
      </c>
      <c r="J921" s="7">
        <f>+Tabla1[[#This Row],[PRECIO EN SOLES]]-Tabla1[[#This Row],[PC]]</f>
        <v>69.07000000000005</v>
      </c>
      <c r="K921" s="15"/>
      <c r="L921" s="15" t="str">
        <f t="shared" si="29"/>
        <v>NORMAL</v>
      </c>
    </row>
    <row r="922" spans="1:12" x14ac:dyDescent="0.25">
      <c r="A922" s="3" t="s">
        <v>2180</v>
      </c>
      <c r="B922" s="3" t="s">
        <v>2177</v>
      </c>
      <c r="C922" s="1">
        <v>1</v>
      </c>
      <c r="D922" s="1">
        <v>0.45</v>
      </c>
      <c r="E922" s="1" t="s">
        <v>131</v>
      </c>
      <c r="F922" s="1" t="s">
        <v>5312</v>
      </c>
      <c r="G922" s="3"/>
      <c r="H922" s="11">
        <f t="shared" si="28"/>
        <v>4.1100000000000003</v>
      </c>
      <c r="I922" s="9">
        <f>($K$2+0.02)*Tabla1[[#This Row],[PRECIO $]]*1.18</f>
        <v>1.8319500000000002</v>
      </c>
      <c r="J922" s="7">
        <f>+Tabla1[[#This Row],[PRECIO EN SOLES]]-Tabla1[[#This Row],[PC]]</f>
        <v>2.2780500000000004</v>
      </c>
      <c r="K922" s="15"/>
      <c r="L922" s="15" t="str">
        <f t="shared" si="29"/>
        <v>NORMAL</v>
      </c>
    </row>
    <row r="923" spans="1:12" x14ac:dyDescent="0.25">
      <c r="A923" s="3" t="s">
        <v>5313</v>
      </c>
      <c r="B923" s="3" t="s">
        <v>5314</v>
      </c>
      <c r="C923" s="1">
        <v>20</v>
      </c>
      <c r="D923" s="1">
        <v>10.63</v>
      </c>
      <c r="E923" s="1" t="s">
        <v>261</v>
      </c>
      <c r="F923" s="1" t="s">
        <v>5315</v>
      </c>
      <c r="G923" s="3" t="s">
        <v>5316</v>
      </c>
      <c r="H923" s="11">
        <f t="shared" si="28"/>
        <v>57.09</v>
      </c>
      <c r="I923" s="9">
        <f>($K$2+0.02)*Tabla1[[#This Row],[PRECIO $]]*1.18</f>
        <v>43.274730000000005</v>
      </c>
      <c r="J923" s="7">
        <f>+Tabla1[[#This Row],[PRECIO EN SOLES]]-Tabla1[[#This Row],[PC]]</f>
        <v>13.815269999999998</v>
      </c>
      <c r="K923" s="15"/>
      <c r="L923" s="15" t="str">
        <f t="shared" si="29"/>
        <v>COMPLEMENTO</v>
      </c>
    </row>
    <row r="924" spans="1:12" x14ac:dyDescent="0.25">
      <c r="A924" s="3" t="s">
        <v>5317</v>
      </c>
      <c r="B924" s="3" t="s">
        <v>5318</v>
      </c>
      <c r="C924" s="1">
        <v>16</v>
      </c>
      <c r="D924" s="1">
        <v>10.63</v>
      </c>
      <c r="E924" s="1" t="s">
        <v>261</v>
      </c>
      <c r="F924" s="1" t="s">
        <v>5319</v>
      </c>
      <c r="G924" s="3" t="s">
        <v>5320</v>
      </c>
      <c r="H924" s="11">
        <f t="shared" si="28"/>
        <v>57.09</v>
      </c>
      <c r="I924" s="9">
        <f>($K$2+0.02)*Tabla1[[#This Row],[PRECIO $]]*1.18</f>
        <v>43.274730000000005</v>
      </c>
      <c r="J924" s="7">
        <f>+Tabla1[[#This Row],[PRECIO EN SOLES]]-Tabla1[[#This Row],[PC]]</f>
        <v>13.815269999999998</v>
      </c>
      <c r="K924" s="15"/>
      <c r="L924" s="15" t="str">
        <f t="shared" si="29"/>
        <v>COMPLEMENTO</v>
      </c>
    </row>
    <row r="925" spans="1:12" x14ac:dyDescent="0.25">
      <c r="A925" s="3" t="s">
        <v>5321</v>
      </c>
      <c r="B925" s="3" t="s">
        <v>5322</v>
      </c>
      <c r="C925" s="1">
        <v>20</v>
      </c>
      <c r="D925" s="1">
        <v>12</v>
      </c>
      <c r="E925" s="1" t="s">
        <v>261</v>
      </c>
      <c r="F925" s="1" t="s">
        <v>5323</v>
      </c>
      <c r="G925" s="3" t="s">
        <v>5324</v>
      </c>
      <c r="H925" s="11">
        <f t="shared" si="28"/>
        <v>60.18</v>
      </c>
      <c r="I925" s="9">
        <f>($K$2+0.02)*Tabla1[[#This Row],[PRECIO $]]*1.18</f>
        <v>48.852000000000004</v>
      </c>
      <c r="J925" s="7">
        <f>+Tabla1[[#This Row],[PRECIO EN SOLES]]-Tabla1[[#This Row],[PC]]</f>
        <v>11.327999999999996</v>
      </c>
      <c r="K925" s="15"/>
      <c r="L925" s="15" t="str">
        <f t="shared" si="29"/>
        <v>NORMAL</v>
      </c>
    </row>
    <row r="926" spans="1:12" x14ac:dyDescent="0.25">
      <c r="A926" s="3" t="s">
        <v>5325</v>
      </c>
      <c r="B926" s="3" t="s">
        <v>5326</v>
      </c>
      <c r="C926" s="1">
        <v>8</v>
      </c>
      <c r="D926" s="1">
        <v>11.4</v>
      </c>
      <c r="E926" s="1" t="s">
        <v>261</v>
      </c>
      <c r="F926" s="1" t="s">
        <v>5327</v>
      </c>
      <c r="G926" s="3" t="s">
        <v>5328</v>
      </c>
      <c r="H926" s="11">
        <f t="shared" si="28"/>
        <v>57.37</v>
      </c>
      <c r="I926" s="9">
        <f>($K$2+0.02)*Tabla1[[#This Row],[PRECIO $]]*1.18</f>
        <v>46.409400000000005</v>
      </c>
      <c r="J926" s="7">
        <f>+Tabla1[[#This Row],[PRECIO EN SOLES]]-Tabla1[[#This Row],[PC]]</f>
        <v>10.960599999999992</v>
      </c>
      <c r="K926" s="15"/>
      <c r="L926" s="15" t="str">
        <f t="shared" si="29"/>
        <v>NORMAL</v>
      </c>
    </row>
    <row r="927" spans="1:12" x14ac:dyDescent="0.25">
      <c r="A927" s="3" t="s">
        <v>5329</v>
      </c>
      <c r="B927" s="3" t="s">
        <v>5330</v>
      </c>
      <c r="C927" s="1">
        <v>20</v>
      </c>
      <c r="D927" s="1">
        <v>11.4</v>
      </c>
      <c r="E927" s="1" t="s">
        <v>261</v>
      </c>
      <c r="F927" s="1" t="s">
        <v>5331</v>
      </c>
      <c r="G927" s="3" t="s">
        <v>5328</v>
      </c>
      <c r="H927" s="11">
        <f t="shared" si="28"/>
        <v>57.37</v>
      </c>
      <c r="I927" s="9">
        <f>($K$2+0.02)*Tabla1[[#This Row],[PRECIO $]]*1.18</f>
        <v>46.409400000000005</v>
      </c>
      <c r="J927" s="7">
        <f>+Tabla1[[#This Row],[PRECIO EN SOLES]]-Tabla1[[#This Row],[PC]]</f>
        <v>10.960599999999992</v>
      </c>
      <c r="K927" s="15"/>
      <c r="L927" s="15" t="str">
        <f t="shared" si="29"/>
        <v>NORMAL</v>
      </c>
    </row>
    <row r="928" spans="1:12" x14ac:dyDescent="0.25">
      <c r="A928" s="3" t="s">
        <v>5332</v>
      </c>
      <c r="B928" s="3" t="s">
        <v>5333</v>
      </c>
      <c r="C928" s="1">
        <v>20</v>
      </c>
      <c r="D928" s="1">
        <v>15.26</v>
      </c>
      <c r="E928" s="1" t="s">
        <v>261</v>
      </c>
      <c r="F928" s="1" t="s">
        <v>5334</v>
      </c>
      <c r="G928" s="3" t="s">
        <v>5335</v>
      </c>
      <c r="H928" s="11">
        <f t="shared" si="28"/>
        <v>75.34</v>
      </c>
      <c r="I928" s="9">
        <f>($K$2+0.02)*Tabla1[[#This Row],[PRECIO $]]*1.18</f>
        <v>62.123459999999994</v>
      </c>
      <c r="J928" s="7">
        <f>+Tabla1[[#This Row],[PRECIO EN SOLES]]-Tabla1[[#This Row],[PC]]</f>
        <v>13.216540000000009</v>
      </c>
      <c r="K928" s="15"/>
      <c r="L928" s="15" t="str">
        <f t="shared" si="29"/>
        <v>GANCHO</v>
      </c>
    </row>
    <row r="929" spans="1:12" x14ac:dyDescent="0.25">
      <c r="A929" s="3" t="s">
        <v>5336</v>
      </c>
      <c r="B929" s="3" t="s">
        <v>5337</v>
      </c>
      <c r="C929" s="1">
        <v>17</v>
      </c>
      <c r="D929" s="1">
        <v>15.25</v>
      </c>
      <c r="E929" s="1" t="s">
        <v>261</v>
      </c>
      <c r="F929" s="1" t="s">
        <v>5338</v>
      </c>
      <c r="G929" s="3" t="s">
        <v>5339</v>
      </c>
      <c r="H929" s="11">
        <f t="shared" si="28"/>
        <v>75.290000000000006</v>
      </c>
      <c r="I929" s="9">
        <f>($K$2+0.02)*Tabla1[[#This Row],[PRECIO $]]*1.18</f>
        <v>62.082750000000004</v>
      </c>
      <c r="J929" s="7">
        <f>+Tabla1[[#This Row],[PRECIO EN SOLES]]-Tabla1[[#This Row],[PC]]</f>
        <v>13.207250000000002</v>
      </c>
      <c r="K929" s="15"/>
      <c r="L929" s="15" t="str">
        <f t="shared" si="29"/>
        <v>GANCHO</v>
      </c>
    </row>
    <row r="930" spans="1:12" x14ac:dyDescent="0.25">
      <c r="A930" s="3" t="s">
        <v>5340</v>
      </c>
      <c r="B930" s="3" t="s">
        <v>5341</v>
      </c>
      <c r="C930" s="1">
        <v>10</v>
      </c>
      <c r="D930" s="1">
        <v>53.79</v>
      </c>
      <c r="E930" s="1" t="s">
        <v>261</v>
      </c>
      <c r="F930" s="1" t="s">
        <v>5342</v>
      </c>
      <c r="G930" s="3" t="s">
        <v>5343</v>
      </c>
      <c r="H930" s="11">
        <f t="shared" si="28"/>
        <v>278.72000000000003</v>
      </c>
      <c r="I930" s="9">
        <f>($K$2+0.02)*Tabla1[[#This Row],[PRECIO $]]*1.18</f>
        <v>218.97908999999999</v>
      </c>
      <c r="J930" s="7">
        <f>+Tabla1[[#This Row],[PRECIO EN SOLES]]-Tabla1[[#This Row],[PC]]</f>
        <v>59.740910000000042</v>
      </c>
      <c r="K930" s="15"/>
      <c r="L930" s="15" t="str">
        <f t="shared" si="29"/>
        <v>COMPLEMENTO</v>
      </c>
    </row>
    <row r="931" spans="1:12" x14ac:dyDescent="0.25">
      <c r="A931" s="3" t="s">
        <v>5344</v>
      </c>
      <c r="B931" s="3" t="s">
        <v>5345</v>
      </c>
      <c r="C931" s="1">
        <v>20</v>
      </c>
      <c r="D931" s="1">
        <v>20</v>
      </c>
      <c r="E931" s="1" t="s">
        <v>261</v>
      </c>
      <c r="F931" s="1" t="s">
        <v>5346</v>
      </c>
      <c r="G931" s="3" t="s">
        <v>5347</v>
      </c>
      <c r="H931" s="11">
        <f t="shared" si="28"/>
        <v>105.78</v>
      </c>
      <c r="I931" s="9">
        <f>($K$2+0.02)*Tabla1[[#This Row],[PRECIO $]]*1.18</f>
        <v>81.42</v>
      </c>
      <c r="J931" s="7">
        <f>+Tabla1[[#This Row],[PRECIO EN SOLES]]-Tabla1[[#This Row],[PC]]</f>
        <v>24.36</v>
      </c>
      <c r="K931" s="15"/>
      <c r="L931" s="15" t="str">
        <f t="shared" si="29"/>
        <v>COMPLEMENTO</v>
      </c>
    </row>
    <row r="932" spans="1:12" x14ac:dyDescent="0.25">
      <c r="A932" s="3" t="s">
        <v>5348</v>
      </c>
      <c r="B932" s="3" t="s">
        <v>5349</v>
      </c>
      <c r="C932" s="1">
        <v>20</v>
      </c>
      <c r="D932" s="1">
        <v>26.4</v>
      </c>
      <c r="E932" s="1" t="s">
        <v>261</v>
      </c>
      <c r="F932" s="1" t="s">
        <v>5350</v>
      </c>
      <c r="G932" s="3" t="s">
        <v>5351</v>
      </c>
      <c r="H932" s="11">
        <f t="shared" si="28"/>
        <v>129.6</v>
      </c>
      <c r="I932" s="9">
        <f>($K$2+0.02)*Tabla1[[#This Row],[PRECIO $]]*1.18</f>
        <v>107.47439999999999</v>
      </c>
      <c r="J932" s="7">
        <f>+Tabla1[[#This Row],[PRECIO EN SOLES]]-Tabla1[[#This Row],[PC]]</f>
        <v>22.125600000000006</v>
      </c>
      <c r="K932" s="15"/>
      <c r="L932" s="15" t="str">
        <f t="shared" si="29"/>
        <v>NORMAL</v>
      </c>
    </row>
    <row r="933" spans="1:12" x14ac:dyDescent="0.25">
      <c r="A933" s="3" t="s">
        <v>5352</v>
      </c>
      <c r="B933" s="3" t="s">
        <v>5353</v>
      </c>
      <c r="C933" s="1">
        <v>20</v>
      </c>
      <c r="D933" s="1">
        <v>41</v>
      </c>
      <c r="E933" s="1" t="s">
        <v>261</v>
      </c>
      <c r="F933" s="1" t="s">
        <v>5354</v>
      </c>
      <c r="G933" s="3" t="s">
        <v>5355</v>
      </c>
      <c r="H933" s="11">
        <f t="shared" si="28"/>
        <v>213.64</v>
      </c>
      <c r="I933" s="9">
        <f>($K$2+0.02)*Tabla1[[#This Row],[PRECIO $]]*1.18</f>
        <v>166.911</v>
      </c>
      <c r="J933" s="7">
        <f>+Tabla1[[#This Row],[PRECIO EN SOLES]]-Tabla1[[#This Row],[PC]]</f>
        <v>46.728999999999985</v>
      </c>
      <c r="K933" s="15"/>
      <c r="L933" s="15" t="str">
        <f t="shared" si="29"/>
        <v>COMPLEMENTO</v>
      </c>
    </row>
    <row r="934" spans="1:12" x14ac:dyDescent="0.25">
      <c r="A934" s="3" t="s">
        <v>5356</v>
      </c>
      <c r="B934" s="3" t="s">
        <v>5357</v>
      </c>
      <c r="C934" s="1">
        <v>20</v>
      </c>
      <c r="D934" s="1">
        <v>44.1</v>
      </c>
      <c r="E934" s="1" t="s">
        <v>261</v>
      </c>
      <c r="F934" s="1" t="s">
        <v>5358</v>
      </c>
      <c r="G934" s="3" t="s">
        <v>5359</v>
      </c>
      <c r="H934" s="11">
        <f t="shared" si="28"/>
        <v>214.46</v>
      </c>
      <c r="I934" s="9">
        <f>($K$2+0.02)*Tabla1[[#This Row],[PRECIO $]]*1.18</f>
        <v>179.53110000000001</v>
      </c>
      <c r="J934" s="7">
        <f>+Tabla1[[#This Row],[PRECIO EN SOLES]]-Tabla1[[#This Row],[PC]]</f>
        <v>34.928899999999999</v>
      </c>
      <c r="K934" s="15"/>
      <c r="L934" s="15" t="str">
        <f t="shared" si="29"/>
        <v>NORMAL</v>
      </c>
    </row>
    <row r="935" spans="1:12" x14ac:dyDescent="0.25">
      <c r="A935" s="3" t="s">
        <v>5360</v>
      </c>
      <c r="B935" s="3" t="s">
        <v>5361</v>
      </c>
      <c r="C935" s="1">
        <v>8</v>
      </c>
      <c r="D935" s="1">
        <v>17.2</v>
      </c>
      <c r="E935" s="1" t="s">
        <v>122</v>
      </c>
      <c r="F935" s="1" t="s">
        <v>5362</v>
      </c>
      <c r="G935" s="3" t="s">
        <v>5363</v>
      </c>
      <c r="H935" s="11">
        <f t="shared" si="28"/>
        <v>91.53</v>
      </c>
      <c r="I935" s="9">
        <f>($K$2+0.02)*Tabla1[[#This Row],[PRECIO $]]*1.18</f>
        <v>70.021200000000007</v>
      </c>
      <c r="J935" s="7">
        <f>+Tabla1[[#This Row],[PRECIO EN SOLES]]-Tabla1[[#This Row],[PC]]</f>
        <v>21.508799999999994</v>
      </c>
      <c r="K935" s="15"/>
      <c r="L935" s="15" t="str">
        <f t="shared" si="29"/>
        <v>COMPLEMENTO</v>
      </c>
    </row>
    <row r="936" spans="1:12" x14ac:dyDescent="0.25">
      <c r="A936" s="3" t="s">
        <v>5364</v>
      </c>
      <c r="B936" s="3" t="s">
        <v>2240</v>
      </c>
      <c r="C936" s="1">
        <v>16</v>
      </c>
      <c r="D936" s="1">
        <v>17.2</v>
      </c>
      <c r="E936" s="1" t="s">
        <v>122</v>
      </c>
      <c r="F936" s="1" t="s">
        <v>5365</v>
      </c>
      <c r="G936" s="3" t="s">
        <v>5366</v>
      </c>
      <c r="H936" s="11">
        <f t="shared" si="28"/>
        <v>91.53</v>
      </c>
      <c r="I936" s="9">
        <f>($K$2+0.02)*Tabla1[[#This Row],[PRECIO $]]*1.18</f>
        <v>70.021200000000007</v>
      </c>
      <c r="J936" s="7">
        <f>+Tabla1[[#This Row],[PRECIO EN SOLES]]-Tabla1[[#This Row],[PC]]</f>
        <v>21.508799999999994</v>
      </c>
      <c r="K936" s="15"/>
      <c r="L936" s="15" t="str">
        <f t="shared" si="29"/>
        <v>COMPLEMENTO</v>
      </c>
    </row>
    <row r="937" spans="1:12" x14ac:dyDescent="0.25">
      <c r="A937" s="3" t="s">
        <v>2181</v>
      </c>
      <c r="B937" s="3" t="s">
        <v>2182</v>
      </c>
      <c r="C937" s="1">
        <v>20</v>
      </c>
      <c r="D937" s="1">
        <v>17.2</v>
      </c>
      <c r="E937" s="1" t="s">
        <v>122</v>
      </c>
      <c r="F937" s="1" t="s">
        <v>5367</v>
      </c>
      <c r="G937" s="3" t="s">
        <v>2183</v>
      </c>
      <c r="H937" s="11">
        <f t="shared" si="28"/>
        <v>91.53</v>
      </c>
      <c r="I937" s="9">
        <f>($K$2+0.02)*Tabla1[[#This Row],[PRECIO $]]*1.18</f>
        <v>70.021200000000007</v>
      </c>
      <c r="J937" s="7">
        <f>+Tabla1[[#This Row],[PRECIO EN SOLES]]-Tabla1[[#This Row],[PC]]</f>
        <v>21.508799999999994</v>
      </c>
      <c r="K937" s="15"/>
      <c r="L937" s="15" t="str">
        <f t="shared" si="29"/>
        <v>COMPLEMENTO</v>
      </c>
    </row>
    <row r="938" spans="1:12" x14ac:dyDescent="0.25">
      <c r="A938" s="3" t="s">
        <v>2184</v>
      </c>
      <c r="B938" s="3" t="s">
        <v>2185</v>
      </c>
      <c r="C938" s="1">
        <v>7</v>
      </c>
      <c r="D938" s="1">
        <v>17.2</v>
      </c>
      <c r="E938" s="1" t="s">
        <v>122</v>
      </c>
      <c r="F938" s="1" t="s">
        <v>5368</v>
      </c>
      <c r="G938" s="3" t="s">
        <v>2186</v>
      </c>
      <c r="H938" s="11">
        <f t="shared" si="28"/>
        <v>91.53</v>
      </c>
      <c r="I938" s="9">
        <f>($K$2+0.02)*Tabla1[[#This Row],[PRECIO $]]*1.18</f>
        <v>70.021200000000007</v>
      </c>
      <c r="J938" s="7">
        <f>+Tabla1[[#This Row],[PRECIO EN SOLES]]-Tabla1[[#This Row],[PC]]</f>
        <v>21.508799999999994</v>
      </c>
      <c r="K938" s="15"/>
      <c r="L938" s="15" t="str">
        <f t="shared" si="29"/>
        <v>COMPLEMENTO</v>
      </c>
    </row>
    <row r="939" spans="1:12" x14ac:dyDescent="0.25">
      <c r="A939" s="3" t="s">
        <v>2187</v>
      </c>
      <c r="B939" s="3" t="s">
        <v>2188</v>
      </c>
      <c r="C939" s="1">
        <v>20</v>
      </c>
      <c r="D939" s="1">
        <v>19.7</v>
      </c>
      <c r="E939" s="1" t="s">
        <v>122</v>
      </c>
      <c r="F939" s="1" t="s">
        <v>5369</v>
      </c>
      <c r="G939" s="3" t="s">
        <v>2189</v>
      </c>
      <c r="H939" s="11">
        <f t="shared" si="28"/>
        <v>104.25</v>
      </c>
      <c r="I939" s="9">
        <f>($K$2+0.02)*Tabla1[[#This Row],[PRECIO $]]*1.18</f>
        <v>80.198700000000002</v>
      </c>
      <c r="J939" s="7">
        <f>+Tabla1[[#This Row],[PRECIO EN SOLES]]-Tabla1[[#This Row],[PC]]</f>
        <v>24.051299999999998</v>
      </c>
      <c r="K939" s="15"/>
      <c r="L939" s="15" t="str">
        <f t="shared" si="29"/>
        <v>COMPLEMENTO</v>
      </c>
    </row>
    <row r="940" spans="1:12" x14ac:dyDescent="0.25">
      <c r="A940" s="3" t="s">
        <v>2190</v>
      </c>
      <c r="B940" s="3" t="s">
        <v>2191</v>
      </c>
      <c r="C940" s="1">
        <v>20</v>
      </c>
      <c r="D940" s="1">
        <v>19.7</v>
      </c>
      <c r="E940" s="1" t="s">
        <v>122</v>
      </c>
      <c r="F940" s="1" t="s">
        <v>5370</v>
      </c>
      <c r="G940" s="3" t="s">
        <v>2192</v>
      </c>
      <c r="H940" s="11">
        <f t="shared" si="28"/>
        <v>104.25</v>
      </c>
      <c r="I940" s="9">
        <f>($K$2+0.02)*Tabla1[[#This Row],[PRECIO $]]*1.18</f>
        <v>80.198700000000002</v>
      </c>
      <c r="J940" s="7">
        <f>+Tabla1[[#This Row],[PRECIO EN SOLES]]-Tabla1[[#This Row],[PC]]</f>
        <v>24.051299999999998</v>
      </c>
      <c r="K940" s="15"/>
      <c r="L940" s="15" t="str">
        <f t="shared" si="29"/>
        <v>COMPLEMENTO</v>
      </c>
    </row>
    <row r="941" spans="1:12" x14ac:dyDescent="0.25">
      <c r="A941" s="3" t="s">
        <v>2193</v>
      </c>
      <c r="B941" s="3" t="s">
        <v>2194</v>
      </c>
      <c r="C941" s="1">
        <v>20</v>
      </c>
      <c r="D941" s="1">
        <v>19.7</v>
      </c>
      <c r="E941" s="1" t="s">
        <v>122</v>
      </c>
      <c r="F941" s="1" t="s">
        <v>5371</v>
      </c>
      <c r="G941" s="3" t="s">
        <v>2195</v>
      </c>
      <c r="H941" s="11">
        <f t="shared" si="28"/>
        <v>104.25</v>
      </c>
      <c r="I941" s="9">
        <f>($K$2+0.02)*Tabla1[[#This Row],[PRECIO $]]*1.18</f>
        <v>80.198700000000002</v>
      </c>
      <c r="J941" s="7">
        <f>+Tabla1[[#This Row],[PRECIO EN SOLES]]-Tabla1[[#This Row],[PC]]</f>
        <v>24.051299999999998</v>
      </c>
      <c r="K941" s="15"/>
      <c r="L941" s="15" t="str">
        <f t="shared" si="29"/>
        <v>COMPLEMENTO</v>
      </c>
    </row>
    <row r="942" spans="1:12" x14ac:dyDescent="0.25">
      <c r="A942" s="3" t="s">
        <v>2196</v>
      </c>
      <c r="B942" s="3" t="s">
        <v>2197</v>
      </c>
      <c r="C942" s="1">
        <v>20</v>
      </c>
      <c r="D942" s="1">
        <v>17</v>
      </c>
      <c r="E942" s="1" t="s">
        <v>122</v>
      </c>
      <c r="F942" s="1" t="s">
        <v>5372</v>
      </c>
      <c r="G942" s="3" t="s">
        <v>2198</v>
      </c>
      <c r="H942" s="11">
        <f t="shared" si="28"/>
        <v>90.51</v>
      </c>
      <c r="I942" s="9">
        <f>($K$2+0.02)*Tabla1[[#This Row],[PRECIO $]]*1.18</f>
        <v>69.207000000000008</v>
      </c>
      <c r="J942" s="7">
        <f>+Tabla1[[#This Row],[PRECIO EN SOLES]]-Tabla1[[#This Row],[PC]]</f>
        <v>21.302999999999997</v>
      </c>
      <c r="K942" s="15"/>
      <c r="L942" s="15" t="str">
        <f t="shared" si="29"/>
        <v>COMPLEMENTO</v>
      </c>
    </row>
    <row r="943" spans="1:12" x14ac:dyDescent="0.25">
      <c r="A943" s="3" t="s">
        <v>2199</v>
      </c>
      <c r="B943" s="3" t="s">
        <v>2200</v>
      </c>
      <c r="C943" s="1">
        <v>0</v>
      </c>
      <c r="D943" s="1">
        <v>8.6999999999999993</v>
      </c>
      <c r="E943" s="1" t="s">
        <v>122</v>
      </c>
      <c r="F943" s="1" t="s">
        <v>5373</v>
      </c>
      <c r="G943" s="3" t="s">
        <v>2201</v>
      </c>
      <c r="H943" s="11">
        <f t="shared" si="28"/>
        <v>47.27</v>
      </c>
      <c r="I943" s="9">
        <f>($K$2+0.02)*Tabla1[[#This Row],[PRECIO $]]*1.18</f>
        <v>35.417699999999996</v>
      </c>
      <c r="J943" s="7">
        <f>+Tabla1[[#This Row],[PRECIO EN SOLES]]-Tabla1[[#This Row],[PC]]</f>
        <v>11.852300000000007</v>
      </c>
      <c r="K943" s="15"/>
      <c r="L943" s="15" t="str">
        <f t="shared" si="29"/>
        <v>COMPLEMENTO</v>
      </c>
    </row>
    <row r="944" spans="1:12" x14ac:dyDescent="0.25">
      <c r="A944" s="3" t="s">
        <v>2203</v>
      </c>
      <c r="B944" s="3" t="s">
        <v>2204</v>
      </c>
      <c r="C944" s="1">
        <v>20</v>
      </c>
      <c r="D944" s="1">
        <v>24.7</v>
      </c>
      <c r="E944" s="1" t="s">
        <v>122</v>
      </c>
      <c r="F944" s="1" t="s">
        <v>5374</v>
      </c>
      <c r="G944" s="3" t="s">
        <v>2205</v>
      </c>
      <c r="H944" s="11">
        <f t="shared" si="28"/>
        <v>129.69</v>
      </c>
      <c r="I944" s="9">
        <f>($K$2+0.02)*Tabla1[[#This Row],[PRECIO $]]*1.18</f>
        <v>100.55369999999999</v>
      </c>
      <c r="J944" s="7">
        <f>+Tabla1[[#This Row],[PRECIO EN SOLES]]-Tabla1[[#This Row],[PC]]</f>
        <v>29.136300000000006</v>
      </c>
      <c r="K944" s="15"/>
      <c r="L944" s="15" t="str">
        <f t="shared" si="29"/>
        <v>COMPLEMENTO</v>
      </c>
    </row>
    <row r="945" spans="1:12" x14ac:dyDescent="0.25">
      <c r="A945" s="3" t="s">
        <v>2206</v>
      </c>
      <c r="B945" s="3" t="s">
        <v>2207</v>
      </c>
      <c r="C945" s="1">
        <v>20</v>
      </c>
      <c r="D945" s="1">
        <v>24.7</v>
      </c>
      <c r="E945" s="1" t="s">
        <v>122</v>
      </c>
      <c r="F945" s="1" t="s">
        <v>5375</v>
      </c>
      <c r="G945" s="3" t="s">
        <v>2208</v>
      </c>
      <c r="H945" s="11">
        <f t="shared" si="28"/>
        <v>129.69</v>
      </c>
      <c r="I945" s="9">
        <f>($K$2+0.02)*Tabla1[[#This Row],[PRECIO $]]*1.18</f>
        <v>100.55369999999999</v>
      </c>
      <c r="J945" s="7">
        <f>+Tabla1[[#This Row],[PRECIO EN SOLES]]-Tabla1[[#This Row],[PC]]</f>
        <v>29.136300000000006</v>
      </c>
      <c r="K945" s="15"/>
      <c r="L945" s="15" t="str">
        <f t="shared" si="29"/>
        <v>COMPLEMENTO</v>
      </c>
    </row>
    <row r="946" spans="1:12" x14ac:dyDescent="0.25">
      <c r="A946" s="3" t="s">
        <v>2209</v>
      </c>
      <c r="B946" s="3" t="s">
        <v>2210</v>
      </c>
      <c r="C946" s="1">
        <v>1</v>
      </c>
      <c r="D946" s="1">
        <v>12.5</v>
      </c>
      <c r="E946" s="1" t="s">
        <v>122</v>
      </c>
      <c r="F946" s="1" t="s">
        <v>5376</v>
      </c>
      <c r="G946" s="3" t="s">
        <v>2211</v>
      </c>
      <c r="H946" s="11">
        <f t="shared" si="28"/>
        <v>66.61</v>
      </c>
      <c r="I946" s="9">
        <f>($K$2+0.02)*Tabla1[[#This Row],[PRECIO $]]*1.18</f>
        <v>50.887499999999996</v>
      </c>
      <c r="J946" s="7">
        <f>+Tabla1[[#This Row],[PRECIO EN SOLES]]-Tabla1[[#This Row],[PC]]</f>
        <v>15.722500000000004</v>
      </c>
      <c r="K946" s="15"/>
      <c r="L946" s="15" t="str">
        <f t="shared" si="29"/>
        <v>COMPLEMENTO</v>
      </c>
    </row>
    <row r="947" spans="1:12" x14ac:dyDescent="0.25">
      <c r="A947" s="3" t="s">
        <v>2212</v>
      </c>
      <c r="B947" s="3" t="s">
        <v>2213</v>
      </c>
      <c r="C947" s="1">
        <v>20</v>
      </c>
      <c r="D947" s="1">
        <v>16</v>
      </c>
      <c r="E947" s="1" t="s">
        <v>122</v>
      </c>
      <c r="F947" s="1" t="s">
        <v>5377</v>
      </c>
      <c r="G947" s="3" t="s">
        <v>2214</v>
      </c>
      <c r="H947" s="11">
        <f t="shared" si="28"/>
        <v>85.42</v>
      </c>
      <c r="I947" s="9">
        <f>($K$2+0.02)*Tabla1[[#This Row],[PRECIO $]]*1.18</f>
        <v>65.135999999999996</v>
      </c>
      <c r="J947" s="7">
        <f>+Tabla1[[#This Row],[PRECIO EN SOLES]]-Tabla1[[#This Row],[PC]]</f>
        <v>20.284000000000006</v>
      </c>
      <c r="K947" s="15"/>
      <c r="L947" s="15" t="str">
        <f t="shared" si="29"/>
        <v>COMPLEMENTO</v>
      </c>
    </row>
    <row r="948" spans="1:12" x14ac:dyDescent="0.25">
      <c r="A948" s="3" t="s">
        <v>2215</v>
      </c>
      <c r="B948" s="3" t="s">
        <v>2216</v>
      </c>
      <c r="C948" s="1">
        <v>20</v>
      </c>
      <c r="D948" s="1">
        <v>13.5</v>
      </c>
      <c r="E948" s="1" t="s">
        <v>122</v>
      </c>
      <c r="F948" s="1" t="s">
        <v>5378</v>
      </c>
      <c r="G948" s="3" t="s">
        <v>2217</v>
      </c>
      <c r="H948" s="11">
        <f t="shared" si="28"/>
        <v>71.7</v>
      </c>
      <c r="I948" s="9">
        <f>($K$2+0.02)*Tabla1[[#This Row],[PRECIO $]]*1.18</f>
        <v>54.958500000000001</v>
      </c>
      <c r="J948" s="7">
        <f>+Tabla1[[#This Row],[PRECIO EN SOLES]]-Tabla1[[#This Row],[PC]]</f>
        <v>16.741500000000002</v>
      </c>
      <c r="K948" s="15"/>
      <c r="L948" s="15" t="str">
        <f t="shared" si="29"/>
        <v>COMPLEMENTO</v>
      </c>
    </row>
    <row r="949" spans="1:12" x14ac:dyDescent="0.25">
      <c r="A949" s="3" t="s">
        <v>2218</v>
      </c>
      <c r="B949" s="3" t="s">
        <v>2219</v>
      </c>
      <c r="C949" s="1">
        <v>0</v>
      </c>
      <c r="D949" s="1">
        <v>13.5</v>
      </c>
      <c r="E949" s="1" t="s">
        <v>122</v>
      </c>
      <c r="F949" s="1" t="s">
        <v>5379</v>
      </c>
      <c r="G949" s="3" t="s">
        <v>2220</v>
      </c>
      <c r="H949" s="11">
        <f t="shared" si="28"/>
        <v>71.7</v>
      </c>
      <c r="I949" s="9">
        <f>($K$2+0.02)*Tabla1[[#This Row],[PRECIO $]]*1.18</f>
        <v>54.958500000000001</v>
      </c>
      <c r="J949" s="7">
        <f>+Tabla1[[#This Row],[PRECIO EN SOLES]]-Tabla1[[#This Row],[PC]]</f>
        <v>16.741500000000002</v>
      </c>
      <c r="K949" s="15"/>
      <c r="L949" s="15" t="str">
        <f t="shared" si="29"/>
        <v>COMPLEMENTO</v>
      </c>
    </row>
    <row r="950" spans="1:12" x14ac:dyDescent="0.25">
      <c r="A950" s="3" t="s">
        <v>2221</v>
      </c>
      <c r="B950" s="3" t="s">
        <v>2222</v>
      </c>
      <c r="C950" s="1">
        <v>20</v>
      </c>
      <c r="D950" s="1">
        <v>13.5</v>
      </c>
      <c r="E950" s="1" t="s">
        <v>122</v>
      </c>
      <c r="F950" s="1" t="s">
        <v>5380</v>
      </c>
      <c r="G950" s="3" t="s">
        <v>2223</v>
      </c>
      <c r="H950" s="11">
        <f t="shared" si="28"/>
        <v>71.7</v>
      </c>
      <c r="I950" s="9">
        <f>($K$2+0.02)*Tabla1[[#This Row],[PRECIO $]]*1.18</f>
        <v>54.958500000000001</v>
      </c>
      <c r="J950" s="7">
        <f>+Tabla1[[#This Row],[PRECIO EN SOLES]]-Tabla1[[#This Row],[PC]]</f>
        <v>16.741500000000002</v>
      </c>
      <c r="K950" s="15"/>
      <c r="L950" s="15" t="str">
        <f t="shared" si="29"/>
        <v>COMPLEMENTO</v>
      </c>
    </row>
    <row r="951" spans="1:12" x14ac:dyDescent="0.25">
      <c r="A951" s="3" t="s">
        <v>2224</v>
      </c>
      <c r="B951" s="3" t="s">
        <v>2225</v>
      </c>
      <c r="C951" s="1">
        <v>20</v>
      </c>
      <c r="D951" s="1">
        <v>11.8</v>
      </c>
      <c r="E951" s="1" t="s">
        <v>122</v>
      </c>
      <c r="F951" s="1" t="s">
        <v>5381</v>
      </c>
      <c r="G951" s="3" t="s">
        <v>2226</v>
      </c>
      <c r="H951" s="11">
        <f t="shared" si="28"/>
        <v>63.05</v>
      </c>
      <c r="I951" s="9">
        <f>($K$2+0.02)*Tabla1[[#This Row],[PRECIO $]]*1.18</f>
        <v>48.037800000000004</v>
      </c>
      <c r="J951" s="7">
        <f>+Tabla1[[#This Row],[PRECIO EN SOLES]]-Tabla1[[#This Row],[PC]]</f>
        <v>15.012199999999993</v>
      </c>
      <c r="K951" s="15"/>
      <c r="L951" s="15" t="str">
        <f t="shared" si="29"/>
        <v>COMPLEMENTO</v>
      </c>
    </row>
    <row r="952" spans="1:12" x14ac:dyDescent="0.25">
      <c r="A952" s="3" t="s">
        <v>2227</v>
      </c>
      <c r="B952" s="3" t="s">
        <v>2228</v>
      </c>
      <c r="C952" s="1">
        <v>20</v>
      </c>
      <c r="D952" s="1">
        <v>16</v>
      </c>
      <c r="E952" s="1" t="s">
        <v>122</v>
      </c>
      <c r="F952" s="1" t="s">
        <v>5382</v>
      </c>
      <c r="G952" s="3" t="s">
        <v>2229</v>
      </c>
      <c r="H952" s="11">
        <f t="shared" si="28"/>
        <v>85.42</v>
      </c>
      <c r="I952" s="9">
        <f>($K$2+0.02)*Tabla1[[#This Row],[PRECIO $]]*1.18</f>
        <v>65.135999999999996</v>
      </c>
      <c r="J952" s="7">
        <f>+Tabla1[[#This Row],[PRECIO EN SOLES]]-Tabla1[[#This Row],[PC]]</f>
        <v>20.284000000000006</v>
      </c>
      <c r="K952" s="15"/>
      <c r="L952" s="15" t="str">
        <f t="shared" si="29"/>
        <v>COMPLEMENTO</v>
      </c>
    </row>
    <row r="953" spans="1:12" x14ac:dyDescent="0.25">
      <c r="A953" s="3" t="s">
        <v>2230</v>
      </c>
      <c r="B953" s="3" t="s">
        <v>2231</v>
      </c>
      <c r="C953" s="1">
        <v>20</v>
      </c>
      <c r="D953" s="1">
        <v>25.9</v>
      </c>
      <c r="E953" s="1" t="s">
        <v>122</v>
      </c>
      <c r="F953" s="1" t="s">
        <v>5383</v>
      </c>
      <c r="G953" s="3" t="s">
        <v>2232</v>
      </c>
      <c r="H953" s="11">
        <f t="shared" si="28"/>
        <v>135.80000000000001</v>
      </c>
      <c r="I953" s="9">
        <f>($K$2+0.02)*Tabla1[[#This Row],[PRECIO $]]*1.18</f>
        <v>105.4389</v>
      </c>
      <c r="J953" s="7">
        <f>+Tabla1[[#This Row],[PRECIO EN SOLES]]-Tabla1[[#This Row],[PC]]</f>
        <v>30.361100000000008</v>
      </c>
      <c r="K953" s="15"/>
      <c r="L953" s="15" t="str">
        <f t="shared" si="29"/>
        <v>COMPLEMENTO</v>
      </c>
    </row>
    <row r="954" spans="1:12" x14ac:dyDescent="0.25">
      <c r="A954" s="3" t="s">
        <v>2233</v>
      </c>
      <c r="B954" s="3" t="s">
        <v>2234</v>
      </c>
      <c r="C954" s="1">
        <v>20</v>
      </c>
      <c r="D954" s="1">
        <v>25.9</v>
      </c>
      <c r="E954" s="1" t="s">
        <v>122</v>
      </c>
      <c r="F954" s="1" t="s">
        <v>5384</v>
      </c>
      <c r="G954" s="3" t="s">
        <v>2235</v>
      </c>
      <c r="H954" s="11">
        <f t="shared" si="28"/>
        <v>135.80000000000001</v>
      </c>
      <c r="I954" s="9">
        <f>($K$2+0.02)*Tabla1[[#This Row],[PRECIO $]]*1.18</f>
        <v>105.4389</v>
      </c>
      <c r="J954" s="7">
        <f>+Tabla1[[#This Row],[PRECIO EN SOLES]]-Tabla1[[#This Row],[PC]]</f>
        <v>30.361100000000008</v>
      </c>
      <c r="K954" s="15"/>
      <c r="L954" s="15" t="str">
        <f t="shared" si="29"/>
        <v>COMPLEMENTO</v>
      </c>
    </row>
    <row r="955" spans="1:12" x14ac:dyDescent="0.25">
      <c r="A955" s="3" t="s">
        <v>2236</v>
      </c>
      <c r="B955" s="3" t="s">
        <v>2237</v>
      </c>
      <c r="C955" s="1">
        <v>20</v>
      </c>
      <c r="D955" s="1">
        <v>25.9</v>
      </c>
      <c r="E955" s="1" t="s">
        <v>122</v>
      </c>
      <c r="F955" s="1" t="s">
        <v>5385</v>
      </c>
      <c r="G955" s="3" t="s">
        <v>2238</v>
      </c>
      <c r="H955" s="11">
        <f t="shared" si="28"/>
        <v>135.80000000000001</v>
      </c>
      <c r="I955" s="9">
        <f>($K$2+0.02)*Tabla1[[#This Row],[PRECIO $]]*1.18</f>
        <v>105.4389</v>
      </c>
      <c r="J955" s="7">
        <f>+Tabla1[[#This Row],[PRECIO EN SOLES]]-Tabla1[[#This Row],[PC]]</f>
        <v>30.361100000000008</v>
      </c>
      <c r="K955" s="15"/>
      <c r="L955" s="15" t="str">
        <f t="shared" si="29"/>
        <v>COMPLEMENTO</v>
      </c>
    </row>
    <row r="956" spans="1:12" x14ac:dyDescent="0.25">
      <c r="A956" s="3" t="s">
        <v>2239</v>
      </c>
      <c r="B956" s="3" t="s">
        <v>2240</v>
      </c>
      <c r="C956" s="1">
        <v>20</v>
      </c>
      <c r="D956" s="1">
        <v>666</v>
      </c>
      <c r="E956" s="1" t="s">
        <v>269</v>
      </c>
      <c r="F956" s="1" t="s">
        <v>5386</v>
      </c>
      <c r="G956" s="3"/>
      <c r="H956" s="11">
        <f t="shared" si="28"/>
        <v>3394.11</v>
      </c>
      <c r="I956" s="9">
        <f>($K$2+0.02)*Tabla1[[#This Row],[PRECIO $]]*1.18</f>
        <v>2711.2860000000001</v>
      </c>
      <c r="J956" s="7">
        <f>+Tabla1[[#This Row],[PRECIO EN SOLES]]-Tabla1[[#This Row],[PC]]</f>
        <v>682.82400000000007</v>
      </c>
      <c r="K956" s="15"/>
      <c r="L956" s="15" t="str">
        <f t="shared" si="29"/>
        <v>COMPLEMENTO</v>
      </c>
    </row>
    <row r="957" spans="1:12" x14ac:dyDescent="0.25">
      <c r="A957" s="3" t="s">
        <v>2241</v>
      </c>
      <c r="B957" s="3" t="s">
        <v>2200</v>
      </c>
      <c r="C957" s="1">
        <v>0</v>
      </c>
      <c r="D957" s="1">
        <v>999</v>
      </c>
      <c r="E957" s="1" t="s">
        <v>269</v>
      </c>
      <c r="F957" s="1" t="s">
        <v>5387</v>
      </c>
      <c r="G957" s="3"/>
      <c r="H957" s="11">
        <f t="shared" si="28"/>
        <v>5088.66</v>
      </c>
      <c r="I957" s="9">
        <f>($K$2+0.02)*Tabla1[[#This Row],[PRECIO $]]*1.18</f>
        <v>4066.9290000000001</v>
      </c>
      <c r="J957" s="7">
        <f>+Tabla1[[#This Row],[PRECIO EN SOLES]]-Tabla1[[#This Row],[PC]]</f>
        <v>1021.7309999999998</v>
      </c>
      <c r="K957" s="15"/>
      <c r="L957" s="15" t="str">
        <f t="shared" si="29"/>
        <v>COMPLEMENTO</v>
      </c>
    </row>
    <row r="958" spans="1:12" x14ac:dyDescent="0.25">
      <c r="A958" s="3" t="s">
        <v>2242</v>
      </c>
      <c r="B958" s="3" t="s">
        <v>2202</v>
      </c>
      <c r="C958" s="1">
        <v>20</v>
      </c>
      <c r="D958" s="1">
        <v>1000</v>
      </c>
      <c r="E958" s="1" t="s">
        <v>269</v>
      </c>
      <c r="F958" s="1" t="s">
        <v>5388</v>
      </c>
      <c r="G958" s="3"/>
      <c r="H958" s="11">
        <f t="shared" si="28"/>
        <v>5093.75</v>
      </c>
      <c r="I958" s="9">
        <f>($K$2+0.02)*Tabla1[[#This Row],[PRECIO $]]*1.18</f>
        <v>4071</v>
      </c>
      <c r="J958" s="7">
        <f>+Tabla1[[#This Row],[PRECIO EN SOLES]]-Tabla1[[#This Row],[PC]]</f>
        <v>1022.75</v>
      </c>
      <c r="K958" s="15"/>
      <c r="L958" s="15" t="str">
        <f t="shared" si="29"/>
        <v>COMPLEMENTO</v>
      </c>
    </row>
    <row r="959" spans="1:12" x14ac:dyDescent="0.25">
      <c r="A959" s="3" t="s">
        <v>2243</v>
      </c>
      <c r="B959" s="3" t="s">
        <v>2231</v>
      </c>
      <c r="C959" s="1">
        <v>20</v>
      </c>
      <c r="D959" s="1">
        <v>666</v>
      </c>
      <c r="E959" s="1" t="s">
        <v>1300</v>
      </c>
      <c r="F959" s="1" t="s">
        <v>5389</v>
      </c>
      <c r="G959" s="3"/>
      <c r="H959" s="11">
        <f t="shared" si="28"/>
        <v>3394.11</v>
      </c>
      <c r="I959" s="9">
        <f>($K$2+0.02)*Tabla1[[#This Row],[PRECIO $]]*1.18</f>
        <v>2711.2860000000001</v>
      </c>
      <c r="J959" s="7">
        <f>+Tabla1[[#This Row],[PRECIO EN SOLES]]-Tabla1[[#This Row],[PC]]</f>
        <v>682.82400000000007</v>
      </c>
      <c r="K959" s="15"/>
      <c r="L959" s="15" t="str">
        <f t="shared" si="29"/>
        <v>COMPLEMENTO</v>
      </c>
    </row>
    <row r="960" spans="1:12" x14ac:dyDescent="0.25">
      <c r="A960" s="3" t="s">
        <v>2244</v>
      </c>
      <c r="B960" s="3" t="s">
        <v>2234</v>
      </c>
      <c r="C960" s="1">
        <v>0</v>
      </c>
      <c r="D960" s="1">
        <v>999</v>
      </c>
      <c r="E960" s="1" t="s">
        <v>1300</v>
      </c>
      <c r="F960" s="1" t="s">
        <v>5390</v>
      </c>
      <c r="G960" s="3"/>
      <c r="H960" s="11">
        <f t="shared" si="28"/>
        <v>5088.66</v>
      </c>
      <c r="I960" s="9">
        <f>($K$2+0.02)*Tabla1[[#This Row],[PRECIO $]]*1.18</f>
        <v>4066.9290000000001</v>
      </c>
      <c r="J960" s="7">
        <f>+Tabla1[[#This Row],[PRECIO EN SOLES]]-Tabla1[[#This Row],[PC]]</f>
        <v>1021.7309999999998</v>
      </c>
      <c r="K960" s="15"/>
      <c r="L960" s="15" t="str">
        <f t="shared" si="29"/>
        <v>COMPLEMENTO</v>
      </c>
    </row>
    <row r="961" spans="1:12" x14ac:dyDescent="0.25">
      <c r="A961" s="3" t="s">
        <v>2245</v>
      </c>
      <c r="B961" s="3" t="s">
        <v>2246</v>
      </c>
      <c r="C961" s="1">
        <v>0</v>
      </c>
      <c r="D961" s="1">
        <v>999</v>
      </c>
      <c r="E961" s="1" t="s">
        <v>333</v>
      </c>
      <c r="F961" s="1" t="s">
        <v>5391</v>
      </c>
      <c r="G961" s="3"/>
      <c r="H961" s="11">
        <f t="shared" si="28"/>
        <v>5088.66</v>
      </c>
      <c r="I961" s="9">
        <f>($K$2+0.02)*Tabla1[[#This Row],[PRECIO $]]*1.18</f>
        <v>4066.9290000000001</v>
      </c>
      <c r="J961" s="7">
        <f>+Tabla1[[#This Row],[PRECIO EN SOLES]]-Tabla1[[#This Row],[PC]]</f>
        <v>1021.7309999999998</v>
      </c>
      <c r="K961" s="15"/>
      <c r="L961" s="15" t="str">
        <f t="shared" si="29"/>
        <v>COMPLEMENTO</v>
      </c>
    </row>
    <row r="962" spans="1:12" x14ac:dyDescent="0.25">
      <c r="A962" s="3" t="s">
        <v>2247</v>
      </c>
      <c r="B962" s="3" t="s">
        <v>2248</v>
      </c>
      <c r="C962" s="1">
        <v>0</v>
      </c>
      <c r="D962" s="1">
        <v>999</v>
      </c>
      <c r="E962" s="1" t="s">
        <v>333</v>
      </c>
      <c r="F962" s="1" t="s">
        <v>5392</v>
      </c>
      <c r="G962" s="3"/>
      <c r="H962" s="11">
        <f t="shared" ref="H962:H1025" si="30">ROUND(
IF(L962="GANCHO",
   IF(I962&lt;=50,I962*1.1+4,IF(I962&lt;=120,I962*1.1+7,IF(I962&lt;=250,I962*1.1+11,I962*1.1+19))),
IF(L962="NORMAL",
   IF(I962&lt;=30,I962*1.15+2,IF(I962&lt;=80,I962*1.15+4,IF(I962&lt;=150,I962*1.15+6,I962*1.15+8))),
IF(L962="COMPLEMENTO",
   IF(I962&lt;=25,I962*1.25+1.5,IF(I962&lt;=60,I962*1.25+3,IF(I962&lt;=120,I962*1.25+4,I962*1.25+5))),
""))),2)</f>
        <v>5088.66</v>
      </c>
      <c r="I962" s="9">
        <f>($K$2+0.02)*Tabla1[[#This Row],[PRECIO $]]*1.18</f>
        <v>4066.9290000000001</v>
      </c>
      <c r="J962" s="7">
        <f>+Tabla1[[#This Row],[PRECIO EN SOLES]]-Tabla1[[#This Row],[PC]]</f>
        <v>1021.7309999999998</v>
      </c>
      <c r="K962" s="15"/>
      <c r="L962" s="15" t="str">
        <f t="shared" si="29"/>
        <v>COMPLEMENTO</v>
      </c>
    </row>
    <row r="963" spans="1:12" x14ac:dyDescent="0.25">
      <c r="A963" s="3" t="s">
        <v>2249</v>
      </c>
      <c r="B963" s="3" t="s">
        <v>2250</v>
      </c>
      <c r="C963" s="1">
        <v>0</v>
      </c>
      <c r="D963" s="1">
        <v>999</v>
      </c>
      <c r="E963" s="1" t="s">
        <v>242</v>
      </c>
      <c r="F963" s="1" t="s">
        <v>5393</v>
      </c>
      <c r="G963" s="3"/>
      <c r="H963" s="11">
        <f t="shared" si="30"/>
        <v>5088.66</v>
      </c>
      <c r="I963" s="9">
        <f>($K$2+0.02)*Tabla1[[#This Row],[PRECIO $]]*1.18</f>
        <v>4066.9290000000001</v>
      </c>
      <c r="J963" s="7">
        <f>+Tabla1[[#This Row],[PRECIO EN SOLES]]-Tabla1[[#This Row],[PC]]</f>
        <v>1021.7309999999998</v>
      </c>
      <c r="K963" s="15"/>
      <c r="L963" s="15" t="str">
        <f t="shared" ref="L963:L1026" si="31">IF(
OR(
ISNUMBER(SEARCH("BACKPACK",B963)),
ISNUMBER(SEARCH("MOCHILA",B963)),
ISNUMBER(SEARCH("FUNDA",B963)),
ISNUMBER(SEARCH("ESTUCHE",B963)),
ISNUMBER(SEARCH("BOOK COVER",B963)),
ISNUMBER(SEARCH("KEYBOARD PARA TABLET",B963)),
ISNUMBER(SEARCH("FLIP TABLET",B963)),
ISNUMBER(SEARCH("CASE FOR TABLET",B963)),
ISNUMBER(SEARCH("CABLE",B963)),
ISNUMBER(SEARCH("ADAPTADOR",B963)),
ISNUMBER(SEARCH("HUB",B963)),
ISNUMBER(SEARCH("DOCK",B963)),
ISNUMBER(SEARCH("MOUSE PAD",B963)),
ISNUMBER(SEARCH("MOUSEPAD",B963)),
ISNUMBER(SEARCH("SOPORTE",B963)),
ISNUMBER(SEARCH("STAND",B963)),
ISNUMBER(SEARCH("TRAVEL ADAPTER",B963)),
ISNUMBER(SEARCH("RJ45",B963)),
ISNUMBER(SEARCH("USB-C",B963)),
ISNUMBER(SEARCH("USB WIFI",B963)),
ISNUMBER(SEARCH("POWERBANK",B963)),
ISNUMBER(SEARCH("CARGADOR",B963)),
ISNUMBER(SEARCH("COOLER PARA NB",B963)),
ISNUMBER(SEARCH("SOPORTE PARA NB",B963)),
ISNUMBER(SEARCH("WEBCAM",B963)),
ISNUMBER(SEARCH("WEB CAM",B963)),
ISNUMBER(SEARCH("MOUSE",B963)),
ISNUMBER(SEARCH("TECLADO",B963))
),
"COMPLEMENTO",
IF(
OR(
LEFT(A963,2)="NB",
LEFT(A963,2)="PC",
LEFT(A963,2)="WS",
LEFT(A963,2)="TB",
LEFT(A963,3)="CEL",
LEFT(A963,3)="MON",
LEFT(A963,3)="PRE",
LEFT(A963,3)="PRH",
ISNUMBER(SEARCH("NOTEBOOK",B963)),
ISNUMBER(SEARCH("LAPTOP",B963)),
ISNUMBER(SEARCH("MONITOR",B963)),
ISNUMBER(SEARCH("TABLET",B963)),
ISNUMBER(SEARCH("SMARTPH",B963)),
ISNUMBER(SEARCH("IMPRESORA",B963)),
ISNUMBER(SEARCH("MULTIFUNCIONAL",B963)),
ISNUMBER(SEARCH("AIO",B963))
),
"GANCHO",
"NORMAL"
)
)</f>
        <v>COMPLEMENTO</v>
      </c>
    </row>
    <row r="964" spans="1:12" x14ac:dyDescent="0.25">
      <c r="A964" s="3" t="s">
        <v>2251</v>
      </c>
      <c r="B964" s="3" t="s">
        <v>2252</v>
      </c>
      <c r="C964" s="1">
        <v>20</v>
      </c>
      <c r="D964" s="1">
        <v>77</v>
      </c>
      <c r="E964" s="1" t="s">
        <v>131</v>
      </c>
      <c r="F964" s="1" t="s">
        <v>5394</v>
      </c>
      <c r="G964" s="3" t="s">
        <v>2253</v>
      </c>
      <c r="H964" s="11">
        <f t="shared" si="30"/>
        <v>363.81</v>
      </c>
      <c r="I964" s="9">
        <f>($K$2+0.02)*Tabla1[[#This Row],[PRECIO $]]*1.18</f>
        <v>313.46700000000004</v>
      </c>
      <c r="J964" s="7">
        <f>+Tabla1[[#This Row],[PRECIO EN SOLES]]-Tabla1[[#This Row],[PC]]</f>
        <v>50.342999999999961</v>
      </c>
      <c r="K964" s="15"/>
      <c r="L964" s="15" t="str">
        <f t="shared" si="31"/>
        <v>GANCHO</v>
      </c>
    </row>
    <row r="965" spans="1:12" x14ac:dyDescent="0.25">
      <c r="A965" s="3" t="s">
        <v>5395</v>
      </c>
      <c r="B965" s="3" t="s">
        <v>5396</v>
      </c>
      <c r="C965" s="1">
        <v>20</v>
      </c>
      <c r="D965" s="1">
        <v>82</v>
      </c>
      <c r="E965" s="1" t="s">
        <v>131</v>
      </c>
      <c r="F965" s="1" t="s">
        <v>5397</v>
      </c>
      <c r="G965" s="3" t="s">
        <v>5398</v>
      </c>
      <c r="H965" s="11">
        <f t="shared" si="30"/>
        <v>386.2</v>
      </c>
      <c r="I965" s="9">
        <f>($K$2+0.02)*Tabla1[[#This Row],[PRECIO $]]*1.18</f>
        <v>333.822</v>
      </c>
      <c r="J965" s="7">
        <f>+Tabla1[[#This Row],[PRECIO EN SOLES]]-Tabla1[[#This Row],[PC]]</f>
        <v>52.377999999999986</v>
      </c>
      <c r="K965" s="15"/>
      <c r="L965" s="15" t="str">
        <f t="shared" si="31"/>
        <v>GANCHO</v>
      </c>
    </row>
    <row r="966" spans="1:12" x14ac:dyDescent="0.25">
      <c r="A966" s="3" t="s">
        <v>2254</v>
      </c>
      <c r="B966" s="3" t="s">
        <v>2255</v>
      </c>
      <c r="C966" s="1">
        <v>20</v>
      </c>
      <c r="D966" s="1">
        <v>83</v>
      </c>
      <c r="E966" s="1" t="s">
        <v>122</v>
      </c>
      <c r="F966" s="1" t="s">
        <v>5399</v>
      </c>
      <c r="G966" s="3" t="s">
        <v>5400</v>
      </c>
      <c r="H966" s="11">
        <f t="shared" si="30"/>
        <v>390.68</v>
      </c>
      <c r="I966" s="9">
        <f>($K$2+0.02)*Tabla1[[#This Row],[PRECIO $]]*1.18</f>
        <v>337.89300000000003</v>
      </c>
      <c r="J966" s="7">
        <f>+Tabla1[[#This Row],[PRECIO EN SOLES]]-Tabla1[[#This Row],[PC]]</f>
        <v>52.786999999999978</v>
      </c>
      <c r="K966" s="15"/>
      <c r="L966" s="15" t="str">
        <f t="shared" si="31"/>
        <v>GANCHO</v>
      </c>
    </row>
    <row r="967" spans="1:12" x14ac:dyDescent="0.25">
      <c r="A967" s="3" t="s">
        <v>2256</v>
      </c>
      <c r="B967" s="3" t="s">
        <v>2257</v>
      </c>
      <c r="C967" s="1">
        <v>16</v>
      </c>
      <c r="D967" s="1">
        <v>96</v>
      </c>
      <c r="E967" s="1" t="s">
        <v>131</v>
      </c>
      <c r="F967" s="1" t="s">
        <v>5401</v>
      </c>
      <c r="G967" s="3" t="s">
        <v>6935</v>
      </c>
      <c r="H967" s="11">
        <f t="shared" si="30"/>
        <v>448.9</v>
      </c>
      <c r="I967" s="9">
        <f>($K$2+0.02)*Tabla1[[#This Row],[PRECIO $]]*1.18</f>
        <v>390.81600000000003</v>
      </c>
      <c r="J967" s="7">
        <f>+Tabla1[[#This Row],[PRECIO EN SOLES]]-Tabla1[[#This Row],[PC]]</f>
        <v>58.083999999999946</v>
      </c>
      <c r="K967" s="15"/>
      <c r="L967" s="15" t="str">
        <f t="shared" si="31"/>
        <v>GANCHO</v>
      </c>
    </row>
    <row r="968" spans="1:12" x14ac:dyDescent="0.25">
      <c r="A968" s="3" t="s">
        <v>6936</v>
      </c>
      <c r="B968" s="3" t="s">
        <v>6937</v>
      </c>
      <c r="C968" s="1">
        <v>20</v>
      </c>
      <c r="D968" s="1">
        <v>105</v>
      </c>
      <c r="E968" s="1" t="s">
        <v>131</v>
      </c>
      <c r="F968" s="1" t="s">
        <v>6938</v>
      </c>
      <c r="G968" s="3" t="s">
        <v>6939</v>
      </c>
      <c r="H968" s="11">
        <f t="shared" si="30"/>
        <v>489.2</v>
      </c>
      <c r="I968" s="9">
        <f>($K$2+0.02)*Tabla1[[#This Row],[PRECIO $]]*1.18</f>
        <v>427.45499999999998</v>
      </c>
      <c r="J968" s="7">
        <f>+Tabla1[[#This Row],[PRECIO EN SOLES]]-Tabla1[[#This Row],[PC]]</f>
        <v>61.745000000000005</v>
      </c>
      <c r="K968" s="15"/>
      <c r="L968" s="15" t="str">
        <f t="shared" si="31"/>
        <v>GANCHO</v>
      </c>
    </row>
    <row r="969" spans="1:12" x14ac:dyDescent="0.25">
      <c r="A969" s="3" t="s">
        <v>6940</v>
      </c>
      <c r="B969" s="3" t="s">
        <v>6941</v>
      </c>
      <c r="C969" s="1">
        <v>20</v>
      </c>
      <c r="D969" s="1">
        <v>103</v>
      </c>
      <c r="E969" s="1" t="s">
        <v>122</v>
      </c>
      <c r="F969" s="1" t="s">
        <v>6942</v>
      </c>
      <c r="G969" s="3" t="s">
        <v>6943</v>
      </c>
      <c r="H969" s="11">
        <f t="shared" si="30"/>
        <v>480.24</v>
      </c>
      <c r="I969" s="9">
        <f>($K$2+0.02)*Tabla1[[#This Row],[PRECIO $]]*1.18</f>
        <v>419.31299999999999</v>
      </c>
      <c r="J969" s="7">
        <f>+Tabla1[[#This Row],[PRECIO EN SOLES]]-Tabla1[[#This Row],[PC]]</f>
        <v>60.927000000000021</v>
      </c>
      <c r="K969" s="15"/>
      <c r="L969" s="15" t="str">
        <f t="shared" si="31"/>
        <v>GANCHO</v>
      </c>
    </row>
    <row r="970" spans="1:12" x14ac:dyDescent="0.25">
      <c r="A970" s="3" t="s">
        <v>6944</v>
      </c>
      <c r="B970" s="3" t="s">
        <v>6945</v>
      </c>
      <c r="C970" s="1">
        <v>11</v>
      </c>
      <c r="D970" s="1">
        <v>147</v>
      </c>
      <c r="E970" s="1" t="s">
        <v>985</v>
      </c>
      <c r="F970" s="1" t="s">
        <v>6946</v>
      </c>
      <c r="G970" s="3" t="s">
        <v>6947</v>
      </c>
      <c r="H970" s="11">
        <f t="shared" si="30"/>
        <v>696.2</v>
      </c>
      <c r="I970" s="9">
        <f>($K$2+0.02)*Tabla1[[#This Row],[PRECIO $]]*1.18</f>
        <v>598.43700000000001</v>
      </c>
      <c r="J970" s="7">
        <f>+Tabla1[[#This Row],[PRECIO EN SOLES]]-Tabla1[[#This Row],[PC]]</f>
        <v>97.763000000000034</v>
      </c>
      <c r="K970" s="15"/>
      <c r="L970" s="15" t="str">
        <f t="shared" si="31"/>
        <v>NORMAL</v>
      </c>
    </row>
    <row r="971" spans="1:12" x14ac:dyDescent="0.25">
      <c r="A971" s="3" t="s">
        <v>2258</v>
      </c>
      <c r="B971" s="3" t="s">
        <v>2259</v>
      </c>
      <c r="C971" s="1">
        <v>20</v>
      </c>
      <c r="D971" s="1">
        <v>323.5</v>
      </c>
      <c r="E971" s="1" t="s">
        <v>985</v>
      </c>
      <c r="F971" s="1" t="s">
        <v>5402</v>
      </c>
      <c r="G971" s="3" t="s">
        <v>2260</v>
      </c>
      <c r="H971" s="11">
        <f t="shared" si="30"/>
        <v>1467.67</v>
      </c>
      <c r="I971" s="9">
        <f>($K$2+0.02)*Tabla1[[#This Row],[PRECIO $]]*1.18</f>
        <v>1316.9684999999999</v>
      </c>
      <c r="J971" s="7">
        <f>+Tabla1[[#This Row],[PRECIO EN SOLES]]-Tabla1[[#This Row],[PC]]</f>
        <v>150.70150000000012</v>
      </c>
      <c r="K971" s="15"/>
      <c r="L971" s="15" t="str">
        <f t="shared" si="31"/>
        <v>GANCHO</v>
      </c>
    </row>
    <row r="972" spans="1:12" x14ac:dyDescent="0.25">
      <c r="A972" s="3" t="s">
        <v>6948</v>
      </c>
      <c r="B972" s="3" t="s">
        <v>6949</v>
      </c>
      <c r="C972" s="1">
        <v>20</v>
      </c>
      <c r="D972" s="1">
        <v>73</v>
      </c>
      <c r="E972" s="1" t="s">
        <v>122</v>
      </c>
      <c r="F972" s="1" t="s">
        <v>6950</v>
      </c>
      <c r="G972" s="3" t="s">
        <v>6951</v>
      </c>
      <c r="H972" s="11">
        <f t="shared" si="30"/>
        <v>345.9</v>
      </c>
      <c r="I972" s="9">
        <f>($K$2+0.02)*Tabla1[[#This Row],[PRECIO $]]*1.18</f>
        <v>297.18299999999999</v>
      </c>
      <c r="J972" s="7">
        <f>+Tabla1[[#This Row],[PRECIO EN SOLES]]-Tabla1[[#This Row],[PC]]</f>
        <v>48.716999999999985</v>
      </c>
      <c r="K972" s="15"/>
      <c r="L972" s="15" t="str">
        <f t="shared" si="31"/>
        <v>GANCHO</v>
      </c>
    </row>
    <row r="973" spans="1:12" x14ac:dyDescent="0.25">
      <c r="A973" s="3" t="s">
        <v>2261</v>
      </c>
      <c r="B973" s="3" t="s">
        <v>2262</v>
      </c>
      <c r="C973" s="1">
        <v>12</v>
      </c>
      <c r="D973" s="1">
        <v>94.5</v>
      </c>
      <c r="E973" s="1" t="s">
        <v>355</v>
      </c>
      <c r="F973" s="1" t="s">
        <v>5403</v>
      </c>
      <c r="G973" s="3" t="s">
        <v>2263</v>
      </c>
      <c r="H973" s="11">
        <f t="shared" si="30"/>
        <v>450.42</v>
      </c>
      <c r="I973" s="9">
        <f>($K$2+0.02)*Tabla1[[#This Row],[PRECIO $]]*1.18</f>
        <v>384.70950000000005</v>
      </c>
      <c r="J973" s="7">
        <f>+Tabla1[[#This Row],[PRECIO EN SOLES]]-Tabla1[[#This Row],[PC]]</f>
        <v>65.710499999999968</v>
      </c>
      <c r="K973" s="15"/>
      <c r="L973" s="15" t="str">
        <f t="shared" si="31"/>
        <v>NORMAL</v>
      </c>
    </row>
    <row r="974" spans="1:12" x14ac:dyDescent="0.25">
      <c r="A974" s="3" t="s">
        <v>5404</v>
      </c>
      <c r="B974" s="3" t="s">
        <v>5405</v>
      </c>
      <c r="C974" s="1">
        <v>20</v>
      </c>
      <c r="D974" s="1">
        <v>160</v>
      </c>
      <c r="E974" s="1" t="s">
        <v>122</v>
      </c>
      <c r="F974" s="1" t="s">
        <v>5406</v>
      </c>
      <c r="G974" s="3" t="s">
        <v>5407</v>
      </c>
      <c r="H974" s="11">
        <f t="shared" si="30"/>
        <v>735.5</v>
      </c>
      <c r="I974" s="9">
        <f>($K$2+0.02)*Tabla1[[#This Row],[PRECIO $]]*1.18</f>
        <v>651.36</v>
      </c>
      <c r="J974" s="7">
        <f>+Tabla1[[#This Row],[PRECIO EN SOLES]]-Tabla1[[#This Row],[PC]]</f>
        <v>84.139999999999986</v>
      </c>
      <c r="K974" s="15"/>
      <c r="L974" s="15" t="str">
        <f t="shared" si="31"/>
        <v>GANCHO</v>
      </c>
    </row>
    <row r="975" spans="1:12" x14ac:dyDescent="0.25">
      <c r="A975" s="3" t="s">
        <v>6952</v>
      </c>
      <c r="B975" s="3" t="s">
        <v>6953</v>
      </c>
      <c r="C975" s="1">
        <v>20</v>
      </c>
      <c r="D975" s="1">
        <v>97</v>
      </c>
      <c r="E975" s="1" t="s">
        <v>122</v>
      </c>
      <c r="F975" s="1" t="s">
        <v>6954</v>
      </c>
      <c r="G975" s="3" t="s">
        <v>6955</v>
      </c>
      <c r="H975" s="11">
        <f t="shared" si="30"/>
        <v>453.38</v>
      </c>
      <c r="I975" s="9">
        <f>($K$2+0.02)*Tabla1[[#This Row],[PRECIO $]]*1.18</f>
        <v>394.887</v>
      </c>
      <c r="J975" s="7">
        <f>+Tabla1[[#This Row],[PRECIO EN SOLES]]-Tabla1[[#This Row],[PC]]</f>
        <v>58.492999999999995</v>
      </c>
      <c r="K975" s="15"/>
      <c r="L975" s="15" t="str">
        <f t="shared" si="31"/>
        <v>GANCHO</v>
      </c>
    </row>
    <row r="976" spans="1:12" x14ac:dyDescent="0.25">
      <c r="A976" s="3" t="s">
        <v>2264</v>
      </c>
      <c r="B976" s="3" t="s">
        <v>2265</v>
      </c>
      <c r="C976" s="1">
        <v>20</v>
      </c>
      <c r="D976" s="1">
        <v>124</v>
      </c>
      <c r="E976" s="1" t="s">
        <v>122</v>
      </c>
      <c r="F976" s="1" t="s">
        <v>5408</v>
      </c>
      <c r="G976" s="3" t="s">
        <v>2266</v>
      </c>
      <c r="H976" s="11">
        <f t="shared" si="30"/>
        <v>574.28</v>
      </c>
      <c r="I976" s="9">
        <f>($K$2+0.02)*Tabla1[[#This Row],[PRECIO $]]*1.18</f>
        <v>504.80399999999997</v>
      </c>
      <c r="J976" s="7">
        <f>+Tabla1[[#This Row],[PRECIO EN SOLES]]-Tabla1[[#This Row],[PC]]</f>
        <v>69.475999999999999</v>
      </c>
      <c r="K976" s="15"/>
      <c r="L976" s="15" t="str">
        <f t="shared" si="31"/>
        <v>GANCHO</v>
      </c>
    </row>
    <row r="977" spans="1:12" x14ac:dyDescent="0.25">
      <c r="A977" s="3" t="s">
        <v>2267</v>
      </c>
      <c r="B977" s="3" t="s">
        <v>2268</v>
      </c>
      <c r="C977" s="1">
        <v>0</v>
      </c>
      <c r="D977" s="1">
        <v>9999</v>
      </c>
      <c r="E977" s="1" t="s">
        <v>333</v>
      </c>
      <c r="F977" s="1" t="s">
        <v>5409</v>
      </c>
      <c r="G977" s="3"/>
      <c r="H977" s="11">
        <f t="shared" si="30"/>
        <v>46819.82</v>
      </c>
      <c r="I977" s="9">
        <f>($K$2+0.02)*Tabla1[[#This Row],[PRECIO $]]*1.18</f>
        <v>40705.929000000004</v>
      </c>
      <c r="J977" s="7">
        <f>+Tabla1[[#This Row],[PRECIO EN SOLES]]-Tabla1[[#This Row],[PC]]</f>
        <v>6113.890999999996</v>
      </c>
      <c r="K977" s="15"/>
      <c r="L977" s="15" t="str">
        <f t="shared" si="31"/>
        <v>NORMAL</v>
      </c>
    </row>
    <row r="978" spans="1:12" x14ac:dyDescent="0.25">
      <c r="A978" s="3" t="s">
        <v>2269</v>
      </c>
      <c r="B978" s="3" t="s">
        <v>2270</v>
      </c>
      <c r="C978" s="1">
        <v>0</v>
      </c>
      <c r="D978" s="1">
        <v>999</v>
      </c>
      <c r="E978" s="1" t="s">
        <v>761</v>
      </c>
      <c r="F978" s="1" t="s">
        <v>5410</v>
      </c>
      <c r="G978" s="3"/>
      <c r="H978" s="11">
        <f t="shared" si="30"/>
        <v>4492.62</v>
      </c>
      <c r="I978" s="9">
        <f>($K$2+0.02)*Tabla1[[#This Row],[PRECIO $]]*1.18</f>
        <v>4066.9290000000001</v>
      </c>
      <c r="J978" s="7">
        <f>+Tabla1[[#This Row],[PRECIO EN SOLES]]-Tabla1[[#This Row],[PC]]</f>
        <v>425.6909999999998</v>
      </c>
      <c r="K978" s="15"/>
      <c r="L978" s="15" t="str">
        <f t="shared" si="31"/>
        <v>GANCHO</v>
      </c>
    </row>
    <row r="979" spans="1:12" x14ac:dyDescent="0.25">
      <c r="A979" s="3" t="s">
        <v>2390</v>
      </c>
      <c r="B979" s="3" t="s">
        <v>2391</v>
      </c>
      <c r="C979" s="1">
        <v>20</v>
      </c>
      <c r="D979" s="1">
        <v>210</v>
      </c>
      <c r="E979" s="1" t="s">
        <v>269</v>
      </c>
      <c r="F979" s="1" t="s">
        <v>5470</v>
      </c>
      <c r="G979" s="3" t="s">
        <v>6956</v>
      </c>
      <c r="H979" s="11">
        <f t="shared" si="30"/>
        <v>959.4</v>
      </c>
      <c r="I979" s="9">
        <f>($K$2+0.02)*Tabla1[[#This Row],[PRECIO $]]*1.18</f>
        <v>854.91</v>
      </c>
      <c r="J979" s="7">
        <f>+Tabla1[[#This Row],[PRECIO EN SOLES]]-Tabla1[[#This Row],[PC]]</f>
        <v>104.49000000000001</v>
      </c>
      <c r="K979" s="15"/>
      <c r="L979" s="15" t="str">
        <f t="shared" si="31"/>
        <v>GANCHO</v>
      </c>
    </row>
    <row r="980" spans="1:12" x14ac:dyDescent="0.25">
      <c r="A980" s="3" t="s">
        <v>6957</v>
      </c>
      <c r="B980" s="3" t="s">
        <v>6958</v>
      </c>
      <c r="C980" s="1">
        <v>20</v>
      </c>
      <c r="D980" s="1">
        <v>69.900000000000006</v>
      </c>
      <c r="E980" s="1" t="s">
        <v>340</v>
      </c>
      <c r="F980" s="1" t="s">
        <v>6959</v>
      </c>
      <c r="G980" s="3" t="s">
        <v>6960</v>
      </c>
      <c r="H980" s="11">
        <f t="shared" si="30"/>
        <v>335.25</v>
      </c>
      <c r="I980" s="9">
        <f>($K$2+0.02)*Tabla1[[#This Row],[PRECIO $]]*1.18</f>
        <v>284.56290000000001</v>
      </c>
      <c r="J980" s="7">
        <f>+Tabla1[[#This Row],[PRECIO EN SOLES]]-Tabla1[[#This Row],[PC]]</f>
        <v>50.687099999999987</v>
      </c>
      <c r="K980" s="15"/>
      <c r="L980" s="15" t="str">
        <f t="shared" si="31"/>
        <v>NORMAL</v>
      </c>
    </row>
    <row r="981" spans="1:12" x14ac:dyDescent="0.25">
      <c r="A981" s="3" t="s">
        <v>2271</v>
      </c>
      <c r="B981" s="3" t="s">
        <v>2272</v>
      </c>
      <c r="C981" s="1">
        <v>20</v>
      </c>
      <c r="D981" s="1">
        <v>110.6</v>
      </c>
      <c r="E981" s="1" t="s">
        <v>340</v>
      </c>
      <c r="F981" s="1" t="s">
        <v>5411</v>
      </c>
      <c r="G981" s="3" t="s">
        <v>2273</v>
      </c>
      <c r="H981" s="11">
        <f t="shared" si="30"/>
        <v>525.79</v>
      </c>
      <c r="I981" s="9">
        <f>($K$2+0.02)*Tabla1[[#This Row],[PRECIO $]]*1.18</f>
        <v>450.25259999999997</v>
      </c>
      <c r="J981" s="7">
        <f>+Tabla1[[#This Row],[PRECIO EN SOLES]]-Tabla1[[#This Row],[PC]]</f>
        <v>75.537399999999991</v>
      </c>
      <c r="K981" s="15"/>
      <c r="L981" s="15" t="str">
        <f t="shared" si="31"/>
        <v>NORMAL</v>
      </c>
    </row>
    <row r="982" spans="1:12" x14ac:dyDescent="0.25">
      <c r="A982" s="3" t="s">
        <v>6961</v>
      </c>
      <c r="B982" s="3" t="s">
        <v>6962</v>
      </c>
      <c r="C982" s="1">
        <v>20</v>
      </c>
      <c r="D982" s="1">
        <v>79.099999999999994</v>
      </c>
      <c r="E982" s="1" t="s">
        <v>340</v>
      </c>
      <c r="F982" s="1" t="s">
        <v>6963</v>
      </c>
      <c r="G982" s="3" t="s">
        <v>6964</v>
      </c>
      <c r="H982" s="11">
        <f t="shared" si="30"/>
        <v>378.32</v>
      </c>
      <c r="I982" s="9">
        <f>($K$2+0.02)*Tabla1[[#This Row],[PRECIO $]]*1.18</f>
        <v>322.01609999999994</v>
      </c>
      <c r="J982" s="7">
        <f>+Tabla1[[#This Row],[PRECIO EN SOLES]]-Tabla1[[#This Row],[PC]]</f>
        <v>56.303900000000056</v>
      </c>
      <c r="K982" s="15"/>
      <c r="L982" s="15" t="str">
        <f t="shared" si="31"/>
        <v>NORMAL</v>
      </c>
    </row>
    <row r="983" spans="1:12" x14ac:dyDescent="0.25">
      <c r="A983" s="3" t="s">
        <v>2274</v>
      </c>
      <c r="B983" s="3" t="s">
        <v>2275</v>
      </c>
      <c r="C983" s="1">
        <v>20</v>
      </c>
      <c r="D983" s="1">
        <v>88.5</v>
      </c>
      <c r="E983" s="1" t="s">
        <v>442</v>
      </c>
      <c r="F983" s="1" t="s">
        <v>5412</v>
      </c>
      <c r="G983" s="3"/>
      <c r="H983" s="11">
        <f t="shared" si="30"/>
        <v>422.33</v>
      </c>
      <c r="I983" s="9">
        <f>($K$2+0.02)*Tabla1[[#This Row],[PRECIO $]]*1.18</f>
        <v>360.28349999999995</v>
      </c>
      <c r="J983" s="7">
        <f>+Tabla1[[#This Row],[PRECIO EN SOLES]]-Tabla1[[#This Row],[PC]]</f>
        <v>62.046500000000037</v>
      </c>
      <c r="K983" s="15"/>
      <c r="L983" s="15" t="str">
        <f t="shared" si="31"/>
        <v>NORMAL</v>
      </c>
    </row>
    <row r="984" spans="1:12" x14ac:dyDescent="0.25">
      <c r="A984" s="3" t="s">
        <v>2276</v>
      </c>
      <c r="B984" s="3" t="s">
        <v>2277</v>
      </c>
      <c r="C984" s="1">
        <v>20</v>
      </c>
      <c r="D984" s="1">
        <v>78</v>
      </c>
      <c r="E984" s="1" t="s">
        <v>355</v>
      </c>
      <c r="F984" s="1" t="s">
        <v>5413</v>
      </c>
      <c r="G984" s="3" t="s">
        <v>2278</v>
      </c>
      <c r="H984" s="11">
        <f t="shared" si="30"/>
        <v>373.17</v>
      </c>
      <c r="I984" s="9">
        <f>($K$2+0.02)*Tabla1[[#This Row],[PRECIO $]]*1.18</f>
        <v>317.53800000000001</v>
      </c>
      <c r="J984" s="7">
        <f>+Tabla1[[#This Row],[PRECIO EN SOLES]]-Tabla1[[#This Row],[PC]]</f>
        <v>55.632000000000005</v>
      </c>
      <c r="K984" s="15"/>
      <c r="L984" s="15" t="str">
        <f t="shared" si="31"/>
        <v>NORMAL</v>
      </c>
    </row>
    <row r="985" spans="1:12" x14ac:dyDescent="0.25">
      <c r="A985" s="3" t="s">
        <v>2279</v>
      </c>
      <c r="B985" s="3" t="s">
        <v>2280</v>
      </c>
      <c r="C985" s="1">
        <v>20</v>
      </c>
      <c r="D985" s="1">
        <v>77</v>
      </c>
      <c r="E985" s="1" t="s">
        <v>122</v>
      </c>
      <c r="F985" s="1" t="s">
        <v>5414</v>
      </c>
      <c r="G985" s="3" t="s">
        <v>2281</v>
      </c>
      <c r="H985" s="11">
        <f t="shared" si="30"/>
        <v>363.81</v>
      </c>
      <c r="I985" s="9">
        <f>($K$2+0.02)*Tabla1[[#This Row],[PRECIO $]]*1.18</f>
        <v>313.46700000000004</v>
      </c>
      <c r="J985" s="7">
        <f>+Tabla1[[#This Row],[PRECIO EN SOLES]]-Tabla1[[#This Row],[PC]]</f>
        <v>50.342999999999961</v>
      </c>
      <c r="K985" s="15"/>
      <c r="L985" s="15" t="str">
        <f t="shared" si="31"/>
        <v>GANCHO</v>
      </c>
    </row>
    <row r="986" spans="1:12" x14ac:dyDescent="0.25">
      <c r="A986" s="3" t="s">
        <v>6965</v>
      </c>
      <c r="B986" s="3" t="s">
        <v>6966</v>
      </c>
      <c r="C986" s="1">
        <v>0</v>
      </c>
      <c r="D986" s="1">
        <v>95.7</v>
      </c>
      <c r="E986" s="1" t="s">
        <v>340</v>
      </c>
      <c r="F986" s="1" t="s">
        <v>6967</v>
      </c>
      <c r="G986" s="3" t="s">
        <v>6968</v>
      </c>
      <c r="H986" s="11">
        <f t="shared" si="30"/>
        <v>456.03</v>
      </c>
      <c r="I986" s="9">
        <f>($K$2+0.02)*Tabla1[[#This Row],[PRECIO $]]*1.18</f>
        <v>389.59469999999999</v>
      </c>
      <c r="J986" s="7">
        <f>+Tabla1[[#This Row],[PRECIO EN SOLES]]-Tabla1[[#This Row],[PC]]</f>
        <v>66.435299999999984</v>
      </c>
      <c r="K986" s="15"/>
      <c r="L986" s="15" t="str">
        <f t="shared" si="31"/>
        <v>NORMAL</v>
      </c>
    </row>
    <row r="987" spans="1:12" x14ac:dyDescent="0.25">
      <c r="A987" s="3" t="s">
        <v>6969</v>
      </c>
      <c r="B987" s="3" t="s">
        <v>6970</v>
      </c>
      <c r="C987" s="1">
        <v>0</v>
      </c>
      <c r="D987" s="1">
        <v>259</v>
      </c>
      <c r="E987" s="1" t="s">
        <v>340</v>
      </c>
      <c r="F987" s="1" t="s">
        <v>6971</v>
      </c>
      <c r="G987" s="3"/>
      <c r="H987" s="11">
        <f t="shared" si="30"/>
        <v>1220.55</v>
      </c>
      <c r="I987" s="9">
        <f>($K$2+0.02)*Tabla1[[#This Row],[PRECIO $]]*1.18</f>
        <v>1054.3890000000001</v>
      </c>
      <c r="J987" s="7">
        <f>+Tabla1[[#This Row],[PRECIO EN SOLES]]-Tabla1[[#This Row],[PC]]</f>
        <v>166.16099999999983</v>
      </c>
      <c r="K987" s="15"/>
      <c r="L987" s="15" t="str">
        <f t="shared" si="31"/>
        <v>NORMAL</v>
      </c>
    </row>
    <row r="988" spans="1:12" x14ac:dyDescent="0.25">
      <c r="A988" s="3" t="s">
        <v>2282</v>
      </c>
      <c r="B988" s="3" t="s">
        <v>2283</v>
      </c>
      <c r="C988" s="1">
        <v>20</v>
      </c>
      <c r="D988" s="1">
        <v>104</v>
      </c>
      <c r="E988" s="1" t="s">
        <v>442</v>
      </c>
      <c r="F988" s="1" t="s">
        <v>5415</v>
      </c>
      <c r="G988" s="3"/>
      <c r="H988" s="11">
        <f t="shared" si="30"/>
        <v>494.89</v>
      </c>
      <c r="I988" s="9">
        <f>($K$2+0.02)*Tabla1[[#This Row],[PRECIO $]]*1.18</f>
        <v>423.38400000000001</v>
      </c>
      <c r="J988" s="7">
        <f>+Tabla1[[#This Row],[PRECIO EN SOLES]]-Tabla1[[#This Row],[PC]]</f>
        <v>71.505999999999972</v>
      </c>
      <c r="K988" s="15"/>
      <c r="L988" s="15" t="str">
        <f t="shared" si="31"/>
        <v>NORMAL</v>
      </c>
    </row>
    <row r="989" spans="1:12" x14ac:dyDescent="0.25">
      <c r="A989" s="3" t="s">
        <v>2284</v>
      </c>
      <c r="B989" s="3" t="s">
        <v>2285</v>
      </c>
      <c r="C989" s="1">
        <v>20</v>
      </c>
      <c r="D989" s="1">
        <v>143</v>
      </c>
      <c r="E989" s="1" t="s">
        <v>442</v>
      </c>
      <c r="F989" s="1" t="s">
        <v>5416</v>
      </c>
      <c r="G989" s="3"/>
      <c r="H989" s="11">
        <f t="shared" si="30"/>
        <v>677.48</v>
      </c>
      <c r="I989" s="9">
        <f>($K$2+0.02)*Tabla1[[#This Row],[PRECIO $]]*1.18</f>
        <v>582.15300000000002</v>
      </c>
      <c r="J989" s="7">
        <f>+Tabla1[[#This Row],[PRECIO EN SOLES]]-Tabla1[[#This Row],[PC]]</f>
        <v>95.326999999999998</v>
      </c>
      <c r="K989" s="15"/>
      <c r="L989" s="15" t="str">
        <f t="shared" si="31"/>
        <v>NORMAL</v>
      </c>
    </row>
    <row r="990" spans="1:12" x14ac:dyDescent="0.25">
      <c r="A990" s="3" t="s">
        <v>2286</v>
      </c>
      <c r="B990" s="3" t="s">
        <v>2287</v>
      </c>
      <c r="C990" s="1">
        <v>20</v>
      </c>
      <c r="D990" s="1">
        <v>186</v>
      </c>
      <c r="E990" s="1" t="s">
        <v>442</v>
      </c>
      <c r="F990" s="1" t="s">
        <v>5417</v>
      </c>
      <c r="G990" s="3"/>
      <c r="H990" s="11">
        <f t="shared" si="30"/>
        <v>878.79</v>
      </c>
      <c r="I990" s="9">
        <f>($K$2+0.02)*Tabla1[[#This Row],[PRECIO $]]*1.18</f>
        <v>757.20600000000002</v>
      </c>
      <c r="J990" s="7">
        <f>+Tabla1[[#This Row],[PRECIO EN SOLES]]-Tabla1[[#This Row],[PC]]</f>
        <v>121.58399999999995</v>
      </c>
      <c r="K990" s="15"/>
      <c r="L990" s="15" t="str">
        <f t="shared" si="31"/>
        <v>NORMAL</v>
      </c>
    </row>
    <row r="991" spans="1:12" x14ac:dyDescent="0.25">
      <c r="A991" s="3" t="s">
        <v>2288</v>
      </c>
      <c r="B991" s="3" t="s">
        <v>2289</v>
      </c>
      <c r="C991" s="1">
        <v>16</v>
      </c>
      <c r="D991" s="1">
        <v>233</v>
      </c>
      <c r="E991" s="1" t="s">
        <v>442</v>
      </c>
      <c r="F991" s="1" t="s">
        <v>5418</v>
      </c>
      <c r="G991" s="3"/>
      <c r="H991" s="11">
        <f t="shared" si="30"/>
        <v>1098.82</v>
      </c>
      <c r="I991" s="9">
        <f>($K$2+0.02)*Tabla1[[#This Row],[PRECIO $]]*1.18</f>
        <v>948.54300000000001</v>
      </c>
      <c r="J991" s="7">
        <f>+Tabla1[[#This Row],[PRECIO EN SOLES]]-Tabla1[[#This Row],[PC]]</f>
        <v>150.27699999999993</v>
      </c>
      <c r="K991" s="15"/>
      <c r="L991" s="15" t="str">
        <f t="shared" si="31"/>
        <v>NORMAL</v>
      </c>
    </row>
    <row r="992" spans="1:12" x14ac:dyDescent="0.25">
      <c r="A992" s="3" t="s">
        <v>6972</v>
      </c>
      <c r="B992" s="3" t="s">
        <v>6973</v>
      </c>
      <c r="C992" s="1">
        <v>18</v>
      </c>
      <c r="D992" s="1">
        <v>212.8</v>
      </c>
      <c r="E992" s="1" t="s">
        <v>355</v>
      </c>
      <c r="F992" s="1" t="s">
        <v>6974</v>
      </c>
      <c r="G992" s="3" t="s">
        <v>6975</v>
      </c>
      <c r="H992" s="11">
        <f t="shared" si="30"/>
        <v>1004.26</v>
      </c>
      <c r="I992" s="9">
        <f>($K$2+0.02)*Tabla1[[#This Row],[PRECIO $]]*1.18</f>
        <v>866.30880000000002</v>
      </c>
      <c r="J992" s="7">
        <f>+Tabla1[[#This Row],[PRECIO EN SOLES]]-Tabla1[[#This Row],[PC]]</f>
        <v>137.95119999999997</v>
      </c>
      <c r="K992" s="15"/>
      <c r="L992" s="15" t="str">
        <f t="shared" si="31"/>
        <v>NORMAL</v>
      </c>
    </row>
    <row r="993" spans="1:12" x14ac:dyDescent="0.25">
      <c r="A993" s="3" t="s">
        <v>6976</v>
      </c>
      <c r="B993" s="3" t="s">
        <v>6977</v>
      </c>
      <c r="C993" s="1">
        <v>20</v>
      </c>
      <c r="D993" s="1">
        <v>90.97</v>
      </c>
      <c r="E993" s="1" t="s">
        <v>355</v>
      </c>
      <c r="F993" s="1" t="s">
        <v>6978</v>
      </c>
      <c r="G993" s="3" t="s">
        <v>6979</v>
      </c>
      <c r="H993" s="11">
        <f t="shared" si="30"/>
        <v>433.89</v>
      </c>
      <c r="I993" s="9">
        <f>($K$2+0.02)*Tabla1[[#This Row],[PRECIO $]]*1.18</f>
        <v>370.33886999999999</v>
      </c>
      <c r="J993" s="7">
        <f>+Tabla1[[#This Row],[PRECIO EN SOLES]]-Tabla1[[#This Row],[PC]]</f>
        <v>63.551130000000001</v>
      </c>
      <c r="K993" s="15"/>
      <c r="L993" s="15" t="str">
        <f t="shared" si="31"/>
        <v>NORMAL</v>
      </c>
    </row>
    <row r="994" spans="1:12" x14ac:dyDescent="0.25">
      <c r="A994" s="3" t="s">
        <v>2290</v>
      </c>
      <c r="B994" s="3" t="s">
        <v>2291</v>
      </c>
      <c r="C994" s="1">
        <v>0</v>
      </c>
      <c r="D994" s="1">
        <v>157</v>
      </c>
      <c r="E994" s="1" t="s">
        <v>122</v>
      </c>
      <c r="F994" s="1" t="s">
        <v>5419</v>
      </c>
      <c r="G994" s="3" t="s">
        <v>2292</v>
      </c>
      <c r="H994" s="11">
        <f t="shared" si="30"/>
        <v>722.06</v>
      </c>
      <c r="I994" s="9">
        <f>($K$2+0.02)*Tabla1[[#This Row],[PRECIO $]]*1.18</f>
        <v>639.14699999999993</v>
      </c>
      <c r="J994" s="7">
        <f>+Tabla1[[#This Row],[PRECIO EN SOLES]]-Tabla1[[#This Row],[PC]]</f>
        <v>82.913000000000011</v>
      </c>
      <c r="K994" s="15"/>
      <c r="L994" s="15" t="str">
        <f t="shared" si="31"/>
        <v>GANCHO</v>
      </c>
    </row>
    <row r="995" spans="1:12" x14ac:dyDescent="0.25">
      <c r="A995" s="3" t="s">
        <v>6980</v>
      </c>
      <c r="B995" s="3" t="s">
        <v>6981</v>
      </c>
      <c r="C995" s="1">
        <v>20</v>
      </c>
      <c r="D995" s="1">
        <v>117</v>
      </c>
      <c r="E995" s="1" t="s">
        <v>122</v>
      </c>
      <c r="F995" s="1" t="s">
        <v>6982</v>
      </c>
      <c r="G995" s="3" t="s">
        <v>6983</v>
      </c>
      <c r="H995" s="11">
        <f t="shared" si="30"/>
        <v>542.94000000000005</v>
      </c>
      <c r="I995" s="9">
        <f>($K$2+0.02)*Tabla1[[#This Row],[PRECIO $]]*1.18</f>
        <v>476.30700000000002</v>
      </c>
      <c r="J995" s="7">
        <f>+Tabla1[[#This Row],[PRECIO EN SOLES]]-Tabla1[[#This Row],[PC]]</f>
        <v>66.633000000000038</v>
      </c>
      <c r="K995" s="15"/>
      <c r="L995" s="15" t="str">
        <f t="shared" si="31"/>
        <v>GANCHO</v>
      </c>
    </row>
    <row r="996" spans="1:12" x14ac:dyDescent="0.25">
      <c r="A996" s="3" t="s">
        <v>2293</v>
      </c>
      <c r="B996" s="3" t="s">
        <v>2294</v>
      </c>
      <c r="C996" s="1">
        <v>20</v>
      </c>
      <c r="D996" s="1">
        <v>97</v>
      </c>
      <c r="E996" s="1" t="s">
        <v>122</v>
      </c>
      <c r="F996" s="1" t="s">
        <v>5420</v>
      </c>
      <c r="G996" s="3" t="s">
        <v>2295</v>
      </c>
      <c r="H996" s="11">
        <f t="shared" si="30"/>
        <v>453.38</v>
      </c>
      <c r="I996" s="9">
        <f>($K$2+0.02)*Tabla1[[#This Row],[PRECIO $]]*1.18</f>
        <v>394.887</v>
      </c>
      <c r="J996" s="7">
        <f>+Tabla1[[#This Row],[PRECIO EN SOLES]]-Tabla1[[#This Row],[PC]]</f>
        <v>58.492999999999995</v>
      </c>
      <c r="K996" s="15"/>
      <c r="L996" s="15" t="str">
        <f t="shared" si="31"/>
        <v>GANCHO</v>
      </c>
    </row>
    <row r="997" spans="1:12" x14ac:dyDescent="0.25">
      <c r="A997" s="3" t="s">
        <v>2296</v>
      </c>
      <c r="B997" s="3" t="s">
        <v>2297</v>
      </c>
      <c r="C997" s="1">
        <v>20</v>
      </c>
      <c r="D997" s="1">
        <v>112.6</v>
      </c>
      <c r="E997" s="1" t="s">
        <v>985</v>
      </c>
      <c r="F997" s="1" t="s">
        <v>5421</v>
      </c>
      <c r="G997" s="3" t="s">
        <v>2298</v>
      </c>
      <c r="H997" s="11">
        <f t="shared" si="30"/>
        <v>523.23</v>
      </c>
      <c r="I997" s="9">
        <f>($K$2+0.02)*Tabla1[[#This Row],[PRECIO $]]*1.18</f>
        <v>458.39460000000003</v>
      </c>
      <c r="J997" s="7">
        <f>+Tabla1[[#This Row],[PRECIO EN SOLES]]-Tabla1[[#This Row],[PC]]</f>
        <v>64.835399999999993</v>
      </c>
      <c r="K997" s="15"/>
      <c r="L997" s="15" t="str">
        <f t="shared" si="31"/>
        <v>GANCHO</v>
      </c>
    </row>
    <row r="998" spans="1:12" x14ac:dyDescent="0.25">
      <c r="A998" s="3" t="s">
        <v>2299</v>
      </c>
      <c r="B998" s="3" t="s">
        <v>2300</v>
      </c>
      <c r="C998" s="1">
        <v>20</v>
      </c>
      <c r="D998" s="1">
        <v>209.5</v>
      </c>
      <c r="E998" s="1" t="s">
        <v>985</v>
      </c>
      <c r="F998" s="1" t="s">
        <v>5422</v>
      </c>
      <c r="G998" s="3" t="s">
        <v>2301</v>
      </c>
      <c r="H998" s="11">
        <f t="shared" si="30"/>
        <v>957.16</v>
      </c>
      <c r="I998" s="9">
        <f>($K$2+0.02)*Tabla1[[#This Row],[PRECIO $]]*1.18</f>
        <v>852.87450000000001</v>
      </c>
      <c r="J998" s="7">
        <f>+Tabla1[[#This Row],[PRECIO EN SOLES]]-Tabla1[[#This Row],[PC]]</f>
        <v>104.28549999999996</v>
      </c>
      <c r="K998" s="15"/>
      <c r="L998" s="15" t="str">
        <f t="shared" si="31"/>
        <v>GANCHO</v>
      </c>
    </row>
    <row r="999" spans="1:12" x14ac:dyDescent="0.25">
      <c r="A999" s="3" t="s">
        <v>2302</v>
      </c>
      <c r="B999" s="3" t="s">
        <v>2303</v>
      </c>
      <c r="C999" s="1">
        <v>20</v>
      </c>
      <c r="D999" s="1">
        <v>582</v>
      </c>
      <c r="E999" s="1" t="s">
        <v>2304</v>
      </c>
      <c r="F999" s="1" t="s">
        <v>5423</v>
      </c>
      <c r="G999" s="3" t="s">
        <v>2305</v>
      </c>
      <c r="H999" s="11">
        <f t="shared" si="30"/>
        <v>2625.25</v>
      </c>
      <c r="I999" s="9">
        <f>($K$2+0.02)*Tabla1[[#This Row],[PRECIO $]]*1.18</f>
        <v>2369.3220000000001</v>
      </c>
      <c r="J999" s="7">
        <f>+Tabla1[[#This Row],[PRECIO EN SOLES]]-Tabla1[[#This Row],[PC]]</f>
        <v>255.92799999999988</v>
      </c>
      <c r="K999" s="15"/>
      <c r="L999" s="15" t="str">
        <f t="shared" si="31"/>
        <v>GANCHO</v>
      </c>
    </row>
    <row r="1000" spans="1:12" x14ac:dyDescent="0.25">
      <c r="A1000" s="3" t="s">
        <v>2306</v>
      </c>
      <c r="B1000" s="3" t="s">
        <v>2307</v>
      </c>
      <c r="C1000" s="1">
        <v>11</v>
      </c>
      <c r="D1000" s="1">
        <v>186</v>
      </c>
      <c r="E1000" s="1" t="s">
        <v>442</v>
      </c>
      <c r="F1000" s="1" t="s">
        <v>5424</v>
      </c>
      <c r="G1000" s="3"/>
      <c r="H1000" s="11">
        <f t="shared" si="30"/>
        <v>878.79</v>
      </c>
      <c r="I1000" s="9">
        <f>($K$2+0.02)*Tabla1[[#This Row],[PRECIO $]]*1.18</f>
        <v>757.20600000000002</v>
      </c>
      <c r="J1000" s="7">
        <f>+Tabla1[[#This Row],[PRECIO EN SOLES]]-Tabla1[[#This Row],[PC]]</f>
        <v>121.58399999999995</v>
      </c>
      <c r="K1000" s="15"/>
      <c r="L1000" s="15" t="str">
        <f t="shared" si="31"/>
        <v>NORMAL</v>
      </c>
    </row>
    <row r="1001" spans="1:12" x14ac:dyDescent="0.25">
      <c r="A1001" s="3" t="s">
        <v>2308</v>
      </c>
      <c r="B1001" s="3" t="s">
        <v>2309</v>
      </c>
      <c r="C1001" s="1">
        <v>11</v>
      </c>
      <c r="D1001" s="1">
        <v>310</v>
      </c>
      <c r="E1001" s="1" t="s">
        <v>985</v>
      </c>
      <c r="F1001" s="1" t="s">
        <v>5425</v>
      </c>
      <c r="G1001" s="3" t="s">
        <v>2310</v>
      </c>
      <c r="H1001" s="11">
        <f t="shared" si="30"/>
        <v>1459.31</v>
      </c>
      <c r="I1001" s="9">
        <f>($K$2+0.02)*Tabla1[[#This Row],[PRECIO $]]*1.18</f>
        <v>1262.01</v>
      </c>
      <c r="J1001" s="7">
        <f>+Tabla1[[#This Row],[PRECIO EN SOLES]]-Tabla1[[#This Row],[PC]]</f>
        <v>197.29999999999995</v>
      </c>
      <c r="K1001" s="15"/>
      <c r="L1001" s="15" t="str">
        <f t="shared" si="31"/>
        <v>NORMAL</v>
      </c>
    </row>
    <row r="1002" spans="1:12" x14ac:dyDescent="0.25">
      <c r="A1002" s="3" t="s">
        <v>2311</v>
      </c>
      <c r="B1002" s="3" t="s">
        <v>2312</v>
      </c>
      <c r="C1002" s="1">
        <v>20</v>
      </c>
      <c r="D1002" s="1">
        <v>189</v>
      </c>
      <c r="E1002" s="1" t="s">
        <v>340</v>
      </c>
      <c r="F1002" s="1" t="s">
        <v>5426</v>
      </c>
      <c r="G1002" s="3" t="s">
        <v>2313</v>
      </c>
      <c r="H1002" s="11">
        <f t="shared" si="30"/>
        <v>892.83</v>
      </c>
      <c r="I1002" s="9">
        <f>($K$2+0.02)*Tabla1[[#This Row],[PRECIO $]]*1.18</f>
        <v>769.4190000000001</v>
      </c>
      <c r="J1002" s="7">
        <f>+Tabla1[[#This Row],[PRECIO EN SOLES]]-Tabla1[[#This Row],[PC]]</f>
        <v>123.41099999999994</v>
      </c>
      <c r="K1002" s="15"/>
      <c r="L1002" s="15" t="str">
        <f t="shared" si="31"/>
        <v>NORMAL</v>
      </c>
    </row>
    <row r="1003" spans="1:12" x14ac:dyDescent="0.25">
      <c r="A1003" s="3" t="s">
        <v>2314</v>
      </c>
      <c r="B1003" s="3" t="s">
        <v>2312</v>
      </c>
      <c r="C1003" s="1">
        <v>1</v>
      </c>
      <c r="D1003" s="1">
        <v>176</v>
      </c>
      <c r="E1003" s="1" t="s">
        <v>340</v>
      </c>
      <c r="F1003" s="1" t="s">
        <v>5427</v>
      </c>
      <c r="G1003" s="3"/>
      <c r="H1003" s="11">
        <f t="shared" si="30"/>
        <v>831.97</v>
      </c>
      <c r="I1003" s="9">
        <f>($K$2+0.02)*Tabla1[[#This Row],[PRECIO $]]*1.18</f>
        <v>716.49599999999998</v>
      </c>
      <c r="J1003" s="7">
        <f>+Tabla1[[#This Row],[PRECIO EN SOLES]]-Tabla1[[#This Row],[PC]]</f>
        <v>115.47400000000005</v>
      </c>
      <c r="K1003" s="15"/>
      <c r="L1003" s="15" t="str">
        <f t="shared" si="31"/>
        <v>NORMAL</v>
      </c>
    </row>
    <row r="1004" spans="1:12" x14ac:dyDescent="0.25">
      <c r="A1004" s="3" t="s">
        <v>2315</v>
      </c>
      <c r="B1004" s="3" t="s">
        <v>2316</v>
      </c>
      <c r="C1004" s="1">
        <v>20</v>
      </c>
      <c r="D1004" s="1">
        <v>123.2</v>
      </c>
      <c r="E1004" s="1" t="s">
        <v>142</v>
      </c>
      <c r="F1004" s="1" t="s">
        <v>5428</v>
      </c>
      <c r="G1004" s="3" t="s">
        <v>2317</v>
      </c>
      <c r="H1004" s="11">
        <f t="shared" si="30"/>
        <v>570.70000000000005</v>
      </c>
      <c r="I1004" s="9">
        <f>($K$2+0.02)*Tabla1[[#This Row],[PRECIO $]]*1.18</f>
        <v>501.54719999999998</v>
      </c>
      <c r="J1004" s="7">
        <f>+Tabla1[[#This Row],[PRECIO EN SOLES]]-Tabla1[[#This Row],[PC]]</f>
        <v>69.15280000000007</v>
      </c>
      <c r="K1004" s="15"/>
      <c r="L1004" s="15" t="str">
        <f t="shared" si="31"/>
        <v>GANCHO</v>
      </c>
    </row>
    <row r="1005" spans="1:12" x14ac:dyDescent="0.25">
      <c r="A1005" s="3" t="s">
        <v>2318</v>
      </c>
      <c r="B1005" s="3" t="s">
        <v>2319</v>
      </c>
      <c r="C1005" s="1">
        <v>20</v>
      </c>
      <c r="D1005" s="1">
        <v>126.5</v>
      </c>
      <c r="E1005" s="1" t="s">
        <v>142</v>
      </c>
      <c r="F1005" s="1" t="s">
        <v>5429</v>
      </c>
      <c r="G1005" s="3" t="s">
        <v>2320</v>
      </c>
      <c r="H1005" s="11">
        <f t="shared" si="30"/>
        <v>585.48</v>
      </c>
      <c r="I1005" s="9">
        <f>($K$2+0.02)*Tabla1[[#This Row],[PRECIO $]]*1.18</f>
        <v>514.98149999999998</v>
      </c>
      <c r="J1005" s="7">
        <f>+Tabla1[[#This Row],[PRECIO EN SOLES]]-Tabla1[[#This Row],[PC]]</f>
        <v>70.498500000000035</v>
      </c>
      <c r="K1005" s="15"/>
      <c r="L1005" s="15" t="str">
        <f t="shared" si="31"/>
        <v>GANCHO</v>
      </c>
    </row>
    <row r="1006" spans="1:12" x14ac:dyDescent="0.25">
      <c r="A1006" s="3" t="s">
        <v>5493</v>
      </c>
      <c r="B1006" s="3" t="s">
        <v>2322</v>
      </c>
      <c r="C1006" s="1">
        <v>20</v>
      </c>
      <c r="D1006" s="1">
        <v>130</v>
      </c>
      <c r="E1006" s="1" t="s">
        <v>269</v>
      </c>
      <c r="F1006" s="1" t="s">
        <v>5494</v>
      </c>
      <c r="G1006" s="3" t="s">
        <v>2323</v>
      </c>
      <c r="H1006" s="11">
        <f t="shared" si="30"/>
        <v>601.15</v>
      </c>
      <c r="I1006" s="9">
        <f>($K$2+0.02)*Tabla1[[#This Row],[PRECIO $]]*1.18</f>
        <v>529.23</v>
      </c>
      <c r="J1006" s="7">
        <f>+Tabla1[[#This Row],[PRECIO EN SOLES]]-Tabla1[[#This Row],[PC]]</f>
        <v>71.919999999999959</v>
      </c>
      <c r="K1006" s="15"/>
      <c r="L1006" s="15" t="str">
        <f t="shared" si="31"/>
        <v>GANCHO</v>
      </c>
    </row>
    <row r="1007" spans="1:12" x14ac:dyDescent="0.25">
      <c r="A1007" s="3" t="s">
        <v>2321</v>
      </c>
      <c r="B1007" s="3" t="s">
        <v>2322</v>
      </c>
      <c r="C1007" s="1">
        <v>20</v>
      </c>
      <c r="D1007" s="1">
        <v>143</v>
      </c>
      <c r="E1007" s="1" t="s">
        <v>269</v>
      </c>
      <c r="F1007" s="1" t="s">
        <v>5430</v>
      </c>
      <c r="G1007" s="3" t="s">
        <v>2323</v>
      </c>
      <c r="H1007" s="11">
        <f t="shared" si="30"/>
        <v>659.37</v>
      </c>
      <c r="I1007" s="9">
        <f>($K$2+0.02)*Tabla1[[#This Row],[PRECIO $]]*1.18</f>
        <v>582.15300000000002</v>
      </c>
      <c r="J1007" s="7">
        <f>+Tabla1[[#This Row],[PRECIO EN SOLES]]-Tabla1[[#This Row],[PC]]</f>
        <v>77.216999999999985</v>
      </c>
      <c r="K1007" s="15"/>
      <c r="L1007" s="15" t="str">
        <f t="shared" si="31"/>
        <v>GANCHO</v>
      </c>
    </row>
    <row r="1008" spans="1:12" x14ac:dyDescent="0.25">
      <c r="A1008" s="3" t="s">
        <v>2324</v>
      </c>
      <c r="B1008" s="3" t="s">
        <v>2325</v>
      </c>
      <c r="C1008" s="1">
        <v>20</v>
      </c>
      <c r="D1008" s="1">
        <v>121.5</v>
      </c>
      <c r="E1008" s="1" t="s">
        <v>269</v>
      </c>
      <c r="F1008" s="1" t="s">
        <v>5431</v>
      </c>
      <c r="G1008" s="3" t="s">
        <v>2326</v>
      </c>
      <c r="H1008" s="11">
        <f t="shared" si="30"/>
        <v>563.09</v>
      </c>
      <c r="I1008" s="9">
        <f>($K$2+0.02)*Tabla1[[#This Row],[PRECIO $]]*1.18</f>
        <v>494.62649999999996</v>
      </c>
      <c r="J1008" s="7">
        <f>+Tabla1[[#This Row],[PRECIO EN SOLES]]-Tabla1[[#This Row],[PC]]</f>
        <v>68.463500000000067</v>
      </c>
      <c r="K1008" s="15"/>
      <c r="L1008" s="15" t="str">
        <f t="shared" si="31"/>
        <v>GANCHO</v>
      </c>
    </row>
    <row r="1009" spans="1:12" x14ac:dyDescent="0.25">
      <c r="A1009" s="3" t="s">
        <v>2327</v>
      </c>
      <c r="B1009" s="3" t="s">
        <v>2328</v>
      </c>
      <c r="C1009" s="1">
        <v>20</v>
      </c>
      <c r="D1009" s="1">
        <v>95.4</v>
      </c>
      <c r="E1009" s="1" t="s">
        <v>2304</v>
      </c>
      <c r="F1009" s="1" t="s">
        <v>5432</v>
      </c>
      <c r="G1009" s="3" t="s">
        <v>2329</v>
      </c>
      <c r="H1009" s="11">
        <f t="shared" si="30"/>
        <v>446.21</v>
      </c>
      <c r="I1009" s="9">
        <f>($K$2+0.02)*Tabla1[[#This Row],[PRECIO $]]*1.18</f>
        <v>388.37340000000006</v>
      </c>
      <c r="J1009" s="7">
        <f>+Tabla1[[#This Row],[PRECIO EN SOLES]]-Tabla1[[#This Row],[PC]]</f>
        <v>57.836599999999919</v>
      </c>
      <c r="K1009" s="15"/>
      <c r="L1009" s="15" t="str">
        <f t="shared" si="31"/>
        <v>GANCHO</v>
      </c>
    </row>
    <row r="1010" spans="1:12" x14ac:dyDescent="0.25">
      <c r="A1010" s="3" t="s">
        <v>2330</v>
      </c>
      <c r="B1010" s="3" t="s">
        <v>2331</v>
      </c>
      <c r="C1010" s="1">
        <v>0</v>
      </c>
      <c r="D1010" s="1">
        <v>9999</v>
      </c>
      <c r="E1010" s="1" t="s">
        <v>142</v>
      </c>
      <c r="F1010" s="1" t="s">
        <v>5433</v>
      </c>
      <c r="G1010" s="3"/>
      <c r="H1010" s="11">
        <f t="shared" si="30"/>
        <v>46819.82</v>
      </c>
      <c r="I1010" s="9">
        <f>($K$2+0.02)*Tabla1[[#This Row],[PRECIO $]]*1.18</f>
        <v>40705.929000000004</v>
      </c>
      <c r="J1010" s="7">
        <f>+Tabla1[[#This Row],[PRECIO EN SOLES]]-Tabla1[[#This Row],[PC]]</f>
        <v>6113.890999999996</v>
      </c>
      <c r="K1010" s="15"/>
      <c r="L1010" s="15" t="str">
        <f t="shared" si="31"/>
        <v>NORMAL</v>
      </c>
    </row>
    <row r="1011" spans="1:12" x14ac:dyDescent="0.25">
      <c r="A1011" s="3" t="s">
        <v>2332</v>
      </c>
      <c r="B1011" s="3" t="s">
        <v>2333</v>
      </c>
      <c r="C1011" s="1">
        <v>20</v>
      </c>
      <c r="D1011" s="1">
        <v>85</v>
      </c>
      <c r="E1011" s="1" t="s">
        <v>131</v>
      </c>
      <c r="F1011" s="1" t="s">
        <v>5434</v>
      </c>
      <c r="G1011" s="3" t="s">
        <v>5435</v>
      </c>
      <c r="H1011" s="11">
        <f t="shared" si="30"/>
        <v>399.64</v>
      </c>
      <c r="I1011" s="9">
        <f>($K$2+0.02)*Tabla1[[#This Row],[PRECIO $]]*1.18</f>
        <v>346.03499999999997</v>
      </c>
      <c r="J1011" s="7">
        <f>+Tabla1[[#This Row],[PRECIO EN SOLES]]-Tabla1[[#This Row],[PC]]</f>
        <v>53.605000000000018</v>
      </c>
      <c r="K1011" s="15"/>
      <c r="L1011" s="15" t="str">
        <f t="shared" si="31"/>
        <v>GANCHO</v>
      </c>
    </row>
    <row r="1012" spans="1:12" x14ac:dyDescent="0.25">
      <c r="A1012" s="3" t="s">
        <v>2334</v>
      </c>
      <c r="B1012" s="3" t="s">
        <v>2335</v>
      </c>
      <c r="C1012" s="1">
        <v>20</v>
      </c>
      <c r="D1012" s="1">
        <v>63.5</v>
      </c>
      <c r="E1012" s="1" t="s">
        <v>122</v>
      </c>
      <c r="F1012" s="1" t="s">
        <v>5436</v>
      </c>
      <c r="G1012" s="3" t="s">
        <v>5437</v>
      </c>
      <c r="H1012" s="11">
        <f t="shared" si="30"/>
        <v>303.36</v>
      </c>
      <c r="I1012" s="9">
        <f>($K$2+0.02)*Tabla1[[#This Row],[PRECIO $]]*1.18</f>
        <v>258.50850000000003</v>
      </c>
      <c r="J1012" s="7">
        <f>+Tabla1[[#This Row],[PRECIO EN SOLES]]-Tabla1[[#This Row],[PC]]</f>
        <v>44.851499999999987</v>
      </c>
      <c r="K1012" s="15"/>
      <c r="L1012" s="15" t="str">
        <f t="shared" si="31"/>
        <v>GANCHO</v>
      </c>
    </row>
    <row r="1013" spans="1:12" x14ac:dyDescent="0.25">
      <c r="A1013" s="3" t="s">
        <v>2336</v>
      </c>
      <c r="B1013" s="3" t="s">
        <v>2337</v>
      </c>
      <c r="C1013" s="1">
        <v>20</v>
      </c>
      <c r="D1013" s="1">
        <v>175.44</v>
      </c>
      <c r="E1013" s="1" t="s">
        <v>122</v>
      </c>
      <c r="F1013" s="1" t="s">
        <v>5438</v>
      </c>
      <c r="G1013" s="3" t="s">
        <v>6984</v>
      </c>
      <c r="H1013" s="11">
        <f t="shared" si="30"/>
        <v>804.64</v>
      </c>
      <c r="I1013" s="9">
        <f>($K$2+0.02)*Tabla1[[#This Row],[PRECIO $]]*1.18</f>
        <v>714.21623999999997</v>
      </c>
      <c r="J1013" s="7">
        <f>+Tabla1[[#This Row],[PRECIO EN SOLES]]-Tabla1[[#This Row],[PC]]</f>
        <v>90.423760000000016</v>
      </c>
      <c r="K1013" s="15"/>
      <c r="L1013" s="15" t="str">
        <f t="shared" si="31"/>
        <v>GANCHO</v>
      </c>
    </row>
    <row r="1014" spans="1:12" x14ac:dyDescent="0.25">
      <c r="A1014" s="3" t="s">
        <v>2338</v>
      </c>
      <c r="B1014" s="3" t="s">
        <v>2339</v>
      </c>
      <c r="C1014" s="1">
        <v>20</v>
      </c>
      <c r="D1014" s="1">
        <v>81</v>
      </c>
      <c r="E1014" s="1" t="s">
        <v>122</v>
      </c>
      <c r="F1014" s="1" t="s">
        <v>5439</v>
      </c>
      <c r="G1014" s="3" t="s">
        <v>5440</v>
      </c>
      <c r="H1014" s="11">
        <f t="shared" si="30"/>
        <v>381.73</v>
      </c>
      <c r="I1014" s="9">
        <f>($K$2+0.02)*Tabla1[[#This Row],[PRECIO $]]*1.18</f>
        <v>329.75099999999998</v>
      </c>
      <c r="J1014" s="7">
        <f>+Tabla1[[#This Row],[PRECIO EN SOLES]]-Tabla1[[#This Row],[PC]]</f>
        <v>51.979000000000042</v>
      </c>
      <c r="K1014" s="15"/>
      <c r="L1014" s="15" t="str">
        <f t="shared" si="31"/>
        <v>GANCHO</v>
      </c>
    </row>
    <row r="1015" spans="1:12" x14ac:dyDescent="0.25">
      <c r="A1015" s="3" t="s">
        <v>2340</v>
      </c>
      <c r="B1015" s="3" t="s">
        <v>2341</v>
      </c>
      <c r="C1015" s="1">
        <v>0</v>
      </c>
      <c r="D1015" s="1">
        <v>219</v>
      </c>
      <c r="E1015" s="1" t="s">
        <v>142</v>
      </c>
      <c r="F1015" s="1" t="s">
        <v>5441</v>
      </c>
      <c r="G1015" s="3" t="s">
        <v>2342</v>
      </c>
      <c r="H1015" s="11">
        <f t="shared" si="30"/>
        <v>999.7</v>
      </c>
      <c r="I1015" s="9">
        <f>($K$2+0.02)*Tabla1[[#This Row],[PRECIO $]]*1.18</f>
        <v>891.54899999999998</v>
      </c>
      <c r="J1015" s="7">
        <f>+Tabla1[[#This Row],[PRECIO EN SOLES]]-Tabla1[[#This Row],[PC]]</f>
        <v>108.15100000000007</v>
      </c>
      <c r="K1015" s="15"/>
      <c r="L1015" s="15" t="str">
        <f t="shared" si="31"/>
        <v>GANCHO</v>
      </c>
    </row>
    <row r="1016" spans="1:12" x14ac:dyDescent="0.25">
      <c r="A1016" s="3" t="s">
        <v>5442</v>
      </c>
      <c r="B1016" s="3" t="s">
        <v>5443</v>
      </c>
      <c r="C1016" s="1">
        <v>13</v>
      </c>
      <c r="D1016" s="1">
        <v>125</v>
      </c>
      <c r="E1016" s="1" t="s">
        <v>142</v>
      </c>
      <c r="F1016" s="1" t="s">
        <v>5444</v>
      </c>
      <c r="G1016" s="3" t="s">
        <v>5445</v>
      </c>
      <c r="H1016" s="11">
        <f t="shared" si="30"/>
        <v>578.76</v>
      </c>
      <c r="I1016" s="9">
        <f>($K$2+0.02)*Tabla1[[#This Row],[PRECIO $]]*1.18</f>
        <v>508.875</v>
      </c>
      <c r="J1016" s="7">
        <f>+Tabla1[[#This Row],[PRECIO EN SOLES]]-Tabla1[[#This Row],[PC]]</f>
        <v>69.884999999999991</v>
      </c>
      <c r="K1016" s="15"/>
      <c r="L1016" s="15" t="str">
        <f t="shared" si="31"/>
        <v>GANCHO</v>
      </c>
    </row>
    <row r="1017" spans="1:12" x14ac:dyDescent="0.25">
      <c r="A1017" s="3" t="s">
        <v>2343</v>
      </c>
      <c r="B1017" s="3" t="s">
        <v>2344</v>
      </c>
      <c r="C1017" s="1">
        <v>20</v>
      </c>
      <c r="D1017" s="1">
        <v>294</v>
      </c>
      <c r="E1017" s="1" t="s">
        <v>142</v>
      </c>
      <c r="F1017" s="1" t="s">
        <v>5446</v>
      </c>
      <c r="G1017" s="3" t="s">
        <v>2345</v>
      </c>
      <c r="H1017" s="11">
        <f t="shared" si="30"/>
        <v>1335.56</v>
      </c>
      <c r="I1017" s="9">
        <f>($K$2+0.02)*Tabla1[[#This Row],[PRECIO $]]*1.18</f>
        <v>1196.874</v>
      </c>
      <c r="J1017" s="7">
        <f>+Tabla1[[#This Row],[PRECIO EN SOLES]]-Tabla1[[#This Row],[PC]]</f>
        <v>138.68599999999992</v>
      </c>
      <c r="K1017" s="15"/>
      <c r="L1017" s="15" t="str">
        <f t="shared" si="31"/>
        <v>GANCHO</v>
      </c>
    </row>
    <row r="1018" spans="1:12" x14ac:dyDescent="0.25">
      <c r="A1018" s="3" t="s">
        <v>5447</v>
      </c>
      <c r="B1018" s="3" t="s">
        <v>5448</v>
      </c>
      <c r="C1018" s="1">
        <v>8</v>
      </c>
      <c r="D1018" s="1">
        <v>117.3</v>
      </c>
      <c r="E1018" s="1" t="s">
        <v>142</v>
      </c>
      <c r="F1018" s="1" t="s">
        <v>5449</v>
      </c>
      <c r="G1018" s="3" t="s">
        <v>5450</v>
      </c>
      <c r="H1018" s="11">
        <f t="shared" si="30"/>
        <v>544.28</v>
      </c>
      <c r="I1018" s="9">
        <f>($K$2+0.02)*Tabla1[[#This Row],[PRECIO $]]*1.18</f>
        <v>477.5283</v>
      </c>
      <c r="J1018" s="7">
        <f>+Tabla1[[#This Row],[PRECIO EN SOLES]]-Tabla1[[#This Row],[PC]]</f>
        <v>66.751699999999971</v>
      </c>
      <c r="K1018" s="15"/>
      <c r="L1018" s="15" t="str">
        <f t="shared" si="31"/>
        <v>GANCHO</v>
      </c>
    </row>
    <row r="1019" spans="1:12" x14ac:dyDescent="0.25">
      <c r="A1019" s="3" t="s">
        <v>2346</v>
      </c>
      <c r="B1019" s="3" t="s">
        <v>2347</v>
      </c>
      <c r="C1019" s="1">
        <v>13</v>
      </c>
      <c r="D1019" s="1">
        <v>364</v>
      </c>
      <c r="E1019" s="1" t="s">
        <v>142</v>
      </c>
      <c r="F1019" s="1" t="s">
        <v>5451</v>
      </c>
      <c r="G1019" s="3" t="s">
        <v>2348</v>
      </c>
      <c r="H1019" s="11">
        <f t="shared" si="30"/>
        <v>1649.03</v>
      </c>
      <c r="I1019" s="9">
        <f>($K$2+0.02)*Tabla1[[#This Row],[PRECIO $]]*1.18</f>
        <v>1481.8439999999998</v>
      </c>
      <c r="J1019" s="7">
        <f>+Tabla1[[#This Row],[PRECIO EN SOLES]]-Tabla1[[#This Row],[PC]]</f>
        <v>167.18600000000015</v>
      </c>
      <c r="K1019" s="15"/>
      <c r="L1019" s="15" t="str">
        <f t="shared" si="31"/>
        <v>GANCHO</v>
      </c>
    </row>
    <row r="1020" spans="1:12" x14ac:dyDescent="0.25">
      <c r="A1020" s="3" t="s">
        <v>2349</v>
      </c>
      <c r="B1020" s="3" t="s">
        <v>2350</v>
      </c>
      <c r="C1020" s="1">
        <v>20</v>
      </c>
      <c r="D1020" s="1">
        <v>334</v>
      </c>
      <c r="E1020" s="1" t="s">
        <v>142</v>
      </c>
      <c r="F1020" s="1" t="s">
        <v>5452</v>
      </c>
      <c r="G1020" s="3" t="s">
        <v>2351</v>
      </c>
      <c r="H1020" s="11">
        <f t="shared" si="30"/>
        <v>1514.69</v>
      </c>
      <c r="I1020" s="9">
        <f>($K$2+0.02)*Tabla1[[#This Row],[PRECIO $]]*1.18</f>
        <v>1359.7139999999999</v>
      </c>
      <c r="J1020" s="7">
        <f>+Tabla1[[#This Row],[PRECIO EN SOLES]]-Tabla1[[#This Row],[PC]]</f>
        <v>154.97600000000011</v>
      </c>
      <c r="K1020" s="15"/>
      <c r="L1020" s="15" t="str">
        <f t="shared" si="31"/>
        <v>GANCHO</v>
      </c>
    </row>
    <row r="1021" spans="1:12" x14ac:dyDescent="0.25">
      <c r="A1021" s="3" t="s">
        <v>2352</v>
      </c>
      <c r="B1021" s="3" t="s">
        <v>2353</v>
      </c>
      <c r="C1021" s="1">
        <v>20</v>
      </c>
      <c r="D1021" s="1">
        <v>212.5</v>
      </c>
      <c r="E1021" s="1" t="s">
        <v>142</v>
      </c>
      <c r="F1021" s="1" t="s">
        <v>5453</v>
      </c>
      <c r="G1021" s="3" t="s">
        <v>2354</v>
      </c>
      <c r="H1021" s="11">
        <f t="shared" si="30"/>
        <v>970.6</v>
      </c>
      <c r="I1021" s="9">
        <f>($K$2+0.02)*Tabla1[[#This Row],[PRECIO $]]*1.18</f>
        <v>865.08749999999998</v>
      </c>
      <c r="J1021" s="7">
        <f>+Tabla1[[#This Row],[PRECIO EN SOLES]]-Tabla1[[#This Row],[PC]]</f>
        <v>105.51250000000005</v>
      </c>
      <c r="K1021" s="15"/>
      <c r="L1021" s="15" t="str">
        <f t="shared" si="31"/>
        <v>GANCHO</v>
      </c>
    </row>
    <row r="1022" spans="1:12" x14ac:dyDescent="0.25">
      <c r="A1022" s="3" t="s">
        <v>2355</v>
      </c>
      <c r="B1022" s="3" t="s">
        <v>2356</v>
      </c>
      <c r="C1022" s="1">
        <v>20</v>
      </c>
      <c r="D1022" s="1">
        <v>189.8</v>
      </c>
      <c r="E1022" s="1" t="s">
        <v>142</v>
      </c>
      <c r="F1022" s="1" t="s">
        <v>5454</v>
      </c>
      <c r="G1022" s="3" t="s">
        <v>2357</v>
      </c>
      <c r="H1022" s="11">
        <f t="shared" si="30"/>
        <v>868.94</v>
      </c>
      <c r="I1022" s="9">
        <f>($K$2+0.02)*Tabla1[[#This Row],[PRECIO $]]*1.18</f>
        <v>772.67579999999998</v>
      </c>
      <c r="J1022" s="7">
        <f>+Tabla1[[#This Row],[PRECIO EN SOLES]]-Tabla1[[#This Row],[PC]]</f>
        <v>96.264200000000073</v>
      </c>
      <c r="K1022" s="15"/>
      <c r="L1022" s="15" t="str">
        <f t="shared" si="31"/>
        <v>GANCHO</v>
      </c>
    </row>
    <row r="1023" spans="1:12" x14ac:dyDescent="0.25">
      <c r="A1023" s="3" t="s">
        <v>2358</v>
      </c>
      <c r="B1023" s="3" t="s">
        <v>2359</v>
      </c>
      <c r="C1023" s="1">
        <v>20</v>
      </c>
      <c r="D1023" s="1">
        <v>136</v>
      </c>
      <c r="E1023" s="1" t="s">
        <v>142</v>
      </c>
      <c r="F1023" s="1" t="s">
        <v>5455</v>
      </c>
      <c r="G1023" s="3" t="s">
        <v>2360</v>
      </c>
      <c r="H1023" s="11">
        <f t="shared" si="30"/>
        <v>628.02</v>
      </c>
      <c r="I1023" s="9">
        <f>($K$2+0.02)*Tabla1[[#This Row],[PRECIO $]]*1.18</f>
        <v>553.65600000000006</v>
      </c>
      <c r="J1023" s="7">
        <f>+Tabla1[[#This Row],[PRECIO EN SOLES]]-Tabla1[[#This Row],[PC]]</f>
        <v>74.363999999999919</v>
      </c>
      <c r="K1023" s="15"/>
      <c r="L1023" s="15" t="str">
        <f t="shared" si="31"/>
        <v>GANCHO</v>
      </c>
    </row>
    <row r="1024" spans="1:12" x14ac:dyDescent="0.25">
      <c r="A1024" s="3" t="s">
        <v>2361</v>
      </c>
      <c r="B1024" s="3" t="s">
        <v>2362</v>
      </c>
      <c r="C1024" s="1">
        <v>20</v>
      </c>
      <c r="D1024" s="1">
        <v>129.9</v>
      </c>
      <c r="E1024" s="1" t="s">
        <v>142</v>
      </c>
      <c r="F1024" s="1" t="s">
        <v>5456</v>
      </c>
      <c r="G1024" s="3" t="s">
        <v>2363</v>
      </c>
      <c r="H1024" s="11">
        <f t="shared" si="30"/>
        <v>600.71</v>
      </c>
      <c r="I1024" s="9">
        <f>($K$2+0.02)*Tabla1[[#This Row],[PRECIO $]]*1.18</f>
        <v>528.8229</v>
      </c>
      <c r="J1024" s="7">
        <f>+Tabla1[[#This Row],[PRECIO EN SOLES]]-Tabla1[[#This Row],[PC]]</f>
        <v>71.887100000000032</v>
      </c>
      <c r="K1024" s="15"/>
      <c r="L1024" s="15" t="str">
        <f t="shared" si="31"/>
        <v>GANCHO</v>
      </c>
    </row>
    <row r="1025" spans="1:12" x14ac:dyDescent="0.25">
      <c r="A1025" s="3" t="s">
        <v>2364</v>
      </c>
      <c r="B1025" s="3" t="s">
        <v>2365</v>
      </c>
      <c r="C1025" s="1">
        <v>6</v>
      </c>
      <c r="D1025" s="1">
        <v>304</v>
      </c>
      <c r="E1025" s="1" t="s">
        <v>269</v>
      </c>
      <c r="F1025" s="1" t="s">
        <v>5457</v>
      </c>
      <c r="G1025" s="3" t="s">
        <v>2366</v>
      </c>
      <c r="H1025" s="11">
        <f t="shared" si="30"/>
        <v>1380.34</v>
      </c>
      <c r="I1025" s="9">
        <f>($K$2+0.02)*Tabla1[[#This Row],[PRECIO $]]*1.18</f>
        <v>1237.5839999999998</v>
      </c>
      <c r="J1025" s="7">
        <f>+Tabla1[[#This Row],[PRECIO EN SOLES]]-Tabla1[[#This Row],[PC]]</f>
        <v>142.75600000000009</v>
      </c>
      <c r="K1025" s="15"/>
      <c r="L1025" s="15" t="str">
        <f t="shared" si="31"/>
        <v>GANCHO</v>
      </c>
    </row>
    <row r="1026" spans="1:12" x14ac:dyDescent="0.25">
      <c r="A1026" s="3" t="s">
        <v>5458</v>
      </c>
      <c r="B1026" s="3" t="s">
        <v>5459</v>
      </c>
      <c r="C1026" s="1">
        <v>20</v>
      </c>
      <c r="D1026" s="1">
        <v>188.5</v>
      </c>
      <c r="E1026" s="1" t="s">
        <v>269</v>
      </c>
      <c r="F1026" s="1" t="s">
        <v>5460</v>
      </c>
      <c r="G1026" s="3" t="s">
        <v>5461</v>
      </c>
      <c r="H1026" s="11">
        <f t="shared" ref="H1026:H1089" si="32">ROUND(
IF(L1026="GANCHO",
   IF(I1026&lt;=50,I1026*1.1+4,IF(I1026&lt;=120,I1026*1.1+7,IF(I1026&lt;=250,I1026*1.1+11,I1026*1.1+19))),
IF(L1026="NORMAL",
   IF(I1026&lt;=30,I1026*1.15+2,IF(I1026&lt;=80,I1026*1.15+4,IF(I1026&lt;=150,I1026*1.15+6,I1026*1.15+8))),
IF(L1026="COMPLEMENTO",
   IF(I1026&lt;=25,I1026*1.25+1.5,IF(I1026&lt;=60,I1026*1.25+3,IF(I1026&lt;=120,I1026*1.25+4,I1026*1.25+5))),
""))),2)</f>
        <v>863.12</v>
      </c>
      <c r="I1026" s="9">
        <f>($K$2+0.02)*Tabla1[[#This Row],[PRECIO $]]*1.18</f>
        <v>767.38350000000003</v>
      </c>
      <c r="J1026" s="7">
        <f>+Tabla1[[#This Row],[PRECIO EN SOLES]]-Tabla1[[#This Row],[PC]]</f>
        <v>95.736499999999978</v>
      </c>
      <c r="K1026" s="15"/>
      <c r="L1026" s="15" t="str">
        <f t="shared" si="31"/>
        <v>GANCHO</v>
      </c>
    </row>
    <row r="1027" spans="1:12" x14ac:dyDescent="0.25">
      <c r="A1027" s="3" t="s">
        <v>2367</v>
      </c>
      <c r="B1027" s="3" t="s">
        <v>2368</v>
      </c>
      <c r="C1027" s="1">
        <v>20</v>
      </c>
      <c r="D1027" s="1">
        <v>157</v>
      </c>
      <c r="E1027" s="1" t="s">
        <v>269</v>
      </c>
      <c r="F1027" s="1" t="s">
        <v>5462</v>
      </c>
      <c r="G1027" s="3" t="s">
        <v>2369</v>
      </c>
      <c r="H1027" s="11">
        <f t="shared" si="32"/>
        <v>722.06</v>
      </c>
      <c r="I1027" s="9">
        <f>($K$2+0.02)*Tabla1[[#This Row],[PRECIO $]]*1.18</f>
        <v>639.14699999999993</v>
      </c>
      <c r="J1027" s="7">
        <f>+Tabla1[[#This Row],[PRECIO EN SOLES]]-Tabla1[[#This Row],[PC]]</f>
        <v>82.913000000000011</v>
      </c>
      <c r="K1027" s="15"/>
      <c r="L1027" s="15" t="str">
        <f t="shared" ref="L1027:L1090" si="33">IF(
OR(
ISNUMBER(SEARCH("BACKPACK",B1027)),
ISNUMBER(SEARCH("MOCHILA",B1027)),
ISNUMBER(SEARCH("FUNDA",B1027)),
ISNUMBER(SEARCH("ESTUCHE",B1027)),
ISNUMBER(SEARCH("BOOK COVER",B1027)),
ISNUMBER(SEARCH("KEYBOARD PARA TABLET",B1027)),
ISNUMBER(SEARCH("FLIP TABLET",B1027)),
ISNUMBER(SEARCH("CASE FOR TABLET",B1027)),
ISNUMBER(SEARCH("CABLE",B1027)),
ISNUMBER(SEARCH("ADAPTADOR",B1027)),
ISNUMBER(SEARCH("HUB",B1027)),
ISNUMBER(SEARCH("DOCK",B1027)),
ISNUMBER(SEARCH("MOUSE PAD",B1027)),
ISNUMBER(SEARCH("MOUSEPAD",B1027)),
ISNUMBER(SEARCH("SOPORTE",B1027)),
ISNUMBER(SEARCH("STAND",B1027)),
ISNUMBER(SEARCH("TRAVEL ADAPTER",B1027)),
ISNUMBER(SEARCH("RJ45",B1027)),
ISNUMBER(SEARCH("USB-C",B1027)),
ISNUMBER(SEARCH("USB WIFI",B1027)),
ISNUMBER(SEARCH("POWERBANK",B1027)),
ISNUMBER(SEARCH("CARGADOR",B1027)),
ISNUMBER(SEARCH("COOLER PARA NB",B1027)),
ISNUMBER(SEARCH("SOPORTE PARA NB",B1027)),
ISNUMBER(SEARCH("WEBCAM",B1027)),
ISNUMBER(SEARCH("WEB CAM",B1027)),
ISNUMBER(SEARCH("MOUSE",B1027)),
ISNUMBER(SEARCH("TECLADO",B1027))
),
"COMPLEMENTO",
IF(
OR(
LEFT(A1027,2)="NB",
LEFT(A1027,2)="PC",
LEFT(A1027,2)="WS",
LEFT(A1027,2)="TB",
LEFT(A1027,3)="CEL",
LEFT(A1027,3)="MON",
LEFT(A1027,3)="PRE",
LEFT(A1027,3)="PRH",
ISNUMBER(SEARCH("NOTEBOOK",B1027)),
ISNUMBER(SEARCH("LAPTOP",B1027)),
ISNUMBER(SEARCH("MONITOR",B1027)),
ISNUMBER(SEARCH("TABLET",B1027)),
ISNUMBER(SEARCH("SMARTPH",B1027)),
ISNUMBER(SEARCH("IMPRESORA",B1027)),
ISNUMBER(SEARCH("MULTIFUNCIONAL",B1027)),
ISNUMBER(SEARCH("AIO",B1027))
),
"GANCHO",
"NORMAL"
)
)</f>
        <v>GANCHO</v>
      </c>
    </row>
    <row r="1028" spans="1:12" x14ac:dyDescent="0.25">
      <c r="A1028" s="3" t="s">
        <v>2370</v>
      </c>
      <c r="B1028" s="3" t="s">
        <v>2371</v>
      </c>
      <c r="C1028" s="1">
        <v>20</v>
      </c>
      <c r="D1028" s="1">
        <v>237</v>
      </c>
      <c r="E1028" s="1" t="s">
        <v>269</v>
      </c>
      <c r="F1028" s="1" t="s">
        <v>5463</v>
      </c>
      <c r="G1028" s="3" t="s">
        <v>2372</v>
      </c>
      <c r="H1028" s="11">
        <f t="shared" si="32"/>
        <v>1080.31</v>
      </c>
      <c r="I1028" s="9">
        <f>($K$2+0.02)*Tabla1[[#This Row],[PRECIO $]]*1.18</f>
        <v>964.82700000000011</v>
      </c>
      <c r="J1028" s="7">
        <f>+Tabla1[[#This Row],[PRECIO EN SOLES]]-Tabla1[[#This Row],[PC]]</f>
        <v>115.48299999999983</v>
      </c>
      <c r="K1028" s="15"/>
      <c r="L1028" s="15" t="str">
        <f t="shared" si="33"/>
        <v>GANCHO</v>
      </c>
    </row>
    <row r="1029" spans="1:12" x14ac:dyDescent="0.25">
      <c r="A1029" s="3" t="s">
        <v>2373</v>
      </c>
      <c r="B1029" s="3" t="s">
        <v>2374</v>
      </c>
      <c r="C1029" s="1">
        <v>1</v>
      </c>
      <c r="D1029" s="1">
        <v>88.9</v>
      </c>
      <c r="E1029" s="1" t="s">
        <v>269</v>
      </c>
      <c r="F1029" s="1" t="s">
        <v>5464</v>
      </c>
      <c r="G1029" s="3" t="s">
        <v>2375</v>
      </c>
      <c r="H1029" s="11">
        <f t="shared" si="32"/>
        <v>417.1</v>
      </c>
      <c r="I1029" s="9">
        <f>($K$2+0.02)*Tabla1[[#This Row],[PRECIO $]]*1.18</f>
        <v>361.9119</v>
      </c>
      <c r="J1029" s="7">
        <f>+Tabla1[[#This Row],[PRECIO EN SOLES]]-Tabla1[[#This Row],[PC]]</f>
        <v>55.18810000000002</v>
      </c>
      <c r="K1029" s="15"/>
      <c r="L1029" s="15" t="str">
        <f t="shared" si="33"/>
        <v>GANCHO</v>
      </c>
    </row>
    <row r="1030" spans="1:12" x14ac:dyDescent="0.25">
      <c r="A1030" s="3" t="s">
        <v>2376</v>
      </c>
      <c r="B1030" s="3" t="s">
        <v>2377</v>
      </c>
      <c r="C1030" s="1">
        <v>20</v>
      </c>
      <c r="D1030" s="1">
        <v>205</v>
      </c>
      <c r="E1030" s="1" t="s">
        <v>269</v>
      </c>
      <c r="F1030" s="1" t="s">
        <v>5465</v>
      </c>
      <c r="G1030" s="3" t="s">
        <v>2378</v>
      </c>
      <c r="H1030" s="11">
        <f t="shared" si="32"/>
        <v>1048.19</v>
      </c>
      <c r="I1030" s="9">
        <f>($K$2+0.02)*Tabla1[[#This Row],[PRECIO $]]*1.18</f>
        <v>834.55499999999995</v>
      </c>
      <c r="J1030" s="7">
        <f>+Tabla1[[#This Row],[PRECIO EN SOLES]]-Tabla1[[#This Row],[PC]]</f>
        <v>213.6350000000001</v>
      </c>
      <c r="K1030" s="15"/>
      <c r="L1030" s="15" t="str">
        <f t="shared" si="33"/>
        <v>COMPLEMENTO</v>
      </c>
    </row>
    <row r="1031" spans="1:12" x14ac:dyDescent="0.25">
      <c r="A1031" s="3" t="s">
        <v>2379</v>
      </c>
      <c r="B1031" s="3" t="s">
        <v>2380</v>
      </c>
      <c r="C1031" s="1">
        <v>20</v>
      </c>
      <c r="D1031" s="1">
        <v>130</v>
      </c>
      <c r="E1031" s="1" t="s">
        <v>269</v>
      </c>
      <c r="F1031" s="1" t="s">
        <v>5466</v>
      </c>
      <c r="G1031" s="3" t="s">
        <v>2381</v>
      </c>
      <c r="H1031" s="11">
        <f t="shared" si="32"/>
        <v>601.15</v>
      </c>
      <c r="I1031" s="9">
        <f>($K$2+0.02)*Tabla1[[#This Row],[PRECIO $]]*1.18</f>
        <v>529.23</v>
      </c>
      <c r="J1031" s="7">
        <f>+Tabla1[[#This Row],[PRECIO EN SOLES]]-Tabla1[[#This Row],[PC]]</f>
        <v>71.919999999999959</v>
      </c>
      <c r="K1031" s="15"/>
      <c r="L1031" s="15" t="str">
        <f t="shared" si="33"/>
        <v>GANCHO</v>
      </c>
    </row>
    <row r="1032" spans="1:12" x14ac:dyDescent="0.25">
      <c r="A1032" s="3" t="s">
        <v>2382</v>
      </c>
      <c r="B1032" s="3" t="s">
        <v>2383</v>
      </c>
      <c r="C1032" s="1">
        <v>20</v>
      </c>
      <c r="D1032" s="1">
        <v>108.1</v>
      </c>
      <c r="E1032" s="1" t="s">
        <v>261</v>
      </c>
      <c r="F1032" s="1" t="s">
        <v>5467</v>
      </c>
      <c r="G1032" s="3" t="s">
        <v>2384</v>
      </c>
      <c r="H1032" s="11">
        <f t="shared" si="32"/>
        <v>503.08</v>
      </c>
      <c r="I1032" s="9">
        <f>($K$2+0.02)*Tabla1[[#This Row],[PRECIO $]]*1.18</f>
        <v>440.07509999999996</v>
      </c>
      <c r="J1032" s="7">
        <f>+Tabla1[[#This Row],[PRECIO EN SOLES]]-Tabla1[[#This Row],[PC]]</f>
        <v>63.004900000000021</v>
      </c>
      <c r="K1032" s="15"/>
      <c r="L1032" s="15" t="str">
        <f t="shared" si="33"/>
        <v>GANCHO</v>
      </c>
    </row>
    <row r="1033" spans="1:12" x14ac:dyDescent="0.25">
      <c r="A1033" s="3" t="s">
        <v>2385</v>
      </c>
      <c r="B1033" s="3" t="s">
        <v>2386</v>
      </c>
      <c r="C1033" s="1">
        <v>20</v>
      </c>
      <c r="D1033" s="1">
        <v>92</v>
      </c>
      <c r="E1033" s="1" t="s">
        <v>261</v>
      </c>
      <c r="F1033" s="1" t="s">
        <v>5468</v>
      </c>
      <c r="G1033" s="3" t="s">
        <v>2387</v>
      </c>
      <c r="H1033" s="11">
        <f t="shared" si="32"/>
        <v>430.99</v>
      </c>
      <c r="I1033" s="9">
        <f>($K$2+0.02)*Tabla1[[#This Row],[PRECIO $]]*1.18</f>
        <v>374.53200000000004</v>
      </c>
      <c r="J1033" s="7">
        <f>+Tabla1[[#This Row],[PRECIO EN SOLES]]-Tabla1[[#This Row],[PC]]</f>
        <v>56.45799999999997</v>
      </c>
      <c r="K1033" s="15"/>
      <c r="L1033" s="15" t="str">
        <f t="shared" si="33"/>
        <v>GANCHO</v>
      </c>
    </row>
    <row r="1034" spans="1:12" x14ac:dyDescent="0.25">
      <c r="A1034" s="3" t="s">
        <v>2388</v>
      </c>
      <c r="B1034" s="3" t="s">
        <v>2389</v>
      </c>
      <c r="C1034" s="1">
        <v>20</v>
      </c>
      <c r="D1034" s="1">
        <v>73</v>
      </c>
      <c r="E1034" s="1" t="s">
        <v>442</v>
      </c>
      <c r="F1034" s="1" t="s">
        <v>5469</v>
      </c>
      <c r="G1034" s="3"/>
      <c r="H1034" s="11">
        <f t="shared" si="32"/>
        <v>349.76</v>
      </c>
      <c r="I1034" s="9">
        <f>($K$2+0.02)*Tabla1[[#This Row],[PRECIO $]]*1.18</f>
        <v>297.18299999999999</v>
      </c>
      <c r="J1034" s="7">
        <f>+Tabla1[[#This Row],[PRECIO EN SOLES]]-Tabla1[[#This Row],[PC]]</f>
        <v>52.576999999999998</v>
      </c>
      <c r="K1034" s="15"/>
      <c r="L1034" s="15" t="str">
        <f t="shared" si="33"/>
        <v>NORMAL</v>
      </c>
    </row>
    <row r="1035" spans="1:12" x14ac:dyDescent="0.25">
      <c r="A1035" s="3" t="s">
        <v>2392</v>
      </c>
      <c r="B1035" s="3" t="s">
        <v>2393</v>
      </c>
      <c r="C1035" s="1">
        <v>20</v>
      </c>
      <c r="D1035" s="1">
        <v>103</v>
      </c>
      <c r="E1035" s="1" t="s">
        <v>131</v>
      </c>
      <c r="F1035" s="1" t="s">
        <v>5471</v>
      </c>
      <c r="G1035" s="3" t="s">
        <v>5472</v>
      </c>
      <c r="H1035" s="11">
        <f t="shared" si="32"/>
        <v>480.24</v>
      </c>
      <c r="I1035" s="9">
        <f>($K$2+0.02)*Tabla1[[#This Row],[PRECIO $]]*1.18</f>
        <v>419.31299999999999</v>
      </c>
      <c r="J1035" s="7">
        <f>+Tabla1[[#This Row],[PRECIO EN SOLES]]-Tabla1[[#This Row],[PC]]</f>
        <v>60.927000000000021</v>
      </c>
      <c r="K1035" s="15"/>
      <c r="L1035" s="15" t="str">
        <f t="shared" si="33"/>
        <v>GANCHO</v>
      </c>
    </row>
    <row r="1036" spans="1:12" x14ac:dyDescent="0.25">
      <c r="A1036" s="3" t="s">
        <v>2394</v>
      </c>
      <c r="B1036" s="3" t="s">
        <v>2395</v>
      </c>
      <c r="C1036" s="1">
        <v>20</v>
      </c>
      <c r="D1036" s="1">
        <v>101</v>
      </c>
      <c r="E1036" s="1" t="s">
        <v>122</v>
      </c>
      <c r="F1036" s="1" t="s">
        <v>5473</v>
      </c>
      <c r="G1036" s="3" t="s">
        <v>5474</v>
      </c>
      <c r="H1036" s="11">
        <f t="shared" si="32"/>
        <v>471.29</v>
      </c>
      <c r="I1036" s="9">
        <f>($K$2+0.02)*Tabla1[[#This Row],[PRECIO $]]*1.18</f>
        <v>411.17100000000005</v>
      </c>
      <c r="J1036" s="7">
        <f>+Tabla1[[#This Row],[PRECIO EN SOLES]]-Tabla1[[#This Row],[PC]]</f>
        <v>60.118999999999971</v>
      </c>
      <c r="K1036" s="15"/>
      <c r="L1036" s="15" t="str">
        <f t="shared" si="33"/>
        <v>GANCHO</v>
      </c>
    </row>
    <row r="1037" spans="1:12" x14ac:dyDescent="0.25">
      <c r="A1037" s="3" t="s">
        <v>2396</v>
      </c>
      <c r="B1037" s="3" t="s">
        <v>2397</v>
      </c>
      <c r="C1037" s="1">
        <v>16</v>
      </c>
      <c r="D1037" s="1">
        <v>240</v>
      </c>
      <c r="E1037" s="1" t="s">
        <v>122</v>
      </c>
      <c r="F1037" s="1" t="s">
        <v>5475</v>
      </c>
      <c r="G1037" s="3" t="s">
        <v>2398</v>
      </c>
      <c r="H1037" s="11">
        <f t="shared" si="32"/>
        <v>1093.74</v>
      </c>
      <c r="I1037" s="9">
        <f>($K$2+0.02)*Tabla1[[#This Row],[PRECIO $]]*1.18</f>
        <v>977.04</v>
      </c>
      <c r="J1037" s="7">
        <f>+Tabla1[[#This Row],[PRECIO EN SOLES]]-Tabla1[[#This Row],[PC]]</f>
        <v>116.70000000000005</v>
      </c>
      <c r="K1037" s="15"/>
      <c r="L1037" s="15" t="str">
        <f t="shared" si="33"/>
        <v>GANCHO</v>
      </c>
    </row>
    <row r="1038" spans="1:12" x14ac:dyDescent="0.25">
      <c r="A1038" s="3" t="s">
        <v>2399</v>
      </c>
      <c r="B1038" s="3" t="s">
        <v>2400</v>
      </c>
      <c r="C1038" s="1">
        <v>3</v>
      </c>
      <c r="D1038" s="1">
        <v>169</v>
      </c>
      <c r="E1038" s="1" t="s">
        <v>985</v>
      </c>
      <c r="F1038" s="1" t="s">
        <v>5476</v>
      </c>
      <c r="G1038" s="3"/>
      <c r="H1038" s="11">
        <f t="shared" si="32"/>
        <v>775.8</v>
      </c>
      <c r="I1038" s="9">
        <f>($K$2+0.02)*Tabla1[[#This Row],[PRECIO $]]*1.18</f>
        <v>687.99900000000002</v>
      </c>
      <c r="J1038" s="7">
        <f>+Tabla1[[#This Row],[PRECIO EN SOLES]]-Tabla1[[#This Row],[PC]]</f>
        <v>87.800999999999931</v>
      </c>
      <c r="K1038" s="15"/>
      <c r="L1038" s="15" t="str">
        <f t="shared" si="33"/>
        <v>GANCHO</v>
      </c>
    </row>
    <row r="1039" spans="1:12" x14ac:dyDescent="0.25">
      <c r="A1039" s="3" t="s">
        <v>2401</v>
      </c>
      <c r="B1039" s="3" t="s">
        <v>2402</v>
      </c>
      <c r="C1039" s="1">
        <v>20</v>
      </c>
      <c r="D1039" s="1">
        <v>107</v>
      </c>
      <c r="E1039" s="1" t="s">
        <v>985</v>
      </c>
      <c r="F1039" s="1" t="s">
        <v>5477</v>
      </c>
      <c r="G1039" s="3" t="s">
        <v>2403</v>
      </c>
      <c r="H1039" s="11">
        <f t="shared" si="32"/>
        <v>498.16</v>
      </c>
      <c r="I1039" s="9">
        <f>($K$2+0.02)*Tabla1[[#This Row],[PRECIO $]]*1.18</f>
        <v>435.59700000000004</v>
      </c>
      <c r="J1039" s="7">
        <f>+Tabla1[[#This Row],[PRECIO EN SOLES]]-Tabla1[[#This Row],[PC]]</f>
        <v>62.562999999999988</v>
      </c>
      <c r="K1039" s="15"/>
      <c r="L1039" s="15" t="str">
        <f t="shared" si="33"/>
        <v>GANCHO</v>
      </c>
    </row>
    <row r="1040" spans="1:12" x14ac:dyDescent="0.25">
      <c r="A1040" s="3" t="s">
        <v>2404</v>
      </c>
      <c r="B1040" s="3" t="s">
        <v>2405</v>
      </c>
      <c r="C1040" s="1">
        <v>17</v>
      </c>
      <c r="D1040" s="1">
        <v>144.4</v>
      </c>
      <c r="E1040" s="1" t="s">
        <v>985</v>
      </c>
      <c r="F1040" s="1" t="s">
        <v>5478</v>
      </c>
      <c r="G1040" s="3" t="s">
        <v>2406</v>
      </c>
      <c r="H1040" s="11">
        <f t="shared" si="32"/>
        <v>665.64</v>
      </c>
      <c r="I1040" s="9">
        <f>($K$2+0.02)*Tabla1[[#This Row],[PRECIO $]]*1.18</f>
        <v>587.85239999999999</v>
      </c>
      <c r="J1040" s="7">
        <f>+Tabla1[[#This Row],[PRECIO EN SOLES]]-Tabla1[[#This Row],[PC]]</f>
        <v>77.787599999999998</v>
      </c>
      <c r="K1040" s="15"/>
      <c r="L1040" s="15" t="str">
        <f t="shared" si="33"/>
        <v>GANCHO</v>
      </c>
    </row>
    <row r="1041" spans="1:12" x14ac:dyDescent="0.25">
      <c r="A1041" s="3" t="s">
        <v>2407</v>
      </c>
      <c r="B1041" s="3" t="s">
        <v>2408</v>
      </c>
      <c r="C1041" s="1">
        <v>4</v>
      </c>
      <c r="D1041" s="1">
        <v>170.5</v>
      </c>
      <c r="E1041" s="1" t="s">
        <v>142</v>
      </c>
      <c r="F1041" s="1" t="s">
        <v>5479</v>
      </c>
      <c r="G1041" s="3" t="s">
        <v>2409</v>
      </c>
      <c r="H1041" s="11">
        <f t="shared" si="32"/>
        <v>782.52</v>
      </c>
      <c r="I1041" s="9">
        <f>($K$2+0.02)*Tabla1[[#This Row],[PRECIO $]]*1.18</f>
        <v>694.10550000000001</v>
      </c>
      <c r="J1041" s="7">
        <f>+Tabla1[[#This Row],[PRECIO EN SOLES]]-Tabla1[[#This Row],[PC]]</f>
        <v>88.414499999999975</v>
      </c>
      <c r="K1041" s="15"/>
      <c r="L1041" s="15" t="str">
        <f t="shared" si="33"/>
        <v>GANCHO</v>
      </c>
    </row>
    <row r="1042" spans="1:12" x14ac:dyDescent="0.25">
      <c r="A1042" s="3" t="s">
        <v>2410</v>
      </c>
      <c r="B1042" s="3" t="s">
        <v>2411</v>
      </c>
      <c r="C1042" s="1">
        <v>20</v>
      </c>
      <c r="D1042" s="1">
        <v>211</v>
      </c>
      <c r="E1042" s="1" t="s">
        <v>269</v>
      </c>
      <c r="F1042" s="1" t="s">
        <v>5480</v>
      </c>
      <c r="G1042" s="3" t="s">
        <v>2412</v>
      </c>
      <c r="H1042" s="11">
        <f t="shared" si="32"/>
        <v>963.88</v>
      </c>
      <c r="I1042" s="9">
        <f>($K$2+0.02)*Tabla1[[#This Row],[PRECIO $]]*1.18</f>
        <v>858.98099999999999</v>
      </c>
      <c r="J1042" s="7">
        <f>+Tabla1[[#This Row],[PRECIO EN SOLES]]-Tabla1[[#This Row],[PC]]</f>
        <v>104.899</v>
      </c>
      <c r="K1042" s="15"/>
      <c r="L1042" s="15" t="str">
        <f t="shared" si="33"/>
        <v>GANCHO</v>
      </c>
    </row>
    <row r="1043" spans="1:12" x14ac:dyDescent="0.25">
      <c r="A1043" s="3" t="s">
        <v>2413</v>
      </c>
      <c r="B1043" s="3" t="s">
        <v>2414</v>
      </c>
      <c r="C1043" s="1">
        <v>10</v>
      </c>
      <c r="D1043" s="1">
        <v>347</v>
      </c>
      <c r="E1043" s="1" t="s">
        <v>269</v>
      </c>
      <c r="F1043" s="1" t="s">
        <v>5481</v>
      </c>
      <c r="G1043" s="3" t="s">
        <v>2415</v>
      </c>
      <c r="H1043" s="11">
        <f t="shared" si="32"/>
        <v>1770.8</v>
      </c>
      <c r="I1043" s="9">
        <f>($K$2+0.02)*Tabla1[[#This Row],[PRECIO $]]*1.18</f>
        <v>1412.6369999999999</v>
      </c>
      <c r="J1043" s="7">
        <f>+Tabla1[[#This Row],[PRECIO EN SOLES]]-Tabla1[[#This Row],[PC]]</f>
        <v>358.16300000000001</v>
      </c>
      <c r="K1043" s="15"/>
      <c r="L1043" s="15" t="str">
        <f t="shared" si="33"/>
        <v>COMPLEMENTO</v>
      </c>
    </row>
    <row r="1044" spans="1:12" x14ac:dyDescent="0.25">
      <c r="A1044" s="3" t="s">
        <v>2416</v>
      </c>
      <c r="B1044" s="3" t="s">
        <v>2417</v>
      </c>
      <c r="C1044" s="1">
        <v>20</v>
      </c>
      <c r="D1044" s="1">
        <v>139</v>
      </c>
      <c r="E1044" s="1" t="s">
        <v>269</v>
      </c>
      <c r="F1044" s="1" t="s">
        <v>5482</v>
      </c>
      <c r="G1044" s="3" t="s">
        <v>2418</v>
      </c>
      <c r="H1044" s="11">
        <f t="shared" si="32"/>
        <v>641.46</v>
      </c>
      <c r="I1044" s="9">
        <f>($K$2+0.02)*Tabla1[[#This Row],[PRECIO $]]*1.18</f>
        <v>565.86900000000003</v>
      </c>
      <c r="J1044" s="7">
        <f>+Tabla1[[#This Row],[PRECIO EN SOLES]]-Tabla1[[#This Row],[PC]]</f>
        <v>75.591000000000008</v>
      </c>
      <c r="K1044" s="15"/>
      <c r="L1044" s="15" t="str">
        <f t="shared" si="33"/>
        <v>GANCHO</v>
      </c>
    </row>
    <row r="1045" spans="1:12" x14ac:dyDescent="0.25">
      <c r="A1045" s="3" t="s">
        <v>2419</v>
      </c>
      <c r="B1045" s="3" t="s">
        <v>2420</v>
      </c>
      <c r="C1045" s="1">
        <v>20</v>
      </c>
      <c r="D1045" s="1">
        <v>133.30000000000001</v>
      </c>
      <c r="E1045" s="1" t="s">
        <v>269</v>
      </c>
      <c r="F1045" s="1" t="s">
        <v>5483</v>
      </c>
      <c r="G1045" s="3" t="s">
        <v>2421</v>
      </c>
      <c r="H1045" s="11">
        <f t="shared" si="32"/>
        <v>615.92999999999995</v>
      </c>
      <c r="I1045" s="9">
        <f>($K$2+0.02)*Tabla1[[#This Row],[PRECIO $]]*1.18</f>
        <v>542.66430000000003</v>
      </c>
      <c r="J1045" s="7">
        <f>+Tabla1[[#This Row],[PRECIO EN SOLES]]-Tabla1[[#This Row],[PC]]</f>
        <v>73.265699999999924</v>
      </c>
      <c r="K1045" s="15"/>
      <c r="L1045" s="15" t="str">
        <f t="shared" si="33"/>
        <v>GANCHO</v>
      </c>
    </row>
    <row r="1046" spans="1:12" x14ac:dyDescent="0.25">
      <c r="A1046" s="3" t="s">
        <v>2422</v>
      </c>
      <c r="B1046" s="3" t="s">
        <v>2423</v>
      </c>
      <c r="C1046" s="1">
        <v>20</v>
      </c>
      <c r="D1046" s="1">
        <v>131.9</v>
      </c>
      <c r="E1046" s="1" t="s">
        <v>261</v>
      </c>
      <c r="F1046" s="1" t="s">
        <v>5484</v>
      </c>
      <c r="G1046" s="3" t="s">
        <v>2424</v>
      </c>
      <c r="H1046" s="11">
        <f t="shared" si="32"/>
        <v>609.66</v>
      </c>
      <c r="I1046" s="9">
        <f>($K$2+0.02)*Tabla1[[#This Row],[PRECIO $]]*1.18</f>
        <v>536.96490000000006</v>
      </c>
      <c r="J1046" s="7">
        <f>+Tabla1[[#This Row],[PRECIO EN SOLES]]-Tabla1[[#This Row],[PC]]</f>
        <v>72.695099999999911</v>
      </c>
      <c r="K1046" s="15"/>
      <c r="L1046" s="15" t="str">
        <f t="shared" si="33"/>
        <v>GANCHO</v>
      </c>
    </row>
    <row r="1047" spans="1:12" x14ac:dyDescent="0.25">
      <c r="A1047" s="3" t="s">
        <v>2425</v>
      </c>
      <c r="B1047" s="3" t="s">
        <v>2426</v>
      </c>
      <c r="C1047" s="1">
        <v>20</v>
      </c>
      <c r="D1047" s="1">
        <v>117</v>
      </c>
      <c r="E1047" s="1" t="s">
        <v>261</v>
      </c>
      <c r="F1047" s="1" t="s">
        <v>5485</v>
      </c>
      <c r="G1047" s="3" t="s">
        <v>2427</v>
      </c>
      <c r="H1047" s="11">
        <f t="shared" si="32"/>
        <v>542.94000000000005</v>
      </c>
      <c r="I1047" s="9">
        <f>($K$2+0.02)*Tabla1[[#This Row],[PRECIO $]]*1.18</f>
        <v>476.30700000000002</v>
      </c>
      <c r="J1047" s="7">
        <f>+Tabla1[[#This Row],[PRECIO EN SOLES]]-Tabla1[[#This Row],[PC]]</f>
        <v>66.633000000000038</v>
      </c>
      <c r="K1047" s="15"/>
      <c r="L1047" s="15" t="str">
        <f t="shared" si="33"/>
        <v>GANCHO</v>
      </c>
    </row>
    <row r="1048" spans="1:12" x14ac:dyDescent="0.25">
      <c r="A1048" s="3" t="s">
        <v>2428</v>
      </c>
      <c r="B1048" s="3" t="s">
        <v>2429</v>
      </c>
      <c r="C1048" s="1">
        <v>20</v>
      </c>
      <c r="D1048" s="1">
        <v>158</v>
      </c>
      <c r="E1048" s="1" t="s">
        <v>269</v>
      </c>
      <c r="F1048" s="1" t="s">
        <v>5486</v>
      </c>
      <c r="G1048" s="3" t="s">
        <v>2430</v>
      </c>
      <c r="H1048" s="11">
        <f t="shared" si="32"/>
        <v>726.54</v>
      </c>
      <c r="I1048" s="9">
        <f>($K$2+0.02)*Tabla1[[#This Row],[PRECIO $]]*1.18</f>
        <v>643.21799999999996</v>
      </c>
      <c r="J1048" s="7">
        <f>+Tabla1[[#This Row],[PRECIO EN SOLES]]-Tabla1[[#This Row],[PC]]</f>
        <v>83.322000000000003</v>
      </c>
      <c r="K1048" s="15"/>
      <c r="L1048" s="15" t="str">
        <f t="shared" si="33"/>
        <v>GANCHO</v>
      </c>
    </row>
    <row r="1049" spans="1:12" x14ac:dyDescent="0.25">
      <c r="A1049" s="3" t="s">
        <v>2431</v>
      </c>
      <c r="B1049" s="3" t="s">
        <v>2432</v>
      </c>
      <c r="C1049" s="1">
        <v>0</v>
      </c>
      <c r="D1049" s="1">
        <v>209.5</v>
      </c>
      <c r="E1049" s="1" t="s">
        <v>985</v>
      </c>
      <c r="F1049" s="1" t="s">
        <v>5487</v>
      </c>
      <c r="G1049" s="3" t="s">
        <v>2433</v>
      </c>
      <c r="H1049" s="11">
        <f t="shared" si="32"/>
        <v>988.81</v>
      </c>
      <c r="I1049" s="9">
        <f>($K$2+0.02)*Tabla1[[#This Row],[PRECIO $]]*1.18</f>
        <v>852.87450000000001</v>
      </c>
      <c r="J1049" s="7">
        <f>+Tabla1[[#This Row],[PRECIO EN SOLES]]-Tabla1[[#This Row],[PC]]</f>
        <v>135.93549999999993</v>
      </c>
      <c r="K1049" s="15"/>
      <c r="L1049" s="15" t="str">
        <f t="shared" si="33"/>
        <v>NORMAL</v>
      </c>
    </row>
    <row r="1050" spans="1:12" x14ac:dyDescent="0.25">
      <c r="A1050" s="3" t="s">
        <v>2434</v>
      </c>
      <c r="B1050" s="3" t="s">
        <v>2435</v>
      </c>
      <c r="C1050" s="1">
        <v>11</v>
      </c>
      <c r="D1050" s="1">
        <v>199.9</v>
      </c>
      <c r="E1050" s="1" t="s">
        <v>985</v>
      </c>
      <c r="F1050" s="1" t="s">
        <v>5488</v>
      </c>
      <c r="G1050" s="3" t="s">
        <v>2436</v>
      </c>
      <c r="H1050" s="11">
        <f t="shared" si="32"/>
        <v>914.17</v>
      </c>
      <c r="I1050" s="9">
        <f>($K$2+0.02)*Tabla1[[#This Row],[PRECIO $]]*1.18</f>
        <v>813.79290000000003</v>
      </c>
      <c r="J1050" s="7">
        <f>+Tabla1[[#This Row],[PRECIO EN SOLES]]-Tabla1[[#This Row],[PC]]</f>
        <v>100.37709999999993</v>
      </c>
      <c r="K1050" s="15"/>
      <c r="L1050" s="15" t="str">
        <f t="shared" si="33"/>
        <v>GANCHO</v>
      </c>
    </row>
    <row r="1051" spans="1:12" x14ac:dyDescent="0.25">
      <c r="A1051" s="3" t="s">
        <v>2437</v>
      </c>
      <c r="B1051" s="3" t="s">
        <v>2438</v>
      </c>
      <c r="C1051" s="1">
        <v>18</v>
      </c>
      <c r="D1051" s="1">
        <v>517</v>
      </c>
      <c r="E1051" s="1" t="s">
        <v>269</v>
      </c>
      <c r="F1051" s="1" t="s">
        <v>5489</v>
      </c>
      <c r="G1051" s="3" t="s">
        <v>2439</v>
      </c>
      <c r="H1051" s="11">
        <f t="shared" si="32"/>
        <v>2334.1799999999998</v>
      </c>
      <c r="I1051" s="9">
        <f>($K$2+0.02)*Tabla1[[#This Row],[PRECIO $]]*1.18</f>
        <v>2104.7069999999999</v>
      </c>
      <c r="J1051" s="7">
        <f>+Tabla1[[#This Row],[PRECIO EN SOLES]]-Tabla1[[#This Row],[PC]]</f>
        <v>229.47299999999996</v>
      </c>
      <c r="K1051" s="15"/>
      <c r="L1051" s="15" t="str">
        <f t="shared" si="33"/>
        <v>GANCHO</v>
      </c>
    </row>
    <row r="1052" spans="1:12" x14ac:dyDescent="0.25">
      <c r="A1052" s="3" t="s">
        <v>2440</v>
      </c>
      <c r="B1052" s="3" t="s">
        <v>2441</v>
      </c>
      <c r="C1052" s="1">
        <v>0</v>
      </c>
      <c r="D1052" s="1">
        <v>231</v>
      </c>
      <c r="E1052" s="1" t="s">
        <v>985</v>
      </c>
      <c r="F1052" s="1" t="s">
        <v>5490</v>
      </c>
      <c r="G1052" s="3" t="s">
        <v>2442</v>
      </c>
      <c r="H1052" s="11">
        <f t="shared" si="32"/>
        <v>1053.44</v>
      </c>
      <c r="I1052" s="9">
        <f>($K$2+0.02)*Tabla1[[#This Row],[PRECIO $]]*1.18</f>
        <v>940.40099999999995</v>
      </c>
      <c r="J1052" s="7">
        <f>+Tabla1[[#This Row],[PRECIO EN SOLES]]-Tabla1[[#This Row],[PC]]</f>
        <v>113.0390000000001</v>
      </c>
      <c r="K1052" s="15"/>
      <c r="L1052" s="15" t="str">
        <f t="shared" si="33"/>
        <v>GANCHO</v>
      </c>
    </row>
    <row r="1053" spans="1:12" x14ac:dyDescent="0.25">
      <c r="A1053" s="3" t="s">
        <v>2443</v>
      </c>
      <c r="B1053" s="3" t="s">
        <v>2444</v>
      </c>
      <c r="C1053" s="1">
        <v>20</v>
      </c>
      <c r="D1053" s="1">
        <v>177</v>
      </c>
      <c r="E1053" s="1" t="s">
        <v>269</v>
      </c>
      <c r="F1053" s="1" t="s">
        <v>5491</v>
      </c>
      <c r="G1053" s="3" t="s">
        <v>2445</v>
      </c>
      <c r="H1053" s="11">
        <f t="shared" si="32"/>
        <v>811.62</v>
      </c>
      <c r="I1053" s="9">
        <f>($K$2+0.02)*Tabla1[[#This Row],[PRECIO $]]*1.18</f>
        <v>720.56699999999989</v>
      </c>
      <c r="J1053" s="7">
        <f>+Tabla1[[#This Row],[PRECIO EN SOLES]]-Tabla1[[#This Row],[PC]]</f>
        <v>91.053000000000111</v>
      </c>
      <c r="K1053" s="15"/>
      <c r="L1053" s="15" t="str">
        <f t="shared" si="33"/>
        <v>GANCHO</v>
      </c>
    </row>
    <row r="1054" spans="1:12" x14ac:dyDescent="0.25">
      <c r="A1054" s="3" t="s">
        <v>2446</v>
      </c>
      <c r="B1054" s="3" t="s">
        <v>2447</v>
      </c>
      <c r="C1054" s="1">
        <v>6</v>
      </c>
      <c r="D1054" s="1">
        <v>618</v>
      </c>
      <c r="E1054" s="1" t="s">
        <v>985</v>
      </c>
      <c r="F1054" s="1" t="s">
        <v>5492</v>
      </c>
      <c r="G1054" s="3" t="s">
        <v>2448</v>
      </c>
      <c r="H1054" s="11">
        <f t="shared" si="32"/>
        <v>2786.47</v>
      </c>
      <c r="I1054" s="9">
        <f>($K$2+0.02)*Tabla1[[#This Row],[PRECIO $]]*1.18</f>
        <v>2515.8779999999997</v>
      </c>
      <c r="J1054" s="7">
        <f>+Tabla1[[#This Row],[PRECIO EN SOLES]]-Tabla1[[#This Row],[PC]]</f>
        <v>270.5920000000001</v>
      </c>
      <c r="K1054" s="15"/>
      <c r="L1054" s="15" t="str">
        <f t="shared" si="33"/>
        <v>GANCHO</v>
      </c>
    </row>
    <row r="1055" spans="1:12" x14ac:dyDescent="0.25">
      <c r="A1055" s="3" t="s">
        <v>2449</v>
      </c>
      <c r="B1055" s="3" t="s">
        <v>2450</v>
      </c>
      <c r="C1055" s="1">
        <v>1</v>
      </c>
      <c r="D1055" s="1">
        <v>317.5</v>
      </c>
      <c r="E1055" s="1" t="s">
        <v>340</v>
      </c>
      <c r="F1055" s="1" t="s">
        <v>5495</v>
      </c>
      <c r="G1055" s="3"/>
      <c r="H1055" s="11">
        <f t="shared" si="32"/>
        <v>1494.42</v>
      </c>
      <c r="I1055" s="9">
        <f>($K$2+0.02)*Tabla1[[#This Row],[PRECIO $]]*1.18</f>
        <v>1292.5425</v>
      </c>
      <c r="J1055" s="7">
        <f>+Tabla1[[#This Row],[PRECIO EN SOLES]]-Tabla1[[#This Row],[PC]]</f>
        <v>201.87750000000005</v>
      </c>
      <c r="K1055" s="15"/>
      <c r="L1055" s="15" t="str">
        <f t="shared" si="33"/>
        <v>NORMAL</v>
      </c>
    </row>
    <row r="1056" spans="1:12" x14ac:dyDescent="0.25">
      <c r="A1056" s="3" t="s">
        <v>2451</v>
      </c>
      <c r="B1056" s="3" t="s">
        <v>2452</v>
      </c>
      <c r="C1056" s="1">
        <v>13</v>
      </c>
      <c r="D1056" s="1">
        <v>53</v>
      </c>
      <c r="E1056" s="1" t="s">
        <v>2453</v>
      </c>
      <c r="F1056" s="1" t="s">
        <v>5496</v>
      </c>
      <c r="G1056" s="3" t="s">
        <v>2454</v>
      </c>
      <c r="H1056" s="11">
        <f t="shared" si="32"/>
        <v>256.13</v>
      </c>
      <c r="I1056" s="9">
        <f>($K$2+0.02)*Tabla1[[#This Row],[PRECIO $]]*1.18</f>
        <v>215.76300000000001</v>
      </c>
      <c r="J1056" s="7">
        <f>+Tabla1[[#This Row],[PRECIO EN SOLES]]-Tabla1[[#This Row],[PC]]</f>
        <v>40.36699999999999</v>
      </c>
      <c r="K1056" s="15"/>
      <c r="L1056" s="15" t="str">
        <f t="shared" si="33"/>
        <v>NORMAL</v>
      </c>
    </row>
    <row r="1057" spans="1:12" x14ac:dyDescent="0.25">
      <c r="A1057" s="3" t="s">
        <v>2455</v>
      </c>
      <c r="B1057" s="3" t="s">
        <v>2456</v>
      </c>
      <c r="C1057" s="1">
        <v>20</v>
      </c>
      <c r="D1057" s="1">
        <v>15.6</v>
      </c>
      <c r="E1057" s="1" t="s">
        <v>226</v>
      </c>
      <c r="F1057" s="1" t="s">
        <v>5497</v>
      </c>
      <c r="G1057" s="3" t="s">
        <v>2457</v>
      </c>
      <c r="H1057" s="11">
        <f t="shared" si="32"/>
        <v>83.38</v>
      </c>
      <c r="I1057" s="9">
        <f>($K$2+0.02)*Tabla1[[#This Row],[PRECIO $]]*1.18</f>
        <v>63.507599999999996</v>
      </c>
      <c r="J1057" s="7">
        <f>+Tabla1[[#This Row],[PRECIO EN SOLES]]-Tabla1[[#This Row],[PC]]</f>
        <v>19.872399999999999</v>
      </c>
      <c r="K1057" s="15"/>
      <c r="L1057" s="15" t="str">
        <f t="shared" si="33"/>
        <v>COMPLEMENTO</v>
      </c>
    </row>
    <row r="1058" spans="1:12" x14ac:dyDescent="0.25">
      <c r="A1058" s="3" t="s">
        <v>2458</v>
      </c>
      <c r="B1058" s="3" t="s">
        <v>2459</v>
      </c>
      <c r="C1058" s="1">
        <v>5</v>
      </c>
      <c r="D1058" s="1">
        <v>62.35</v>
      </c>
      <c r="E1058" s="1" t="s">
        <v>355</v>
      </c>
      <c r="F1058" s="1" t="s">
        <v>5498</v>
      </c>
      <c r="G1058" s="3" t="s">
        <v>2460</v>
      </c>
      <c r="H1058" s="11">
        <f t="shared" si="32"/>
        <v>322.27999999999997</v>
      </c>
      <c r="I1058" s="9">
        <f>($K$2+0.02)*Tabla1[[#This Row],[PRECIO $]]*1.18</f>
        <v>253.82685000000001</v>
      </c>
      <c r="J1058" s="7">
        <f>+Tabla1[[#This Row],[PRECIO EN SOLES]]-Tabla1[[#This Row],[PC]]</f>
        <v>68.453149999999965</v>
      </c>
      <c r="K1058" s="15"/>
      <c r="L1058" s="15" t="str">
        <f t="shared" si="33"/>
        <v>COMPLEMENTO</v>
      </c>
    </row>
    <row r="1059" spans="1:12" x14ac:dyDescent="0.25">
      <c r="A1059" s="3" t="s">
        <v>2461</v>
      </c>
      <c r="B1059" s="3" t="s">
        <v>2462</v>
      </c>
      <c r="C1059" s="1">
        <v>20</v>
      </c>
      <c r="D1059" s="1">
        <v>43.5</v>
      </c>
      <c r="E1059" s="1" t="s">
        <v>122</v>
      </c>
      <c r="F1059" s="1" t="s">
        <v>5499</v>
      </c>
      <c r="G1059" s="3" t="s">
        <v>2463</v>
      </c>
      <c r="H1059" s="11">
        <f t="shared" si="32"/>
        <v>211.65</v>
      </c>
      <c r="I1059" s="9">
        <f>($K$2+0.02)*Tabla1[[#This Row],[PRECIO $]]*1.18</f>
        <v>177.08850000000001</v>
      </c>
      <c r="J1059" s="7">
        <f>+Tabla1[[#This Row],[PRECIO EN SOLES]]-Tabla1[[#This Row],[PC]]</f>
        <v>34.561499999999995</v>
      </c>
      <c r="K1059" s="15"/>
      <c r="L1059" s="15" t="str">
        <f t="shared" si="33"/>
        <v>NORMAL</v>
      </c>
    </row>
    <row r="1060" spans="1:12" x14ac:dyDescent="0.25">
      <c r="A1060" s="3" t="s">
        <v>2464</v>
      </c>
      <c r="B1060" s="3" t="s">
        <v>2465</v>
      </c>
      <c r="C1060" s="1">
        <v>20</v>
      </c>
      <c r="D1060" s="1">
        <v>68</v>
      </c>
      <c r="E1060" s="1" t="s">
        <v>2453</v>
      </c>
      <c r="F1060" s="1" t="s">
        <v>5500</v>
      </c>
      <c r="G1060" s="3" t="s">
        <v>2466</v>
      </c>
      <c r="H1060" s="11">
        <f t="shared" si="32"/>
        <v>326.35000000000002</v>
      </c>
      <c r="I1060" s="9">
        <f>($K$2+0.02)*Tabla1[[#This Row],[PRECIO $]]*1.18</f>
        <v>276.82800000000003</v>
      </c>
      <c r="J1060" s="7">
        <f>+Tabla1[[#This Row],[PRECIO EN SOLES]]-Tabla1[[#This Row],[PC]]</f>
        <v>49.521999999999991</v>
      </c>
      <c r="K1060" s="15"/>
      <c r="L1060" s="15" t="str">
        <f t="shared" si="33"/>
        <v>NORMAL</v>
      </c>
    </row>
    <row r="1061" spans="1:12" x14ac:dyDescent="0.25">
      <c r="A1061" s="3" t="s">
        <v>2467</v>
      </c>
      <c r="B1061" s="3" t="s">
        <v>2468</v>
      </c>
      <c r="C1061" s="1">
        <v>20</v>
      </c>
      <c r="D1061" s="1">
        <v>58</v>
      </c>
      <c r="E1061" s="1" t="s">
        <v>2453</v>
      </c>
      <c r="F1061" s="1" t="s">
        <v>5501</v>
      </c>
      <c r="G1061" s="3" t="s">
        <v>2469</v>
      </c>
      <c r="H1061" s="11">
        <f t="shared" si="32"/>
        <v>279.54000000000002</v>
      </c>
      <c r="I1061" s="9">
        <f>($K$2+0.02)*Tabla1[[#This Row],[PRECIO $]]*1.18</f>
        <v>236.11800000000002</v>
      </c>
      <c r="J1061" s="7">
        <f>+Tabla1[[#This Row],[PRECIO EN SOLES]]-Tabla1[[#This Row],[PC]]</f>
        <v>43.421999999999997</v>
      </c>
      <c r="K1061" s="15"/>
      <c r="L1061" s="15" t="str">
        <f t="shared" si="33"/>
        <v>NORMAL</v>
      </c>
    </row>
    <row r="1062" spans="1:12" x14ac:dyDescent="0.25">
      <c r="A1062" s="3" t="s">
        <v>2470</v>
      </c>
      <c r="B1062" s="3" t="s">
        <v>2471</v>
      </c>
      <c r="C1062" s="1">
        <v>20</v>
      </c>
      <c r="D1062" s="1">
        <v>55</v>
      </c>
      <c r="E1062" s="1" t="s">
        <v>2453</v>
      </c>
      <c r="F1062" s="1" t="s">
        <v>5502</v>
      </c>
      <c r="G1062" s="3" t="s">
        <v>2472</v>
      </c>
      <c r="H1062" s="11">
        <f t="shared" si="32"/>
        <v>265.49</v>
      </c>
      <c r="I1062" s="9">
        <f>($K$2+0.02)*Tabla1[[#This Row],[PRECIO $]]*1.18</f>
        <v>223.905</v>
      </c>
      <c r="J1062" s="7">
        <f>+Tabla1[[#This Row],[PRECIO EN SOLES]]-Tabla1[[#This Row],[PC]]</f>
        <v>41.585000000000008</v>
      </c>
      <c r="K1062" s="15"/>
      <c r="L1062" s="15" t="str">
        <f t="shared" si="33"/>
        <v>NORMAL</v>
      </c>
    </row>
    <row r="1063" spans="1:12" x14ac:dyDescent="0.25">
      <c r="A1063" s="3" t="s">
        <v>2473</v>
      </c>
      <c r="B1063" s="3" t="s">
        <v>2474</v>
      </c>
      <c r="C1063" s="1">
        <v>3</v>
      </c>
      <c r="D1063" s="1">
        <v>177</v>
      </c>
      <c r="E1063" s="1" t="s">
        <v>122</v>
      </c>
      <c r="F1063" s="1" t="s">
        <v>5503</v>
      </c>
      <c r="G1063" s="3" t="s">
        <v>2475</v>
      </c>
      <c r="H1063" s="11">
        <f t="shared" si="32"/>
        <v>836.65</v>
      </c>
      <c r="I1063" s="9">
        <f>($K$2+0.02)*Tabla1[[#This Row],[PRECIO $]]*1.18</f>
        <v>720.56699999999989</v>
      </c>
      <c r="J1063" s="7">
        <f>+Tabla1[[#This Row],[PRECIO EN SOLES]]-Tabla1[[#This Row],[PC]]</f>
        <v>116.08300000000008</v>
      </c>
      <c r="K1063" s="15"/>
      <c r="L1063" s="15" t="str">
        <f t="shared" si="33"/>
        <v>NORMAL</v>
      </c>
    </row>
    <row r="1064" spans="1:12" x14ac:dyDescent="0.25">
      <c r="A1064" s="3" t="s">
        <v>2476</v>
      </c>
      <c r="B1064" s="3" t="s">
        <v>2477</v>
      </c>
      <c r="C1064" s="1">
        <v>20</v>
      </c>
      <c r="D1064" s="1">
        <v>297</v>
      </c>
      <c r="E1064" s="1" t="s">
        <v>122</v>
      </c>
      <c r="F1064" s="1" t="s">
        <v>5504</v>
      </c>
      <c r="G1064" s="3" t="s">
        <v>2478</v>
      </c>
      <c r="H1064" s="11">
        <f t="shared" si="32"/>
        <v>1398.45</v>
      </c>
      <c r="I1064" s="9">
        <f>($K$2+0.02)*Tabla1[[#This Row],[PRECIO $]]*1.18</f>
        <v>1209.087</v>
      </c>
      <c r="J1064" s="7">
        <f>+Tabla1[[#This Row],[PRECIO EN SOLES]]-Tabla1[[#This Row],[PC]]</f>
        <v>189.36300000000006</v>
      </c>
      <c r="K1064" s="15"/>
      <c r="L1064" s="15" t="str">
        <f t="shared" si="33"/>
        <v>NORMAL</v>
      </c>
    </row>
    <row r="1065" spans="1:12" x14ac:dyDescent="0.25">
      <c r="A1065" s="3" t="s">
        <v>2479</v>
      </c>
      <c r="B1065" s="3" t="s">
        <v>2480</v>
      </c>
      <c r="C1065" s="1">
        <v>20</v>
      </c>
      <c r="D1065" s="1">
        <v>397</v>
      </c>
      <c r="E1065" s="1" t="s">
        <v>122</v>
      </c>
      <c r="F1065" s="1" t="s">
        <v>5505</v>
      </c>
      <c r="G1065" s="3" t="s">
        <v>2481</v>
      </c>
      <c r="H1065" s="11">
        <f t="shared" si="32"/>
        <v>1866.62</v>
      </c>
      <c r="I1065" s="9">
        <f>($K$2+0.02)*Tabla1[[#This Row],[PRECIO $]]*1.18</f>
        <v>1616.1870000000001</v>
      </c>
      <c r="J1065" s="7">
        <f>+Tabla1[[#This Row],[PRECIO EN SOLES]]-Tabla1[[#This Row],[PC]]</f>
        <v>250.43299999999977</v>
      </c>
      <c r="K1065" s="15"/>
      <c r="L1065" s="15" t="str">
        <f t="shared" si="33"/>
        <v>NORMAL</v>
      </c>
    </row>
    <row r="1066" spans="1:12" x14ac:dyDescent="0.25">
      <c r="A1066" s="3" t="s">
        <v>5506</v>
      </c>
      <c r="B1066" s="3" t="s">
        <v>5507</v>
      </c>
      <c r="C1066" s="1">
        <v>8</v>
      </c>
      <c r="D1066" s="1">
        <v>695</v>
      </c>
      <c r="E1066" s="1" t="s">
        <v>122</v>
      </c>
      <c r="F1066" s="1" t="s">
        <v>5508</v>
      </c>
      <c r="G1066" s="3" t="s">
        <v>5509</v>
      </c>
      <c r="H1066" s="11">
        <f t="shared" si="32"/>
        <v>3261.75</v>
      </c>
      <c r="I1066" s="9">
        <f>($K$2+0.02)*Tabla1[[#This Row],[PRECIO $]]*1.18</f>
        <v>2829.3449999999998</v>
      </c>
      <c r="J1066" s="7">
        <f>+Tabla1[[#This Row],[PRECIO EN SOLES]]-Tabla1[[#This Row],[PC]]</f>
        <v>432.4050000000002</v>
      </c>
      <c r="K1066" s="15"/>
      <c r="L1066" s="15" t="str">
        <f t="shared" si="33"/>
        <v>NORMAL</v>
      </c>
    </row>
    <row r="1067" spans="1:12" x14ac:dyDescent="0.25">
      <c r="A1067" s="3" t="s">
        <v>2482</v>
      </c>
      <c r="B1067" s="3" t="s">
        <v>2483</v>
      </c>
      <c r="C1067" s="1">
        <v>6</v>
      </c>
      <c r="D1067" s="1">
        <v>88.2</v>
      </c>
      <c r="E1067" s="1" t="s">
        <v>2484</v>
      </c>
      <c r="F1067" s="1" t="s">
        <v>5510</v>
      </c>
      <c r="G1067" s="3" t="s">
        <v>2485</v>
      </c>
      <c r="H1067" s="11">
        <f t="shared" si="32"/>
        <v>420.92</v>
      </c>
      <c r="I1067" s="9">
        <f>($K$2+0.02)*Tabla1[[#This Row],[PRECIO $]]*1.18</f>
        <v>359.06220000000002</v>
      </c>
      <c r="J1067" s="7">
        <f>+Tabla1[[#This Row],[PRECIO EN SOLES]]-Tabla1[[#This Row],[PC]]</f>
        <v>61.857799999999997</v>
      </c>
      <c r="K1067" s="15"/>
      <c r="L1067" s="15" t="str">
        <f t="shared" si="33"/>
        <v>NORMAL</v>
      </c>
    </row>
    <row r="1068" spans="1:12" x14ac:dyDescent="0.25">
      <c r="A1068" s="3" t="s">
        <v>2486</v>
      </c>
      <c r="B1068" s="3" t="s">
        <v>2487</v>
      </c>
      <c r="C1068" s="1">
        <v>20</v>
      </c>
      <c r="D1068" s="1">
        <v>105</v>
      </c>
      <c r="E1068" s="1" t="s">
        <v>2484</v>
      </c>
      <c r="F1068" s="1" t="s">
        <v>5511</v>
      </c>
      <c r="G1068" s="3" t="s">
        <v>2488</v>
      </c>
      <c r="H1068" s="11">
        <f t="shared" si="32"/>
        <v>499.57</v>
      </c>
      <c r="I1068" s="9">
        <f>($K$2+0.02)*Tabla1[[#This Row],[PRECIO $]]*1.18</f>
        <v>427.45499999999998</v>
      </c>
      <c r="J1068" s="7">
        <f>+Tabla1[[#This Row],[PRECIO EN SOLES]]-Tabla1[[#This Row],[PC]]</f>
        <v>72.115000000000009</v>
      </c>
      <c r="K1068" s="15"/>
      <c r="L1068" s="15" t="str">
        <f t="shared" si="33"/>
        <v>NORMAL</v>
      </c>
    </row>
    <row r="1069" spans="1:12" x14ac:dyDescent="0.25">
      <c r="A1069" s="3" t="s">
        <v>2489</v>
      </c>
      <c r="B1069" s="3" t="s">
        <v>2490</v>
      </c>
      <c r="C1069" s="1">
        <v>0</v>
      </c>
      <c r="D1069" s="1">
        <v>1100</v>
      </c>
      <c r="E1069" s="1" t="s">
        <v>2304</v>
      </c>
      <c r="F1069" s="1" t="s">
        <v>5512</v>
      </c>
      <c r="G1069" s="3" t="s">
        <v>2491</v>
      </c>
      <c r="H1069" s="11">
        <f t="shared" si="32"/>
        <v>5157.82</v>
      </c>
      <c r="I1069" s="9">
        <f>($K$2+0.02)*Tabla1[[#This Row],[PRECIO $]]*1.18</f>
        <v>4478.0999999999995</v>
      </c>
      <c r="J1069" s="7">
        <f>+Tabla1[[#This Row],[PRECIO EN SOLES]]-Tabla1[[#This Row],[PC]]</f>
        <v>679.72000000000025</v>
      </c>
      <c r="K1069" s="15"/>
      <c r="L1069" s="15" t="str">
        <f t="shared" si="33"/>
        <v>NORMAL</v>
      </c>
    </row>
    <row r="1070" spans="1:12" x14ac:dyDescent="0.25">
      <c r="A1070" s="3" t="s">
        <v>5513</v>
      </c>
      <c r="B1070" s="3" t="s">
        <v>5514</v>
      </c>
      <c r="C1070" s="1">
        <v>20</v>
      </c>
      <c r="D1070" s="1">
        <v>22.4</v>
      </c>
      <c r="E1070" s="1" t="s">
        <v>269</v>
      </c>
      <c r="F1070" s="1" t="s">
        <v>5515</v>
      </c>
      <c r="G1070" s="3" t="s">
        <v>6985</v>
      </c>
      <c r="H1070" s="11">
        <f t="shared" si="32"/>
        <v>117.99</v>
      </c>
      <c r="I1070" s="9">
        <f>($K$2+0.02)*Tabla1[[#This Row],[PRECIO $]]*1.18</f>
        <v>91.190399999999997</v>
      </c>
      <c r="J1070" s="7">
        <f>+Tabla1[[#This Row],[PRECIO EN SOLES]]-Tabla1[[#This Row],[PC]]</f>
        <v>26.799599999999998</v>
      </c>
      <c r="K1070" s="15"/>
      <c r="L1070" s="15" t="str">
        <f t="shared" si="33"/>
        <v>COMPLEMENTO</v>
      </c>
    </row>
    <row r="1071" spans="1:12" x14ac:dyDescent="0.25">
      <c r="A1071" s="3" t="s">
        <v>5516</v>
      </c>
      <c r="B1071" s="3" t="s">
        <v>5517</v>
      </c>
      <c r="C1071" s="1">
        <v>20</v>
      </c>
      <c r="D1071" s="1">
        <v>11.5</v>
      </c>
      <c r="E1071" s="1" t="s">
        <v>261</v>
      </c>
      <c r="F1071" s="1" t="s">
        <v>5518</v>
      </c>
      <c r="G1071" s="3" t="s">
        <v>5519</v>
      </c>
      <c r="H1071" s="11">
        <f t="shared" si="32"/>
        <v>57.84</v>
      </c>
      <c r="I1071" s="9">
        <f>($K$2+0.02)*Tabla1[[#This Row],[PRECIO $]]*1.18</f>
        <v>46.816500000000005</v>
      </c>
      <c r="J1071" s="7">
        <f>+Tabla1[[#This Row],[PRECIO EN SOLES]]-Tabla1[[#This Row],[PC]]</f>
        <v>11.023499999999999</v>
      </c>
      <c r="K1071" s="15"/>
      <c r="L1071" s="15" t="str">
        <f t="shared" si="33"/>
        <v>NORMAL</v>
      </c>
    </row>
    <row r="1072" spans="1:12" x14ac:dyDescent="0.25">
      <c r="A1072" s="3" t="s">
        <v>5520</v>
      </c>
      <c r="B1072" s="3" t="s">
        <v>5521</v>
      </c>
      <c r="C1072" s="1">
        <v>16</v>
      </c>
      <c r="D1072" s="1">
        <v>12.6</v>
      </c>
      <c r="E1072" s="1" t="s">
        <v>261</v>
      </c>
      <c r="F1072" s="1" t="s">
        <v>5522</v>
      </c>
      <c r="G1072" s="3" t="s">
        <v>5523</v>
      </c>
      <c r="H1072" s="11">
        <f t="shared" si="32"/>
        <v>67.12</v>
      </c>
      <c r="I1072" s="9">
        <f>($K$2+0.02)*Tabla1[[#This Row],[PRECIO $]]*1.18</f>
        <v>51.294599999999996</v>
      </c>
      <c r="J1072" s="7">
        <f>+Tabla1[[#This Row],[PRECIO EN SOLES]]-Tabla1[[#This Row],[PC]]</f>
        <v>15.825400000000009</v>
      </c>
      <c r="K1072" s="15"/>
      <c r="L1072" s="15" t="str">
        <f t="shared" si="33"/>
        <v>COMPLEMENTO</v>
      </c>
    </row>
    <row r="1073" spans="1:12" x14ac:dyDescent="0.25">
      <c r="A1073" s="3" t="s">
        <v>5524</v>
      </c>
      <c r="B1073" s="3" t="s">
        <v>5525</v>
      </c>
      <c r="C1073" s="1">
        <v>20</v>
      </c>
      <c r="D1073" s="1">
        <v>12.6</v>
      </c>
      <c r="E1073" s="1" t="s">
        <v>261</v>
      </c>
      <c r="F1073" s="1" t="s">
        <v>5526</v>
      </c>
      <c r="G1073" s="3" t="s">
        <v>5527</v>
      </c>
      <c r="H1073" s="11">
        <f t="shared" si="32"/>
        <v>67.12</v>
      </c>
      <c r="I1073" s="9">
        <f>($K$2+0.02)*Tabla1[[#This Row],[PRECIO $]]*1.18</f>
        <v>51.294599999999996</v>
      </c>
      <c r="J1073" s="7">
        <f>+Tabla1[[#This Row],[PRECIO EN SOLES]]-Tabla1[[#This Row],[PC]]</f>
        <v>15.825400000000009</v>
      </c>
      <c r="K1073" s="15"/>
      <c r="L1073" s="15" t="str">
        <f t="shared" si="33"/>
        <v>COMPLEMENTO</v>
      </c>
    </row>
    <row r="1074" spans="1:12" x14ac:dyDescent="0.25">
      <c r="A1074" s="3" t="s">
        <v>5528</v>
      </c>
      <c r="B1074" s="3" t="s">
        <v>5529</v>
      </c>
      <c r="C1074" s="1">
        <v>6</v>
      </c>
      <c r="D1074" s="1">
        <v>19.600000000000001</v>
      </c>
      <c r="E1074" s="1" t="s">
        <v>269</v>
      </c>
      <c r="F1074" s="1" t="s">
        <v>5530</v>
      </c>
      <c r="G1074" s="3" t="s">
        <v>5531</v>
      </c>
      <c r="H1074" s="11">
        <f t="shared" si="32"/>
        <v>103.74</v>
      </c>
      <c r="I1074" s="9">
        <f>($K$2+0.02)*Tabla1[[#This Row],[PRECIO $]]*1.18</f>
        <v>79.791600000000003</v>
      </c>
      <c r="J1074" s="7">
        <f>+Tabla1[[#This Row],[PRECIO EN SOLES]]-Tabla1[[#This Row],[PC]]</f>
        <v>23.948399999999992</v>
      </c>
      <c r="K1074" s="15"/>
      <c r="L1074" s="15" t="str">
        <f t="shared" si="33"/>
        <v>COMPLEMENTO</v>
      </c>
    </row>
    <row r="1075" spans="1:12" x14ac:dyDescent="0.25">
      <c r="A1075" s="3" t="s">
        <v>5532</v>
      </c>
      <c r="B1075" s="3" t="s">
        <v>5533</v>
      </c>
      <c r="C1075" s="1">
        <v>9</v>
      </c>
      <c r="D1075" s="1">
        <v>14</v>
      </c>
      <c r="E1075" s="1" t="s">
        <v>261</v>
      </c>
      <c r="F1075" s="1" t="s">
        <v>5534</v>
      </c>
      <c r="G1075" s="3" t="s">
        <v>5535</v>
      </c>
      <c r="H1075" s="11">
        <f t="shared" si="32"/>
        <v>74.239999999999995</v>
      </c>
      <c r="I1075" s="9">
        <f>($K$2+0.02)*Tabla1[[#This Row],[PRECIO $]]*1.18</f>
        <v>56.994</v>
      </c>
      <c r="J1075" s="7">
        <f>+Tabla1[[#This Row],[PRECIO EN SOLES]]-Tabla1[[#This Row],[PC]]</f>
        <v>17.245999999999995</v>
      </c>
      <c r="K1075" s="15"/>
      <c r="L1075" s="15" t="str">
        <f t="shared" si="33"/>
        <v>COMPLEMENTO</v>
      </c>
    </row>
    <row r="1076" spans="1:12" x14ac:dyDescent="0.25">
      <c r="A1076" s="3" t="s">
        <v>5536</v>
      </c>
      <c r="B1076" s="3" t="s">
        <v>5537</v>
      </c>
      <c r="C1076" s="1">
        <v>20</v>
      </c>
      <c r="D1076" s="1">
        <v>13.3</v>
      </c>
      <c r="E1076" s="1" t="s">
        <v>261</v>
      </c>
      <c r="F1076" s="1" t="s">
        <v>5538</v>
      </c>
      <c r="G1076" s="3" t="s">
        <v>5539</v>
      </c>
      <c r="H1076" s="11">
        <f t="shared" si="32"/>
        <v>70.680000000000007</v>
      </c>
      <c r="I1076" s="9">
        <f>($K$2+0.02)*Tabla1[[#This Row],[PRECIO $]]*1.18</f>
        <v>54.144300000000001</v>
      </c>
      <c r="J1076" s="7">
        <f>+Tabla1[[#This Row],[PRECIO EN SOLES]]-Tabla1[[#This Row],[PC]]</f>
        <v>16.535700000000006</v>
      </c>
      <c r="K1076" s="15"/>
      <c r="L1076" s="15" t="str">
        <f t="shared" si="33"/>
        <v>COMPLEMENTO</v>
      </c>
    </row>
    <row r="1077" spans="1:12" x14ac:dyDescent="0.25">
      <c r="A1077" s="3" t="s">
        <v>5540</v>
      </c>
      <c r="B1077" s="3" t="s">
        <v>5541</v>
      </c>
      <c r="C1077" s="1">
        <v>20</v>
      </c>
      <c r="D1077" s="1">
        <v>12.6</v>
      </c>
      <c r="E1077" s="1" t="s">
        <v>261</v>
      </c>
      <c r="F1077" s="1" t="s">
        <v>5542</v>
      </c>
      <c r="G1077" s="3" t="s">
        <v>5543</v>
      </c>
      <c r="H1077" s="11">
        <f t="shared" si="32"/>
        <v>67.12</v>
      </c>
      <c r="I1077" s="9">
        <f>($K$2+0.02)*Tabla1[[#This Row],[PRECIO $]]*1.18</f>
        <v>51.294599999999996</v>
      </c>
      <c r="J1077" s="7">
        <f>+Tabla1[[#This Row],[PRECIO EN SOLES]]-Tabla1[[#This Row],[PC]]</f>
        <v>15.825400000000009</v>
      </c>
      <c r="K1077" s="15"/>
      <c r="L1077" s="15" t="str">
        <f t="shared" si="33"/>
        <v>COMPLEMENTO</v>
      </c>
    </row>
    <row r="1078" spans="1:12" x14ac:dyDescent="0.25">
      <c r="A1078" s="3" t="s">
        <v>5544</v>
      </c>
      <c r="B1078" s="3" t="s">
        <v>5545</v>
      </c>
      <c r="C1078" s="1">
        <v>20</v>
      </c>
      <c r="D1078" s="1">
        <v>12.6</v>
      </c>
      <c r="E1078" s="1" t="s">
        <v>261</v>
      </c>
      <c r="F1078" s="1" t="s">
        <v>5546</v>
      </c>
      <c r="G1078" s="3" t="s">
        <v>5547</v>
      </c>
      <c r="H1078" s="11">
        <f t="shared" si="32"/>
        <v>67.12</v>
      </c>
      <c r="I1078" s="9">
        <f>($K$2+0.02)*Tabla1[[#This Row],[PRECIO $]]*1.18</f>
        <v>51.294599999999996</v>
      </c>
      <c r="J1078" s="7">
        <f>+Tabla1[[#This Row],[PRECIO EN SOLES]]-Tabla1[[#This Row],[PC]]</f>
        <v>15.825400000000009</v>
      </c>
      <c r="K1078" s="15"/>
      <c r="L1078" s="15" t="str">
        <f t="shared" si="33"/>
        <v>COMPLEMENTO</v>
      </c>
    </row>
    <row r="1079" spans="1:12" x14ac:dyDescent="0.25">
      <c r="A1079" s="3" t="s">
        <v>5548</v>
      </c>
      <c r="B1079" s="3" t="s">
        <v>5549</v>
      </c>
      <c r="C1079" s="1">
        <v>5</v>
      </c>
      <c r="D1079" s="1">
        <v>13.6</v>
      </c>
      <c r="E1079" s="1" t="s">
        <v>261</v>
      </c>
      <c r="F1079" s="1" t="s">
        <v>5550</v>
      </c>
      <c r="G1079" s="3" t="s">
        <v>5551</v>
      </c>
      <c r="H1079" s="11">
        <f t="shared" si="32"/>
        <v>72.209999999999994</v>
      </c>
      <c r="I1079" s="9">
        <f>($K$2+0.02)*Tabla1[[#This Row],[PRECIO $]]*1.18</f>
        <v>55.365600000000001</v>
      </c>
      <c r="J1079" s="7">
        <f>+Tabla1[[#This Row],[PRECIO EN SOLES]]-Tabla1[[#This Row],[PC]]</f>
        <v>16.844399999999993</v>
      </c>
      <c r="K1079" s="15"/>
      <c r="L1079" s="15" t="str">
        <f t="shared" si="33"/>
        <v>COMPLEMENTO</v>
      </c>
    </row>
    <row r="1080" spans="1:12" x14ac:dyDescent="0.25">
      <c r="A1080" s="3" t="s">
        <v>5552</v>
      </c>
      <c r="B1080" s="3" t="s">
        <v>5553</v>
      </c>
      <c r="C1080" s="1">
        <v>5</v>
      </c>
      <c r="D1080" s="1">
        <v>13.6</v>
      </c>
      <c r="E1080" s="1" t="s">
        <v>261</v>
      </c>
      <c r="F1080" s="1" t="s">
        <v>5554</v>
      </c>
      <c r="G1080" s="3" t="s">
        <v>5555</v>
      </c>
      <c r="H1080" s="11">
        <f t="shared" si="32"/>
        <v>72.209999999999994</v>
      </c>
      <c r="I1080" s="9">
        <f>($K$2+0.02)*Tabla1[[#This Row],[PRECIO $]]*1.18</f>
        <v>55.365600000000001</v>
      </c>
      <c r="J1080" s="7">
        <f>+Tabla1[[#This Row],[PRECIO EN SOLES]]-Tabla1[[#This Row],[PC]]</f>
        <v>16.844399999999993</v>
      </c>
      <c r="K1080" s="15"/>
      <c r="L1080" s="15" t="str">
        <f t="shared" si="33"/>
        <v>COMPLEMENTO</v>
      </c>
    </row>
    <row r="1081" spans="1:12" x14ac:dyDescent="0.25">
      <c r="A1081" s="3" t="s">
        <v>5556</v>
      </c>
      <c r="B1081" s="3" t="s">
        <v>5557</v>
      </c>
      <c r="C1081" s="1">
        <v>13</v>
      </c>
      <c r="D1081" s="1">
        <v>31.65</v>
      </c>
      <c r="E1081" s="1" t="s">
        <v>261</v>
      </c>
      <c r="F1081" s="1" t="s">
        <v>5558</v>
      </c>
      <c r="G1081" s="3" t="s">
        <v>5559</v>
      </c>
      <c r="H1081" s="11">
        <f t="shared" si="32"/>
        <v>166.06</v>
      </c>
      <c r="I1081" s="9">
        <f>($K$2+0.02)*Tabla1[[#This Row],[PRECIO $]]*1.18</f>
        <v>128.84715</v>
      </c>
      <c r="J1081" s="7">
        <f>+Tabla1[[#This Row],[PRECIO EN SOLES]]-Tabla1[[#This Row],[PC]]</f>
        <v>37.212850000000003</v>
      </c>
      <c r="K1081" s="15"/>
      <c r="L1081" s="15" t="str">
        <f t="shared" si="33"/>
        <v>COMPLEMENTO</v>
      </c>
    </row>
    <row r="1082" spans="1:12" x14ac:dyDescent="0.25">
      <c r="A1082" s="3" t="s">
        <v>2492</v>
      </c>
      <c r="B1082" s="3" t="s">
        <v>2493</v>
      </c>
      <c r="C1082" s="1">
        <v>20</v>
      </c>
      <c r="D1082" s="1">
        <v>39.700000000000003</v>
      </c>
      <c r="E1082" s="1" t="s">
        <v>269</v>
      </c>
      <c r="F1082" s="1" t="s">
        <v>5560</v>
      </c>
      <c r="G1082" s="3" t="s">
        <v>2494</v>
      </c>
      <c r="H1082" s="11">
        <f t="shared" si="32"/>
        <v>207.02</v>
      </c>
      <c r="I1082" s="9">
        <f>($K$2+0.02)*Tabla1[[#This Row],[PRECIO $]]*1.18</f>
        <v>161.61869999999999</v>
      </c>
      <c r="J1082" s="7">
        <f>+Tabla1[[#This Row],[PRECIO EN SOLES]]-Tabla1[[#This Row],[PC]]</f>
        <v>45.40130000000002</v>
      </c>
      <c r="K1082" s="15"/>
      <c r="L1082" s="15" t="str">
        <f t="shared" si="33"/>
        <v>COMPLEMENTO</v>
      </c>
    </row>
    <row r="1083" spans="1:12" x14ac:dyDescent="0.25">
      <c r="A1083" s="3" t="s">
        <v>6986</v>
      </c>
      <c r="B1083" s="3" t="s">
        <v>6987</v>
      </c>
      <c r="C1083" s="1">
        <v>20</v>
      </c>
      <c r="D1083" s="1">
        <v>8.3000000000000007</v>
      </c>
      <c r="E1083" s="1" t="s">
        <v>122</v>
      </c>
      <c r="F1083" s="1" t="s">
        <v>6988</v>
      </c>
      <c r="G1083" s="3" t="s">
        <v>6989</v>
      </c>
      <c r="H1083" s="11">
        <f t="shared" si="32"/>
        <v>45.24</v>
      </c>
      <c r="I1083" s="9">
        <f>($K$2+0.02)*Tabla1[[#This Row],[PRECIO $]]*1.18</f>
        <v>33.789300000000004</v>
      </c>
      <c r="J1083" s="7">
        <f>+Tabla1[[#This Row],[PRECIO EN SOLES]]-Tabla1[[#This Row],[PC]]</f>
        <v>11.450699999999998</v>
      </c>
      <c r="K1083" s="15"/>
      <c r="L1083" s="15" t="str">
        <f t="shared" si="33"/>
        <v>COMPLEMENTO</v>
      </c>
    </row>
    <row r="1084" spans="1:12" x14ac:dyDescent="0.25">
      <c r="A1084" s="3" t="s">
        <v>6990</v>
      </c>
      <c r="B1084" s="3" t="s">
        <v>6991</v>
      </c>
      <c r="C1084" s="1">
        <v>0</v>
      </c>
      <c r="D1084" s="1">
        <v>3.6</v>
      </c>
      <c r="E1084" s="1" t="s">
        <v>122</v>
      </c>
      <c r="F1084" s="1" t="s">
        <v>6992</v>
      </c>
      <c r="G1084" s="3" t="s">
        <v>6993</v>
      </c>
      <c r="H1084" s="11">
        <f t="shared" si="32"/>
        <v>19.82</v>
      </c>
      <c r="I1084" s="9">
        <f>($K$2+0.02)*Tabla1[[#This Row],[PRECIO $]]*1.18</f>
        <v>14.655600000000002</v>
      </c>
      <c r="J1084" s="7">
        <f>+Tabla1[[#This Row],[PRECIO EN SOLES]]-Tabla1[[#This Row],[PC]]</f>
        <v>5.1643999999999988</v>
      </c>
      <c r="K1084" s="15"/>
      <c r="L1084" s="15" t="str">
        <f t="shared" si="33"/>
        <v>COMPLEMENTO</v>
      </c>
    </row>
    <row r="1085" spans="1:12" x14ac:dyDescent="0.25">
      <c r="A1085" s="3" t="s">
        <v>2495</v>
      </c>
      <c r="B1085" s="3" t="s">
        <v>2496</v>
      </c>
      <c r="C1085" s="1">
        <v>20</v>
      </c>
      <c r="D1085" s="1">
        <v>5.4</v>
      </c>
      <c r="E1085" s="1" t="s">
        <v>122</v>
      </c>
      <c r="F1085" s="1" t="s">
        <v>5561</v>
      </c>
      <c r="G1085" s="3" t="s">
        <v>2497</v>
      </c>
      <c r="H1085" s="11">
        <f t="shared" si="32"/>
        <v>28.98</v>
      </c>
      <c r="I1085" s="9">
        <f>($K$2+0.02)*Tabla1[[#This Row],[PRECIO $]]*1.18</f>
        <v>21.983400000000003</v>
      </c>
      <c r="J1085" s="7">
        <f>+Tabla1[[#This Row],[PRECIO EN SOLES]]-Tabla1[[#This Row],[PC]]</f>
        <v>6.9965999999999973</v>
      </c>
      <c r="K1085" s="15"/>
      <c r="L1085" s="15" t="str">
        <f t="shared" si="33"/>
        <v>COMPLEMENTO</v>
      </c>
    </row>
    <row r="1086" spans="1:12" x14ac:dyDescent="0.25">
      <c r="A1086" s="3" t="s">
        <v>2498</v>
      </c>
      <c r="B1086" s="3" t="s">
        <v>2499</v>
      </c>
      <c r="C1086" s="1">
        <v>20</v>
      </c>
      <c r="D1086" s="1">
        <v>5.4</v>
      </c>
      <c r="E1086" s="1" t="s">
        <v>122</v>
      </c>
      <c r="F1086" s="1" t="s">
        <v>5562</v>
      </c>
      <c r="G1086" s="3" t="s">
        <v>2500</v>
      </c>
      <c r="H1086" s="11">
        <f t="shared" si="32"/>
        <v>28.98</v>
      </c>
      <c r="I1086" s="9">
        <f>($K$2+0.02)*Tabla1[[#This Row],[PRECIO $]]*1.18</f>
        <v>21.983400000000003</v>
      </c>
      <c r="J1086" s="7">
        <f>+Tabla1[[#This Row],[PRECIO EN SOLES]]-Tabla1[[#This Row],[PC]]</f>
        <v>6.9965999999999973</v>
      </c>
      <c r="K1086" s="15"/>
      <c r="L1086" s="15" t="str">
        <f t="shared" si="33"/>
        <v>COMPLEMENTO</v>
      </c>
    </row>
    <row r="1087" spans="1:12" x14ac:dyDescent="0.25">
      <c r="A1087" s="3" t="s">
        <v>6994</v>
      </c>
      <c r="B1087" s="3" t="s">
        <v>6995</v>
      </c>
      <c r="C1087" s="1">
        <v>20</v>
      </c>
      <c r="D1087" s="1">
        <v>11.5</v>
      </c>
      <c r="E1087" s="1" t="s">
        <v>122</v>
      </c>
      <c r="F1087" s="1" t="s">
        <v>6996</v>
      </c>
      <c r="G1087" s="3" t="s">
        <v>6997</v>
      </c>
      <c r="H1087" s="11">
        <f t="shared" si="32"/>
        <v>61.52</v>
      </c>
      <c r="I1087" s="9">
        <f>($K$2+0.02)*Tabla1[[#This Row],[PRECIO $]]*1.18</f>
        <v>46.816500000000005</v>
      </c>
      <c r="J1087" s="7">
        <f>+Tabla1[[#This Row],[PRECIO EN SOLES]]-Tabla1[[#This Row],[PC]]</f>
        <v>14.703499999999998</v>
      </c>
      <c r="K1087" s="15"/>
      <c r="L1087" s="15" t="str">
        <f t="shared" si="33"/>
        <v>COMPLEMENTO</v>
      </c>
    </row>
    <row r="1088" spans="1:12" x14ac:dyDescent="0.25">
      <c r="A1088" s="3" t="s">
        <v>6998</v>
      </c>
      <c r="B1088" s="3" t="s">
        <v>6999</v>
      </c>
      <c r="C1088" s="1">
        <v>20</v>
      </c>
      <c r="D1088" s="1">
        <v>11.5</v>
      </c>
      <c r="E1088" s="1" t="s">
        <v>122</v>
      </c>
      <c r="F1088" s="1" t="s">
        <v>7000</v>
      </c>
      <c r="G1088" s="3" t="s">
        <v>7001</v>
      </c>
      <c r="H1088" s="11">
        <f t="shared" si="32"/>
        <v>61.52</v>
      </c>
      <c r="I1088" s="9">
        <f>($K$2+0.02)*Tabla1[[#This Row],[PRECIO $]]*1.18</f>
        <v>46.816500000000005</v>
      </c>
      <c r="J1088" s="7">
        <f>+Tabla1[[#This Row],[PRECIO EN SOLES]]-Tabla1[[#This Row],[PC]]</f>
        <v>14.703499999999998</v>
      </c>
      <c r="K1088" s="15"/>
      <c r="L1088" s="15" t="str">
        <f t="shared" si="33"/>
        <v>COMPLEMENTO</v>
      </c>
    </row>
    <row r="1089" spans="1:12" x14ac:dyDescent="0.25">
      <c r="A1089" s="3" t="s">
        <v>2501</v>
      </c>
      <c r="B1089" s="3" t="s">
        <v>2502</v>
      </c>
      <c r="C1089" s="1">
        <v>1</v>
      </c>
      <c r="D1089" s="1">
        <v>4.3</v>
      </c>
      <c r="E1089" s="1" t="s">
        <v>131</v>
      </c>
      <c r="F1089" s="1" t="s">
        <v>5563</v>
      </c>
      <c r="G1089" s="3" t="s">
        <v>2503</v>
      </c>
      <c r="H1089" s="11">
        <f t="shared" si="32"/>
        <v>23.38</v>
      </c>
      <c r="I1089" s="9">
        <f>($K$2+0.02)*Tabla1[[#This Row],[PRECIO $]]*1.18</f>
        <v>17.505300000000002</v>
      </c>
      <c r="J1089" s="7">
        <f>+Tabla1[[#This Row],[PRECIO EN SOLES]]-Tabla1[[#This Row],[PC]]</f>
        <v>5.8746999999999971</v>
      </c>
      <c r="K1089" s="15"/>
      <c r="L1089" s="15" t="str">
        <f t="shared" si="33"/>
        <v>COMPLEMENTO</v>
      </c>
    </row>
    <row r="1090" spans="1:12" x14ac:dyDescent="0.25">
      <c r="A1090" s="3" t="s">
        <v>2504</v>
      </c>
      <c r="B1090" s="3" t="s">
        <v>2505</v>
      </c>
      <c r="C1090" s="1">
        <v>20</v>
      </c>
      <c r="D1090" s="1">
        <v>3.6</v>
      </c>
      <c r="E1090" s="1" t="s">
        <v>122</v>
      </c>
      <c r="F1090" s="1" t="s">
        <v>5564</v>
      </c>
      <c r="G1090" s="3" t="s">
        <v>2506</v>
      </c>
      <c r="H1090" s="11">
        <f t="shared" ref="H1090:H1153" si="34">ROUND(
IF(L1090="GANCHO",
   IF(I1090&lt;=50,I1090*1.1+4,IF(I1090&lt;=120,I1090*1.1+7,IF(I1090&lt;=250,I1090*1.1+11,I1090*1.1+19))),
IF(L1090="NORMAL",
   IF(I1090&lt;=30,I1090*1.15+2,IF(I1090&lt;=80,I1090*1.15+4,IF(I1090&lt;=150,I1090*1.15+6,I1090*1.15+8))),
IF(L1090="COMPLEMENTO",
   IF(I1090&lt;=25,I1090*1.25+1.5,IF(I1090&lt;=60,I1090*1.25+3,IF(I1090&lt;=120,I1090*1.25+4,I1090*1.25+5))),
""))),2)</f>
        <v>19.82</v>
      </c>
      <c r="I1090" s="9">
        <f>($K$2+0.02)*Tabla1[[#This Row],[PRECIO $]]*1.18</f>
        <v>14.655600000000002</v>
      </c>
      <c r="J1090" s="7">
        <f>+Tabla1[[#This Row],[PRECIO EN SOLES]]-Tabla1[[#This Row],[PC]]</f>
        <v>5.1643999999999988</v>
      </c>
      <c r="K1090" s="15"/>
      <c r="L1090" s="15" t="str">
        <f t="shared" si="33"/>
        <v>COMPLEMENTO</v>
      </c>
    </row>
    <row r="1091" spans="1:12" x14ac:dyDescent="0.25">
      <c r="A1091" s="3" t="s">
        <v>2507</v>
      </c>
      <c r="B1091" s="3" t="s">
        <v>2508</v>
      </c>
      <c r="C1091" s="1">
        <v>6</v>
      </c>
      <c r="D1091" s="1">
        <v>5.4</v>
      </c>
      <c r="E1091" s="1" t="s">
        <v>122</v>
      </c>
      <c r="F1091" s="1" t="s">
        <v>5565</v>
      </c>
      <c r="G1091" s="3" t="s">
        <v>2509</v>
      </c>
      <c r="H1091" s="11">
        <f t="shared" si="34"/>
        <v>28.98</v>
      </c>
      <c r="I1091" s="9">
        <f>($K$2+0.02)*Tabla1[[#This Row],[PRECIO $]]*1.18</f>
        <v>21.983400000000003</v>
      </c>
      <c r="J1091" s="7">
        <f>+Tabla1[[#This Row],[PRECIO EN SOLES]]-Tabla1[[#This Row],[PC]]</f>
        <v>6.9965999999999973</v>
      </c>
      <c r="K1091" s="15"/>
      <c r="L1091" s="15" t="str">
        <f t="shared" ref="L1091:L1154" si="35">IF(
OR(
ISNUMBER(SEARCH("BACKPACK",B1091)),
ISNUMBER(SEARCH("MOCHILA",B1091)),
ISNUMBER(SEARCH("FUNDA",B1091)),
ISNUMBER(SEARCH("ESTUCHE",B1091)),
ISNUMBER(SEARCH("BOOK COVER",B1091)),
ISNUMBER(SEARCH("KEYBOARD PARA TABLET",B1091)),
ISNUMBER(SEARCH("FLIP TABLET",B1091)),
ISNUMBER(SEARCH("CASE FOR TABLET",B1091)),
ISNUMBER(SEARCH("CABLE",B1091)),
ISNUMBER(SEARCH("ADAPTADOR",B1091)),
ISNUMBER(SEARCH("HUB",B1091)),
ISNUMBER(SEARCH("DOCK",B1091)),
ISNUMBER(SEARCH("MOUSE PAD",B1091)),
ISNUMBER(SEARCH("MOUSEPAD",B1091)),
ISNUMBER(SEARCH("SOPORTE",B1091)),
ISNUMBER(SEARCH("STAND",B1091)),
ISNUMBER(SEARCH("TRAVEL ADAPTER",B1091)),
ISNUMBER(SEARCH("RJ45",B1091)),
ISNUMBER(SEARCH("USB-C",B1091)),
ISNUMBER(SEARCH("USB WIFI",B1091)),
ISNUMBER(SEARCH("POWERBANK",B1091)),
ISNUMBER(SEARCH("CARGADOR",B1091)),
ISNUMBER(SEARCH("COOLER PARA NB",B1091)),
ISNUMBER(SEARCH("SOPORTE PARA NB",B1091)),
ISNUMBER(SEARCH("WEBCAM",B1091)),
ISNUMBER(SEARCH("WEB CAM",B1091)),
ISNUMBER(SEARCH("MOUSE",B1091)),
ISNUMBER(SEARCH("TECLADO",B1091))
),
"COMPLEMENTO",
IF(
OR(
LEFT(A1091,2)="NB",
LEFT(A1091,2)="PC",
LEFT(A1091,2)="WS",
LEFT(A1091,2)="TB",
LEFT(A1091,3)="CEL",
LEFT(A1091,3)="MON",
LEFT(A1091,3)="PRE",
LEFT(A1091,3)="PRH",
ISNUMBER(SEARCH("NOTEBOOK",B1091)),
ISNUMBER(SEARCH("LAPTOP",B1091)),
ISNUMBER(SEARCH("MONITOR",B1091)),
ISNUMBER(SEARCH("TABLET",B1091)),
ISNUMBER(SEARCH("SMARTPH",B1091)),
ISNUMBER(SEARCH("IMPRESORA",B1091)),
ISNUMBER(SEARCH("MULTIFUNCIONAL",B1091)),
ISNUMBER(SEARCH("AIO",B1091))
),
"GANCHO",
"NORMAL"
)
)</f>
        <v>COMPLEMENTO</v>
      </c>
    </row>
    <row r="1092" spans="1:12" x14ac:dyDescent="0.25">
      <c r="A1092" s="3" t="s">
        <v>2510</v>
      </c>
      <c r="B1092" s="3" t="s">
        <v>2511</v>
      </c>
      <c r="C1092" s="1">
        <v>20</v>
      </c>
      <c r="D1092" s="1">
        <v>5.4</v>
      </c>
      <c r="E1092" s="1" t="s">
        <v>122</v>
      </c>
      <c r="F1092" s="1" t="s">
        <v>5566</v>
      </c>
      <c r="G1092" s="3" t="s">
        <v>2512</v>
      </c>
      <c r="H1092" s="11">
        <f t="shared" si="34"/>
        <v>28.98</v>
      </c>
      <c r="I1092" s="9">
        <f>($K$2+0.02)*Tabla1[[#This Row],[PRECIO $]]*1.18</f>
        <v>21.983400000000003</v>
      </c>
      <c r="J1092" s="7">
        <f>+Tabla1[[#This Row],[PRECIO EN SOLES]]-Tabla1[[#This Row],[PC]]</f>
        <v>6.9965999999999973</v>
      </c>
      <c r="K1092" s="15"/>
      <c r="L1092" s="15" t="str">
        <f t="shared" si="35"/>
        <v>COMPLEMENTO</v>
      </c>
    </row>
    <row r="1093" spans="1:12" x14ac:dyDescent="0.25">
      <c r="A1093" s="3" t="s">
        <v>2513</v>
      </c>
      <c r="B1093" s="3" t="s">
        <v>2514</v>
      </c>
      <c r="C1093" s="1">
        <v>20</v>
      </c>
      <c r="D1093" s="1">
        <v>5.4</v>
      </c>
      <c r="E1093" s="1" t="s">
        <v>122</v>
      </c>
      <c r="F1093" s="1" t="s">
        <v>5567</v>
      </c>
      <c r="G1093" s="3" t="s">
        <v>2515</v>
      </c>
      <c r="H1093" s="11">
        <f t="shared" si="34"/>
        <v>28.98</v>
      </c>
      <c r="I1093" s="9">
        <f>($K$2+0.02)*Tabla1[[#This Row],[PRECIO $]]*1.18</f>
        <v>21.983400000000003</v>
      </c>
      <c r="J1093" s="7">
        <f>+Tabla1[[#This Row],[PRECIO EN SOLES]]-Tabla1[[#This Row],[PC]]</f>
        <v>6.9965999999999973</v>
      </c>
      <c r="K1093" s="15"/>
      <c r="L1093" s="15" t="str">
        <f t="shared" si="35"/>
        <v>COMPLEMENTO</v>
      </c>
    </row>
    <row r="1094" spans="1:12" x14ac:dyDescent="0.25">
      <c r="A1094" s="3" t="s">
        <v>2516</v>
      </c>
      <c r="B1094" s="3" t="s">
        <v>2517</v>
      </c>
      <c r="C1094" s="1">
        <v>20</v>
      </c>
      <c r="D1094" s="1">
        <v>3.6</v>
      </c>
      <c r="E1094" s="1" t="s">
        <v>122</v>
      </c>
      <c r="F1094" s="1" t="s">
        <v>5568</v>
      </c>
      <c r="G1094" s="3" t="s">
        <v>2518</v>
      </c>
      <c r="H1094" s="11">
        <f t="shared" si="34"/>
        <v>19.82</v>
      </c>
      <c r="I1094" s="9">
        <f>($K$2+0.02)*Tabla1[[#This Row],[PRECIO $]]*1.18</f>
        <v>14.655600000000002</v>
      </c>
      <c r="J1094" s="7">
        <f>+Tabla1[[#This Row],[PRECIO EN SOLES]]-Tabla1[[#This Row],[PC]]</f>
        <v>5.1643999999999988</v>
      </c>
      <c r="K1094" s="15"/>
      <c r="L1094" s="15" t="str">
        <f t="shared" si="35"/>
        <v>COMPLEMENTO</v>
      </c>
    </row>
    <row r="1095" spans="1:12" x14ac:dyDescent="0.25">
      <c r="A1095" s="3" t="s">
        <v>7002</v>
      </c>
      <c r="B1095" s="3" t="s">
        <v>2499</v>
      </c>
      <c r="C1095" s="1">
        <v>0</v>
      </c>
      <c r="D1095" s="1">
        <v>999</v>
      </c>
      <c r="E1095" s="1" t="s">
        <v>122</v>
      </c>
      <c r="F1095" s="1" t="s">
        <v>7003</v>
      </c>
      <c r="G1095" s="3"/>
      <c r="H1095" s="11">
        <f t="shared" si="34"/>
        <v>5088.66</v>
      </c>
      <c r="I1095" s="9">
        <f>($K$2+0.02)*Tabla1[[#This Row],[PRECIO $]]*1.18</f>
        <v>4066.9290000000001</v>
      </c>
      <c r="J1095" s="7">
        <f>+Tabla1[[#This Row],[PRECIO EN SOLES]]-Tabla1[[#This Row],[PC]]</f>
        <v>1021.7309999999998</v>
      </c>
      <c r="K1095" s="15"/>
      <c r="L1095" s="15" t="str">
        <f t="shared" si="35"/>
        <v>COMPLEMENTO</v>
      </c>
    </row>
    <row r="1096" spans="1:12" x14ac:dyDescent="0.25">
      <c r="A1096" s="3" t="s">
        <v>7004</v>
      </c>
      <c r="B1096" s="3" t="s">
        <v>2514</v>
      </c>
      <c r="C1096" s="1">
        <v>0</v>
      </c>
      <c r="D1096" s="1">
        <v>999</v>
      </c>
      <c r="E1096" s="1" t="s">
        <v>122</v>
      </c>
      <c r="F1096" s="1" t="s">
        <v>7005</v>
      </c>
      <c r="G1096" s="3"/>
      <c r="H1096" s="11">
        <f t="shared" si="34"/>
        <v>5088.66</v>
      </c>
      <c r="I1096" s="9">
        <f>($K$2+0.02)*Tabla1[[#This Row],[PRECIO $]]*1.18</f>
        <v>4066.9290000000001</v>
      </c>
      <c r="J1096" s="7">
        <f>+Tabla1[[#This Row],[PRECIO EN SOLES]]-Tabla1[[#This Row],[PC]]</f>
        <v>1021.7309999999998</v>
      </c>
      <c r="K1096" s="15"/>
      <c r="L1096" s="15" t="str">
        <f t="shared" si="35"/>
        <v>COMPLEMENTO</v>
      </c>
    </row>
    <row r="1097" spans="1:12" x14ac:dyDescent="0.25">
      <c r="A1097" s="3" t="s">
        <v>2519</v>
      </c>
      <c r="B1097" s="3" t="s">
        <v>2508</v>
      </c>
      <c r="C1097" s="1">
        <v>0</v>
      </c>
      <c r="D1097" s="1">
        <v>999</v>
      </c>
      <c r="E1097" s="1" t="s">
        <v>242</v>
      </c>
      <c r="F1097" s="1" t="s">
        <v>5569</v>
      </c>
      <c r="G1097" s="3"/>
      <c r="H1097" s="11">
        <f t="shared" si="34"/>
        <v>5088.66</v>
      </c>
      <c r="I1097" s="9">
        <f>($K$2+0.02)*Tabla1[[#This Row],[PRECIO $]]*1.18</f>
        <v>4066.9290000000001</v>
      </c>
      <c r="J1097" s="7">
        <f>+Tabla1[[#This Row],[PRECIO EN SOLES]]-Tabla1[[#This Row],[PC]]</f>
        <v>1021.7309999999998</v>
      </c>
      <c r="K1097" s="15"/>
      <c r="L1097" s="15" t="str">
        <f t="shared" si="35"/>
        <v>COMPLEMENTO</v>
      </c>
    </row>
    <row r="1098" spans="1:12" x14ac:dyDescent="0.25">
      <c r="A1098" s="3" t="s">
        <v>2520</v>
      </c>
      <c r="B1098" s="3" t="s">
        <v>2521</v>
      </c>
      <c r="C1098" s="1">
        <v>20</v>
      </c>
      <c r="D1098" s="1">
        <v>2.15</v>
      </c>
      <c r="E1098" s="1" t="s">
        <v>122</v>
      </c>
      <c r="F1098" s="1" t="s">
        <v>5570</v>
      </c>
      <c r="G1098" s="3" t="s">
        <v>2522</v>
      </c>
      <c r="H1098" s="11">
        <f t="shared" si="34"/>
        <v>12.44</v>
      </c>
      <c r="I1098" s="9">
        <f>($K$2+0.02)*Tabla1[[#This Row],[PRECIO $]]*1.18</f>
        <v>8.7526500000000009</v>
      </c>
      <c r="J1098" s="7">
        <f>+Tabla1[[#This Row],[PRECIO EN SOLES]]-Tabla1[[#This Row],[PC]]</f>
        <v>3.6873499999999986</v>
      </c>
      <c r="K1098" s="15"/>
      <c r="L1098" s="15" t="str">
        <f t="shared" si="35"/>
        <v>COMPLEMENTO</v>
      </c>
    </row>
    <row r="1099" spans="1:12" x14ac:dyDescent="0.25">
      <c r="A1099" s="3" t="s">
        <v>2523</v>
      </c>
      <c r="B1099" s="3" t="s">
        <v>2524</v>
      </c>
      <c r="C1099" s="1">
        <v>20</v>
      </c>
      <c r="D1099" s="1">
        <v>2.15</v>
      </c>
      <c r="E1099" s="1" t="s">
        <v>122</v>
      </c>
      <c r="F1099" s="1" t="s">
        <v>5571</v>
      </c>
      <c r="G1099" s="3" t="s">
        <v>2525</v>
      </c>
      <c r="H1099" s="11">
        <f t="shared" si="34"/>
        <v>12.44</v>
      </c>
      <c r="I1099" s="9">
        <f>($K$2+0.02)*Tabla1[[#This Row],[PRECIO $]]*1.18</f>
        <v>8.7526500000000009</v>
      </c>
      <c r="J1099" s="7">
        <f>+Tabla1[[#This Row],[PRECIO EN SOLES]]-Tabla1[[#This Row],[PC]]</f>
        <v>3.6873499999999986</v>
      </c>
      <c r="K1099" s="15"/>
      <c r="L1099" s="15" t="str">
        <f t="shared" si="35"/>
        <v>COMPLEMENTO</v>
      </c>
    </row>
    <row r="1100" spans="1:12" x14ac:dyDescent="0.25">
      <c r="A1100" s="3" t="s">
        <v>2526</v>
      </c>
      <c r="B1100" s="3" t="s">
        <v>2527</v>
      </c>
      <c r="C1100" s="1">
        <v>20</v>
      </c>
      <c r="D1100" s="1">
        <v>2.15</v>
      </c>
      <c r="E1100" s="1" t="s">
        <v>122</v>
      </c>
      <c r="F1100" s="1" t="s">
        <v>5572</v>
      </c>
      <c r="G1100" s="3" t="s">
        <v>2528</v>
      </c>
      <c r="H1100" s="11">
        <f t="shared" si="34"/>
        <v>12.44</v>
      </c>
      <c r="I1100" s="9">
        <f>($K$2+0.02)*Tabla1[[#This Row],[PRECIO $]]*1.18</f>
        <v>8.7526500000000009</v>
      </c>
      <c r="J1100" s="7">
        <f>+Tabla1[[#This Row],[PRECIO EN SOLES]]-Tabla1[[#This Row],[PC]]</f>
        <v>3.6873499999999986</v>
      </c>
      <c r="K1100" s="15"/>
      <c r="L1100" s="15" t="str">
        <f t="shared" si="35"/>
        <v>COMPLEMENTO</v>
      </c>
    </row>
    <row r="1101" spans="1:12" x14ac:dyDescent="0.25">
      <c r="A1101" s="3" t="s">
        <v>2529</v>
      </c>
      <c r="B1101" s="3" t="s">
        <v>2530</v>
      </c>
      <c r="C1101" s="1">
        <v>20</v>
      </c>
      <c r="D1101" s="1">
        <v>17.05</v>
      </c>
      <c r="E1101" s="1" t="s">
        <v>340</v>
      </c>
      <c r="F1101" s="1" t="s">
        <v>5573</v>
      </c>
      <c r="G1101" s="3" t="s">
        <v>2531</v>
      </c>
      <c r="H1101" s="11">
        <f t="shared" si="34"/>
        <v>90.76</v>
      </c>
      <c r="I1101" s="9">
        <f>($K$2+0.02)*Tabla1[[#This Row],[PRECIO $]]*1.18</f>
        <v>69.410550000000001</v>
      </c>
      <c r="J1101" s="7">
        <f>+Tabla1[[#This Row],[PRECIO EN SOLES]]-Tabla1[[#This Row],[PC]]</f>
        <v>21.349450000000004</v>
      </c>
      <c r="K1101" s="15"/>
      <c r="L1101" s="15" t="str">
        <f t="shared" si="35"/>
        <v>COMPLEMENTO</v>
      </c>
    </row>
    <row r="1102" spans="1:12" x14ac:dyDescent="0.25">
      <c r="A1102" s="3" t="s">
        <v>2532</v>
      </c>
      <c r="B1102" s="3" t="s">
        <v>2533</v>
      </c>
      <c r="C1102" s="1">
        <v>0</v>
      </c>
      <c r="D1102" s="1">
        <v>9999999.9900000002</v>
      </c>
      <c r="E1102" s="1" t="s">
        <v>242</v>
      </c>
      <c r="F1102" s="1" t="s">
        <v>5574</v>
      </c>
      <c r="G1102" s="3"/>
      <c r="H1102" s="11">
        <f t="shared" si="34"/>
        <v>50887504.950000003</v>
      </c>
      <c r="I1102" s="9">
        <f>($K$2+0.02)*Tabla1[[#This Row],[PRECIO $]]*1.18</f>
        <v>40709999.959290005</v>
      </c>
      <c r="J1102" s="7">
        <f>+Tabla1[[#This Row],[PRECIO EN SOLES]]-Tabla1[[#This Row],[PC]]</f>
        <v>10177504.990709998</v>
      </c>
      <c r="K1102" s="15"/>
      <c r="L1102" s="15" t="str">
        <f t="shared" si="35"/>
        <v>COMPLEMENTO</v>
      </c>
    </row>
    <row r="1103" spans="1:12" x14ac:dyDescent="0.25">
      <c r="A1103" s="3" t="s">
        <v>2534</v>
      </c>
      <c r="B1103" s="3" t="s">
        <v>2535</v>
      </c>
      <c r="C1103" s="1">
        <v>20</v>
      </c>
      <c r="D1103" s="1">
        <v>70.45</v>
      </c>
      <c r="E1103" s="1" t="s">
        <v>340</v>
      </c>
      <c r="F1103" s="1" t="s">
        <v>5575</v>
      </c>
      <c r="G1103" s="3" t="s">
        <v>2536</v>
      </c>
      <c r="H1103" s="11">
        <f t="shared" si="34"/>
        <v>363.5</v>
      </c>
      <c r="I1103" s="9">
        <f>($K$2+0.02)*Tabla1[[#This Row],[PRECIO $]]*1.18</f>
        <v>286.80194999999998</v>
      </c>
      <c r="J1103" s="7">
        <f>+Tabla1[[#This Row],[PRECIO EN SOLES]]-Tabla1[[#This Row],[PC]]</f>
        <v>76.698050000000023</v>
      </c>
      <c r="K1103" s="15"/>
      <c r="L1103" s="15" t="str">
        <f t="shared" si="35"/>
        <v>COMPLEMENTO</v>
      </c>
    </row>
    <row r="1104" spans="1:12" x14ac:dyDescent="0.25">
      <c r="A1104" s="3" t="s">
        <v>2537</v>
      </c>
      <c r="B1104" s="3" t="s">
        <v>2538</v>
      </c>
      <c r="C1104" s="1">
        <v>20</v>
      </c>
      <c r="D1104" s="1">
        <v>5.0999999999999996</v>
      </c>
      <c r="E1104" s="1" t="s">
        <v>122</v>
      </c>
      <c r="F1104" s="1" t="s">
        <v>5576</v>
      </c>
      <c r="G1104" s="3" t="s">
        <v>2539</v>
      </c>
      <c r="H1104" s="11">
        <f t="shared" si="34"/>
        <v>27.45</v>
      </c>
      <c r="I1104" s="9">
        <f>($K$2+0.02)*Tabla1[[#This Row],[PRECIO $]]*1.18</f>
        <v>20.762099999999997</v>
      </c>
      <c r="J1104" s="7">
        <f>+Tabla1[[#This Row],[PRECIO EN SOLES]]-Tabla1[[#This Row],[PC]]</f>
        <v>6.6879000000000026</v>
      </c>
      <c r="K1104" s="15"/>
      <c r="L1104" s="15" t="str">
        <f t="shared" si="35"/>
        <v>COMPLEMENTO</v>
      </c>
    </row>
    <row r="1105" spans="1:12" x14ac:dyDescent="0.25">
      <c r="A1105" s="3" t="s">
        <v>2540</v>
      </c>
      <c r="B1105" s="3" t="s">
        <v>2541</v>
      </c>
      <c r="C1105" s="1">
        <v>20</v>
      </c>
      <c r="D1105" s="1">
        <v>5.0999999999999996</v>
      </c>
      <c r="E1105" s="1" t="s">
        <v>122</v>
      </c>
      <c r="F1105" s="1" t="s">
        <v>5577</v>
      </c>
      <c r="G1105" s="3" t="s">
        <v>2542</v>
      </c>
      <c r="H1105" s="11">
        <f t="shared" si="34"/>
        <v>27.45</v>
      </c>
      <c r="I1105" s="9">
        <f>($K$2+0.02)*Tabla1[[#This Row],[PRECIO $]]*1.18</f>
        <v>20.762099999999997</v>
      </c>
      <c r="J1105" s="7">
        <f>+Tabla1[[#This Row],[PRECIO EN SOLES]]-Tabla1[[#This Row],[PC]]</f>
        <v>6.6879000000000026</v>
      </c>
      <c r="K1105" s="15"/>
      <c r="L1105" s="15" t="str">
        <f t="shared" si="35"/>
        <v>COMPLEMENTO</v>
      </c>
    </row>
    <row r="1106" spans="1:12" x14ac:dyDescent="0.25">
      <c r="A1106" s="3" t="s">
        <v>5578</v>
      </c>
      <c r="B1106" s="3" t="s">
        <v>5579</v>
      </c>
      <c r="C1106" s="1">
        <v>6</v>
      </c>
      <c r="D1106" s="1">
        <v>18.899999999999999</v>
      </c>
      <c r="E1106" s="1" t="s">
        <v>261</v>
      </c>
      <c r="F1106" s="1" t="s">
        <v>5580</v>
      </c>
      <c r="G1106" s="3" t="s">
        <v>5581</v>
      </c>
      <c r="H1106" s="11">
        <f t="shared" si="34"/>
        <v>92.48</v>
      </c>
      <c r="I1106" s="9">
        <f>($K$2+0.02)*Tabla1[[#This Row],[PRECIO $]]*1.18</f>
        <v>76.94189999999999</v>
      </c>
      <c r="J1106" s="7">
        <f>+Tabla1[[#This Row],[PRECIO EN SOLES]]-Tabla1[[#This Row],[PC]]</f>
        <v>15.538100000000014</v>
      </c>
      <c r="K1106" s="15"/>
      <c r="L1106" s="15" t="str">
        <f t="shared" si="35"/>
        <v>NORMAL</v>
      </c>
    </row>
    <row r="1107" spans="1:12" x14ac:dyDescent="0.25">
      <c r="A1107" s="3" t="s">
        <v>5582</v>
      </c>
      <c r="B1107" s="3" t="s">
        <v>5583</v>
      </c>
      <c r="C1107" s="1">
        <v>0</v>
      </c>
      <c r="D1107" s="1">
        <v>74.5</v>
      </c>
      <c r="E1107" s="1" t="s">
        <v>261</v>
      </c>
      <c r="F1107" s="1" t="s">
        <v>5584</v>
      </c>
      <c r="G1107" s="3" t="s">
        <v>5585</v>
      </c>
      <c r="H1107" s="11">
        <f t="shared" si="34"/>
        <v>356.78</v>
      </c>
      <c r="I1107" s="9">
        <f>($K$2+0.02)*Tabla1[[#This Row],[PRECIO $]]*1.18</f>
        <v>303.28950000000003</v>
      </c>
      <c r="J1107" s="7">
        <f>+Tabla1[[#This Row],[PRECIO EN SOLES]]-Tabla1[[#This Row],[PC]]</f>
        <v>53.49049999999994</v>
      </c>
      <c r="K1107" s="15"/>
      <c r="L1107" s="15" t="str">
        <f t="shared" si="35"/>
        <v>NORMAL</v>
      </c>
    </row>
    <row r="1108" spans="1:12" x14ac:dyDescent="0.25">
      <c r="A1108" s="3" t="s">
        <v>5586</v>
      </c>
      <c r="B1108" s="3" t="s">
        <v>5587</v>
      </c>
      <c r="C1108" s="1">
        <v>15</v>
      </c>
      <c r="D1108" s="1">
        <v>15.9</v>
      </c>
      <c r="E1108" s="1" t="s">
        <v>261</v>
      </c>
      <c r="F1108" s="1" t="s">
        <v>5588</v>
      </c>
      <c r="G1108" s="3" t="s">
        <v>5589</v>
      </c>
      <c r="H1108" s="11">
        <f t="shared" si="34"/>
        <v>84.91</v>
      </c>
      <c r="I1108" s="9">
        <f>($K$2+0.02)*Tabla1[[#This Row],[PRECIO $]]*1.18</f>
        <v>64.728899999999996</v>
      </c>
      <c r="J1108" s="7">
        <f>+Tabla1[[#This Row],[PRECIO EN SOLES]]-Tabla1[[#This Row],[PC]]</f>
        <v>20.181100000000001</v>
      </c>
      <c r="K1108" s="15"/>
      <c r="L1108" s="15" t="str">
        <f t="shared" si="35"/>
        <v>COMPLEMENTO</v>
      </c>
    </row>
    <row r="1109" spans="1:12" x14ac:dyDescent="0.25">
      <c r="A1109" s="3" t="s">
        <v>5590</v>
      </c>
      <c r="B1109" s="3" t="s">
        <v>5591</v>
      </c>
      <c r="C1109" s="1">
        <v>5</v>
      </c>
      <c r="D1109" s="1">
        <v>12.1</v>
      </c>
      <c r="E1109" s="1" t="s">
        <v>269</v>
      </c>
      <c r="F1109" s="1" t="s">
        <v>5592</v>
      </c>
      <c r="G1109" s="3" t="s">
        <v>5593</v>
      </c>
      <c r="H1109" s="11">
        <f t="shared" si="34"/>
        <v>64.569999999999993</v>
      </c>
      <c r="I1109" s="9">
        <f>($K$2+0.02)*Tabla1[[#This Row],[PRECIO $]]*1.18</f>
        <v>49.259099999999997</v>
      </c>
      <c r="J1109" s="7">
        <f>+Tabla1[[#This Row],[PRECIO EN SOLES]]-Tabla1[[#This Row],[PC]]</f>
        <v>15.310899999999997</v>
      </c>
      <c r="K1109" s="15"/>
      <c r="L1109" s="15" t="str">
        <f t="shared" si="35"/>
        <v>COMPLEMENTO</v>
      </c>
    </row>
    <row r="1110" spans="1:12" x14ac:dyDescent="0.25">
      <c r="A1110" s="3" t="s">
        <v>2543</v>
      </c>
      <c r="B1110" s="3" t="s">
        <v>2544</v>
      </c>
      <c r="C1110" s="1">
        <v>9</v>
      </c>
      <c r="D1110" s="1">
        <v>2.5</v>
      </c>
      <c r="E1110" s="1" t="s">
        <v>122</v>
      </c>
      <c r="F1110" s="1" t="s">
        <v>5594</v>
      </c>
      <c r="G1110" s="3" t="s">
        <v>2545</v>
      </c>
      <c r="H1110" s="11">
        <f t="shared" si="34"/>
        <v>14.22</v>
      </c>
      <c r="I1110" s="9">
        <f>($K$2+0.02)*Tabla1[[#This Row],[PRECIO $]]*1.18</f>
        <v>10.1775</v>
      </c>
      <c r="J1110" s="7">
        <f>+Tabla1[[#This Row],[PRECIO EN SOLES]]-Tabla1[[#This Row],[PC]]</f>
        <v>4.0425000000000004</v>
      </c>
      <c r="K1110" s="15"/>
      <c r="L1110" s="15" t="str">
        <f t="shared" si="35"/>
        <v>COMPLEMENTO</v>
      </c>
    </row>
    <row r="1111" spans="1:12" x14ac:dyDescent="0.25">
      <c r="A1111" s="3" t="s">
        <v>2546</v>
      </c>
      <c r="B1111" s="3" t="s">
        <v>2547</v>
      </c>
      <c r="C1111" s="1">
        <v>20</v>
      </c>
      <c r="D1111" s="1">
        <v>2.5</v>
      </c>
      <c r="E1111" s="1" t="s">
        <v>122</v>
      </c>
      <c r="F1111" s="1" t="s">
        <v>5595</v>
      </c>
      <c r="G1111" s="3" t="s">
        <v>2548</v>
      </c>
      <c r="H1111" s="11">
        <f t="shared" si="34"/>
        <v>14.22</v>
      </c>
      <c r="I1111" s="9">
        <f>($K$2+0.02)*Tabla1[[#This Row],[PRECIO $]]*1.18</f>
        <v>10.1775</v>
      </c>
      <c r="J1111" s="7">
        <f>+Tabla1[[#This Row],[PRECIO EN SOLES]]-Tabla1[[#This Row],[PC]]</f>
        <v>4.0425000000000004</v>
      </c>
      <c r="K1111" s="15"/>
      <c r="L1111" s="15" t="str">
        <f t="shared" si="35"/>
        <v>COMPLEMENTO</v>
      </c>
    </row>
    <row r="1112" spans="1:12" x14ac:dyDescent="0.25">
      <c r="A1112" s="3" t="s">
        <v>2549</v>
      </c>
      <c r="B1112" s="3" t="s">
        <v>2550</v>
      </c>
      <c r="C1112" s="1">
        <v>16</v>
      </c>
      <c r="D1112" s="1">
        <v>2.5</v>
      </c>
      <c r="E1112" s="1" t="s">
        <v>122</v>
      </c>
      <c r="F1112" s="1" t="s">
        <v>5596</v>
      </c>
      <c r="G1112" s="3" t="s">
        <v>2551</v>
      </c>
      <c r="H1112" s="11">
        <f t="shared" si="34"/>
        <v>14.22</v>
      </c>
      <c r="I1112" s="9">
        <f>($K$2+0.02)*Tabla1[[#This Row],[PRECIO $]]*1.18</f>
        <v>10.1775</v>
      </c>
      <c r="J1112" s="7">
        <f>+Tabla1[[#This Row],[PRECIO EN SOLES]]-Tabla1[[#This Row],[PC]]</f>
        <v>4.0425000000000004</v>
      </c>
      <c r="K1112" s="15"/>
      <c r="L1112" s="15" t="str">
        <f t="shared" si="35"/>
        <v>COMPLEMENTO</v>
      </c>
    </row>
    <row r="1113" spans="1:12" x14ac:dyDescent="0.25">
      <c r="A1113" s="3" t="s">
        <v>2552</v>
      </c>
      <c r="B1113" s="3" t="s">
        <v>2553</v>
      </c>
      <c r="C1113" s="1">
        <v>20</v>
      </c>
      <c r="D1113" s="1">
        <v>2.5</v>
      </c>
      <c r="E1113" s="1" t="s">
        <v>122</v>
      </c>
      <c r="F1113" s="1" t="s">
        <v>5597</v>
      </c>
      <c r="G1113" s="3" t="s">
        <v>2554</v>
      </c>
      <c r="H1113" s="11">
        <f t="shared" si="34"/>
        <v>14.22</v>
      </c>
      <c r="I1113" s="9">
        <f>($K$2+0.02)*Tabla1[[#This Row],[PRECIO $]]*1.18</f>
        <v>10.1775</v>
      </c>
      <c r="J1113" s="7">
        <f>+Tabla1[[#This Row],[PRECIO EN SOLES]]-Tabla1[[#This Row],[PC]]</f>
        <v>4.0425000000000004</v>
      </c>
      <c r="K1113" s="15"/>
      <c r="L1113" s="15" t="str">
        <f t="shared" si="35"/>
        <v>COMPLEMENTO</v>
      </c>
    </row>
    <row r="1114" spans="1:12" x14ac:dyDescent="0.25">
      <c r="A1114" s="3" t="s">
        <v>2555</v>
      </c>
      <c r="B1114" s="3" t="s">
        <v>2556</v>
      </c>
      <c r="C1114" s="1">
        <v>20</v>
      </c>
      <c r="D1114" s="1">
        <v>2.5</v>
      </c>
      <c r="E1114" s="1" t="s">
        <v>122</v>
      </c>
      <c r="F1114" s="1" t="s">
        <v>5598</v>
      </c>
      <c r="G1114" s="3" t="s">
        <v>2557</v>
      </c>
      <c r="H1114" s="11">
        <f t="shared" si="34"/>
        <v>14.22</v>
      </c>
      <c r="I1114" s="9">
        <f>($K$2+0.02)*Tabla1[[#This Row],[PRECIO $]]*1.18</f>
        <v>10.1775</v>
      </c>
      <c r="J1114" s="7">
        <f>+Tabla1[[#This Row],[PRECIO EN SOLES]]-Tabla1[[#This Row],[PC]]</f>
        <v>4.0425000000000004</v>
      </c>
      <c r="K1114" s="15"/>
      <c r="L1114" s="15" t="str">
        <f t="shared" si="35"/>
        <v>COMPLEMENTO</v>
      </c>
    </row>
    <row r="1115" spans="1:12" x14ac:dyDescent="0.25">
      <c r="A1115" s="3" t="s">
        <v>5599</v>
      </c>
      <c r="B1115" s="3" t="s">
        <v>5600</v>
      </c>
      <c r="C1115" s="1">
        <v>0</v>
      </c>
      <c r="D1115" s="1">
        <v>9.4</v>
      </c>
      <c r="E1115" s="1" t="s">
        <v>261</v>
      </c>
      <c r="F1115" s="1" t="s">
        <v>5601</v>
      </c>
      <c r="G1115" s="3" t="s">
        <v>5602</v>
      </c>
      <c r="H1115" s="11">
        <f t="shared" si="34"/>
        <v>50.83</v>
      </c>
      <c r="I1115" s="9">
        <f>($K$2+0.02)*Tabla1[[#This Row],[PRECIO $]]*1.18</f>
        <v>38.267399999999995</v>
      </c>
      <c r="J1115" s="7">
        <f>+Tabla1[[#This Row],[PRECIO EN SOLES]]-Tabla1[[#This Row],[PC]]</f>
        <v>12.562600000000003</v>
      </c>
      <c r="K1115" s="15"/>
      <c r="L1115" s="15" t="str">
        <f t="shared" si="35"/>
        <v>COMPLEMENTO</v>
      </c>
    </row>
    <row r="1116" spans="1:12" x14ac:dyDescent="0.25">
      <c r="A1116" s="3" t="s">
        <v>7006</v>
      </c>
      <c r="B1116" s="3" t="s">
        <v>2547</v>
      </c>
      <c r="C1116" s="1">
        <v>0</v>
      </c>
      <c r="D1116" s="1">
        <v>999</v>
      </c>
      <c r="E1116" s="1" t="s">
        <v>122</v>
      </c>
      <c r="F1116" s="1" t="s">
        <v>7007</v>
      </c>
      <c r="G1116" s="3"/>
      <c r="H1116" s="11">
        <f t="shared" si="34"/>
        <v>5088.66</v>
      </c>
      <c r="I1116" s="9">
        <f>($K$2+0.02)*Tabla1[[#This Row],[PRECIO $]]*1.18</f>
        <v>4066.9290000000001</v>
      </c>
      <c r="J1116" s="7">
        <f>+Tabla1[[#This Row],[PRECIO EN SOLES]]-Tabla1[[#This Row],[PC]]</f>
        <v>1021.7309999999998</v>
      </c>
      <c r="K1116" s="15"/>
      <c r="L1116" s="15" t="str">
        <f t="shared" si="35"/>
        <v>COMPLEMENTO</v>
      </c>
    </row>
    <row r="1117" spans="1:12" x14ac:dyDescent="0.25">
      <c r="A1117" s="3" t="s">
        <v>2558</v>
      </c>
      <c r="B1117" s="3" t="s">
        <v>2559</v>
      </c>
      <c r="C1117" s="1">
        <v>20</v>
      </c>
      <c r="D1117" s="1">
        <v>1072.6199999999999</v>
      </c>
      <c r="E1117" s="1" t="s">
        <v>1300</v>
      </c>
      <c r="F1117" s="1" t="s">
        <v>5603</v>
      </c>
      <c r="G1117" s="3"/>
      <c r="H1117" s="11">
        <f t="shared" si="34"/>
        <v>5029.63</v>
      </c>
      <c r="I1117" s="9">
        <f>($K$2+0.02)*Tabla1[[#This Row],[PRECIO $]]*1.18</f>
        <v>4366.6360199999999</v>
      </c>
      <c r="J1117" s="7">
        <f>+Tabla1[[#This Row],[PRECIO EN SOLES]]-Tabla1[[#This Row],[PC]]</f>
        <v>662.99398000000019</v>
      </c>
      <c r="K1117" s="15"/>
      <c r="L1117" s="15" t="str">
        <f t="shared" si="35"/>
        <v>NORMAL</v>
      </c>
    </row>
    <row r="1118" spans="1:12" x14ac:dyDescent="0.25">
      <c r="A1118" s="3" t="s">
        <v>2560</v>
      </c>
      <c r="B1118" s="3" t="s">
        <v>2561</v>
      </c>
      <c r="C1118" s="1">
        <v>20</v>
      </c>
      <c r="D1118" s="1">
        <v>633.1</v>
      </c>
      <c r="E1118" s="1" t="s">
        <v>1300</v>
      </c>
      <c r="F1118" s="1" t="s">
        <v>5604</v>
      </c>
      <c r="G1118" s="3"/>
      <c r="H1118" s="11">
        <f t="shared" si="34"/>
        <v>3226.69</v>
      </c>
      <c r="I1118" s="9">
        <f>($K$2+0.02)*Tabla1[[#This Row],[PRECIO $]]*1.18</f>
        <v>2577.3501000000001</v>
      </c>
      <c r="J1118" s="7">
        <f>+Tabla1[[#This Row],[PRECIO EN SOLES]]-Tabla1[[#This Row],[PC]]</f>
        <v>649.33989999999994</v>
      </c>
      <c r="K1118" s="15"/>
      <c r="L1118" s="15" t="str">
        <f t="shared" si="35"/>
        <v>COMPLEMENTO</v>
      </c>
    </row>
    <row r="1119" spans="1:12" x14ac:dyDescent="0.25">
      <c r="A1119" s="3" t="s">
        <v>2562</v>
      </c>
      <c r="B1119" s="3" t="s">
        <v>2563</v>
      </c>
      <c r="C1119" s="1">
        <v>20</v>
      </c>
      <c r="D1119" s="1">
        <v>650</v>
      </c>
      <c r="E1119" s="1" t="s">
        <v>1300</v>
      </c>
      <c r="F1119" s="1" t="s">
        <v>5605</v>
      </c>
      <c r="G1119" s="3"/>
      <c r="H1119" s="11">
        <f t="shared" si="34"/>
        <v>3051.07</v>
      </c>
      <c r="I1119" s="9">
        <f>($K$2+0.02)*Tabla1[[#This Row],[PRECIO $]]*1.18</f>
        <v>2646.1499999999996</v>
      </c>
      <c r="J1119" s="7">
        <f>+Tabla1[[#This Row],[PRECIO EN SOLES]]-Tabla1[[#This Row],[PC]]</f>
        <v>404.92000000000053</v>
      </c>
      <c r="K1119" s="15"/>
      <c r="L1119" s="15" t="str">
        <f t="shared" si="35"/>
        <v>NORMAL</v>
      </c>
    </row>
    <row r="1120" spans="1:12" x14ac:dyDescent="0.25">
      <c r="A1120" s="3" t="s">
        <v>2564</v>
      </c>
      <c r="B1120" s="3" t="s">
        <v>2565</v>
      </c>
      <c r="C1120" s="1">
        <v>20</v>
      </c>
      <c r="D1120" s="1">
        <v>316</v>
      </c>
      <c r="E1120" s="1" t="s">
        <v>1300</v>
      </c>
      <c r="F1120" s="1" t="s">
        <v>5606</v>
      </c>
      <c r="G1120" s="3"/>
      <c r="H1120" s="11">
        <f t="shared" si="34"/>
        <v>1487.4</v>
      </c>
      <c r="I1120" s="9">
        <f>($K$2+0.02)*Tabla1[[#This Row],[PRECIO $]]*1.18</f>
        <v>1286.4359999999999</v>
      </c>
      <c r="J1120" s="7">
        <f>+Tabla1[[#This Row],[PRECIO EN SOLES]]-Tabla1[[#This Row],[PC]]</f>
        <v>200.96400000000017</v>
      </c>
      <c r="K1120" s="15"/>
      <c r="L1120" s="15" t="str">
        <f t="shared" si="35"/>
        <v>NORMAL</v>
      </c>
    </row>
    <row r="1121" spans="1:12" x14ac:dyDescent="0.25">
      <c r="A1121" s="3" t="s">
        <v>2566</v>
      </c>
      <c r="B1121" s="3" t="s">
        <v>2567</v>
      </c>
      <c r="C1121" s="1">
        <v>20</v>
      </c>
      <c r="D1121" s="1">
        <v>194.66</v>
      </c>
      <c r="E1121" s="1" t="s">
        <v>1300</v>
      </c>
      <c r="F1121" s="1" t="s">
        <v>5607</v>
      </c>
      <c r="G1121" s="3"/>
      <c r="H1121" s="11">
        <f t="shared" si="34"/>
        <v>919.33</v>
      </c>
      <c r="I1121" s="9">
        <f>($K$2+0.02)*Tabla1[[#This Row],[PRECIO $]]*1.18</f>
        <v>792.46085999999991</v>
      </c>
      <c r="J1121" s="7">
        <f>+Tabla1[[#This Row],[PRECIO EN SOLES]]-Tabla1[[#This Row],[PC]]</f>
        <v>126.86914000000013</v>
      </c>
      <c r="K1121" s="15"/>
      <c r="L1121" s="15" t="str">
        <f t="shared" si="35"/>
        <v>NORMAL</v>
      </c>
    </row>
    <row r="1122" spans="1:12" x14ac:dyDescent="0.25">
      <c r="A1122" s="3" t="s">
        <v>2568</v>
      </c>
      <c r="B1122" s="3" t="s">
        <v>2569</v>
      </c>
      <c r="C1122" s="1">
        <v>20</v>
      </c>
      <c r="D1122" s="1">
        <v>107.1</v>
      </c>
      <c r="E1122" s="1" t="s">
        <v>1300</v>
      </c>
      <c r="F1122" s="1" t="s">
        <v>5608</v>
      </c>
      <c r="G1122" s="3"/>
      <c r="H1122" s="11">
        <f t="shared" si="34"/>
        <v>509.4</v>
      </c>
      <c r="I1122" s="9">
        <f>($K$2+0.02)*Tabla1[[#This Row],[PRECIO $]]*1.18</f>
        <v>436.00409999999999</v>
      </c>
      <c r="J1122" s="7">
        <f>+Tabla1[[#This Row],[PRECIO EN SOLES]]-Tabla1[[#This Row],[PC]]</f>
        <v>73.395899999999983</v>
      </c>
      <c r="K1122" s="15"/>
      <c r="L1122" s="15" t="str">
        <f t="shared" si="35"/>
        <v>NORMAL</v>
      </c>
    </row>
    <row r="1123" spans="1:12" x14ac:dyDescent="0.25">
      <c r="A1123" s="3" t="s">
        <v>2570</v>
      </c>
      <c r="B1123" s="3" t="s">
        <v>2571</v>
      </c>
      <c r="C1123" s="1">
        <v>20</v>
      </c>
      <c r="D1123" s="1">
        <v>70.099999999999994</v>
      </c>
      <c r="E1123" s="1" t="s">
        <v>1300</v>
      </c>
      <c r="F1123" s="1" t="s">
        <v>5609</v>
      </c>
      <c r="G1123" s="3" t="s">
        <v>2572</v>
      </c>
      <c r="H1123" s="11">
        <f t="shared" si="34"/>
        <v>336.18</v>
      </c>
      <c r="I1123" s="9">
        <f>($K$2+0.02)*Tabla1[[#This Row],[PRECIO $]]*1.18</f>
        <v>285.37709999999998</v>
      </c>
      <c r="J1123" s="7">
        <f>+Tabla1[[#This Row],[PRECIO EN SOLES]]-Tabla1[[#This Row],[PC]]</f>
        <v>50.802900000000022</v>
      </c>
      <c r="K1123" s="15"/>
      <c r="L1123" s="15" t="str">
        <f t="shared" si="35"/>
        <v>NORMAL</v>
      </c>
    </row>
    <row r="1124" spans="1:12" x14ac:dyDescent="0.25">
      <c r="A1124" s="3" t="s">
        <v>2573</v>
      </c>
      <c r="B1124" s="3" t="s">
        <v>2574</v>
      </c>
      <c r="C1124" s="1">
        <v>20</v>
      </c>
      <c r="D1124" s="1">
        <v>56.9</v>
      </c>
      <c r="E1124" s="1" t="s">
        <v>1300</v>
      </c>
      <c r="F1124" s="1" t="s">
        <v>5610</v>
      </c>
      <c r="G1124" s="3" t="s">
        <v>2575</v>
      </c>
      <c r="H1124" s="11">
        <f t="shared" si="34"/>
        <v>274.39</v>
      </c>
      <c r="I1124" s="9">
        <f>($K$2+0.02)*Tabla1[[#This Row],[PRECIO $]]*1.18</f>
        <v>231.63989999999998</v>
      </c>
      <c r="J1124" s="7">
        <f>+Tabla1[[#This Row],[PRECIO EN SOLES]]-Tabla1[[#This Row],[PC]]</f>
        <v>42.750100000000003</v>
      </c>
      <c r="K1124" s="15"/>
      <c r="L1124" s="15" t="str">
        <f t="shared" si="35"/>
        <v>NORMAL</v>
      </c>
    </row>
    <row r="1125" spans="1:12" x14ac:dyDescent="0.25">
      <c r="A1125" s="3" t="s">
        <v>2576</v>
      </c>
      <c r="B1125" s="3" t="s">
        <v>2577</v>
      </c>
      <c r="C1125" s="1">
        <v>20</v>
      </c>
      <c r="D1125" s="1">
        <v>125.65</v>
      </c>
      <c r="E1125" s="1" t="s">
        <v>1300</v>
      </c>
      <c r="F1125" s="1" t="s">
        <v>5611</v>
      </c>
      <c r="G1125" s="3" t="s">
        <v>2578</v>
      </c>
      <c r="H1125" s="11">
        <f t="shared" si="34"/>
        <v>596.25</v>
      </c>
      <c r="I1125" s="9">
        <f>($K$2+0.02)*Tabla1[[#This Row],[PRECIO $]]*1.18</f>
        <v>511.52115000000003</v>
      </c>
      <c r="J1125" s="7">
        <f>+Tabla1[[#This Row],[PRECIO EN SOLES]]-Tabla1[[#This Row],[PC]]</f>
        <v>84.728849999999966</v>
      </c>
      <c r="K1125" s="15"/>
      <c r="L1125" s="15" t="str">
        <f t="shared" si="35"/>
        <v>NORMAL</v>
      </c>
    </row>
    <row r="1126" spans="1:12" x14ac:dyDescent="0.25">
      <c r="A1126" s="3" t="s">
        <v>2579</v>
      </c>
      <c r="B1126" s="3" t="s">
        <v>2580</v>
      </c>
      <c r="C1126" s="1">
        <v>20</v>
      </c>
      <c r="D1126" s="1">
        <v>82.93</v>
      </c>
      <c r="E1126" s="1" t="s">
        <v>1300</v>
      </c>
      <c r="F1126" s="1" t="s">
        <v>5612</v>
      </c>
      <c r="G1126" s="3" t="s">
        <v>2581</v>
      </c>
      <c r="H1126" s="11">
        <f t="shared" si="34"/>
        <v>396.25</v>
      </c>
      <c r="I1126" s="9">
        <f>($K$2+0.02)*Tabla1[[#This Row],[PRECIO $]]*1.18</f>
        <v>337.60803000000004</v>
      </c>
      <c r="J1126" s="7">
        <f>+Tabla1[[#This Row],[PRECIO EN SOLES]]-Tabla1[[#This Row],[PC]]</f>
        <v>58.641969999999958</v>
      </c>
      <c r="K1126" s="15"/>
      <c r="L1126" s="15" t="str">
        <f t="shared" si="35"/>
        <v>NORMAL</v>
      </c>
    </row>
    <row r="1127" spans="1:12" x14ac:dyDescent="0.25">
      <c r="A1127" s="3" t="s">
        <v>2582</v>
      </c>
      <c r="B1127" s="3" t="s">
        <v>2583</v>
      </c>
      <c r="C1127" s="1">
        <v>20</v>
      </c>
      <c r="D1127" s="1">
        <v>184.46</v>
      </c>
      <c r="E1127" s="1" t="s">
        <v>1300</v>
      </c>
      <c r="F1127" s="1" t="s">
        <v>5613</v>
      </c>
      <c r="G1127" s="3" t="s">
        <v>2584</v>
      </c>
      <c r="H1127" s="11">
        <f t="shared" si="34"/>
        <v>871.58</v>
      </c>
      <c r="I1127" s="9">
        <f>($K$2+0.02)*Tabla1[[#This Row],[PRECIO $]]*1.18</f>
        <v>750.93666000000007</v>
      </c>
      <c r="J1127" s="7">
        <f>+Tabla1[[#This Row],[PRECIO EN SOLES]]-Tabla1[[#This Row],[PC]]</f>
        <v>120.64333999999997</v>
      </c>
      <c r="K1127" s="15"/>
      <c r="L1127" s="15" t="str">
        <f t="shared" si="35"/>
        <v>NORMAL</v>
      </c>
    </row>
    <row r="1128" spans="1:12" x14ac:dyDescent="0.25">
      <c r="A1128" s="3" t="s">
        <v>2585</v>
      </c>
      <c r="B1128" s="3" t="s">
        <v>2586</v>
      </c>
      <c r="C1128" s="1">
        <v>20</v>
      </c>
      <c r="D1128" s="1">
        <v>121.47</v>
      </c>
      <c r="E1128" s="1" t="s">
        <v>1300</v>
      </c>
      <c r="F1128" s="1" t="s">
        <v>5614</v>
      </c>
      <c r="G1128" s="3" t="s">
        <v>2587</v>
      </c>
      <c r="H1128" s="11">
        <f t="shared" si="34"/>
        <v>576.67999999999995</v>
      </c>
      <c r="I1128" s="9">
        <f>($K$2+0.02)*Tabla1[[#This Row],[PRECIO $]]*1.18</f>
        <v>494.50436999999999</v>
      </c>
      <c r="J1128" s="7">
        <f>+Tabla1[[#This Row],[PRECIO EN SOLES]]-Tabla1[[#This Row],[PC]]</f>
        <v>82.175629999999956</v>
      </c>
      <c r="K1128" s="15"/>
      <c r="L1128" s="15" t="str">
        <f t="shared" si="35"/>
        <v>NORMAL</v>
      </c>
    </row>
    <row r="1129" spans="1:12" x14ac:dyDescent="0.25">
      <c r="A1129" s="3" t="s">
        <v>2588</v>
      </c>
      <c r="B1129" s="3" t="s">
        <v>2589</v>
      </c>
      <c r="C1129" s="1">
        <v>10</v>
      </c>
      <c r="D1129" s="1">
        <v>500</v>
      </c>
      <c r="E1129" s="1" t="s">
        <v>1300</v>
      </c>
      <c r="F1129" s="1" t="s">
        <v>5615</v>
      </c>
      <c r="G1129" s="3" t="s">
        <v>2590</v>
      </c>
      <c r="H1129" s="11">
        <f t="shared" si="34"/>
        <v>2348.83</v>
      </c>
      <c r="I1129" s="9">
        <f>($K$2+0.02)*Tabla1[[#This Row],[PRECIO $]]*1.18</f>
        <v>2035.5</v>
      </c>
      <c r="J1129" s="7">
        <f>+Tabla1[[#This Row],[PRECIO EN SOLES]]-Tabla1[[#This Row],[PC]]</f>
        <v>313.32999999999993</v>
      </c>
      <c r="K1129" s="15"/>
      <c r="L1129" s="15" t="str">
        <f t="shared" si="35"/>
        <v>NORMAL</v>
      </c>
    </row>
    <row r="1130" spans="1:12" x14ac:dyDescent="0.25">
      <c r="A1130" s="3" t="s">
        <v>2591</v>
      </c>
      <c r="B1130" s="3" t="s">
        <v>2592</v>
      </c>
      <c r="C1130" s="1">
        <v>1</v>
      </c>
      <c r="D1130" s="1">
        <v>3198</v>
      </c>
      <c r="E1130" s="1" t="s">
        <v>1300</v>
      </c>
      <c r="F1130" s="1" t="s">
        <v>5616</v>
      </c>
      <c r="G1130" s="3" t="s">
        <v>2593</v>
      </c>
      <c r="H1130" s="11">
        <f t="shared" si="34"/>
        <v>14979.92</v>
      </c>
      <c r="I1130" s="9">
        <f>($K$2+0.02)*Tabla1[[#This Row],[PRECIO $]]*1.18</f>
        <v>13019.057999999999</v>
      </c>
      <c r="J1130" s="7">
        <f>+Tabla1[[#This Row],[PRECIO EN SOLES]]-Tabla1[[#This Row],[PC]]</f>
        <v>1960.862000000001</v>
      </c>
      <c r="K1130" s="15"/>
      <c r="L1130" s="15" t="str">
        <f t="shared" si="35"/>
        <v>NORMAL</v>
      </c>
    </row>
    <row r="1131" spans="1:12" x14ac:dyDescent="0.25">
      <c r="A1131" s="3" t="s">
        <v>2594</v>
      </c>
      <c r="B1131" s="3" t="s">
        <v>2595</v>
      </c>
      <c r="C1131" s="1">
        <v>1</v>
      </c>
      <c r="D1131" s="1">
        <v>1039</v>
      </c>
      <c r="E1131" s="1" t="s">
        <v>1300</v>
      </c>
      <c r="F1131" s="1" t="s">
        <v>5617</v>
      </c>
      <c r="G1131" s="3" t="s">
        <v>2596</v>
      </c>
      <c r="H1131" s="11">
        <f t="shared" si="34"/>
        <v>4872.2299999999996</v>
      </c>
      <c r="I1131" s="9">
        <f>($K$2+0.02)*Tabla1[[#This Row],[PRECIO $]]*1.18</f>
        <v>4229.7690000000002</v>
      </c>
      <c r="J1131" s="7">
        <f>+Tabla1[[#This Row],[PRECIO EN SOLES]]-Tabla1[[#This Row],[PC]]</f>
        <v>642.46099999999933</v>
      </c>
      <c r="K1131" s="15"/>
      <c r="L1131" s="15" t="str">
        <f t="shared" si="35"/>
        <v>NORMAL</v>
      </c>
    </row>
    <row r="1132" spans="1:12" x14ac:dyDescent="0.25">
      <c r="A1132" s="3" t="s">
        <v>2597</v>
      </c>
      <c r="B1132" s="3" t="s">
        <v>2598</v>
      </c>
      <c r="C1132" s="1">
        <v>0</v>
      </c>
      <c r="D1132" s="1">
        <v>50</v>
      </c>
      <c r="E1132" s="1" t="s">
        <v>131</v>
      </c>
      <c r="F1132" s="1" t="s">
        <v>5618</v>
      </c>
      <c r="G1132" s="3" t="s">
        <v>2599</v>
      </c>
      <c r="H1132" s="11">
        <f t="shared" si="34"/>
        <v>234.91</v>
      </c>
      <c r="I1132" s="9">
        <f>($K$2+0.02)*Tabla1[[#This Row],[PRECIO $]]*1.18</f>
        <v>203.54999999999998</v>
      </c>
      <c r="J1132" s="7">
        <f>+Tabla1[[#This Row],[PRECIO EN SOLES]]-Tabla1[[#This Row],[PC]]</f>
        <v>31.360000000000014</v>
      </c>
      <c r="K1132" s="15"/>
      <c r="L1132" s="15" t="str">
        <f t="shared" si="35"/>
        <v>GANCHO</v>
      </c>
    </row>
    <row r="1133" spans="1:12" x14ac:dyDescent="0.25">
      <c r="A1133" s="3" t="s">
        <v>2600</v>
      </c>
      <c r="B1133" s="3" t="s">
        <v>2601</v>
      </c>
      <c r="C1133" s="1">
        <v>0</v>
      </c>
      <c r="D1133" s="1">
        <v>50</v>
      </c>
      <c r="E1133" s="1" t="s">
        <v>131</v>
      </c>
      <c r="F1133" s="1" t="s">
        <v>5619</v>
      </c>
      <c r="G1133" s="3"/>
      <c r="H1133" s="11">
        <f t="shared" si="34"/>
        <v>242.08</v>
      </c>
      <c r="I1133" s="9">
        <f>($K$2+0.02)*Tabla1[[#This Row],[PRECIO $]]*1.18</f>
        <v>203.54999999999998</v>
      </c>
      <c r="J1133" s="7">
        <f>+Tabla1[[#This Row],[PRECIO EN SOLES]]-Tabla1[[#This Row],[PC]]</f>
        <v>38.53000000000003</v>
      </c>
      <c r="K1133" s="15"/>
      <c r="L1133" s="15" t="str">
        <f t="shared" si="35"/>
        <v>NORMAL</v>
      </c>
    </row>
    <row r="1134" spans="1:12" x14ac:dyDescent="0.25">
      <c r="A1134" s="3" t="s">
        <v>2602</v>
      </c>
      <c r="B1134" s="3" t="s">
        <v>2603</v>
      </c>
      <c r="C1134" s="1">
        <v>14</v>
      </c>
      <c r="D1134" s="1">
        <v>33.4</v>
      </c>
      <c r="E1134" s="1" t="s">
        <v>1300</v>
      </c>
      <c r="F1134" s="1" t="s">
        <v>5620</v>
      </c>
      <c r="G1134" s="3" t="s">
        <v>2604</v>
      </c>
      <c r="H1134" s="11">
        <f t="shared" si="34"/>
        <v>162.37</v>
      </c>
      <c r="I1134" s="9">
        <f>($K$2+0.02)*Tabla1[[#This Row],[PRECIO $]]*1.18</f>
        <v>135.97139999999999</v>
      </c>
      <c r="J1134" s="7">
        <f>+Tabla1[[#This Row],[PRECIO EN SOLES]]-Tabla1[[#This Row],[PC]]</f>
        <v>26.398600000000016</v>
      </c>
      <c r="K1134" s="15"/>
      <c r="L1134" s="15" t="str">
        <f t="shared" si="35"/>
        <v>NORMAL</v>
      </c>
    </row>
    <row r="1135" spans="1:12" x14ac:dyDescent="0.25">
      <c r="A1135" s="3" t="s">
        <v>2605</v>
      </c>
      <c r="B1135" s="3" t="s">
        <v>2606</v>
      </c>
      <c r="C1135" s="1">
        <v>0</v>
      </c>
      <c r="D1135" s="1">
        <v>9999999.9900000002</v>
      </c>
      <c r="E1135" s="1" t="s">
        <v>2607</v>
      </c>
      <c r="F1135" s="1" t="s">
        <v>5621</v>
      </c>
      <c r="G1135" s="3" t="s">
        <v>2608</v>
      </c>
      <c r="H1135" s="11">
        <f t="shared" si="34"/>
        <v>46816507.950000003</v>
      </c>
      <c r="I1135" s="9">
        <f>($K$2+0.02)*Tabla1[[#This Row],[PRECIO $]]*1.18</f>
        <v>40709999.959290005</v>
      </c>
      <c r="J1135" s="7">
        <f>+Tabla1[[#This Row],[PRECIO EN SOLES]]-Tabla1[[#This Row],[PC]]</f>
        <v>6106507.9907099977</v>
      </c>
      <c r="K1135" s="15"/>
      <c r="L1135" s="15" t="str">
        <f t="shared" si="35"/>
        <v>NORMAL</v>
      </c>
    </row>
    <row r="1136" spans="1:12" x14ac:dyDescent="0.25">
      <c r="A1136" s="3" t="s">
        <v>2609</v>
      </c>
      <c r="B1136" s="3" t="s">
        <v>2610</v>
      </c>
      <c r="C1136" s="1">
        <v>0</v>
      </c>
      <c r="D1136" s="1">
        <v>999</v>
      </c>
      <c r="E1136" s="1" t="s">
        <v>1300</v>
      </c>
      <c r="F1136" s="1" t="s">
        <v>5622</v>
      </c>
      <c r="G1136" s="3" t="s">
        <v>2611</v>
      </c>
      <c r="H1136" s="11">
        <f t="shared" si="34"/>
        <v>4684.97</v>
      </c>
      <c r="I1136" s="9">
        <f>($K$2+0.02)*Tabla1[[#This Row],[PRECIO $]]*1.18</f>
        <v>4066.9290000000001</v>
      </c>
      <c r="J1136" s="7">
        <f>+Tabla1[[#This Row],[PRECIO EN SOLES]]-Tabla1[[#This Row],[PC]]</f>
        <v>618.04100000000017</v>
      </c>
      <c r="K1136" s="15"/>
      <c r="L1136" s="15" t="str">
        <f t="shared" si="35"/>
        <v>NORMAL</v>
      </c>
    </row>
    <row r="1137" spans="1:12" x14ac:dyDescent="0.25">
      <c r="A1137" s="3" t="s">
        <v>2612</v>
      </c>
      <c r="B1137" s="3" t="s">
        <v>2613</v>
      </c>
      <c r="C1137" s="1">
        <v>0</v>
      </c>
      <c r="D1137" s="1">
        <v>210.98</v>
      </c>
      <c r="E1137" s="1" t="s">
        <v>131</v>
      </c>
      <c r="F1137" s="1" t="s">
        <v>5623</v>
      </c>
      <c r="G1137" s="3" t="s">
        <v>2614</v>
      </c>
      <c r="H1137" s="11">
        <f t="shared" si="34"/>
        <v>995.73</v>
      </c>
      <c r="I1137" s="9">
        <f>($K$2+0.02)*Tabla1[[#This Row],[PRECIO $]]*1.18</f>
        <v>858.8995799999999</v>
      </c>
      <c r="J1137" s="7">
        <f>+Tabla1[[#This Row],[PRECIO EN SOLES]]-Tabla1[[#This Row],[PC]]</f>
        <v>136.83042000000012</v>
      </c>
      <c r="K1137" s="15"/>
      <c r="L1137" s="15" t="str">
        <f t="shared" si="35"/>
        <v>NORMAL</v>
      </c>
    </row>
    <row r="1138" spans="1:12" x14ac:dyDescent="0.25">
      <c r="A1138" s="3" t="s">
        <v>2615</v>
      </c>
      <c r="B1138" s="3" t="s">
        <v>2616</v>
      </c>
      <c r="C1138" s="1">
        <v>20</v>
      </c>
      <c r="D1138" s="1">
        <v>60</v>
      </c>
      <c r="E1138" s="1" t="s">
        <v>1300</v>
      </c>
      <c r="F1138" s="1" t="s">
        <v>5624</v>
      </c>
      <c r="G1138" s="3"/>
      <c r="H1138" s="11">
        <f t="shared" si="34"/>
        <v>288.89999999999998</v>
      </c>
      <c r="I1138" s="9">
        <f>($K$2+0.02)*Tabla1[[#This Row],[PRECIO $]]*1.18</f>
        <v>244.26</v>
      </c>
      <c r="J1138" s="7">
        <f>+Tabla1[[#This Row],[PRECIO EN SOLES]]-Tabla1[[#This Row],[PC]]</f>
        <v>44.639999999999986</v>
      </c>
      <c r="K1138" s="15"/>
      <c r="L1138" s="15" t="str">
        <f t="shared" si="35"/>
        <v>NORMAL</v>
      </c>
    </row>
    <row r="1139" spans="1:12" x14ac:dyDescent="0.25">
      <c r="A1139" s="3" t="s">
        <v>2617</v>
      </c>
      <c r="B1139" s="3" t="s">
        <v>2618</v>
      </c>
      <c r="C1139" s="1">
        <v>20</v>
      </c>
      <c r="D1139" s="1">
        <v>139.5</v>
      </c>
      <c r="E1139" s="1" t="s">
        <v>1300</v>
      </c>
      <c r="F1139" s="1" t="s">
        <v>5625</v>
      </c>
      <c r="G1139" s="3" t="s">
        <v>2619</v>
      </c>
      <c r="H1139" s="11">
        <f t="shared" si="34"/>
        <v>661.09</v>
      </c>
      <c r="I1139" s="9">
        <f>($K$2+0.02)*Tabla1[[#This Row],[PRECIO $]]*1.18</f>
        <v>567.90449999999998</v>
      </c>
      <c r="J1139" s="7">
        <f>+Tabla1[[#This Row],[PRECIO EN SOLES]]-Tabla1[[#This Row],[PC]]</f>
        <v>93.185500000000047</v>
      </c>
      <c r="K1139" s="15"/>
      <c r="L1139" s="15" t="str">
        <f t="shared" si="35"/>
        <v>NORMAL</v>
      </c>
    </row>
    <row r="1140" spans="1:12" x14ac:dyDescent="0.25">
      <c r="A1140" s="3" t="s">
        <v>2620</v>
      </c>
      <c r="B1140" s="3" t="s">
        <v>2621</v>
      </c>
      <c r="C1140" s="1">
        <v>0</v>
      </c>
      <c r="D1140" s="1">
        <v>161.4</v>
      </c>
      <c r="E1140" s="1" t="s">
        <v>131</v>
      </c>
      <c r="F1140" s="1" t="s">
        <v>5626</v>
      </c>
      <c r="G1140" s="3" t="s">
        <v>2622</v>
      </c>
      <c r="H1140" s="11">
        <f t="shared" si="34"/>
        <v>763.62</v>
      </c>
      <c r="I1140" s="9">
        <f>($K$2+0.02)*Tabla1[[#This Row],[PRECIO $]]*1.18</f>
        <v>657.05939999999998</v>
      </c>
      <c r="J1140" s="7">
        <f>+Tabla1[[#This Row],[PRECIO EN SOLES]]-Tabla1[[#This Row],[PC]]</f>
        <v>106.56060000000002</v>
      </c>
      <c r="K1140" s="15"/>
      <c r="L1140" s="15" t="str">
        <f t="shared" si="35"/>
        <v>NORMAL</v>
      </c>
    </row>
    <row r="1141" spans="1:12" x14ac:dyDescent="0.25">
      <c r="A1141" s="3" t="s">
        <v>2623</v>
      </c>
      <c r="B1141" s="3" t="s">
        <v>2624</v>
      </c>
      <c r="C1141" s="1">
        <v>20</v>
      </c>
      <c r="D1141" s="1">
        <v>112.5</v>
      </c>
      <c r="E1141" s="1" t="s">
        <v>1300</v>
      </c>
      <c r="F1141" s="1" t="s">
        <v>5627</v>
      </c>
      <c r="G1141" s="3" t="s">
        <v>2625</v>
      </c>
      <c r="H1141" s="11">
        <f t="shared" si="34"/>
        <v>534.69000000000005</v>
      </c>
      <c r="I1141" s="9">
        <f>($K$2+0.02)*Tabla1[[#This Row],[PRECIO $]]*1.18</f>
        <v>457.98749999999995</v>
      </c>
      <c r="J1141" s="7">
        <f>+Tabla1[[#This Row],[PRECIO EN SOLES]]-Tabla1[[#This Row],[PC]]</f>
        <v>76.7025000000001</v>
      </c>
      <c r="K1141" s="15"/>
      <c r="L1141" s="15" t="str">
        <f t="shared" si="35"/>
        <v>NORMAL</v>
      </c>
    </row>
    <row r="1142" spans="1:12" x14ac:dyDescent="0.25">
      <c r="A1142" s="3" t="s">
        <v>2626</v>
      </c>
      <c r="B1142" s="3" t="s">
        <v>2627</v>
      </c>
      <c r="C1142" s="1">
        <v>20</v>
      </c>
      <c r="D1142" s="1">
        <v>918.6</v>
      </c>
      <c r="E1142" s="1" t="s">
        <v>1300</v>
      </c>
      <c r="F1142" s="1" t="s">
        <v>5628</v>
      </c>
      <c r="G1142" s="3" t="s">
        <v>2628</v>
      </c>
      <c r="H1142" s="11">
        <f t="shared" si="34"/>
        <v>4308.5600000000004</v>
      </c>
      <c r="I1142" s="9">
        <f>($K$2+0.02)*Tabla1[[#This Row],[PRECIO $]]*1.18</f>
        <v>3739.6205999999997</v>
      </c>
      <c r="J1142" s="7">
        <f>+Tabla1[[#This Row],[PRECIO EN SOLES]]-Tabla1[[#This Row],[PC]]</f>
        <v>568.93940000000066</v>
      </c>
      <c r="K1142" s="15"/>
      <c r="L1142" s="15" t="str">
        <f t="shared" si="35"/>
        <v>NORMAL</v>
      </c>
    </row>
    <row r="1143" spans="1:12" x14ac:dyDescent="0.25">
      <c r="A1143" s="3" t="s">
        <v>2629</v>
      </c>
      <c r="B1143" s="3" t="s">
        <v>2630</v>
      </c>
      <c r="C1143" s="1">
        <v>20</v>
      </c>
      <c r="D1143" s="1">
        <v>38.299999999999997</v>
      </c>
      <c r="E1143" s="1" t="s">
        <v>1300</v>
      </c>
      <c r="F1143" s="1" t="s">
        <v>5629</v>
      </c>
      <c r="G1143" s="3" t="s">
        <v>2631</v>
      </c>
      <c r="H1143" s="11">
        <f t="shared" si="34"/>
        <v>187.31</v>
      </c>
      <c r="I1143" s="9">
        <f>($K$2+0.02)*Tabla1[[#This Row],[PRECIO $]]*1.18</f>
        <v>155.91929999999999</v>
      </c>
      <c r="J1143" s="7">
        <f>+Tabla1[[#This Row],[PRECIO EN SOLES]]-Tabla1[[#This Row],[PC]]</f>
        <v>31.39070000000001</v>
      </c>
      <c r="K1143" s="15"/>
      <c r="L1143" s="15" t="str">
        <f t="shared" si="35"/>
        <v>NORMAL</v>
      </c>
    </row>
    <row r="1144" spans="1:12" x14ac:dyDescent="0.25">
      <c r="A1144" s="3" t="s">
        <v>2632</v>
      </c>
      <c r="B1144" s="3" t="s">
        <v>2633</v>
      </c>
      <c r="C1144" s="1">
        <v>20</v>
      </c>
      <c r="D1144" s="1">
        <v>47.18</v>
      </c>
      <c r="E1144" s="1" t="s">
        <v>1300</v>
      </c>
      <c r="F1144" s="1" t="s">
        <v>5630</v>
      </c>
      <c r="G1144" s="3" t="s">
        <v>2634</v>
      </c>
      <c r="H1144" s="11">
        <f t="shared" si="34"/>
        <v>228.88</v>
      </c>
      <c r="I1144" s="9">
        <f>($K$2+0.02)*Tabla1[[#This Row],[PRECIO $]]*1.18</f>
        <v>192.06978000000001</v>
      </c>
      <c r="J1144" s="7">
        <f>+Tabla1[[#This Row],[PRECIO EN SOLES]]-Tabla1[[#This Row],[PC]]</f>
        <v>36.810219999999987</v>
      </c>
      <c r="K1144" s="15"/>
      <c r="L1144" s="15" t="str">
        <f t="shared" si="35"/>
        <v>NORMAL</v>
      </c>
    </row>
    <row r="1145" spans="1:12" x14ac:dyDescent="0.25">
      <c r="A1145" s="3" t="s">
        <v>2635</v>
      </c>
      <c r="B1145" s="3" t="s">
        <v>2636</v>
      </c>
      <c r="C1145" s="1">
        <v>13</v>
      </c>
      <c r="D1145" s="1">
        <v>119.2</v>
      </c>
      <c r="E1145" s="1" t="s">
        <v>1300</v>
      </c>
      <c r="F1145" s="1" t="s">
        <v>5631</v>
      </c>
      <c r="G1145" s="3" t="s">
        <v>2637</v>
      </c>
      <c r="H1145" s="11">
        <f t="shared" si="34"/>
        <v>566.04999999999995</v>
      </c>
      <c r="I1145" s="9">
        <f>($K$2+0.02)*Tabla1[[#This Row],[PRECIO $]]*1.18</f>
        <v>485.26319999999998</v>
      </c>
      <c r="J1145" s="7">
        <f>+Tabla1[[#This Row],[PRECIO EN SOLES]]-Tabla1[[#This Row],[PC]]</f>
        <v>80.786799999999971</v>
      </c>
      <c r="K1145" s="15"/>
      <c r="L1145" s="15" t="str">
        <f t="shared" si="35"/>
        <v>NORMAL</v>
      </c>
    </row>
    <row r="1146" spans="1:12" x14ac:dyDescent="0.25">
      <c r="A1146" s="3" t="s">
        <v>2638</v>
      </c>
      <c r="B1146" s="3" t="s">
        <v>2639</v>
      </c>
      <c r="C1146" s="1">
        <v>0</v>
      </c>
      <c r="D1146" s="1">
        <v>1100</v>
      </c>
      <c r="E1146" s="1" t="s">
        <v>131</v>
      </c>
      <c r="F1146" s="1" t="s">
        <v>5632</v>
      </c>
      <c r="G1146" s="3"/>
      <c r="H1146" s="11">
        <f t="shared" si="34"/>
        <v>4944.91</v>
      </c>
      <c r="I1146" s="9">
        <f>($K$2+0.02)*Tabla1[[#This Row],[PRECIO $]]*1.18</f>
        <v>4478.0999999999995</v>
      </c>
      <c r="J1146" s="7">
        <f>+Tabla1[[#This Row],[PRECIO EN SOLES]]-Tabla1[[#This Row],[PC]]</f>
        <v>466.8100000000004</v>
      </c>
      <c r="K1146" s="15"/>
      <c r="L1146" s="15" t="str">
        <f t="shared" si="35"/>
        <v>GANCHO</v>
      </c>
    </row>
    <row r="1147" spans="1:12" x14ac:dyDescent="0.25">
      <c r="A1147" s="3" t="s">
        <v>2640</v>
      </c>
      <c r="B1147" s="3" t="s">
        <v>2641</v>
      </c>
      <c r="C1147" s="1">
        <v>0</v>
      </c>
      <c r="D1147" s="1">
        <v>1100</v>
      </c>
      <c r="E1147" s="1" t="s">
        <v>126</v>
      </c>
      <c r="F1147" s="1" t="s">
        <v>5633</v>
      </c>
      <c r="G1147" s="3"/>
      <c r="H1147" s="11">
        <f t="shared" si="34"/>
        <v>5157.82</v>
      </c>
      <c r="I1147" s="9">
        <f>($K$2+0.02)*Tabla1[[#This Row],[PRECIO $]]*1.18</f>
        <v>4478.0999999999995</v>
      </c>
      <c r="J1147" s="7">
        <f>+Tabla1[[#This Row],[PRECIO EN SOLES]]-Tabla1[[#This Row],[PC]]</f>
        <v>679.72000000000025</v>
      </c>
      <c r="K1147" s="15"/>
      <c r="L1147" s="15" t="str">
        <f t="shared" si="35"/>
        <v>NORMAL</v>
      </c>
    </row>
    <row r="1148" spans="1:12" x14ac:dyDescent="0.25">
      <c r="A1148" s="3" t="s">
        <v>2642</v>
      </c>
      <c r="B1148" s="3" t="s">
        <v>2643</v>
      </c>
      <c r="C1148" s="1">
        <v>0</v>
      </c>
      <c r="D1148" s="1">
        <v>1100</v>
      </c>
      <c r="E1148" s="1" t="s">
        <v>126</v>
      </c>
      <c r="F1148" s="1" t="s">
        <v>5634</v>
      </c>
      <c r="G1148" s="3"/>
      <c r="H1148" s="11">
        <f t="shared" si="34"/>
        <v>5157.82</v>
      </c>
      <c r="I1148" s="9">
        <f>($K$2+0.02)*Tabla1[[#This Row],[PRECIO $]]*1.18</f>
        <v>4478.0999999999995</v>
      </c>
      <c r="J1148" s="7">
        <f>+Tabla1[[#This Row],[PRECIO EN SOLES]]-Tabla1[[#This Row],[PC]]</f>
        <v>679.72000000000025</v>
      </c>
      <c r="K1148" s="15"/>
      <c r="L1148" s="15" t="str">
        <f t="shared" si="35"/>
        <v>NORMAL</v>
      </c>
    </row>
    <row r="1149" spans="1:12" x14ac:dyDescent="0.25">
      <c r="A1149" s="3" t="s">
        <v>2644</v>
      </c>
      <c r="B1149" s="3" t="s">
        <v>2645</v>
      </c>
      <c r="C1149" s="1">
        <v>0</v>
      </c>
      <c r="D1149" s="1">
        <v>1100</v>
      </c>
      <c r="E1149" s="1" t="s">
        <v>126</v>
      </c>
      <c r="F1149" s="1" t="s">
        <v>5635</v>
      </c>
      <c r="G1149" s="3"/>
      <c r="H1149" s="11">
        <f t="shared" si="34"/>
        <v>5157.82</v>
      </c>
      <c r="I1149" s="9">
        <f>($K$2+0.02)*Tabla1[[#This Row],[PRECIO $]]*1.18</f>
        <v>4478.0999999999995</v>
      </c>
      <c r="J1149" s="7">
        <f>+Tabla1[[#This Row],[PRECIO EN SOLES]]-Tabla1[[#This Row],[PC]]</f>
        <v>679.72000000000025</v>
      </c>
      <c r="K1149" s="15"/>
      <c r="L1149" s="15" t="str">
        <f t="shared" si="35"/>
        <v>NORMAL</v>
      </c>
    </row>
    <row r="1150" spans="1:12" x14ac:dyDescent="0.25">
      <c r="A1150" s="3" t="s">
        <v>2646</v>
      </c>
      <c r="B1150" s="3" t="s">
        <v>2647</v>
      </c>
      <c r="C1150" s="1">
        <v>1</v>
      </c>
      <c r="D1150" s="1">
        <v>10000</v>
      </c>
      <c r="E1150" s="1" t="s">
        <v>131</v>
      </c>
      <c r="F1150" s="1" t="s">
        <v>5636</v>
      </c>
      <c r="G1150" s="3"/>
      <c r="H1150" s="11">
        <f t="shared" si="34"/>
        <v>46824.5</v>
      </c>
      <c r="I1150" s="9">
        <f>($K$2+0.02)*Tabla1[[#This Row],[PRECIO $]]*1.18</f>
        <v>40710</v>
      </c>
      <c r="J1150" s="7">
        <f>+Tabla1[[#This Row],[PRECIO EN SOLES]]-Tabla1[[#This Row],[PC]]</f>
        <v>6114.5</v>
      </c>
      <c r="K1150" s="15"/>
      <c r="L1150" s="15" t="str">
        <f t="shared" si="35"/>
        <v>NORMAL</v>
      </c>
    </row>
    <row r="1151" spans="1:12" x14ac:dyDescent="0.25">
      <c r="A1151" s="3" t="s">
        <v>2648</v>
      </c>
      <c r="B1151" s="3" t="s">
        <v>2649</v>
      </c>
      <c r="C1151" s="1">
        <v>20</v>
      </c>
      <c r="D1151" s="1">
        <v>50</v>
      </c>
      <c r="E1151" s="1" t="s">
        <v>1717</v>
      </c>
      <c r="F1151" s="1" t="s">
        <v>5637</v>
      </c>
      <c r="G1151" s="3" t="s">
        <v>2650</v>
      </c>
      <c r="H1151" s="11">
        <f t="shared" si="34"/>
        <v>242.08</v>
      </c>
      <c r="I1151" s="9">
        <f>($K$2+0.02)*Tabla1[[#This Row],[PRECIO $]]*1.18</f>
        <v>203.54999999999998</v>
      </c>
      <c r="J1151" s="7">
        <f>+Tabla1[[#This Row],[PRECIO EN SOLES]]-Tabla1[[#This Row],[PC]]</f>
        <v>38.53000000000003</v>
      </c>
      <c r="K1151" s="15"/>
      <c r="L1151" s="15" t="str">
        <f t="shared" si="35"/>
        <v>NORMAL</v>
      </c>
    </row>
    <row r="1152" spans="1:12" x14ac:dyDescent="0.25">
      <c r="A1152" s="3" t="s">
        <v>2651</v>
      </c>
      <c r="B1152" s="3" t="s">
        <v>2652</v>
      </c>
      <c r="C1152" s="1">
        <v>12</v>
      </c>
      <c r="D1152" s="1">
        <v>84</v>
      </c>
      <c r="E1152" s="1" t="s">
        <v>1717</v>
      </c>
      <c r="F1152" s="1" t="s">
        <v>5638</v>
      </c>
      <c r="G1152" s="3" t="s">
        <v>2653</v>
      </c>
      <c r="H1152" s="11">
        <f t="shared" si="34"/>
        <v>401.26</v>
      </c>
      <c r="I1152" s="9">
        <f>($K$2+0.02)*Tabla1[[#This Row],[PRECIO $]]*1.18</f>
        <v>341.964</v>
      </c>
      <c r="J1152" s="7">
        <f>+Tabla1[[#This Row],[PRECIO EN SOLES]]-Tabla1[[#This Row],[PC]]</f>
        <v>59.295999999999992</v>
      </c>
      <c r="K1152" s="15"/>
      <c r="L1152" s="15" t="str">
        <f t="shared" si="35"/>
        <v>NORMAL</v>
      </c>
    </row>
    <row r="1153" spans="1:12" x14ac:dyDescent="0.25">
      <c r="A1153" s="3" t="s">
        <v>2654</v>
      </c>
      <c r="B1153" s="3" t="s">
        <v>2655</v>
      </c>
      <c r="C1153" s="1">
        <v>20</v>
      </c>
      <c r="D1153" s="1">
        <v>186</v>
      </c>
      <c r="E1153" s="1" t="s">
        <v>131</v>
      </c>
      <c r="F1153" s="1" t="s">
        <v>5639</v>
      </c>
      <c r="G1153" s="3" t="s">
        <v>2656</v>
      </c>
      <c r="H1153" s="11">
        <f t="shared" si="34"/>
        <v>851.93</v>
      </c>
      <c r="I1153" s="9">
        <f>($K$2+0.02)*Tabla1[[#This Row],[PRECIO $]]*1.18</f>
        <v>757.20600000000002</v>
      </c>
      <c r="J1153" s="7">
        <f>+Tabla1[[#This Row],[PRECIO EN SOLES]]-Tabla1[[#This Row],[PC]]</f>
        <v>94.723999999999933</v>
      </c>
      <c r="K1153" s="15"/>
      <c r="L1153" s="15" t="str">
        <f t="shared" si="35"/>
        <v>GANCHO</v>
      </c>
    </row>
    <row r="1154" spans="1:12" x14ac:dyDescent="0.25">
      <c r="A1154" s="3" t="s">
        <v>2657</v>
      </c>
      <c r="B1154" s="3" t="s">
        <v>2658</v>
      </c>
      <c r="C1154" s="1">
        <v>5</v>
      </c>
      <c r="D1154" s="1">
        <v>185</v>
      </c>
      <c r="E1154" s="1" t="s">
        <v>131</v>
      </c>
      <c r="F1154" s="1" t="s">
        <v>5640</v>
      </c>
      <c r="G1154" s="3"/>
      <c r="H1154" s="11">
        <f t="shared" ref="H1154:H1217" si="36">ROUND(
IF(L1154="GANCHO",
   IF(I1154&lt;=50,I1154*1.1+4,IF(I1154&lt;=120,I1154*1.1+7,IF(I1154&lt;=250,I1154*1.1+11,I1154*1.1+19))),
IF(L1154="NORMAL",
   IF(I1154&lt;=30,I1154*1.15+2,IF(I1154&lt;=80,I1154*1.15+4,IF(I1154&lt;=150,I1154*1.15+6,I1154*1.15+8))),
IF(L1154="COMPLEMENTO",
   IF(I1154&lt;=25,I1154*1.25+1.5,IF(I1154&lt;=60,I1154*1.25+3,IF(I1154&lt;=120,I1154*1.25+4,I1154*1.25+5))),
""))),2)</f>
        <v>847.45</v>
      </c>
      <c r="I1154" s="9">
        <f>($K$2+0.02)*Tabla1[[#This Row],[PRECIO $]]*1.18</f>
        <v>753.13499999999999</v>
      </c>
      <c r="J1154" s="7">
        <f>+Tabla1[[#This Row],[PRECIO EN SOLES]]-Tabla1[[#This Row],[PC]]</f>
        <v>94.315000000000055</v>
      </c>
      <c r="K1154" s="15"/>
      <c r="L1154" s="15" t="str">
        <f t="shared" si="35"/>
        <v>GANCHO</v>
      </c>
    </row>
    <row r="1155" spans="1:12" x14ac:dyDescent="0.25">
      <c r="A1155" s="3" t="s">
        <v>2659</v>
      </c>
      <c r="B1155" s="3" t="s">
        <v>2660</v>
      </c>
      <c r="C1155" s="1">
        <v>20</v>
      </c>
      <c r="D1155" s="1">
        <v>323</v>
      </c>
      <c r="E1155" s="1" t="s">
        <v>2092</v>
      </c>
      <c r="F1155" s="1" t="s">
        <v>5641</v>
      </c>
      <c r="G1155" s="3" t="s">
        <v>2661</v>
      </c>
      <c r="H1155" s="11">
        <f t="shared" si="36"/>
        <v>1465.43</v>
      </c>
      <c r="I1155" s="9">
        <f>($K$2+0.02)*Tabla1[[#This Row],[PRECIO $]]*1.18</f>
        <v>1314.933</v>
      </c>
      <c r="J1155" s="7">
        <f>+Tabla1[[#This Row],[PRECIO EN SOLES]]-Tabla1[[#This Row],[PC]]</f>
        <v>150.49700000000007</v>
      </c>
      <c r="K1155" s="15"/>
      <c r="L1155" s="15" t="str">
        <f t="shared" ref="L1155:L1218" si="37">IF(
OR(
ISNUMBER(SEARCH("BACKPACK",B1155)),
ISNUMBER(SEARCH("MOCHILA",B1155)),
ISNUMBER(SEARCH("FUNDA",B1155)),
ISNUMBER(SEARCH("ESTUCHE",B1155)),
ISNUMBER(SEARCH("BOOK COVER",B1155)),
ISNUMBER(SEARCH("KEYBOARD PARA TABLET",B1155)),
ISNUMBER(SEARCH("FLIP TABLET",B1155)),
ISNUMBER(SEARCH("CASE FOR TABLET",B1155)),
ISNUMBER(SEARCH("CABLE",B1155)),
ISNUMBER(SEARCH("ADAPTADOR",B1155)),
ISNUMBER(SEARCH("HUB",B1155)),
ISNUMBER(SEARCH("DOCK",B1155)),
ISNUMBER(SEARCH("MOUSE PAD",B1155)),
ISNUMBER(SEARCH("MOUSEPAD",B1155)),
ISNUMBER(SEARCH("SOPORTE",B1155)),
ISNUMBER(SEARCH("STAND",B1155)),
ISNUMBER(SEARCH("TRAVEL ADAPTER",B1155)),
ISNUMBER(SEARCH("RJ45",B1155)),
ISNUMBER(SEARCH("USB-C",B1155)),
ISNUMBER(SEARCH("USB WIFI",B1155)),
ISNUMBER(SEARCH("POWERBANK",B1155)),
ISNUMBER(SEARCH("CARGADOR",B1155)),
ISNUMBER(SEARCH("COOLER PARA NB",B1155)),
ISNUMBER(SEARCH("SOPORTE PARA NB",B1155)),
ISNUMBER(SEARCH("WEBCAM",B1155)),
ISNUMBER(SEARCH("WEB CAM",B1155)),
ISNUMBER(SEARCH("MOUSE",B1155)),
ISNUMBER(SEARCH("TECLADO",B1155))
),
"COMPLEMENTO",
IF(
OR(
LEFT(A1155,2)="NB",
LEFT(A1155,2)="PC",
LEFT(A1155,2)="WS",
LEFT(A1155,2)="TB",
LEFT(A1155,3)="CEL",
LEFT(A1155,3)="MON",
LEFT(A1155,3)="PRE",
LEFT(A1155,3)="PRH",
ISNUMBER(SEARCH("NOTEBOOK",B1155)),
ISNUMBER(SEARCH("LAPTOP",B1155)),
ISNUMBER(SEARCH("MONITOR",B1155)),
ISNUMBER(SEARCH("TABLET",B1155)),
ISNUMBER(SEARCH("SMARTPH",B1155)),
ISNUMBER(SEARCH("IMPRESORA",B1155)),
ISNUMBER(SEARCH("MULTIFUNCIONAL",B1155)),
ISNUMBER(SEARCH("AIO",B1155))
),
"GANCHO",
"NORMAL"
)
)</f>
        <v>GANCHO</v>
      </c>
    </row>
    <row r="1156" spans="1:12" x14ac:dyDescent="0.25">
      <c r="A1156" s="3" t="s">
        <v>2662</v>
      </c>
      <c r="B1156" s="3" t="s">
        <v>2663</v>
      </c>
      <c r="C1156" s="1">
        <v>20</v>
      </c>
      <c r="D1156" s="1">
        <v>372</v>
      </c>
      <c r="E1156" s="1" t="s">
        <v>2092</v>
      </c>
      <c r="F1156" s="1" t="s">
        <v>5642</v>
      </c>
      <c r="G1156" s="3" t="s">
        <v>2664</v>
      </c>
      <c r="H1156" s="11">
        <f t="shared" si="36"/>
        <v>1684.85</v>
      </c>
      <c r="I1156" s="9">
        <f>($K$2+0.02)*Tabla1[[#This Row],[PRECIO $]]*1.18</f>
        <v>1514.412</v>
      </c>
      <c r="J1156" s="7">
        <f>+Tabla1[[#This Row],[PRECIO EN SOLES]]-Tabla1[[#This Row],[PC]]</f>
        <v>170.43799999999987</v>
      </c>
      <c r="K1156" s="15"/>
      <c r="L1156" s="15" t="str">
        <f t="shared" si="37"/>
        <v>GANCHO</v>
      </c>
    </row>
    <row r="1157" spans="1:12" x14ac:dyDescent="0.25">
      <c r="A1157" s="3" t="s">
        <v>2665</v>
      </c>
      <c r="B1157" s="3" t="s">
        <v>2666</v>
      </c>
      <c r="C1157" s="1">
        <v>7</v>
      </c>
      <c r="D1157" s="1">
        <v>503</v>
      </c>
      <c r="E1157" s="1" t="s">
        <v>557</v>
      </c>
      <c r="F1157" s="1" t="s">
        <v>5643</v>
      </c>
      <c r="G1157" s="3" t="s">
        <v>2667</v>
      </c>
      <c r="H1157" s="11">
        <f t="shared" si="36"/>
        <v>2271.48</v>
      </c>
      <c r="I1157" s="9">
        <f>($K$2+0.02)*Tabla1[[#This Row],[PRECIO $]]*1.18</f>
        <v>2047.713</v>
      </c>
      <c r="J1157" s="7">
        <f>+Tabla1[[#This Row],[PRECIO EN SOLES]]-Tabla1[[#This Row],[PC]]</f>
        <v>223.76700000000005</v>
      </c>
      <c r="K1157" s="15"/>
      <c r="L1157" s="15" t="str">
        <f t="shared" si="37"/>
        <v>GANCHO</v>
      </c>
    </row>
    <row r="1158" spans="1:12" x14ac:dyDescent="0.25">
      <c r="A1158" s="3" t="s">
        <v>5644</v>
      </c>
      <c r="B1158" s="3" t="s">
        <v>5645</v>
      </c>
      <c r="C1158" s="1">
        <v>20</v>
      </c>
      <c r="D1158" s="1">
        <v>657</v>
      </c>
      <c r="E1158" s="1" t="s">
        <v>557</v>
      </c>
      <c r="F1158" s="1" t="s">
        <v>5646</v>
      </c>
      <c r="G1158" s="3" t="s">
        <v>7008</v>
      </c>
      <c r="H1158" s="11">
        <f t="shared" si="36"/>
        <v>2961.11</v>
      </c>
      <c r="I1158" s="9">
        <f>($K$2+0.02)*Tabla1[[#This Row],[PRECIO $]]*1.18</f>
        <v>2674.6469999999999</v>
      </c>
      <c r="J1158" s="7">
        <f>+Tabla1[[#This Row],[PRECIO EN SOLES]]-Tabla1[[#This Row],[PC]]</f>
        <v>286.46300000000019</v>
      </c>
      <c r="K1158" s="15"/>
      <c r="L1158" s="15" t="str">
        <f t="shared" si="37"/>
        <v>GANCHO</v>
      </c>
    </row>
    <row r="1159" spans="1:12" x14ac:dyDescent="0.25">
      <c r="A1159" s="3" t="s">
        <v>7009</v>
      </c>
      <c r="B1159" s="3" t="s">
        <v>7010</v>
      </c>
      <c r="C1159" s="1">
        <v>20</v>
      </c>
      <c r="D1159" s="1">
        <v>502</v>
      </c>
      <c r="E1159" s="1" t="s">
        <v>261</v>
      </c>
      <c r="F1159" s="1" t="s">
        <v>7011</v>
      </c>
      <c r="G1159" s="3" t="s">
        <v>7012</v>
      </c>
      <c r="H1159" s="11">
        <f t="shared" si="36"/>
        <v>2267.0100000000002</v>
      </c>
      <c r="I1159" s="9">
        <f>($K$2+0.02)*Tabla1[[#This Row],[PRECIO $]]*1.18</f>
        <v>2043.6420000000001</v>
      </c>
      <c r="J1159" s="7">
        <f>+Tabla1[[#This Row],[PRECIO EN SOLES]]-Tabla1[[#This Row],[PC]]</f>
        <v>223.36800000000017</v>
      </c>
      <c r="K1159" s="15"/>
      <c r="L1159" s="15" t="str">
        <f t="shared" si="37"/>
        <v>GANCHO</v>
      </c>
    </row>
    <row r="1160" spans="1:12" x14ac:dyDescent="0.25">
      <c r="A1160" s="3" t="s">
        <v>7013</v>
      </c>
      <c r="B1160" s="3" t="s">
        <v>7014</v>
      </c>
      <c r="C1160" s="1">
        <v>20</v>
      </c>
      <c r="D1160" s="1">
        <v>512.5</v>
      </c>
      <c r="E1160" s="1" t="s">
        <v>261</v>
      </c>
      <c r="F1160" s="1" t="s">
        <v>7015</v>
      </c>
      <c r="G1160" s="3" t="s">
        <v>7016</v>
      </c>
      <c r="H1160" s="11">
        <f t="shared" si="36"/>
        <v>2314.0300000000002</v>
      </c>
      <c r="I1160" s="9">
        <f>($K$2+0.02)*Tabla1[[#This Row],[PRECIO $]]*1.18</f>
        <v>2086.3874999999998</v>
      </c>
      <c r="J1160" s="7">
        <f>+Tabla1[[#This Row],[PRECIO EN SOLES]]-Tabla1[[#This Row],[PC]]</f>
        <v>227.64250000000038</v>
      </c>
      <c r="K1160" s="15"/>
      <c r="L1160" s="15" t="str">
        <f t="shared" si="37"/>
        <v>GANCHO</v>
      </c>
    </row>
    <row r="1161" spans="1:12" x14ac:dyDescent="0.25">
      <c r="A1161" s="3" t="s">
        <v>2668</v>
      </c>
      <c r="B1161" s="3" t="s">
        <v>2669</v>
      </c>
      <c r="C1161" s="1">
        <v>9</v>
      </c>
      <c r="D1161" s="1">
        <v>697</v>
      </c>
      <c r="E1161" s="1" t="s">
        <v>2092</v>
      </c>
      <c r="F1161" s="1" t="s">
        <v>5647</v>
      </c>
      <c r="G1161" s="3" t="s">
        <v>2670</v>
      </c>
      <c r="H1161" s="11">
        <f t="shared" si="36"/>
        <v>3140.24</v>
      </c>
      <c r="I1161" s="9">
        <f>($K$2+0.02)*Tabla1[[#This Row],[PRECIO $]]*1.18</f>
        <v>2837.4870000000001</v>
      </c>
      <c r="J1161" s="7">
        <f>+Tabla1[[#This Row],[PRECIO EN SOLES]]-Tabla1[[#This Row],[PC]]</f>
        <v>302.7529999999997</v>
      </c>
      <c r="K1161" s="15"/>
      <c r="L1161" s="15" t="str">
        <f t="shared" si="37"/>
        <v>GANCHO</v>
      </c>
    </row>
    <row r="1162" spans="1:12" x14ac:dyDescent="0.25">
      <c r="A1162" s="3" t="s">
        <v>5648</v>
      </c>
      <c r="B1162" s="3" t="s">
        <v>5649</v>
      </c>
      <c r="C1162" s="1">
        <v>12</v>
      </c>
      <c r="D1162" s="1">
        <v>745</v>
      </c>
      <c r="E1162" s="1" t="s">
        <v>557</v>
      </c>
      <c r="F1162" s="1" t="s">
        <v>5650</v>
      </c>
      <c r="G1162" s="3" t="s">
        <v>7017</v>
      </c>
      <c r="H1162" s="11">
        <f t="shared" si="36"/>
        <v>3355.18</v>
      </c>
      <c r="I1162" s="9">
        <f>($K$2+0.02)*Tabla1[[#This Row],[PRECIO $]]*1.18</f>
        <v>3032.895</v>
      </c>
      <c r="J1162" s="7">
        <f>+Tabla1[[#This Row],[PRECIO EN SOLES]]-Tabla1[[#This Row],[PC]]</f>
        <v>322.28499999999985</v>
      </c>
      <c r="K1162" s="15"/>
      <c r="L1162" s="15" t="str">
        <f t="shared" si="37"/>
        <v>GANCHO</v>
      </c>
    </row>
    <row r="1163" spans="1:12" x14ac:dyDescent="0.25">
      <c r="A1163" s="3" t="s">
        <v>2672</v>
      </c>
      <c r="B1163" s="3" t="s">
        <v>2673</v>
      </c>
      <c r="C1163" s="1">
        <v>16</v>
      </c>
      <c r="D1163" s="1">
        <v>1040</v>
      </c>
      <c r="E1163" s="1" t="s">
        <v>2671</v>
      </c>
      <c r="F1163" s="1" t="s">
        <v>5651</v>
      </c>
      <c r="G1163" s="3" t="s">
        <v>5652</v>
      </c>
      <c r="H1163" s="11">
        <f t="shared" si="36"/>
        <v>4676.22</v>
      </c>
      <c r="I1163" s="9">
        <f>($K$2+0.02)*Tabla1[[#This Row],[PRECIO $]]*1.18</f>
        <v>4233.84</v>
      </c>
      <c r="J1163" s="7">
        <f>+Tabla1[[#This Row],[PRECIO EN SOLES]]-Tabla1[[#This Row],[PC]]</f>
        <v>442.38000000000011</v>
      </c>
      <c r="K1163" s="15"/>
      <c r="L1163" s="15" t="str">
        <f t="shared" si="37"/>
        <v>GANCHO</v>
      </c>
    </row>
    <row r="1164" spans="1:12" x14ac:dyDescent="0.25">
      <c r="A1164" s="3" t="s">
        <v>7018</v>
      </c>
      <c r="B1164" s="3" t="s">
        <v>7019</v>
      </c>
      <c r="C1164" s="1">
        <v>20</v>
      </c>
      <c r="D1164" s="1">
        <v>810</v>
      </c>
      <c r="E1164" s="1" t="s">
        <v>142</v>
      </c>
      <c r="F1164" s="1" t="s">
        <v>7020</v>
      </c>
      <c r="G1164" s="3"/>
      <c r="H1164" s="11">
        <f t="shared" si="36"/>
        <v>3646.26</v>
      </c>
      <c r="I1164" s="9">
        <f>($K$2+0.02)*Tabla1[[#This Row],[PRECIO $]]*1.18</f>
        <v>3297.5099999999998</v>
      </c>
      <c r="J1164" s="7">
        <f>+Tabla1[[#This Row],[PRECIO EN SOLES]]-Tabla1[[#This Row],[PC]]</f>
        <v>348.75000000000045</v>
      </c>
      <c r="K1164" s="15"/>
      <c r="L1164" s="15" t="str">
        <f t="shared" si="37"/>
        <v>GANCHO</v>
      </c>
    </row>
    <row r="1165" spans="1:12" x14ac:dyDescent="0.25">
      <c r="A1165" s="3" t="s">
        <v>5653</v>
      </c>
      <c r="B1165" s="3" t="s">
        <v>5654</v>
      </c>
      <c r="C1165" s="1">
        <v>20</v>
      </c>
      <c r="D1165" s="1">
        <v>857</v>
      </c>
      <c r="E1165" s="1" t="s">
        <v>2092</v>
      </c>
      <c r="F1165" s="1" t="s">
        <v>5655</v>
      </c>
      <c r="G1165" s="3" t="s">
        <v>5656</v>
      </c>
      <c r="H1165" s="11">
        <f t="shared" si="36"/>
        <v>3856.73</v>
      </c>
      <c r="I1165" s="9">
        <f>($K$2+0.02)*Tabla1[[#This Row],[PRECIO $]]*1.18</f>
        <v>3488.8469999999998</v>
      </c>
      <c r="J1165" s="7">
        <f>+Tabla1[[#This Row],[PRECIO EN SOLES]]-Tabla1[[#This Row],[PC]]</f>
        <v>367.88300000000027</v>
      </c>
      <c r="K1165" s="15"/>
      <c r="L1165" s="15" t="str">
        <f t="shared" si="37"/>
        <v>GANCHO</v>
      </c>
    </row>
    <row r="1166" spans="1:12" x14ac:dyDescent="0.25">
      <c r="A1166" s="3" t="s">
        <v>7021</v>
      </c>
      <c r="B1166" s="3" t="s">
        <v>7022</v>
      </c>
      <c r="C1166" s="1">
        <v>20</v>
      </c>
      <c r="D1166" s="1">
        <v>619.5</v>
      </c>
      <c r="E1166" s="1" t="s">
        <v>261</v>
      </c>
      <c r="F1166" s="1" t="s">
        <v>7023</v>
      </c>
      <c r="G1166" s="3"/>
      <c r="H1166" s="11">
        <f t="shared" si="36"/>
        <v>2793.18</v>
      </c>
      <c r="I1166" s="9">
        <f>($K$2+0.02)*Tabla1[[#This Row],[PRECIO $]]*1.18</f>
        <v>2521.9845</v>
      </c>
      <c r="J1166" s="7">
        <f>+Tabla1[[#This Row],[PRECIO EN SOLES]]-Tabla1[[#This Row],[PC]]</f>
        <v>271.19549999999981</v>
      </c>
      <c r="K1166" s="15"/>
      <c r="L1166" s="15" t="str">
        <f t="shared" si="37"/>
        <v>GANCHO</v>
      </c>
    </row>
    <row r="1167" spans="1:12" x14ac:dyDescent="0.25">
      <c r="A1167" s="3" t="s">
        <v>2674</v>
      </c>
      <c r="B1167" s="3" t="s">
        <v>2675</v>
      </c>
      <c r="C1167" s="1">
        <v>1</v>
      </c>
      <c r="D1167" s="1">
        <v>160</v>
      </c>
      <c r="E1167" s="1" t="s">
        <v>126</v>
      </c>
      <c r="F1167" s="1" t="s">
        <v>5657</v>
      </c>
      <c r="G1167" s="3"/>
      <c r="H1167" s="11">
        <f t="shared" si="36"/>
        <v>757.06</v>
      </c>
      <c r="I1167" s="9">
        <f>($K$2+0.02)*Tabla1[[#This Row],[PRECIO $]]*1.18</f>
        <v>651.36</v>
      </c>
      <c r="J1167" s="7">
        <f>+Tabla1[[#This Row],[PRECIO EN SOLES]]-Tabla1[[#This Row],[PC]]</f>
        <v>105.69999999999993</v>
      </c>
      <c r="K1167" s="15"/>
      <c r="L1167" s="15" t="str">
        <f t="shared" si="37"/>
        <v>NORMAL</v>
      </c>
    </row>
    <row r="1168" spans="1:12" x14ac:dyDescent="0.25">
      <c r="A1168" s="3" t="s">
        <v>2676</v>
      </c>
      <c r="B1168" s="3" t="s">
        <v>2677</v>
      </c>
      <c r="C1168" s="1">
        <v>10</v>
      </c>
      <c r="D1168" s="1">
        <v>224</v>
      </c>
      <c r="E1168" s="1" t="s">
        <v>131</v>
      </c>
      <c r="F1168" s="1" t="s">
        <v>5658</v>
      </c>
      <c r="G1168" s="3"/>
      <c r="H1168" s="11">
        <f t="shared" si="36"/>
        <v>1022.09</v>
      </c>
      <c r="I1168" s="9">
        <f>($K$2+0.02)*Tabla1[[#This Row],[PRECIO $]]*1.18</f>
        <v>911.904</v>
      </c>
      <c r="J1168" s="7">
        <f>+Tabla1[[#This Row],[PRECIO EN SOLES]]-Tabla1[[#This Row],[PC]]</f>
        <v>110.18600000000004</v>
      </c>
      <c r="K1168" s="15"/>
      <c r="L1168" s="15" t="str">
        <f t="shared" si="37"/>
        <v>GANCHO</v>
      </c>
    </row>
    <row r="1169" spans="1:12" x14ac:dyDescent="0.25">
      <c r="A1169" s="3" t="s">
        <v>2678</v>
      </c>
      <c r="B1169" s="3" t="s">
        <v>2679</v>
      </c>
      <c r="C1169" s="1">
        <v>8</v>
      </c>
      <c r="D1169" s="1">
        <v>282.85000000000002</v>
      </c>
      <c r="E1169" s="1" t="s">
        <v>131</v>
      </c>
      <c r="F1169" s="1" t="s">
        <v>5659</v>
      </c>
      <c r="G1169" s="3" t="s">
        <v>2680</v>
      </c>
      <c r="H1169" s="11">
        <f t="shared" si="36"/>
        <v>1285.6300000000001</v>
      </c>
      <c r="I1169" s="9">
        <f>($K$2+0.02)*Tabla1[[#This Row],[PRECIO $]]*1.18</f>
        <v>1151.48235</v>
      </c>
      <c r="J1169" s="7">
        <f>+Tabla1[[#This Row],[PRECIO EN SOLES]]-Tabla1[[#This Row],[PC]]</f>
        <v>134.14765000000011</v>
      </c>
      <c r="K1169" s="15"/>
      <c r="L1169" s="15" t="str">
        <f t="shared" si="37"/>
        <v>GANCHO</v>
      </c>
    </row>
    <row r="1170" spans="1:12" x14ac:dyDescent="0.25">
      <c r="A1170" s="3" t="s">
        <v>2681</v>
      </c>
      <c r="B1170" s="3" t="s">
        <v>2679</v>
      </c>
      <c r="C1170" s="1">
        <v>20</v>
      </c>
      <c r="D1170" s="1">
        <v>282.5</v>
      </c>
      <c r="E1170" s="1" t="s">
        <v>131</v>
      </c>
      <c r="F1170" s="1" t="s">
        <v>5660</v>
      </c>
      <c r="G1170" s="3" t="s">
        <v>2682</v>
      </c>
      <c r="H1170" s="11">
        <f t="shared" si="36"/>
        <v>1284.06</v>
      </c>
      <c r="I1170" s="9">
        <f>($K$2+0.02)*Tabla1[[#This Row],[PRECIO $]]*1.18</f>
        <v>1150.0574999999999</v>
      </c>
      <c r="J1170" s="7">
        <f>+Tabla1[[#This Row],[PRECIO EN SOLES]]-Tabla1[[#This Row],[PC]]</f>
        <v>134.00250000000005</v>
      </c>
      <c r="K1170" s="15"/>
      <c r="L1170" s="15" t="str">
        <f t="shared" si="37"/>
        <v>GANCHO</v>
      </c>
    </row>
    <row r="1171" spans="1:12" x14ac:dyDescent="0.25">
      <c r="A1171" s="3" t="s">
        <v>7024</v>
      </c>
      <c r="B1171" s="3" t="s">
        <v>7025</v>
      </c>
      <c r="C1171" s="1">
        <v>0</v>
      </c>
      <c r="D1171" s="1">
        <v>447</v>
      </c>
      <c r="E1171" s="1" t="s">
        <v>131</v>
      </c>
      <c r="F1171" s="1" t="s">
        <v>7026</v>
      </c>
      <c r="G1171" s="3"/>
      <c r="H1171" s="11">
        <f t="shared" si="36"/>
        <v>2020.71</v>
      </c>
      <c r="I1171" s="9">
        <f>($K$2+0.02)*Tabla1[[#This Row],[PRECIO $]]*1.18</f>
        <v>1819.7370000000001</v>
      </c>
      <c r="J1171" s="7">
        <f>+Tabla1[[#This Row],[PRECIO EN SOLES]]-Tabla1[[#This Row],[PC]]</f>
        <v>200.97299999999996</v>
      </c>
      <c r="K1171" s="15"/>
      <c r="L1171" s="15" t="str">
        <f t="shared" si="37"/>
        <v>GANCHO</v>
      </c>
    </row>
    <row r="1172" spans="1:12" x14ac:dyDescent="0.25">
      <c r="A1172" s="3" t="s">
        <v>2683</v>
      </c>
      <c r="B1172" s="3" t="s">
        <v>2684</v>
      </c>
      <c r="C1172" s="1">
        <v>20</v>
      </c>
      <c r="D1172" s="1">
        <v>307</v>
      </c>
      <c r="E1172" s="1" t="s">
        <v>2092</v>
      </c>
      <c r="F1172" s="1" t="s">
        <v>5661</v>
      </c>
      <c r="G1172" s="3" t="s">
        <v>2685</v>
      </c>
      <c r="H1172" s="11">
        <f t="shared" si="36"/>
        <v>1393.78</v>
      </c>
      <c r="I1172" s="9">
        <f>($K$2+0.02)*Tabla1[[#This Row],[PRECIO $]]*1.18</f>
        <v>1249.797</v>
      </c>
      <c r="J1172" s="7">
        <f>+Tabla1[[#This Row],[PRECIO EN SOLES]]-Tabla1[[#This Row],[PC]]</f>
        <v>143.98299999999995</v>
      </c>
      <c r="K1172" s="15"/>
      <c r="L1172" s="15" t="str">
        <f t="shared" si="37"/>
        <v>GANCHO</v>
      </c>
    </row>
    <row r="1173" spans="1:12" x14ac:dyDescent="0.25">
      <c r="A1173" s="3" t="s">
        <v>2686</v>
      </c>
      <c r="B1173" s="3" t="s">
        <v>2687</v>
      </c>
      <c r="C1173" s="1">
        <v>20</v>
      </c>
      <c r="D1173" s="1">
        <v>635</v>
      </c>
      <c r="E1173" s="1" t="s">
        <v>557</v>
      </c>
      <c r="F1173" s="1" t="s">
        <v>5662</v>
      </c>
      <c r="G1173" s="3" t="s">
        <v>2688</v>
      </c>
      <c r="H1173" s="11">
        <f t="shared" si="36"/>
        <v>2862.59</v>
      </c>
      <c r="I1173" s="9">
        <f>($K$2+0.02)*Tabla1[[#This Row],[PRECIO $]]*1.18</f>
        <v>2585.085</v>
      </c>
      <c r="J1173" s="7">
        <f>+Tabla1[[#This Row],[PRECIO EN SOLES]]-Tabla1[[#This Row],[PC]]</f>
        <v>277.50500000000011</v>
      </c>
      <c r="K1173" s="15"/>
      <c r="L1173" s="15" t="str">
        <f t="shared" si="37"/>
        <v>GANCHO</v>
      </c>
    </row>
    <row r="1174" spans="1:12" x14ac:dyDescent="0.25">
      <c r="A1174" s="3" t="s">
        <v>5663</v>
      </c>
      <c r="B1174" s="3" t="s">
        <v>5664</v>
      </c>
      <c r="C1174" s="1">
        <v>20</v>
      </c>
      <c r="D1174" s="1">
        <v>535</v>
      </c>
      <c r="E1174" s="1" t="s">
        <v>2671</v>
      </c>
      <c r="F1174" s="1" t="s">
        <v>5665</v>
      </c>
      <c r="G1174" s="3" t="s">
        <v>7027</v>
      </c>
      <c r="H1174" s="11">
        <f t="shared" si="36"/>
        <v>2414.7800000000002</v>
      </c>
      <c r="I1174" s="9">
        <f>($K$2+0.02)*Tabla1[[#This Row],[PRECIO $]]*1.18</f>
        <v>2177.9849999999997</v>
      </c>
      <c r="J1174" s="7">
        <f>+Tabla1[[#This Row],[PRECIO EN SOLES]]-Tabla1[[#This Row],[PC]]</f>
        <v>236.79500000000053</v>
      </c>
      <c r="K1174" s="15"/>
      <c r="L1174" s="15" t="str">
        <f t="shared" si="37"/>
        <v>GANCHO</v>
      </c>
    </row>
    <row r="1175" spans="1:12" x14ac:dyDescent="0.25">
      <c r="A1175" s="3" t="s">
        <v>2689</v>
      </c>
      <c r="B1175" s="3" t="s">
        <v>2690</v>
      </c>
      <c r="C1175" s="1">
        <v>20</v>
      </c>
      <c r="D1175" s="1">
        <v>546</v>
      </c>
      <c r="E1175" s="1" t="s">
        <v>142</v>
      </c>
      <c r="F1175" s="1" t="s">
        <v>5666</v>
      </c>
      <c r="G1175" s="3" t="s">
        <v>2691</v>
      </c>
      <c r="H1175" s="11">
        <f t="shared" si="36"/>
        <v>2464.04</v>
      </c>
      <c r="I1175" s="9">
        <f>($K$2+0.02)*Tabla1[[#This Row],[PRECIO $]]*1.18</f>
        <v>2222.7660000000001</v>
      </c>
      <c r="J1175" s="7">
        <f>+Tabla1[[#This Row],[PRECIO EN SOLES]]-Tabla1[[#This Row],[PC]]</f>
        <v>241.27399999999989</v>
      </c>
      <c r="K1175" s="15"/>
      <c r="L1175" s="15" t="str">
        <f t="shared" si="37"/>
        <v>GANCHO</v>
      </c>
    </row>
    <row r="1176" spans="1:12" x14ac:dyDescent="0.25">
      <c r="A1176" s="3" t="s">
        <v>5667</v>
      </c>
      <c r="B1176" s="3" t="s">
        <v>5668</v>
      </c>
      <c r="C1176" s="1">
        <v>20</v>
      </c>
      <c r="D1176" s="1">
        <v>737</v>
      </c>
      <c r="E1176" s="1" t="s">
        <v>2092</v>
      </c>
      <c r="F1176" s="1" t="s">
        <v>5669</v>
      </c>
      <c r="G1176" s="3"/>
      <c r="H1176" s="11">
        <f t="shared" si="36"/>
        <v>3319.36</v>
      </c>
      <c r="I1176" s="9">
        <f>($K$2+0.02)*Tabla1[[#This Row],[PRECIO $]]*1.18</f>
        <v>3000.3269999999998</v>
      </c>
      <c r="J1176" s="7">
        <f>+Tabla1[[#This Row],[PRECIO EN SOLES]]-Tabla1[[#This Row],[PC]]</f>
        <v>319.03300000000036</v>
      </c>
      <c r="K1176" s="15"/>
      <c r="L1176" s="15" t="str">
        <f t="shared" si="37"/>
        <v>GANCHO</v>
      </c>
    </row>
    <row r="1177" spans="1:12" x14ac:dyDescent="0.25">
      <c r="A1177" s="3" t="s">
        <v>2692</v>
      </c>
      <c r="B1177" s="3" t="s">
        <v>2693</v>
      </c>
      <c r="C1177" s="1">
        <v>0</v>
      </c>
      <c r="D1177" s="1">
        <v>779</v>
      </c>
      <c r="E1177" s="1" t="s">
        <v>269</v>
      </c>
      <c r="F1177" s="1" t="s">
        <v>5670</v>
      </c>
      <c r="G1177" s="3" t="s">
        <v>2694</v>
      </c>
      <c r="H1177" s="11">
        <f t="shared" si="36"/>
        <v>3507.44</v>
      </c>
      <c r="I1177" s="9">
        <f>($K$2+0.02)*Tabla1[[#This Row],[PRECIO $]]*1.18</f>
        <v>3171.3090000000002</v>
      </c>
      <c r="J1177" s="7">
        <f>+Tabla1[[#This Row],[PRECIO EN SOLES]]-Tabla1[[#This Row],[PC]]</f>
        <v>336.13099999999986</v>
      </c>
      <c r="K1177" s="15"/>
      <c r="L1177" s="15" t="str">
        <f t="shared" si="37"/>
        <v>GANCHO</v>
      </c>
    </row>
    <row r="1178" spans="1:12" x14ac:dyDescent="0.25">
      <c r="A1178" s="3" t="s">
        <v>2695</v>
      </c>
      <c r="B1178" s="3" t="s">
        <v>2696</v>
      </c>
      <c r="C1178" s="1">
        <v>20</v>
      </c>
      <c r="D1178" s="1">
        <v>647</v>
      </c>
      <c r="E1178" s="1" t="s">
        <v>2092</v>
      </c>
      <c r="F1178" s="1" t="s">
        <v>5671</v>
      </c>
      <c r="G1178" s="3" t="s">
        <v>2697</v>
      </c>
      <c r="H1178" s="11">
        <f t="shared" si="36"/>
        <v>2916.33</v>
      </c>
      <c r="I1178" s="9">
        <f>($K$2+0.02)*Tabla1[[#This Row],[PRECIO $]]*1.18</f>
        <v>2633.9369999999999</v>
      </c>
      <c r="J1178" s="7">
        <f>+Tabla1[[#This Row],[PRECIO EN SOLES]]-Tabla1[[#This Row],[PC]]</f>
        <v>282.39300000000003</v>
      </c>
      <c r="K1178" s="15"/>
      <c r="L1178" s="15" t="str">
        <f t="shared" si="37"/>
        <v>GANCHO</v>
      </c>
    </row>
    <row r="1179" spans="1:12" x14ac:dyDescent="0.25">
      <c r="A1179" s="3" t="s">
        <v>2698</v>
      </c>
      <c r="B1179" s="3" t="s">
        <v>2696</v>
      </c>
      <c r="C1179" s="1">
        <v>1</v>
      </c>
      <c r="D1179" s="1">
        <v>589</v>
      </c>
      <c r="E1179" s="1" t="s">
        <v>2092</v>
      </c>
      <c r="F1179" s="1" t="s">
        <v>5672</v>
      </c>
      <c r="G1179" s="3" t="s">
        <v>2697</v>
      </c>
      <c r="H1179" s="11">
        <f t="shared" si="36"/>
        <v>2656.6</v>
      </c>
      <c r="I1179" s="9">
        <f>($K$2+0.02)*Tabla1[[#This Row],[PRECIO $]]*1.18</f>
        <v>2397.819</v>
      </c>
      <c r="J1179" s="7">
        <f>+Tabla1[[#This Row],[PRECIO EN SOLES]]-Tabla1[[#This Row],[PC]]</f>
        <v>258.78099999999995</v>
      </c>
      <c r="K1179" s="15"/>
      <c r="L1179" s="15" t="str">
        <f t="shared" si="37"/>
        <v>GANCHO</v>
      </c>
    </row>
    <row r="1180" spans="1:12" x14ac:dyDescent="0.25">
      <c r="A1180" s="3" t="s">
        <v>2699</v>
      </c>
      <c r="B1180" s="3" t="s">
        <v>2700</v>
      </c>
      <c r="C1180" s="1">
        <v>20</v>
      </c>
      <c r="D1180" s="1">
        <v>806</v>
      </c>
      <c r="E1180" s="1" t="s">
        <v>557</v>
      </c>
      <c r="F1180" s="1" t="s">
        <v>5673</v>
      </c>
      <c r="G1180" s="3" t="s">
        <v>2701</v>
      </c>
      <c r="H1180" s="11">
        <f t="shared" si="36"/>
        <v>3628.35</v>
      </c>
      <c r="I1180" s="9">
        <f>($K$2+0.02)*Tabla1[[#This Row],[PRECIO $]]*1.18</f>
        <v>3281.2260000000001</v>
      </c>
      <c r="J1180" s="7">
        <f>+Tabla1[[#This Row],[PRECIO EN SOLES]]-Tabla1[[#This Row],[PC]]</f>
        <v>347.1239999999998</v>
      </c>
      <c r="K1180" s="15"/>
      <c r="L1180" s="15" t="str">
        <f t="shared" si="37"/>
        <v>GANCHO</v>
      </c>
    </row>
    <row r="1181" spans="1:12" x14ac:dyDescent="0.25">
      <c r="A1181" s="3" t="s">
        <v>2702</v>
      </c>
      <c r="B1181" s="3" t="s">
        <v>2703</v>
      </c>
      <c r="C1181" s="1">
        <v>20</v>
      </c>
      <c r="D1181" s="1">
        <v>897</v>
      </c>
      <c r="E1181" s="1" t="s">
        <v>142</v>
      </c>
      <c r="F1181" s="1" t="s">
        <v>5674</v>
      </c>
      <c r="G1181" s="3" t="s">
        <v>5675</v>
      </c>
      <c r="H1181" s="11">
        <f t="shared" si="36"/>
        <v>4035.86</v>
      </c>
      <c r="I1181" s="9">
        <f>($K$2+0.02)*Tabla1[[#This Row],[PRECIO $]]*1.18</f>
        <v>3651.6869999999999</v>
      </c>
      <c r="J1181" s="7">
        <f>+Tabla1[[#This Row],[PRECIO EN SOLES]]-Tabla1[[#This Row],[PC]]</f>
        <v>384.17300000000023</v>
      </c>
      <c r="K1181" s="15"/>
      <c r="L1181" s="15" t="str">
        <f t="shared" si="37"/>
        <v>GANCHO</v>
      </c>
    </row>
    <row r="1182" spans="1:12" x14ac:dyDescent="0.25">
      <c r="A1182" s="3" t="s">
        <v>2704</v>
      </c>
      <c r="B1182" s="3" t="s">
        <v>2705</v>
      </c>
      <c r="C1182" s="1">
        <v>20</v>
      </c>
      <c r="D1182" s="1">
        <v>925</v>
      </c>
      <c r="E1182" s="1" t="s">
        <v>269</v>
      </c>
      <c r="F1182" s="1" t="s">
        <v>5676</v>
      </c>
      <c r="G1182" s="3" t="s">
        <v>2706</v>
      </c>
      <c r="H1182" s="11">
        <f t="shared" si="36"/>
        <v>4161.24</v>
      </c>
      <c r="I1182" s="9">
        <f>($K$2+0.02)*Tabla1[[#This Row],[PRECIO $]]*1.18</f>
        <v>3765.6749999999997</v>
      </c>
      <c r="J1182" s="7">
        <f>+Tabla1[[#This Row],[PRECIO EN SOLES]]-Tabla1[[#This Row],[PC]]</f>
        <v>395.56500000000005</v>
      </c>
      <c r="K1182" s="15"/>
      <c r="L1182" s="15" t="str">
        <f t="shared" si="37"/>
        <v>GANCHO</v>
      </c>
    </row>
    <row r="1183" spans="1:12" x14ac:dyDescent="0.25">
      <c r="A1183" s="3" t="s">
        <v>5677</v>
      </c>
      <c r="B1183" s="3" t="s">
        <v>5678</v>
      </c>
      <c r="C1183" s="1">
        <v>20</v>
      </c>
      <c r="D1183" s="1">
        <v>875</v>
      </c>
      <c r="E1183" s="1" t="s">
        <v>2671</v>
      </c>
      <c r="F1183" s="1" t="s">
        <v>5679</v>
      </c>
      <c r="G1183" s="3" t="s">
        <v>7028</v>
      </c>
      <c r="H1183" s="11">
        <f t="shared" si="36"/>
        <v>3937.34</v>
      </c>
      <c r="I1183" s="9">
        <f>($K$2+0.02)*Tabla1[[#This Row],[PRECIO $]]*1.18</f>
        <v>3562.125</v>
      </c>
      <c r="J1183" s="7">
        <f>+Tabla1[[#This Row],[PRECIO EN SOLES]]-Tabla1[[#This Row],[PC]]</f>
        <v>375.21500000000015</v>
      </c>
      <c r="K1183" s="15"/>
      <c r="L1183" s="15" t="str">
        <f t="shared" si="37"/>
        <v>GANCHO</v>
      </c>
    </row>
    <row r="1184" spans="1:12" x14ac:dyDescent="0.25">
      <c r="A1184" s="3" t="s">
        <v>2707</v>
      </c>
      <c r="B1184" s="3" t="s">
        <v>2708</v>
      </c>
      <c r="C1184" s="1">
        <v>20</v>
      </c>
      <c r="D1184" s="1">
        <v>411.5</v>
      </c>
      <c r="E1184" s="1" t="s">
        <v>2092</v>
      </c>
      <c r="F1184" s="1" t="s">
        <v>5680</v>
      </c>
      <c r="G1184" s="3" t="s">
        <v>5681</v>
      </c>
      <c r="H1184" s="11">
        <f t="shared" si="36"/>
        <v>1861.74</v>
      </c>
      <c r="I1184" s="9">
        <f>($K$2+0.02)*Tabla1[[#This Row],[PRECIO $]]*1.18</f>
        <v>1675.2165000000002</v>
      </c>
      <c r="J1184" s="7">
        <f>+Tabla1[[#This Row],[PRECIO EN SOLES]]-Tabla1[[#This Row],[PC]]</f>
        <v>186.52349999999979</v>
      </c>
      <c r="K1184" s="15"/>
      <c r="L1184" s="15" t="str">
        <f t="shared" si="37"/>
        <v>GANCHO</v>
      </c>
    </row>
    <row r="1185" spans="1:12" x14ac:dyDescent="0.25">
      <c r="A1185" s="3" t="s">
        <v>2709</v>
      </c>
      <c r="B1185" s="3" t="s">
        <v>2710</v>
      </c>
      <c r="C1185" s="1">
        <v>20</v>
      </c>
      <c r="D1185" s="1">
        <v>392</v>
      </c>
      <c r="E1185" s="1" t="s">
        <v>2092</v>
      </c>
      <c r="F1185" s="1" t="s">
        <v>5682</v>
      </c>
      <c r="G1185" s="3" t="s">
        <v>5681</v>
      </c>
      <c r="H1185" s="11">
        <f t="shared" si="36"/>
        <v>1774.42</v>
      </c>
      <c r="I1185" s="9">
        <f>($K$2+0.02)*Tabla1[[#This Row],[PRECIO $]]*1.18</f>
        <v>1595.8320000000001</v>
      </c>
      <c r="J1185" s="7">
        <f>+Tabla1[[#This Row],[PRECIO EN SOLES]]-Tabla1[[#This Row],[PC]]</f>
        <v>178.58799999999997</v>
      </c>
      <c r="K1185" s="15"/>
      <c r="L1185" s="15" t="str">
        <f t="shared" si="37"/>
        <v>GANCHO</v>
      </c>
    </row>
    <row r="1186" spans="1:12" x14ac:dyDescent="0.25">
      <c r="A1186" s="3" t="s">
        <v>2711</v>
      </c>
      <c r="B1186" s="3" t="s">
        <v>2712</v>
      </c>
      <c r="C1186" s="1">
        <v>0</v>
      </c>
      <c r="D1186" s="1">
        <v>537</v>
      </c>
      <c r="E1186" s="1" t="s">
        <v>142</v>
      </c>
      <c r="F1186" s="1" t="s">
        <v>5683</v>
      </c>
      <c r="G1186" s="3" t="s">
        <v>2713</v>
      </c>
      <c r="H1186" s="11">
        <f t="shared" si="36"/>
        <v>2423.7399999999998</v>
      </c>
      <c r="I1186" s="9">
        <f>($K$2+0.02)*Tabla1[[#This Row],[PRECIO $]]*1.18</f>
        <v>2186.127</v>
      </c>
      <c r="J1186" s="7">
        <f>+Tabla1[[#This Row],[PRECIO EN SOLES]]-Tabla1[[#This Row],[PC]]</f>
        <v>237.61299999999983</v>
      </c>
      <c r="K1186" s="15"/>
      <c r="L1186" s="15" t="str">
        <f t="shared" si="37"/>
        <v>GANCHO</v>
      </c>
    </row>
    <row r="1187" spans="1:12" x14ac:dyDescent="0.25">
      <c r="A1187" s="3" t="s">
        <v>7029</v>
      </c>
      <c r="B1187" s="3" t="s">
        <v>7030</v>
      </c>
      <c r="C1187" s="1">
        <v>20</v>
      </c>
      <c r="D1187" s="1">
        <v>500</v>
      </c>
      <c r="E1187" s="1" t="s">
        <v>261</v>
      </c>
      <c r="F1187" s="1" t="s">
        <v>7031</v>
      </c>
      <c r="G1187" s="3" t="s">
        <v>7032</v>
      </c>
      <c r="H1187" s="11">
        <f t="shared" si="36"/>
        <v>2258.0500000000002</v>
      </c>
      <c r="I1187" s="9">
        <f>($K$2+0.02)*Tabla1[[#This Row],[PRECIO $]]*1.18</f>
        <v>2035.5</v>
      </c>
      <c r="J1187" s="7">
        <f>+Tabla1[[#This Row],[PRECIO EN SOLES]]-Tabla1[[#This Row],[PC]]</f>
        <v>222.55000000000018</v>
      </c>
      <c r="K1187" s="15"/>
      <c r="L1187" s="15" t="str">
        <f t="shared" si="37"/>
        <v>GANCHO</v>
      </c>
    </row>
    <row r="1188" spans="1:12" x14ac:dyDescent="0.25">
      <c r="A1188" s="3" t="s">
        <v>2714</v>
      </c>
      <c r="B1188" s="3" t="s">
        <v>2715</v>
      </c>
      <c r="C1188" s="1">
        <v>20</v>
      </c>
      <c r="D1188" s="1">
        <v>715</v>
      </c>
      <c r="E1188" s="1" t="s">
        <v>261</v>
      </c>
      <c r="F1188" s="1" t="s">
        <v>5684</v>
      </c>
      <c r="G1188" s="3" t="s">
        <v>2716</v>
      </c>
      <c r="H1188" s="11">
        <f t="shared" si="36"/>
        <v>3220.84</v>
      </c>
      <c r="I1188" s="9">
        <f>($K$2+0.02)*Tabla1[[#This Row],[PRECIO $]]*1.18</f>
        <v>2910.7649999999999</v>
      </c>
      <c r="J1188" s="7">
        <f>+Tabla1[[#This Row],[PRECIO EN SOLES]]-Tabla1[[#This Row],[PC]]</f>
        <v>310.07500000000027</v>
      </c>
      <c r="K1188" s="15"/>
      <c r="L1188" s="15" t="str">
        <f t="shared" si="37"/>
        <v>GANCHO</v>
      </c>
    </row>
    <row r="1189" spans="1:12" x14ac:dyDescent="0.25">
      <c r="A1189" s="3" t="s">
        <v>7033</v>
      </c>
      <c r="B1189" s="3" t="s">
        <v>7034</v>
      </c>
      <c r="C1189" s="1">
        <v>20</v>
      </c>
      <c r="D1189" s="1">
        <v>538</v>
      </c>
      <c r="E1189" s="1" t="s">
        <v>261</v>
      </c>
      <c r="F1189" s="1" t="s">
        <v>7035</v>
      </c>
      <c r="G1189" s="3"/>
      <c r="H1189" s="11">
        <f t="shared" si="36"/>
        <v>2428.2199999999998</v>
      </c>
      <c r="I1189" s="9">
        <f>($K$2+0.02)*Tabla1[[#This Row],[PRECIO $]]*1.18</f>
        <v>2190.1979999999999</v>
      </c>
      <c r="J1189" s="7">
        <f>+Tabla1[[#This Row],[PRECIO EN SOLES]]-Tabla1[[#This Row],[PC]]</f>
        <v>238.02199999999993</v>
      </c>
      <c r="K1189" s="15"/>
      <c r="L1189" s="15" t="str">
        <f t="shared" si="37"/>
        <v>GANCHO</v>
      </c>
    </row>
    <row r="1190" spans="1:12" x14ac:dyDescent="0.25">
      <c r="A1190" s="3" t="s">
        <v>7036</v>
      </c>
      <c r="B1190" s="3" t="s">
        <v>7037</v>
      </c>
      <c r="C1190" s="1">
        <v>20</v>
      </c>
      <c r="D1190" s="1">
        <v>608</v>
      </c>
      <c r="E1190" s="1" t="s">
        <v>261</v>
      </c>
      <c r="F1190" s="1" t="s">
        <v>7038</v>
      </c>
      <c r="G1190" s="3"/>
      <c r="H1190" s="11">
        <f t="shared" si="36"/>
        <v>2741.68</v>
      </c>
      <c r="I1190" s="9">
        <f>($K$2+0.02)*Tabla1[[#This Row],[PRECIO $]]*1.18</f>
        <v>2475.1679999999997</v>
      </c>
      <c r="J1190" s="7">
        <f>+Tabla1[[#This Row],[PRECIO EN SOLES]]-Tabla1[[#This Row],[PC]]</f>
        <v>266.51200000000017</v>
      </c>
      <c r="K1190" s="15"/>
      <c r="L1190" s="15" t="str">
        <f t="shared" si="37"/>
        <v>GANCHO</v>
      </c>
    </row>
    <row r="1191" spans="1:12" x14ac:dyDescent="0.25">
      <c r="A1191" s="3" t="s">
        <v>2717</v>
      </c>
      <c r="B1191" s="3" t="s">
        <v>2718</v>
      </c>
      <c r="C1191" s="1">
        <v>0</v>
      </c>
      <c r="D1191" s="1">
        <v>945</v>
      </c>
      <c r="E1191" s="1" t="s">
        <v>2092</v>
      </c>
      <c r="F1191" s="1" t="s">
        <v>5685</v>
      </c>
      <c r="G1191" s="3" t="s">
        <v>2719</v>
      </c>
      <c r="H1191" s="11">
        <f t="shared" si="36"/>
        <v>4250.8</v>
      </c>
      <c r="I1191" s="9">
        <f>($K$2+0.02)*Tabla1[[#This Row],[PRECIO $]]*1.18</f>
        <v>3847.0949999999998</v>
      </c>
      <c r="J1191" s="7">
        <f>+Tabla1[[#This Row],[PRECIO EN SOLES]]-Tabla1[[#This Row],[PC]]</f>
        <v>403.70500000000038</v>
      </c>
      <c r="K1191" s="15"/>
      <c r="L1191" s="15" t="str">
        <f t="shared" si="37"/>
        <v>GANCHO</v>
      </c>
    </row>
    <row r="1192" spans="1:12" x14ac:dyDescent="0.25">
      <c r="A1192" s="3" t="s">
        <v>2720</v>
      </c>
      <c r="B1192" s="3" t="s">
        <v>2721</v>
      </c>
      <c r="C1192" s="1">
        <v>20</v>
      </c>
      <c r="D1192" s="1">
        <v>817</v>
      </c>
      <c r="E1192" s="1" t="s">
        <v>2092</v>
      </c>
      <c r="F1192" s="1" t="s">
        <v>5686</v>
      </c>
      <c r="G1192" s="3" t="s">
        <v>2719</v>
      </c>
      <c r="H1192" s="11">
        <f t="shared" si="36"/>
        <v>3677.61</v>
      </c>
      <c r="I1192" s="9">
        <f>($K$2+0.02)*Tabla1[[#This Row],[PRECIO $]]*1.18</f>
        <v>3326.0070000000001</v>
      </c>
      <c r="J1192" s="7">
        <f>+Tabla1[[#This Row],[PRECIO EN SOLES]]-Tabla1[[#This Row],[PC]]</f>
        <v>351.60300000000007</v>
      </c>
      <c r="K1192" s="15"/>
      <c r="L1192" s="15" t="str">
        <f t="shared" si="37"/>
        <v>GANCHO</v>
      </c>
    </row>
    <row r="1193" spans="1:12" x14ac:dyDescent="0.25">
      <c r="A1193" s="3" t="s">
        <v>2722</v>
      </c>
      <c r="B1193" s="3" t="s">
        <v>2723</v>
      </c>
      <c r="C1193" s="1">
        <v>20</v>
      </c>
      <c r="D1193" s="1">
        <v>664</v>
      </c>
      <c r="E1193" s="1" t="s">
        <v>2092</v>
      </c>
      <c r="F1193" s="1" t="s">
        <v>5687</v>
      </c>
      <c r="G1193" s="3" t="s">
        <v>2724</v>
      </c>
      <c r="H1193" s="11">
        <f t="shared" si="36"/>
        <v>2992.46</v>
      </c>
      <c r="I1193" s="9">
        <f>($K$2+0.02)*Tabla1[[#This Row],[PRECIO $]]*1.18</f>
        <v>2703.1440000000002</v>
      </c>
      <c r="J1193" s="7">
        <f>+Tabla1[[#This Row],[PRECIO EN SOLES]]-Tabla1[[#This Row],[PC]]</f>
        <v>289.3159999999998</v>
      </c>
      <c r="K1193" s="15"/>
      <c r="L1193" s="15" t="str">
        <f t="shared" si="37"/>
        <v>GANCHO</v>
      </c>
    </row>
    <row r="1194" spans="1:12" x14ac:dyDescent="0.25">
      <c r="A1194" s="3" t="s">
        <v>2725</v>
      </c>
      <c r="B1194" s="3" t="s">
        <v>2726</v>
      </c>
      <c r="C1194" s="1">
        <v>20</v>
      </c>
      <c r="D1194" s="1">
        <v>767</v>
      </c>
      <c r="E1194" s="1" t="s">
        <v>2092</v>
      </c>
      <c r="F1194" s="1" t="s">
        <v>5688</v>
      </c>
      <c r="G1194" s="3" t="s">
        <v>2719</v>
      </c>
      <c r="H1194" s="11">
        <f t="shared" si="36"/>
        <v>3453.7</v>
      </c>
      <c r="I1194" s="9">
        <f>($K$2+0.02)*Tabla1[[#This Row],[PRECIO $]]*1.18</f>
        <v>3122.4569999999999</v>
      </c>
      <c r="J1194" s="7">
        <f>+Tabla1[[#This Row],[PRECIO EN SOLES]]-Tabla1[[#This Row],[PC]]</f>
        <v>331.24299999999994</v>
      </c>
      <c r="K1194" s="15"/>
      <c r="L1194" s="15" t="str">
        <f t="shared" si="37"/>
        <v>GANCHO</v>
      </c>
    </row>
    <row r="1195" spans="1:12" x14ac:dyDescent="0.25">
      <c r="A1195" s="3" t="s">
        <v>2727</v>
      </c>
      <c r="B1195" s="3" t="s">
        <v>2728</v>
      </c>
      <c r="C1195" s="1">
        <v>20</v>
      </c>
      <c r="D1195" s="1">
        <v>785</v>
      </c>
      <c r="E1195" s="1" t="s">
        <v>261</v>
      </c>
      <c r="F1195" s="1" t="s">
        <v>5689</v>
      </c>
      <c r="G1195" s="3" t="s">
        <v>5690</v>
      </c>
      <c r="H1195" s="11">
        <f t="shared" si="36"/>
        <v>3534.31</v>
      </c>
      <c r="I1195" s="9">
        <f>($K$2+0.02)*Tabla1[[#This Row],[PRECIO $]]*1.18</f>
        <v>3195.7349999999997</v>
      </c>
      <c r="J1195" s="7">
        <f>+Tabla1[[#This Row],[PRECIO EN SOLES]]-Tabla1[[#This Row],[PC]]</f>
        <v>338.57500000000027</v>
      </c>
      <c r="K1195" s="15"/>
      <c r="L1195" s="15" t="str">
        <f t="shared" si="37"/>
        <v>GANCHO</v>
      </c>
    </row>
    <row r="1196" spans="1:12" x14ac:dyDescent="0.25">
      <c r="A1196" s="3" t="s">
        <v>5691</v>
      </c>
      <c r="B1196" s="3" t="s">
        <v>2728</v>
      </c>
      <c r="C1196" s="1">
        <v>20</v>
      </c>
      <c r="D1196" s="1">
        <v>768</v>
      </c>
      <c r="E1196" s="1" t="s">
        <v>261</v>
      </c>
      <c r="F1196" s="1" t="s">
        <v>5692</v>
      </c>
      <c r="G1196" s="3" t="s">
        <v>5693</v>
      </c>
      <c r="H1196" s="11">
        <f t="shared" si="36"/>
        <v>3458.18</v>
      </c>
      <c r="I1196" s="9">
        <f>($K$2+0.02)*Tabla1[[#This Row],[PRECIO $]]*1.18</f>
        <v>3126.5280000000002</v>
      </c>
      <c r="J1196" s="7">
        <f>+Tabla1[[#This Row],[PRECIO EN SOLES]]-Tabla1[[#This Row],[PC]]</f>
        <v>331.65199999999959</v>
      </c>
      <c r="K1196" s="15"/>
      <c r="L1196" s="15" t="str">
        <f t="shared" si="37"/>
        <v>GANCHO</v>
      </c>
    </row>
    <row r="1197" spans="1:12" x14ac:dyDescent="0.25">
      <c r="A1197" s="3" t="s">
        <v>5694</v>
      </c>
      <c r="B1197" s="3" t="s">
        <v>5695</v>
      </c>
      <c r="C1197" s="1">
        <v>20</v>
      </c>
      <c r="D1197" s="1">
        <v>720</v>
      </c>
      <c r="E1197" s="1" t="s">
        <v>261</v>
      </c>
      <c r="F1197" s="1" t="s">
        <v>5696</v>
      </c>
      <c r="G1197" s="3" t="s">
        <v>7039</v>
      </c>
      <c r="H1197" s="11">
        <f t="shared" si="36"/>
        <v>3243.23</v>
      </c>
      <c r="I1197" s="9">
        <f>($K$2+0.02)*Tabla1[[#This Row],[PRECIO $]]*1.18</f>
        <v>2931.12</v>
      </c>
      <c r="J1197" s="7">
        <f>+Tabla1[[#This Row],[PRECIO EN SOLES]]-Tabla1[[#This Row],[PC]]</f>
        <v>312.11000000000013</v>
      </c>
      <c r="K1197" s="15"/>
      <c r="L1197" s="15" t="str">
        <f t="shared" si="37"/>
        <v>GANCHO</v>
      </c>
    </row>
    <row r="1198" spans="1:12" x14ac:dyDescent="0.25">
      <c r="A1198" s="3" t="s">
        <v>5697</v>
      </c>
      <c r="B1198" s="3" t="s">
        <v>5698</v>
      </c>
      <c r="C1198" s="1">
        <v>1</v>
      </c>
      <c r="D1198" s="1">
        <v>697</v>
      </c>
      <c r="E1198" s="1" t="s">
        <v>2671</v>
      </c>
      <c r="F1198" s="1" t="s">
        <v>5699</v>
      </c>
      <c r="G1198" s="3"/>
      <c r="H1198" s="11">
        <f t="shared" si="36"/>
        <v>3140.24</v>
      </c>
      <c r="I1198" s="9">
        <f>($K$2+0.02)*Tabla1[[#This Row],[PRECIO $]]*1.18</f>
        <v>2837.4870000000001</v>
      </c>
      <c r="J1198" s="7">
        <f>+Tabla1[[#This Row],[PRECIO EN SOLES]]-Tabla1[[#This Row],[PC]]</f>
        <v>302.7529999999997</v>
      </c>
      <c r="K1198" s="15"/>
      <c r="L1198" s="15" t="str">
        <f t="shared" si="37"/>
        <v>GANCHO</v>
      </c>
    </row>
    <row r="1199" spans="1:12" x14ac:dyDescent="0.25">
      <c r="A1199" s="3" t="s">
        <v>2729</v>
      </c>
      <c r="B1199" s="3" t="s">
        <v>2730</v>
      </c>
      <c r="C1199" s="1">
        <v>20</v>
      </c>
      <c r="D1199" s="1">
        <v>1754</v>
      </c>
      <c r="E1199" s="1" t="s">
        <v>269</v>
      </c>
      <c r="F1199" s="1" t="s">
        <v>5700</v>
      </c>
      <c r="G1199" s="3" t="s">
        <v>2731</v>
      </c>
      <c r="H1199" s="11">
        <f t="shared" si="36"/>
        <v>7873.59</v>
      </c>
      <c r="I1199" s="9">
        <f>($K$2+0.02)*Tabla1[[#This Row],[PRECIO $]]*1.18</f>
        <v>7140.5339999999997</v>
      </c>
      <c r="J1199" s="7">
        <f>+Tabla1[[#This Row],[PRECIO EN SOLES]]-Tabla1[[#This Row],[PC]]</f>
        <v>733.05600000000049</v>
      </c>
      <c r="K1199" s="15"/>
      <c r="L1199" s="15" t="str">
        <f t="shared" si="37"/>
        <v>GANCHO</v>
      </c>
    </row>
    <row r="1200" spans="1:12" x14ac:dyDescent="0.25">
      <c r="A1200" s="3" t="s">
        <v>2732</v>
      </c>
      <c r="B1200" s="3" t="s">
        <v>2733</v>
      </c>
      <c r="C1200" s="1">
        <v>2</v>
      </c>
      <c r="D1200" s="1">
        <v>1437</v>
      </c>
      <c r="E1200" s="1" t="s">
        <v>269</v>
      </c>
      <c r="F1200" s="1" t="s">
        <v>5701</v>
      </c>
      <c r="G1200" s="3" t="s">
        <v>2734</v>
      </c>
      <c r="H1200" s="11">
        <f t="shared" si="36"/>
        <v>6454.03</v>
      </c>
      <c r="I1200" s="9">
        <f>($K$2+0.02)*Tabla1[[#This Row],[PRECIO $]]*1.18</f>
        <v>5850.027</v>
      </c>
      <c r="J1200" s="7">
        <f>+Tabla1[[#This Row],[PRECIO EN SOLES]]-Tabla1[[#This Row],[PC]]</f>
        <v>604.0029999999997</v>
      </c>
      <c r="K1200" s="15"/>
      <c r="L1200" s="15" t="str">
        <f t="shared" si="37"/>
        <v>GANCHO</v>
      </c>
    </row>
    <row r="1201" spans="1:12" x14ac:dyDescent="0.25">
      <c r="A1201" s="3" t="s">
        <v>2735</v>
      </c>
      <c r="B1201" s="3" t="s">
        <v>2736</v>
      </c>
      <c r="C1201" s="1">
        <v>20</v>
      </c>
      <c r="D1201" s="1">
        <v>1457</v>
      </c>
      <c r="E1201" s="1" t="s">
        <v>269</v>
      </c>
      <c r="F1201" s="1" t="s">
        <v>5702</v>
      </c>
      <c r="G1201" s="3" t="s">
        <v>2737</v>
      </c>
      <c r="H1201" s="11">
        <f t="shared" si="36"/>
        <v>6543.59</v>
      </c>
      <c r="I1201" s="9">
        <f>($K$2+0.02)*Tabla1[[#This Row],[PRECIO $]]*1.18</f>
        <v>5931.4470000000001</v>
      </c>
      <c r="J1201" s="7">
        <f>+Tabla1[[#This Row],[PRECIO EN SOLES]]-Tabla1[[#This Row],[PC]]</f>
        <v>612.14300000000003</v>
      </c>
      <c r="K1201" s="15"/>
      <c r="L1201" s="15" t="str">
        <f t="shared" si="37"/>
        <v>GANCHO</v>
      </c>
    </row>
    <row r="1202" spans="1:12" x14ac:dyDescent="0.25">
      <c r="A1202" s="3" t="s">
        <v>2738</v>
      </c>
      <c r="B1202" s="3" t="s">
        <v>2739</v>
      </c>
      <c r="C1202" s="1">
        <v>9</v>
      </c>
      <c r="D1202" s="1">
        <v>1135</v>
      </c>
      <c r="E1202" s="1" t="s">
        <v>269</v>
      </c>
      <c r="F1202" s="1" t="s">
        <v>5703</v>
      </c>
      <c r="G1202" s="3" t="s">
        <v>2740</v>
      </c>
      <c r="H1202" s="11">
        <f t="shared" si="36"/>
        <v>5101.6400000000003</v>
      </c>
      <c r="I1202" s="9">
        <f>($K$2+0.02)*Tabla1[[#This Row],[PRECIO $]]*1.18</f>
        <v>4620.585</v>
      </c>
      <c r="J1202" s="7">
        <f>+Tabla1[[#This Row],[PRECIO EN SOLES]]-Tabla1[[#This Row],[PC]]</f>
        <v>481.05500000000029</v>
      </c>
      <c r="K1202" s="15"/>
      <c r="L1202" s="15" t="str">
        <f t="shared" si="37"/>
        <v>GANCHO</v>
      </c>
    </row>
    <row r="1203" spans="1:12" x14ac:dyDescent="0.25">
      <c r="A1203" s="3" t="s">
        <v>2741</v>
      </c>
      <c r="B1203" s="3" t="s">
        <v>2742</v>
      </c>
      <c r="C1203" s="1">
        <v>20</v>
      </c>
      <c r="D1203" s="1">
        <v>1294</v>
      </c>
      <c r="E1203" s="1" t="s">
        <v>557</v>
      </c>
      <c r="F1203" s="1" t="s">
        <v>5704</v>
      </c>
      <c r="G1203" s="3" t="s">
        <v>2743</v>
      </c>
      <c r="H1203" s="11">
        <f t="shared" si="36"/>
        <v>5813.66</v>
      </c>
      <c r="I1203" s="9">
        <f>($K$2+0.02)*Tabla1[[#This Row],[PRECIO $]]*1.18</f>
        <v>5267.8739999999998</v>
      </c>
      <c r="J1203" s="7">
        <f>+Tabla1[[#This Row],[PRECIO EN SOLES]]-Tabla1[[#This Row],[PC]]</f>
        <v>545.78600000000006</v>
      </c>
      <c r="K1203" s="15"/>
      <c r="L1203" s="15" t="str">
        <f t="shared" si="37"/>
        <v>GANCHO</v>
      </c>
    </row>
    <row r="1204" spans="1:12" x14ac:dyDescent="0.25">
      <c r="A1204" s="3" t="s">
        <v>2744</v>
      </c>
      <c r="B1204" s="3" t="s">
        <v>2745</v>
      </c>
      <c r="C1204" s="1">
        <v>15</v>
      </c>
      <c r="D1204" s="1">
        <v>1332</v>
      </c>
      <c r="E1204" s="1" t="s">
        <v>557</v>
      </c>
      <c r="F1204" s="1" t="s">
        <v>5705</v>
      </c>
      <c r="G1204" s="3" t="s">
        <v>2746</v>
      </c>
      <c r="H1204" s="11">
        <f t="shared" si="36"/>
        <v>5983.83</v>
      </c>
      <c r="I1204" s="9">
        <f>($K$2+0.02)*Tabla1[[#This Row],[PRECIO $]]*1.18</f>
        <v>5422.5720000000001</v>
      </c>
      <c r="J1204" s="7">
        <f>+Tabla1[[#This Row],[PRECIO EN SOLES]]-Tabla1[[#This Row],[PC]]</f>
        <v>561.25799999999981</v>
      </c>
      <c r="K1204" s="15"/>
      <c r="L1204" s="15" t="str">
        <f t="shared" si="37"/>
        <v>GANCHO</v>
      </c>
    </row>
    <row r="1205" spans="1:12" x14ac:dyDescent="0.25">
      <c r="A1205" s="3" t="s">
        <v>2747</v>
      </c>
      <c r="B1205" s="3" t="s">
        <v>2748</v>
      </c>
      <c r="C1205" s="1">
        <v>20</v>
      </c>
      <c r="D1205" s="1">
        <v>1694</v>
      </c>
      <c r="E1205" s="1" t="s">
        <v>142</v>
      </c>
      <c r="F1205" s="1" t="s">
        <v>5706</v>
      </c>
      <c r="G1205" s="3" t="s">
        <v>2749</v>
      </c>
      <c r="H1205" s="11">
        <f t="shared" si="36"/>
        <v>7604.9</v>
      </c>
      <c r="I1205" s="9">
        <f>($K$2+0.02)*Tabla1[[#This Row],[PRECIO $]]*1.18</f>
        <v>6896.2739999999994</v>
      </c>
      <c r="J1205" s="7">
        <f>+Tabla1[[#This Row],[PRECIO EN SOLES]]-Tabla1[[#This Row],[PC]]</f>
        <v>708.6260000000002</v>
      </c>
      <c r="K1205" s="15"/>
      <c r="L1205" s="15" t="str">
        <f t="shared" si="37"/>
        <v>GANCHO</v>
      </c>
    </row>
    <row r="1206" spans="1:12" x14ac:dyDescent="0.25">
      <c r="A1206" s="3" t="s">
        <v>2750</v>
      </c>
      <c r="B1206" s="3" t="s">
        <v>2751</v>
      </c>
      <c r="C1206" s="1">
        <v>0</v>
      </c>
      <c r="D1206" s="1">
        <v>1237</v>
      </c>
      <c r="E1206" s="1" t="s">
        <v>142</v>
      </c>
      <c r="F1206" s="1" t="s">
        <v>5707</v>
      </c>
      <c r="G1206" s="3" t="s">
        <v>2752</v>
      </c>
      <c r="H1206" s="11">
        <f t="shared" si="36"/>
        <v>5558.41</v>
      </c>
      <c r="I1206" s="9">
        <f>($K$2+0.02)*Tabla1[[#This Row],[PRECIO $]]*1.18</f>
        <v>5035.8270000000002</v>
      </c>
      <c r="J1206" s="7">
        <f>+Tabla1[[#This Row],[PRECIO EN SOLES]]-Tabla1[[#This Row],[PC]]</f>
        <v>522.58299999999963</v>
      </c>
      <c r="K1206" s="15"/>
      <c r="L1206" s="15" t="str">
        <f t="shared" si="37"/>
        <v>GANCHO</v>
      </c>
    </row>
    <row r="1207" spans="1:12" x14ac:dyDescent="0.25">
      <c r="A1207" s="3" t="s">
        <v>2753</v>
      </c>
      <c r="B1207" s="3" t="s">
        <v>2754</v>
      </c>
      <c r="C1207" s="1">
        <v>1</v>
      </c>
      <c r="D1207" s="1">
        <v>1897</v>
      </c>
      <c r="E1207" s="1" t="s">
        <v>142</v>
      </c>
      <c r="F1207" s="1" t="s">
        <v>5708</v>
      </c>
      <c r="G1207" s="3" t="s">
        <v>2755</v>
      </c>
      <c r="H1207" s="11">
        <f t="shared" si="36"/>
        <v>8513.9599999999991</v>
      </c>
      <c r="I1207" s="9">
        <f>($K$2+0.02)*Tabla1[[#This Row],[PRECIO $]]*1.18</f>
        <v>7722.6869999999999</v>
      </c>
      <c r="J1207" s="7">
        <f>+Tabla1[[#This Row],[PRECIO EN SOLES]]-Tabla1[[#This Row],[PC]]</f>
        <v>791.27299999999923</v>
      </c>
      <c r="K1207" s="15"/>
      <c r="L1207" s="15" t="str">
        <f t="shared" si="37"/>
        <v>GANCHO</v>
      </c>
    </row>
    <row r="1208" spans="1:12" x14ac:dyDescent="0.25">
      <c r="A1208" s="3" t="s">
        <v>7040</v>
      </c>
      <c r="B1208" s="3" t="s">
        <v>7041</v>
      </c>
      <c r="C1208" s="1">
        <v>20</v>
      </c>
      <c r="D1208" s="1">
        <v>1485</v>
      </c>
      <c r="E1208" s="1" t="s">
        <v>142</v>
      </c>
      <c r="F1208" s="1" t="s">
        <v>7042</v>
      </c>
      <c r="G1208" s="3" t="s">
        <v>7043</v>
      </c>
      <c r="H1208" s="11">
        <f t="shared" si="36"/>
        <v>6668.98</v>
      </c>
      <c r="I1208" s="9">
        <f>($K$2+0.02)*Tabla1[[#This Row],[PRECIO $]]*1.18</f>
        <v>6045.4349999999995</v>
      </c>
      <c r="J1208" s="7">
        <f>+Tabla1[[#This Row],[PRECIO EN SOLES]]-Tabla1[[#This Row],[PC]]</f>
        <v>623.54500000000007</v>
      </c>
      <c r="K1208" s="15"/>
      <c r="L1208" s="15" t="str">
        <f t="shared" si="37"/>
        <v>GANCHO</v>
      </c>
    </row>
    <row r="1209" spans="1:12" x14ac:dyDescent="0.25">
      <c r="A1209" s="3" t="s">
        <v>2756</v>
      </c>
      <c r="B1209" s="3" t="s">
        <v>2757</v>
      </c>
      <c r="C1209" s="1">
        <v>2</v>
      </c>
      <c r="D1209" s="1">
        <v>1525</v>
      </c>
      <c r="E1209" s="1" t="s">
        <v>142</v>
      </c>
      <c r="F1209" s="1" t="s">
        <v>5709</v>
      </c>
      <c r="G1209" s="3" t="s">
        <v>2758</v>
      </c>
      <c r="H1209" s="11">
        <f t="shared" si="36"/>
        <v>6848.1</v>
      </c>
      <c r="I1209" s="9">
        <f>($K$2+0.02)*Tabla1[[#This Row],[PRECIO $]]*1.18</f>
        <v>6208.2749999999996</v>
      </c>
      <c r="J1209" s="7">
        <f>+Tabla1[[#This Row],[PRECIO EN SOLES]]-Tabla1[[#This Row],[PC]]</f>
        <v>639.82500000000073</v>
      </c>
      <c r="K1209" s="15"/>
      <c r="L1209" s="15" t="str">
        <f t="shared" si="37"/>
        <v>GANCHO</v>
      </c>
    </row>
    <row r="1210" spans="1:12" x14ac:dyDescent="0.25">
      <c r="A1210" s="3" t="s">
        <v>2759</v>
      </c>
      <c r="B1210" s="3" t="s">
        <v>2760</v>
      </c>
      <c r="C1210" s="1">
        <v>0</v>
      </c>
      <c r="D1210" s="1">
        <v>1675</v>
      </c>
      <c r="E1210" s="1" t="s">
        <v>142</v>
      </c>
      <c r="F1210" s="1" t="s">
        <v>5710</v>
      </c>
      <c r="G1210" s="3" t="s">
        <v>2761</v>
      </c>
      <c r="H1210" s="11">
        <f t="shared" si="36"/>
        <v>7519.82</v>
      </c>
      <c r="I1210" s="9">
        <f>($K$2+0.02)*Tabla1[[#This Row],[PRECIO $]]*1.18</f>
        <v>6818.9249999999993</v>
      </c>
      <c r="J1210" s="7">
        <f>+Tabla1[[#This Row],[PRECIO EN SOLES]]-Tabla1[[#This Row],[PC]]</f>
        <v>700.89500000000044</v>
      </c>
      <c r="K1210" s="15"/>
      <c r="L1210" s="15" t="str">
        <f t="shared" si="37"/>
        <v>GANCHO</v>
      </c>
    </row>
    <row r="1211" spans="1:12" x14ac:dyDescent="0.25">
      <c r="A1211" s="3" t="s">
        <v>2762</v>
      </c>
      <c r="B1211" s="3" t="s">
        <v>2763</v>
      </c>
      <c r="C1211" s="1">
        <v>12</v>
      </c>
      <c r="D1211" s="1">
        <v>2095</v>
      </c>
      <c r="E1211" s="1" t="s">
        <v>142</v>
      </c>
      <c r="F1211" s="1" t="s">
        <v>5711</v>
      </c>
      <c r="G1211" s="3" t="s">
        <v>2764</v>
      </c>
      <c r="H1211" s="11">
        <f t="shared" si="36"/>
        <v>9400.6200000000008</v>
      </c>
      <c r="I1211" s="9">
        <f>($K$2+0.02)*Tabla1[[#This Row],[PRECIO $]]*1.18</f>
        <v>8528.744999999999</v>
      </c>
      <c r="J1211" s="7">
        <f>+Tabla1[[#This Row],[PRECIO EN SOLES]]-Tabla1[[#This Row],[PC]]</f>
        <v>871.87500000000182</v>
      </c>
      <c r="K1211" s="15"/>
      <c r="L1211" s="15" t="str">
        <f t="shared" si="37"/>
        <v>GANCHO</v>
      </c>
    </row>
    <row r="1212" spans="1:12" x14ac:dyDescent="0.25">
      <c r="A1212" s="3" t="s">
        <v>2765</v>
      </c>
      <c r="B1212" s="3" t="s">
        <v>2766</v>
      </c>
      <c r="C1212" s="1">
        <v>0</v>
      </c>
      <c r="D1212" s="1">
        <v>2917</v>
      </c>
      <c r="E1212" s="1" t="s">
        <v>269</v>
      </c>
      <c r="F1212" s="1" t="s">
        <v>5712</v>
      </c>
      <c r="G1212" s="3" t="s">
        <v>2767</v>
      </c>
      <c r="H1212" s="11">
        <f t="shared" si="36"/>
        <v>13081.62</v>
      </c>
      <c r="I1212" s="9">
        <f>($K$2+0.02)*Tabla1[[#This Row],[PRECIO $]]*1.18</f>
        <v>11875.106999999998</v>
      </c>
      <c r="J1212" s="7">
        <f>+Tabla1[[#This Row],[PRECIO EN SOLES]]-Tabla1[[#This Row],[PC]]</f>
        <v>1206.5130000000026</v>
      </c>
      <c r="K1212" s="15"/>
      <c r="L1212" s="15" t="str">
        <f t="shared" si="37"/>
        <v>GANCHO</v>
      </c>
    </row>
    <row r="1213" spans="1:12" x14ac:dyDescent="0.25">
      <c r="A1213" s="3" t="s">
        <v>2768</v>
      </c>
      <c r="B1213" s="3" t="s">
        <v>2769</v>
      </c>
      <c r="C1213" s="1">
        <v>0</v>
      </c>
      <c r="D1213" s="1">
        <v>1915</v>
      </c>
      <c r="E1213" s="1" t="s">
        <v>269</v>
      </c>
      <c r="F1213" s="1" t="s">
        <v>5713</v>
      </c>
      <c r="G1213" s="3" t="s">
        <v>2770</v>
      </c>
      <c r="H1213" s="11">
        <f t="shared" si="36"/>
        <v>8594.56</v>
      </c>
      <c r="I1213" s="9">
        <f>($K$2+0.02)*Tabla1[[#This Row],[PRECIO $]]*1.18</f>
        <v>7795.9649999999992</v>
      </c>
      <c r="J1213" s="7">
        <f>+Tabla1[[#This Row],[PRECIO EN SOLES]]-Tabla1[[#This Row],[PC]]</f>
        <v>798.59500000000025</v>
      </c>
      <c r="K1213" s="15"/>
      <c r="L1213" s="15" t="str">
        <f t="shared" si="37"/>
        <v>GANCHO</v>
      </c>
    </row>
    <row r="1214" spans="1:12" x14ac:dyDescent="0.25">
      <c r="A1214" s="3" t="s">
        <v>2771</v>
      </c>
      <c r="B1214" s="3" t="s">
        <v>2772</v>
      </c>
      <c r="C1214" s="1">
        <v>0</v>
      </c>
      <c r="D1214" s="1">
        <v>2194</v>
      </c>
      <c r="E1214" s="1" t="s">
        <v>269</v>
      </c>
      <c r="F1214" s="1" t="s">
        <v>5714</v>
      </c>
      <c r="G1214" s="3"/>
      <c r="H1214" s="11">
        <f t="shared" si="36"/>
        <v>9843.9500000000007</v>
      </c>
      <c r="I1214" s="9">
        <f>($K$2+0.02)*Tabla1[[#This Row],[PRECIO $]]*1.18</f>
        <v>8931.7739999999994</v>
      </c>
      <c r="J1214" s="7">
        <f>+Tabla1[[#This Row],[PRECIO EN SOLES]]-Tabla1[[#This Row],[PC]]</f>
        <v>912.1760000000013</v>
      </c>
      <c r="K1214" s="15"/>
      <c r="L1214" s="15" t="str">
        <f t="shared" si="37"/>
        <v>GANCHO</v>
      </c>
    </row>
    <row r="1215" spans="1:12" x14ac:dyDescent="0.25">
      <c r="A1215" s="3" t="s">
        <v>2773</v>
      </c>
      <c r="B1215" s="3" t="s">
        <v>2774</v>
      </c>
      <c r="C1215" s="1">
        <v>20</v>
      </c>
      <c r="D1215" s="1">
        <v>1942</v>
      </c>
      <c r="E1215" s="1" t="s">
        <v>269</v>
      </c>
      <c r="F1215" s="1" t="s">
        <v>5715</v>
      </c>
      <c r="G1215" s="3" t="s">
        <v>2775</v>
      </c>
      <c r="H1215" s="11">
        <f t="shared" si="36"/>
        <v>8715.4699999999993</v>
      </c>
      <c r="I1215" s="9">
        <f>($K$2+0.02)*Tabla1[[#This Row],[PRECIO $]]*1.18</f>
        <v>7905.8820000000005</v>
      </c>
      <c r="J1215" s="7">
        <f>+Tabla1[[#This Row],[PRECIO EN SOLES]]-Tabla1[[#This Row],[PC]]</f>
        <v>809.58799999999883</v>
      </c>
      <c r="K1215" s="15"/>
      <c r="L1215" s="15" t="str">
        <f t="shared" si="37"/>
        <v>GANCHO</v>
      </c>
    </row>
    <row r="1216" spans="1:12" x14ac:dyDescent="0.25">
      <c r="A1216" s="3" t="s">
        <v>2776</v>
      </c>
      <c r="B1216" s="3" t="s">
        <v>2777</v>
      </c>
      <c r="C1216" s="1">
        <v>0</v>
      </c>
      <c r="D1216" s="1">
        <v>2125</v>
      </c>
      <c r="E1216" s="1" t="s">
        <v>269</v>
      </c>
      <c r="F1216" s="1" t="s">
        <v>5716</v>
      </c>
      <c r="G1216" s="3" t="s">
        <v>2778</v>
      </c>
      <c r="H1216" s="11">
        <f t="shared" si="36"/>
        <v>9534.9599999999991</v>
      </c>
      <c r="I1216" s="9">
        <f>($K$2+0.02)*Tabla1[[#This Row],[PRECIO $]]*1.18</f>
        <v>8650.875</v>
      </c>
      <c r="J1216" s="7">
        <f>+Tabla1[[#This Row],[PRECIO EN SOLES]]-Tabla1[[#This Row],[PC]]</f>
        <v>884.08499999999913</v>
      </c>
      <c r="K1216" s="15"/>
      <c r="L1216" s="15" t="str">
        <f t="shared" si="37"/>
        <v>GANCHO</v>
      </c>
    </row>
    <row r="1217" spans="1:12" x14ac:dyDescent="0.25">
      <c r="A1217" s="3" t="s">
        <v>5717</v>
      </c>
      <c r="B1217" s="3" t="s">
        <v>5718</v>
      </c>
      <c r="C1217" s="1">
        <v>20</v>
      </c>
      <c r="D1217" s="1">
        <v>1845</v>
      </c>
      <c r="E1217" s="1" t="s">
        <v>269</v>
      </c>
      <c r="F1217" s="1" t="s">
        <v>5719</v>
      </c>
      <c r="G1217" s="3"/>
      <c r="H1217" s="11">
        <f t="shared" si="36"/>
        <v>8281.09</v>
      </c>
      <c r="I1217" s="9">
        <f>($K$2+0.02)*Tabla1[[#This Row],[PRECIO $]]*1.18</f>
        <v>7510.9949999999999</v>
      </c>
      <c r="J1217" s="7">
        <f>+Tabla1[[#This Row],[PRECIO EN SOLES]]-Tabla1[[#This Row],[PC]]</f>
        <v>770.09500000000025</v>
      </c>
      <c r="K1217" s="15"/>
      <c r="L1217" s="15" t="str">
        <f t="shared" si="37"/>
        <v>GANCHO</v>
      </c>
    </row>
    <row r="1218" spans="1:12" x14ac:dyDescent="0.25">
      <c r="A1218" s="3" t="s">
        <v>2779</v>
      </c>
      <c r="B1218" s="3" t="s">
        <v>2780</v>
      </c>
      <c r="C1218" s="1">
        <v>20</v>
      </c>
      <c r="D1218" s="1">
        <v>1805</v>
      </c>
      <c r="E1218" s="1" t="s">
        <v>269</v>
      </c>
      <c r="F1218" s="1" t="s">
        <v>5720</v>
      </c>
      <c r="G1218" s="3" t="s">
        <v>2781</v>
      </c>
      <c r="H1218" s="11">
        <f t="shared" ref="H1218:H1281" si="38">ROUND(
IF(L1218="GANCHO",
   IF(I1218&lt;=50,I1218*1.1+4,IF(I1218&lt;=120,I1218*1.1+7,IF(I1218&lt;=250,I1218*1.1+11,I1218*1.1+19))),
IF(L1218="NORMAL",
   IF(I1218&lt;=30,I1218*1.15+2,IF(I1218&lt;=80,I1218*1.15+4,IF(I1218&lt;=150,I1218*1.15+6,I1218*1.15+8))),
IF(L1218="COMPLEMENTO",
   IF(I1218&lt;=25,I1218*1.25+1.5,IF(I1218&lt;=60,I1218*1.25+3,IF(I1218&lt;=120,I1218*1.25+4,I1218*1.25+5))),
""))),2)</f>
        <v>8101.97</v>
      </c>
      <c r="I1218" s="9">
        <f>($K$2+0.02)*Tabla1[[#This Row],[PRECIO $]]*1.18</f>
        <v>7348.1549999999997</v>
      </c>
      <c r="J1218" s="7">
        <f>+Tabla1[[#This Row],[PRECIO EN SOLES]]-Tabla1[[#This Row],[PC]]</f>
        <v>753.81500000000051</v>
      </c>
      <c r="K1218" s="15"/>
      <c r="L1218" s="15" t="str">
        <f t="shared" si="37"/>
        <v>GANCHO</v>
      </c>
    </row>
    <row r="1219" spans="1:12" x14ac:dyDescent="0.25">
      <c r="A1219" s="3" t="s">
        <v>2782</v>
      </c>
      <c r="B1219" s="3" t="s">
        <v>2783</v>
      </c>
      <c r="C1219" s="1">
        <v>20</v>
      </c>
      <c r="D1219" s="1">
        <v>1955</v>
      </c>
      <c r="E1219" s="1" t="s">
        <v>269</v>
      </c>
      <c r="F1219" s="1" t="s">
        <v>5721</v>
      </c>
      <c r="G1219" s="3" t="s">
        <v>2784</v>
      </c>
      <c r="H1219" s="11">
        <f t="shared" si="38"/>
        <v>8773.69</v>
      </c>
      <c r="I1219" s="9">
        <f>($K$2+0.02)*Tabla1[[#This Row],[PRECIO $]]*1.18</f>
        <v>7958.8049999999994</v>
      </c>
      <c r="J1219" s="7">
        <f>+Tabla1[[#This Row],[PRECIO EN SOLES]]-Tabla1[[#This Row],[PC]]</f>
        <v>814.88500000000113</v>
      </c>
      <c r="K1219" s="15"/>
      <c r="L1219" s="15" t="str">
        <f t="shared" ref="L1219:L1282" si="39">IF(
OR(
ISNUMBER(SEARCH("BACKPACK",B1219)),
ISNUMBER(SEARCH("MOCHILA",B1219)),
ISNUMBER(SEARCH("FUNDA",B1219)),
ISNUMBER(SEARCH("ESTUCHE",B1219)),
ISNUMBER(SEARCH("BOOK COVER",B1219)),
ISNUMBER(SEARCH("KEYBOARD PARA TABLET",B1219)),
ISNUMBER(SEARCH("FLIP TABLET",B1219)),
ISNUMBER(SEARCH("CASE FOR TABLET",B1219)),
ISNUMBER(SEARCH("CABLE",B1219)),
ISNUMBER(SEARCH("ADAPTADOR",B1219)),
ISNUMBER(SEARCH("HUB",B1219)),
ISNUMBER(SEARCH("DOCK",B1219)),
ISNUMBER(SEARCH("MOUSE PAD",B1219)),
ISNUMBER(SEARCH("MOUSEPAD",B1219)),
ISNUMBER(SEARCH("SOPORTE",B1219)),
ISNUMBER(SEARCH("STAND",B1219)),
ISNUMBER(SEARCH("TRAVEL ADAPTER",B1219)),
ISNUMBER(SEARCH("RJ45",B1219)),
ISNUMBER(SEARCH("USB-C",B1219)),
ISNUMBER(SEARCH("USB WIFI",B1219)),
ISNUMBER(SEARCH("POWERBANK",B1219)),
ISNUMBER(SEARCH("CARGADOR",B1219)),
ISNUMBER(SEARCH("COOLER PARA NB",B1219)),
ISNUMBER(SEARCH("SOPORTE PARA NB",B1219)),
ISNUMBER(SEARCH("WEBCAM",B1219)),
ISNUMBER(SEARCH("WEB CAM",B1219)),
ISNUMBER(SEARCH("MOUSE",B1219)),
ISNUMBER(SEARCH("TECLADO",B1219))
),
"COMPLEMENTO",
IF(
OR(
LEFT(A1219,2)="NB",
LEFT(A1219,2)="PC",
LEFT(A1219,2)="WS",
LEFT(A1219,2)="TB",
LEFT(A1219,3)="CEL",
LEFT(A1219,3)="MON",
LEFT(A1219,3)="PRE",
LEFT(A1219,3)="PRH",
ISNUMBER(SEARCH("NOTEBOOK",B1219)),
ISNUMBER(SEARCH("LAPTOP",B1219)),
ISNUMBER(SEARCH("MONITOR",B1219)),
ISNUMBER(SEARCH("TABLET",B1219)),
ISNUMBER(SEARCH("SMARTPH",B1219)),
ISNUMBER(SEARCH("IMPRESORA",B1219)),
ISNUMBER(SEARCH("MULTIFUNCIONAL",B1219)),
ISNUMBER(SEARCH("AIO",B1219))
),
"GANCHO",
"NORMAL"
)
)</f>
        <v>GANCHO</v>
      </c>
    </row>
    <row r="1220" spans="1:12" x14ac:dyDescent="0.25">
      <c r="A1220" s="3" t="s">
        <v>7044</v>
      </c>
      <c r="B1220" s="3" t="s">
        <v>7045</v>
      </c>
      <c r="C1220" s="1">
        <v>20</v>
      </c>
      <c r="D1220" s="1">
        <v>1275</v>
      </c>
      <c r="E1220" s="1" t="s">
        <v>269</v>
      </c>
      <c r="F1220" s="1" t="s">
        <v>7046</v>
      </c>
      <c r="G1220" s="3"/>
      <c r="H1220" s="11">
        <f t="shared" si="38"/>
        <v>5728.58</v>
      </c>
      <c r="I1220" s="9">
        <f>($K$2+0.02)*Tabla1[[#This Row],[PRECIO $]]*1.18</f>
        <v>5190.5249999999996</v>
      </c>
      <c r="J1220" s="7">
        <f>+Tabla1[[#This Row],[PRECIO EN SOLES]]-Tabla1[[#This Row],[PC]]</f>
        <v>538.05500000000029</v>
      </c>
      <c r="K1220" s="15"/>
      <c r="L1220" s="15" t="str">
        <f t="shared" si="39"/>
        <v>GANCHO</v>
      </c>
    </row>
    <row r="1221" spans="1:12" x14ac:dyDescent="0.25">
      <c r="A1221" s="3" t="s">
        <v>2785</v>
      </c>
      <c r="B1221" s="3" t="s">
        <v>2786</v>
      </c>
      <c r="C1221" s="1">
        <v>20</v>
      </c>
      <c r="D1221" s="1">
        <v>1425</v>
      </c>
      <c r="E1221" s="1" t="s">
        <v>269</v>
      </c>
      <c r="F1221" s="1" t="s">
        <v>5722</v>
      </c>
      <c r="G1221" s="3" t="s">
        <v>2787</v>
      </c>
      <c r="H1221" s="11">
        <f t="shared" si="38"/>
        <v>6400.29</v>
      </c>
      <c r="I1221" s="9">
        <f>($K$2+0.02)*Tabla1[[#This Row],[PRECIO $]]*1.18</f>
        <v>5801.1749999999993</v>
      </c>
      <c r="J1221" s="7">
        <f>+Tabla1[[#This Row],[PRECIO EN SOLES]]-Tabla1[[#This Row],[PC]]</f>
        <v>599.11500000000069</v>
      </c>
      <c r="K1221" s="15"/>
      <c r="L1221" s="15" t="str">
        <f t="shared" si="39"/>
        <v>GANCHO</v>
      </c>
    </row>
    <row r="1222" spans="1:12" x14ac:dyDescent="0.25">
      <c r="A1222" s="3" t="s">
        <v>2788</v>
      </c>
      <c r="B1222" s="3" t="s">
        <v>2789</v>
      </c>
      <c r="C1222" s="1">
        <v>0</v>
      </c>
      <c r="D1222" s="1">
        <v>1795</v>
      </c>
      <c r="E1222" s="1" t="s">
        <v>269</v>
      </c>
      <c r="F1222" s="1" t="s">
        <v>5723</v>
      </c>
      <c r="G1222" s="3" t="s">
        <v>2790</v>
      </c>
      <c r="H1222" s="11">
        <f t="shared" si="38"/>
        <v>8057.19</v>
      </c>
      <c r="I1222" s="9">
        <f>($K$2+0.02)*Tabla1[[#This Row],[PRECIO $]]*1.18</f>
        <v>7307.4449999999997</v>
      </c>
      <c r="J1222" s="7">
        <f>+Tabla1[[#This Row],[PRECIO EN SOLES]]-Tabla1[[#This Row],[PC]]</f>
        <v>749.74499999999989</v>
      </c>
      <c r="K1222" s="15"/>
      <c r="L1222" s="15" t="str">
        <f t="shared" si="39"/>
        <v>GANCHO</v>
      </c>
    </row>
    <row r="1223" spans="1:12" x14ac:dyDescent="0.25">
      <c r="A1223" s="3" t="s">
        <v>5724</v>
      </c>
      <c r="B1223" s="3" t="s">
        <v>5725</v>
      </c>
      <c r="C1223" s="1">
        <v>20</v>
      </c>
      <c r="D1223" s="1">
        <v>1547</v>
      </c>
      <c r="E1223" s="1" t="s">
        <v>269</v>
      </c>
      <c r="F1223" s="1" t="s">
        <v>5726</v>
      </c>
      <c r="G1223" s="3" t="s">
        <v>5727</v>
      </c>
      <c r="H1223" s="11">
        <f t="shared" si="38"/>
        <v>6946.62</v>
      </c>
      <c r="I1223" s="9">
        <f>($K$2+0.02)*Tabla1[[#This Row],[PRECIO $]]*1.18</f>
        <v>6297.8370000000004</v>
      </c>
      <c r="J1223" s="7">
        <f>+Tabla1[[#This Row],[PRECIO EN SOLES]]-Tabla1[[#This Row],[PC]]</f>
        <v>648.78299999999945</v>
      </c>
      <c r="K1223" s="15"/>
      <c r="L1223" s="15" t="str">
        <f t="shared" si="39"/>
        <v>GANCHO</v>
      </c>
    </row>
    <row r="1224" spans="1:12" x14ac:dyDescent="0.25">
      <c r="A1224" s="3" t="s">
        <v>5728</v>
      </c>
      <c r="B1224" s="3" t="s">
        <v>5729</v>
      </c>
      <c r="C1224" s="1">
        <v>0</v>
      </c>
      <c r="D1224" s="1">
        <v>1380</v>
      </c>
      <c r="E1224" s="1" t="s">
        <v>261</v>
      </c>
      <c r="F1224" s="1" t="s">
        <v>5730</v>
      </c>
      <c r="G1224" s="3" t="s">
        <v>5731</v>
      </c>
      <c r="H1224" s="11">
        <f t="shared" si="38"/>
        <v>6198.78</v>
      </c>
      <c r="I1224" s="9">
        <f>($K$2+0.02)*Tabla1[[#This Row],[PRECIO $]]*1.18</f>
        <v>5617.98</v>
      </c>
      <c r="J1224" s="7">
        <f>+Tabla1[[#This Row],[PRECIO EN SOLES]]-Tabla1[[#This Row],[PC]]</f>
        <v>580.80000000000018</v>
      </c>
      <c r="K1224" s="15"/>
      <c r="L1224" s="15" t="str">
        <f t="shared" si="39"/>
        <v>GANCHO</v>
      </c>
    </row>
    <row r="1225" spans="1:12" x14ac:dyDescent="0.25">
      <c r="A1225" s="3" t="s">
        <v>7047</v>
      </c>
      <c r="B1225" s="3" t="s">
        <v>7048</v>
      </c>
      <c r="C1225" s="1">
        <v>12</v>
      </c>
      <c r="D1225" s="1">
        <v>2115</v>
      </c>
      <c r="E1225" s="1" t="s">
        <v>142</v>
      </c>
      <c r="F1225" s="1" t="s">
        <v>7049</v>
      </c>
      <c r="G1225" s="3" t="s">
        <v>7050</v>
      </c>
      <c r="H1225" s="11">
        <f t="shared" si="38"/>
        <v>9909.69</v>
      </c>
      <c r="I1225" s="9">
        <f>($K$2+0.02)*Tabla1[[#This Row],[PRECIO $]]*1.18</f>
        <v>8610.1649999999991</v>
      </c>
      <c r="J1225" s="7">
        <f>+Tabla1[[#This Row],[PRECIO EN SOLES]]-Tabla1[[#This Row],[PC]]</f>
        <v>1299.5250000000015</v>
      </c>
      <c r="K1225" s="15"/>
      <c r="L1225" s="15" t="str">
        <f t="shared" si="39"/>
        <v>NORMAL</v>
      </c>
    </row>
    <row r="1226" spans="1:12" x14ac:dyDescent="0.25">
      <c r="A1226" s="3" t="s">
        <v>2791</v>
      </c>
      <c r="B1226" s="3" t="s">
        <v>2792</v>
      </c>
      <c r="C1226" s="1">
        <v>11</v>
      </c>
      <c r="D1226" s="1">
        <v>1800</v>
      </c>
      <c r="E1226" s="1" t="s">
        <v>2671</v>
      </c>
      <c r="F1226" s="1" t="s">
        <v>5732</v>
      </c>
      <c r="G1226" s="3" t="s">
        <v>2793</v>
      </c>
      <c r="H1226" s="11">
        <f t="shared" si="38"/>
        <v>8079.58</v>
      </c>
      <c r="I1226" s="9">
        <f>($K$2+0.02)*Tabla1[[#This Row],[PRECIO $]]*1.18</f>
        <v>7327.7999999999993</v>
      </c>
      <c r="J1226" s="7">
        <f>+Tabla1[[#This Row],[PRECIO EN SOLES]]-Tabla1[[#This Row],[PC]]</f>
        <v>751.78000000000065</v>
      </c>
      <c r="K1226" s="15"/>
      <c r="L1226" s="15" t="str">
        <f t="shared" si="39"/>
        <v>GANCHO</v>
      </c>
    </row>
    <row r="1227" spans="1:12" x14ac:dyDescent="0.25">
      <c r="A1227" s="3" t="s">
        <v>2794</v>
      </c>
      <c r="B1227" s="3" t="s">
        <v>2795</v>
      </c>
      <c r="C1227" s="1">
        <v>3</v>
      </c>
      <c r="D1227" s="1">
        <v>4650</v>
      </c>
      <c r="E1227" s="1" t="s">
        <v>2671</v>
      </c>
      <c r="F1227" s="1" t="s">
        <v>5733</v>
      </c>
      <c r="G1227" s="3" t="s">
        <v>2796</v>
      </c>
      <c r="H1227" s="11">
        <f t="shared" si="38"/>
        <v>20842.169999999998</v>
      </c>
      <c r="I1227" s="9">
        <f>($K$2+0.02)*Tabla1[[#This Row],[PRECIO $]]*1.18</f>
        <v>18930.149999999998</v>
      </c>
      <c r="J1227" s="7">
        <f>+Tabla1[[#This Row],[PRECIO EN SOLES]]-Tabla1[[#This Row],[PC]]</f>
        <v>1912.0200000000004</v>
      </c>
      <c r="K1227" s="15"/>
      <c r="L1227" s="15" t="str">
        <f t="shared" si="39"/>
        <v>GANCHO</v>
      </c>
    </row>
    <row r="1228" spans="1:12" x14ac:dyDescent="0.25">
      <c r="A1228" s="3" t="s">
        <v>2797</v>
      </c>
      <c r="B1228" s="3" t="s">
        <v>2798</v>
      </c>
      <c r="C1228" s="1">
        <v>20</v>
      </c>
      <c r="D1228" s="1">
        <v>4285.75</v>
      </c>
      <c r="E1228" s="1" t="s">
        <v>261</v>
      </c>
      <c r="F1228" s="1" t="s">
        <v>5734</v>
      </c>
      <c r="G1228" s="3" t="s">
        <v>2799</v>
      </c>
      <c r="H1228" s="11">
        <f t="shared" si="38"/>
        <v>19211.02</v>
      </c>
      <c r="I1228" s="9">
        <f>($K$2+0.02)*Tabla1[[#This Row],[PRECIO $]]*1.18</f>
        <v>17447.288250000001</v>
      </c>
      <c r="J1228" s="7">
        <f>+Tabla1[[#This Row],[PRECIO EN SOLES]]-Tabla1[[#This Row],[PC]]</f>
        <v>1763.731749999999</v>
      </c>
      <c r="K1228" s="15"/>
      <c r="L1228" s="15" t="str">
        <f t="shared" si="39"/>
        <v>GANCHO</v>
      </c>
    </row>
    <row r="1229" spans="1:12" x14ac:dyDescent="0.25">
      <c r="A1229" s="3" t="s">
        <v>2800</v>
      </c>
      <c r="B1229" s="3" t="s">
        <v>2801</v>
      </c>
      <c r="C1229" s="1">
        <v>20</v>
      </c>
      <c r="D1229" s="1">
        <v>4398.45</v>
      </c>
      <c r="E1229" s="1" t="s">
        <v>261</v>
      </c>
      <c r="F1229" s="1" t="s">
        <v>5735</v>
      </c>
      <c r="G1229" s="3" t="s">
        <v>2799</v>
      </c>
      <c r="H1229" s="11">
        <f t="shared" si="38"/>
        <v>19715.7</v>
      </c>
      <c r="I1229" s="9">
        <f>($K$2+0.02)*Tabla1[[#This Row],[PRECIO $]]*1.18</f>
        <v>17906.089949999998</v>
      </c>
      <c r="J1229" s="7">
        <f>+Tabla1[[#This Row],[PRECIO EN SOLES]]-Tabla1[[#This Row],[PC]]</f>
        <v>1809.610050000003</v>
      </c>
      <c r="K1229" s="15"/>
      <c r="L1229" s="15" t="str">
        <f t="shared" si="39"/>
        <v>GANCHO</v>
      </c>
    </row>
    <row r="1230" spans="1:12" x14ac:dyDescent="0.25">
      <c r="A1230" s="3" t="s">
        <v>2802</v>
      </c>
      <c r="B1230" s="3" t="s">
        <v>2803</v>
      </c>
      <c r="C1230" s="1">
        <v>1</v>
      </c>
      <c r="D1230" s="1">
        <v>3299</v>
      </c>
      <c r="E1230" s="1" t="s">
        <v>261</v>
      </c>
      <c r="F1230" s="1" t="s">
        <v>5736</v>
      </c>
      <c r="G1230" s="3" t="s">
        <v>2804</v>
      </c>
      <c r="H1230" s="11">
        <f t="shared" si="38"/>
        <v>14792.25</v>
      </c>
      <c r="I1230" s="9">
        <f>($K$2+0.02)*Tabla1[[#This Row],[PRECIO $]]*1.18</f>
        <v>13430.229000000001</v>
      </c>
      <c r="J1230" s="7">
        <f>+Tabla1[[#This Row],[PRECIO EN SOLES]]-Tabla1[[#This Row],[PC]]</f>
        <v>1362.0209999999988</v>
      </c>
      <c r="K1230" s="15"/>
      <c r="L1230" s="15" t="str">
        <f t="shared" si="39"/>
        <v>GANCHO</v>
      </c>
    </row>
    <row r="1231" spans="1:12" x14ac:dyDescent="0.25">
      <c r="A1231" s="3" t="s">
        <v>2805</v>
      </c>
      <c r="B1231" s="3" t="s">
        <v>2806</v>
      </c>
      <c r="C1231" s="1">
        <v>20</v>
      </c>
      <c r="D1231" s="1">
        <v>746</v>
      </c>
      <c r="E1231" s="1" t="s">
        <v>2671</v>
      </c>
      <c r="F1231" s="1" t="s">
        <v>5737</v>
      </c>
      <c r="G1231" s="3" t="s">
        <v>2807</v>
      </c>
      <c r="H1231" s="11">
        <f t="shared" si="38"/>
        <v>3359.66</v>
      </c>
      <c r="I1231" s="9">
        <f>($K$2+0.02)*Tabla1[[#This Row],[PRECIO $]]*1.18</f>
        <v>3036.9660000000003</v>
      </c>
      <c r="J1231" s="7">
        <f>+Tabla1[[#This Row],[PRECIO EN SOLES]]-Tabla1[[#This Row],[PC]]</f>
        <v>322.69399999999951</v>
      </c>
      <c r="K1231" s="15"/>
      <c r="L1231" s="15" t="str">
        <f t="shared" si="39"/>
        <v>GANCHO</v>
      </c>
    </row>
    <row r="1232" spans="1:12" x14ac:dyDescent="0.25">
      <c r="A1232" s="3" t="s">
        <v>2808</v>
      </c>
      <c r="B1232" s="3" t="s">
        <v>2809</v>
      </c>
      <c r="C1232" s="1">
        <v>9</v>
      </c>
      <c r="D1232" s="1">
        <v>1479</v>
      </c>
      <c r="E1232" s="1" t="s">
        <v>2810</v>
      </c>
      <c r="F1232" s="1" t="s">
        <v>5738</v>
      </c>
      <c r="G1232" s="3" t="s">
        <v>2811</v>
      </c>
      <c r="H1232" s="11">
        <f t="shared" si="38"/>
        <v>6642.11</v>
      </c>
      <c r="I1232" s="9">
        <f>($K$2+0.02)*Tabla1[[#This Row],[PRECIO $]]*1.18</f>
        <v>6021.009</v>
      </c>
      <c r="J1232" s="7">
        <f>+Tabla1[[#This Row],[PRECIO EN SOLES]]-Tabla1[[#This Row],[PC]]</f>
        <v>621.10099999999966</v>
      </c>
      <c r="K1232" s="15"/>
      <c r="L1232" s="15" t="str">
        <f t="shared" si="39"/>
        <v>GANCHO</v>
      </c>
    </row>
    <row r="1233" spans="1:12" x14ac:dyDescent="0.25">
      <c r="A1233" s="3" t="s">
        <v>5739</v>
      </c>
      <c r="B1233" s="3" t="s">
        <v>5740</v>
      </c>
      <c r="C1233" s="1">
        <v>20</v>
      </c>
      <c r="D1233" s="1">
        <v>1035</v>
      </c>
      <c r="E1233" s="1" t="s">
        <v>606</v>
      </c>
      <c r="F1233" s="1" t="s">
        <v>5741</v>
      </c>
      <c r="G1233" s="3" t="s">
        <v>7051</v>
      </c>
      <c r="H1233" s="11">
        <f t="shared" si="38"/>
        <v>4653.83</v>
      </c>
      <c r="I1233" s="9">
        <f>($K$2+0.02)*Tabla1[[#This Row],[PRECIO $]]*1.18</f>
        <v>4213.4849999999997</v>
      </c>
      <c r="J1233" s="7">
        <f>+Tabla1[[#This Row],[PRECIO EN SOLES]]-Tabla1[[#This Row],[PC]]</f>
        <v>440.34500000000025</v>
      </c>
      <c r="K1233" s="15"/>
      <c r="L1233" s="15" t="str">
        <f t="shared" si="39"/>
        <v>GANCHO</v>
      </c>
    </row>
    <row r="1234" spans="1:12" x14ac:dyDescent="0.25">
      <c r="A1234" s="3" t="s">
        <v>2812</v>
      </c>
      <c r="B1234" s="3" t="s">
        <v>2813</v>
      </c>
      <c r="C1234" s="1">
        <v>20</v>
      </c>
      <c r="D1234" s="1">
        <v>710</v>
      </c>
      <c r="E1234" s="1" t="s">
        <v>261</v>
      </c>
      <c r="F1234" s="1" t="s">
        <v>5742</v>
      </c>
      <c r="G1234" s="3" t="s">
        <v>2814</v>
      </c>
      <c r="H1234" s="11">
        <f t="shared" si="38"/>
        <v>3198.45</v>
      </c>
      <c r="I1234" s="9">
        <f>($K$2+0.02)*Tabla1[[#This Row],[PRECIO $]]*1.18</f>
        <v>2890.41</v>
      </c>
      <c r="J1234" s="7">
        <f>+Tabla1[[#This Row],[PRECIO EN SOLES]]-Tabla1[[#This Row],[PC]]</f>
        <v>308.03999999999996</v>
      </c>
      <c r="K1234" s="15"/>
      <c r="L1234" s="15" t="str">
        <f t="shared" si="39"/>
        <v>GANCHO</v>
      </c>
    </row>
    <row r="1235" spans="1:12" x14ac:dyDescent="0.25">
      <c r="A1235" s="3" t="s">
        <v>2815</v>
      </c>
      <c r="B1235" s="3" t="s">
        <v>2816</v>
      </c>
      <c r="C1235" s="1">
        <v>20</v>
      </c>
      <c r="D1235" s="1">
        <v>800</v>
      </c>
      <c r="E1235" s="1" t="s">
        <v>261</v>
      </c>
      <c r="F1235" s="1" t="s">
        <v>5743</v>
      </c>
      <c r="G1235" s="3" t="s">
        <v>2817</v>
      </c>
      <c r="H1235" s="11">
        <f t="shared" si="38"/>
        <v>3601.48</v>
      </c>
      <c r="I1235" s="9">
        <f>($K$2+0.02)*Tabla1[[#This Row],[PRECIO $]]*1.18</f>
        <v>3256.7999999999997</v>
      </c>
      <c r="J1235" s="7">
        <f>+Tabla1[[#This Row],[PRECIO EN SOLES]]-Tabla1[[#This Row],[PC]]</f>
        <v>344.68000000000029</v>
      </c>
      <c r="K1235" s="15"/>
      <c r="L1235" s="15" t="str">
        <f t="shared" si="39"/>
        <v>GANCHO</v>
      </c>
    </row>
    <row r="1236" spans="1:12" x14ac:dyDescent="0.25">
      <c r="A1236" s="3" t="s">
        <v>5744</v>
      </c>
      <c r="B1236" s="3" t="s">
        <v>5745</v>
      </c>
      <c r="C1236" s="1">
        <v>20</v>
      </c>
      <c r="D1236" s="1">
        <v>1334</v>
      </c>
      <c r="E1236" s="1" t="s">
        <v>2671</v>
      </c>
      <c r="F1236" s="1" t="s">
        <v>5746</v>
      </c>
      <c r="G1236" s="3" t="s">
        <v>5747</v>
      </c>
      <c r="H1236" s="11">
        <f t="shared" si="38"/>
        <v>5992.79</v>
      </c>
      <c r="I1236" s="9">
        <f>($K$2+0.02)*Tabla1[[#This Row],[PRECIO $]]*1.18</f>
        <v>5430.7139999999999</v>
      </c>
      <c r="J1236" s="7">
        <f>+Tabla1[[#This Row],[PRECIO EN SOLES]]-Tabla1[[#This Row],[PC]]</f>
        <v>562.07600000000002</v>
      </c>
      <c r="K1236" s="15"/>
      <c r="L1236" s="15" t="str">
        <f t="shared" si="39"/>
        <v>GANCHO</v>
      </c>
    </row>
    <row r="1237" spans="1:12" x14ac:dyDescent="0.25">
      <c r="A1237" s="3" t="s">
        <v>5748</v>
      </c>
      <c r="B1237" s="3" t="s">
        <v>5749</v>
      </c>
      <c r="C1237" s="1">
        <v>20</v>
      </c>
      <c r="D1237" s="1">
        <v>1156</v>
      </c>
      <c r="E1237" s="1" t="s">
        <v>261</v>
      </c>
      <c r="F1237" s="1" t="s">
        <v>5750</v>
      </c>
      <c r="G1237" s="3" t="s">
        <v>5751</v>
      </c>
      <c r="H1237" s="11">
        <f t="shared" si="38"/>
        <v>5195.68</v>
      </c>
      <c r="I1237" s="9">
        <f>($K$2+0.02)*Tabla1[[#This Row],[PRECIO $]]*1.18</f>
        <v>4706.076</v>
      </c>
      <c r="J1237" s="7">
        <f>+Tabla1[[#This Row],[PRECIO EN SOLES]]-Tabla1[[#This Row],[PC]]</f>
        <v>489.60400000000027</v>
      </c>
      <c r="K1237" s="15"/>
      <c r="L1237" s="15" t="str">
        <f t="shared" si="39"/>
        <v>GANCHO</v>
      </c>
    </row>
    <row r="1238" spans="1:12" x14ac:dyDescent="0.25">
      <c r="A1238" s="3" t="s">
        <v>2818</v>
      </c>
      <c r="B1238" s="3" t="s">
        <v>2819</v>
      </c>
      <c r="C1238" s="1">
        <v>20</v>
      </c>
      <c r="D1238" s="1">
        <v>1535</v>
      </c>
      <c r="E1238" s="1" t="s">
        <v>261</v>
      </c>
      <c r="F1238" s="1" t="s">
        <v>5752</v>
      </c>
      <c r="G1238" s="3" t="s">
        <v>5753</v>
      </c>
      <c r="H1238" s="11">
        <f t="shared" si="38"/>
        <v>6892.88</v>
      </c>
      <c r="I1238" s="9">
        <f>($K$2+0.02)*Tabla1[[#This Row],[PRECIO $]]*1.18</f>
        <v>6248.9849999999997</v>
      </c>
      <c r="J1238" s="7">
        <f>+Tabla1[[#This Row],[PRECIO EN SOLES]]-Tabla1[[#This Row],[PC]]</f>
        <v>643.89500000000044</v>
      </c>
      <c r="K1238" s="15"/>
      <c r="L1238" s="15" t="str">
        <f t="shared" si="39"/>
        <v>GANCHO</v>
      </c>
    </row>
    <row r="1239" spans="1:12" x14ac:dyDescent="0.25">
      <c r="A1239" s="3" t="s">
        <v>5754</v>
      </c>
      <c r="B1239" s="3" t="s">
        <v>5755</v>
      </c>
      <c r="C1239" s="1">
        <v>20</v>
      </c>
      <c r="D1239" s="1">
        <v>1297</v>
      </c>
      <c r="E1239" s="1" t="s">
        <v>261</v>
      </c>
      <c r="F1239" s="1" t="s">
        <v>5756</v>
      </c>
      <c r="G1239" s="3" t="s">
        <v>5757</v>
      </c>
      <c r="H1239" s="11">
        <f t="shared" si="38"/>
        <v>5827.1</v>
      </c>
      <c r="I1239" s="9">
        <f>($K$2+0.02)*Tabla1[[#This Row],[PRECIO $]]*1.18</f>
        <v>5280.0870000000004</v>
      </c>
      <c r="J1239" s="7">
        <f>+Tabla1[[#This Row],[PRECIO EN SOLES]]-Tabla1[[#This Row],[PC]]</f>
        <v>547.01299999999992</v>
      </c>
      <c r="K1239" s="15"/>
      <c r="L1239" s="15" t="str">
        <f t="shared" si="39"/>
        <v>GANCHO</v>
      </c>
    </row>
    <row r="1240" spans="1:12" x14ac:dyDescent="0.25">
      <c r="A1240" s="3" t="s">
        <v>2820</v>
      </c>
      <c r="B1240" s="3" t="s">
        <v>2821</v>
      </c>
      <c r="C1240" s="1">
        <v>1</v>
      </c>
      <c r="D1240" s="1">
        <v>1234</v>
      </c>
      <c r="E1240" s="1" t="s">
        <v>2810</v>
      </c>
      <c r="F1240" s="1" t="s">
        <v>5758</v>
      </c>
      <c r="G1240" s="3" t="s">
        <v>2822</v>
      </c>
      <c r="H1240" s="11">
        <f t="shared" si="38"/>
        <v>5544.98</v>
      </c>
      <c r="I1240" s="9">
        <f>($K$2+0.02)*Tabla1[[#This Row],[PRECIO $]]*1.18</f>
        <v>5023.6139999999996</v>
      </c>
      <c r="J1240" s="7">
        <f>+Tabla1[[#This Row],[PRECIO EN SOLES]]-Tabla1[[#This Row],[PC]]</f>
        <v>521.36599999999999</v>
      </c>
      <c r="K1240" s="15"/>
      <c r="L1240" s="15" t="str">
        <f t="shared" si="39"/>
        <v>GANCHO</v>
      </c>
    </row>
    <row r="1241" spans="1:12" x14ac:dyDescent="0.25">
      <c r="A1241" s="3" t="s">
        <v>2823</v>
      </c>
      <c r="B1241" s="3" t="s">
        <v>2821</v>
      </c>
      <c r="C1241" s="1">
        <v>8</v>
      </c>
      <c r="D1241" s="1">
        <v>1227</v>
      </c>
      <c r="E1241" s="1" t="s">
        <v>2810</v>
      </c>
      <c r="F1241" s="1" t="s">
        <v>5759</v>
      </c>
      <c r="G1241" s="3" t="s">
        <v>2824</v>
      </c>
      <c r="H1241" s="11">
        <f t="shared" si="38"/>
        <v>5513.63</v>
      </c>
      <c r="I1241" s="9">
        <f>($K$2+0.02)*Tabla1[[#This Row],[PRECIO $]]*1.18</f>
        <v>4995.1170000000002</v>
      </c>
      <c r="J1241" s="7">
        <f>+Tabla1[[#This Row],[PRECIO EN SOLES]]-Tabla1[[#This Row],[PC]]</f>
        <v>518.51299999999992</v>
      </c>
      <c r="K1241" s="15"/>
      <c r="L1241" s="15" t="str">
        <f t="shared" si="39"/>
        <v>GANCHO</v>
      </c>
    </row>
    <row r="1242" spans="1:12" x14ac:dyDescent="0.25">
      <c r="A1242" s="3" t="s">
        <v>2825</v>
      </c>
      <c r="B1242" s="3" t="s">
        <v>2826</v>
      </c>
      <c r="C1242" s="1">
        <v>0</v>
      </c>
      <c r="D1242" s="1">
        <v>1821</v>
      </c>
      <c r="E1242" s="1" t="s">
        <v>2671</v>
      </c>
      <c r="F1242" s="1" t="s">
        <v>5760</v>
      </c>
      <c r="G1242" s="3" t="s">
        <v>2827</v>
      </c>
      <c r="H1242" s="11">
        <f t="shared" si="38"/>
        <v>8173.62</v>
      </c>
      <c r="I1242" s="9">
        <f>($K$2+0.02)*Tabla1[[#This Row],[PRECIO $]]*1.18</f>
        <v>7413.2910000000002</v>
      </c>
      <c r="J1242" s="7">
        <f>+Tabla1[[#This Row],[PRECIO EN SOLES]]-Tabla1[[#This Row],[PC]]</f>
        <v>760.32899999999972</v>
      </c>
      <c r="K1242" s="15"/>
      <c r="L1242" s="15" t="str">
        <f t="shared" si="39"/>
        <v>GANCHO</v>
      </c>
    </row>
    <row r="1243" spans="1:12" x14ac:dyDescent="0.25">
      <c r="A1243" s="3" t="s">
        <v>5761</v>
      </c>
      <c r="B1243" s="3" t="s">
        <v>5762</v>
      </c>
      <c r="C1243" s="1">
        <v>10</v>
      </c>
      <c r="D1243" s="1">
        <v>1968</v>
      </c>
      <c r="E1243" s="1" t="s">
        <v>2671</v>
      </c>
      <c r="F1243" s="1" t="s">
        <v>5763</v>
      </c>
      <c r="G1243" s="3" t="s">
        <v>7052</v>
      </c>
      <c r="H1243" s="11">
        <f t="shared" si="38"/>
        <v>8831.9</v>
      </c>
      <c r="I1243" s="9">
        <f>($K$2+0.02)*Tabla1[[#This Row],[PRECIO $]]*1.18</f>
        <v>8011.7280000000001</v>
      </c>
      <c r="J1243" s="7">
        <f>+Tabla1[[#This Row],[PRECIO EN SOLES]]-Tabla1[[#This Row],[PC]]</f>
        <v>820.17199999999957</v>
      </c>
      <c r="K1243" s="15"/>
      <c r="L1243" s="15" t="str">
        <f t="shared" si="39"/>
        <v>GANCHO</v>
      </c>
    </row>
    <row r="1244" spans="1:12" x14ac:dyDescent="0.25">
      <c r="A1244" s="3" t="s">
        <v>2828</v>
      </c>
      <c r="B1244" s="3" t="s">
        <v>2829</v>
      </c>
      <c r="C1244" s="1">
        <v>20</v>
      </c>
      <c r="D1244" s="1">
        <v>1678</v>
      </c>
      <c r="E1244" s="1" t="s">
        <v>261</v>
      </c>
      <c r="F1244" s="1" t="s">
        <v>5764</v>
      </c>
      <c r="G1244" s="3" t="s">
        <v>2830</v>
      </c>
      <c r="H1244" s="11">
        <f t="shared" si="38"/>
        <v>7533.25</v>
      </c>
      <c r="I1244" s="9">
        <f>($K$2+0.02)*Tabla1[[#This Row],[PRECIO $]]*1.18</f>
        <v>6831.1379999999999</v>
      </c>
      <c r="J1244" s="7">
        <f>+Tabla1[[#This Row],[PRECIO EN SOLES]]-Tabla1[[#This Row],[PC]]</f>
        <v>702.11200000000008</v>
      </c>
      <c r="K1244" s="15"/>
      <c r="L1244" s="15" t="str">
        <f t="shared" si="39"/>
        <v>GANCHO</v>
      </c>
    </row>
    <row r="1245" spans="1:12" x14ac:dyDescent="0.25">
      <c r="A1245" s="3" t="s">
        <v>5765</v>
      </c>
      <c r="B1245" s="3" t="s">
        <v>5766</v>
      </c>
      <c r="C1245" s="1">
        <v>20</v>
      </c>
      <c r="D1245" s="1">
        <v>709</v>
      </c>
      <c r="E1245" s="1" t="s">
        <v>606</v>
      </c>
      <c r="F1245" s="1" t="s">
        <v>5767</v>
      </c>
      <c r="G1245" s="3" t="s">
        <v>5768</v>
      </c>
      <c r="H1245" s="11">
        <f t="shared" si="38"/>
        <v>3193.97</v>
      </c>
      <c r="I1245" s="9">
        <f>($K$2+0.02)*Tabla1[[#This Row],[PRECIO $]]*1.18</f>
        <v>2886.3389999999999</v>
      </c>
      <c r="J1245" s="7">
        <f>+Tabla1[[#This Row],[PRECIO EN SOLES]]-Tabla1[[#This Row],[PC]]</f>
        <v>307.63099999999986</v>
      </c>
      <c r="K1245" s="15"/>
      <c r="L1245" s="15" t="str">
        <f t="shared" si="39"/>
        <v>GANCHO</v>
      </c>
    </row>
    <row r="1246" spans="1:12" x14ac:dyDescent="0.25">
      <c r="A1246" s="3" t="s">
        <v>2831</v>
      </c>
      <c r="B1246" s="3" t="s">
        <v>2832</v>
      </c>
      <c r="C1246" s="1">
        <v>20</v>
      </c>
      <c r="D1246" s="1">
        <v>1508</v>
      </c>
      <c r="E1246" s="1" t="s">
        <v>606</v>
      </c>
      <c r="F1246" s="1" t="s">
        <v>5769</v>
      </c>
      <c r="G1246" s="3" t="s">
        <v>2833</v>
      </c>
      <c r="H1246" s="11">
        <f t="shared" si="38"/>
        <v>6771.97</v>
      </c>
      <c r="I1246" s="9">
        <f>($K$2+0.02)*Tabla1[[#This Row],[PRECIO $]]*1.18</f>
        <v>6139.0680000000002</v>
      </c>
      <c r="J1246" s="7">
        <f>+Tabla1[[#This Row],[PRECIO EN SOLES]]-Tabla1[[#This Row],[PC]]</f>
        <v>632.90200000000004</v>
      </c>
      <c r="K1246" s="15"/>
      <c r="L1246" s="15" t="str">
        <f t="shared" si="39"/>
        <v>GANCHO</v>
      </c>
    </row>
    <row r="1247" spans="1:12" x14ac:dyDescent="0.25">
      <c r="A1247" s="3" t="s">
        <v>5770</v>
      </c>
      <c r="B1247" s="3" t="s">
        <v>5771</v>
      </c>
      <c r="C1247" s="1">
        <v>0</v>
      </c>
      <c r="D1247" s="1">
        <v>1107</v>
      </c>
      <c r="E1247" s="1" t="s">
        <v>261</v>
      </c>
      <c r="F1247" s="1" t="s">
        <v>5772</v>
      </c>
      <c r="G1247" s="3" t="s">
        <v>5773</v>
      </c>
      <c r="H1247" s="11">
        <f t="shared" si="38"/>
        <v>4976.26</v>
      </c>
      <c r="I1247" s="9">
        <f>($K$2+0.02)*Tabla1[[#This Row],[PRECIO $]]*1.18</f>
        <v>4506.5969999999998</v>
      </c>
      <c r="J1247" s="7">
        <f>+Tabla1[[#This Row],[PRECIO EN SOLES]]-Tabla1[[#This Row],[PC]]</f>
        <v>469.66300000000047</v>
      </c>
      <c r="K1247" s="15"/>
      <c r="L1247" s="15" t="str">
        <f t="shared" si="39"/>
        <v>GANCHO</v>
      </c>
    </row>
    <row r="1248" spans="1:12" x14ac:dyDescent="0.25">
      <c r="A1248" s="3" t="s">
        <v>5774</v>
      </c>
      <c r="B1248" s="3" t="s">
        <v>5775</v>
      </c>
      <c r="C1248" s="1">
        <v>1</v>
      </c>
      <c r="D1248" s="1">
        <v>1350</v>
      </c>
      <c r="E1248" s="1" t="s">
        <v>261</v>
      </c>
      <c r="F1248" s="1" t="s">
        <v>5776</v>
      </c>
      <c r="G1248" s="3" t="s">
        <v>5777</v>
      </c>
      <c r="H1248" s="11">
        <f t="shared" si="38"/>
        <v>6064.44</v>
      </c>
      <c r="I1248" s="9">
        <f>($K$2+0.02)*Tabla1[[#This Row],[PRECIO $]]*1.18</f>
        <v>5495.8499999999995</v>
      </c>
      <c r="J1248" s="7">
        <f>+Tabla1[[#This Row],[PRECIO EN SOLES]]-Tabla1[[#This Row],[PC]]</f>
        <v>568.59000000000015</v>
      </c>
      <c r="K1248" s="15"/>
      <c r="L1248" s="15" t="str">
        <f t="shared" si="39"/>
        <v>GANCHO</v>
      </c>
    </row>
    <row r="1249" spans="1:12" x14ac:dyDescent="0.25">
      <c r="A1249" s="3" t="s">
        <v>5778</v>
      </c>
      <c r="B1249" s="3" t="s">
        <v>5779</v>
      </c>
      <c r="C1249" s="1">
        <v>20</v>
      </c>
      <c r="D1249" s="1">
        <v>864</v>
      </c>
      <c r="E1249" s="1" t="s">
        <v>261</v>
      </c>
      <c r="F1249" s="1" t="s">
        <v>5780</v>
      </c>
      <c r="G1249" s="3" t="s">
        <v>5781</v>
      </c>
      <c r="H1249" s="11">
        <f t="shared" si="38"/>
        <v>3888.08</v>
      </c>
      <c r="I1249" s="9">
        <f>($K$2+0.02)*Tabla1[[#This Row],[PRECIO $]]*1.18</f>
        <v>3517.3440000000001</v>
      </c>
      <c r="J1249" s="7">
        <f>+Tabla1[[#This Row],[PRECIO EN SOLES]]-Tabla1[[#This Row],[PC]]</f>
        <v>370.73599999999988</v>
      </c>
      <c r="K1249" s="15"/>
      <c r="L1249" s="15" t="str">
        <f t="shared" si="39"/>
        <v>GANCHO</v>
      </c>
    </row>
    <row r="1250" spans="1:12" x14ac:dyDescent="0.25">
      <c r="A1250" s="3" t="s">
        <v>2834</v>
      </c>
      <c r="B1250" s="3" t="s">
        <v>2835</v>
      </c>
      <c r="C1250" s="1">
        <v>20</v>
      </c>
      <c r="D1250" s="1">
        <v>1582</v>
      </c>
      <c r="E1250" s="1" t="s">
        <v>606</v>
      </c>
      <c r="F1250" s="1" t="s">
        <v>5782</v>
      </c>
      <c r="G1250" s="3" t="s">
        <v>2836</v>
      </c>
      <c r="H1250" s="11">
        <f t="shared" si="38"/>
        <v>7103.35</v>
      </c>
      <c r="I1250" s="9">
        <f>($K$2+0.02)*Tabla1[[#This Row],[PRECIO $]]*1.18</f>
        <v>6440.3220000000001</v>
      </c>
      <c r="J1250" s="7">
        <f>+Tabla1[[#This Row],[PRECIO EN SOLES]]-Tabla1[[#This Row],[PC]]</f>
        <v>663.02800000000025</v>
      </c>
      <c r="K1250" s="15"/>
      <c r="L1250" s="15" t="str">
        <f t="shared" si="39"/>
        <v>GANCHO</v>
      </c>
    </row>
    <row r="1251" spans="1:12" x14ac:dyDescent="0.25">
      <c r="A1251" s="3" t="s">
        <v>2837</v>
      </c>
      <c r="B1251" s="3" t="s">
        <v>2838</v>
      </c>
      <c r="C1251" s="1">
        <v>20</v>
      </c>
      <c r="D1251" s="1">
        <v>1727</v>
      </c>
      <c r="E1251" s="1" t="s">
        <v>261</v>
      </c>
      <c r="F1251" s="1" t="s">
        <v>5783</v>
      </c>
      <c r="G1251" s="3" t="s">
        <v>2839</v>
      </c>
      <c r="H1251" s="11">
        <f t="shared" si="38"/>
        <v>7752.68</v>
      </c>
      <c r="I1251" s="9">
        <f>($K$2+0.02)*Tabla1[[#This Row],[PRECIO $]]*1.18</f>
        <v>7030.6170000000002</v>
      </c>
      <c r="J1251" s="7">
        <f>+Tabla1[[#This Row],[PRECIO EN SOLES]]-Tabla1[[#This Row],[PC]]</f>
        <v>722.0630000000001</v>
      </c>
      <c r="K1251" s="15"/>
      <c r="L1251" s="15" t="str">
        <f t="shared" si="39"/>
        <v>GANCHO</v>
      </c>
    </row>
    <row r="1252" spans="1:12" x14ac:dyDescent="0.25">
      <c r="A1252" s="3" t="s">
        <v>2840</v>
      </c>
      <c r="B1252" s="3" t="s">
        <v>2841</v>
      </c>
      <c r="C1252" s="1">
        <v>1</v>
      </c>
      <c r="D1252" s="1">
        <v>1487</v>
      </c>
      <c r="E1252" s="1" t="s">
        <v>557</v>
      </c>
      <c r="F1252" s="1" t="s">
        <v>5784</v>
      </c>
      <c r="G1252" s="3" t="s">
        <v>2842</v>
      </c>
      <c r="H1252" s="11">
        <f t="shared" si="38"/>
        <v>6677.93</v>
      </c>
      <c r="I1252" s="9">
        <f>($K$2+0.02)*Tabla1[[#This Row],[PRECIO $]]*1.18</f>
        <v>6053.5770000000002</v>
      </c>
      <c r="J1252" s="7">
        <f>+Tabla1[[#This Row],[PRECIO EN SOLES]]-Tabla1[[#This Row],[PC]]</f>
        <v>624.35300000000007</v>
      </c>
      <c r="K1252" s="15"/>
      <c r="L1252" s="15" t="str">
        <f t="shared" si="39"/>
        <v>GANCHO</v>
      </c>
    </row>
    <row r="1253" spans="1:12" x14ac:dyDescent="0.25">
      <c r="A1253" s="3" t="s">
        <v>2843</v>
      </c>
      <c r="B1253" s="3" t="s">
        <v>2844</v>
      </c>
      <c r="C1253" s="1">
        <v>20</v>
      </c>
      <c r="D1253" s="1">
        <v>1403</v>
      </c>
      <c r="E1253" s="1" t="s">
        <v>557</v>
      </c>
      <c r="F1253" s="1" t="s">
        <v>5785</v>
      </c>
      <c r="G1253" s="3" t="s">
        <v>2845</v>
      </c>
      <c r="H1253" s="11">
        <f t="shared" si="38"/>
        <v>6301.77</v>
      </c>
      <c r="I1253" s="9">
        <f>($K$2+0.02)*Tabla1[[#This Row],[PRECIO $]]*1.18</f>
        <v>5711.6130000000003</v>
      </c>
      <c r="J1253" s="7">
        <f>+Tabla1[[#This Row],[PRECIO EN SOLES]]-Tabla1[[#This Row],[PC]]</f>
        <v>590.15700000000015</v>
      </c>
      <c r="K1253" s="15"/>
      <c r="L1253" s="15" t="str">
        <f t="shared" si="39"/>
        <v>GANCHO</v>
      </c>
    </row>
    <row r="1254" spans="1:12" x14ac:dyDescent="0.25">
      <c r="A1254" s="3" t="s">
        <v>2846</v>
      </c>
      <c r="B1254" s="3" t="s">
        <v>2847</v>
      </c>
      <c r="C1254" s="1">
        <v>0</v>
      </c>
      <c r="D1254" s="1">
        <v>2351</v>
      </c>
      <c r="E1254" s="1" t="s">
        <v>142</v>
      </c>
      <c r="F1254" s="1" t="s">
        <v>5786</v>
      </c>
      <c r="G1254" s="3" t="s">
        <v>2848</v>
      </c>
      <c r="H1254" s="11">
        <f t="shared" si="38"/>
        <v>10547.01</v>
      </c>
      <c r="I1254" s="9">
        <f>($K$2+0.02)*Tabla1[[#This Row],[PRECIO $]]*1.18</f>
        <v>9570.9210000000003</v>
      </c>
      <c r="J1254" s="7">
        <f>+Tabla1[[#This Row],[PRECIO EN SOLES]]-Tabla1[[#This Row],[PC]]</f>
        <v>976.08899999999994</v>
      </c>
      <c r="K1254" s="15"/>
      <c r="L1254" s="15" t="str">
        <f t="shared" si="39"/>
        <v>GANCHO</v>
      </c>
    </row>
    <row r="1255" spans="1:12" x14ac:dyDescent="0.25">
      <c r="A1255" s="3" t="s">
        <v>2849</v>
      </c>
      <c r="B1255" s="3" t="s">
        <v>2850</v>
      </c>
      <c r="C1255" s="1">
        <v>0</v>
      </c>
      <c r="D1255" s="1">
        <v>2355</v>
      </c>
      <c r="E1255" s="1" t="s">
        <v>142</v>
      </c>
      <c r="F1255" s="1" t="s">
        <v>5787</v>
      </c>
      <c r="G1255" s="3" t="s">
        <v>2851</v>
      </c>
      <c r="H1255" s="11">
        <f t="shared" si="38"/>
        <v>10564.93</v>
      </c>
      <c r="I1255" s="9">
        <f>($K$2+0.02)*Tabla1[[#This Row],[PRECIO $]]*1.18</f>
        <v>9587.2049999999999</v>
      </c>
      <c r="J1255" s="7">
        <f>+Tabla1[[#This Row],[PRECIO EN SOLES]]-Tabla1[[#This Row],[PC]]</f>
        <v>977.72500000000036</v>
      </c>
      <c r="K1255" s="15"/>
      <c r="L1255" s="15" t="str">
        <f t="shared" si="39"/>
        <v>GANCHO</v>
      </c>
    </row>
    <row r="1256" spans="1:12" x14ac:dyDescent="0.25">
      <c r="A1256" s="3" t="s">
        <v>7053</v>
      </c>
      <c r="B1256" s="3" t="s">
        <v>7054</v>
      </c>
      <c r="C1256" s="1">
        <v>10</v>
      </c>
      <c r="D1256" s="1">
        <v>2807</v>
      </c>
      <c r="E1256" s="1" t="s">
        <v>269</v>
      </c>
      <c r="F1256" s="1" t="s">
        <v>7055</v>
      </c>
      <c r="G1256" s="3" t="s">
        <v>7056</v>
      </c>
      <c r="H1256" s="11">
        <f t="shared" si="38"/>
        <v>12589.03</v>
      </c>
      <c r="I1256" s="9">
        <f>($K$2+0.02)*Tabla1[[#This Row],[PRECIO $]]*1.18</f>
        <v>11427.296999999999</v>
      </c>
      <c r="J1256" s="7">
        <f>+Tabla1[[#This Row],[PRECIO EN SOLES]]-Tabla1[[#This Row],[PC]]</f>
        <v>1161.733000000002</v>
      </c>
      <c r="K1256" s="15"/>
      <c r="L1256" s="15" t="str">
        <f t="shared" si="39"/>
        <v>GANCHO</v>
      </c>
    </row>
    <row r="1257" spans="1:12" x14ac:dyDescent="0.25">
      <c r="A1257" s="3" t="s">
        <v>5788</v>
      </c>
      <c r="B1257" s="3" t="s">
        <v>5789</v>
      </c>
      <c r="C1257" s="1">
        <v>20</v>
      </c>
      <c r="D1257" s="1">
        <v>2385</v>
      </c>
      <c r="E1257" s="1" t="s">
        <v>269</v>
      </c>
      <c r="F1257" s="1" t="s">
        <v>5790</v>
      </c>
      <c r="G1257" s="3"/>
      <c r="H1257" s="11">
        <f t="shared" si="38"/>
        <v>10699.27</v>
      </c>
      <c r="I1257" s="9">
        <f>($K$2+0.02)*Tabla1[[#This Row],[PRECIO $]]*1.18</f>
        <v>9709.3349999999991</v>
      </c>
      <c r="J1257" s="7">
        <f>+Tabla1[[#This Row],[PRECIO EN SOLES]]-Tabla1[[#This Row],[PC]]</f>
        <v>989.93500000000131</v>
      </c>
      <c r="K1257" s="15"/>
      <c r="L1257" s="15" t="str">
        <f t="shared" si="39"/>
        <v>GANCHO</v>
      </c>
    </row>
    <row r="1258" spans="1:12" x14ac:dyDescent="0.25">
      <c r="A1258" s="3" t="s">
        <v>2852</v>
      </c>
      <c r="B1258" s="3" t="s">
        <v>2853</v>
      </c>
      <c r="C1258" s="1">
        <v>3</v>
      </c>
      <c r="D1258" s="1">
        <v>4265</v>
      </c>
      <c r="E1258" s="1" t="s">
        <v>269</v>
      </c>
      <c r="F1258" s="1" t="s">
        <v>5791</v>
      </c>
      <c r="G1258" s="3" t="s">
        <v>2854</v>
      </c>
      <c r="H1258" s="11">
        <f t="shared" si="38"/>
        <v>19118.099999999999</v>
      </c>
      <c r="I1258" s="9">
        <f>($K$2+0.02)*Tabla1[[#This Row],[PRECIO $]]*1.18</f>
        <v>17362.814999999999</v>
      </c>
      <c r="J1258" s="7">
        <f>+Tabla1[[#This Row],[PRECIO EN SOLES]]-Tabla1[[#This Row],[PC]]</f>
        <v>1755.2849999999999</v>
      </c>
      <c r="K1258" s="15"/>
      <c r="L1258" s="15" t="str">
        <f t="shared" si="39"/>
        <v>GANCHO</v>
      </c>
    </row>
    <row r="1259" spans="1:12" x14ac:dyDescent="0.25">
      <c r="A1259" s="3" t="s">
        <v>7057</v>
      </c>
      <c r="B1259" s="3" t="s">
        <v>7058</v>
      </c>
      <c r="C1259" s="1">
        <v>12</v>
      </c>
      <c r="D1259" s="1">
        <v>2975</v>
      </c>
      <c r="E1259" s="1" t="s">
        <v>269</v>
      </c>
      <c r="F1259" s="1" t="s">
        <v>7059</v>
      </c>
      <c r="G1259" s="3"/>
      <c r="H1259" s="11">
        <f t="shared" si="38"/>
        <v>13341.35</v>
      </c>
      <c r="I1259" s="9">
        <f>($K$2+0.02)*Tabla1[[#This Row],[PRECIO $]]*1.18</f>
        <v>12111.224999999999</v>
      </c>
      <c r="J1259" s="7">
        <f>+Tabla1[[#This Row],[PRECIO EN SOLES]]-Tabla1[[#This Row],[PC]]</f>
        <v>1230.1250000000018</v>
      </c>
      <c r="K1259" s="15"/>
      <c r="L1259" s="15" t="str">
        <f t="shared" si="39"/>
        <v>GANCHO</v>
      </c>
    </row>
    <row r="1260" spans="1:12" x14ac:dyDescent="0.25">
      <c r="A1260" s="3" t="s">
        <v>5792</v>
      </c>
      <c r="B1260" s="3" t="s">
        <v>5793</v>
      </c>
      <c r="C1260" s="1">
        <v>20</v>
      </c>
      <c r="D1260" s="1">
        <v>9.6</v>
      </c>
      <c r="E1260" s="1" t="s">
        <v>261</v>
      </c>
      <c r="F1260" s="1" t="s">
        <v>5794</v>
      </c>
      <c r="G1260" s="3" t="s">
        <v>5795</v>
      </c>
      <c r="H1260" s="11">
        <f t="shared" si="38"/>
        <v>51.85</v>
      </c>
      <c r="I1260" s="9">
        <f>($K$2+0.02)*Tabla1[[#This Row],[PRECIO $]]*1.18</f>
        <v>39.081599999999995</v>
      </c>
      <c r="J1260" s="7">
        <f>+Tabla1[[#This Row],[PRECIO EN SOLES]]-Tabla1[[#This Row],[PC]]</f>
        <v>12.768400000000007</v>
      </c>
      <c r="K1260" s="15"/>
      <c r="L1260" s="15" t="str">
        <f t="shared" si="39"/>
        <v>COMPLEMENTO</v>
      </c>
    </row>
    <row r="1261" spans="1:12" x14ac:dyDescent="0.25">
      <c r="A1261" s="3" t="s">
        <v>2855</v>
      </c>
      <c r="B1261" s="3" t="s">
        <v>2856</v>
      </c>
      <c r="C1261" s="1">
        <v>20</v>
      </c>
      <c r="D1261" s="1">
        <v>19</v>
      </c>
      <c r="E1261" s="1" t="s">
        <v>269</v>
      </c>
      <c r="F1261" s="1" t="s">
        <v>5796</v>
      </c>
      <c r="G1261" s="3" t="s">
        <v>2857</v>
      </c>
      <c r="H1261" s="11">
        <f t="shared" si="38"/>
        <v>100.69</v>
      </c>
      <c r="I1261" s="9">
        <f>($K$2+0.02)*Tabla1[[#This Row],[PRECIO $]]*1.18</f>
        <v>77.34899999999999</v>
      </c>
      <c r="J1261" s="7">
        <f>+Tabla1[[#This Row],[PRECIO EN SOLES]]-Tabla1[[#This Row],[PC]]</f>
        <v>23.341000000000008</v>
      </c>
      <c r="K1261" s="15"/>
      <c r="L1261" s="15" t="str">
        <f t="shared" si="39"/>
        <v>COMPLEMENTO</v>
      </c>
    </row>
    <row r="1262" spans="1:12" x14ac:dyDescent="0.25">
      <c r="A1262" s="3" t="s">
        <v>5797</v>
      </c>
      <c r="B1262" s="3" t="s">
        <v>5798</v>
      </c>
      <c r="C1262" s="1">
        <v>20</v>
      </c>
      <c r="D1262" s="1">
        <v>28.3</v>
      </c>
      <c r="E1262" s="1" t="s">
        <v>269</v>
      </c>
      <c r="F1262" s="1" t="s">
        <v>5799</v>
      </c>
      <c r="G1262" s="3" t="s">
        <v>5800</v>
      </c>
      <c r="H1262" s="11">
        <f t="shared" si="38"/>
        <v>138.49</v>
      </c>
      <c r="I1262" s="9">
        <f>($K$2+0.02)*Tabla1[[#This Row],[PRECIO $]]*1.18</f>
        <v>115.2093</v>
      </c>
      <c r="J1262" s="7">
        <f>+Tabla1[[#This Row],[PRECIO EN SOLES]]-Tabla1[[#This Row],[PC]]</f>
        <v>23.28070000000001</v>
      </c>
      <c r="K1262" s="15"/>
      <c r="L1262" s="15" t="str">
        <f t="shared" si="39"/>
        <v>NORMAL</v>
      </c>
    </row>
    <row r="1263" spans="1:12" x14ac:dyDescent="0.25">
      <c r="A1263" s="3" t="s">
        <v>5801</v>
      </c>
      <c r="B1263" s="3" t="s">
        <v>5802</v>
      </c>
      <c r="C1263" s="1">
        <v>20</v>
      </c>
      <c r="D1263" s="1">
        <v>35.799999999999997</v>
      </c>
      <c r="E1263" s="1" t="s">
        <v>269</v>
      </c>
      <c r="F1263" s="1" t="s">
        <v>5803</v>
      </c>
      <c r="G1263" s="3" t="s">
        <v>5804</v>
      </c>
      <c r="H1263" s="11">
        <f t="shared" si="38"/>
        <v>187.18</v>
      </c>
      <c r="I1263" s="9">
        <f>($K$2+0.02)*Tabla1[[#This Row],[PRECIO $]]*1.18</f>
        <v>145.74179999999998</v>
      </c>
      <c r="J1263" s="7">
        <f>+Tabla1[[#This Row],[PRECIO EN SOLES]]-Tabla1[[#This Row],[PC]]</f>
        <v>41.438200000000023</v>
      </c>
      <c r="K1263" s="15"/>
      <c r="L1263" s="15" t="str">
        <f t="shared" si="39"/>
        <v>COMPLEMENTO</v>
      </c>
    </row>
    <row r="1264" spans="1:12" x14ac:dyDescent="0.25">
      <c r="A1264" s="3" t="s">
        <v>2858</v>
      </c>
      <c r="B1264" s="3" t="s">
        <v>2859</v>
      </c>
      <c r="C1264" s="1">
        <v>0</v>
      </c>
      <c r="D1264" s="1">
        <v>174.2</v>
      </c>
      <c r="E1264" s="1" t="s">
        <v>142</v>
      </c>
      <c r="F1264" s="1" t="s">
        <v>5805</v>
      </c>
      <c r="G1264" s="3" t="s">
        <v>2860</v>
      </c>
      <c r="H1264" s="11">
        <f t="shared" si="38"/>
        <v>891.46</v>
      </c>
      <c r="I1264" s="9">
        <f>($K$2+0.02)*Tabla1[[#This Row],[PRECIO $]]*1.18</f>
        <v>709.16819999999996</v>
      </c>
      <c r="J1264" s="7">
        <f>+Tabla1[[#This Row],[PRECIO EN SOLES]]-Tabla1[[#This Row],[PC]]</f>
        <v>182.29180000000008</v>
      </c>
      <c r="K1264" s="15"/>
      <c r="L1264" s="15" t="str">
        <f t="shared" si="39"/>
        <v>COMPLEMENTO</v>
      </c>
    </row>
    <row r="1265" spans="1:12" x14ac:dyDescent="0.25">
      <c r="A1265" s="3" t="s">
        <v>2861</v>
      </c>
      <c r="B1265" s="3" t="s">
        <v>2862</v>
      </c>
      <c r="C1265" s="1">
        <v>0</v>
      </c>
      <c r="D1265" s="1">
        <v>1100</v>
      </c>
      <c r="E1265" s="1" t="s">
        <v>269</v>
      </c>
      <c r="F1265" s="1" t="s">
        <v>5806</v>
      </c>
      <c r="G1265" s="3" t="s">
        <v>2863</v>
      </c>
      <c r="H1265" s="11">
        <f t="shared" si="38"/>
        <v>5602.63</v>
      </c>
      <c r="I1265" s="9">
        <f>($K$2+0.02)*Tabla1[[#This Row],[PRECIO $]]*1.18</f>
        <v>4478.0999999999995</v>
      </c>
      <c r="J1265" s="7">
        <f>+Tabla1[[#This Row],[PRECIO EN SOLES]]-Tabla1[[#This Row],[PC]]</f>
        <v>1124.5300000000007</v>
      </c>
      <c r="K1265" s="15"/>
      <c r="L1265" s="15" t="str">
        <f t="shared" si="39"/>
        <v>COMPLEMENTO</v>
      </c>
    </row>
    <row r="1266" spans="1:12" x14ac:dyDescent="0.25">
      <c r="A1266" s="3" t="s">
        <v>5807</v>
      </c>
      <c r="B1266" s="3" t="s">
        <v>5808</v>
      </c>
      <c r="C1266" s="1">
        <v>9</v>
      </c>
      <c r="D1266" s="1">
        <v>165.3</v>
      </c>
      <c r="E1266" s="1" t="s">
        <v>269</v>
      </c>
      <c r="F1266" s="1" t="s">
        <v>5809</v>
      </c>
      <c r="G1266" s="3" t="s">
        <v>5810</v>
      </c>
      <c r="H1266" s="11">
        <f t="shared" si="38"/>
        <v>846.17</v>
      </c>
      <c r="I1266" s="9">
        <f>($K$2+0.02)*Tabla1[[#This Row],[PRECIO $]]*1.18</f>
        <v>672.93630000000007</v>
      </c>
      <c r="J1266" s="7">
        <f>+Tabla1[[#This Row],[PRECIO EN SOLES]]-Tabla1[[#This Row],[PC]]</f>
        <v>173.23369999999989</v>
      </c>
      <c r="K1266" s="15"/>
      <c r="L1266" s="15" t="str">
        <f t="shared" si="39"/>
        <v>COMPLEMENTO</v>
      </c>
    </row>
    <row r="1267" spans="1:12" x14ac:dyDescent="0.25">
      <c r="A1267" s="3" t="s">
        <v>5811</v>
      </c>
      <c r="B1267" s="3" t="s">
        <v>5812</v>
      </c>
      <c r="C1267" s="1">
        <v>20</v>
      </c>
      <c r="D1267" s="1">
        <v>11.8</v>
      </c>
      <c r="E1267" s="1" t="s">
        <v>269</v>
      </c>
      <c r="F1267" s="1" t="s">
        <v>5813</v>
      </c>
      <c r="G1267" s="3" t="s">
        <v>5814</v>
      </c>
      <c r="H1267" s="11">
        <f t="shared" si="38"/>
        <v>63.05</v>
      </c>
      <c r="I1267" s="9">
        <f>($K$2+0.02)*Tabla1[[#This Row],[PRECIO $]]*1.18</f>
        <v>48.037800000000004</v>
      </c>
      <c r="J1267" s="7">
        <f>+Tabla1[[#This Row],[PRECIO EN SOLES]]-Tabla1[[#This Row],[PC]]</f>
        <v>15.012199999999993</v>
      </c>
      <c r="K1267" s="15"/>
      <c r="L1267" s="15" t="str">
        <f t="shared" si="39"/>
        <v>COMPLEMENTO</v>
      </c>
    </row>
    <row r="1268" spans="1:12" x14ac:dyDescent="0.25">
      <c r="A1268" s="3" t="s">
        <v>5815</v>
      </c>
      <c r="B1268" s="3" t="s">
        <v>5816</v>
      </c>
      <c r="C1268" s="1">
        <v>20</v>
      </c>
      <c r="D1268" s="1">
        <v>22.7</v>
      </c>
      <c r="E1268" s="1" t="s">
        <v>269</v>
      </c>
      <c r="F1268" s="1" t="s">
        <v>5817</v>
      </c>
      <c r="G1268" s="3" t="s">
        <v>5818</v>
      </c>
      <c r="H1268" s="11">
        <f t="shared" si="38"/>
        <v>119.51</v>
      </c>
      <c r="I1268" s="9">
        <f>($K$2+0.02)*Tabla1[[#This Row],[PRECIO $]]*1.18</f>
        <v>92.411699999999996</v>
      </c>
      <c r="J1268" s="7">
        <f>+Tabla1[[#This Row],[PRECIO EN SOLES]]-Tabla1[[#This Row],[PC]]</f>
        <v>27.098300000000009</v>
      </c>
      <c r="K1268" s="15"/>
      <c r="L1268" s="15" t="str">
        <f t="shared" si="39"/>
        <v>COMPLEMENTO</v>
      </c>
    </row>
    <row r="1269" spans="1:12" x14ac:dyDescent="0.25">
      <c r="A1269" s="3" t="s">
        <v>5819</v>
      </c>
      <c r="B1269" s="3" t="s">
        <v>5820</v>
      </c>
      <c r="C1269" s="1">
        <v>20</v>
      </c>
      <c r="D1269" s="1">
        <v>18.8</v>
      </c>
      <c r="E1269" s="1" t="s">
        <v>269</v>
      </c>
      <c r="F1269" s="1" t="s">
        <v>5821</v>
      </c>
      <c r="G1269" s="3" t="s">
        <v>5822</v>
      </c>
      <c r="H1269" s="11">
        <f t="shared" si="38"/>
        <v>99.67</v>
      </c>
      <c r="I1269" s="9">
        <f>($K$2+0.02)*Tabla1[[#This Row],[PRECIO $]]*1.18</f>
        <v>76.53479999999999</v>
      </c>
      <c r="J1269" s="7">
        <f>+Tabla1[[#This Row],[PRECIO EN SOLES]]-Tabla1[[#This Row],[PC]]</f>
        <v>23.135200000000012</v>
      </c>
      <c r="K1269" s="15"/>
      <c r="L1269" s="15" t="str">
        <f t="shared" si="39"/>
        <v>COMPLEMENTO</v>
      </c>
    </row>
    <row r="1270" spans="1:12" x14ac:dyDescent="0.25">
      <c r="A1270" s="3" t="s">
        <v>2864</v>
      </c>
      <c r="B1270" s="3" t="s">
        <v>2865</v>
      </c>
      <c r="C1270" s="1">
        <v>0</v>
      </c>
      <c r="D1270" s="1">
        <v>55</v>
      </c>
      <c r="E1270" s="1" t="s">
        <v>142</v>
      </c>
      <c r="F1270" s="1" t="s">
        <v>5823</v>
      </c>
      <c r="G1270" s="3" t="s">
        <v>2866</v>
      </c>
      <c r="H1270" s="11">
        <f t="shared" si="38"/>
        <v>257.3</v>
      </c>
      <c r="I1270" s="9">
        <f>($K$2+0.02)*Tabla1[[#This Row],[PRECIO $]]*1.18</f>
        <v>223.905</v>
      </c>
      <c r="J1270" s="7">
        <f>+Tabla1[[#This Row],[PRECIO EN SOLES]]-Tabla1[[#This Row],[PC]]</f>
        <v>33.39500000000001</v>
      </c>
      <c r="K1270" s="15"/>
      <c r="L1270" s="15" t="str">
        <f t="shared" si="39"/>
        <v>GANCHO</v>
      </c>
    </row>
    <row r="1271" spans="1:12" x14ac:dyDescent="0.25">
      <c r="A1271" s="3" t="s">
        <v>2867</v>
      </c>
      <c r="B1271" s="3" t="s">
        <v>2868</v>
      </c>
      <c r="C1271" s="1">
        <v>0</v>
      </c>
      <c r="D1271" s="1">
        <v>12.97</v>
      </c>
      <c r="E1271" s="1" t="s">
        <v>142</v>
      </c>
      <c r="F1271" s="1" t="s">
        <v>5824</v>
      </c>
      <c r="G1271" s="3" t="s">
        <v>2869</v>
      </c>
      <c r="H1271" s="11">
        <f t="shared" si="38"/>
        <v>64.72</v>
      </c>
      <c r="I1271" s="9">
        <f>($K$2+0.02)*Tabla1[[#This Row],[PRECIO $]]*1.18</f>
        <v>52.800870000000003</v>
      </c>
      <c r="J1271" s="7">
        <f>+Tabla1[[#This Row],[PRECIO EN SOLES]]-Tabla1[[#This Row],[PC]]</f>
        <v>11.919129999999996</v>
      </c>
      <c r="K1271" s="15"/>
      <c r="L1271" s="15" t="str">
        <f t="shared" si="39"/>
        <v>NORMAL</v>
      </c>
    </row>
    <row r="1272" spans="1:12" x14ac:dyDescent="0.25">
      <c r="A1272" s="3" t="s">
        <v>2870</v>
      </c>
      <c r="B1272" s="3" t="s">
        <v>2871</v>
      </c>
      <c r="C1272" s="1">
        <v>0</v>
      </c>
      <c r="D1272" s="1">
        <v>55</v>
      </c>
      <c r="E1272" s="1" t="s">
        <v>142</v>
      </c>
      <c r="F1272" s="1" t="s">
        <v>5825</v>
      </c>
      <c r="G1272" s="3" t="s">
        <v>2872</v>
      </c>
      <c r="H1272" s="11">
        <f t="shared" si="38"/>
        <v>257.3</v>
      </c>
      <c r="I1272" s="9">
        <f>($K$2+0.02)*Tabla1[[#This Row],[PRECIO $]]*1.18</f>
        <v>223.905</v>
      </c>
      <c r="J1272" s="7">
        <f>+Tabla1[[#This Row],[PRECIO EN SOLES]]-Tabla1[[#This Row],[PC]]</f>
        <v>33.39500000000001</v>
      </c>
      <c r="K1272" s="15"/>
      <c r="L1272" s="15" t="str">
        <f t="shared" si="39"/>
        <v>GANCHO</v>
      </c>
    </row>
    <row r="1273" spans="1:12" x14ac:dyDescent="0.25">
      <c r="A1273" s="3" t="s">
        <v>5826</v>
      </c>
      <c r="B1273" s="3" t="s">
        <v>5827</v>
      </c>
      <c r="C1273" s="1">
        <v>5</v>
      </c>
      <c r="D1273" s="1">
        <v>33</v>
      </c>
      <c r="E1273" s="1" t="s">
        <v>269</v>
      </c>
      <c r="F1273" s="1" t="s">
        <v>5828</v>
      </c>
      <c r="G1273" s="3" t="s">
        <v>7060</v>
      </c>
      <c r="H1273" s="11">
        <f t="shared" si="38"/>
        <v>172.93</v>
      </c>
      <c r="I1273" s="9">
        <f>($K$2+0.02)*Tabla1[[#This Row],[PRECIO $]]*1.18</f>
        <v>134.34299999999999</v>
      </c>
      <c r="J1273" s="7">
        <f>+Tabla1[[#This Row],[PRECIO EN SOLES]]-Tabla1[[#This Row],[PC]]</f>
        <v>38.587000000000018</v>
      </c>
      <c r="K1273" s="15"/>
      <c r="L1273" s="15" t="str">
        <f t="shared" si="39"/>
        <v>COMPLEMENTO</v>
      </c>
    </row>
    <row r="1274" spans="1:12" x14ac:dyDescent="0.25">
      <c r="A1274" s="3" t="s">
        <v>5829</v>
      </c>
      <c r="B1274" s="3" t="s">
        <v>5830</v>
      </c>
      <c r="C1274" s="1">
        <v>1</v>
      </c>
      <c r="D1274" s="1">
        <v>10.5</v>
      </c>
      <c r="E1274" s="1" t="s">
        <v>261</v>
      </c>
      <c r="F1274" s="1" t="s">
        <v>5831</v>
      </c>
      <c r="G1274" s="3" t="s">
        <v>5832</v>
      </c>
      <c r="H1274" s="11">
        <f t="shared" si="38"/>
        <v>56.43</v>
      </c>
      <c r="I1274" s="9">
        <f>($K$2+0.02)*Tabla1[[#This Row],[PRECIO $]]*1.18</f>
        <v>42.7455</v>
      </c>
      <c r="J1274" s="7">
        <f>+Tabla1[[#This Row],[PRECIO EN SOLES]]-Tabla1[[#This Row],[PC]]</f>
        <v>13.6845</v>
      </c>
      <c r="K1274" s="15"/>
      <c r="L1274" s="15" t="str">
        <f t="shared" si="39"/>
        <v>COMPLEMENTO</v>
      </c>
    </row>
    <row r="1275" spans="1:12" x14ac:dyDescent="0.25">
      <c r="A1275" s="3" t="s">
        <v>7061</v>
      </c>
      <c r="B1275" s="3" t="s">
        <v>7062</v>
      </c>
      <c r="C1275" s="1">
        <v>20</v>
      </c>
      <c r="D1275" s="1">
        <v>243</v>
      </c>
      <c r="E1275" s="1" t="s">
        <v>7063</v>
      </c>
      <c r="F1275" s="1" t="s">
        <v>7064</v>
      </c>
      <c r="G1275" s="3"/>
      <c r="H1275" s="11">
        <f t="shared" si="38"/>
        <v>1145.6400000000001</v>
      </c>
      <c r="I1275" s="9">
        <f>($K$2+0.02)*Tabla1[[#This Row],[PRECIO $]]*1.18</f>
        <v>989.25299999999993</v>
      </c>
      <c r="J1275" s="7">
        <f>+Tabla1[[#This Row],[PRECIO EN SOLES]]-Tabla1[[#This Row],[PC]]</f>
        <v>156.38700000000017</v>
      </c>
      <c r="K1275" s="15"/>
      <c r="L1275" s="15" t="str">
        <f t="shared" si="39"/>
        <v>NORMAL</v>
      </c>
    </row>
    <row r="1276" spans="1:12" x14ac:dyDescent="0.25">
      <c r="A1276" s="3" t="s">
        <v>2873</v>
      </c>
      <c r="B1276" s="3" t="s">
        <v>2874</v>
      </c>
      <c r="C1276" s="1">
        <v>12</v>
      </c>
      <c r="D1276" s="1">
        <v>48.9</v>
      </c>
      <c r="E1276" s="1" t="s">
        <v>269</v>
      </c>
      <c r="F1276" s="1" t="s">
        <v>5833</v>
      </c>
      <c r="G1276" s="3" t="s">
        <v>2875</v>
      </c>
      <c r="H1276" s="11">
        <f t="shared" si="38"/>
        <v>236.93</v>
      </c>
      <c r="I1276" s="9">
        <f>($K$2+0.02)*Tabla1[[#This Row],[PRECIO $]]*1.18</f>
        <v>199.0719</v>
      </c>
      <c r="J1276" s="7">
        <f>+Tabla1[[#This Row],[PRECIO EN SOLES]]-Tabla1[[#This Row],[PC]]</f>
        <v>37.858100000000007</v>
      </c>
      <c r="K1276" s="15"/>
      <c r="L1276" s="15" t="str">
        <f t="shared" si="39"/>
        <v>NORMAL</v>
      </c>
    </row>
    <row r="1277" spans="1:12" x14ac:dyDescent="0.25">
      <c r="A1277" s="3" t="s">
        <v>2876</v>
      </c>
      <c r="B1277" s="3" t="s">
        <v>2877</v>
      </c>
      <c r="C1277" s="1">
        <v>14</v>
      </c>
      <c r="D1277" s="1">
        <v>54.1</v>
      </c>
      <c r="E1277" s="1" t="s">
        <v>269</v>
      </c>
      <c r="F1277" s="1" t="s">
        <v>5834</v>
      </c>
      <c r="G1277" s="3" t="s">
        <v>2878</v>
      </c>
      <c r="H1277" s="11">
        <f t="shared" si="38"/>
        <v>280.3</v>
      </c>
      <c r="I1277" s="9">
        <f>($K$2+0.02)*Tabla1[[#This Row],[PRECIO $]]*1.18</f>
        <v>220.24109999999999</v>
      </c>
      <c r="J1277" s="7">
        <f>+Tabla1[[#This Row],[PRECIO EN SOLES]]-Tabla1[[#This Row],[PC]]</f>
        <v>60.058900000000023</v>
      </c>
      <c r="K1277" s="15"/>
      <c r="L1277" s="15" t="str">
        <f t="shared" si="39"/>
        <v>COMPLEMENTO</v>
      </c>
    </row>
    <row r="1278" spans="1:12" x14ac:dyDescent="0.25">
      <c r="A1278" s="3" t="s">
        <v>5835</v>
      </c>
      <c r="B1278" s="3" t="s">
        <v>5836</v>
      </c>
      <c r="C1278" s="1">
        <v>20</v>
      </c>
      <c r="D1278" s="1">
        <v>7.1</v>
      </c>
      <c r="E1278" s="1" t="s">
        <v>122</v>
      </c>
      <c r="F1278" s="1" t="s">
        <v>5837</v>
      </c>
      <c r="G1278" s="3" t="s">
        <v>5838</v>
      </c>
      <c r="H1278" s="11">
        <f t="shared" si="38"/>
        <v>39.130000000000003</v>
      </c>
      <c r="I1278" s="9">
        <f>($K$2+0.02)*Tabla1[[#This Row],[PRECIO $]]*1.18</f>
        <v>28.9041</v>
      </c>
      <c r="J1278" s="7">
        <f>+Tabla1[[#This Row],[PRECIO EN SOLES]]-Tabla1[[#This Row],[PC]]</f>
        <v>10.225900000000003</v>
      </c>
      <c r="K1278" s="15"/>
      <c r="L1278" s="15" t="str">
        <f t="shared" si="39"/>
        <v>COMPLEMENTO</v>
      </c>
    </row>
    <row r="1279" spans="1:12" x14ac:dyDescent="0.25">
      <c r="A1279" s="3" t="s">
        <v>51</v>
      </c>
      <c r="B1279" s="3" t="s">
        <v>2879</v>
      </c>
      <c r="C1279" s="1">
        <v>0</v>
      </c>
      <c r="D1279" s="1">
        <v>12.6</v>
      </c>
      <c r="E1279" s="1" t="s">
        <v>122</v>
      </c>
      <c r="F1279" s="1" t="s">
        <v>5839</v>
      </c>
      <c r="G1279" s="3" t="s">
        <v>2880</v>
      </c>
      <c r="H1279" s="11">
        <f t="shared" si="38"/>
        <v>67.12</v>
      </c>
      <c r="I1279" s="9">
        <f>($K$2+0.02)*Tabla1[[#This Row],[PRECIO $]]*1.18</f>
        <v>51.294599999999996</v>
      </c>
      <c r="J1279" s="7">
        <f>+Tabla1[[#This Row],[PRECIO EN SOLES]]-Tabla1[[#This Row],[PC]]</f>
        <v>15.825400000000009</v>
      </c>
      <c r="K1279" s="15"/>
      <c r="L1279" s="15" t="str">
        <f t="shared" si="39"/>
        <v>COMPLEMENTO</v>
      </c>
    </row>
    <row r="1280" spans="1:12" x14ac:dyDescent="0.25">
      <c r="A1280" s="3" t="s">
        <v>5840</v>
      </c>
      <c r="B1280" s="3" t="s">
        <v>5841</v>
      </c>
      <c r="C1280" s="1">
        <v>7</v>
      </c>
      <c r="D1280" s="1">
        <v>15.4</v>
      </c>
      <c r="E1280" s="1" t="s">
        <v>122</v>
      </c>
      <c r="F1280" s="1" t="s">
        <v>5842</v>
      </c>
      <c r="G1280" s="3" t="s">
        <v>5843</v>
      </c>
      <c r="H1280" s="11">
        <f t="shared" si="38"/>
        <v>76.099999999999994</v>
      </c>
      <c r="I1280" s="9">
        <f>($K$2+0.02)*Tabla1[[#This Row],[PRECIO $]]*1.18</f>
        <v>62.693399999999997</v>
      </c>
      <c r="J1280" s="7">
        <f>+Tabla1[[#This Row],[PRECIO EN SOLES]]-Tabla1[[#This Row],[PC]]</f>
        <v>13.406599999999997</v>
      </c>
      <c r="K1280" s="15"/>
      <c r="L1280" s="15" t="str">
        <f t="shared" si="39"/>
        <v>NORMAL</v>
      </c>
    </row>
    <row r="1281" spans="1:12" x14ac:dyDescent="0.25">
      <c r="A1281" s="3" t="s">
        <v>2881</v>
      </c>
      <c r="B1281" s="3" t="s">
        <v>2882</v>
      </c>
      <c r="C1281" s="1">
        <v>20</v>
      </c>
      <c r="D1281" s="1">
        <v>20.7</v>
      </c>
      <c r="E1281" s="1" t="s">
        <v>122</v>
      </c>
      <c r="F1281" s="1" t="s">
        <v>5844</v>
      </c>
      <c r="G1281" s="3" t="s">
        <v>2883</v>
      </c>
      <c r="H1281" s="11">
        <f t="shared" si="38"/>
        <v>109.34</v>
      </c>
      <c r="I1281" s="9">
        <f>($K$2+0.02)*Tabla1[[#This Row],[PRECIO $]]*1.18</f>
        <v>84.2697</v>
      </c>
      <c r="J1281" s="7">
        <f>+Tabla1[[#This Row],[PRECIO EN SOLES]]-Tabla1[[#This Row],[PC]]</f>
        <v>25.070300000000003</v>
      </c>
      <c r="K1281" s="15"/>
      <c r="L1281" s="15" t="str">
        <f t="shared" si="39"/>
        <v>COMPLEMENTO</v>
      </c>
    </row>
    <row r="1282" spans="1:12" x14ac:dyDescent="0.25">
      <c r="A1282" s="3" t="s">
        <v>7065</v>
      </c>
      <c r="B1282" s="3" t="s">
        <v>7066</v>
      </c>
      <c r="C1282" s="1">
        <v>16</v>
      </c>
      <c r="D1282" s="1">
        <v>150</v>
      </c>
      <c r="E1282" s="1" t="s">
        <v>7063</v>
      </c>
      <c r="F1282" s="1" t="s">
        <v>7067</v>
      </c>
      <c r="G1282" s="3" t="s">
        <v>7068</v>
      </c>
      <c r="H1282" s="11">
        <f t="shared" ref="H1282:H1345" si="40">ROUND(
IF(L1282="GANCHO",
   IF(I1282&lt;=50,I1282*1.1+4,IF(I1282&lt;=120,I1282*1.1+7,IF(I1282&lt;=250,I1282*1.1+11,I1282*1.1+19))),
IF(L1282="NORMAL",
   IF(I1282&lt;=30,I1282*1.15+2,IF(I1282&lt;=80,I1282*1.15+4,IF(I1282&lt;=150,I1282*1.15+6,I1282*1.15+8))),
IF(L1282="COMPLEMENTO",
   IF(I1282&lt;=25,I1282*1.25+1.5,IF(I1282&lt;=60,I1282*1.25+3,IF(I1282&lt;=120,I1282*1.25+4,I1282*1.25+5))),
""))),2)</f>
        <v>710.25</v>
      </c>
      <c r="I1282" s="9">
        <f>($K$2+0.02)*Tabla1[[#This Row],[PRECIO $]]*1.18</f>
        <v>610.65</v>
      </c>
      <c r="J1282" s="7">
        <f>+Tabla1[[#This Row],[PRECIO EN SOLES]]-Tabla1[[#This Row],[PC]]</f>
        <v>99.600000000000023</v>
      </c>
      <c r="K1282" s="15"/>
      <c r="L1282" s="15" t="str">
        <f t="shared" si="39"/>
        <v>NORMAL</v>
      </c>
    </row>
    <row r="1283" spans="1:12" x14ac:dyDescent="0.25">
      <c r="A1283" s="3" t="s">
        <v>7069</v>
      </c>
      <c r="B1283" s="3" t="s">
        <v>7070</v>
      </c>
      <c r="C1283" s="1">
        <v>20</v>
      </c>
      <c r="D1283" s="1">
        <v>227</v>
      </c>
      <c r="E1283" s="1" t="s">
        <v>7063</v>
      </c>
      <c r="F1283" s="1" t="s">
        <v>7071</v>
      </c>
      <c r="G1283" s="3" t="s">
        <v>7072</v>
      </c>
      <c r="H1283" s="11">
        <f t="shared" si="40"/>
        <v>1070.73</v>
      </c>
      <c r="I1283" s="9">
        <f>($K$2+0.02)*Tabla1[[#This Row],[PRECIO $]]*1.18</f>
        <v>924.11700000000008</v>
      </c>
      <c r="J1283" s="7">
        <f>+Tabla1[[#This Row],[PRECIO EN SOLES]]-Tabla1[[#This Row],[PC]]</f>
        <v>146.61299999999994</v>
      </c>
      <c r="K1283" s="15"/>
      <c r="L1283" s="15" t="str">
        <f t="shared" ref="L1283:L1346" si="41">IF(
OR(
ISNUMBER(SEARCH("BACKPACK",B1283)),
ISNUMBER(SEARCH("MOCHILA",B1283)),
ISNUMBER(SEARCH("FUNDA",B1283)),
ISNUMBER(SEARCH("ESTUCHE",B1283)),
ISNUMBER(SEARCH("BOOK COVER",B1283)),
ISNUMBER(SEARCH("KEYBOARD PARA TABLET",B1283)),
ISNUMBER(SEARCH("FLIP TABLET",B1283)),
ISNUMBER(SEARCH("CASE FOR TABLET",B1283)),
ISNUMBER(SEARCH("CABLE",B1283)),
ISNUMBER(SEARCH("ADAPTADOR",B1283)),
ISNUMBER(SEARCH("HUB",B1283)),
ISNUMBER(SEARCH("DOCK",B1283)),
ISNUMBER(SEARCH("MOUSE PAD",B1283)),
ISNUMBER(SEARCH("MOUSEPAD",B1283)),
ISNUMBER(SEARCH("SOPORTE",B1283)),
ISNUMBER(SEARCH("STAND",B1283)),
ISNUMBER(SEARCH("TRAVEL ADAPTER",B1283)),
ISNUMBER(SEARCH("RJ45",B1283)),
ISNUMBER(SEARCH("USB-C",B1283)),
ISNUMBER(SEARCH("USB WIFI",B1283)),
ISNUMBER(SEARCH("POWERBANK",B1283)),
ISNUMBER(SEARCH("CARGADOR",B1283)),
ISNUMBER(SEARCH("COOLER PARA NB",B1283)),
ISNUMBER(SEARCH("SOPORTE PARA NB",B1283)),
ISNUMBER(SEARCH("WEBCAM",B1283)),
ISNUMBER(SEARCH("WEB CAM",B1283)),
ISNUMBER(SEARCH("MOUSE",B1283)),
ISNUMBER(SEARCH("TECLADO",B1283))
),
"COMPLEMENTO",
IF(
OR(
LEFT(A1283,2)="NB",
LEFT(A1283,2)="PC",
LEFT(A1283,2)="WS",
LEFT(A1283,2)="TB",
LEFT(A1283,3)="CEL",
LEFT(A1283,3)="MON",
LEFT(A1283,3)="PRE",
LEFT(A1283,3)="PRH",
ISNUMBER(SEARCH("NOTEBOOK",B1283)),
ISNUMBER(SEARCH("LAPTOP",B1283)),
ISNUMBER(SEARCH("MONITOR",B1283)),
ISNUMBER(SEARCH("TABLET",B1283)),
ISNUMBER(SEARCH("SMARTPH",B1283)),
ISNUMBER(SEARCH("IMPRESORA",B1283)),
ISNUMBER(SEARCH("MULTIFUNCIONAL",B1283)),
ISNUMBER(SEARCH("AIO",B1283))
),
"GANCHO",
"NORMAL"
)
)</f>
        <v>NORMAL</v>
      </c>
    </row>
    <row r="1284" spans="1:12" x14ac:dyDescent="0.25">
      <c r="A1284" s="3" t="s">
        <v>2884</v>
      </c>
      <c r="B1284" s="3" t="s">
        <v>2885</v>
      </c>
      <c r="C1284" s="1">
        <v>20</v>
      </c>
      <c r="D1284" s="1">
        <v>9</v>
      </c>
      <c r="E1284" s="1" t="s">
        <v>226</v>
      </c>
      <c r="F1284" s="1" t="s">
        <v>5845</v>
      </c>
      <c r="G1284" s="3" t="s">
        <v>2886</v>
      </c>
      <c r="H1284" s="11">
        <f t="shared" si="40"/>
        <v>48.8</v>
      </c>
      <c r="I1284" s="9">
        <f>($K$2+0.02)*Tabla1[[#This Row],[PRECIO $]]*1.18</f>
        <v>36.638999999999996</v>
      </c>
      <c r="J1284" s="7">
        <f>+Tabla1[[#This Row],[PRECIO EN SOLES]]-Tabla1[[#This Row],[PC]]</f>
        <v>12.161000000000001</v>
      </c>
      <c r="K1284" s="15"/>
      <c r="L1284" s="15" t="str">
        <f t="shared" si="41"/>
        <v>COMPLEMENTO</v>
      </c>
    </row>
    <row r="1285" spans="1:12" x14ac:dyDescent="0.25">
      <c r="A1285" s="3" t="s">
        <v>2887</v>
      </c>
      <c r="B1285" s="3" t="s">
        <v>2885</v>
      </c>
      <c r="C1285" s="1">
        <v>13</v>
      </c>
      <c r="D1285" s="1">
        <v>11.3</v>
      </c>
      <c r="E1285" s="1" t="s">
        <v>226</v>
      </c>
      <c r="F1285" s="1" t="s">
        <v>5846</v>
      </c>
      <c r="G1285" s="3" t="s">
        <v>2888</v>
      </c>
      <c r="H1285" s="11">
        <f t="shared" si="40"/>
        <v>60.5</v>
      </c>
      <c r="I1285" s="9">
        <f>($K$2+0.02)*Tabla1[[#This Row],[PRECIO $]]*1.18</f>
        <v>46.002300000000005</v>
      </c>
      <c r="J1285" s="7">
        <f>+Tabla1[[#This Row],[PRECIO EN SOLES]]-Tabla1[[#This Row],[PC]]</f>
        <v>14.497699999999995</v>
      </c>
      <c r="K1285" s="15"/>
      <c r="L1285" s="15" t="str">
        <f t="shared" si="41"/>
        <v>COMPLEMENTO</v>
      </c>
    </row>
    <row r="1286" spans="1:12" x14ac:dyDescent="0.25">
      <c r="A1286" s="3" t="s">
        <v>2889</v>
      </c>
      <c r="B1286" s="3" t="s">
        <v>2890</v>
      </c>
      <c r="C1286" s="1">
        <v>8</v>
      </c>
      <c r="D1286" s="1">
        <v>92.2</v>
      </c>
      <c r="E1286" s="1" t="s">
        <v>226</v>
      </c>
      <c r="F1286" s="1" t="s">
        <v>5847</v>
      </c>
      <c r="G1286" s="3" t="s">
        <v>2891</v>
      </c>
      <c r="H1286" s="11">
        <f t="shared" si="40"/>
        <v>439.65</v>
      </c>
      <c r="I1286" s="9">
        <f>($K$2+0.02)*Tabla1[[#This Row],[PRECIO $]]*1.18</f>
        <v>375.34620000000001</v>
      </c>
      <c r="J1286" s="7">
        <f>+Tabla1[[#This Row],[PRECIO EN SOLES]]-Tabla1[[#This Row],[PC]]</f>
        <v>64.303799999999967</v>
      </c>
      <c r="K1286" s="15"/>
      <c r="L1286" s="15" t="str">
        <f t="shared" si="41"/>
        <v>NORMAL</v>
      </c>
    </row>
    <row r="1287" spans="1:12" x14ac:dyDescent="0.25">
      <c r="A1287" s="3" t="s">
        <v>2892</v>
      </c>
      <c r="B1287" s="3" t="s">
        <v>2893</v>
      </c>
      <c r="C1287" s="1">
        <v>20</v>
      </c>
      <c r="D1287" s="1">
        <v>19</v>
      </c>
      <c r="E1287" s="1" t="s">
        <v>761</v>
      </c>
      <c r="F1287" s="1" t="s">
        <v>5848</v>
      </c>
      <c r="G1287" s="3"/>
      <c r="H1287" s="11">
        <f t="shared" si="40"/>
        <v>100.69</v>
      </c>
      <c r="I1287" s="9">
        <f>($K$2+0.02)*Tabla1[[#This Row],[PRECIO $]]*1.18</f>
        <v>77.34899999999999</v>
      </c>
      <c r="J1287" s="7">
        <f>+Tabla1[[#This Row],[PRECIO EN SOLES]]-Tabla1[[#This Row],[PC]]</f>
        <v>23.341000000000008</v>
      </c>
      <c r="K1287" s="15"/>
      <c r="L1287" s="15" t="str">
        <f t="shared" si="41"/>
        <v>COMPLEMENTO</v>
      </c>
    </row>
    <row r="1288" spans="1:12" x14ac:dyDescent="0.25">
      <c r="A1288" s="3" t="s">
        <v>5849</v>
      </c>
      <c r="B1288" s="3" t="s">
        <v>5850</v>
      </c>
      <c r="C1288" s="1">
        <v>0</v>
      </c>
      <c r="D1288" s="1">
        <v>9999999.9900000002</v>
      </c>
      <c r="E1288" s="1" t="s">
        <v>131</v>
      </c>
      <c r="F1288" s="1" t="s">
        <v>5851</v>
      </c>
      <c r="G1288" s="3"/>
      <c r="H1288" s="11">
        <f t="shared" si="40"/>
        <v>50887504.950000003</v>
      </c>
      <c r="I1288" s="9">
        <f>($K$2+0.02)*Tabla1[[#This Row],[PRECIO $]]*1.18</f>
        <v>40709999.959290005</v>
      </c>
      <c r="J1288" s="7">
        <f>+Tabla1[[#This Row],[PRECIO EN SOLES]]-Tabla1[[#This Row],[PC]]</f>
        <v>10177504.990709998</v>
      </c>
      <c r="K1288" s="15"/>
      <c r="L1288" s="15" t="str">
        <f t="shared" si="41"/>
        <v>COMPLEMENTO</v>
      </c>
    </row>
    <row r="1289" spans="1:12" x14ac:dyDescent="0.25">
      <c r="A1289" s="3" t="s">
        <v>5852</v>
      </c>
      <c r="B1289" s="3" t="s">
        <v>5853</v>
      </c>
      <c r="C1289" s="1">
        <v>0</v>
      </c>
      <c r="D1289" s="1">
        <v>9999999.9900000002</v>
      </c>
      <c r="E1289" s="1" t="s">
        <v>131</v>
      </c>
      <c r="F1289" s="1" t="s">
        <v>5854</v>
      </c>
      <c r="G1289" s="3"/>
      <c r="H1289" s="11">
        <f t="shared" si="40"/>
        <v>50887504.950000003</v>
      </c>
      <c r="I1289" s="9">
        <f>($K$2+0.02)*Tabla1[[#This Row],[PRECIO $]]*1.18</f>
        <v>40709999.959290005</v>
      </c>
      <c r="J1289" s="7">
        <f>+Tabla1[[#This Row],[PRECIO EN SOLES]]-Tabla1[[#This Row],[PC]]</f>
        <v>10177504.990709998</v>
      </c>
      <c r="K1289" s="15"/>
      <c r="L1289" s="15" t="str">
        <f t="shared" si="41"/>
        <v>COMPLEMENTO</v>
      </c>
    </row>
    <row r="1290" spans="1:12" x14ac:dyDescent="0.25">
      <c r="A1290" s="3" t="s">
        <v>5855</v>
      </c>
      <c r="B1290" s="3" t="s">
        <v>5856</v>
      </c>
      <c r="C1290" s="1">
        <v>20</v>
      </c>
      <c r="D1290" s="1">
        <v>10.63</v>
      </c>
      <c r="E1290" s="1" t="s">
        <v>261</v>
      </c>
      <c r="F1290" s="1" t="s">
        <v>5857</v>
      </c>
      <c r="G1290" s="3" t="s">
        <v>5858</v>
      </c>
      <c r="H1290" s="11">
        <f t="shared" si="40"/>
        <v>57.09</v>
      </c>
      <c r="I1290" s="9">
        <f>($K$2+0.02)*Tabla1[[#This Row],[PRECIO $]]*1.18</f>
        <v>43.274730000000005</v>
      </c>
      <c r="J1290" s="7">
        <f>+Tabla1[[#This Row],[PRECIO EN SOLES]]-Tabla1[[#This Row],[PC]]</f>
        <v>13.815269999999998</v>
      </c>
      <c r="K1290" s="15"/>
      <c r="L1290" s="15" t="str">
        <f t="shared" si="41"/>
        <v>COMPLEMENTO</v>
      </c>
    </row>
    <row r="1291" spans="1:12" x14ac:dyDescent="0.25">
      <c r="A1291" s="3" t="s">
        <v>5859</v>
      </c>
      <c r="B1291" s="3" t="s">
        <v>5860</v>
      </c>
      <c r="C1291" s="1">
        <v>20</v>
      </c>
      <c r="D1291" s="1">
        <v>11.6</v>
      </c>
      <c r="E1291" s="1" t="s">
        <v>269</v>
      </c>
      <c r="F1291" s="1" t="s">
        <v>5861</v>
      </c>
      <c r="G1291" s="3" t="s">
        <v>5862</v>
      </c>
      <c r="H1291" s="11">
        <f t="shared" si="40"/>
        <v>62.03</v>
      </c>
      <c r="I1291" s="9">
        <f>($K$2+0.02)*Tabla1[[#This Row],[PRECIO $]]*1.18</f>
        <v>47.223600000000005</v>
      </c>
      <c r="J1291" s="7">
        <f>+Tabla1[[#This Row],[PRECIO EN SOLES]]-Tabla1[[#This Row],[PC]]</f>
        <v>14.806399999999996</v>
      </c>
      <c r="K1291" s="15"/>
      <c r="L1291" s="15" t="str">
        <f t="shared" si="41"/>
        <v>COMPLEMENTO</v>
      </c>
    </row>
    <row r="1292" spans="1:12" x14ac:dyDescent="0.25">
      <c r="A1292" s="3" t="s">
        <v>5863</v>
      </c>
      <c r="B1292" s="3" t="s">
        <v>5864</v>
      </c>
      <c r="C1292" s="1">
        <v>20</v>
      </c>
      <c r="D1292" s="1">
        <v>11.97</v>
      </c>
      <c r="E1292" s="1" t="s">
        <v>269</v>
      </c>
      <c r="F1292" s="1" t="s">
        <v>5865</v>
      </c>
      <c r="G1292" s="3" t="s">
        <v>5866</v>
      </c>
      <c r="H1292" s="11">
        <f t="shared" si="40"/>
        <v>63.91</v>
      </c>
      <c r="I1292" s="9">
        <f>($K$2+0.02)*Tabla1[[#This Row],[PRECIO $]]*1.18</f>
        <v>48.729869999999998</v>
      </c>
      <c r="J1292" s="7">
        <f>+Tabla1[[#This Row],[PRECIO EN SOLES]]-Tabla1[[#This Row],[PC]]</f>
        <v>15.180129999999998</v>
      </c>
      <c r="K1292" s="15"/>
      <c r="L1292" s="15" t="str">
        <f t="shared" si="41"/>
        <v>COMPLEMENTO</v>
      </c>
    </row>
    <row r="1293" spans="1:12" x14ac:dyDescent="0.25">
      <c r="A1293" s="3" t="s">
        <v>5867</v>
      </c>
      <c r="B1293" s="3" t="s">
        <v>5868</v>
      </c>
      <c r="C1293" s="1">
        <v>20</v>
      </c>
      <c r="D1293" s="1">
        <v>38.799999999999997</v>
      </c>
      <c r="E1293" s="1" t="s">
        <v>269</v>
      </c>
      <c r="F1293" s="1" t="s">
        <v>5869</v>
      </c>
      <c r="G1293" s="3" t="s">
        <v>5870</v>
      </c>
      <c r="H1293" s="11">
        <f t="shared" si="40"/>
        <v>189.65</v>
      </c>
      <c r="I1293" s="9">
        <f>($K$2+0.02)*Tabla1[[#This Row],[PRECIO $]]*1.18</f>
        <v>157.95479999999998</v>
      </c>
      <c r="J1293" s="7">
        <f>+Tabla1[[#This Row],[PRECIO EN SOLES]]-Tabla1[[#This Row],[PC]]</f>
        <v>31.695200000000028</v>
      </c>
      <c r="K1293" s="15"/>
      <c r="L1293" s="15" t="str">
        <f t="shared" si="41"/>
        <v>NORMAL</v>
      </c>
    </row>
    <row r="1294" spans="1:12" x14ac:dyDescent="0.25">
      <c r="A1294" s="3" t="s">
        <v>112</v>
      </c>
      <c r="B1294" s="3" t="s">
        <v>5871</v>
      </c>
      <c r="C1294" s="1">
        <v>10</v>
      </c>
      <c r="D1294" s="1">
        <v>30</v>
      </c>
      <c r="E1294" s="1" t="s">
        <v>269</v>
      </c>
      <c r="F1294" s="1" t="s">
        <v>5872</v>
      </c>
      <c r="G1294" s="3" t="s">
        <v>5873</v>
      </c>
      <c r="H1294" s="11">
        <f t="shared" si="40"/>
        <v>157.66</v>
      </c>
      <c r="I1294" s="9">
        <f>($K$2+0.02)*Tabla1[[#This Row],[PRECIO $]]*1.18</f>
        <v>122.13</v>
      </c>
      <c r="J1294" s="7">
        <f>+Tabla1[[#This Row],[PRECIO EN SOLES]]-Tabla1[[#This Row],[PC]]</f>
        <v>35.53</v>
      </c>
      <c r="K1294" s="15"/>
      <c r="L1294" s="15" t="str">
        <f t="shared" si="41"/>
        <v>COMPLEMENTO</v>
      </c>
    </row>
    <row r="1295" spans="1:12" x14ac:dyDescent="0.25">
      <c r="A1295" s="3" t="s">
        <v>5874</v>
      </c>
      <c r="B1295" s="3" t="s">
        <v>5875</v>
      </c>
      <c r="C1295" s="1">
        <v>7</v>
      </c>
      <c r="D1295" s="1">
        <v>52.5</v>
      </c>
      <c r="E1295" s="1" t="s">
        <v>269</v>
      </c>
      <c r="F1295" s="1" t="s">
        <v>5876</v>
      </c>
      <c r="G1295" s="3" t="s">
        <v>5877</v>
      </c>
      <c r="H1295" s="11">
        <f t="shared" si="40"/>
        <v>272.16000000000003</v>
      </c>
      <c r="I1295" s="9">
        <f>($K$2+0.02)*Tabla1[[#This Row],[PRECIO $]]*1.18</f>
        <v>213.72749999999999</v>
      </c>
      <c r="J1295" s="7">
        <f>+Tabla1[[#This Row],[PRECIO EN SOLES]]-Tabla1[[#This Row],[PC]]</f>
        <v>58.432500000000033</v>
      </c>
      <c r="K1295" s="15"/>
      <c r="L1295" s="15" t="str">
        <f t="shared" si="41"/>
        <v>COMPLEMENTO</v>
      </c>
    </row>
    <row r="1296" spans="1:12" x14ac:dyDescent="0.25">
      <c r="A1296" s="3" t="s">
        <v>2894</v>
      </c>
      <c r="B1296" s="3" t="s">
        <v>2895</v>
      </c>
      <c r="C1296" s="1">
        <v>0</v>
      </c>
      <c r="D1296" s="1">
        <v>9999</v>
      </c>
      <c r="E1296" s="1" t="s">
        <v>557</v>
      </c>
      <c r="F1296" s="1" t="s">
        <v>5878</v>
      </c>
      <c r="G1296" s="3"/>
      <c r="H1296" s="11">
        <f t="shared" si="40"/>
        <v>50887.41</v>
      </c>
      <c r="I1296" s="9">
        <f>($K$2+0.02)*Tabla1[[#This Row],[PRECIO $]]*1.18</f>
        <v>40705.929000000004</v>
      </c>
      <c r="J1296" s="7">
        <f>+Tabla1[[#This Row],[PRECIO EN SOLES]]-Tabla1[[#This Row],[PC]]</f>
        <v>10181.481</v>
      </c>
      <c r="K1296" s="15"/>
      <c r="L1296" s="15" t="str">
        <f t="shared" si="41"/>
        <v>COMPLEMENTO</v>
      </c>
    </row>
    <row r="1297" spans="1:12" x14ac:dyDescent="0.25">
      <c r="A1297" s="3" t="s">
        <v>2896</v>
      </c>
      <c r="B1297" s="3" t="s">
        <v>2895</v>
      </c>
      <c r="C1297" s="1">
        <v>0</v>
      </c>
      <c r="D1297" s="1">
        <v>9999</v>
      </c>
      <c r="E1297" s="1" t="s">
        <v>142</v>
      </c>
      <c r="F1297" s="1" t="s">
        <v>5879</v>
      </c>
      <c r="G1297" s="3"/>
      <c r="H1297" s="11">
        <f t="shared" si="40"/>
        <v>50887.41</v>
      </c>
      <c r="I1297" s="9">
        <f>($K$2+0.02)*Tabla1[[#This Row],[PRECIO $]]*1.18</f>
        <v>40705.929000000004</v>
      </c>
      <c r="J1297" s="7">
        <f>+Tabla1[[#This Row],[PRECIO EN SOLES]]-Tabla1[[#This Row],[PC]]</f>
        <v>10181.481</v>
      </c>
      <c r="K1297" s="15"/>
      <c r="L1297" s="15" t="str">
        <f t="shared" si="41"/>
        <v>COMPLEMENTO</v>
      </c>
    </row>
    <row r="1298" spans="1:12" x14ac:dyDescent="0.25">
      <c r="A1298" s="3" t="s">
        <v>2897</v>
      </c>
      <c r="B1298" s="3" t="s">
        <v>2898</v>
      </c>
      <c r="C1298" s="1">
        <v>0</v>
      </c>
      <c r="D1298" s="1">
        <v>999</v>
      </c>
      <c r="E1298" s="1" t="s">
        <v>333</v>
      </c>
      <c r="F1298" s="1" t="s">
        <v>5880</v>
      </c>
      <c r="G1298" s="3"/>
      <c r="H1298" s="11">
        <f t="shared" si="40"/>
        <v>5088.66</v>
      </c>
      <c r="I1298" s="9">
        <f>($K$2+0.02)*Tabla1[[#This Row],[PRECIO $]]*1.18</f>
        <v>4066.9290000000001</v>
      </c>
      <c r="J1298" s="7">
        <f>+Tabla1[[#This Row],[PRECIO EN SOLES]]-Tabla1[[#This Row],[PC]]</f>
        <v>1021.7309999999998</v>
      </c>
      <c r="K1298" s="15"/>
      <c r="L1298" s="15" t="str">
        <f t="shared" si="41"/>
        <v>COMPLEMENTO</v>
      </c>
    </row>
    <row r="1299" spans="1:12" x14ac:dyDescent="0.25">
      <c r="A1299" s="3" t="s">
        <v>2899</v>
      </c>
      <c r="B1299" s="3" t="s">
        <v>2900</v>
      </c>
      <c r="C1299" s="1">
        <v>0</v>
      </c>
      <c r="D1299" s="1">
        <v>1629</v>
      </c>
      <c r="E1299" s="1" t="s">
        <v>122</v>
      </c>
      <c r="F1299" s="1" t="s">
        <v>5881</v>
      </c>
      <c r="G1299" s="3" t="s">
        <v>2901</v>
      </c>
      <c r="H1299" s="11">
        <f t="shared" si="40"/>
        <v>7634.41</v>
      </c>
      <c r="I1299" s="9">
        <f>($K$2+0.02)*Tabla1[[#This Row],[PRECIO $]]*1.18</f>
        <v>6631.6589999999997</v>
      </c>
      <c r="J1299" s="7">
        <f>+Tabla1[[#This Row],[PRECIO EN SOLES]]-Tabla1[[#This Row],[PC]]</f>
        <v>1002.7510000000002</v>
      </c>
      <c r="K1299" s="15"/>
      <c r="L1299" s="15" t="str">
        <f t="shared" si="41"/>
        <v>NORMAL</v>
      </c>
    </row>
    <row r="1300" spans="1:12" x14ac:dyDescent="0.25">
      <c r="A1300" s="3" t="s">
        <v>2902</v>
      </c>
      <c r="B1300" s="3" t="s">
        <v>2903</v>
      </c>
      <c r="C1300" s="1">
        <v>1</v>
      </c>
      <c r="D1300" s="1">
        <v>1979</v>
      </c>
      <c r="E1300" s="1" t="s">
        <v>122</v>
      </c>
      <c r="F1300" s="1" t="s">
        <v>5882</v>
      </c>
      <c r="G1300" s="3" t="s">
        <v>2904</v>
      </c>
      <c r="H1300" s="11">
        <f t="shared" si="40"/>
        <v>9272.99</v>
      </c>
      <c r="I1300" s="9">
        <f>($K$2+0.02)*Tabla1[[#This Row],[PRECIO $]]*1.18</f>
        <v>8056.509</v>
      </c>
      <c r="J1300" s="7">
        <f>+Tabla1[[#This Row],[PRECIO EN SOLES]]-Tabla1[[#This Row],[PC]]</f>
        <v>1216.4809999999998</v>
      </c>
      <c r="K1300" s="15"/>
      <c r="L1300" s="15" t="str">
        <f t="shared" si="41"/>
        <v>NORMAL</v>
      </c>
    </row>
    <row r="1301" spans="1:12" x14ac:dyDescent="0.25">
      <c r="A1301" s="3" t="s">
        <v>2905</v>
      </c>
      <c r="B1301" s="3" t="s">
        <v>2906</v>
      </c>
      <c r="C1301" s="1">
        <v>20</v>
      </c>
      <c r="D1301" s="1">
        <v>56</v>
      </c>
      <c r="E1301" s="1" t="s">
        <v>1717</v>
      </c>
      <c r="F1301" s="1" t="s">
        <v>5883</v>
      </c>
      <c r="G1301" s="3" t="s">
        <v>2907</v>
      </c>
      <c r="H1301" s="11">
        <f t="shared" si="40"/>
        <v>270.17</v>
      </c>
      <c r="I1301" s="9">
        <f>($K$2+0.02)*Tabla1[[#This Row],[PRECIO $]]*1.18</f>
        <v>227.976</v>
      </c>
      <c r="J1301" s="7">
        <f>+Tabla1[[#This Row],[PRECIO EN SOLES]]-Tabla1[[#This Row],[PC]]</f>
        <v>42.194000000000017</v>
      </c>
      <c r="K1301" s="15"/>
      <c r="L1301" s="15" t="str">
        <f t="shared" si="41"/>
        <v>NORMAL</v>
      </c>
    </row>
    <row r="1302" spans="1:12" x14ac:dyDescent="0.25">
      <c r="A1302" s="3" t="s">
        <v>2908</v>
      </c>
      <c r="B1302" s="3" t="s">
        <v>2909</v>
      </c>
      <c r="C1302" s="1">
        <v>14</v>
      </c>
      <c r="D1302" s="1">
        <v>51</v>
      </c>
      <c r="E1302" s="1" t="s">
        <v>1717</v>
      </c>
      <c r="F1302" s="1" t="s">
        <v>5884</v>
      </c>
      <c r="G1302" s="3" t="s">
        <v>2910</v>
      </c>
      <c r="H1302" s="11">
        <f t="shared" si="40"/>
        <v>246.76</v>
      </c>
      <c r="I1302" s="9">
        <f>($K$2+0.02)*Tabla1[[#This Row],[PRECIO $]]*1.18</f>
        <v>207.62100000000001</v>
      </c>
      <c r="J1302" s="7">
        <f>+Tabla1[[#This Row],[PRECIO EN SOLES]]-Tabla1[[#This Row],[PC]]</f>
        <v>39.138999999999982</v>
      </c>
      <c r="K1302" s="15"/>
      <c r="L1302" s="15" t="str">
        <f t="shared" si="41"/>
        <v>NORMAL</v>
      </c>
    </row>
    <row r="1303" spans="1:12" x14ac:dyDescent="0.25">
      <c r="A1303" s="3" t="s">
        <v>2911</v>
      </c>
      <c r="B1303" s="3" t="s">
        <v>2912</v>
      </c>
      <c r="C1303" s="1">
        <v>6</v>
      </c>
      <c r="D1303" s="1">
        <v>1979</v>
      </c>
      <c r="E1303" s="1" t="s">
        <v>122</v>
      </c>
      <c r="F1303" s="1" t="s">
        <v>5885</v>
      </c>
      <c r="G1303" s="3" t="s">
        <v>2913</v>
      </c>
      <c r="H1303" s="11">
        <f t="shared" si="40"/>
        <v>9272.99</v>
      </c>
      <c r="I1303" s="9">
        <f>($K$2+0.02)*Tabla1[[#This Row],[PRECIO $]]*1.18</f>
        <v>8056.509</v>
      </c>
      <c r="J1303" s="7">
        <f>+Tabla1[[#This Row],[PRECIO EN SOLES]]-Tabla1[[#This Row],[PC]]</f>
        <v>1216.4809999999998</v>
      </c>
      <c r="K1303" s="15"/>
      <c r="L1303" s="15" t="str">
        <f t="shared" si="41"/>
        <v>NORMAL</v>
      </c>
    </row>
    <row r="1304" spans="1:12" x14ac:dyDescent="0.25">
      <c r="A1304" s="3" t="s">
        <v>2914</v>
      </c>
      <c r="B1304" s="3" t="s">
        <v>2915</v>
      </c>
      <c r="C1304" s="1">
        <v>2</v>
      </c>
      <c r="D1304" s="1">
        <v>13</v>
      </c>
      <c r="E1304" s="1" t="s">
        <v>2916</v>
      </c>
      <c r="F1304" s="1" t="s">
        <v>5886</v>
      </c>
      <c r="G1304" s="3"/>
      <c r="H1304" s="11">
        <f t="shared" si="40"/>
        <v>64.86</v>
      </c>
      <c r="I1304" s="9">
        <f>($K$2+0.02)*Tabla1[[#This Row],[PRECIO $]]*1.18</f>
        <v>52.923000000000002</v>
      </c>
      <c r="J1304" s="7">
        <f>+Tabla1[[#This Row],[PRECIO EN SOLES]]-Tabla1[[#This Row],[PC]]</f>
        <v>11.936999999999998</v>
      </c>
      <c r="K1304" s="15"/>
      <c r="L1304" s="15" t="str">
        <f t="shared" si="41"/>
        <v>NORMAL</v>
      </c>
    </row>
    <row r="1305" spans="1:12" x14ac:dyDescent="0.25">
      <c r="A1305" s="3" t="s">
        <v>2917</v>
      </c>
      <c r="B1305" s="3" t="s">
        <v>2918</v>
      </c>
      <c r="C1305" s="1">
        <v>9</v>
      </c>
      <c r="D1305" s="1">
        <v>500</v>
      </c>
      <c r="E1305" s="1" t="s">
        <v>126</v>
      </c>
      <c r="F1305" s="1" t="s">
        <v>5887</v>
      </c>
      <c r="G1305" s="3"/>
      <c r="H1305" s="11">
        <f t="shared" si="40"/>
        <v>2348.83</v>
      </c>
      <c r="I1305" s="9">
        <f>($K$2+0.02)*Tabla1[[#This Row],[PRECIO $]]*1.18</f>
        <v>2035.5</v>
      </c>
      <c r="J1305" s="7">
        <f>+Tabla1[[#This Row],[PRECIO EN SOLES]]-Tabla1[[#This Row],[PC]]</f>
        <v>313.32999999999993</v>
      </c>
      <c r="K1305" s="15"/>
      <c r="L1305" s="15" t="str">
        <f t="shared" si="41"/>
        <v>NORMAL</v>
      </c>
    </row>
    <row r="1306" spans="1:12" x14ac:dyDescent="0.25">
      <c r="A1306" s="3" t="s">
        <v>2919</v>
      </c>
      <c r="B1306" s="3" t="s">
        <v>2920</v>
      </c>
      <c r="C1306" s="1">
        <v>9</v>
      </c>
      <c r="D1306" s="1">
        <v>500</v>
      </c>
      <c r="E1306" s="1" t="s">
        <v>126</v>
      </c>
      <c r="F1306" s="1" t="s">
        <v>5888</v>
      </c>
      <c r="G1306" s="3"/>
      <c r="H1306" s="11">
        <f t="shared" si="40"/>
        <v>2348.83</v>
      </c>
      <c r="I1306" s="9">
        <f>($K$2+0.02)*Tabla1[[#This Row],[PRECIO $]]*1.18</f>
        <v>2035.5</v>
      </c>
      <c r="J1306" s="7">
        <f>+Tabla1[[#This Row],[PRECIO EN SOLES]]-Tabla1[[#This Row],[PC]]</f>
        <v>313.32999999999993</v>
      </c>
      <c r="K1306" s="15"/>
      <c r="L1306" s="15" t="str">
        <f t="shared" si="41"/>
        <v>NORMAL</v>
      </c>
    </row>
    <row r="1307" spans="1:12" x14ac:dyDescent="0.25">
      <c r="A1307" s="3" t="s">
        <v>2921</v>
      </c>
      <c r="B1307" s="3" t="s">
        <v>2922</v>
      </c>
      <c r="C1307" s="1">
        <v>20</v>
      </c>
      <c r="D1307" s="1">
        <v>1</v>
      </c>
      <c r="E1307" s="1" t="s">
        <v>131</v>
      </c>
      <c r="F1307" s="1" t="s">
        <v>5889</v>
      </c>
      <c r="G1307" s="3"/>
      <c r="H1307" s="11">
        <f t="shared" si="40"/>
        <v>6.68</v>
      </c>
      <c r="I1307" s="9">
        <f>($K$2+0.02)*Tabla1[[#This Row],[PRECIO $]]*1.18</f>
        <v>4.0709999999999997</v>
      </c>
      <c r="J1307" s="7">
        <f>+Tabla1[[#This Row],[PRECIO EN SOLES]]-Tabla1[[#This Row],[PC]]</f>
        <v>2.609</v>
      </c>
      <c r="K1307" s="15"/>
      <c r="L1307" s="15" t="str">
        <f t="shared" si="41"/>
        <v>NORMAL</v>
      </c>
    </row>
    <row r="1308" spans="1:12" x14ac:dyDescent="0.25">
      <c r="A1308" s="3" t="s">
        <v>2923</v>
      </c>
      <c r="B1308" s="3" t="s">
        <v>2924</v>
      </c>
      <c r="C1308" s="1">
        <v>0</v>
      </c>
      <c r="D1308" s="1">
        <v>110</v>
      </c>
      <c r="E1308" s="1" t="s">
        <v>126</v>
      </c>
      <c r="F1308" s="1" t="s">
        <v>5890</v>
      </c>
      <c r="G1308" s="3"/>
      <c r="H1308" s="11">
        <f t="shared" si="40"/>
        <v>522.98</v>
      </c>
      <c r="I1308" s="9">
        <f>($K$2+0.02)*Tabla1[[#This Row],[PRECIO $]]*1.18</f>
        <v>447.81</v>
      </c>
      <c r="J1308" s="7">
        <f>+Tabla1[[#This Row],[PRECIO EN SOLES]]-Tabla1[[#This Row],[PC]]</f>
        <v>75.170000000000016</v>
      </c>
      <c r="K1308" s="15"/>
      <c r="L1308" s="15" t="str">
        <f t="shared" si="41"/>
        <v>NORMAL</v>
      </c>
    </row>
    <row r="1309" spans="1:12" x14ac:dyDescent="0.25">
      <c r="A1309" s="3" t="s">
        <v>2925</v>
      </c>
      <c r="B1309" s="3" t="s">
        <v>2926</v>
      </c>
      <c r="C1309" s="1">
        <v>9</v>
      </c>
      <c r="D1309" s="1">
        <v>500</v>
      </c>
      <c r="E1309" s="1" t="s">
        <v>126</v>
      </c>
      <c r="F1309" s="1" t="s">
        <v>5891</v>
      </c>
      <c r="G1309" s="3"/>
      <c r="H1309" s="11">
        <f t="shared" si="40"/>
        <v>2348.83</v>
      </c>
      <c r="I1309" s="9">
        <f>($K$2+0.02)*Tabla1[[#This Row],[PRECIO $]]*1.18</f>
        <v>2035.5</v>
      </c>
      <c r="J1309" s="7">
        <f>+Tabla1[[#This Row],[PRECIO EN SOLES]]-Tabla1[[#This Row],[PC]]</f>
        <v>313.32999999999993</v>
      </c>
      <c r="K1309" s="15"/>
      <c r="L1309" s="15" t="str">
        <f t="shared" si="41"/>
        <v>NORMAL</v>
      </c>
    </row>
    <row r="1310" spans="1:12" x14ac:dyDescent="0.25">
      <c r="A1310" s="3" t="s">
        <v>2927</v>
      </c>
      <c r="B1310" s="3" t="s">
        <v>2928</v>
      </c>
      <c r="C1310" s="1">
        <v>0</v>
      </c>
      <c r="D1310" s="1">
        <v>110</v>
      </c>
      <c r="E1310" s="1" t="s">
        <v>126</v>
      </c>
      <c r="F1310" s="1" t="s">
        <v>5892</v>
      </c>
      <c r="G1310" s="3"/>
      <c r="H1310" s="11">
        <f t="shared" si="40"/>
        <v>522.98</v>
      </c>
      <c r="I1310" s="9">
        <f>($K$2+0.02)*Tabla1[[#This Row],[PRECIO $]]*1.18</f>
        <v>447.81</v>
      </c>
      <c r="J1310" s="7">
        <f>+Tabla1[[#This Row],[PRECIO EN SOLES]]-Tabla1[[#This Row],[PC]]</f>
        <v>75.170000000000016</v>
      </c>
      <c r="K1310" s="15"/>
      <c r="L1310" s="15" t="str">
        <f t="shared" si="41"/>
        <v>NORMAL</v>
      </c>
    </row>
    <row r="1311" spans="1:12" x14ac:dyDescent="0.25">
      <c r="A1311" s="3" t="s">
        <v>2929</v>
      </c>
      <c r="B1311" s="3" t="s">
        <v>2930</v>
      </c>
      <c r="C1311" s="1">
        <v>0</v>
      </c>
      <c r="D1311" s="1">
        <v>110</v>
      </c>
      <c r="E1311" s="1" t="s">
        <v>126</v>
      </c>
      <c r="F1311" s="1" t="s">
        <v>5893</v>
      </c>
      <c r="G1311" s="3"/>
      <c r="H1311" s="11">
        <f t="shared" si="40"/>
        <v>564.76</v>
      </c>
      <c r="I1311" s="9">
        <f>($K$2+0.02)*Tabla1[[#This Row],[PRECIO $]]*1.18</f>
        <v>447.81</v>
      </c>
      <c r="J1311" s="7">
        <f>+Tabla1[[#This Row],[PRECIO EN SOLES]]-Tabla1[[#This Row],[PC]]</f>
        <v>116.94999999999999</v>
      </c>
      <c r="K1311" s="15"/>
      <c r="L1311" s="15" t="str">
        <f t="shared" si="41"/>
        <v>COMPLEMENTO</v>
      </c>
    </row>
    <row r="1312" spans="1:12" x14ac:dyDescent="0.25">
      <c r="A1312" s="3" t="s">
        <v>2931</v>
      </c>
      <c r="B1312" s="3" t="s">
        <v>2932</v>
      </c>
      <c r="C1312" s="1">
        <v>9</v>
      </c>
      <c r="D1312" s="1">
        <v>16.8</v>
      </c>
      <c r="E1312" s="1" t="s">
        <v>126</v>
      </c>
      <c r="F1312" s="1" t="s">
        <v>5894</v>
      </c>
      <c r="G1312" s="3" t="s">
        <v>2933</v>
      </c>
      <c r="H1312" s="11">
        <f t="shared" si="40"/>
        <v>82.65</v>
      </c>
      <c r="I1312" s="9">
        <f>($K$2+0.02)*Tabla1[[#This Row],[PRECIO $]]*1.18</f>
        <v>68.392800000000008</v>
      </c>
      <c r="J1312" s="7">
        <f>+Tabla1[[#This Row],[PRECIO EN SOLES]]-Tabla1[[#This Row],[PC]]</f>
        <v>14.257199999999997</v>
      </c>
      <c r="K1312" s="15"/>
      <c r="L1312" s="15" t="str">
        <f t="shared" si="41"/>
        <v>NORMAL</v>
      </c>
    </row>
    <row r="1313" spans="1:12" x14ac:dyDescent="0.25">
      <c r="A1313" s="3" t="s">
        <v>2934</v>
      </c>
      <c r="B1313" s="3" t="s">
        <v>2935</v>
      </c>
      <c r="C1313" s="1">
        <v>0</v>
      </c>
      <c r="D1313" s="1">
        <v>71.69</v>
      </c>
      <c r="E1313" s="1" t="s">
        <v>1054</v>
      </c>
      <c r="F1313" s="1" t="s">
        <v>5895</v>
      </c>
      <c r="G1313" s="3"/>
      <c r="H1313" s="11">
        <f t="shared" si="40"/>
        <v>343.63</v>
      </c>
      <c r="I1313" s="9">
        <f>($K$2+0.02)*Tabla1[[#This Row],[PRECIO $]]*1.18</f>
        <v>291.84998999999999</v>
      </c>
      <c r="J1313" s="7">
        <f>+Tabla1[[#This Row],[PRECIO EN SOLES]]-Tabla1[[#This Row],[PC]]</f>
        <v>51.780010000000004</v>
      </c>
      <c r="K1313" s="15"/>
      <c r="L1313" s="15" t="str">
        <f t="shared" si="41"/>
        <v>NORMAL</v>
      </c>
    </row>
    <row r="1314" spans="1:12" x14ac:dyDescent="0.25">
      <c r="A1314" s="3" t="s">
        <v>2936</v>
      </c>
      <c r="B1314" s="3" t="s">
        <v>2937</v>
      </c>
      <c r="C1314" s="1">
        <v>20</v>
      </c>
      <c r="D1314" s="1">
        <v>51.98</v>
      </c>
      <c r="E1314" s="1" t="s">
        <v>1054</v>
      </c>
      <c r="F1314" s="1" t="s">
        <v>5896</v>
      </c>
      <c r="G1314" s="3"/>
      <c r="H1314" s="11">
        <f t="shared" si="40"/>
        <v>251.35</v>
      </c>
      <c r="I1314" s="9">
        <f>($K$2+0.02)*Tabla1[[#This Row],[PRECIO $]]*1.18</f>
        <v>211.61057999999997</v>
      </c>
      <c r="J1314" s="7">
        <f>+Tabla1[[#This Row],[PRECIO EN SOLES]]-Tabla1[[#This Row],[PC]]</f>
        <v>39.739420000000024</v>
      </c>
      <c r="K1314" s="15"/>
      <c r="L1314" s="15" t="str">
        <f t="shared" si="41"/>
        <v>NORMAL</v>
      </c>
    </row>
    <row r="1315" spans="1:12" x14ac:dyDescent="0.25">
      <c r="A1315" s="3" t="s">
        <v>2938</v>
      </c>
      <c r="B1315" s="3" t="s">
        <v>2939</v>
      </c>
      <c r="C1315" s="1">
        <v>20</v>
      </c>
      <c r="D1315" s="1">
        <v>34.03</v>
      </c>
      <c r="E1315" s="1" t="s">
        <v>2484</v>
      </c>
      <c r="F1315" s="1" t="s">
        <v>5897</v>
      </c>
      <c r="G1315" s="3" t="s">
        <v>2940</v>
      </c>
      <c r="H1315" s="11">
        <f t="shared" si="40"/>
        <v>165.32</v>
      </c>
      <c r="I1315" s="9">
        <f>($K$2+0.02)*Tabla1[[#This Row],[PRECIO $]]*1.18</f>
        <v>138.53613000000001</v>
      </c>
      <c r="J1315" s="7">
        <f>+Tabla1[[#This Row],[PRECIO EN SOLES]]-Tabla1[[#This Row],[PC]]</f>
        <v>26.783869999999979</v>
      </c>
      <c r="K1315" s="15"/>
      <c r="L1315" s="15" t="str">
        <f t="shared" si="41"/>
        <v>NORMAL</v>
      </c>
    </row>
    <row r="1316" spans="1:12" x14ac:dyDescent="0.25">
      <c r="A1316" s="3" t="s">
        <v>2941</v>
      </c>
      <c r="B1316" s="3" t="s">
        <v>2942</v>
      </c>
      <c r="C1316" s="1">
        <v>0</v>
      </c>
      <c r="D1316" s="1">
        <v>268</v>
      </c>
      <c r="E1316" s="1" t="s">
        <v>1057</v>
      </c>
      <c r="F1316" s="1" t="s">
        <v>5898</v>
      </c>
      <c r="G1316" s="3" t="s">
        <v>2943</v>
      </c>
      <c r="H1316" s="11">
        <f t="shared" si="40"/>
        <v>1262.68</v>
      </c>
      <c r="I1316" s="9">
        <f>($K$2+0.02)*Tabla1[[#This Row],[PRECIO $]]*1.18</f>
        <v>1091.028</v>
      </c>
      <c r="J1316" s="7">
        <f>+Tabla1[[#This Row],[PRECIO EN SOLES]]-Tabla1[[#This Row],[PC]]</f>
        <v>171.65200000000004</v>
      </c>
      <c r="K1316" s="15"/>
      <c r="L1316" s="15" t="str">
        <f t="shared" si="41"/>
        <v>NORMAL</v>
      </c>
    </row>
    <row r="1317" spans="1:12" x14ac:dyDescent="0.25">
      <c r="A1317" s="3" t="s">
        <v>2944</v>
      </c>
      <c r="B1317" s="3" t="s">
        <v>2945</v>
      </c>
      <c r="C1317" s="1">
        <v>0</v>
      </c>
      <c r="D1317" s="1">
        <v>283</v>
      </c>
      <c r="E1317" s="1" t="s">
        <v>1057</v>
      </c>
      <c r="F1317" s="1" t="s">
        <v>5899</v>
      </c>
      <c r="G1317" s="3" t="s">
        <v>2946</v>
      </c>
      <c r="H1317" s="11">
        <f t="shared" si="40"/>
        <v>1332.91</v>
      </c>
      <c r="I1317" s="9">
        <f>($K$2+0.02)*Tabla1[[#This Row],[PRECIO $]]*1.18</f>
        <v>1152.0930000000001</v>
      </c>
      <c r="J1317" s="7">
        <f>+Tabla1[[#This Row],[PRECIO EN SOLES]]-Tabla1[[#This Row],[PC]]</f>
        <v>180.81700000000001</v>
      </c>
      <c r="K1317" s="15"/>
      <c r="L1317" s="15" t="str">
        <f t="shared" si="41"/>
        <v>NORMAL</v>
      </c>
    </row>
    <row r="1318" spans="1:12" x14ac:dyDescent="0.25">
      <c r="A1318" s="3" t="s">
        <v>2994</v>
      </c>
      <c r="B1318" s="3" t="s">
        <v>7073</v>
      </c>
      <c r="C1318" s="1">
        <v>20</v>
      </c>
      <c r="D1318" s="1">
        <v>19.91</v>
      </c>
      <c r="E1318" s="1" t="s">
        <v>2964</v>
      </c>
      <c r="F1318" s="1" t="s">
        <v>5931</v>
      </c>
      <c r="G1318" s="3" t="s">
        <v>2995</v>
      </c>
      <c r="H1318" s="11">
        <f t="shared" si="40"/>
        <v>99.21</v>
      </c>
      <c r="I1318" s="9">
        <f>($K$2+0.02)*Tabla1[[#This Row],[PRECIO $]]*1.18</f>
        <v>81.053610000000006</v>
      </c>
      <c r="J1318" s="7">
        <f>+Tabla1[[#This Row],[PRECIO EN SOLES]]-Tabla1[[#This Row],[PC]]</f>
        <v>18.156389999999988</v>
      </c>
      <c r="K1318" s="15"/>
      <c r="L1318" s="15" t="str">
        <f t="shared" si="41"/>
        <v>NORMAL</v>
      </c>
    </row>
    <row r="1319" spans="1:12" x14ac:dyDescent="0.25">
      <c r="A1319" s="3" t="s">
        <v>2947</v>
      </c>
      <c r="B1319" s="3" t="s">
        <v>2948</v>
      </c>
      <c r="C1319" s="1">
        <v>0</v>
      </c>
      <c r="D1319" s="1">
        <v>686</v>
      </c>
      <c r="E1319" s="1" t="s">
        <v>1057</v>
      </c>
      <c r="F1319" s="1" t="s">
        <v>5900</v>
      </c>
      <c r="G1319" s="3" t="s">
        <v>2949</v>
      </c>
      <c r="H1319" s="11">
        <f t="shared" si="40"/>
        <v>3219.61</v>
      </c>
      <c r="I1319" s="9">
        <f>($K$2+0.02)*Tabla1[[#This Row],[PRECIO $]]*1.18</f>
        <v>2792.7060000000001</v>
      </c>
      <c r="J1319" s="7">
        <f>+Tabla1[[#This Row],[PRECIO EN SOLES]]-Tabla1[[#This Row],[PC]]</f>
        <v>426.904</v>
      </c>
      <c r="K1319" s="15"/>
      <c r="L1319" s="15" t="str">
        <f t="shared" si="41"/>
        <v>NORMAL</v>
      </c>
    </row>
    <row r="1320" spans="1:12" x14ac:dyDescent="0.25">
      <c r="A1320" s="3" t="s">
        <v>2950</v>
      </c>
      <c r="B1320" s="3" t="s">
        <v>2951</v>
      </c>
      <c r="C1320" s="1">
        <v>0</v>
      </c>
      <c r="D1320" s="1">
        <v>948</v>
      </c>
      <c r="E1320" s="1" t="s">
        <v>1057</v>
      </c>
      <c r="F1320" s="1" t="s">
        <v>5901</v>
      </c>
      <c r="G1320" s="3" t="s">
        <v>2952</v>
      </c>
      <c r="H1320" s="11">
        <f t="shared" si="40"/>
        <v>4446.2</v>
      </c>
      <c r="I1320" s="9">
        <f>($K$2+0.02)*Tabla1[[#This Row],[PRECIO $]]*1.18</f>
        <v>3859.3080000000004</v>
      </c>
      <c r="J1320" s="7">
        <f>+Tabla1[[#This Row],[PRECIO EN SOLES]]-Tabla1[[#This Row],[PC]]</f>
        <v>586.89199999999937</v>
      </c>
      <c r="K1320" s="15"/>
      <c r="L1320" s="15" t="str">
        <f t="shared" si="41"/>
        <v>NORMAL</v>
      </c>
    </row>
    <row r="1321" spans="1:12" x14ac:dyDescent="0.25">
      <c r="A1321" s="3" t="s">
        <v>2953</v>
      </c>
      <c r="B1321" s="3" t="s">
        <v>2954</v>
      </c>
      <c r="C1321" s="1">
        <v>0</v>
      </c>
      <c r="D1321" s="1">
        <v>320</v>
      </c>
      <c r="E1321" s="1" t="s">
        <v>1057</v>
      </c>
      <c r="F1321" s="1" t="s">
        <v>5902</v>
      </c>
      <c r="G1321" s="3" t="s">
        <v>2955</v>
      </c>
      <c r="H1321" s="11">
        <f t="shared" si="40"/>
        <v>1506.13</v>
      </c>
      <c r="I1321" s="9">
        <f>($K$2+0.02)*Tabla1[[#This Row],[PRECIO $]]*1.18</f>
        <v>1302.72</v>
      </c>
      <c r="J1321" s="7">
        <f>+Tabla1[[#This Row],[PRECIO EN SOLES]]-Tabla1[[#This Row],[PC]]</f>
        <v>203.41000000000008</v>
      </c>
      <c r="K1321" s="15"/>
      <c r="L1321" s="15" t="str">
        <f t="shared" si="41"/>
        <v>NORMAL</v>
      </c>
    </row>
    <row r="1322" spans="1:12" x14ac:dyDescent="0.25">
      <c r="A1322" s="3" t="s">
        <v>2956</v>
      </c>
      <c r="B1322" s="3" t="s">
        <v>2957</v>
      </c>
      <c r="C1322" s="1">
        <v>0</v>
      </c>
      <c r="D1322" s="1">
        <v>110</v>
      </c>
      <c r="E1322" s="1" t="s">
        <v>1057</v>
      </c>
      <c r="F1322" s="1" t="s">
        <v>5903</v>
      </c>
      <c r="G1322" s="3" t="s">
        <v>2958</v>
      </c>
      <c r="H1322" s="11">
        <f t="shared" si="40"/>
        <v>522.98</v>
      </c>
      <c r="I1322" s="9">
        <f>($K$2+0.02)*Tabla1[[#This Row],[PRECIO $]]*1.18</f>
        <v>447.81</v>
      </c>
      <c r="J1322" s="7">
        <f>+Tabla1[[#This Row],[PRECIO EN SOLES]]-Tabla1[[#This Row],[PC]]</f>
        <v>75.170000000000016</v>
      </c>
      <c r="K1322" s="15"/>
      <c r="L1322" s="15" t="str">
        <f t="shared" si="41"/>
        <v>NORMAL</v>
      </c>
    </row>
    <row r="1323" spans="1:12" x14ac:dyDescent="0.25">
      <c r="A1323" s="3" t="s">
        <v>2959</v>
      </c>
      <c r="B1323" s="3" t="s">
        <v>2960</v>
      </c>
      <c r="C1323" s="1">
        <v>20</v>
      </c>
      <c r="D1323" s="1">
        <v>13.03</v>
      </c>
      <c r="E1323" s="1" t="s">
        <v>2484</v>
      </c>
      <c r="F1323" s="1" t="s">
        <v>5904</v>
      </c>
      <c r="G1323" s="3" t="s">
        <v>2961</v>
      </c>
      <c r="H1323" s="11">
        <f t="shared" si="40"/>
        <v>65</v>
      </c>
      <c r="I1323" s="9">
        <f>($K$2+0.02)*Tabla1[[#This Row],[PRECIO $]]*1.18</f>
        <v>53.045129999999993</v>
      </c>
      <c r="J1323" s="7">
        <f>+Tabla1[[#This Row],[PRECIO EN SOLES]]-Tabla1[[#This Row],[PC]]</f>
        <v>11.954870000000007</v>
      </c>
      <c r="K1323" s="15"/>
      <c r="L1323" s="15" t="str">
        <f t="shared" si="41"/>
        <v>NORMAL</v>
      </c>
    </row>
    <row r="1324" spans="1:12" x14ac:dyDescent="0.25">
      <c r="A1324" s="3" t="s">
        <v>5905</v>
      </c>
      <c r="B1324" s="3" t="s">
        <v>5906</v>
      </c>
      <c r="C1324" s="1">
        <v>20</v>
      </c>
      <c r="D1324" s="1">
        <v>6.24</v>
      </c>
      <c r="E1324" s="1" t="s">
        <v>2964</v>
      </c>
      <c r="F1324" s="1" t="s">
        <v>5907</v>
      </c>
      <c r="G1324" s="3" t="s">
        <v>5908</v>
      </c>
      <c r="H1324" s="11">
        <f t="shared" si="40"/>
        <v>34.75</v>
      </c>
      <c r="I1324" s="9">
        <f>($K$2+0.02)*Tabla1[[#This Row],[PRECIO $]]*1.18</f>
        <v>25.403040000000001</v>
      </c>
      <c r="J1324" s="7">
        <f>+Tabla1[[#This Row],[PRECIO EN SOLES]]-Tabla1[[#This Row],[PC]]</f>
        <v>9.3469599999999993</v>
      </c>
      <c r="K1324" s="15"/>
      <c r="L1324" s="15" t="str">
        <f t="shared" si="41"/>
        <v>COMPLEMENTO</v>
      </c>
    </row>
    <row r="1325" spans="1:12" x14ac:dyDescent="0.25">
      <c r="A1325" s="3" t="s">
        <v>2962</v>
      </c>
      <c r="B1325" s="3" t="s">
        <v>2963</v>
      </c>
      <c r="C1325" s="1">
        <v>20</v>
      </c>
      <c r="D1325" s="1">
        <v>12.41</v>
      </c>
      <c r="E1325" s="1" t="s">
        <v>2964</v>
      </c>
      <c r="F1325" s="1" t="s">
        <v>5909</v>
      </c>
      <c r="G1325" s="3" t="s">
        <v>2965</v>
      </c>
      <c r="H1325" s="11">
        <f t="shared" si="40"/>
        <v>66.150000000000006</v>
      </c>
      <c r="I1325" s="9">
        <f>($K$2+0.02)*Tabla1[[#This Row],[PRECIO $]]*1.18</f>
        <v>50.52111</v>
      </c>
      <c r="J1325" s="7">
        <f>+Tabla1[[#This Row],[PRECIO EN SOLES]]-Tabla1[[#This Row],[PC]]</f>
        <v>15.628890000000006</v>
      </c>
      <c r="K1325" s="15"/>
      <c r="L1325" s="15" t="str">
        <f t="shared" si="41"/>
        <v>COMPLEMENTO</v>
      </c>
    </row>
    <row r="1326" spans="1:12" x14ac:dyDescent="0.25">
      <c r="A1326" s="3" t="s">
        <v>5910</v>
      </c>
      <c r="B1326" s="3" t="s">
        <v>5911</v>
      </c>
      <c r="C1326" s="1">
        <v>20</v>
      </c>
      <c r="D1326" s="1">
        <v>16.010000000000002</v>
      </c>
      <c r="E1326" s="1" t="s">
        <v>2964</v>
      </c>
      <c r="F1326" s="1" t="s">
        <v>5912</v>
      </c>
      <c r="G1326" s="3" t="s">
        <v>5913</v>
      </c>
      <c r="H1326" s="11">
        <f t="shared" si="40"/>
        <v>78.95</v>
      </c>
      <c r="I1326" s="9">
        <f>($K$2+0.02)*Tabla1[[#This Row],[PRECIO $]]*1.18</f>
        <v>65.176710000000014</v>
      </c>
      <c r="J1326" s="7">
        <f>+Tabla1[[#This Row],[PRECIO EN SOLES]]-Tabla1[[#This Row],[PC]]</f>
        <v>13.773289999999989</v>
      </c>
      <c r="K1326" s="15"/>
      <c r="L1326" s="15" t="str">
        <f t="shared" si="41"/>
        <v>NORMAL</v>
      </c>
    </row>
    <row r="1327" spans="1:12" x14ac:dyDescent="0.25">
      <c r="A1327" s="3" t="s">
        <v>2966</v>
      </c>
      <c r="B1327" s="3" t="s">
        <v>2967</v>
      </c>
      <c r="C1327" s="1">
        <v>20</v>
      </c>
      <c r="D1327" s="1">
        <v>239.8</v>
      </c>
      <c r="E1327" s="1" t="s">
        <v>2484</v>
      </c>
      <c r="F1327" s="1" t="s">
        <v>5914</v>
      </c>
      <c r="G1327" s="3" t="s">
        <v>2968</v>
      </c>
      <c r="H1327" s="11">
        <f t="shared" si="40"/>
        <v>1130.6600000000001</v>
      </c>
      <c r="I1327" s="9">
        <f>($K$2+0.02)*Tabla1[[#This Row],[PRECIO $]]*1.18</f>
        <v>976.22580000000005</v>
      </c>
      <c r="J1327" s="7">
        <f>+Tabla1[[#This Row],[PRECIO EN SOLES]]-Tabla1[[#This Row],[PC]]</f>
        <v>154.43420000000003</v>
      </c>
      <c r="K1327" s="15"/>
      <c r="L1327" s="15" t="str">
        <f t="shared" si="41"/>
        <v>NORMAL</v>
      </c>
    </row>
    <row r="1328" spans="1:12" x14ac:dyDescent="0.25">
      <c r="A1328" s="3" t="s">
        <v>5915</v>
      </c>
      <c r="B1328" s="3" t="s">
        <v>5916</v>
      </c>
      <c r="C1328" s="1">
        <v>20</v>
      </c>
      <c r="D1328" s="1">
        <v>106.21</v>
      </c>
      <c r="E1328" s="1" t="s">
        <v>2964</v>
      </c>
      <c r="F1328" s="1" t="s">
        <v>5917</v>
      </c>
      <c r="G1328" s="3" t="s">
        <v>5918</v>
      </c>
      <c r="H1328" s="11">
        <f t="shared" si="40"/>
        <v>505.24</v>
      </c>
      <c r="I1328" s="9">
        <f>($K$2+0.02)*Tabla1[[#This Row],[PRECIO $]]*1.18</f>
        <v>432.38091000000003</v>
      </c>
      <c r="J1328" s="7">
        <f>+Tabla1[[#This Row],[PRECIO EN SOLES]]-Tabla1[[#This Row],[PC]]</f>
        <v>72.859089999999981</v>
      </c>
      <c r="K1328" s="15"/>
      <c r="L1328" s="15" t="str">
        <f t="shared" si="41"/>
        <v>NORMAL</v>
      </c>
    </row>
    <row r="1329" spans="1:12" x14ac:dyDescent="0.25">
      <c r="A1329" s="3" t="s">
        <v>2969</v>
      </c>
      <c r="B1329" s="3" t="s">
        <v>2970</v>
      </c>
      <c r="C1329" s="1">
        <v>20</v>
      </c>
      <c r="D1329" s="1">
        <v>330.15</v>
      </c>
      <c r="E1329" s="1" t="s">
        <v>1054</v>
      </c>
      <c r="F1329" s="1" t="s">
        <v>5919</v>
      </c>
      <c r="G1329" s="3" t="s">
        <v>2971</v>
      </c>
      <c r="H1329" s="11">
        <f t="shared" si="40"/>
        <v>1553.65</v>
      </c>
      <c r="I1329" s="9">
        <f>($K$2+0.02)*Tabla1[[#This Row],[PRECIO $]]*1.18</f>
        <v>1344.0406499999999</v>
      </c>
      <c r="J1329" s="7">
        <f>+Tabla1[[#This Row],[PRECIO EN SOLES]]-Tabla1[[#This Row],[PC]]</f>
        <v>209.60935000000018</v>
      </c>
      <c r="K1329" s="15"/>
      <c r="L1329" s="15" t="str">
        <f t="shared" si="41"/>
        <v>NORMAL</v>
      </c>
    </row>
    <row r="1330" spans="1:12" x14ac:dyDescent="0.25">
      <c r="A1330" s="3" t="s">
        <v>2972</v>
      </c>
      <c r="B1330" s="3" t="s">
        <v>2973</v>
      </c>
      <c r="C1330" s="1">
        <v>17</v>
      </c>
      <c r="D1330" s="1">
        <v>685.78</v>
      </c>
      <c r="E1330" s="1" t="s">
        <v>1054</v>
      </c>
      <c r="F1330" s="1" t="s">
        <v>5920</v>
      </c>
      <c r="G1330" s="3"/>
      <c r="H1330" s="11">
        <f t="shared" si="40"/>
        <v>3218.58</v>
      </c>
      <c r="I1330" s="9">
        <f>($K$2+0.02)*Tabla1[[#This Row],[PRECIO $]]*1.18</f>
        <v>2791.8103799999994</v>
      </c>
      <c r="J1330" s="7">
        <f>+Tabla1[[#This Row],[PRECIO EN SOLES]]-Tabla1[[#This Row],[PC]]</f>
        <v>426.76962000000049</v>
      </c>
      <c r="K1330" s="15"/>
      <c r="L1330" s="15" t="str">
        <f t="shared" si="41"/>
        <v>NORMAL</v>
      </c>
    </row>
    <row r="1331" spans="1:12" x14ac:dyDescent="0.25">
      <c r="A1331" s="3" t="s">
        <v>5921</v>
      </c>
      <c r="B1331" s="3" t="s">
        <v>5922</v>
      </c>
      <c r="C1331" s="1">
        <v>5</v>
      </c>
      <c r="D1331" s="1">
        <v>198.33</v>
      </c>
      <c r="E1331" s="1" t="s">
        <v>2964</v>
      </c>
      <c r="F1331" s="1" t="s">
        <v>5923</v>
      </c>
      <c r="G1331" s="3"/>
      <c r="H1331" s="11">
        <f t="shared" si="40"/>
        <v>936.51</v>
      </c>
      <c r="I1331" s="9">
        <f>($K$2+0.02)*Tabla1[[#This Row],[PRECIO $]]*1.18</f>
        <v>807.40143</v>
      </c>
      <c r="J1331" s="7">
        <f>+Tabla1[[#This Row],[PRECIO EN SOLES]]-Tabla1[[#This Row],[PC]]</f>
        <v>129.10856999999999</v>
      </c>
      <c r="K1331" s="15"/>
      <c r="L1331" s="15" t="str">
        <f t="shared" si="41"/>
        <v>NORMAL</v>
      </c>
    </row>
    <row r="1332" spans="1:12" x14ac:dyDescent="0.25">
      <c r="A1332" s="3" t="s">
        <v>2974</v>
      </c>
      <c r="B1332" s="3" t="s">
        <v>2975</v>
      </c>
      <c r="C1332" s="1">
        <v>4</v>
      </c>
      <c r="D1332" s="1">
        <v>245</v>
      </c>
      <c r="E1332" s="1" t="s">
        <v>1054</v>
      </c>
      <c r="F1332" s="1" t="s">
        <v>5924</v>
      </c>
      <c r="G1332" s="3"/>
      <c r="H1332" s="11">
        <f t="shared" si="40"/>
        <v>1155</v>
      </c>
      <c r="I1332" s="9">
        <f>($K$2+0.02)*Tabla1[[#This Row],[PRECIO $]]*1.18</f>
        <v>997.39499999999998</v>
      </c>
      <c r="J1332" s="7">
        <f>+Tabla1[[#This Row],[PRECIO EN SOLES]]-Tabla1[[#This Row],[PC]]</f>
        <v>157.60500000000002</v>
      </c>
      <c r="K1332" s="15"/>
      <c r="L1332" s="15" t="str">
        <f t="shared" si="41"/>
        <v>NORMAL</v>
      </c>
    </row>
    <row r="1333" spans="1:12" x14ac:dyDescent="0.25">
      <c r="A1333" s="3" t="s">
        <v>2976</v>
      </c>
      <c r="B1333" s="3" t="s">
        <v>2977</v>
      </c>
      <c r="C1333" s="1">
        <v>20</v>
      </c>
      <c r="D1333" s="1">
        <v>61.01</v>
      </c>
      <c r="E1333" s="1" t="s">
        <v>2484</v>
      </c>
      <c r="F1333" s="1" t="s">
        <v>5925</v>
      </c>
      <c r="G1333" s="3" t="s">
        <v>2978</v>
      </c>
      <c r="H1333" s="11">
        <f t="shared" si="40"/>
        <v>293.63</v>
      </c>
      <c r="I1333" s="9">
        <f>($K$2+0.02)*Tabla1[[#This Row],[PRECIO $]]*1.18</f>
        <v>248.37170999999998</v>
      </c>
      <c r="J1333" s="7">
        <f>+Tabla1[[#This Row],[PRECIO EN SOLES]]-Tabla1[[#This Row],[PC]]</f>
        <v>45.258290000000017</v>
      </c>
      <c r="K1333" s="15"/>
      <c r="L1333" s="15" t="str">
        <f t="shared" si="41"/>
        <v>NORMAL</v>
      </c>
    </row>
    <row r="1334" spans="1:12" x14ac:dyDescent="0.25">
      <c r="A1334" s="3" t="s">
        <v>2979</v>
      </c>
      <c r="B1334" s="3" t="s">
        <v>2980</v>
      </c>
      <c r="C1334" s="1">
        <v>20</v>
      </c>
      <c r="D1334" s="1">
        <v>99.32</v>
      </c>
      <c r="E1334" s="1" t="s">
        <v>2484</v>
      </c>
      <c r="F1334" s="1" t="s">
        <v>5926</v>
      </c>
      <c r="G1334" s="3" t="s">
        <v>2981</v>
      </c>
      <c r="H1334" s="11">
        <f t="shared" si="40"/>
        <v>472.98</v>
      </c>
      <c r="I1334" s="9">
        <f>($K$2+0.02)*Tabla1[[#This Row],[PRECIO $]]*1.18</f>
        <v>404.33171999999996</v>
      </c>
      <c r="J1334" s="7">
        <f>+Tabla1[[#This Row],[PRECIO EN SOLES]]-Tabla1[[#This Row],[PC]]</f>
        <v>68.648280000000057</v>
      </c>
      <c r="K1334" s="15"/>
      <c r="L1334" s="15" t="str">
        <f t="shared" si="41"/>
        <v>NORMAL</v>
      </c>
    </row>
    <row r="1335" spans="1:12" x14ac:dyDescent="0.25">
      <c r="A1335" s="3" t="s">
        <v>2982</v>
      </c>
      <c r="B1335" s="3" t="s">
        <v>2983</v>
      </c>
      <c r="C1335" s="1">
        <v>20</v>
      </c>
      <c r="D1335" s="1">
        <v>109.26</v>
      </c>
      <c r="E1335" s="1" t="s">
        <v>2484</v>
      </c>
      <c r="F1335" s="1" t="s">
        <v>5927</v>
      </c>
      <c r="G1335" s="3" t="s">
        <v>2984</v>
      </c>
      <c r="H1335" s="11">
        <f t="shared" si="40"/>
        <v>519.52</v>
      </c>
      <c r="I1335" s="9">
        <f>($K$2+0.02)*Tabla1[[#This Row],[PRECIO $]]*1.18</f>
        <v>444.79746000000006</v>
      </c>
      <c r="J1335" s="7">
        <f>+Tabla1[[#This Row],[PRECIO EN SOLES]]-Tabla1[[#This Row],[PC]]</f>
        <v>74.722539999999924</v>
      </c>
      <c r="K1335" s="15"/>
      <c r="L1335" s="15" t="str">
        <f t="shared" si="41"/>
        <v>NORMAL</v>
      </c>
    </row>
    <row r="1336" spans="1:12" x14ac:dyDescent="0.25">
      <c r="A1336" s="3" t="s">
        <v>2985</v>
      </c>
      <c r="B1336" s="3" t="s">
        <v>2986</v>
      </c>
      <c r="C1336" s="1">
        <v>20</v>
      </c>
      <c r="D1336" s="1">
        <v>69.53</v>
      </c>
      <c r="E1336" s="1" t="s">
        <v>2484</v>
      </c>
      <c r="F1336" s="1" t="s">
        <v>5928</v>
      </c>
      <c r="G1336" s="3" t="s">
        <v>2987</v>
      </c>
      <c r="H1336" s="11">
        <f t="shared" si="40"/>
        <v>333.52</v>
      </c>
      <c r="I1336" s="9">
        <f>($K$2+0.02)*Tabla1[[#This Row],[PRECIO $]]*1.18</f>
        <v>283.05662999999998</v>
      </c>
      <c r="J1336" s="7">
        <f>+Tabla1[[#This Row],[PRECIO EN SOLES]]-Tabla1[[#This Row],[PC]]</f>
        <v>50.463369999999998</v>
      </c>
      <c r="K1336" s="15"/>
      <c r="L1336" s="15" t="str">
        <f t="shared" si="41"/>
        <v>NORMAL</v>
      </c>
    </row>
    <row r="1337" spans="1:12" x14ac:dyDescent="0.25">
      <c r="A1337" s="3" t="s">
        <v>2988</v>
      </c>
      <c r="B1337" s="3" t="s">
        <v>2989</v>
      </c>
      <c r="C1337" s="1">
        <v>20</v>
      </c>
      <c r="D1337" s="1">
        <v>106.42</v>
      </c>
      <c r="E1337" s="1" t="s">
        <v>2484</v>
      </c>
      <c r="F1337" s="1" t="s">
        <v>5929</v>
      </c>
      <c r="G1337" s="3" t="s">
        <v>2990</v>
      </c>
      <c r="H1337" s="11">
        <f t="shared" si="40"/>
        <v>506.22</v>
      </c>
      <c r="I1337" s="9">
        <f>($K$2+0.02)*Tabla1[[#This Row],[PRECIO $]]*1.18</f>
        <v>433.23581999999999</v>
      </c>
      <c r="J1337" s="7">
        <f>+Tabla1[[#This Row],[PRECIO EN SOLES]]-Tabla1[[#This Row],[PC]]</f>
        <v>72.984180000000038</v>
      </c>
      <c r="K1337" s="15"/>
      <c r="L1337" s="15" t="str">
        <f t="shared" si="41"/>
        <v>NORMAL</v>
      </c>
    </row>
    <row r="1338" spans="1:12" x14ac:dyDescent="0.25">
      <c r="A1338" s="3" t="s">
        <v>2991</v>
      </c>
      <c r="B1338" s="3" t="s">
        <v>2992</v>
      </c>
      <c r="C1338" s="1">
        <v>19</v>
      </c>
      <c r="D1338" s="1">
        <v>293.72000000000003</v>
      </c>
      <c r="E1338" s="1" t="s">
        <v>2484</v>
      </c>
      <c r="F1338" s="1" t="s">
        <v>5930</v>
      </c>
      <c r="G1338" s="3" t="s">
        <v>2993</v>
      </c>
      <c r="H1338" s="11">
        <f t="shared" si="40"/>
        <v>1383.09</v>
      </c>
      <c r="I1338" s="9">
        <f>($K$2+0.02)*Tabla1[[#This Row],[PRECIO $]]*1.18</f>
        <v>1195.7341200000001</v>
      </c>
      <c r="J1338" s="7">
        <f>+Tabla1[[#This Row],[PRECIO EN SOLES]]-Tabla1[[#This Row],[PC]]</f>
        <v>187.35587999999984</v>
      </c>
      <c r="K1338" s="15"/>
      <c r="L1338" s="15" t="str">
        <f t="shared" si="41"/>
        <v>NORMAL</v>
      </c>
    </row>
    <row r="1339" spans="1:12" x14ac:dyDescent="0.25">
      <c r="A1339" s="3" t="s">
        <v>2999</v>
      </c>
      <c r="B1339" s="3" t="s">
        <v>3000</v>
      </c>
      <c r="C1339" s="1">
        <v>2</v>
      </c>
      <c r="D1339" s="1">
        <v>5148.74</v>
      </c>
      <c r="E1339" s="1" t="s">
        <v>1054</v>
      </c>
      <c r="F1339" s="1" t="s">
        <v>5933</v>
      </c>
      <c r="G1339" s="3"/>
      <c r="H1339" s="11">
        <f t="shared" si="40"/>
        <v>24112.6</v>
      </c>
      <c r="I1339" s="9">
        <f>($K$2+0.02)*Tabla1[[#This Row],[PRECIO $]]*1.18</f>
        <v>20960.520539999998</v>
      </c>
      <c r="J1339" s="7">
        <f>+Tabla1[[#This Row],[PRECIO EN SOLES]]-Tabla1[[#This Row],[PC]]</f>
        <v>3152.0794600000008</v>
      </c>
      <c r="K1339" s="15"/>
      <c r="L1339" s="15" t="str">
        <f t="shared" si="41"/>
        <v>NORMAL</v>
      </c>
    </row>
    <row r="1340" spans="1:12" x14ac:dyDescent="0.25">
      <c r="A1340" s="3" t="s">
        <v>3001</v>
      </c>
      <c r="B1340" s="3" t="s">
        <v>3002</v>
      </c>
      <c r="C1340" s="1">
        <v>1</v>
      </c>
      <c r="D1340" s="1">
        <v>2135.4299999999998</v>
      </c>
      <c r="E1340" s="1" t="s">
        <v>1054</v>
      </c>
      <c r="F1340" s="1" t="s">
        <v>5934</v>
      </c>
      <c r="G1340" s="3"/>
      <c r="H1340" s="11">
        <f t="shared" si="40"/>
        <v>10005.34</v>
      </c>
      <c r="I1340" s="9">
        <f>($K$2+0.02)*Tabla1[[#This Row],[PRECIO $]]*1.18</f>
        <v>8693.3355299999985</v>
      </c>
      <c r="J1340" s="7">
        <f>+Tabla1[[#This Row],[PRECIO EN SOLES]]-Tabla1[[#This Row],[PC]]</f>
        <v>1312.0044700000017</v>
      </c>
      <c r="K1340" s="15"/>
      <c r="L1340" s="15" t="str">
        <f t="shared" si="41"/>
        <v>NORMAL</v>
      </c>
    </row>
    <row r="1341" spans="1:12" x14ac:dyDescent="0.25">
      <c r="A1341" s="3" t="s">
        <v>3087</v>
      </c>
      <c r="B1341" s="3" t="s">
        <v>3088</v>
      </c>
      <c r="C1341" s="1">
        <v>20</v>
      </c>
      <c r="D1341" s="1">
        <v>11.49</v>
      </c>
      <c r="E1341" s="1" t="s">
        <v>2964</v>
      </c>
      <c r="F1341" s="1" t="s">
        <v>5985</v>
      </c>
      <c r="G1341" s="3" t="s">
        <v>3089</v>
      </c>
      <c r="H1341" s="11">
        <f t="shared" si="40"/>
        <v>57.79</v>
      </c>
      <c r="I1341" s="9">
        <f>($K$2+0.02)*Tabla1[[#This Row],[PRECIO $]]*1.18</f>
        <v>46.775790000000001</v>
      </c>
      <c r="J1341" s="7">
        <f>+Tabla1[[#This Row],[PRECIO EN SOLES]]-Tabla1[[#This Row],[PC]]</f>
        <v>11.014209999999999</v>
      </c>
      <c r="K1341" s="15"/>
      <c r="L1341" s="15" t="str">
        <f t="shared" si="41"/>
        <v>NORMAL</v>
      </c>
    </row>
    <row r="1342" spans="1:12" x14ac:dyDescent="0.25">
      <c r="A1342" s="3" t="s">
        <v>3003</v>
      </c>
      <c r="B1342" s="3" t="s">
        <v>3004</v>
      </c>
      <c r="C1342" s="1">
        <v>19</v>
      </c>
      <c r="D1342" s="1">
        <v>27.24</v>
      </c>
      <c r="E1342" s="1" t="s">
        <v>2964</v>
      </c>
      <c r="F1342" s="1" t="s">
        <v>5935</v>
      </c>
      <c r="G1342" s="3"/>
      <c r="H1342" s="11">
        <f t="shared" si="40"/>
        <v>133.53</v>
      </c>
      <c r="I1342" s="9">
        <f>($K$2+0.02)*Tabla1[[#This Row],[PRECIO $]]*1.18</f>
        <v>110.89403999999999</v>
      </c>
      <c r="J1342" s="7">
        <f>+Tabla1[[#This Row],[PRECIO EN SOLES]]-Tabla1[[#This Row],[PC]]</f>
        <v>22.635960000000011</v>
      </c>
      <c r="K1342" s="15"/>
      <c r="L1342" s="15" t="str">
        <f t="shared" si="41"/>
        <v>NORMAL</v>
      </c>
    </row>
    <row r="1343" spans="1:12" x14ac:dyDescent="0.25">
      <c r="A1343" s="3" t="s">
        <v>3005</v>
      </c>
      <c r="B1343" s="3" t="s">
        <v>3006</v>
      </c>
      <c r="C1343" s="1">
        <v>20</v>
      </c>
      <c r="D1343" s="1">
        <v>51.24</v>
      </c>
      <c r="E1343" s="1" t="s">
        <v>2964</v>
      </c>
      <c r="F1343" s="1" t="s">
        <v>5936</v>
      </c>
      <c r="G1343" s="3" t="s">
        <v>3007</v>
      </c>
      <c r="H1343" s="11">
        <f t="shared" si="40"/>
        <v>247.89</v>
      </c>
      <c r="I1343" s="9">
        <f>($K$2+0.02)*Tabla1[[#This Row],[PRECIO $]]*1.18</f>
        <v>208.59804000000003</v>
      </c>
      <c r="J1343" s="7">
        <f>+Tabla1[[#This Row],[PRECIO EN SOLES]]-Tabla1[[#This Row],[PC]]</f>
        <v>39.29195999999996</v>
      </c>
      <c r="K1343" s="15"/>
      <c r="L1343" s="15" t="str">
        <f t="shared" si="41"/>
        <v>NORMAL</v>
      </c>
    </row>
    <row r="1344" spans="1:12" x14ac:dyDescent="0.25">
      <c r="A1344" s="3" t="s">
        <v>3008</v>
      </c>
      <c r="B1344" s="3" t="s">
        <v>3009</v>
      </c>
      <c r="C1344" s="1">
        <v>20</v>
      </c>
      <c r="D1344" s="1">
        <v>63.79</v>
      </c>
      <c r="E1344" s="1" t="s">
        <v>2964</v>
      </c>
      <c r="F1344" s="1" t="s">
        <v>5937</v>
      </c>
      <c r="G1344" s="3" t="s">
        <v>3010</v>
      </c>
      <c r="H1344" s="11">
        <f t="shared" si="40"/>
        <v>306.64</v>
      </c>
      <c r="I1344" s="9">
        <f>($K$2+0.02)*Tabla1[[#This Row],[PRECIO $]]*1.18</f>
        <v>259.68908999999996</v>
      </c>
      <c r="J1344" s="7">
        <f>+Tabla1[[#This Row],[PRECIO EN SOLES]]-Tabla1[[#This Row],[PC]]</f>
        <v>46.950910000000022</v>
      </c>
      <c r="K1344" s="15"/>
      <c r="L1344" s="15" t="str">
        <f t="shared" si="41"/>
        <v>NORMAL</v>
      </c>
    </row>
    <row r="1345" spans="1:12" x14ac:dyDescent="0.25">
      <c r="A1345" s="3" t="s">
        <v>3011</v>
      </c>
      <c r="B1345" s="3" t="s">
        <v>3012</v>
      </c>
      <c r="C1345" s="1">
        <v>20</v>
      </c>
      <c r="D1345" s="1">
        <v>35.229999999999997</v>
      </c>
      <c r="E1345" s="1" t="s">
        <v>2964</v>
      </c>
      <c r="F1345" s="1" t="s">
        <v>5938</v>
      </c>
      <c r="G1345" s="3" t="s">
        <v>3010</v>
      </c>
      <c r="H1345" s="11">
        <f t="shared" si="40"/>
        <v>170.93</v>
      </c>
      <c r="I1345" s="9">
        <f>($K$2+0.02)*Tabla1[[#This Row],[PRECIO $]]*1.18</f>
        <v>143.42132999999998</v>
      </c>
      <c r="J1345" s="7">
        <f>+Tabla1[[#This Row],[PRECIO EN SOLES]]-Tabla1[[#This Row],[PC]]</f>
        <v>27.508670000000023</v>
      </c>
      <c r="K1345" s="15"/>
      <c r="L1345" s="15" t="str">
        <f t="shared" si="41"/>
        <v>NORMAL</v>
      </c>
    </row>
    <row r="1346" spans="1:12" x14ac:dyDescent="0.25">
      <c r="A1346" s="3" t="s">
        <v>3013</v>
      </c>
      <c r="B1346" s="3" t="s">
        <v>3014</v>
      </c>
      <c r="C1346" s="1">
        <v>20</v>
      </c>
      <c r="D1346" s="1">
        <v>93.44</v>
      </c>
      <c r="E1346" s="1" t="s">
        <v>2964</v>
      </c>
      <c r="F1346" s="1" t="s">
        <v>5939</v>
      </c>
      <c r="G1346" s="3" t="s">
        <v>3010</v>
      </c>
      <c r="H1346" s="11">
        <f t="shared" ref="H1346:H1409" si="42">ROUND(
IF(L1346="GANCHO",
   IF(I1346&lt;=50,I1346*1.1+4,IF(I1346&lt;=120,I1346*1.1+7,IF(I1346&lt;=250,I1346*1.1+11,I1346*1.1+19))),
IF(L1346="NORMAL",
   IF(I1346&lt;=30,I1346*1.15+2,IF(I1346&lt;=80,I1346*1.15+4,IF(I1346&lt;=150,I1346*1.15+6,I1346*1.15+8))),
IF(L1346="COMPLEMENTO",
   IF(I1346&lt;=25,I1346*1.25+1.5,IF(I1346&lt;=60,I1346*1.25+3,IF(I1346&lt;=120,I1346*1.25+4,I1346*1.25+5))),
""))),2)</f>
        <v>445.45</v>
      </c>
      <c r="I1346" s="9">
        <f>($K$2+0.02)*Tabla1[[#This Row],[PRECIO $]]*1.18</f>
        <v>380.39423999999997</v>
      </c>
      <c r="J1346" s="7">
        <f>+Tabla1[[#This Row],[PRECIO EN SOLES]]-Tabla1[[#This Row],[PC]]</f>
        <v>65.055760000000021</v>
      </c>
      <c r="K1346" s="15"/>
      <c r="L1346" s="15" t="str">
        <f t="shared" si="41"/>
        <v>NORMAL</v>
      </c>
    </row>
    <row r="1347" spans="1:12" x14ac:dyDescent="0.25">
      <c r="A1347" s="3" t="s">
        <v>3015</v>
      </c>
      <c r="B1347" s="3" t="s">
        <v>3016</v>
      </c>
      <c r="C1347" s="1">
        <v>20</v>
      </c>
      <c r="D1347" s="1">
        <v>47.04</v>
      </c>
      <c r="E1347" s="1" t="s">
        <v>2964</v>
      </c>
      <c r="F1347" s="1" t="s">
        <v>5940</v>
      </c>
      <c r="G1347" s="3" t="s">
        <v>3017</v>
      </c>
      <c r="H1347" s="11">
        <f t="shared" si="42"/>
        <v>228.22</v>
      </c>
      <c r="I1347" s="9">
        <f>($K$2+0.02)*Tabla1[[#This Row],[PRECIO $]]*1.18</f>
        <v>191.49984000000001</v>
      </c>
      <c r="J1347" s="7">
        <f>+Tabla1[[#This Row],[PRECIO EN SOLES]]-Tabla1[[#This Row],[PC]]</f>
        <v>36.720159999999993</v>
      </c>
      <c r="K1347" s="15"/>
      <c r="L1347" s="15" t="str">
        <f t="shared" ref="L1347:L1410" si="43">IF(
OR(
ISNUMBER(SEARCH("BACKPACK",B1347)),
ISNUMBER(SEARCH("MOCHILA",B1347)),
ISNUMBER(SEARCH("FUNDA",B1347)),
ISNUMBER(SEARCH("ESTUCHE",B1347)),
ISNUMBER(SEARCH("BOOK COVER",B1347)),
ISNUMBER(SEARCH("KEYBOARD PARA TABLET",B1347)),
ISNUMBER(SEARCH("FLIP TABLET",B1347)),
ISNUMBER(SEARCH("CASE FOR TABLET",B1347)),
ISNUMBER(SEARCH("CABLE",B1347)),
ISNUMBER(SEARCH("ADAPTADOR",B1347)),
ISNUMBER(SEARCH("HUB",B1347)),
ISNUMBER(SEARCH("DOCK",B1347)),
ISNUMBER(SEARCH("MOUSE PAD",B1347)),
ISNUMBER(SEARCH("MOUSEPAD",B1347)),
ISNUMBER(SEARCH("SOPORTE",B1347)),
ISNUMBER(SEARCH("STAND",B1347)),
ISNUMBER(SEARCH("TRAVEL ADAPTER",B1347)),
ISNUMBER(SEARCH("RJ45",B1347)),
ISNUMBER(SEARCH("USB-C",B1347)),
ISNUMBER(SEARCH("USB WIFI",B1347)),
ISNUMBER(SEARCH("POWERBANK",B1347)),
ISNUMBER(SEARCH("CARGADOR",B1347)),
ISNUMBER(SEARCH("COOLER PARA NB",B1347)),
ISNUMBER(SEARCH("SOPORTE PARA NB",B1347)),
ISNUMBER(SEARCH("WEBCAM",B1347)),
ISNUMBER(SEARCH("WEB CAM",B1347)),
ISNUMBER(SEARCH("MOUSE",B1347)),
ISNUMBER(SEARCH("TECLADO",B1347))
),
"COMPLEMENTO",
IF(
OR(
LEFT(A1347,2)="NB",
LEFT(A1347,2)="PC",
LEFT(A1347,2)="WS",
LEFT(A1347,2)="TB",
LEFT(A1347,3)="CEL",
LEFT(A1347,3)="MON",
LEFT(A1347,3)="PRE",
LEFT(A1347,3)="PRH",
ISNUMBER(SEARCH("NOTEBOOK",B1347)),
ISNUMBER(SEARCH("LAPTOP",B1347)),
ISNUMBER(SEARCH("MONITOR",B1347)),
ISNUMBER(SEARCH("TABLET",B1347)),
ISNUMBER(SEARCH("SMARTPH",B1347)),
ISNUMBER(SEARCH("IMPRESORA",B1347)),
ISNUMBER(SEARCH("MULTIFUNCIONAL",B1347)),
ISNUMBER(SEARCH("AIO",B1347))
),
"GANCHO",
"NORMAL"
)
)</f>
        <v>NORMAL</v>
      </c>
    </row>
    <row r="1348" spans="1:12" x14ac:dyDescent="0.25">
      <c r="A1348" s="3" t="s">
        <v>2996</v>
      </c>
      <c r="B1348" s="3" t="s">
        <v>2997</v>
      </c>
      <c r="C1348" s="1">
        <v>2</v>
      </c>
      <c r="D1348" s="1">
        <v>39.15</v>
      </c>
      <c r="E1348" s="1" t="s">
        <v>2964</v>
      </c>
      <c r="F1348" s="1" t="s">
        <v>5932</v>
      </c>
      <c r="G1348" s="3" t="s">
        <v>2998</v>
      </c>
      <c r="H1348" s="11">
        <f t="shared" si="42"/>
        <v>191.29</v>
      </c>
      <c r="I1348" s="9">
        <f>($K$2+0.02)*Tabla1[[#This Row],[PRECIO $]]*1.18</f>
        <v>159.37965</v>
      </c>
      <c r="J1348" s="7">
        <f>+Tabla1[[#This Row],[PRECIO EN SOLES]]-Tabla1[[#This Row],[PC]]</f>
        <v>31.910349999999994</v>
      </c>
      <c r="K1348" s="15"/>
      <c r="L1348" s="15" t="str">
        <f t="shared" si="43"/>
        <v>NORMAL</v>
      </c>
    </row>
    <row r="1349" spans="1:12" x14ac:dyDescent="0.25">
      <c r="A1349" s="3" t="s">
        <v>5941</v>
      </c>
      <c r="B1349" s="3" t="s">
        <v>5942</v>
      </c>
      <c r="C1349" s="1">
        <v>20</v>
      </c>
      <c r="D1349" s="1">
        <v>44.47</v>
      </c>
      <c r="E1349" s="1" t="s">
        <v>2964</v>
      </c>
      <c r="F1349" s="1" t="s">
        <v>5943</v>
      </c>
      <c r="G1349" s="3" t="s">
        <v>5944</v>
      </c>
      <c r="H1349" s="11">
        <f t="shared" si="42"/>
        <v>216.19</v>
      </c>
      <c r="I1349" s="9">
        <f>($K$2+0.02)*Tabla1[[#This Row],[PRECIO $]]*1.18</f>
        <v>181.03737000000001</v>
      </c>
      <c r="J1349" s="7">
        <f>+Tabla1[[#This Row],[PRECIO EN SOLES]]-Tabla1[[#This Row],[PC]]</f>
        <v>35.152629999999988</v>
      </c>
      <c r="K1349" s="15"/>
      <c r="L1349" s="15" t="str">
        <f t="shared" si="43"/>
        <v>NORMAL</v>
      </c>
    </row>
    <row r="1350" spans="1:12" x14ac:dyDescent="0.25">
      <c r="A1350" s="3" t="s">
        <v>5945</v>
      </c>
      <c r="B1350" s="3" t="s">
        <v>5946</v>
      </c>
      <c r="C1350" s="1">
        <v>20</v>
      </c>
      <c r="D1350" s="1">
        <v>85.93</v>
      </c>
      <c r="E1350" s="1" t="s">
        <v>2964</v>
      </c>
      <c r="F1350" s="1" t="s">
        <v>5947</v>
      </c>
      <c r="G1350" s="3" t="s">
        <v>5948</v>
      </c>
      <c r="H1350" s="11">
        <f t="shared" si="42"/>
        <v>410.29</v>
      </c>
      <c r="I1350" s="9">
        <f>($K$2+0.02)*Tabla1[[#This Row],[PRECIO $]]*1.18</f>
        <v>349.82103000000001</v>
      </c>
      <c r="J1350" s="7">
        <f>+Tabla1[[#This Row],[PRECIO EN SOLES]]-Tabla1[[#This Row],[PC]]</f>
        <v>60.468970000000013</v>
      </c>
      <c r="K1350" s="15"/>
      <c r="L1350" s="15" t="str">
        <f t="shared" si="43"/>
        <v>NORMAL</v>
      </c>
    </row>
    <row r="1351" spans="1:12" x14ac:dyDescent="0.25">
      <c r="A1351" s="3" t="s">
        <v>3018</v>
      </c>
      <c r="B1351" s="3" t="s">
        <v>3019</v>
      </c>
      <c r="C1351" s="1">
        <v>20</v>
      </c>
      <c r="D1351" s="1">
        <v>26.15</v>
      </c>
      <c r="E1351" s="1" t="s">
        <v>2964</v>
      </c>
      <c r="F1351" s="1" t="s">
        <v>5949</v>
      </c>
      <c r="G1351" s="3" t="s">
        <v>3020</v>
      </c>
      <c r="H1351" s="11">
        <f t="shared" si="42"/>
        <v>128.43</v>
      </c>
      <c r="I1351" s="9">
        <f>($K$2+0.02)*Tabla1[[#This Row],[PRECIO $]]*1.18</f>
        <v>106.45665</v>
      </c>
      <c r="J1351" s="7">
        <f>+Tabla1[[#This Row],[PRECIO EN SOLES]]-Tabla1[[#This Row],[PC]]</f>
        <v>21.973350000000011</v>
      </c>
      <c r="K1351" s="15"/>
      <c r="L1351" s="15" t="str">
        <f t="shared" si="43"/>
        <v>NORMAL</v>
      </c>
    </row>
    <row r="1352" spans="1:12" x14ac:dyDescent="0.25">
      <c r="A1352" s="3" t="s">
        <v>3021</v>
      </c>
      <c r="B1352" s="3" t="s">
        <v>3022</v>
      </c>
      <c r="C1352" s="1">
        <v>20</v>
      </c>
      <c r="D1352" s="1">
        <v>32.6</v>
      </c>
      <c r="E1352" s="1" t="s">
        <v>2964</v>
      </c>
      <c r="F1352" s="1" t="s">
        <v>5950</v>
      </c>
      <c r="G1352" s="3" t="s">
        <v>3023</v>
      </c>
      <c r="H1352" s="11">
        <f t="shared" si="42"/>
        <v>158.62</v>
      </c>
      <c r="I1352" s="9">
        <f>($K$2+0.02)*Tabla1[[#This Row],[PRECIO $]]*1.18</f>
        <v>132.71460000000002</v>
      </c>
      <c r="J1352" s="7">
        <f>+Tabla1[[#This Row],[PRECIO EN SOLES]]-Tabla1[[#This Row],[PC]]</f>
        <v>25.905399999999986</v>
      </c>
      <c r="K1352" s="15"/>
      <c r="L1352" s="15" t="str">
        <f t="shared" si="43"/>
        <v>NORMAL</v>
      </c>
    </row>
    <row r="1353" spans="1:12" x14ac:dyDescent="0.25">
      <c r="A1353" s="3" t="s">
        <v>3024</v>
      </c>
      <c r="B1353" s="3" t="s">
        <v>3025</v>
      </c>
      <c r="C1353" s="1">
        <v>20</v>
      </c>
      <c r="D1353" s="1">
        <v>41.34</v>
      </c>
      <c r="E1353" s="1" t="s">
        <v>2964</v>
      </c>
      <c r="F1353" s="1" t="s">
        <v>5951</v>
      </c>
      <c r="G1353" s="3" t="s">
        <v>3026</v>
      </c>
      <c r="H1353" s="11">
        <f t="shared" si="42"/>
        <v>201.54</v>
      </c>
      <c r="I1353" s="9">
        <f>($K$2+0.02)*Tabla1[[#This Row],[PRECIO $]]*1.18</f>
        <v>168.29514</v>
      </c>
      <c r="J1353" s="7">
        <f>+Tabla1[[#This Row],[PRECIO EN SOLES]]-Tabla1[[#This Row],[PC]]</f>
        <v>33.244859999999989</v>
      </c>
      <c r="K1353" s="15"/>
      <c r="L1353" s="15" t="str">
        <f t="shared" si="43"/>
        <v>NORMAL</v>
      </c>
    </row>
    <row r="1354" spans="1:12" x14ac:dyDescent="0.25">
      <c r="A1354" s="3" t="s">
        <v>3027</v>
      </c>
      <c r="B1354" s="3" t="s">
        <v>3028</v>
      </c>
      <c r="C1354" s="1">
        <v>20</v>
      </c>
      <c r="D1354" s="1">
        <v>32.270000000000003</v>
      </c>
      <c r="E1354" s="1" t="s">
        <v>2964</v>
      </c>
      <c r="F1354" s="1" t="s">
        <v>5952</v>
      </c>
      <c r="G1354" s="3" t="s">
        <v>3029</v>
      </c>
      <c r="H1354" s="11">
        <f t="shared" si="42"/>
        <v>157.08000000000001</v>
      </c>
      <c r="I1354" s="9">
        <f>($K$2+0.02)*Tabla1[[#This Row],[PRECIO $]]*1.18</f>
        <v>131.37117000000001</v>
      </c>
      <c r="J1354" s="7">
        <f>+Tabla1[[#This Row],[PRECIO EN SOLES]]-Tabla1[[#This Row],[PC]]</f>
        <v>25.708830000000006</v>
      </c>
      <c r="K1354" s="15"/>
      <c r="L1354" s="15" t="str">
        <f t="shared" si="43"/>
        <v>NORMAL</v>
      </c>
    </row>
    <row r="1355" spans="1:12" x14ac:dyDescent="0.25">
      <c r="A1355" s="3" t="s">
        <v>5953</v>
      </c>
      <c r="B1355" s="3" t="s">
        <v>5954</v>
      </c>
      <c r="C1355" s="1">
        <v>20</v>
      </c>
      <c r="D1355" s="1">
        <v>39.909999999999997</v>
      </c>
      <c r="E1355" s="1" t="s">
        <v>2964</v>
      </c>
      <c r="F1355" s="1" t="s">
        <v>5955</v>
      </c>
      <c r="G1355" s="3"/>
      <c r="H1355" s="11">
        <f t="shared" si="42"/>
        <v>194.84</v>
      </c>
      <c r="I1355" s="9">
        <f>($K$2+0.02)*Tabla1[[#This Row],[PRECIO $]]*1.18</f>
        <v>162.47360999999998</v>
      </c>
      <c r="J1355" s="7">
        <f>+Tabla1[[#This Row],[PRECIO EN SOLES]]-Tabla1[[#This Row],[PC]]</f>
        <v>32.366390000000024</v>
      </c>
      <c r="K1355" s="15"/>
      <c r="L1355" s="15" t="str">
        <f t="shared" si="43"/>
        <v>NORMAL</v>
      </c>
    </row>
    <row r="1356" spans="1:12" x14ac:dyDescent="0.25">
      <c r="A1356" s="3" t="s">
        <v>5956</v>
      </c>
      <c r="B1356" s="3" t="s">
        <v>5957</v>
      </c>
      <c r="C1356" s="1">
        <v>20</v>
      </c>
      <c r="D1356" s="1">
        <v>47.9</v>
      </c>
      <c r="E1356" s="1" t="s">
        <v>2964</v>
      </c>
      <c r="F1356" s="1" t="s">
        <v>5958</v>
      </c>
      <c r="G1356" s="3" t="s">
        <v>5959</v>
      </c>
      <c r="H1356" s="11">
        <f t="shared" si="42"/>
        <v>232.25</v>
      </c>
      <c r="I1356" s="9">
        <f>($K$2+0.02)*Tabla1[[#This Row],[PRECIO $]]*1.18</f>
        <v>195.00089999999997</v>
      </c>
      <c r="J1356" s="7">
        <f>+Tabla1[[#This Row],[PRECIO EN SOLES]]-Tabla1[[#This Row],[PC]]</f>
        <v>37.249100000000027</v>
      </c>
      <c r="K1356" s="15"/>
      <c r="L1356" s="15" t="str">
        <f t="shared" si="43"/>
        <v>NORMAL</v>
      </c>
    </row>
    <row r="1357" spans="1:12" x14ac:dyDescent="0.25">
      <c r="A1357" s="3" t="s">
        <v>3030</v>
      </c>
      <c r="B1357" s="3" t="s">
        <v>3031</v>
      </c>
      <c r="C1357" s="1">
        <v>10</v>
      </c>
      <c r="D1357" s="1">
        <v>185.77</v>
      </c>
      <c r="E1357" s="1" t="s">
        <v>2964</v>
      </c>
      <c r="F1357" s="1" t="s">
        <v>5960</v>
      </c>
      <c r="G1357" s="3" t="s">
        <v>3032</v>
      </c>
      <c r="H1357" s="11">
        <f t="shared" si="42"/>
        <v>877.71</v>
      </c>
      <c r="I1357" s="9">
        <f>($K$2+0.02)*Tabla1[[#This Row],[PRECIO $]]*1.18</f>
        <v>756.26967000000002</v>
      </c>
      <c r="J1357" s="7">
        <f>+Tabla1[[#This Row],[PRECIO EN SOLES]]-Tabla1[[#This Row],[PC]]</f>
        <v>121.44033000000002</v>
      </c>
      <c r="K1357" s="15"/>
      <c r="L1357" s="15" t="str">
        <f t="shared" si="43"/>
        <v>NORMAL</v>
      </c>
    </row>
    <row r="1358" spans="1:12" x14ac:dyDescent="0.25">
      <c r="A1358" s="3" t="s">
        <v>3033</v>
      </c>
      <c r="B1358" s="3" t="s">
        <v>3034</v>
      </c>
      <c r="C1358" s="1">
        <v>20</v>
      </c>
      <c r="D1358" s="1">
        <v>10.77</v>
      </c>
      <c r="E1358" s="1" t="s">
        <v>2964</v>
      </c>
      <c r="F1358" s="1" t="s">
        <v>5961</v>
      </c>
      <c r="G1358" s="3" t="s">
        <v>3035</v>
      </c>
      <c r="H1358" s="11">
        <f t="shared" si="42"/>
        <v>54.42</v>
      </c>
      <c r="I1358" s="9">
        <f>($K$2+0.02)*Tabla1[[#This Row],[PRECIO $]]*1.18</f>
        <v>43.844670000000001</v>
      </c>
      <c r="J1358" s="7">
        <f>+Tabla1[[#This Row],[PRECIO EN SOLES]]-Tabla1[[#This Row],[PC]]</f>
        <v>10.575330000000001</v>
      </c>
      <c r="K1358" s="15"/>
      <c r="L1358" s="15" t="str">
        <f t="shared" si="43"/>
        <v>NORMAL</v>
      </c>
    </row>
    <row r="1359" spans="1:12" x14ac:dyDescent="0.25">
      <c r="A1359" s="3" t="s">
        <v>3036</v>
      </c>
      <c r="B1359" s="3" t="s">
        <v>3037</v>
      </c>
      <c r="C1359" s="1">
        <v>1</v>
      </c>
      <c r="D1359" s="1">
        <v>100</v>
      </c>
      <c r="E1359" s="1" t="s">
        <v>126</v>
      </c>
      <c r="F1359" s="1" t="s">
        <v>5962</v>
      </c>
      <c r="G1359" s="3"/>
      <c r="H1359" s="11">
        <f t="shared" si="42"/>
        <v>476.17</v>
      </c>
      <c r="I1359" s="9">
        <f>($K$2+0.02)*Tabla1[[#This Row],[PRECIO $]]*1.18</f>
        <v>407.09999999999997</v>
      </c>
      <c r="J1359" s="7">
        <f>+Tabla1[[#This Row],[PRECIO EN SOLES]]-Tabla1[[#This Row],[PC]]</f>
        <v>69.07000000000005</v>
      </c>
      <c r="K1359" s="15"/>
      <c r="L1359" s="15" t="str">
        <f t="shared" si="43"/>
        <v>NORMAL</v>
      </c>
    </row>
    <row r="1360" spans="1:12" x14ac:dyDescent="0.25">
      <c r="A1360" s="3" t="s">
        <v>5963</v>
      </c>
      <c r="B1360" s="3" t="s">
        <v>5964</v>
      </c>
      <c r="C1360" s="1">
        <v>20</v>
      </c>
      <c r="D1360" s="1">
        <v>10.18</v>
      </c>
      <c r="E1360" s="1" t="s">
        <v>2964</v>
      </c>
      <c r="F1360" s="1" t="s">
        <v>5965</v>
      </c>
      <c r="G1360" s="3" t="s">
        <v>5966</v>
      </c>
      <c r="H1360" s="11">
        <f t="shared" si="42"/>
        <v>54.8</v>
      </c>
      <c r="I1360" s="9">
        <f>($K$2+0.02)*Tabla1[[#This Row],[PRECIO $]]*1.18</f>
        <v>41.442779999999999</v>
      </c>
      <c r="J1360" s="7">
        <f>+Tabla1[[#This Row],[PRECIO EN SOLES]]-Tabla1[[#This Row],[PC]]</f>
        <v>13.357219999999998</v>
      </c>
      <c r="K1360" s="15"/>
      <c r="L1360" s="15" t="str">
        <f t="shared" si="43"/>
        <v>COMPLEMENTO</v>
      </c>
    </row>
    <row r="1361" spans="1:12" x14ac:dyDescent="0.25">
      <c r="A1361" s="3" t="s">
        <v>3038</v>
      </c>
      <c r="B1361" s="3" t="s">
        <v>3039</v>
      </c>
      <c r="C1361" s="1">
        <v>20</v>
      </c>
      <c r="D1361" s="1">
        <v>11.18</v>
      </c>
      <c r="E1361" s="1" t="s">
        <v>2964</v>
      </c>
      <c r="F1361" s="1" t="s">
        <v>5967</v>
      </c>
      <c r="G1361" s="3" t="s">
        <v>3040</v>
      </c>
      <c r="H1361" s="11">
        <f t="shared" si="42"/>
        <v>59.89</v>
      </c>
      <c r="I1361" s="9">
        <f>($K$2+0.02)*Tabla1[[#This Row],[PRECIO $]]*1.18</f>
        <v>45.513779999999997</v>
      </c>
      <c r="J1361" s="7">
        <f>+Tabla1[[#This Row],[PRECIO EN SOLES]]-Tabla1[[#This Row],[PC]]</f>
        <v>14.376220000000004</v>
      </c>
      <c r="K1361" s="15"/>
      <c r="L1361" s="15" t="str">
        <f t="shared" si="43"/>
        <v>COMPLEMENTO</v>
      </c>
    </row>
    <row r="1362" spans="1:12" x14ac:dyDescent="0.25">
      <c r="A1362" s="3" t="s">
        <v>3041</v>
      </c>
      <c r="B1362" s="3" t="s">
        <v>3042</v>
      </c>
      <c r="C1362" s="1">
        <v>4</v>
      </c>
      <c r="D1362" s="1">
        <v>869.76</v>
      </c>
      <c r="E1362" s="1" t="s">
        <v>1054</v>
      </c>
      <c r="F1362" s="1" t="s">
        <v>5968</v>
      </c>
      <c r="G1362" s="3"/>
      <c r="H1362" s="11">
        <f t="shared" si="42"/>
        <v>4079.91</v>
      </c>
      <c r="I1362" s="9">
        <f>($K$2+0.02)*Tabla1[[#This Row],[PRECIO $]]*1.18</f>
        <v>3540.7929599999998</v>
      </c>
      <c r="J1362" s="7">
        <f>+Tabla1[[#This Row],[PRECIO EN SOLES]]-Tabla1[[#This Row],[PC]]</f>
        <v>539.11704000000009</v>
      </c>
      <c r="K1362" s="15"/>
      <c r="L1362" s="15" t="str">
        <f t="shared" si="43"/>
        <v>NORMAL</v>
      </c>
    </row>
    <row r="1363" spans="1:12" x14ac:dyDescent="0.25">
      <c r="A1363" s="3" t="s">
        <v>3043</v>
      </c>
      <c r="B1363" s="3" t="s">
        <v>3044</v>
      </c>
      <c r="C1363" s="1">
        <v>0</v>
      </c>
      <c r="D1363" s="1">
        <v>35.299999999999997</v>
      </c>
      <c r="E1363" s="1" t="s">
        <v>1054</v>
      </c>
      <c r="F1363" s="1" t="s">
        <v>5969</v>
      </c>
      <c r="G1363" s="3"/>
      <c r="H1363" s="11">
        <f t="shared" si="42"/>
        <v>171.26</v>
      </c>
      <c r="I1363" s="9">
        <f>($K$2+0.02)*Tabla1[[#This Row],[PRECIO $]]*1.18</f>
        <v>143.7063</v>
      </c>
      <c r="J1363" s="7">
        <f>+Tabla1[[#This Row],[PRECIO EN SOLES]]-Tabla1[[#This Row],[PC]]</f>
        <v>27.553699999999992</v>
      </c>
      <c r="K1363" s="15"/>
      <c r="L1363" s="15" t="str">
        <f t="shared" si="43"/>
        <v>NORMAL</v>
      </c>
    </row>
    <row r="1364" spans="1:12" x14ac:dyDescent="0.25">
      <c r="A1364" s="3" t="s">
        <v>3045</v>
      </c>
      <c r="B1364" s="3" t="s">
        <v>3046</v>
      </c>
      <c r="C1364" s="1">
        <v>5</v>
      </c>
      <c r="D1364" s="1">
        <v>47.18</v>
      </c>
      <c r="E1364" s="1" t="s">
        <v>2484</v>
      </c>
      <c r="F1364" s="1" t="s">
        <v>5970</v>
      </c>
      <c r="G1364" s="3" t="s">
        <v>3047</v>
      </c>
      <c r="H1364" s="11">
        <f t="shared" si="42"/>
        <v>228.88</v>
      </c>
      <c r="I1364" s="9">
        <f>($K$2+0.02)*Tabla1[[#This Row],[PRECIO $]]*1.18</f>
        <v>192.06978000000001</v>
      </c>
      <c r="J1364" s="7">
        <f>+Tabla1[[#This Row],[PRECIO EN SOLES]]-Tabla1[[#This Row],[PC]]</f>
        <v>36.810219999999987</v>
      </c>
      <c r="K1364" s="15"/>
      <c r="L1364" s="15" t="str">
        <f t="shared" si="43"/>
        <v>NORMAL</v>
      </c>
    </row>
    <row r="1365" spans="1:12" x14ac:dyDescent="0.25">
      <c r="A1365" s="3" t="s">
        <v>3048</v>
      </c>
      <c r="B1365" s="3" t="s">
        <v>3049</v>
      </c>
      <c r="C1365" s="1">
        <v>5</v>
      </c>
      <c r="D1365" s="1">
        <v>347.73</v>
      </c>
      <c r="E1365" s="1" t="s">
        <v>2484</v>
      </c>
      <c r="F1365" s="1" t="s">
        <v>5971</v>
      </c>
      <c r="G1365" s="3" t="s">
        <v>3050</v>
      </c>
      <c r="H1365" s="11">
        <f t="shared" si="42"/>
        <v>1635.95</v>
      </c>
      <c r="I1365" s="9">
        <f>($K$2+0.02)*Tabla1[[#This Row],[PRECIO $]]*1.18</f>
        <v>1415.6088300000001</v>
      </c>
      <c r="J1365" s="7">
        <f>+Tabla1[[#This Row],[PRECIO EN SOLES]]-Tabla1[[#This Row],[PC]]</f>
        <v>220.34116999999992</v>
      </c>
      <c r="K1365" s="15"/>
      <c r="L1365" s="15" t="str">
        <f t="shared" si="43"/>
        <v>NORMAL</v>
      </c>
    </row>
    <row r="1366" spans="1:12" x14ac:dyDescent="0.25">
      <c r="A1366" s="3" t="s">
        <v>3051</v>
      </c>
      <c r="B1366" s="3" t="s">
        <v>3052</v>
      </c>
      <c r="C1366" s="1">
        <v>6</v>
      </c>
      <c r="D1366" s="1">
        <v>880.02</v>
      </c>
      <c r="E1366" s="1" t="s">
        <v>1054</v>
      </c>
      <c r="F1366" s="1" t="s">
        <v>5972</v>
      </c>
      <c r="G1366" s="3"/>
      <c r="H1366" s="11">
        <f t="shared" si="42"/>
        <v>4127.95</v>
      </c>
      <c r="I1366" s="9">
        <f>($K$2+0.02)*Tabla1[[#This Row],[PRECIO $]]*1.18</f>
        <v>3582.5614199999995</v>
      </c>
      <c r="J1366" s="7">
        <f>+Tabla1[[#This Row],[PRECIO EN SOLES]]-Tabla1[[#This Row],[PC]]</f>
        <v>545.38858000000027</v>
      </c>
      <c r="K1366" s="15"/>
      <c r="L1366" s="15" t="str">
        <f t="shared" si="43"/>
        <v>NORMAL</v>
      </c>
    </row>
    <row r="1367" spans="1:12" x14ac:dyDescent="0.25">
      <c r="A1367" s="3" t="s">
        <v>3053</v>
      </c>
      <c r="B1367" s="3" t="s">
        <v>3054</v>
      </c>
      <c r="C1367" s="1">
        <v>0</v>
      </c>
      <c r="D1367" s="1">
        <v>56</v>
      </c>
      <c r="E1367" s="1" t="s">
        <v>1057</v>
      </c>
      <c r="F1367" s="1" t="s">
        <v>5973</v>
      </c>
      <c r="G1367" s="3" t="s">
        <v>3055</v>
      </c>
      <c r="H1367" s="11">
        <f t="shared" si="42"/>
        <v>270.17</v>
      </c>
      <c r="I1367" s="9">
        <f>($K$2+0.02)*Tabla1[[#This Row],[PRECIO $]]*1.18</f>
        <v>227.976</v>
      </c>
      <c r="J1367" s="7">
        <f>+Tabla1[[#This Row],[PRECIO EN SOLES]]-Tabla1[[#This Row],[PC]]</f>
        <v>42.194000000000017</v>
      </c>
      <c r="K1367" s="15"/>
      <c r="L1367" s="15" t="str">
        <f t="shared" si="43"/>
        <v>NORMAL</v>
      </c>
    </row>
    <row r="1368" spans="1:12" x14ac:dyDescent="0.25">
      <c r="A1368" s="3" t="s">
        <v>3056</v>
      </c>
      <c r="B1368" s="3" t="s">
        <v>3057</v>
      </c>
      <c r="C1368" s="1">
        <v>1</v>
      </c>
      <c r="D1368" s="1">
        <v>101</v>
      </c>
      <c r="E1368" s="1" t="s">
        <v>2964</v>
      </c>
      <c r="F1368" s="1" t="s">
        <v>5974</v>
      </c>
      <c r="G1368" s="3" t="s">
        <v>3058</v>
      </c>
      <c r="H1368" s="11">
        <f t="shared" si="42"/>
        <v>480.85</v>
      </c>
      <c r="I1368" s="9">
        <f>($K$2+0.02)*Tabla1[[#This Row],[PRECIO $]]*1.18</f>
        <v>411.17100000000005</v>
      </c>
      <c r="J1368" s="7">
        <f>+Tabla1[[#This Row],[PRECIO EN SOLES]]-Tabla1[[#This Row],[PC]]</f>
        <v>69.678999999999974</v>
      </c>
      <c r="K1368" s="15"/>
      <c r="L1368" s="15" t="str">
        <f t="shared" si="43"/>
        <v>NORMAL</v>
      </c>
    </row>
    <row r="1369" spans="1:12" x14ac:dyDescent="0.25">
      <c r="A1369" s="3" t="s">
        <v>3059</v>
      </c>
      <c r="B1369" s="3" t="s">
        <v>3060</v>
      </c>
      <c r="C1369" s="1">
        <v>1</v>
      </c>
      <c r="D1369" s="1">
        <v>494.44</v>
      </c>
      <c r="E1369" s="1" t="s">
        <v>2964</v>
      </c>
      <c r="F1369" s="1" t="s">
        <v>5975</v>
      </c>
      <c r="G1369" s="3" t="s">
        <v>3061</v>
      </c>
      <c r="H1369" s="11">
        <f t="shared" si="42"/>
        <v>2322.8000000000002</v>
      </c>
      <c r="I1369" s="9">
        <f>($K$2+0.02)*Tabla1[[#This Row],[PRECIO $]]*1.18</f>
        <v>2012.8652399999999</v>
      </c>
      <c r="J1369" s="7">
        <f>+Tabla1[[#This Row],[PRECIO EN SOLES]]-Tabla1[[#This Row],[PC]]</f>
        <v>309.93476000000032</v>
      </c>
      <c r="K1369" s="15"/>
      <c r="L1369" s="15" t="str">
        <f t="shared" si="43"/>
        <v>NORMAL</v>
      </c>
    </row>
    <row r="1370" spans="1:12" x14ac:dyDescent="0.25">
      <c r="A1370" s="3" t="s">
        <v>7074</v>
      </c>
      <c r="B1370" s="3" t="s">
        <v>7075</v>
      </c>
      <c r="C1370" s="1">
        <v>3</v>
      </c>
      <c r="D1370" s="1">
        <v>121.39</v>
      </c>
      <c r="E1370" s="1" t="s">
        <v>1054</v>
      </c>
      <c r="F1370" s="1" t="s">
        <v>7076</v>
      </c>
      <c r="G1370" s="3" t="s">
        <v>7077</v>
      </c>
      <c r="H1370" s="11">
        <f t="shared" si="42"/>
        <v>576.30999999999995</v>
      </c>
      <c r="I1370" s="9">
        <f>($K$2+0.02)*Tabla1[[#This Row],[PRECIO $]]*1.18</f>
        <v>494.17868999999996</v>
      </c>
      <c r="J1370" s="7">
        <f>+Tabla1[[#This Row],[PRECIO EN SOLES]]-Tabla1[[#This Row],[PC]]</f>
        <v>82.131309999999985</v>
      </c>
      <c r="K1370" s="15"/>
      <c r="L1370" s="15" t="str">
        <f t="shared" si="43"/>
        <v>NORMAL</v>
      </c>
    </row>
    <row r="1371" spans="1:12" x14ac:dyDescent="0.25">
      <c r="A1371" s="3" t="s">
        <v>3062</v>
      </c>
      <c r="B1371" s="3" t="s">
        <v>3063</v>
      </c>
      <c r="C1371" s="1">
        <v>3</v>
      </c>
      <c r="D1371" s="1">
        <v>941.62</v>
      </c>
      <c r="E1371" s="1" t="s">
        <v>1054</v>
      </c>
      <c r="F1371" s="1" t="s">
        <v>5976</v>
      </c>
      <c r="G1371" s="3" t="s">
        <v>3064</v>
      </c>
      <c r="H1371" s="11">
        <f t="shared" si="42"/>
        <v>4416.34</v>
      </c>
      <c r="I1371" s="9">
        <f>($K$2+0.02)*Tabla1[[#This Row],[PRECIO $]]*1.18</f>
        <v>3833.3350200000004</v>
      </c>
      <c r="J1371" s="7">
        <f>+Tabla1[[#This Row],[PRECIO EN SOLES]]-Tabla1[[#This Row],[PC]]</f>
        <v>583.0049799999997</v>
      </c>
      <c r="K1371" s="15"/>
      <c r="L1371" s="15" t="str">
        <f t="shared" si="43"/>
        <v>NORMAL</v>
      </c>
    </row>
    <row r="1372" spans="1:12" x14ac:dyDescent="0.25">
      <c r="A1372" s="3" t="s">
        <v>3065</v>
      </c>
      <c r="B1372" s="3" t="s">
        <v>3066</v>
      </c>
      <c r="C1372" s="1">
        <v>19</v>
      </c>
      <c r="D1372" s="1">
        <v>280.33999999999997</v>
      </c>
      <c r="E1372" s="1" t="s">
        <v>1054</v>
      </c>
      <c r="F1372" s="1" t="s">
        <v>5977</v>
      </c>
      <c r="G1372" s="3" t="s">
        <v>3067</v>
      </c>
      <c r="H1372" s="11">
        <f t="shared" si="42"/>
        <v>1320.45</v>
      </c>
      <c r="I1372" s="9">
        <f>($K$2+0.02)*Tabla1[[#This Row],[PRECIO $]]*1.18</f>
        <v>1141.26414</v>
      </c>
      <c r="J1372" s="7">
        <f>+Tabla1[[#This Row],[PRECIO EN SOLES]]-Tabla1[[#This Row],[PC]]</f>
        <v>179.18586000000005</v>
      </c>
      <c r="K1372" s="15"/>
      <c r="L1372" s="15" t="str">
        <f t="shared" si="43"/>
        <v>NORMAL</v>
      </c>
    </row>
    <row r="1373" spans="1:12" x14ac:dyDescent="0.25">
      <c r="A1373" s="3" t="s">
        <v>3068</v>
      </c>
      <c r="B1373" s="3" t="s">
        <v>3069</v>
      </c>
      <c r="C1373" s="1">
        <v>0</v>
      </c>
      <c r="D1373" s="1">
        <v>16.7</v>
      </c>
      <c r="E1373" s="1" t="s">
        <v>1054</v>
      </c>
      <c r="F1373" s="1" t="s">
        <v>5978</v>
      </c>
      <c r="G1373" s="3" t="s">
        <v>3070</v>
      </c>
      <c r="H1373" s="11">
        <f t="shared" si="42"/>
        <v>88.98</v>
      </c>
      <c r="I1373" s="9">
        <f>($K$2+0.02)*Tabla1[[#This Row],[PRECIO $]]*1.18</f>
        <v>67.985699999999994</v>
      </c>
      <c r="J1373" s="7">
        <f>+Tabla1[[#This Row],[PRECIO EN SOLES]]-Tabla1[[#This Row],[PC]]</f>
        <v>20.99430000000001</v>
      </c>
      <c r="K1373" s="15"/>
      <c r="L1373" s="15" t="str">
        <f t="shared" si="43"/>
        <v>COMPLEMENTO</v>
      </c>
    </row>
    <row r="1374" spans="1:12" x14ac:dyDescent="0.25">
      <c r="A1374" s="3" t="s">
        <v>3071</v>
      </c>
      <c r="B1374" s="3" t="s">
        <v>3072</v>
      </c>
      <c r="C1374" s="1">
        <v>1</v>
      </c>
      <c r="D1374" s="1">
        <v>118</v>
      </c>
      <c r="E1374" s="1" t="s">
        <v>1054</v>
      </c>
      <c r="F1374" s="1" t="s">
        <v>5979</v>
      </c>
      <c r="G1374" s="3"/>
      <c r="H1374" s="11">
        <f t="shared" si="42"/>
        <v>560.42999999999995</v>
      </c>
      <c r="I1374" s="9">
        <f>($K$2+0.02)*Tabla1[[#This Row],[PRECIO $]]*1.18</f>
        <v>480.37799999999999</v>
      </c>
      <c r="J1374" s="7">
        <f>+Tabla1[[#This Row],[PRECIO EN SOLES]]-Tabla1[[#This Row],[PC]]</f>
        <v>80.051999999999964</v>
      </c>
      <c r="K1374" s="15"/>
      <c r="L1374" s="15" t="str">
        <f t="shared" si="43"/>
        <v>NORMAL</v>
      </c>
    </row>
    <row r="1375" spans="1:12" x14ac:dyDescent="0.25">
      <c r="A1375" s="3" t="s">
        <v>3073</v>
      </c>
      <c r="B1375" s="3" t="s">
        <v>3074</v>
      </c>
      <c r="C1375" s="1">
        <v>17</v>
      </c>
      <c r="D1375" s="1">
        <v>93</v>
      </c>
      <c r="E1375" s="1" t="s">
        <v>1054</v>
      </c>
      <c r="F1375" s="1" t="s">
        <v>5980</v>
      </c>
      <c r="G1375" s="3" t="s">
        <v>3075</v>
      </c>
      <c r="H1375" s="11">
        <f t="shared" si="42"/>
        <v>443.39</v>
      </c>
      <c r="I1375" s="9">
        <f>($K$2+0.02)*Tabla1[[#This Row],[PRECIO $]]*1.18</f>
        <v>378.60300000000001</v>
      </c>
      <c r="J1375" s="7">
        <f>+Tabla1[[#This Row],[PRECIO EN SOLES]]-Tabla1[[#This Row],[PC]]</f>
        <v>64.786999999999978</v>
      </c>
      <c r="K1375" s="15"/>
      <c r="L1375" s="15" t="str">
        <f t="shared" si="43"/>
        <v>NORMAL</v>
      </c>
    </row>
    <row r="1376" spans="1:12" x14ac:dyDescent="0.25">
      <c r="A1376" s="3" t="s">
        <v>3076</v>
      </c>
      <c r="B1376" s="3" t="s">
        <v>3077</v>
      </c>
      <c r="C1376" s="1">
        <v>3</v>
      </c>
      <c r="D1376" s="1">
        <v>361.99</v>
      </c>
      <c r="E1376" s="1" t="s">
        <v>1054</v>
      </c>
      <c r="F1376" s="1" t="s">
        <v>5981</v>
      </c>
      <c r="G1376" s="3" t="s">
        <v>3078</v>
      </c>
      <c r="H1376" s="11">
        <f t="shared" si="42"/>
        <v>1702.71</v>
      </c>
      <c r="I1376" s="9">
        <f>($K$2+0.02)*Tabla1[[#This Row],[PRECIO $]]*1.18</f>
        <v>1473.66129</v>
      </c>
      <c r="J1376" s="7">
        <f>+Tabla1[[#This Row],[PRECIO EN SOLES]]-Tabla1[[#This Row],[PC]]</f>
        <v>229.04871000000003</v>
      </c>
      <c r="K1376" s="15"/>
      <c r="L1376" s="15" t="str">
        <f t="shared" si="43"/>
        <v>NORMAL</v>
      </c>
    </row>
    <row r="1377" spans="1:12" x14ac:dyDescent="0.25">
      <c r="A1377" s="3" t="s">
        <v>3079</v>
      </c>
      <c r="B1377" s="3" t="s">
        <v>3080</v>
      </c>
      <c r="C1377" s="1">
        <v>3</v>
      </c>
      <c r="D1377" s="1">
        <v>433.36</v>
      </c>
      <c r="E1377" s="1" t="s">
        <v>1054</v>
      </c>
      <c r="F1377" s="1" t="s">
        <v>5982</v>
      </c>
      <c r="G1377" s="3"/>
      <c r="H1377" s="11">
        <f t="shared" si="42"/>
        <v>2036.84</v>
      </c>
      <c r="I1377" s="9">
        <f>($K$2+0.02)*Tabla1[[#This Row],[PRECIO $]]*1.18</f>
        <v>1764.20856</v>
      </c>
      <c r="J1377" s="7">
        <f>+Tabla1[[#This Row],[PRECIO EN SOLES]]-Tabla1[[#This Row],[PC]]</f>
        <v>272.63143999999988</v>
      </c>
      <c r="K1377" s="15"/>
      <c r="L1377" s="15" t="str">
        <f t="shared" si="43"/>
        <v>NORMAL</v>
      </c>
    </row>
    <row r="1378" spans="1:12" x14ac:dyDescent="0.25">
      <c r="A1378" s="3" t="s">
        <v>3081</v>
      </c>
      <c r="B1378" s="3" t="s">
        <v>3082</v>
      </c>
      <c r="C1378" s="1">
        <v>0</v>
      </c>
      <c r="D1378" s="1">
        <v>228</v>
      </c>
      <c r="E1378" s="1" t="s">
        <v>1057</v>
      </c>
      <c r="F1378" s="1" t="s">
        <v>5983</v>
      </c>
      <c r="G1378" s="3" t="s">
        <v>3083</v>
      </c>
      <c r="H1378" s="11">
        <f t="shared" si="42"/>
        <v>1075.42</v>
      </c>
      <c r="I1378" s="9">
        <f>($K$2+0.02)*Tabla1[[#This Row],[PRECIO $]]*1.18</f>
        <v>928.18799999999999</v>
      </c>
      <c r="J1378" s="7">
        <f>+Tabla1[[#This Row],[PRECIO EN SOLES]]-Tabla1[[#This Row],[PC]]</f>
        <v>147.23200000000008</v>
      </c>
      <c r="K1378" s="15"/>
      <c r="L1378" s="15" t="str">
        <f t="shared" si="43"/>
        <v>NORMAL</v>
      </c>
    </row>
    <row r="1379" spans="1:12" x14ac:dyDescent="0.25">
      <c r="A1379" s="3" t="s">
        <v>3084</v>
      </c>
      <c r="B1379" s="3" t="s">
        <v>3085</v>
      </c>
      <c r="C1379" s="1">
        <v>20</v>
      </c>
      <c r="D1379" s="1">
        <v>18.59</v>
      </c>
      <c r="E1379" s="1" t="s">
        <v>2964</v>
      </c>
      <c r="F1379" s="1" t="s">
        <v>5984</v>
      </c>
      <c r="G1379" s="3" t="s">
        <v>3086</v>
      </c>
      <c r="H1379" s="11">
        <f t="shared" si="42"/>
        <v>91.03</v>
      </c>
      <c r="I1379" s="9">
        <f>($K$2+0.02)*Tabla1[[#This Row],[PRECIO $]]*1.18</f>
        <v>75.67989</v>
      </c>
      <c r="J1379" s="7">
        <f>+Tabla1[[#This Row],[PRECIO EN SOLES]]-Tabla1[[#This Row],[PC]]</f>
        <v>15.350110000000001</v>
      </c>
      <c r="K1379" s="15"/>
      <c r="L1379" s="15" t="str">
        <f t="shared" si="43"/>
        <v>NORMAL</v>
      </c>
    </row>
    <row r="1380" spans="1:12" x14ac:dyDescent="0.25">
      <c r="A1380" s="3" t="s">
        <v>3090</v>
      </c>
      <c r="B1380" s="3" t="s">
        <v>3091</v>
      </c>
      <c r="C1380" s="1">
        <v>5</v>
      </c>
      <c r="D1380" s="1">
        <v>228.45</v>
      </c>
      <c r="E1380" s="1" t="s">
        <v>2484</v>
      </c>
      <c r="F1380" s="1" t="s">
        <v>5986</v>
      </c>
      <c r="G1380" s="3" t="s">
        <v>3092</v>
      </c>
      <c r="H1380" s="11">
        <f t="shared" si="42"/>
        <v>1077.52</v>
      </c>
      <c r="I1380" s="9">
        <f>($K$2+0.02)*Tabla1[[#This Row],[PRECIO $]]*1.18</f>
        <v>930.01994999999999</v>
      </c>
      <c r="J1380" s="7">
        <f>+Tabla1[[#This Row],[PRECIO EN SOLES]]-Tabla1[[#This Row],[PC]]</f>
        <v>147.50004999999999</v>
      </c>
      <c r="K1380" s="15"/>
      <c r="L1380" s="15" t="str">
        <f t="shared" si="43"/>
        <v>NORMAL</v>
      </c>
    </row>
    <row r="1381" spans="1:12" x14ac:dyDescent="0.25">
      <c r="A1381" s="3" t="s">
        <v>3093</v>
      </c>
      <c r="B1381" s="3" t="s">
        <v>3094</v>
      </c>
      <c r="C1381" s="1">
        <v>4</v>
      </c>
      <c r="D1381" s="1">
        <v>140.47</v>
      </c>
      <c r="E1381" s="1" t="s">
        <v>2484</v>
      </c>
      <c r="F1381" s="1" t="s">
        <v>5987</v>
      </c>
      <c r="G1381" s="3" t="s">
        <v>3095</v>
      </c>
      <c r="H1381" s="11">
        <f t="shared" si="42"/>
        <v>665.63</v>
      </c>
      <c r="I1381" s="9">
        <f>($K$2+0.02)*Tabla1[[#This Row],[PRECIO $]]*1.18</f>
        <v>571.85337000000004</v>
      </c>
      <c r="J1381" s="7">
        <f>+Tabla1[[#This Row],[PRECIO EN SOLES]]-Tabla1[[#This Row],[PC]]</f>
        <v>93.776629999999955</v>
      </c>
      <c r="K1381" s="15"/>
      <c r="L1381" s="15" t="str">
        <f t="shared" si="43"/>
        <v>NORMAL</v>
      </c>
    </row>
    <row r="1382" spans="1:12" x14ac:dyDescent="0.25">
      <c r="A1382" s="3" t="s">
        <v>3096</v>
      </c>
      <c r="B1382" s="3" t="s">
        <v>3097</v>
      </c>
      <c r="C1382" s="1">
        <v>0</v>
      </c>
      <c r="D1382" s="1">
        <v>3370</v>
      </c>
      <c r="E1382" s="1" t="s">
        <v>1057</v>
      </c>
      <c r="F1382" s="1" t="s">
        <v>5988</v>
      </c>
      <c r="G1382" s="3" t="s">
        <v>3098</v>
      </c>
      <c r="H1382" s="11">
        <f t="shared" si="42"/>
        <v>15785.16</v>
      </c>
      <c r="I1382" s="9">
        <f>($K$2+0.02)*Tabla1[[#This Row],[PRECIO $]]*1.18</f>
        <v>13719.269999999999</v>
      </c>
      <c r="J1382" s="7">
        <f>+Tabla1[[#This Row],[PRECIO EN SOLES]]-Tabla1[[#This Row],[PC]]</f>
        <v>2065.8900000000012</v>
      </c>
      <c r="K1382" s="15"/>
      <c r="L1382" s="15" t="str">
        <f t="shared" si="43"/>
        <v>NORMAL</v>
      </c>
    </row>
    <row r="1383" spans="1:12" x14ac:dyDescent="0.25">
      <c r="A1383" s="3" t="s">
        <v>3099</v>
      </c>
      <c r="B1383" s="3" t="s">
        <v>3100</v>
      </c>
      <c r="C1383" s="1">
        <v>0</v>
      </c>
      <c r="D1383" s="1">
        <v>138</v>
      </c>
      <c r="E1383" s="1" t="s">
        <v>1057</v>
      </c>
      <c r="F1383" s="1" t="s">
        <v>5989</v>
      </c>
      <c r="G1383" s="3" t="s">
        <v>3101</v>
      </c>
      <c r="H1383" s="11">
        <f t="shared" si="42"/>
        <v>654.07000000000005</v>
      </c>
      <c r="I1383" s="9">
        <f>($K$2+0.02)*Tabla1[[#This Row],[PRECIO $]]*1.18</f>
        <v>561.798</v>
      </c>
      <c r="J1383" s="7">
        <f>+Tabla1[[#This Row],[PRECIO EN SOLES]]-Tabla1[[#This Row],[PC]]</f>
        <v>92.272000000000048</v>
      </c>
      <c r="K1383" s="15"/>
      <c r="L1383" s="15" t="str">
        <f t="shared" si="43"/>
        <v>NORMAL</v>
      </c>
    </row>
    <row r="1384" spans="1:12" x14ac:dyDescent="0.25">
      <c r="A1384" s="3" t="s">
        <v>3102</v>
      </c>
      <c r="B1384" s="3" t="s">
        <v>3103</v>
      </c>
      <c r="C1384" s="1">
        <v>0</v>
      </c>
      <c r="D1384" s="1">
        <v>418</v>
      </c>
      <c r="E1384" s="1" t="s">
        <v>1057</v>
      </c>
      <c r="F1384" s="1" t="s">
        <v>5990</v>
      </c>
      <c r="G1384" s="3" t="s">
        <v>3104</v>
      </c>
      <c r="H1384" s="11">
        <f t="shared" si="42"/>
        <v>1964.93</v>
      </c>
      <c r="I1384" s="9">
        <f>($K$2+0.02)*Tabla1[[#This Row],[PRECIO $]]*1.18</f>
        <v>1701.6780000000001</v>
      </c>
      <c r="J1384" s="7">
        <f>+Tabla1[[#This Row],[PRECIO EN SOLES]]-Tabla1[[#This Row],[PC]]</f>
        <v>263.25199999999995</v>
      </c>
      <c r="K1384" s="15"/>
      <c r="L1384" s="15" t="str">
        <f t="shared" si="43"/>
        <v>NORMAL</v>
      </c>
    </row>
    <row r="1385" spans="1:12" x14ac:dyDescent="0.25">
      <c r="A1385" s="3" t="s">
        <v>3105</v>
      </c>
      <c r="B1385" s="3" t="s">
        <v>3106</v>
      </c>
      <c r="C1385" s="1">
        <v>0</v>
      </c>
      <c r="D1385" s="1">
        <v>4398</v>
      </c>
      <c r="E1385" s="1" t="s">
        <v>1057</v>
      </c>
      <c r="F1385" s="1" t="s">
        <v>5991</v>
      </c>
      <c r="G1385" s="3" t="s">
        <v>3107</v>
      </c>
      <c r="H1385" s="11">
        <f t="shared" si="42"/>
        <v>20597.900000000001</v>
      </c>
      <c r="I1385" s="9">
        <f>($K$2+0.02)*Tabla1[[#This Row],[PRECIO $]]*1.18</f>
        <v>17904.257999999998</v>
      </c>
      <c r="J1385" s="7">
        <f>+Tabla1[[#This Row],[PRECIO EN SOLES]]-Tabla1[[#This Row],[PC]]</f>
        <v>2693.6420000000035</v>
      </c>
      <c r="K1385" s="15"/>
      <c r="L1385" s="15" t="str">
        <f t="shared" si="43"/>
        <v>NORMAL</v>
      </c>
    </row>
    <row r="1386" spans="1:12" x14ac:dyDescent="0.25">
      <c r="A1386" s="3" t="s">
        <v>3108</v>
      </c>
      <c r="B1386" s="3" t="s">
        <v>3109</v>
      </c>
      <c r="C1386" s="1">
        <v>0</v>
      </c>
      <c r="D1386" s="1">
        <v>197</v>
      </c>
      <c r="E1386" s="1" t="s">
        <v>1057</v>
      </c>
      <c r="F1386" s="1" t="s">
        <v>5992</v>
      </c>
      <c r="G1386" s="3" t="s">
        <v>3110</v>
      </c>
      <c r="H1386" s="11">
        <f t="shared" si="42"/>
        <v>930.29</v>
      </c>
      <c r="I1386" s="9">
        <f>($K$2+0.02)*Tabla1[[#This Row],[PRECIO $]]*1.18</f>
        <v>801.98700000000008</v>
      </c>
      <c r="J1386" s="7">
        <f>+Tabla1[[#This Row],[PRECIO EN SOLES]]-Tabla1[[#This Row],[PC]]</f>
        <v>128.30299999999988</v>
      </c>
      <c r="K1386" s="15"/>
      <c r="L1386" s="15" t="str">
        <f t="shared" si="43"/>
        <v>NORMAL</v>
      </c>
    </row>
    <row r="1387" spans="1:12" x14ac:dyDescent="0.25">
      <c r="A1387" s="3" t="s">
        <v>3111</v>
      </c>
      <c r="B1387" s="3" t="s">
        <v>2957</v>
      </c>
      <c r="C1387" s="1">
        <v>0</v>
      </c>
      <c r="D1387" s="1">
        <v>40</v>
      </c>
      <c r="E1387" s="1" t="s">
        <v>1057</v>
      </c>
      <c r="F1387" s="1" t="s">
        <v>5993</v>
      </c>
      <c r="G1387" s="3" t="s">
        <v>3112</v>
      </c>
      <c r="H1387" s="11">
        <f t="shared" si="42"/>
        <v>195.27</v>
      </c>
      <c r="I1387" s="9">
        <f>($K$2+0.02)*Tabla1[[#This Row],[PRECIO $]]*1.18</f>
        <v>162.84</v>
      </c>
      <c r="J1387" s="7">
        <f>+Tabla1[[#This Row],[PRECIO EN SOLES]]-Tabla1[[#This Row],[PC]]</f>
        <v>32.430000000000007</v>
      </c>
      <c r="K1387" s="15"/>
      <c r="L1387" s="15" t="str">
        <f t="shared" si="43"/>
        <v>NORMAL</v>
      </c>
    </row>
    <row r="1388" spans="1:12" x14ac:dyDescent="0.25">
      <c r="A1388" s="3" t="s">
        <v>3113</v>
      </c>
      <c r="B1388" s="3" t="s">
        <v>3114</v>
      </c>
      <c r="C1388" s="1">
        <v>0</v>
      </c>
      <c r="D1388" s="1">
        <v>1798</v>
      </c>
      <c r="E1388" s="1" t="s">
        <v>1057</v>
      </c>
      <c r="F1388" s="1" t="s">
        <v>5994</v>
      </c>
      <c r="G1388" s="3" t="s">
        <v>3115</v>
      </c>
      <c r="H1388" s="11">
        <f t="shared" si="42"/>
        <v>8425.61</v>
      </c>
      <c r="I1388" s="9">
        <f>($K$2+0.02)*Tabla1[[#This Row],[PRECIO $]]*1.18</f>
        <v>7319.6580000000004</v>
      </c>
      <c r="J1388" s="7">
        <f>+Tabla1[[#This Row],[PRECIO EN SOLES]]-Tabla1[[#This Row],[PC]]</f>
        <v>1105.9520000000002</v>
      </c>
      <c r="K1388" s="15"/>
      <c r="L1388" s="15" t="str">
        <f t="shared" si="43"/>
        <v>NORMAL</v>
      </c>
    </row>
    <row r="1389" spans="1:12" x14ac:dyDescent="0.25">
      <c r="A1389" s="3" t="s">
        <v>3116</v>
      </c>
      <c r="B1389" s="3" t="s">
        <v>3117</v>
      </c>
      <c r="C1389" s="1">
        <v>0</v>
      </c>
      <c r="D1389" s="1">
        <v>45</v>
      </c>
      <c r="E1389" s="1" t="s">
        <v>1057</v>
      </c>
      <c r="F1389" s="1" t="s">
        <v>5995</v>
      </c>
      <c r="G1389" s="3" t="s">
        <v>3118</v>
      </c>
      <c r="H1389" s="11">
        <f t="shared" si="42"/>
        <v>218.67</v>
      </c>
      <c r="I1389" s="9">
        <f>($K$2+0.02)*Tabla1[[#This Row],[PRECIO $]]*1.18</f>
        <v>183.19499999999999</v>
      </c>
      <c r="J1389" s="7">
        <f>+Tabla1[[#This Row],[PRECIO EN SOLES]]-Tabla1[[#This Row],[PC]]</f>
        <v>35.474999999999994</v>
      </c>
      <c r="K1389" s="15"/>
      <c r="L1389" s="15" t="str">
        <f t="shared" si="43"/>
        <v>NORMAL</v>
      </c>
    </row>
    <row r="1390" spans="1:12" x14ac:dyDescent="0.25">
      <c r="A1390" s="3" t="s">
        <v>3119</v>
      </c>
      <c r="B1390" s="3" t="s">
        <v>3120</v>
      </c>
      <c r="C1390" s="1">
        <v>0</v>
      </c>
      <c r="D1390" s="1">
        <v>2228</v>
      </c>
      <c r="E1390" s="1" t="s">
        <v>1057</v>
      </c>
      <c r="F1390" s="1" t="s">
        <v>5996</v>
      </c>
      <c r="G1390" s="3" t="s">
        <v>3121</v>
      </c>
      <c r="H1390" s="11">
        <f t="shared" si="42"/>
        <v>10438.719999999999</v>
      </c>
      <c r="I1390" s="9">
        <f>($K$2+0.02)*Tabla1[[#This Row],[PRECIO $]]*1.18</f>
        <v>9070.1880000000001</v>
      </c>
      <c r="J1390" s="7">
        <f>+Tabla1[[#This Row],[PRECIO EN SOLES]]-Tabla1[[#This Row],[PC]]</f>
        <v>1368.5319999999992</v>
      </c>
      <c r="K1390" s="15"/>
      <c r="L1390" s="15" t="str">
        <f t="shared" si="43"/>
        <v>NORMAL</v>
      </c>
    </row>
    <row r="1391" spans="1:12" x14ac:dyDescent="0.25">
      <c r="A1391" s="3" t="s">
        <v>3122</v>
      </c>
      <c r="B1391" s="3" t="s">
        <v>3123</v>
      </c>
      <c r="C1391" s="1">
        <v>20</v>
      </c>
      <c r="D1391" s="1">
        <v>308.14999999999998</v>
      </c>
      <c r="E1391" s="1" t="s">
        <v>1054</v>
      </c>
      <c r="F1391" s="1" t="s">
        <v>5997</v>
      </c>
      <c r="G1391" s="3"/>
      <c r="H1391" s="11">
        <f t="shared" si="42"/>
        <v>1450.65</v>
      </c>
      <c r="I1391" s="9">
        <f>($K$2+0.02)*Tabla1[[#This Row],[PRECIO $]]*1.18</f>
        <v>1254.47865</v>
      </c>
      <c r="J1391" s="7">
        <f>+Tabla1[[#This Row],[PRECIO EN SOLES]]-Tabla1[[#This Row],[PC]]</f>
        <v>196.17135000000007</v>
      </c>
      <c r="K1391" s="15"/>
      <c r="L1391" s="15" t="str">
        <f t="shared" si="43"/>
        <v>NORMAL</v>
      </c>
    </row>
    <row r="1392" spans="1:12" x14ac:dyDescent="0.25">
      <c r="A1392" s="3" t="s">
        <v>3124</v>
      </c>
      <c r="B1392" s="3" t="s">
        <v>3125</v>
      </c>
      <c r="C1392" s="1">
        <v>20</v>
      </c>
      <c r="D1392" s="1">
        <v>447.11</v>
      </c>
      <c r="E1392" s="1" t="s">
        <v>1054</v>
      </c>
      <c r="F1392" s="1" t="s">
        <v>5998</v>
      </c>
      <c r="G1392" s="3"/>
      <c r="H1392" s="11">
        <f t="shared" si="42"/>
        <v>2101.21</v>
      </c>
      <c r="I1392" s="9">
        <f>($K$2+0.02)*Tabla1[[#This Row],[PRECIO $]]*1.18</f>
        <v>1820.18481</v>
      </c>
      <c r="J1392" s="7">
        <f>+Tabla1[[#This Row],[PRECIO EN SOLES]]-Tabla1[[#This Row],[PC]]</f>
        <v>281.02519000000007</v>
      </c>
      <c r="K1392" s="15"/>
      <c r="L1392" s="15" t="str">
        <f t="shared" si="43"/>
        <v>NORMAL</v>
      </c>
    </row>
    <row r="1393" spans="1:12" x14ac:dyDescent="0.25">
      <c r="A1393" s="3" t="s">
        <v>3126</v>
      </c>
      <c r="B1393" s="3" t="s">
        <v>3125</v>
      </c>
      <c r="C1393" s="1">
        <v>1</v>
      </c>
      <c r="D1393" s="1">
        <v>428.3</v>
      </c>
      <c r="E1393" s="1" t="s">
        <v>1054</v>
      </c>
      <c r="F1393" s="1" t="s">
        <v>5999</v>
      </c>
      <c r="G1393" s="3"/>
      <c r="H1393" s="11">
        <f t="shared" si="42"/>
        <v>2013.15</v>
      </c>
      <c r="I1393" s="9">
        <f>($K$2+0.02)*Tabla1[[#This Row],[PRECIO $]]*1.18</f>
        <v>1743.6093000000001</v>
      </c>
      <c r="J1393" s="7">
        <f>+Tabla1[[#This Row],[PRECIO EN SOLES]]-Tabla1[[#This Row],[PC]]</f>
        <v>269.54070000000002</v>
      </c>
      <c r="K1393" s="15"/>
      <c r="L1393" s="15" t="str">
        <f t="shared" si="43"/>
        <v>NORMAL</v>
      </c>
    </row>
    <row r="1394" spans="1:12" x14ac:dyDescent="0.25">
      <c r="A1394" s="3" t="s">
        <v>6000</v>
      </c>
      <c r="B1394" s="3" t="s">
        <v>6001</v>
      </c>
      <c r="C1394" s="1">
        <v>20</v>
      </c>
      <c r="D1394" s="1">
        <v>108.08</v>
      </c>
      <c r="E1394" s="1" t="s">
        <v>2964</v>
      </c>
      <c r="F1394" s="1" t="s">
        <v>6002</v>
      </c>
      <c r="G1394" s="3" t="s">
        <v>6003</v>
      </c>
      <c r="H1394" s="11">
        <f t="shared" si="42"/>
        <v>513.99</v>
      </c>
      <c r="I1394" s="9">
        <f>($K$2+0.02)*Tabla1[[#This Row],[PRECIO $]]*1.18</f>
        <v>439.99368000000004</v>
      </c>
      <c r="J1394" s="7">
        <f>+Tabla1[[#This Row],[PRECIO EN SOLES]]-Tabla1[[#This Row],[PC]]</f>
        <v>73.996319999999969</v>
      </c>
      <c r="K1394" s="15"/>
      <c r="L1394" s="15" t="str">
        <f t="shared" si="43"/>
        <v>NORMAL</v>
      </c>
    </row>
    <row r="1395" spans="1:12" x14ac:dyDescent="0.25">
      <c r="A1395" s="3" t="s">
        <v>6004</v>
      </c>
      <c r="B1395" s="3" t="s">
        <v>6005</v>
      </c>
      <c r="C1395" s="1">
        <v>5</v>
      </c>
      <c r="D1395" s="1">
        <v>402.32</v>
      </c>
      <c r="E1395" s="1" t="s">
        <v>2964</v>
      </c>
      <c r="F1395" s="1" t="s">
        <v>6006</v>
      </c>
      <c r="G1395" s="3" t="s">
        <v>6007</v>
      </c>
      <c r="H1395" s="11">
        <f t="shared" si="42"/>
        <v>1891.52</v>
      </c>
      <c r="I1395" s="9">
        <f>($K$2+0.02)*Tabla1[[#This Row],[PRECIO $]]*1.18</f>
        <v>1637.8447200000001</v>
      </c>
      <c r="J1395" s="7">
        <f>+Tabla1[[#This Row],[PRECIO EN SOLES]]-Tabla1[[#This Row],[PC]]</f>
        <v>253.67527999999993</v>
      </c>
      <c r="K1395" s="15"/>
      <c r="L1395" s="15" t="str">
        <f t="shared" si="43"/>
        <v>NORMAL</v>
      </c>
    </row>
    <row r="1396" spans="1:12" x14ac:dyDescent="0.25">
      <c r="A1396" s="3" t="s">
        <v>6008</v>
      </c>
      <c r="B1396" s="3" t="s">
        <v>6009</v>
      </c>
      <c r="C1396" s="1">
        <v>2</v>
      </c>
      <c r="D1396" s="1">
        <v>646.98</v>
      </c>
      <c r="E1396" s="1" t="s">
        <v>2964</v>
      </c>
      <c r="F1396" s="1" t="s">
        <v>6010</v>
      </c>
      <c r="G1396" s="3" t="s">
        <v>6011</v>
      </c>
      <c r="H1396" s="11">
        <f t="shared" si="42"/>
        <v>3036.93</v>
      </c>
      <c r="I1396" s="9">
        <f>($K$2+0.02)*Tabla1[[#This Row],[PRECIO $]]*1.18</f>
        <v>2633.8555799999999</v>
      </c>
      <c r="J1396" s="7">
        <f>+Tabla1[[#This Row],[PRECIO EN SOLES]]-Tabla1[[#This Row],[PC]]</f>
        <v>403.07441999999992</v>
      </c>
      <c r="K1396" s="15"/>
      <c r="L1396" s="15" t="str">
        <f t="shared" si="43"/>
        <v>NORMAL</v>
      </c>
    </row>
    <row r="1397" spans="1:12" x14ac:dyDescent="0.25">
      <c r="A1397" s="3" t="s">
        <v>6012</v>
      </c>
      <c r="B1397" s="3" t="s">
        <v>6013</v>
      </c>
      <c r="C1397" s="1">
        <v>20</v>
      </c>
      <c r="D1397" s="1">
        <v>67.67</v>
      </c>
      <c r="E1397" s="1" t="s">
        <v>2964</v>
      </c>
      <c r="F1397" s="1" t="s">
        <v>6014</v>
      </c>
      <c r="G1397" s="3" t="s">
        <v>6015</v>
      </c>
      <c r="H1397" s="11">
        <f t="shared" si="42"/>
        <v>324.81</v>
      </c>
      <c r="I1397" s="9">
        <f>($K$2+0.02)*Tabla1[[#This Row],[PRECIO $]]*1.18</f>
        <v>275.48457000000002</v>
      </c>
      <c r="J1397" s="7">
        <f>+Tabla1[[#This Row],[PRECIO EN SOLES]]-Tabla1[[#This Row],[PC]]</f>
        <v>49.325429999999983</v>
      </c>
      <c r="K1397" s="15"/>
      <c r="L1397" s="15" t="str">
        <f t="shared" si="43"/>
        <v>NORMAL</v>
      </c>
    </row>
    <row r="1398" spans="1:12" x14ac:dyDescent="0.25">
      <c r="A1398" s="3" t="s">
        <v>6016</v>
      </c>
      <c r="B1398" s="3" t="s">
        <v>6017</v>
      </c>
      <c r="C1398" s="1">
        <v>20</v>
      </c>
      <c r="D1398" s="1">
        <v>32.99</v>
      </c>
      <c r="E1398" s="1" t="s">
        <v>2964</v>
      </c>
      <c r="F1398" s="1" t="s">
        <v>6018</v>
      </c>
      <c r="G1398" s="3"/>
      <c r="H1398" s="11">
        <f t="shared" si="42"/>
        <v>160.44999999999999</v>
      </c>
      <c r="I1398" s="9">
        <f>($K$2+0.02)*Tabla1[[#This Row],[PRECIO $]]*1.18</f>
        <v>134.30229</v>
      </c>
      <c r="J1398" s="7">
        <f>+Tabla1[[#This Row],[PRECIO EN SOLES]]-Tabla1[[#This Row],[PC]]</f>
        <v>26.147709999999989</v>
      </c>
      <c r="K1398" s="15"/>
      <c r="L1398" s="15" t="str">
        <f t="shared" si="43"/>
        <v>NORMAL</v>
      </c>
    </row>
    <row r="1399" spans="1:12" x14ac:dyDescent="0.25">
      <c r="A1399" s="3" t="s">
        <v>6019</v>
      </c>
      <c r="B1399" s="3" t="s">
        <v>3128</v>
      </c>
      <c r="C1399" s="1">
        <v>11</v>
      </c>
      <c r="D1399" s="1">
        <v>118.12</v>
      </c>
      <c r="E1399" s="1" t="s">
        <v>2964</v>
      </c>
      <c r="F1399" s="1" t="s">
        <v>6020</v>
      </c>
      <c r="G1399" s="3" t="s">
        <v>6021</v>
      </c>
      <c r="H1399" s="11">
        <f t="shared" si="42"/>
        <v>561</v>
      </c>
      <c r="I1399" s="9">
        <f>($K$2+0.02)*Tabla1[[#This Row],[PRECIO $]]*1.18</f>
        <v>480.86651999999998</v>
      </c>
      <c r="J1399" s="7">
        <f>+Tabla1[[#This Row],[PRECIO EN SOLES]]-Tabla1[[#This Row],[PC]]</f>
        <v>80.13348000000002</v>
      </c>
      <c r="K1399" s="15"/>
      <c r="L1399" s="15" t="str">
        <f t="shared" si="43"/>
        <v>NORMAL</v>
      </c>
    </row>
    <row r="1400" spans="1:12" x14ac:dyDescent="0.25">
      <c r="A1400" s="3" t="s">
        <v>6022</v>
      </c>
      <c r="B1400" s="3" t="s">
        <v>6023</v>
      </c>
      <c r="C1400" s="1">
        <v>19</v>
      </c>
      <c r="D1400" s="1">
        <v>328.35</v>
      </c>
      <c r="E1400" s="1" t="s">
        <v>2964</v>
      </c>
      <c r="F1400" s="1" t="s">
        <v>6024</v>
      </c>
      <c r="G1400" s="3" t="s">
        <v>6025</v>
      </c>
      <c r="H1400" s="11">
        <f t="shared" si="42"/>
        <v>1545.22</v>
      </c>
      <c r="I1400" s="9">
        <f>($K$2+0.02)*Tabla1[[#This Row],[PRECIO $]]*1.18</f>
        <v>1336.7128500000001</v>
      </c>
      <c r="J1400" s="7">
        <f>+Tabla1[[#This Row],[PRECIO EN SOLES]]-Tabla1[[#This Row],[PC]]</f>
        <v>208.50714999999991</v>
      </c>
      <c r="K1400" s="15"/>
      <c r="L1400" s="15" t="str">
        <f t="shared" si="43"/>
        <v>NORMAL</v>
      </c>
    </row>
    <row r="1401" spans="1:12" x14ac:dyDescent="0.25">
      <c r="A1401" s="3" t="s">
        <v>6026</v>
      </c>
      <c r="B1401" s="3" t="s">
        <v>6027</v>
      </c>
      <c r="C1401" s="1">
        <v>7</v>
      </c>
      <c r="D1401" s="1">
        <v>259.64</v>
      </c>
      <c r="E1401" s="1" t="s">
        <v>2964</v>
      </c>
      <c r="F1401" s="1" t="s">
        <v>6028</v>
      </c>
      <c r="G1401" s="3" t="s">
        <v>6029</v>
      </c>
      <c r="H1401" s="11">
        <f t="shared" si="42"/>
        <v>1223.54</v>
      </c>
      <c r="I1401" s="9">
        <f>($K$2+0.02)*Tabla1[[#This Row],[PRECIO $]]*1.18</f>
        <v>1056.9944399999999</v>
      </c>
      <c r="J1401" s="7">
        <f>+Tabla1[[#This Row],[PRECIO EN SOLES]]-Tabla1[[#This Row],[PC]]</f>
        <v>166.54556000000002</v>
      </c>
      <c r="K1401" s="15"/>
      <c r="L1401" s="15" t="str">
        <f t="shared" si="43"/>
        <v>NORMAL</v>
      </c>
    </row>
    <row r="1402" spans="1:12" x14ac:dyDescent="0.25">
      <c r="A1402" s="3" t="s">
        <v>6030</v>
      </c>
      <c r="B1402" s="3" t="s">
        <v>6031</v>
      </c>
      <c r="C1402" s="1">
        <v>1</v>
      </c>
      <c r="D1402" s="1">
        <v>202.99</v>
      </c>
      <c r="E1402" s="1" t="s">
        <v>2964</v>
      </c>
      <c r="F1402" s="1" t="s">
        <v>6032</v>
      </c>
      <c r="G1402" s="3"/>
      <c r="H1402" s="11">
        <f t="shared" si="42"/>
        <v>958.33</v>
      </c>
      <c r="I1402" s="9">
        <f>($K$2+0.02)*Tabla1[[#This Row],[PRECIO $]]*1.18</f>
        <v>826.37229000000002</v>
      </c>
      <c r="J1402" s="7">
        <f>+Tabla1[[#This Row],[PRECIO EN SOLES]]-Tabla1[[#This Row],[PC]]</f>
        <v>131.95771000000002</v>
      </c>
      <c r="K1402" s="15"/>
      <c r="L1402" s="15" t="str">
        <f t="shared" si="43"/>
        <v>NORMAL</v>
      </c>
    </row>
    <row r="1403" spans="1:12" x14ac:dyDescent="0.25">
      <c r="A1403" s="3" t="s">
        <v>6033</v>
      </c>
      <c r="B1403" s="3" t="s">
        <v>6034</v>
      </c>
      <c r="C1403" s="1">
        <v>5</v>
      </c>
      <c r="D1403" s="1">
        <v>425.29</v>
      </c>
      <c r="E1403" s="1" t="s">
        <v>2964</v>
      </c>
      <c r="F1403" s="1" t="s">
        <v>6035</v>
      </c>
      <c r="G1403" s="3"/>
      <c r="H1403" s="11">
        <f t="shared" si="42"/>
        <v>1999.06</v>
      </c>
      <c r="I1403" s="9">
        <f>($K$2+0.02)*Tabla1[[#This Row],[PRECIO $]]*1.18</f>
        <v>1731.3555900000001</v>
      </c>
      <c r="J1403" s="7">
        <f>+Tabla1[[#This Row],[PRECIO EN SOLES]]-Tabla1[[#This Row],[PC]]</f>
        <v>267.70440999999983</v>
      </c>
      <c r="K1403" s="15"/>
      <c r="L1403" s="15" t="str">
        <f t="shared" si="43"/>
        <v>NORMAL</v>
      </c>
    </row>
    <row r="1404" spans="1:12" x14ac:dyDescent="0.25">
      <c r="A1404" s="3" t="s">
        <v>3127</v>
      </c>
      <c r="B1404" s="3" t="s">
        <v>3128</v>
      </c>
      <c r="C1404" s="1">
        <v>1</v>
      </c>
      <c r="D1404" s="1">
        <v>542.13</v>
      </c>
      <c r="E1404" s="1" t="s">
        <v>2964</v>
      </c>
      <c r="F1404" s="1" t="s">
        <v>6036</v>
      </c>
      <c r="G1404" s="3" t="s">
        <v>3129</v>
      </c>
      <c r="H1404" s="11">
        <f t="shared" si="42"/>
        <v>2546.06</v>
      </c>
      <c r="I1404" s="9">
        <f>($K$2+0.02)*Tabla1[[#This Row],[PRECIO $]]*1.18</f>
        <v>2207.0112300000001</v>
      </c>
      <c r="J1404" s="7">
        <f>+Tabla1[[#This Row],[PRECIO EN SOLES]]-Tabla1[[#This Row],[PC]]</f>
        <v>339.04876999999988</v>
      </c>
      <c r="K1404" s="15"/>
      <c r="L1404" s="15" t="str">
        <f t="shared" si="43"/>
        <v>NORMAL</v>
      </c>
    </row>
    <row r="1405" spans="1:12" x14ac:dyDescent="0.25">
      <c r="A1405" s="3" t="s">
        <v>3130</v>
      </c>
      <c r="B1405" s="3" t="s">
        <v>3131</v>
      </c>
      <c r="C1405" s="1">
        <v>0</v>
      </c>
      <c r="D1405" s="1">
        <v>108.56</v>
      </c>
      <c r="E1405" s="1" t="s">
        <v>1054</v>
      </c>
      <c r="F1405" s="1" t="s">
        <v>6037</v>
      </c>
      <c r="G1405" s="3"/>
      <c r="H1405" s="11">
        <f t="shared" si="42"/>
        <v>516.24</v>
      </c>
      <c r="I1405" s="9">
        <f>($K$2+0.02)*Tabla1[[#This Row],[PRECIO $]]*1.18</f>
        <v>441.94776000000002</v>
      </c>
      <c r="J1405" s="7">
        <f>+Tabla1[[#This Row],[PRECIO EN SOLES]]-Tabla1[[#This Row],[PC]]</f>
        <v>74.292239999999993</v>
      </c>
      <c r="K1405" s="15"/>
      <c r="L1405" s="15" t="str">
        <f t="shared" si="43"/>
        <v>NORMAL</v>
      </c>
    </row>
    <row r="1406" spans="1:12" x14ac:dyDescent="0.25">
      <c r="A1406" s="3" t="s">
        <v>6038</v>
      </c>
      <c r="B1406" s="3" t="s">
        <v>3147</v>
      </c>
      <c r="C1406" s="1">
        <v>4</v>
      </c>
      <c r="D1406" s="1">
        <v>1194.1099999999999</v>
      </c>
      <c r="E1406" s="1" t="s">
        <v>1054</v>
      </c>
      <c r="F1406" s="1" t="s">
        <v>6039</v>
      </c>
      <c r="G1406" s="3"/>
      <c r="H1406" s="11">
        <f t="shared" si="42"/>
        <v>5598.41</v>
      </c>
      <c r="I1406" s="9">
        <f>($K$2+0.02)*Tabla1[[#This Row],[PRECIO $]]*1.18</f>
        <v>4861.22181</v>
      </c>
      <c r="J1406" s="7">
        <f>+Tabla1[[#This Row],[PRECIO EN SOLES]]-Tabla1[[#This Row],[PC]]</f>
        <v>737.18818999999985</v>
      </c>
      <c r="K1406" s="15"/>
      <c r="L1406" s="15" t="str">
        <f t="shared" si="43"/>
        <v>NORMAL</v>
      </c>
    </row>
    <row r="1407" spans="1:12" x14ac:dyDescent="0.25">
      <c r="A1407" s="3" t="s">
        <v>3132</v>
      </c>
      <c r="B1407" s="3" t="s">
        <v>3133</v>
      </c>
      <c r="C1407" s="1">
        <v>5</v>
      </c>
      <c r="D1407" s="1">
        <v>398.92</v>
      </c>
      <c r="E1407" s="1" t="s">
        <v>2484</v>
      </c>
      <c r="F1407" s="1" t="s">
        <v>6040</v>
      </c>
      <c r="G1407" s="3" t="s">
        <v>3134</v>
      </c>
      <c r="H1407" s="11">
        <f t="shared" si="42"/>
        <v>1875.6</v>
      </c>
      <c r="I1407" s="9">
        <f>($K$2+0.02)*Tabla1[[#This Row],[PRECIO $]]*1.18</f>
        <v>1624.00332</v>
      </c>
      <c r="J1407" s="7">
        <f>+Tabla1[[#This Row],[PRECIO EN SOLES]]-Tabla1[[#This Row],[PC]]</f>
        <v>251.59667999999988</v>
      </c>
      <c r="K1407" s="15"/>
      <c r="L1407" s="15" t="str">
        <f t="shared" si="43"/>
        <v>NORMAL</v>
      </c>
    </row>
    <row r="1408" spans="1:12" x14ac:dyDescent="0.25">
      <c r="A1408" s="3" t="s">
        <v>6041</v>
      </c>
      <c r="B1408" s="3" t="s">
        <v>6042</v>
      </c>
      <c r="C1408" s="1">
        <v>1</v>
      </c>
      <c r="D1408" s="1">
        <v>700</v>
      </c>
      <c r="E1408" s="1" t="s">
        <v>2964</v>
      </c>
      <c r="F1408" s="1" t="s">
        <v>6043</v>
      </c>
      <c r="G1408" s="3" t="s">
        <v>6044</v>
      </c>
      <c r="H1408" s="11">
        <f t="shared" si="42"/>
        <v>3285.16</v>
      </c>
      <c r="I1408" s="9">
        <f>($K$2+0.02)*Tabla1[[#This Row],[PRECIO $]]*1.18</f>
        <v>2849.7</v>
      </c>
      <c r="J1408" s="7">
        <f>+Tabla1[[#This Row],[PRECIO EN SOLES]]-Tabla1[[#This Row],[PC]]</f>
        <v>435.46000000000004</v>
      </c>
      <c r="K1408" s="15"/>
      <c r="L1408" s="15" t="str">
        <f t="shared" si="43"/>
        <v>NORMAL</v>
      </c>
    </row>
    <row r="1409" spans="1:12" x14ac:dyDescent="0.25">
      <c r="A1409" s="3" t="s">
        <v>6045</v>
      </c>
      <c r="B1409" s="3" t="s">
        <v>6046</v>
      </c>
      <c r="C1409" s="1">
        <v>0</v>
      </c>
      <c r="D1409" s="1">
        <v>1370</v>
      </c>
      <c r="E1409" s="1" t="s">
        <v>2964</v>
      </c>
      <c r="F1409" s="1" t="s">
        <v>6047</v>
      </c>
      <c r="G1409" s="3"/>
      <c r="H1409" s="11">
        <f t="shared" si="42"/>
        <v>6421.86</v>
      </c>
      <c r="I1409" s="9">
        <f>($K$2+0.02)*Tabla1[[#This Row],[PRECIO $]]*1.18</f>
        <v>5577.2699999999995</v>
      </c>
      <c r="J1409" s="7">
        <f>+Tabla1[[#This Row],[PRECIO EN SOLES]]-Tabla1[[#This Row],[PC]]</f>
        <v>844.59000000000015</v>
      </c>
      <c r="K1409" s="15"/>
      <c r="L1409" s="15" t="str">
        <f t="shared" si="43"/>
        <v>NORMAL</v>
      </c>
    </row>
    <row r="1410" spans="1:12" x14ac:dyDescent="0.25">
      <c r="A1410" s="3" t="s">
        <v>3135</v>
      </c>
      <c r="B1410" s="3" t="s">
        <v>3136</v>
      </c>
      <c r="C1410" s="1">
        <v>1</v>
      </c>
      <c r="D1410" s="1">
        <v>48.49</v>
      </c>
      <c r="E1410" s="1" t="s">
        <v>2964</v>
      </c>
      <c r="F1410" s="1" t="s">
        <v>6048</v>
      </c>
      <c r="G1410" s="3" t="s">
        <v>3137</v>
      </c>
      <c r="H1410" s="11">
        <f t="shared" ref="H1410:H1473" si="44">ROUND(
IF(L1410="GANCHO",
   IF(I1410&lt;=50,I1410*1.1+4,IF(I1410&lt;=120,I1410*1.1+7,IF(I1410&lt;=250,I1410*1.1+11,I1410*1.1+19))),
IF(L1410="NORMAL",
   IF(I1410&lt;=30,I1410*1.15+2,IF(I1410&lt;=80,I1410*1.15+4,IF(I1410&lt;=150,I1410*1.15+6,I1410*1.15+8))),
IF(L1410="COMPLEMENTO",
   IF(I1410&lt;=25,I1410*1.25+1.5,IF(I1410&lt;=60,I1410*1.25+3,IF(I1410&lt;=120,I1410*1.25+4,I1410*1.25+5))),
""))),2)</f>
        <v>235.01</v>
      </c>
      <c r="I1410" s="9">
        <f>($K$2+0.02)*Tabla1[[#This Row],[PRECIO $]]*1.18</f>
        <v>197.40279000000001</v>
      </c>
      <c r="J1410" s="7">
        <f>+Tabla1[[#This Row],[PRECIO EN SOLES]]-Tabla1[[#This Row],[PC]]</f>
        <v>37.607209999999981</v>
      </c>
      <c r="K1410" s="15"/>
      <c r="L1410" s="15" t="str">
        <f t="shared" si="43"/>
        <v>NORMAL</v>
      </c>
    </row>
    <row r="1411" spans="1:12" x14ac:dyDescent="0.25">
      <c r="A1411" s="3" t="s">
        <v>3138</v>
      </c>
      <c r="B1411" s="3" t="s">
        <v>3139</v>
      </c>
      <c r="C1411" s="1">
        <v>0</v>
      </c>
      <c r="D1411" s="1">
        <v>2480</v>
      </c>
      <c r="E1411" s="1" t="s">
        <v>1054</v>
      </c>
      <c r="F1411" s="1" t="s">
        <v>6049</v>
      </c>
      <c r="G1411" s="3"/>
      <c r="H1411" s="11">
        <f t="shared" si="44"/>
        <v>11618.49</v>
      </c>
      <c r="I1411" s="9">
        <f>($K$2+0.02)*Tabla1[[#This Row],[PRECIO $]]*1.18</f>
        <v>10096.08</v>
      </c>
      <c r="J1411" s="7">
        <f>+Tabla1[[#This Row],[PRECIO EN SOLES]]-Tabla1[[#This Row],[PC]]</f>
        <v>1522.4099999999999</v>
      </c>
      <c r="K1411" s="15"/>
      <c r="L1411" s="15" t="str">
        <f t="shared" ref="L1411:L1474" si="45">IF(
OR(
ISNUMBER(SEARCH("BACKPACK",B1411)),
ISNUMBER(SEARCH("MOCHILA",B1411)),
ISNUMBER(SEARCH("FUNDA",B1411)),
ISNUMBER(SEARCH("ESTUCHE",B1411)),
ISNUMBER(SEARCH("BOOK COVER",B1411)),
ISNUMBER(SEARCH("KEYBOARD PARA TABLET",B1411)),
ISNUMBER(SEARCH("FLIP TABLET",B1411)),
ISNUMBER(SEARCH("CASE FOR TABLET",B1411)),
ISNUMBER(SEARCH("CABLE",B1411)),
ISNUMBER(SEARCH("ADAPTADOR",B1411)),
ISNUMBER(SEARCH("HUB",B1411)),
ISNUMBER(SEARCH("DOCK",B1411)),
ISNUMBER(SEARCH("MOUSE PAD",B1411)),
ISNUMBER(SEARCH("MOUSEPAD",B1411)),
ISNUMBER(SEARCH("SOPORTE",B1411)),
ISNUMBER(SEARCH("STAND",B1411)),
ISNUMBER(SEARCH("TRAVEL ADAPTER",B1411)),
ISNUMBER(SEARCH("RJ45",B1411)),
ISNUMBER(SEARCH("USB-C",B1411)),
ISNUMBER(SEARCH("USB WIFI",B1411)),
ISNUMBER(SEARCH("POWERBANK",B1411)),
ISNUMBER(SEARCH("CARGADOR",B1411)),
ISNUMBER(SEARCH("COOLER PARA NB",B1411)),
ISNUMBER(SEARCH("SOPORTE PARA NB",B1411)),
ISNUMBER(SEARCH("WEBCAM",B1411)),
ISNUMBER(SEARCH("WEB CAM",B1411)),
ISNUMBER(SEARCH("MOUSE",B1411)),
ISNUMBER(SEARCH("TECLADO",B1411))
),
"COMPLEMENTO",
IF(
OR(
LEFT(A1411,2)="NB",
LEFT(A1411,2)="PC",
LEFT(A1411,2)="WS",
LEFT(A1411,2)="TB",
LEFT(A1411,3)="CEL",
LEFT(A1411,3)="MON",
LEFT(A1411,3)="PRE",
LEFT(A1411,3)="PRH",
ISNUMBER(SEARCH("NOTEBOOK",B1411)),
ISNUMBER(SEARCH("LAPTOP",B1411)),
ISNUMBER(SEARCH("MONITOR",B1411)),
ISNUMBER(SEARCH("TABLET",B1411)),
ISNUMBER(SEARCH("SMARTPH",B1411)),
ISNUMBER(SEARCH("IMPRESORA",B1411)),
ISNUMBER(SEARCH("MULTIFUNCIONAL",B1411)),
ISNUMBER(SEARCH("AIO",B1411))
),
"GANCHO",
"NORMAL"
)
)</f>
        <v>NORMAL</v>
      </c>
    </row>
    <row r="1412" spans="1:12" x14ac:dyDescent="0.25">
      <c r="A1412" s="3" t="s">
        <v>6050</v>
      </c>
      <c r="B1412" s="3" t="s">
        <v>6051</v>
      </c>
      <c r="C1412" s="1">
        <v>0</v>
      </c>
      <c r="D1412" s="1">
        <v>1358.97</v>
      </c>
      <c r="E1412" s="1" t="s">
        <v>1054</v>
      </c>
      <c r="F1412" s="1" t="s">
        <v>6052</v>
      </c>
      <c r="G1412" s="3"/>
      <c r="H1412" s="11">
        <f t="shared" si="44"/>
        <v>6370.22</v>
      </c>
      <c r="I1412" s="9">
        <f>($K$2+0.02)*Tabla1[[#This Row],[PRECIO $]]*1.18</f>
        <v>5532.3668699999998</v>
      </c>
      <c r="J1412" s="7">
        <f>+Tabla1[[#This Row],[PRECIO EN SOLES]]-Tabla1[[#This Row],[PC]]</f>
        <v>837.85313000000042</v>
      </c>
      <c r="K1412" s="15"/>
      <c r="L1412" s="15" t="str">
        <f t="shared" si="45"/>
        <v>NORMAL</v>
      </c>
    </row>
    <row r="1413" spans="1:12" x14ac:dyDescent="0.25">
      <c r="A1413" s="3" t="s">
        <v>3140</v>
      </c>
      <c r="B1413" s="3" t="s">
        <v>3141</v>
      </c>
      <c r="C1413" s="1">
        <v>9</v>
      </c>
      <c r="D1413" s="1">
        <v>1322.37</v>
      </c>
      <c r="E1413" s="1" t="s">
        <v>1054</v>
      </c>
      <c r="F1413" s="1" t="s">
        <v>6053</v>
      </c>
      <c r="G1413" s="3"/>
      <c r="H1413" s="11">
        <f t="shared" si="44"/>
        <v>6198.87</v>
      </c>
      <c r="I1413" s="9">
        <f>($K$2+0.02)*Tabla1[[#This Row],[PRECIO $]]*1.18</f>
        <v>5383.368269999999</v>
      </c>
      <c r="J1413" s="7">
        <f>+Tabla1[[#This Row],[PRECIO EN SOLES]]-Tabla1[[#This Row],[PC]]</f>
        <v>815.50173000000086</v>
      </c>
      <c r="K1413" s="15"/>
      <c r="L1413" s="15" t="str">
        <f t="shared" si="45"/>
        <v>NORMAL</v>
      </c>
    </row>
    <row r="1414" spans="1:12" x14ac:dyDescent="0.25">
      <c r="A1414" s="3" t="s">
        <v>3142</v>
      </c>
      <c r="B1414" s="3" t="s">
        <v>3143</v>
      </c>
      <c r="C1414" s="1">
        <v>0</v>
      </c>
      <c r="D1414" s="1">
        <v>440.8</v>
      </c>
      <c r="E1414" s="1" t="s">
        <v>1054</v>
      </c>
      <c r="F1414" s="1" t="s">
        <v>6054</v>
      </c>
      <c r="G1414" s="3"/>
      <c r="H1414" s="11">
        <f t="shared" si="44"/>
        <v>2071.67</v>
      </c>
      <c r="I1414" s="9">
        <f>($K$2+0.02)*Tabla1[[#This Row],[PRECIO $]]*1.18</f>
        <v>1794.4968000000001</v>
      </c>
      <c r="J1414" s="7">
        <f>+Tabla1[[#This Row],[PRECIO EN SOLES]]-Tabla1[[#This Row],[PC]]</f>
        <v>277.17319999999995</v>
      </c>
      <c r="K1414" s="15"/>
      <c r="L1414" s="15" t="str">
        <f t="shared" si="45"/>
        <v>NORMAL</v>
      </c>
    </row>
    <row r="1415" spans="1:12" x14ac:dyDescent="0.25">
      <c r="A1415" s="3" t="s">
        <v>3144</v>
      </c>
      <c r="B1415" s="3" t="s">
        <v>3145</v>
      </c>
      <c r="C1415" s="1">
        <v>17</v>
      </c>
      <c r="D1415" s="1">
        <v>727.09</v>
      </c>
      <c r="E1415" s="1" t="s">
        <v>1054</v>
      </c>
      <c r="F1415" s="1" t="s">
        <v>6055</v>
      </c>
      <c r="G1415" s="3"/>
      <c r="H1415" s="11">
        <f t="shared" si="44"/>
        <v>3411.98</v>
      </c>
      <c r="I1415" s="9">
        <f>($K$2+0.02)*Tabla1[[#This Row],[PRECIO $]]*1.18</f>
        <v>2959.9833899999999</v>
      </c>
      <c r="J1415" s="7">
        <f>+Tabla1[[#This Row],[PRECIO EN SOLES]]-Tabla1[[#This Row],[PC]]</f>
        <v>451.99661000000015</v>
      </c>
      <c r="K1415" s="15"/>
      <c r="L1415" s="15" t="str">
        <f t="shared" si="45"/>
        <v>NORMAL</v>
      </c>
    </row>
    <row r="1416" spans="1:12" x14ac:dyDescent="0.25">
      <c r="A1416" s="3" t="s">
        <v>3146</v>
      </c>
      <c r="B1416" s="3" t="s">
        <v>3147</v>
      </c>
      <c r="C1416" s="1">
        <v>4</v>
      </c>
      <c r="D1416" s="1">
        <v>672.27</v>
      </c>
      <c r="E1416" s="1" t="s">
        <v>1054</v>
      </c>
      <c r="F1416" s="1" t="s">
        <v>6056</v>
      </c>
      <c r="G1416" s="3"/>
      <c r="H1416" s="11">
        <f t="shared" si="44"/>
        <v>3155.33</v>
      </c>
      <c r="I1416" s="9">
        <f>($K$2+0.02)*Tabla1[[#This Row],[PRECIO $]]*1.18</f>
        <v>2736.8111699999999</v>
      </c>
      <c r="J1416" s="7">
        <f>+Tabla1[[#This Row],[PRECIO EN SOLES]]-Tabla1[[#This Row],[PC]]</f>
        <v>418.51882999999998</v>
      </c>
      <c r="K1416" s="15"/>
      <c r="L1416" s="15" t="str">
        <f t="shared" si="45"/>
        <v>NORMAL</v>
      </c>
    </row>
    <row r="1417" spans="1:12" x14ac:dyDescent="0.25">
      <c r="A1417" s="3" t="s">
        <v>3148</v>
      </c>
      <c r="B1417" s="3" t="s">
        <v>3149</v>
      </c>
      <c r="C1417" s="1">
        <v>10</v>
      </c>
      <c r="D1417" s="1">
        <v>525.87</v>
      </c>
      <c r="E1417" s="1" t="s">
        <v>1054</v>
      </c>
      <c r="F1417" s="1" t="s">
        <v>6057</v>
      </c>
      <c r="G1417" s="3"/>
      <c r="H1417" s="11">
        <f t="shared" si="44"/>
        <v>2469.94</v>
      </c>
      <c r="I1417" s="9">
        <f>($K$2+0.02)*Tabla1[[#This Row],[PRECIO $]]*1.18</f>
        <v>2140.8167699999999</v>
      </c>
      <c r="J1417" s="7">
        <f>+Tabla1[[#This Row],[PRECIO EN SOLES]]-Tabla1[[#This Row],[PC]]</f>
        <v>329.12323000000015</v>
      </c>
      <c r="K1417" s="15"/>
      <c r="L1417" s="15" t="str">
        <f t="shared" si="45"/>
        <v>NORMAL</v>
      </c>
    </row>
    <row r="1418" spans="1:12" x14ac:dyDescent="0.25">
      <c r="A1418" s="3" t="s">
        <v>3150</v>
      </c>
      <c r="B1418" s="3" t="s">
        <v>3151</v>
      </c>
      <c r="C1418" s="1">
        <v>20</v>
      </c>
      <c r="D1418" s="1">
        <v>17</v>
      </c>
      <c r="E1418" s="1" t="s">
        <v>3152</v>
      </c>
      <c r="F1418" s="1" t="s">
        <v>6058</v>
      </c>
      <c r="G1418" s="3" t="s">
        <v>3153</v>
      </c>
      <c r="H1418" s="11">
        <f t="shared" si="44"/>
        <v>83.59</v>
      </c>
      <c r="I1418" s="9">
        <f>($K$2+0.02)*Tabla1[[#This Row],[PRECIO $]]*1.18</f>
        <v>69.207000000000008</v>
      </c>
      <c r="J1418" s="7">
        <f>+Tabla1[[#This Row],[PRECIO EN SOLES]]-Tabla1[[#This Row],[PC]]</f>
        <v>14.382999999999996</v>
      </c>
      <c r="K1418" s="15"/>
      <c r="L1418" s="15" t="str">
        <f t="shared" si="45"/>
        <v>NORMAL</v>
      </c>
    </row>
    <row r="1419" spans="1:12" x14ac:dyDescent="0.25">
      <c r="A1419" s="3" t="s">
        <v>3154</v>
      </c>
      <c r="B1419" s="3" t="s">
        <v>3155</v>
      </c>
      <c r="C1419" s="1">
        <v>20</v>
      </c>
      <c r="D1419" s="1">
        <v>19</v>
      </c>
      <c r="E1419" s="1" t="s">
        <v>3152</v>
      </c>
      <c r="F1419" s="1" t="s">
        <v>6059</v>
      </c>
      <c r="G1419" s="3" t="s">
        <v>3156</v>
      </c>
      <c r="H1419" s="11">
        <f t="shared" si="44"/>
        <v>92.95</v>
      </c>
      <c r="I1419" s="9">
        <f>($K$2+0.02)*Tabla1[[#This Row],[PRECIO $]]*1.18</f>
        <v>77.34899999999999</v>
      </c>
      <c r="J1419" s="7">
        <f>+Tabla1[[#This Row],[PRECIO EN SOLES]]-Tabla1[[#This Row],[PC]]</f>
        <v>15.601000000000013</v>
      </c>
      <c r="K1419" s="15"/>
      <c r="L1419" s="15" t="str">
        <f t="shared" si="45"/>
        <v>NORMAL</v>
      </c>
    </row>
    <row r="1420" spans="1:12" x14ac:dyDescent="0.25">
      <c r="A1420" s="3" t="s">
        <v>3157</v>
      </c>
      <c r="B1420" s="3" t="s">
        <v>3158</v>
      </c>
      <c r="C1420" s="1">
        <v>20</v>
      </c>
      <c r="D1420" s="1">
        <v>23.5</v>
      </c>
      <c r="E1420" s="1" t="s">
        <v>3152</v>
      </c>
      <c r="F1420" s="1" t="s">
        <v>6060</v>
      </c>
      <c r="G1420" s="3" t="s">
        <v>3159</v>
      </c>
      <c r="H1420" s="11">
        <f t="shared" si="44"/>
        <v>116.02</v>
      </c>
      <c r="I1420" s="9">
        <f>($K$2+0.02)*Tabla1[[#This Row],[PRECIO $]]*1.18</f>
        <v>95.668499999999995</v>
      </c>
      <c r="J1420" s="7">
        <f>+Tabla1[[#This Row],[PRECIO EN SOLES]]-Tabla1[[#This Row],[PC]]</f>
        <v>20.351500000000001</v>
      </c>
      <c r="K1420" s="15"/>
      <c r="L1420" s="15" t="str">
        <f t="shared" si="45"/>
        <v>NORMAL</v>
      </c>
    </row>
    <row r="1421" spans="1:12" x14ac:dyDescent="0.25">
      <c r="A1421" s="3" t="s">
        <v>3160</v>
      </c>
      <c r="B1421" s="3" t="s">
        <v>3161</v>
      </c>
      <c r="C1421" s="1">
        <v>7</v>
      </c>
      <c r="D1421" s="1">
        <v>7.04</v>
      </c>
      <c r="E1421" s="1" t="s">
        <v>2964</v>
      </c>
      <c r="F1421" s="1" t="s">
        <v>6061</v>
      </c>
      <c r="G1421" s="3" t="s">
        <v>3162</v>
      </c>
      <c r="H1421" s="11">
        <f t="shared" si="44"/>
        <v>34.96</v>
      </c>
      <c r="I1421" s="9">
        <f>($K$2+0.02)*Tabla1[[#This Row],[PRECIO $]]*1.18</f>
        <v>28.659839999999999</v>
      </c>
      <c r="J1421" s="7">
        <f>+Tabla1[[#This Row],[PRECIO EN SOLES]]-Tabla1[[#This Row],[PC]]</f>
        <v>6.3001600000000018</v>
      </c>
      <c r="K1421" s="15"/>
      <c r="L1421" s="15" t="str">
        <f t="shared" si="45"/>
        <v>NORMAL</v>
      </c>
    </row>
    <row r="1422" spans="1:12" x14ac:dyDescent="0.25">
      <c r="A1422" s="3" t="s">
        <v>6062</v>
      </c>
      <c r="B1422" s="3" t="s">
        <v>6063</v>
      </c>
      <c r="C1422" s="1">
        <v>20</v>
      </c>
      <c r="D1422" s="1">
        <v>5.38</v>
      </c>
      <c r="E1422" s="1" t="s">
        <v>2964</v>
      </c>
      <c r="F1422" s="1" t="s">
        <v>6064</v>
      </c>
      <c r="G1422" s="3" t="s">
        <v>6065</v>
      </c>
      <c r="H1422" s="11">
        <f t="shared" si="44"/>
        <v>27.19</v>
      </c>
      <c r="I1422" s="9">
        <f>($K$2+0.02)*Tabla1[[#This Row],[PRECIO $]]*1.18</f>
        <v>21.901979999999998</v>
      </c>
      <c r="J1422" s="7">
        <f>+Tabla1[[#This Row],[PRECIO EN SOLES]]-Tabla1[[#This Row],[PC]]</f>
        <v>5.2880200000000031</v>
      </c>
      <c r="K1422" s="15"/>
      <c r="L1422" s="15" t="str">
        <f t="shared" si="45"/>
        <v>NORMAL</v>
      </c>
    </row>
    <row r="1423" spans="1:12" x14ac:dyDescent="0.25">
      <c r="A1423" s="3" t="s">
        <v>6066</v>
      </c>
      <c r="B1423" s="3" t="s">
        <v>6067</v>
      </c>
      <c r="C1423" s="1">
        <v>1</v>
      </c>
      <c r="D1423" s="1">
        <v>122.29</v>
      </c>
      <c r="E1423" s="1" t="s">
        <v>2964</v>
      </c>
      <c r="F1423" s="1" t="s">
        <v>6068</v>
      </c>
      <c r="G1423" s="3"/>
      <c r="H1423" s="11">
        <f t="shared" si="44"/>
        <v>580.52</v>
      </c>
      <c r="I1423" s="9">
        <f>($K$2+0.02)*Tabla1[[#This Row],[PRECIO $]]*1.18</f>
        <v>497.84258999999997</v>
      </c>
      <c r="J1423" s="7">
        <f>+Tabla1[[#This Row],[PRECIO EN SOLES]]-Tabla1[[#This Row],[PC]]</f>
        <v>82.677410000000009</v>
      </c>
      <c r="K1423" s="15"/>
      <c r="L1423" s="15" t="str">
        <f t="shared" si="45"/>
        <v>NORMAL</v>
      </c>
    </row>
    <row r="1424" spans="1:12" x14ac:dyDescent="0.25">
      <c r="A1424" s="3" t="s">
        <v>6069</v>
      </c>
      <c r="B1424" s="3" t="s">
        <v>6070</v>
      </c>
      <c r="C1424" s="1">
        <v>20</v>
      </c>
      <c r="D1424" s="1">
        <v>32.270000000000003</v>
      </c>
      <c r="E1424" s="1" t="s">
        <v>2964</v>
      </c>
      <c r="F1424" s="1" t="s">
        <v>6071</v>
      </c>
      <c r="G1424" s="3" t="s">
        <v>6072</v>
      </c>
      <c r="H1424" s="11">
        <f t="shared" si="44"/>
        <v>157.08000000000001</v>
      </c>
      <c r="I1424" s="9">
        <f>($K$2+0.02)*Tabla1[[#This Row],[PRECIO $]]*1.18</f>
        <v>131.37117000000001</v>
      </c>
      <c r="J1424" s="7">
        <f>+Tabla1[[#This Row],[PRECIO EN SOLES]]-Tabla1[[#This Row],[PC]]</f>
        <v>25.708830000000006</v>
      </c>
      <c r="K1424" s="15"/>
      <c r="L1424" s="15" t="str">
        <f t="shared" si="45"/>
        <v>NORMAL</v>
      </c>
    </row>
    <row r="1425" spans="1:12" x14ac:dyDescent="0.25">
      <c r="A1425" s="3" t="s">
        <v>6073</v>
      </c>
      <c r="B1425" s="3" t="s">
        <v>6074</v>
      </c>
      <c r="C1425" s="1">
        <v>20</v>
      </c>
      <c r="D1425" s="1">
        <v>16.55</v>
      </c>
      <c r="E1425" s="1" t="s">
        <v>2964</v>
      </c>
      <c r="F1425" s="1" t="s">
        <v>6075</v>
      </c>
      <c r="G1425" s="3" t="s">
        <v>6076</v>
      </c>
      <c r="H1425" s="11">
        <f t="shared" si="44"/>
        <v>81.48</v>
      </c>
      <c r="I1425" s="9">
        <f>($K$2+0.02)*Tabla1[[#This Row],[PRECIO $]]*1.18</f>
        <v>67.375050000000002</v>
      </c>
      <c r="J1425" s="7">
        <f>+Tabla1[[#This Row],[PRECIO EN SOLES]]-Tabla1[[#This Row],[PC]]</f>
        <v>14.104950000000002</v>
      </c>
      <c r="K1425" s="15"/>
      <c r="L1425" s="15" t="str">
        <f t="shared" si="45"/>
        <v>NORMAL</v>
      </c>
    </row>
    <row r="1426" spans="1:12" x14ac:dyDescent="0.25">
      <c r="A1426" s="3" t="s">
        <v>3163</v>
      </c>
      <c r="B1426" s="3" t="s">
        <v>3164</v>
      </c>
      <c r="C1426" s="1">
        <v>20</v>
      </c>
      <c r="D1426" s="1">
        <v>74.38</v>
      </c>
      <c r="E1426" s="1" t="s">
        <v>2964</v>
      </c>
      <c r="F1426" s="1" t="s">
        <v>6077</v>
      </c>
      <c r="G1426" s="3" t="s">
        <v>3165</v>
      </c>
      <c r="H1426" s="11">
        <f t="shared" si="44"/>
        <v>356.22</v>
      </c>
      <c r="I1426" s="9">
        <f>($K$2+0.02)*Tabla1[[#This Row],[PRECIO $]]*1.18</f>
        <v>302.80097999999998</v>
      </c>
      <c r="J1426" s="7">
        <f>+Tabla1[[#This Row],[PRECIO EN SOLES]]-Tabla1[[#This Row],[PC]]</f>
        <v>53.419020000000046</v>
      </c>
      <c r="K1426" s="15"/>
      <c r="L1426" s="15" t="str">
        <f t="shared" si="45"/>
        <v>NORMAL</v>
      </c>
    </row>
    <row r="1427" spans="1:12" x14ac:dyDescent="0.25">
      <c r="A1427" s="3" t="s">
        <v>3166</v>
      </c>
      <c r="B1427" s="3" t="s">
        <v>3167</v>
      </c>
      <c r="C1427" s="1">
        <v>3</v>
      </c>
      <c r="D1427" s="1">
        <v>69.38</v>
      </c>
      <c r="E1427" s="1" t="s">
        <v>2964</v>
      </c>
      <c r="F1427" s="1" t="s">
        <v>6078</v>
      </c>
      <c r="G1427" s="3" t="s">
        <v>3168</v>
      </c>
      <c r="H1427" s="11">
        <f t="shared" si="44"/>
        <v>332.81</v>
      </c>
      <c r="I1427" s="9">
        <f>($K$2+0.02)*Tabla1[[#This Row],[PRECIO $]]*1.18</f>
        <v>282.44597999999996</v>
      </c>
      <c r="J1427" s="7">
        <f>+Tabla1[[#This Row],[PRECIO EN SOLES]]-Tabla1[[#This Row],[PC]]</f>
        <v>50.364020000000039</v>
      </c>
      <c r="K1427" s="15"/>
      <c r="L1427" s="15" t="str">
        <f t="shared" si="45"/>
        <v>NORMAL</v>
      </c>
    </row>
    <row r="1428" spans="1:12" x14ac:dyDescent="0.25">
      <c r="A1428" s="3" t="s">
        <v>3169</v>
      </c>
      <c r="B1428" s="3" t="s">
        <v>3170</v>
      </c>
      <c r="C1428" s="1">
        <v>20</v>
      </c>
      <c r="D1428" s="1">
        <v>14.07</v>
      </c>
      <c r="E1428" s="1" t="s">
        <v>2964</v>
      </c>
      <c r="F1428" s="1" t="s">
        <v>6079</v>
      </c>
      <c r="G1428" s="3"/>
      <c r="H1428" s="11">
        <f t="shared" si="44"/>
        <v>69.87</v>
      </c>
      <c r="I1428" s="9">
        <f>($K$2+0.02)*Tabla1[[#This Row],[PRECIO $]]*1.18</f>
        <v>57.278970000000001</v>
      </c>
      <c r="J1428" s="7">
        <f>+Tabla1[[#This Row],[PRECIO EN SOLES]]-Tabla1[[#This Row],[PC]]</f>
        <v>12.591030000000003</v>
      </c>
      <c r="K1428" s="15"/>
      <c r="L1428" s="15" t="str">
        <f t="shared" si="45"/>
        <v>NORMAL</v>
      </c>
    </row>
    <row r="1429" spans="1:12" x14ac:dyDescent="0.25">
      <c r="A1429" s="3" t="s">
        <v>6080</v>
      </c>
      <c r="B1429" s="3" t="s">
        <v>6081</v>
      </c>
      <c r="C1429" s="1">
        <v>20</v>
      </c>
      <c r="D1429" s="1">
        <v>18</v>
      </c>
      <c r="E1429" s="1" t="s">
        <v>2964</v>
      </c>
      <c r="F1429" s="1" t="s">
        <v>6082</v>
      </c>
      <c r="G1429" s="3"/>
      <c r="H1429" s="11">
        <f t="shared" si="44"/>
        <v>88.27</v>
      </c>
      <c r="I1429" s="9">
        <f>($K$2+0.02)*Tabla1[[#This Row],[PRECIO $]]*1.18</f>
        <v>73.277999999999992</v>
      </c>
      <c r="J1429" s="7">
        <f>+Tabla1[[#This Row],[PRECIO EN SOLES]]-Tabla1[[#This Row],[PC]]</f>
        <v>14.992000000000004</v>
      </c>
      <c r="K1429" s="15"/>
      <c r="L1429" s="15" t="str">
        <f t="shared" si="45"/>
        <v>NORMAL</v>
      </c>
    </row>
    <row r="1430" spans="1:12" x14ac:dyDescent="0.25">
      <c r="A1430" s="3" t="s">
        <v>3171</v>
      </c>
      <c r="B1430" s="3" t="s">
        <v>3172</v>
      </c>
      <c r="C1430" s="1">
        <v>20</v>
      </c>
      <c r="D1430" s="1">
        <v>45.51</v>
      </c>
      <c r="E1430" s="1" t="s">
        <v>2964</v>
      </c>
      <c r="F1430" s="1" t="s">
        <v>6086</v>
      </c>
      <c r="G1430" s="3" t="s">
        <v>3173</v>
      </c>
      <c r="H1430" s="11">
        <f t="shared" si="44"/>
        <v>221.06</v>
      </c>
      <c r="I1430" s="9">
        <f>($K$2+0.02)*Tabla1[[#This Row],[PRECIO $]]*1.18</f>
        <v>185.27121</v>
      </c>
      <c r="J1430" s="7">
        <f>+Tabla1[[#This Row],[PRECIO EN SOLES]]-Tabla1[[#This Row],[PC]]</f>
        <v>35.788790000000006</v>
      </c>
      <c r="K1430" s="15"/>
      <c r="L1430" s="15" t="str">
        <f t="shared" si="45"/>
        <v>NORMAL</v>
      </c>
    </row>
    <row r="1431" spans="1:12" x14ac:dyDescent="0.25">
      <c r="A1431" s="3" t="s">
        <v>6087</v>
      </c>
      <c r="B1431" s="3" t="s">
        <v>6088</v>
      </c>
      <c r="C1431" s="1">
        <v>20</v>
      </c>
      <c r="D1431" s="1">
        <v>10.15</v>
      </c>
      <c r="E1431" s="1" t="s">
        <v>2964</v>
      </c>
      <c r="F1431" s="1" t="s">
        <v>6089</v>
      </c>
      <c r="G1431" s="3" t="s">
        <v>6090</v>
      </c>
      <c r="H1431" s="11">
        <f t="shared" si="44"/>
        <v>51.52</v>
      </c>
      <c r="I1431" s="9">
        <f>($K$2+0.02)*Tabla1[[#This Row],[PRECIO $]]*1.18</f>
        <v>41.320650000000008</v>
      </c>
      <c r="J1431" s="7">
        <f>+Tabla1[[#This Row],[PRECIO EN SOLES]]-Tabla1[[#This Row],[PC]]</f>
        <v>10.199349999999995</v>
      </c>
      <c r="K1431" s="15"/>
      <c r="L1431" s="15" t="str">
        <f t="shared" si="45"/>
        <v>NORMAL</v>
      </c>
    </row>
    <row r="1432" spans="1:12" x14ac:dyDescent="0.25">
      <c r="A1432" s="3" t="s">
        <v>3174</v>
      </c>
      <c r="B1432" s="3" t="s">
        <v>3175</v>
      </c>
      <c r="C1432" s="1">
        <v>20</v>
      </c>
      <c r="D1432" s="1">
        <v>351.89</v>
      </c>
      <c r="E1432" s="1" t="s">
        <v>2484</v>
      </c>
      <c r="F1432" s="1" t="s">
        <v>6091</v>
      </c>
      <c r="G1432" s="3" t="s">
        <v>3176</v>
      </c>
      <c r="H1432" s="11">
        <f t="shared" si="44"/>
        <v>1655.43</v>
      </c>
      <c r="I1432" s="9">
        <f>($K$2+0.02)*Tabla1[[#This Row],[PRECIO $]]*1.18</f>
        <v>1432.5441900000001</v>
      </c>
      <c r="J1432" s="7">
        <f>+Tabla1[[#This Row],[PRECIO EN SOLES]]-Tabla1[[#This Row],[PC]]</f>
        <v>222.88580999999999</v>
      </c>
      <c r="K1432" s="15"/>
      <c r="L1432" s="15" t="str">
        <f t="shared" si="45"/>
        <v>NORMAL</v>
      </c>
    </row>
    <row r="1433" spans="1:12" x14ac:dyDescent="0.25">
      <c r="A1433" s="3" t="s">
        <v>3177</v>
      </c>
      <c r="B1433" s="3" t="s">
        <v>3178</v>
      </c>
      <c r="C1433" s="1">
        <v>20</v>
      </c>
      <c r="D1433" s="1">
        <v>188.72</v>
      </c>
      <c r="E1433" s="1" t="s">
        <v>2484</v>
      </c>
      <c r="F1433" s="1" t="s">
        <v>6092</v>
      </c>
      <c r="G1433" s="3" t="s">
        <v>3179</v>
      </c>
      <c r="H1433" s="11">
        <f t="shared" si="44"/>
        <v>891.52</v>
      </c>
      <c r="I1433" s="9">
        <f>($K$2+0.02)*Tabla1[[#This Row],[PRECIO $]]*1.18</f>
        <v>768.27912000000003</v>
      </c>
      <c r="J1433" s="7">
        <f>+Tabla1[[#This Row],[PRECIO EN SOLES]]-Tabla1[[#This Row],[PC]]</f>
        <v>123.24087999999995</v>
      </c>
      <c r="K1433" s="15"/>
      <c r="L1433" s="15" t="str">
        <f t="shared" si="45"/>
        <v>NORMAL</v>
      </c>
    </row>
    <row r="1434" spans="1:12" x14ac:dyDescent="0.25">
      <c r="A1434" s="3" t="s">
        <v>3180</v>
      </c>
      <c r="B1434" s="3" t="s">
        <v>3181</v>
      </c>
      <c r="C1434" s="1">
        <v>20</v>
      </c>
      <c r="D1434" s="1">
        <v>85.5</v>
      </c>
      <c r="E1434" s="1" t="s">
        <v>131</v>
      </c>
      <c r="F1434" s="1" t="s">
        <v>6093</v>
      </c>
      <c r="G1434" s="3" t="s">
        <v>3182</v>
      </c>
      <c r="H1434" s="11">
        <f t="shared" si="44"/>
        <v>408.28</v>
      </c>
      <c r="I1434" s="9">
        <f>($K$2+0.02)*Tabla1[[#This Row],[PRECIO $]]*1.18</f>
        <v>348.07049999999998</v>
      </c>
      <c r="J1434" s="7">
        <f>+Tabla1[[#This Row],[PRECIO EN SOLES]]-Tabla1[[#This Row],[PC]]</f>
        <v>60.209499999999991</v>
      </c>
      <c r="K1434" s="15"/>
      <c r="L1434" s="15" t="str">
        <f t="shared" si="45"/>
        <v>NORMAL</v>
      </c>
    </row>
    <row r="1435" spans="1:12" x14ac:dyDescent="0.25">
      <c r="A1435" s="3" t="s">
        <v>3183</v>
      </c>
      <c r="B1435" s="3" t="s">
        <v>3184</v>
      </c>
      <c r="C1435" s="1">
        <v>4</v>
      </c>
      <c r="D1435" s="1">
        <v>3241.81</v>
      </c>
      <c r="E1435" s="1" t="s">
        <v>1054</v>
      </c>
      <c r="F1435" s="1" t="s">
        <v>6094</v>
      </c>
      <c r="G1435" s="3"/>
      <c r="H1435" s="11">
        <f t="shared" si="44"/>
        <v>15185.02</v>
      </c>
      <c r="I1435" s="9">
        <f>($K$2+0.02)*Tabla1[[#This Row],[PRECIO $]]*1.18</f>
        <v>13197.408509999999</v>
      </c>
      <c r="J1435" s="7">
        <f>+Tabla1[[#This Row],[PRECIO EN SOLES]]-Tabla1[[#This Row],[PC]]</f>
        <v>1987.6114900000011</v>
      </c>
      <c r="K1435" s="15"/>
      <c r="L1435" s="15" t="str">
        <f t="shared" si="45"/>
        <v>NORMAL</v>
      </c>
    </row>
    <row r="1436" spans="1:12" x14ac:dyDescent="0.25">
      <c r="A1436" s="3" t="s">
        <v>3185</v>
      </c>
      <c r="B1436" s="3" t="s">
        <v>3186</v>
      </c>
      <c r="C1436" s="1">
        <v>2</v>
      </c>
      <c r="D1436" s="1">
        <v>5604.64</v>
      </c>
      <c r="E1436" s="1" t="s">
        <v>1054</v>
      </c>
      <c r="F1436" s="1" t="s">
        <v>6095</v>
      </c>
      <c r="G1436" s="3"/>
      <c r="H1436" s="11">
        <f t="shared" si="44"/>
        <v>26246.959999999999</v>
      </c>
      <c r="I1436" s="9">
        <f>($K$2+0.02)*Tabla1[[#This Row],[PRECIO $]]*1.18</f>
        <v>22816.489440000001</v>
      </c>
      <c r="J1436" s="7">
        <f>+Tabla1[[#This Row],[PRECIO EN SOLES]]-Tabla1[[#This Row],[PC]]</f>
        <v>3430.4705599999979</v>
      </c>
      <c r="K1436" s="15"/>
      <c r="L1436" s="15" t="str">
        <f t="shared" si="45"/>
        <v>NORMAL</v>
      </c>
    </row>
    <row r="1437" spans="1:12" x14ac:dyDescent="0.25">
      <c r="A1437" s="3" t="s">
        <v>3187</v>
      </c>
      <c r="B1437" s="3" t="s">
        <v>3188</v>
      </c>
      <c r="C1437" s="1">
        <v>2</v>
      </c>
      <c r="D1437" s="1">
        <v>2720.93</v>
      </c>
      <c r="E1437" s="1" t="s">
        <v>1054</v>
      </c>
      <c r="F1437" s="1" t="s">
        <v>6096</v>
      </c>
      <c r="G1437" s="3" t="s">
        <v>3189</v>
      </c>
      <c r="H1437" s="11">
        <f t="shared" si="44"/>
        <v>12746.44</v>
      </c>
      <c r="I1437" s="9">
        <f>($K$2+0.02)*Tabla1[[#This Row],[PRECIO $]]*1.18</f>
        <v>11076.90603</v>
      </c>
      <c r="J1437" s="7">
        <f>+Tabla1[[#This Row],[PRECIO EN SOLES]]-Tabla1[[#This Row],[PC]]</f>
        <v>1669.5339700000004</v>
      </c>
      <c r="K1437" s="15"/>
      <c r="L1437" s="15" t="str">
        <f t="shared" si="45"/>
        <v>NORMAL</v>
      </c>
    </row>
    <row r="1438" spans="1:12" x14ac:dyDescent="0.25">
      <c r="A1438" s="3" t="s">
        <v>3190</v>
      </c>
      <c r="B1438" s="3" t="s">
        <v>3191</v>
      </c>
      <c r="C1438" s="1">
        <v>1</v>
      </c>
      <c r="D1438" s="1">
        <v>4999.71</v>
      </c>
      <c r="E1438" s="1" t="s">
        <v>1054</v>
      </c>
      <c r="F1438" s="1" t="s">
        <v>6097</v>
      </c>
      <c r="G1438" s="3"/>
      <c r="H1438" s="11">
        <f t="shared" si="44"/>
        <v>23414.89</v>
      </c>
      <c r="I1438" s="9">
        <f>($K$2+0.02)*Tabla1[[#This Row],[PRECIO $]]*1.18</f>
        <v>20353.81941</v>
      </c>
      <c r="J1438" s="7">
        <f>+Tabla1[[#This Row],[PRECIO EN SOLES]]-Tabla1[[#This Row],[PC]]</f>
        <v>3061.0705899999994</v>
      </c>
      <c r="K1438" s="15"/>
      <c r="L1438" s="15" t="str">
        <f t="shared" si="45"/>
        <v>NORMAL</v>
      </c>
    </row>
    <row r="1439" spans="1:12" x14ac:dyDescent="0.25">
      <c r="A1439" s="3" t="s">
        <v>3192</v>
      </c>
      <c r="B1439" s="3" t="s">
        <v>3193</v>
      </c>
      <c r="C1439" s="1">
        <v>1</v>
      </c>
      <c r="D1439" s="1">
        <v>2090</v>
      </c>
      <c r="E1439" s="1" t="s">
        <v>1054</v>
      </c>
      <c r="F1439" s="1" t="s">
        <v>6098</v>
      </c>
      <c r="G1439" s="3"/>
      <c r="H1439" s="11">
        <f t="shared" si="44"/>
        <v>9792.65</v>
      </c>
      <c r="I1439" s="9">
        <f>($K$2+0.02)*Tabla1[[#This Row],[PRECIO $]]*1.18</f>
        <v>8508.39</v>
      </c>
      <c r="J1439" s="7">
        <f>+Tabla1[[#This Row],[PRECIO EN SOLES]]-Tabla1[[#This Row],[PC]]</f>
        <v>1284.2600000000002</v>
      </c>
      <c r="K1439" s="15"/>
      <c r="L1439" s="15" t="str">
        <f t="shared" si="45"/>
        <v>NORMAL</v>
      </c>
    </row>
    <row r="1440" spans="1:12" x14ac:dyDescent="0.25">
      <c r="A1440" s="3" t="s">
        <v>6083</v>
      </c>
      <c r="B1440" s="3" t="s">
        <v>6084</v>
      </c>
      <c r="C1440" s="1">
        <v>2</v>
      </c>
      <c r="D1440" s="1">
        <v>356.61</v>
      </c>
      <c r="E1440" s="1" t="s">
        <v>2964</v>
      </c>
      <c r="F1440" s="1" t="s">
        <v>6085</v>
      </c>
      <c r="G1440" s="3"/>
      <c r="H1440" s="11">
        <f t="shared" si="44"/>
        <v>1677.52</v>
      </c>
      <c r="I1440" s="9">
        <f>($K$2+0.02)*Tabla1[[#This Row],[PRECIO $]]*1.18</f>
        <v>1451.7593100000001</v>
      </c>
      <c r="J1440" s="7">
        <f>+Tabla1[[#This Row],[PRECIO EN SOLES]]-Tabla1[[#This Row],[PC]]</f>
        <v>225.76068999999984</v>
      </c>
      <c r="K1440" s="15"/>
      <c r="L1440" s="15" t="str">
        <f t="shared" si="45"/>
        <v>NORMAL</v>
      </c>
    </row>
    <row r="1441" spans="1:12" x14ac:dyDescent="0.25">
      <c r="A1441" s="3" t="s">
        <v>3194</v>
      </c>
      <c r="B1441" s="3" t="s">
        <v>3195</v>
      </c>
      <c r="C1441" s="1">
        <v>4</v>
      </c>
      <c r="D1441" s="1">
        <v>1418.92</v>
      </c>
      <c r="E1441" s="1" t="s">
        <v>1054</v>
      </c>
      <c r="F1441" s="1" t="s">
        <v>6099</v>
      </c>
      <c r="G1441" s="3" t="s">
        <v>3196</v>
      </c>
      <c r="H1441" s="11">
        <f t="shared" si="44"/>
        <v>6650.89</v>
      </c>
      <c r="I1441" s="9">
        <f>($K$2+0.02)*Tabla1[[#This Row],[PRECIO $]]*1.18</f>
        <v>5776.4233199999999</v>
      </c>
      <c r="J1441" s="7">
        <f>+Tabla1[[#This Row],[PRECIO EN SOLES]]-Tabla1[[#This Row],[PC]]</f>
        <v>874.46668000000045</v>
      </c>
      <c r="K1441" s="15"/>
      <c r="L1441" s="15" t="str">
        <f t="shared" si="45"/>
        <v>NORMAL</v>
      </c>
    </row>
    <row r="1442" spans="1:12" x14ac:dyDescent="0.25">
      <c r="A1442" s="3" t="s">
        <v>3197</v>
      </c>
      <c r="B1442" s="3" t="s">
        <v>3195</v>
      </c>
      <c r="C1442" s="1">
        <v>1</v>
      </c>
      <c r="D1442" s="1">
        <v>1372.65</v>
      </c>
      <c r="E1442" s="1" t="s">
        <v>1054</v>
      </c>
      <c r="F1442" s="1" t="s">
        <v>6100</v>
      </c>
      <c r="G1442" s="3"/>
      <c r="H1442" s="11">
        <f t="shared" si="44"/>
        <v>6434.27</v>
      </c>
      <c r="I1442" s="9">
        <f>($K$2+0.02)*Tabla1[[#This Row],[PRECIO $]]*1.18</f>
        <v>5588.0581500000008</v>
      </c>
      <c r="J1442" s="7">
        <f>+Tabla1[[#This Row],[PRECIO EN SOLES]]-Tabla1[[#This Row],[PC]]</f>
        <v>846.21184999999969</v>
      </c>
      <c r="K1442" s="15"/>
      <c r="L1442" s="15" t="str">
        <f t="shared" si="45"/>
        <v>NORMAL</v>
      </c>
    </row>
    <row r="1443" spans="1:12" x14ac:dyDescent="0.25">
      <c r="A1443" s="3" t="s">
        <v>3198</v>
      </c>
      <c r="B1443" s="3" t="s">
        <v>3199</v>
      </c>
      <c r="C1443" s="1">
        <v>0</v>
      </c>
      <c r="D1443" s="1">
        <v>957.36</v>
      </c>
      <c r="E1443" s="1" t="s">
        <v>1054</v>
      </c>
      <c r="F1443" s="1" t="s">
        <v>6101</v>
      </c>
      <c r="G1443" s="3" t="s">
        <v>3200</v>
      </c>
      <c r="H1443" s="11">
        <f t="shared" si="44"/>
        <v>4490.0200000000004</v>
      </c>
      <c r="I1443" s="9">
        <f>($K$2+0.02)*Tabla1[[#This Row],[PRECIO $]]*1.18</f>
        <v>3897.4125600000002</v>
      </c>
      <c r="J1443" s="7">
        <f>+Tabla1[[#This Row],[PRECIO EN SOLES]]-Tabla1[[#This Row],[PC]]</f>
        <v>592.60744000000022</v>
      </c>
      <c r="K1443" s="15"/>
      <c r="L1443" s="15" t="str">
        <f t="shared" si="45"/>
        <v>NORMAL</v>
      </c>
    </row>
    <row r="1444" spans="1:12" x14ac:dyDescent="0.25">
      <c r="A1444" s="3" t="s">
        <v>3201</v>
      </c>
      <c r="B1444" s="3" t="s">
        <v>3199</v>
      </c>
      <c r="C1444" s="1">
        <v>0</v>
      </c>
      <c r="D1444" s="1">
        <v>951.02</v>
      </c>
      <c r="E1444" s="1" t="s">
        <v>1054</v>
      </c>
      <c r="F1444" s="1" t="s">
        <v>6102</v>
      </c>
      <c r="G1444" s="3" t="s">
        <v>3200</v>
      </c>
      <c r="H1444" s="11">
        <f t="shared" si="44"/>
        <v>4460.34</v>
      </c>
      <c r="I1444" s="9">
        <f>($K$2+0.02)*Tabla1[[#This Row],[PRECIO $]]*1.18</f>
        <v>3871.6024200000002</v>
      </c>
      <c r="J1444" s="7">
        <f>+Tabla1[[#This Row],[PRECIO EN SOLES]]-Tabla1[[#This Row],[PC]]</f>
        <v>588.73757999999998</v>
      </c>
      <c r="K1444" s="15"/>
      <c r="L1444" s="15" t="str">
        <f t="shared" si="45"/>
        <v>NORMAL</v>
      </c>
    </row>
    <row r="1445" spans="1:12" x14ac:dyDescent="0.25">
      <c r="A1445" s="3" t="s">
        <v>3202</v>
      </c>
      <c r="B1445" s="3" t="s">
        <v>3203</v>
      </c>
      <c r="C1445" s="1">
        <v>7</v>
      </c>
      <c r="D1445" s="1">
        <v>1730.09</v>
      </c>
      <c r="E1445" s="1" t="s">
        <v>1054</v>
      </c>
      <c r="F1445" s="1" t="s">
        <v>6103</v>
      </c>
      <c r="G1445" s="3" t="s">
        <v>3204</v>
      </c>
      <c r="H1445" s="11">
        <f t="shared" si="44"/>
        <v>8107.68</v>
      </c>
      <c r="I1445" s="9">
        <f>($K$2+0.02)*Tabla1[[#This Row],[PRECIO $]]*1.18</f>
        <v>7043.1963899999992</v>
      </c>
      <c r="J1445" s="7">
        <f>+Tabla1[[#This Row],[PRECIO EN SOLES]]-Tabla1[[#This Row],[PC]]</f>
        <v>1064.4836100000011</v>
      </c>
      <c r="K1445" s="15"/>
      <c r="L1445" s="15" t="str">
        <f t="shared" si="45"/>
        <v>NORMAL</v>
      </c>
    </row>
    <row r="1446" spans="1:12" x14ac:dyDescent="0.25">
      <c r="A1446" s="3" t="s">
        <v>3205</v>
      </c>
      <c r="B1446" s="3" t="s">
        <v>3206</v>
      </c>
      <c r="C1446" s="1">
        <v>3</v>
      </c>
      <c r="D1446" s="1">
        <v>4361.43</v>
      </c>
      <c r="E1446" s="1" t="s">
        <v>1054</v>
      </c>
      <c r="F1446" s="1" t="s">
        <v>6104</v>
      </c>
      <c r="G1446" s="3"/>
      <c r="H1446" s="11">
        <f t="shared" si="44"/>
        <v>20426.689999999999</v>
      </c>
      <c r="I1446" s="9">
        <f>($K$2+0.02)*Tabla1[[#This Row],[PRECIO $]]*1.18</f>
        <v>17755.381529999999</v>
      </c>
      <c r="J1446" s="7">
        <f>+Tabla1[[#This Row],[PRECIO EN SOLES]]-Tabla1[[#This Row],[PC]]</f>
        <v>2671.3084699999999</v>
      </c>
      <c r="K1446" s="15"/>
      <c r="L1446" s="15" t="str">
        <f t="shared" si="45"/>
        <v>NORMAL</v>
      </c>
    </row>
    <row r="1447" spans="1:12" x14ac:dyDescent="0.25">
      <c r="A1447" s="3" t="s">
        <v>3207</v>
      </c>
      <c r="B1447" s="3" t="s">
        <v>3208</v>
      </c>
      <c r="C1447" s="1">
        <v>1</v>
      </c>
      <c r="D1447" s="1">
        <v>17638.900000000001</v>
      </c>
      <c r="E1447" s="1" t="s">
        <v>1054</v>
      </c>
      <c r="F1447" s="1" t="s">
        <v>6105</v>
      </c>
      <c r="G1447" s="3"/>
      <c r="H1447" s="11">
        <f t="shared" si="44"/>
        <v>82587.16</v>
      </c>
      <c r="I1447" s="9">
        <f>($K$2+0.02)*Tabla1[[#This Row],[PRECIO $]]*1.18</f>
        <v>71807.961900000009</v>
      </c>
      <c r="J1447" s="7">
        <f>+Tabla1[[#This Row],[PRECIO EN SOLES]]-Tabla1[[#This Row],[PC]]</f>
        <v>10779.198099999994</v>
      </c>
      <c r="K1447" s="15"/>
      <c r="L1447" s="15" t="str">
        <f t="shared" si="45"/>
        <v>NORMAL</v>
      </c>
    </row>
    <row r="1448" spans="1:12" x14ac:dyDescent="0.25">
      <c r="A1448" s="3" t="s">
        <v>6106</v>
      </c>
      <c r="B1448" s="3" t="s">
        <v>6107</v>
      </c>
      <c r="C1448" s="1">
        <v>2</v>
      </c>
      <c r="D1448" s="1">
        <v>315.45999999999998</v>
      </c>
      <c r="E1448" s="1" t="s">
        <v>2964</v>
      </c>
      <c r="F1448" s="1" t="s">
        <v>6108</v>
      </c>
      <c r="G1448" s="3"/>
      <c r="H1448" s="11">
        <f t="shared" si="44"/>
        <v>1484.87</v>
      </c>
      <c r="I1448" s="9">
        <f>($K$2+0.02)*Tabla1[[#This Row],[PRECIO $]]*1.18</f>
        <v>1284.23766</v>
      </c>
      <c r="J1448" s="7">
        <f>+Tabla1[[#This Row],[PRECIO EN SOLES]]-Tabla1[[#This Row],[PC]]</f>
        <v>200.63233999999989</v>
      </c>
      <c r="K1448" s="15"/>
      <c r="L1448" s="15" t="str">
        <f t="shared" si="45"/>
        <v>NORMAL</v>
      </c>
    </row>
    <row r="1449" spans="1:12" x14ac:dyDescent="0.25">
      <c r="A1449" s="3" t="s">
        <v>3209</v>
      </c>
      <c r="B1449" s="3" t="s">
        <v>3210</v>
      </c>
      <c r="C1449" s="1">
        <v>20</v>
      </c>
      <c r="D1449" s="1">
        <v>208.58</v>
      </c>
      <c r="E1449" s="1" t="s">
        <v>2484</v>
      </c>
      <c r="F1449" s="1" t="s">
        <v>6109</v>
      </c>
      <c r="G1449" s="3" t="s">
        <v>3211</v>
      </c>
      <c r="H1449" s="11">
        <f t="shared" si="44"/>
        <v>984.5</v>
      </c>
      <c r="I1449" s="9">
        <f>($K$2+0.02)*Tabla1[[#This Row],[PRECIO $]]*1.18</f>
        <v>849.12918000000013</v>
      </c>
      <c r="J1449" s="7">
        <f>+Tabla1[[#This Row],[PRECIO EN SOLES]]-Tabla1[[#This Row],[PC]]</f>
        <v>135.37081999999987</v>
      </c>
      <c r="K1449" s="15"/>
      <c r="L1449" s="15" t="str">
        <f t="shared" si="45"/>
        <v>NORMAL</v>
      </c>
    </row>
    <row r="1450" spans="1:12" x14ac:dyDescent="0.25">
      <c r="A1450" s="3" t="s">
        <v>3212</v>
      </c>
      <c r="B1450" s="3" t="s">
        <v>3213</v>
      </c>
      <c r="C1450" s="1">
        <v>13</v>
      </c>
      <c r="D1450" s="1">
        <v>116.35</v>
      </c>
      <c r="E1450" s="1" t="s">
        <v>2484</v>
      </c>
      <c r="F1450" s="1" t="s">
        <v>6110</v>
      </c>
      <c r="G1450" s="3" t="s">
        <v>3214</v>
      </c>
      <c r="H1450" s="11">
        <f t="shared" si="44"/>
        <v>552.71</v>
      </c>
      <c r="I1450" s="9">
        <f>($K$2+0.02)*Tabla1[[#This Row],[PRECIO $]]*1.18</f>
        <v>473.66084999999998</v>
      </c>
      <c r="J1450" s="7">
        <f>+Tabla1[[#This Row],[PRECIO EN SOLES]]-Tabla1[[#This Row],[PC]]</f>
        <v>79.049150000000054</v>
      </c>
      <c r="K1450" s="15"/>
      <c r="L1450" s="15" t="str">
        <f t="shared" si="45"/>
        <v>NORMAL</v>
      </c>
    </row>
    <row r="1451" spans="1:12" x14ac:dyDescent="0.25">
      <c r="A1451" s="3" t="s">
        <v>3215</v>
      </c>
      <c r="B1451" s="3" t="s">
        <v>3216</v>
      </c>
      <c r="C1451" s="1">
        <v>20</v>
      </c>
      <c r="D1451" s="1">
        <v>95.84</v>
      </c>
      <c r="E1451" s="1" t="s">
        <v>2484</v>
      </c>
      <c r="F1451" s="1" t="s">
        <v>6111</v>
      </c>
      <c r="G1451" s="3" t="s">
        <v>3217</v>
      </c>
      <c r="H1451" s="11">
        <f t="shared" si="44"/>
        <v>456.69</v>
      </c>
      <c r="I1451" s="9">
        <f>($K$2+0.02)*Tabla1[[#This Row],[PRECIO $]]*1.18</f>
        <v>390.16464000000002</v>
      </c>
      <c r="J1451" s="7">
        <f>+Tabla1[[#This Row],[PRECIO EN SOLES]]-Tabla1[[#This Row],[PC]]</f>
        <v>66.525359999999978</v>
      </c>
      <c r="K1451" s="15"/>
      <c r="L1451" s="15" t="str">
        <f t="shared" si="45"/>
        <v>NORMAL</v>
      </c>
    </row>
    <row r="1452" spans="1:12" x14ac:dyDescent="0.25">
      <c r="A1452" s="3" t="s">
        <v>3218</v>
      </c>
      <c r="B1452" s="3" t="s">
        <v>3219</v>
      </c>
      <c r="C1452" s="1">
        <v>15</v>
      </c>
      <c r="D1452" s="1">
        <v>22.73</v>
      </c>
      <c r="E1452" s="1" t="s">
        <v>2484</v>
      </c>
      <c r="F1452" s="1" t="s">
        <v>6112</v>
      </c>
      <c r="G1452" s="3" t="s">
        <v>3220</v>
      </c>
      <c r="H1452" s="11">
        <f t="shared" si="44"/>
        <v>112.41</v>
      </c>
      <c r="I1452" s="9">
        <f>($K$2+0.02)*Tabla1[[#This Row],[PRECIO $]]*1.18</f>
        <v>92.533830000000009</v>
      </c>
      <c r="J1452" s="7">
        <f>+Tabla1[[#This Row],[PRECIO EN SOLES]]-Tabla1[[#This Row],[PC]]</f>
        <v>19.876169999999988</v>
      </c>
      <c r="K1452" s="15"/>
      <c r="L1452" s="15" t="str">
        <f t="shared" si="45"/>
        <v>NORMAL</v>
      </c>
    </row>
    <row r="1453" spans="1:12" x14ac:dyDescent="0.25">
      <c r="A1453" s="3" t="s">
        <v>3221</v>
      </c>
      <c r="B1453" s="3" t="s">
        <v>3222</v>
      </c>
      <c r="C1453" s="1">
        <v>20</v>
      </c>
      <c r="D1453" s="1">
        <v>73.099999999999994</v>
      </c>
      <c r="E1453" s="1" t="s">
        <v>2484</v>
      </c>
      <c r="F1453" s="1" t="s">
        <v>6113</v>
      </c>
      <c r="G1453" s="3" t="s">
        <v>3223</v>
      </c>
      <c r="H1453" s="11">
        <f t="shared" si="44"/>
        <v>350.23</v>
      </c>
      <c r="I1453" s="9">
        <f>($K$2+0.02)*Tabla1[[#This Row],[PRECIO $]]*1.18</f>
        <v>297.59009999999995</v>
      </c>
      <c r="J1453" s="7">
        <f>+Tabla1[[#This Row],[PRECIO EN SOLES]]-Tabla1[[#This Row],[PC]]</f>
        <v>52.639900000000068</v>
      </c>
      <c r="K1453" s="15"/>
      <c r="L1453" s="15" t="str">
        <f t="shared" si="45"/>
        <v>NORMAL</v>
      </c>
    </row>
    <row r="1454" spans="1:12" x14ac:dyDescent="0.25">
      <c r="A1454" s="3" t="s">
        <v>3224</v>
      </c>
      <c r="B1454" s="3" t="s">
        <v>3225</v>
      </c>
      <c r="C1454" s="1">
        <v>3</v>
      </c>
      <c r="D1454" s="1">
        <v>128.66999999999999</v>
      </c>
      <c r="E1454" s="1" t="s">
        <v>2964</v>
      </c>
      <c r="F1454" s="1" t="s">
        <v>6114</v>
      </c>
      <c r="G1454" s="3" t="s">
        <v>3226</v>
      </c>
      <c r="H1454" s="11">
        <f t="shared" si="44"/>
        <v>610.39</v>
      </c>
      <c r="I1454" s="9">
        <f>($K$2+0.02)*Tabla1[[#This Row],[PRECIO $]]*1.18</f>
        <v>523.81556999999998</v>
      </c>
      <c r="J1454" s="7">
        <f>+Tabla1[[#This Row],[PRECIO EN SOLES]]-Tabla1[[#This Row],[PC]]</f>
        <v>86.574430000000007</v>
      </c>
      <c r="K1454" s="15"/>
      <c r="L1454" s="15" t="str">
        <f t="shared" si="45"/>
        <v>NORMAL</v>
      </c>
    </row>
    <row r="1455" spans="1:12" x14ac:dyDescent="0.25">
      <c r="A1455" s="3" t="s">
        <v>3227</v>
      </c>
      <c r="B1455" s="3" t="s">
        <v>3228</v>
      </c>
      <c r="C1455" s="1">
        <v>3</v>
      </c>
      <c r="D1455" s="1">
        <v>554.6</v>
      </c>
      <c r="E1455" s="1" t="s">
        <v>1054</v>
      </c>
      <c r="F1455" s="1" t="s">
        <v>6115</v>
      </c>
      <c r="G1455" s="3" t="s">
        <v>3229</v>
      </c>
      <c r="H1455" s="11">
        <f t="shared" si="44"/>
        <v>2604.44</v>
      </c>
      <c r="I1455" s="9">
        <f>($K$2+0.02)*Tabla1[[#This Row],[PRECIO $]]*1.18</f>
        <v>2257.7766000000001</v>
      </c>
      <c r="J1455" s="7">
        <f>+Tabla1[[#This Row],[PRECIO EN SOLES]]-Tabla1[[#This Row],[PC]]</f>
        <v>346.66339999999991</v>
      </c>
      <c r="K1455" s="15"/>
      <c r="L1455" s="15" t="str">
        <f t="shared" si="45"/>
        <v>NORMAL</v>
      </c>
    </row>
    <row r="1456" spans="1:12" x14ac:dyDescent="0.25">
      <c r="A1456" s="3" t="s">
        <v>3230</v>
      </c>
      <c r="B1456" s="3" t="s">
        <v>3231</v>
      </c>
      <c r="C1456" s="1">
        <v>1</v>
      </c>
      <c r="D1456" s="1">
        <v>19</v>
      </c>
      <c r="E1456" s="1" t="s">
        <v>131</v>
      </c>
      <c r="F1456" s="1" t="s">
        <v>6116</v>
      </c>
      <c r="G1456" s="3"/>
      <c r="H1456" s="11">
        <f t="shared" si="44"/>
        <v>92.95</v>
      </c>
      <c r="I1456" s="9">
        <f>($K$2+0.02)*Tabla1[[#This Row],[PRECIO $]]*1.18</f>
        <v>77.34899999999999</v>
      </c>
      <c r="J1456" s="7">
        <f>+Tabla1[[#This Row],[PRECIO EN SOLES]]-Tabla1[[#This Row],[PC]]</f>
        <v>15.601000000000013</v>
      </c>
      <c r="K1456" s="15"/>
      <c r="L1456" s="15" t="str">
        <f t="shared" si="45"/>
        <v>NORMAL</v>
      </c>
    </row>
    <row r="1457" spans="1:12" x14ac:dyDescent="0.25">
      <c r="A1457" s="3" t="s">
        <v>3232</v>
      </c>
      <c r="B1457" s="3" t="s">
        <v>3233</v>
      </c>
      <c r="C1457" s="1">
        <v>20</v>
      </c>
      <c r="D1457" s="1">
        <v>1.1000000000000001</v>
      </c>
      <c r="E1457" s="1" t="s">
        <v>131</v>
      </c>
      <c r="F1457" s="1" t="s">
        <v>6117</v>
      </c>
      <c r="G1457" s="3" t="s">
        <v>3234</v>
      </c>
      <c r="H1457" s="11">
        <f t="shared" si="44"/>
        <v>7.15</v>
      </c>
      <c r="I1457" s="9">
        <f>($K$2+0.02)*Tabla1[[#This Row],[PRECIO $]]*1.18</f>
        <v>4.4781000000000004</v>
      </c>
      <c r="J1457" s="7">
        <f>+Tabla1[[#This Row],[PRECIO EN SOLES]]-Tabla1[[#This Row],[PC]]</f>
        <v>2.6718999999999999</v>
      </c>
      <c r="K1457" s="15"/>
      <c r="L1457" s="15" t="str">
        <f t="shared" si="45"/>
        <v>NORMAL</v>
      </c>
    </row>
    <row r="1458" spans="1:12" x14ac:dyDescent="0.25">
      <c r="A1458" s="3" t="s">
        <v>3235</v>
      </c>
      <c r="B1458" s="3" t="s">
        <v>3236</v>
      </c>
      <c r="C1458" s="1">
        <v>0</v>
      </c>
      <c r="D1458" s="1">
        <v>9999999.9900000002</v>
      </c>
      <c r="E1458" s="1" t="s">
        <v>131</v>
      </c>
      <c r="F1458" s="1" t="s">
        <v>6118</v>
      </c>
      <c r="G1458" s="3"/>
      <c r="H1458" s="11">
        <f t="shared" si="44"/>
        <v>46816507.950000003</v>
      </c>
      <c r="I1458" s="9">
        <f>($K$2+0.02)*Tabla1[[#This Row],[PRECIO $]]*1.18</f>
        <v>40709999.959290005</v>
      </c>
      <c r="J1458" s="7">
        <f>+Tabla1[[#This Row],[PRECIO EN SOLES]]-Tabla1[[#This Row],[PC]]</f>
        <v>6106507.9907099977</v>
      </c>
      <c r="K1458" s="15"/>
      <c r="L1458" s="15" t="str">
        <f t="shared" si="45"/>
        <v>NORMAL</v>
      </c>
    </row>
    <row r="1459" spans="1:12" x14ac:dyDescent="0.25">
      <c r="A1459" s="3" t="s">
        <v>3237</v>
      </c>
      <c r="B1459" s="3" t="s">
        <v>3238</v>
      </c>
      <c r="C1459" s="1">
        <v>1</v>
      </c>
      <c r="D1459" s="1">
        <v>15</v>
      </c>
      <c r="E1459" s="1" t="s">
        <v>131</v>
      </c>
      <c r="F1459" s="1" t="s">
        <v>6119</v>
      </c>
      <c r="G1459" s="3"/>
      <c r="H1459" s="11">
        <f t="shared" si="44"/>
        <v>74.22</v>
      </c>
      <c r="I1459" s="9">
        <f>($K$2+0.02)*Tabla1[[#This Row],[PRECIO $]]*1.18</f>
        <v>61.064999999999998</v>
      </c>
      <c r="J1459" s="7">
        <f>+Tabla1[[#This Row],[PRECIO EN SOLES]]-Tabla1[[#This Row],[PC]]</f>
        <v>13.155000000000001</v>
      </c>
      <c r="K1459" s="15"/>
      <c r="L1459" s="15" t="str">
        <f t="shared" si="45"/>
        <v>NORMAL</v>
      </c>
    </row>
    <row r="1460" spans="1:12" x14ac:dyDescent="0.25">
      <c r="A1460" s="3" t="s">
        <v>3239</v>
      </c>
      <c r="B1460" s="3" t="s">
        <v>3240</v>
      </c>
      <c r="C1460" s="1">
        <v>0</v>
      </c>
      <c r="D1460" s="1">
        <v>110</v>
      </c>
      <c r="E1460" s="1" t="s">
        <v>131</v>
      </c>
      <c r="F1460" s="1" t="s">
        <v>6120</v>
      </c>
      <c r="G1460" s="3" t="s">
        <v>3241</v>
      </c>
      <c r="H1460" s="11">
        <f t="shared" si="44"/>
        <v>522.98</v>
      </c>
      <c r="I1460" s="9">
        <f>($K$2+0.02)*Tabla1[[#This Row],[PRECIO $]]*1.18</f>
        <v>447.81</v>
      </c>
      <c r="J1460" s="7">
        <f>+Tabla1[[#This Row],[PRECIO EN SOLES]]-Tabla1[[#This Row],[PC]]</f>
        <v>75.170000000000016</v>
      </c>
      <c r="K1460" s="15"/>
      <c r="L1460" s="15" t="str">
        <f t="shared" si="45"/>
        <v>NORMAL</v>
      </c>
    </row>
    <row r="1461" spans="1:12" x14ac:dyDescent="0.25">
      <c r="A1461" s="3" t="s">
        <v>3242</v>
      </c>
      <c r="B1461" s="3" t="s">
        <v>3243</v>
      </c>
      <c r="C1461" s="1">
        <v>0</v>
      </c>
      <c r="D1461" s="1">
        <v>30</v>
      </c>
      <c r="E1461" s="1" t="s">
        <v>131</v>
      </c>
      <c r="F1461" s="1" t="s">
        <v>6121</v>
      </c>
      <c r="G1461" s="3"/>
      <c r="H1461" s="11">
        <f t="shared" si="44"/>
        <v>157.66</v>
      </c>
      <c r="I1461" s="9">
        <f>($K$2+0.02)*Tabla1[[#This Row],[PRECIO $]]*1.18</f>
        <v>122.13</v>
      </c>
      <c r="J1461" s="7">
        <f>+Tabla1[[#This Row],[PRECIO EN SOLES]]-Tabla1[[#This Row],[PC]]</f>
        <v>35.53</v>
      </c>
      <c r="K1461" s="15"/>
      <c r="L1461" s="15" t="str">
        <f t="shared" si="45"/>
        <v>COMPLEMENTO</v>
      </c>
    </row>
    <row r="1462" spans="1:12" x14ac:dyDescent="0.25">
      <c r="A1462" s="3" t="s">
        <v>3244</v>
      </c>
      <c r="B1462" s="3" t="s">
        <v>3245</v>
      </c>
      <c r="C1462" s="1">
        <v>0</v>
      </c>
      <c r="D1462" s="1">
        <v>85</v>
      </c>
      <c r="E1462" s="1" t="s">
        <v>269</v>
      </c>
      <c r="F1462" s="1" t="s">
        <v>6122</v>
      </c>
      <c r="G1462" s="3" t="s">
        <v>3246</v>
      </c>
      <c r="H1462" s="11">
        <f t="shared" si="44"/>
        <v>405.94</v>
      </c>
      <c r="I1462" s="9">
        <f>($K$2+0.02)*Tabla1[[#This Row],[PRECIO $]]*1.18</f>
        <v>346.03499999999997</v>
      </c>
      <c r="J1462" s="7">
        <f>+Tabla1[[#This Row],[PRECIO EN SOLES]]-Tabla1[[#This Row],[PC]]</f>
        <v>59.90500000000003</v>
      </c>
      <c r="K1462" s="15"/>
      <c r="L1462" s="15" t="str">
        <f t="shared" si="45"/>
        <v>NORMAL</v>
      </c>
    </row>
    <row r="1463" spans="1:12" x14ac:dyDescent="0.25">
      <c r="A1463" s="3" t="s">
        <v>3247</v>
      </c>
      <c r="B1463" s="3" t="s">
        <v>3248</v>
      </c>
      <c r="C1463" s="1">
        <v>0</v>
      </c>
      <c r="D1463" s="1">
        <v>110</v>
      </c>
      <c r="E1463" s="1" t="s">
        <v>126</v>
      </c>
      <c r="F1463" s="1" t="s">
        <v>6123</v>
      </c>
      <c r="G1463" s="3"/>
      <c r="H1463" s="11">
        <f t="shared" si="44"/>
        <v>522.98</v>
      </c>
      <c r="I1463" s="9">
        <f>($K$2+0.02)*Tabla1[[#This Row],[PRECIO $]]*1.18</f>
        <v>447.81</v>
      </c>
      <c r="J1463" s="7">
        <f>+Tabla1[[#This Row],[PRECIO EN SOLES]]-Tabla1[[#This Row],[PC]]</f>
        <v>75.170000000000016</v>
      </c>
      <c r="K1463" s="15"/>
      <c r="L1463" s="15" t="str">
        <f t="shared" si="45"/>
        <v>NORMAL</v>
      </c>
    </row>
    <row r="1464" spans="1:12" x14ac:dyDescent="0.25">
      <c r="A1464" s="3" t="s">
        <v>3249</v>
      </c>
      <c r="B1464" s="3" t="s">
        <v>3250</v>
      </c>
      <c r="C1464" s="1">
        <v>0</v>
      </c>
      <c r="D1464" s="1">
        <v>48</v>
      </c>
      <c r="E1464" s="1" t="s">
        <v>1051</v>
      </c>
      <c r="F1464" s="1" t="s">
        <v>6124</v>
      </c>
      <c r="G1464" s="3" t="s">
        <v>3251</v>
      </c>
      <c r="H1464" s="11">
        <f t="shared" si="44"/>
        <v>232.72</v>
      </c>
      <c r="I1464" s="9">
        <f>($K$2+0.02)*Tabla1[[#This Row],[PRECIO $]]*1.18</f>
        <v>195.40800000000002</v>
      </c>
      <c r="J1464" s="7">
        <f>+Tabla1[[#This Row],[PRECIO EN SOLES]]-Tabla1[[#This Row],[PC]]</f>
        <v>37.311999999999983</v>
      </c>
      <c r="K1464" s="15"/>
      <c r="L1464" s="15" t="str">
        <f t="shared" si="45"/>
        <v>NORMAL</v>
      </c>
    </row>
    <row r="1465" spans="1:12" x14ac:dyDescent="0.25">
      <c r="A1465" s="3" t="s">
        <v>3252</v>
      </c>
      <c r="B1465" s="3" t="s">
        <v>3253</v>
      </c>
      <c r="C1465" s="1">
        <v>20</v>
      </c>
      <c r="D1465" s="1">
        <v>521.74</v>
      </c>
      <c r="E1465" s="1" t="s">
        <v>1100</v>
      </c>
      <c r="F1465" s="1" t="s">
        <v>6125</v>
      </c>
      <c r="G1465" s="3" t="s">
        <v>3254</v>
      </c>
      <c r="H1465" s="11">
        <f t="shared" si="44"/>
        <v>2450.6</v>
      </c>
      <c r="I1465" s="9">
        <f>($K$2+0.02)*Tabla1[[#This Row],[PRECIO $]]*1.18</f>
        <v>2124.0035400000002</v>
      </c>
      <c r="J1465" s="7">
        <f>+Tabla1[[#This Row],[PRECIO EN SOLES]]-Tabla1[[#This Row],[PC]]</f>
        <v>326.59645999999975</v>
      </c>
      <c r="K1465" s="15"/>
      <c r="L1465" s="15" t="str">
        <f t="shared" si="45"/>
        <v>NORMAL</v>
      </c>
    </row>
    <row r="1466" spans="1:12" x14ac:dyDescent="0.25">
      <c r="A1466" s="3" t="s">
        <v>3255</v>
      </c>
      <c r="B1466" s="3" t="s">
        <v>3256</v>
      </c>
      <c r="C1466" s="1">
        <v>16</v>
      </c>
      <c r="D1466" s="1">
        <v>815.99</v>
      </c>
      <c r="E1466" s="1" t="s">
        <v>1051</v>
      </c>
      <c r="F1466" s="1" t="s">
        <v>6126</v>
      </c>
      <c r="G1466" s="3" t="s">
        <v>3257</v>
      </c>
      <c r="H1466" s="11">
        <f t="shared" si="44"/>
        <v>3828.18</v>
      </c>
      <c r="I1466" s="9">
        <f>($K$2+0.02)*Tabla1[[#This Row],[PRECIO $]]*1.18</f>
        <v>3321.8952899999999</v>
      </c>
      <c r="J1466" s="7">
        <f>+Tabla1[[#This Row],[PRECIO EN SOLES]]-Tabla1[[#This Row],[PC]]</f>
        <v>506.2847099999999</v>
      </c>
      <c r="K1466" s="15"/>
      <c r="L1466" s="15" t="str">
        <f t="shared" si="45"/>
        <v>NORMAL</v>
      </c>
    </row>
    <row r="1467" spans="1:12" x14ac:dyDescent="0.25">
      <c r="A1467" s="3" t="s">
        <v>3258</v>
      </c>
      <c r="B1467" s="3" t="s">
        <v>3259</v>
      </c>
      <c r="C1467" s="1">
        <v>1</v>
      </c>
      <c r="D1467" s="1">
        <v>728.07</v>
      </c>
      <c r="E1467" s="1" t="s">
        <v>1051</v>
      </c>
      <c r="F1467" s="1" t="s">
        <v>6127</v>
      </c>
      <c r="G1467" s="3" t="s">
        <v>3260</v>
      </c>
      <c r="H1467" s="11">
        <f t="shared" si="44"/>
        <v>3416.57</v>
      </c>
      <c r="I1467" s="9">
        <f>($K$2+0.02)*Tabla1[[#This Row],[PRECIO $]]*1.18</f>
        <v>2963.9729700000003</v>
      </c>
      <c r="J1467" s="7">
        <f>+Tabla1[[#This Row],[PRECIO EN SOLES]]-Tabla1[[#This Row],[PC]]</f>
        <v>452.5970299999999</v>
      </c>
      <c r="K1467" s="15"/>
      <c r="L1467" s="15" t="str">
        <f t="shared" si="45"/>
        <v>NORMAL</v>
      </c>
    </row>
    <row r="1468" spans="1:12" x14ac:dyDescent="0.25">
      <c r="A1468" s="3" t="s">
        <v>3261</v>
      </c>
      <c r="B1468" s="3" t="s">
        <v>3259</v>
      </c>
      <c r="C1468" s="1">
        <v>0</v>
      </c>
      <c r="D1468" s="1">
        <v>788.86</v>
      </c>
      <c r="E1468" s="1" t="s">
        <v>1051</v>
      </c>
      <c r="F1468" s="1" t="s">
        <v>6128</v>
      </c>
      <c r="G1468" s="3" t="s">
        <v>3260</v>
      </c>
      <c r="H1468" s="11">
        <f t="shared" si="44"/>
        <v>3701.17</v>
      </c>
      <c r="I1468" s="9">
        <f>($K$2+0.02)*Tabla1[[#This Row],[PRECIO $]]*1.18</f>
        <v>3211.4490599999999</v>
      </c>
      <c r="J1468" s="7">
        <f>+Tabla1[[#This Row],[PRECIO EN SOLES]]-Tabla1[[#This Row],[PC]]</f>
        <v>489.72094000000016</v>
      </c>
      <c r="K1468" s="15"/>
      <c r="L1468" s="15" t="str">
        <f t="shared" si="45"/>
        <v>NORMAL</v>
      </c>
    </row>
    <row r="1469" spans="1:12" x14ac:dyDescent="0.25">
      <c r="A1469" s="3" t="s">
        <v>3262</v>
      </c>
      <c r="B1469" s="3" t="s">
        <v>3263</v>
      </c>
      <c r="C1469" s="1">
        <v>4</v>
      </c>
      <c r="D1469" s="1">
        <v>419.86</v>
      </c>
      <c r="E1469" s="1" t="s">
        <v>1051</v>
      </c>
      <c r="F1469" s="1" t="s">
        <v>6129</v>
      </c>
      <c r="G1469" s="3"/>
      <c r="H1469" s="11">
        <f t="shared" si="44"/>
        <v>1973.64</v>
      </c>
      <c r="I1469" s="9">
        <f>($K$2+0.02)*Tabla1[[#This Row],[PRECIO $]]*1.18</f>
        <v>1709.2500600000001</v>
      </c>
      <c r="J1469" s="7">
        <f>+Tabla1[[#This Row],[PRECIO EN SOLES]]-Tabla1[[#This Row],[PC]]</f>
        <v>264.38994000000002</v>
      </c>
      <c r="K1469" s="15"/>
      <c r="L1469" s="15" t="str">
        <f t="shared" si="45"/>
        <v>NORMAL</v>
      </c>
    </row>
    <row r="1470" spans="1:12" x14ac:dyDescent="0.25">
      <c r="A1470" s="3" t="s">
        <v>3264</v>
      </c>
      <c r="B1470" s="3" t="s">
        <v>3265</v>
      </c>
      <c r="C1470" s="1">
        <v>19</v>
      </c>
      <c r="D1470" s="1">
        <v>491.66</v>
      </c>
      <c r="E1470" s="1" t="s">
        <v>1051</v>
      </c>
      <c r="F1470" s="1" t="s">
        <v>6130</v>
      </c>
      <c r="G1470" s="3"/>
      <c r="H1470" s="11">
        <f t="shared" si="44"/>
        <v>2309.7800000000002</v>
      </c>
      <c r="I1470" s="9">
        <f>($K$2+0.02)*Tabla1[[#This Row],[PRECIO $]]*1.18</f>
        <v>2001.5478599999999</v>
      </c>
      <c r="J1470" s="7">
        <f>+Tabla1[[#This Row],[PRECIO EN SOLES]]-Tabla1[[#This Row],[PC]]</f>
        <v>308.2321400000003</v>
      </c>
      <c r="K1470" s="15"/>
      <c r="L1470" s="15" t="str">
        <f t="shared" si="45"/>
        <v>NORMAL</v>
      </c>
    </row>
    <row r="1471" spans="1:12" x14ac:dyDescent="0.25">
      <c r="A1471" s="3" t="s">
        <v>3266</v>
      </c>
      <c r="B1471" s="3" t="s">
        <v>3267</v>
      </c>
      <c r="C1471" s="1">
        <v>0</v>
      </c>
      <c r="D1471" s="1">
        <v>748.15</v>
      </c>
      <c r="E1471" s="1" t="s">
        <v>1051</v>
      </c>
      <c r="F1471" s="1" t="s">
        <v>6131</v>
      </c>
      <c r="G1471" s="3" t="s">
        <v>3268</v>
      </c>
      <c r="H1471" s="11">
        <f t="shared" si="44"/>
        <v>3510.58</v>
      </c>
      <c r="I1471" s="9">
        <f>($K$2+0.02)*Tabla1[[#This Row],[PRECIO $]]*1.18</f>
        <v>3045.7186499999998</v>
      </c>
      <c r="J1471" s="7">
        <f>+Tabla1[[#This Row],[PRECIO EN SOLES]]-Tabla1[[#This Row],[PC]]</f>
        <v>464.86135000000013</v>
      </c>
      <c r="K1471" s="15"/>
      <c r="L1471" s="15" t="str">
        <f t="shared" si="45"/>
        <v>NORMAL</v>
      </c>
    </row>
    <row r="1472" spans="1:12" x14ac:dyDescent="0.25">
      <c r="A1472" s="3" t="s">
        <v>3269</v>
      </c>
      <c r="B1472" s="3" t="s">
        <v>3270</v>
      </c>
      <c r="C1472" s="1">
        <v>1</v>
      </c>
      <c r="D1472" s="1">
        <v>526.88</v>
      </c>
      <c r="E1472" s="1" t="s">
        <v>1100</v>
      </c>
      <c r="F1472" s="1" t="s">
        <v>6132</v>
      </c>
      <c r="G1472" s="3" t="s">
        <v>3271</v>
      </c>
      <c r="H1472" s="11">
        <f t="shared" si="44"/>
        <v>2474.67</v>
      </c>
      <c r="I1472" s="9">
        <f>($K$2+0.02)*Tabla1[[#This Row],[PRECIO $]]*1.18</f>
        <v>2144.92848</v>
      </c>
      <c r="J1472" s="7">
        <f>+Tabla1[[#This Row],[PRECIO EN SOLES]]-Tabla1[[#This Row],[PC]]</f>
        <v>329.74152000000004</v>
      </c>
      <c r="K1472" s="15"/>
      <c r="L1472" s="15" t="str">
        <f t="shared" si="45"/>
        <v>NORMAL</v>
      </c>
    </row>
    <row r="1473" spans="1:12" x14ac:dyDescent="0.25">
      <c r="A1473" s="3" t="s">
        <v>3272</v>
      </c>
      <c r="B1473" s="3" t="s">
        <v>3273</v>
      </c>
      <c r="C1473" s="1">
        <v>1</v>
      </c>
      <c r="D1473" s="1">
        <v>722.83</v>
      </c>
      <c r="E1473" s="1" t="s">
        <v>1100</v>
      </c>
      <c r="F1473" s="1" t="s">
        <v>6133</v>
      </c>
      <c r="G1473" s="3" t="s">
        <v>3274</v>
      </c>
      <c r="H1473" s="11">
        <f t="shared" si="44"/>
        <v>3392.04</v>
      </c>
      <c r="I1473" s="9">
        <f>($K$2+0.02)*Tabla1[[#This Row],[PRECIO $]]*1.18</f>
        <v>2942.6409300000005</v>
      </c>
      <c r="J1473" s="7">
        <f>+Tabla1[[#This Row],[PRECIO EN SOLES]]-Tabla1[[#This Row],[PC]]</f>
        <v>449.39906999999948</v>
      </c>
      <c r="K1473" s="15"/>
      <c r="L1473" s="15" t="str">
        <f t="shared" si="45"/>
        <v>NORMAL</v>
      </c>
    </row>
    <row r="1474" spans="1:12" x14ac:dyDescent="0.25">
      <c r="A1474" s="3" t="s">
        <v>3275</v>
      </c>
      <c r="B1474" s="3" t="s">
        <v>3276</v>
      </c>
      <c r="C1474" s="1">
        <v>2</v>
      </c>
      <c r="D1474" s="1">
        <v>631.65</v>
      </c>
      <c r="E1474" s="1" t="s">
        <v>1100</v>
      </c>
      <c r="F1474" s="1" t="s">
        <v>6134</v>
      </c>
      <c r="G1474" s="3" t="s">
        <v>3277</v>
      </c>
      <c r="H1474" s="11">
        <f t="shared" ref="H1474:H1537" si="46">ROUND(
IF(L1474="GANCHO",
   IF(I1474&lt;=50,I1474*1.1+4,IF(I1474&lt;=120,I1474*1.1+7,IF(I1474&lt;=250,I1474*1.1+11,I1474*1.1+19))),
IF(L1474="NORMAL",
   IF(I1474&lt;=30,I1474*1.15+2,IF(I1474&lt;=80,I1474*1.15+4,IF(I1474&lt;=150,I1474*1.15+6,I1474*1.15+8))),
IF(L1474="COMPLEMENTO",
   IF(I1474&lt;=25,I1474*1.25+1.5,IF(I1474&lt;=60,I1474*1.25+3,IF(I1474&lt;=120,I1474*1.25+4,I1474*1.25+5))),
""))),2)</f>
        <v>2965.16</v>
      </c>
      <c r="I1474" s="9">
        <f>($K$2+0.02)*Tabla1[[#This Row],[PRECIO $]]*1.18</f>
        <v>2571.44715</v>
      </c>
      <c r="J1474" s="7">
        <f>+Tabla1[[#This Row],[PRECIO EN SOLES]]-Tabla1[[#This Row],[PC]]</f>
        <v>393.71284999999989</v>
      </c>
      <c r="K1474" s="15"/>
      <c r="L1474" s="15" t="str">
        <f t="shared" si="45"/>
        <v>NORMAL</v>
      </c>
    </row>
    <row r="1475" spans="1:12" x14ac:dyDescent="0.25">
      <c r="A1475" s="3" t="s">
        <v>3278</v>
      </c>
      <c r="B1475" s="3" t="s">
        <v>3279</v>
      </c>
      <c r="C1475" s="1">
        <v>20</v>
      </c>
      <c r="D1475" s="1">
        <v>4297.83</v>
      </c>
      <c r="E1475" s="1" t="s">
        <v>1051</v>
      </c>
      <c r="F1475" s="1" t="s">
        <v>6135</v>
      </c>
      <c r="G1475" s="3"/>
      <c r="H1475" s="11">
        <f t="shared" si="46"/>
        <v>20128.939999999999</v>
      </c>
      <c r="I1475" s="9">
        <f>($K$2+0.02)*Tabla1[[#This Row],[PRECIO $]]*1.18</f>
        <v>17496.465929999998</v>
      </c>
      <c r="J1475" s="7">
        <f>+Tabla1[[#This Row],[PRECIO EN SOLES]]-Tabla1[[#This Row],[PC]]</f>
        <v>2632.4740700000002</v>
      </c>
      <c r="K1475" s="15"/>
      <c r="L1475" s="15" t="str">
        <f t="shared" ref="L1475:L1538" si="47">IF(
OR(
ISNUMBER(SEARCH("BACKPACK",B1475)),
ISNUMBER(SEARCH("MOCHILA",B1475)),
ISNUMBER(SEARCH("FUNDA",B1475)),
ISNUMBER(SEARCH("ESTUCHE",B1475)),
ISNUMBER(SEARCH("BOOK COVER",B1475)),
ISNUMBER(SEARCH("KEYBOARD PARA TABLET",B1475)),
ISNUMBER(SEARCH("FLIP TABLET",B1475)),
ISNUMBER(SEARCH("CASE FOR TABLET",B1475)),
ISNUMBER(SEARCH("CABLE",B1475)),
ISNUMBER(SEARCH("ADAPTADOR",B1475)),
ISNUMBER(SEARCH("HUB",B1475)),
ISNUMBER(SEARCH("DOCK",B1475)),
ISNUMBER(SEARCH("MOUSE PAD",B1475)),
ISNUMBER(SEARCH("MOUSEPAD",B1475)),
ISNUMBER(SEARCH("SOPORTE",B1475)),
ISNUMBER(SEARCH("STAND",B1475)),
ISNUMBER(SEARCH("TRAVEL ADAPTER",B1475)),
ISNUMBER(SEARCH("RJ45",B1475)),
ISNUMBER(SEARCH("USB-C",B1475)),
ISNUMBER(SEARCH("USB WIFI",B1475)),
ISNUMBER(SEARCH("POWERBANK",B1475)),
ISNUMBER(SEARCH("CARGADOR",B1475)),
ISNUMBER(SEARCH("COOLER PARA NB",B1475)),
ISNUMBER(SEARCH("SOPORTE PARA NB",B1475)),
ISNUMBER(SEARCH("WEBCAM",B1475)),
ISNUMBER(SEARCH("WEB CAM",B1475)),
ISNUMBER(SEARCH("MOUSE",B1475)),
ISNUMBER(SEARCH("TECLADO",B1475))
),
"COMPLEMENTO",
IF(
OR(
LEFT(A1475,2)="NB",
LEFT(A1475,2)="PC",
LEFT(A1475,2)="WS",
LEFT(A1475,2)="TB",
LEFT(A1475,3)="CEL",
LEFT(A1475,3)="MON",
LEFT(A1475,3)="PRE",
LEFT(A1475,3)="PRH",
ISNUMBER(SEARCH("NOTEBOOK",B1475)),
ISNUMBER(SEARCH("LAPTOP",B1475)),
ISNUMBER(SEARCH("MONITOR",B1475)),
ISNUMBER(SEARCH("TABLET",B1475)),
ISNUMBER(SEARCH("SMARTPH",B1475)),
ISNUMBER(SEARCH("IMPRESORA",B1475)),
ISNUMBER(SEARCH("MULTIFUNCIONAL",B1475)),
ISNUMBER(SEARCH("AIO",B1475))
),
"GANCHO",
"NORMAL"
)
)</f>
        <v>NORMAL</v>
      </c>
    </row>
    <row r="1476" spans="1:12" x14ac:dyDescent="0.25">
      <c r="A1476" s="3" t="s">
        <v>3280</v>
      </c>
      <c r="B1476" s="3" t="s">
        <v>3281</v>
      </c>
      <c r="C1476" s="1">
        <v>16</v>
      </c>
      <c r="D1476" s="1">
        <v>7116.85</v>
      </c>
      <c r="E1476" s="1" t="s">
        <v>1051</v>
      </c>
      <c r="F1476" s="1" t="s">
        <v>6136</v>
      </c>
      <c r="G1476" s="3"/>
      <c r="H1476" s="11">
        <f t="shared" si="46"/>
        <v>33326.6</v>
      </c>
      <c r="I1476" s="9">
        <f>($K$2+0.02)*Tabla1[[#This Row],[PRECIO $]]*1.18</f>
        <v>28972.696350000002</v>
      </c>
      <c r="J1476" s="7">
        <f>+Tabla1[[#This Row],[PRECIO EN SOLES]]-Tabla1[[#This Row],[PC]]</f>
        <v>4353.9036499999966</v>
      </c>
      <c r="K1476" s="15"/>
      <c r="L1476" s="15" t="str">
        <f t="shared" si="47"/>
        <v>NORMAL</v>
      </c>
    </row>
    <row r="1477" spans="1:12" x14ac:dyDescent="0.25">
      <c r="A1477" s="3" t="s">
        <v>3282</v>
      </c>
      <c r="B1477" s="3" t="s">
        <v>3283</v>
      </c>
      <c r="C1477" s="1">
        <v>14</v>
      </c>
      <c r="D1477" s="1">
        <v>11998.4</v>
      </c>
      <c r="E1477" s="1" t="s">
        <v>1051</v>
      </c>
      <c r="F1477" s="1" t="s">
        <v>6137</v>
      </c>
      <c r="G1477" s="3" t="s">
        <v>3284</v>
      </c>
      <c r="H1477" s="11">
        <f t="shared" si="46"/>
        <v>56180.31</v>
      </c>
      <c r="I1477" s="9">
        <f>($K$2+0.02)*Tabla1[[#This Row],[PRECIO $]]*1.18</f>
        <v>48845.486400000002</v>
      </c>
      <c r="J1477" s="7">
        <f>+Tabla1[[#This Row],[PRECIO EN SOLES]]-Tabla1[[#This Row],[PC]]</f>
        <v>7334.8235999999961</v>
      </c>
      <c r="K1477" s="15"/>
      <c r="L1477" s="15" t="str">
        <f t="shared" si="47"/>
        <v>NORMAL</v>
      </c>
    </row>
    <row r="1478" spans="1:12" x14ac:dyDescent="0.25">
      <c r="A1478" s="3" t="s">
        <v>3285</v>
      </c>
      <c r="B1478" s="3" t="s">
        <v>3279</v>
      </c>
      <c r="C1478" s="1">
        <v>1</v>
      </c>
      <c r="D1478" s="1">
        <v>2311.17</v>
      </c>
      <c r="E1478" s="1" t="s">
        <v>1051</v>
      </c>
      <c r="F1478" s="1" t="s">
        <v>6138</v>
      </c>
      <c r="G1478" s="3"/>
      <c r="H1478" s="11">
        <f t="shared" si="46"/>
        <v>10828.09</v>
      </c>
      <c r="I1478" s="9">
        <f>($K$2+0.02)*Tabla1[[#This Row],[PRECIO $]]*1.18</f>
        <v>9408.7730700000011</v>
      </c>
      <c r="J1478" s="7">
        <f>+Tabla1[[#This Row],[PRECIO EN SOLES]]-Tabla1[[#This Row],[PC]]</f>
        <v>1419.316929999999</v>
      </c>
      <c r="K1478" s="15"/>
      <c r="L1478" s="15" t="str">
        <f t="shared" si="47"/>
        <v>NORMAL</v>
      </c>
    </row>
    <row r="1479" spans="1:12" x14ac:dyDescent="0.25">
      <c r="A1479" s="3" t="s">
        <v>3286</v>
      </c>
      <c r="B1479" s="3" t="s">
        <v>3287</v>
      </c>
      <c r="C1479" s="1">
        <v>11</v>
      </c>
      <c r="D1479" s="1">
        <v>1485.51</v>
      </c>
      <c r="E1479" s="1" t="s">
        <v>1100</v>
      </c>
      <c r="F1479" s="1" t="s">
        <v>6139</v>
      </c>
      <c r="G1479" s="3" t="s">
        <v>3288</v>
      </c>
      <c r="H1479" s="11">
        <f t="shared" si="46"/>
        <v>6962.64</v>
      </c>
      <c r="I1479" s="9">
        <f>($K$2+0.02)*Tabla1[[#This Row],[PRECIO $]]*1.18</f>
        <v>6047.5112099999997</v>
      </c>
      <c r="J1479" s="7">
        <f>+Tabla1[[#This Row],[PRECIO EN SOLES]]-Tabla1[[#This Row],[PC]]</f>
        <v>915.12879000000066</v>
      </c>
      <c r="K1479" s="15"/>
      <c r="L1479" s="15" t="str">
        <f t="shared" si="47"/>
        <v>NORMAL</v>
      </c>
    </row>
    <row r="1480" spans="1:12" x14ac:dyDescent="0.25">
      <c r="A1480" s="3" t="s">
        <v>3289</v>
      </c>
      <c r="B1480" s="3" t="s">
        <v>3290</v>
      </c>
      <c r="C1480" s="1">
        <v>7</v>
      </c>
      <c r="D1480" s="1">
        <v>1530.48</v>
      </c>
      <c r="E1480" s="1" t="s">
        <v>1051</v>
      </c>
      <c r="F1480" s="1" t="s">
        <v>6140</v>
      </c>
      <c r="G1480" s="3"/>
      <c r="H1480" s="11">
        <f t="shared" si="46"/>
        <v>7173.17</v>
      </c>
      <c r="I1480" s="9">
        <f>($K$2+0.02)*Tabla1[[#This Row],[PRECIO $]]*1.18</f>
        <v>6230.5840799999996</v>
      </c>
      <c r="J1480" s="7">
        <f>+Tabla1[[#This Row],[PRECIO EN SOLES]]-Tabla1[[#This Row],[PC]]</f>
        <v>942.58592000000044</v>
      </c>
      <c r="K1480" s="15"/>
      <c r="L1480" s="15" t="str">
        <f t="shared" si="47"/>
        <v>NORMAL</v>
      </c>
    </row>
    <row r="1481" spans="1:12" x14ac:dyDescent="0.25">
      <c r="A1481" s="3" t="s">
        <v>3291</v>
      </c>
      <c r="B1481" s="3" t="s">
        <v>3292</v>
      </c>
      <c r="C1481" s="1">
        <v>8</v>
      </c>
      <c r="D1481" s="1">
        <v>2413.98</v>
      </c>
      <c r="E1481" s="1" t="s">
        <v>1100</v>
      </c>
      <c r="F1481" s="1" t="s">
        <v>6141</v>
      </c>
      <c r="G1481" s="3" t="s">
        <v>3293</v>
      </c>
      <c r="H1481" s="11">
        <f t="shared" si="46"/>
        <v>11309.41</v>
      </c>
      <c r="I1481" s="9">
        <f>($K$2+0.02)*Tabla1[[#This Row],[PRECIO $]]*1.18</f>
        <v>9827.3125799999998</v>
      </c>
      <c r="J1481" s="7">
        <f>+Tabla1[[#This Row],[PRECIO EN SOLES]]-Tabla1[[#This Row],[PC]]</f>
        <v>1482.0974200000001</v>
      </c>
      <c r="K1481" s="15"/>
      <c r="L1481" s="15" t="str">
        <f t="shared" si="47"/>
        <v>NORMAL</v>
      </c>
    </row>
    <row r="1482" spans="1:12" x14ac:dyDescent="0.25">
      <c r="A1482" s="3" t="s">
        <v>3294</v>
      </c>
      <c r="B1482" s="3" t="s">
        <v>3295</v>
      </c>
      <c r="C1482" s="1">
        <v>0</v>
      </c>
      <c r="D1482" s="1">
        <v>500</v>
      </c>
      <c r="E1482" s="1" t="s">
        <v>1051</v>
      </c>
      <c r="F1482" s="1" t="s">
        <v>6142</v>
      </c>
      <c r="G1482" s="3" t="s">
        <v>3296</v>
      </c>
      <c r="H1482" s="11">
        <f t="shared" si="46"/>
        <v>2348.83</v>
      </c>
      <c r="I1482" s="9">
        <f>($K$2+0.02)*Tabla1[[#This Row],[PRECIO $]]*1.18</f>
        <v>2035.5</v>
      </c>
      <c r="J1482" s="7">
        <f>+Tabla1[[#This Row],[PRECIO EN SOLES]]-Tabla1[[#This Row],[PC]]</f>
        <v>313.32999999999993</v>
      </c>
      <c r="K1482" s="15"/>
      <c r="L1482" s="15" t="str">
        <f t="shared" si="47"/>
        <v>NORMAL</v>
      </c>
    </row>
    <row r="1483" spans="1:12" x14ac:dyDescent="0.25">
      <c r="A1483" s="3" t="s">
        <v>3297</v>
      </c>
      <c r="B1483" s="3" t="s">
        <v>3298</v>
      </c>
      <c r="C1483" s="1">
        <v>7</v>
      </c>
      <c r="D1483" s="1">
        <v>800.91</v>
      </c>
      <c r="E1483" s="1" t="s">
        <v>1051</v>
      </c>
      <c r="F1483" s="1" t="s">
        <v>6143</v>
      </c>
      <c r="G1483" s="3"/>
      <c r="H1483" s="11">
        <f t="shared" si="46"/>
        <v>3757.58</v>
      </c>
      <c r="I1483" s="9">
        <f>($K$2+0.02)*Tabla1[[#This Row],[PRECIO $]]*1.18</f>
        <v>3260.50461</v>
      </c>
      <c r="J1483" s="7">
        <f>+Tabla1[[#This Row],[PRECIO EN SOLES]]-Tabla1[[#This Row],[PC]]</f>
        <v>497.07538999999997</v>
      </c>
      <c r="K1483" s="15"/>
      <c r="L1483" s="15" t="str">
        <f t="shared" si="47"/>
        <v>NORMAL</v>
      </c>
    </row>
    <row r="1484" spans="1:12" x14ac:dyDescent="0.25">
      <c r="A1484" s="3" t="s">
        <v>3299</v>
      </c>
      <c r="B1484" s="3" t="s">
        <v>3300</v>
      </c>
      <c r="C1484" s="1">
        <v>14</v>
      </c>
      <c r="D1484" s="1">
        <v>7086.74</v>
      </c>
      <c r="E1484" s="1" t="s">
        <v>1051</v>
      </c>
      <c r="F1484" s="1" t="s">
        <v>6144</v>
      </c>
      <c r="G1484" s="3"/>
      <c r="H1484" s="11">
        <f t="shared" si="46"/>
        <v>33185.64</v>
      </c>
      <c r="I1484" s="9">
        <f>($K$2+0.02)*Tabla1[[#This Row],[PRECIO $]]*1.18</f>
        <v>28850.118539999999</v>
      </c>
      <c r="J1484" s="7">
        <f>+Tabla1[[#This Row],[PRECIO EN SOLES]]-Tabla1[[#This Row],[PC]]</f>
        <v>4335.5214599999999</v>
      </c>
      <c r="K1484" s="15"/>
      <c r="L1484" s="15" t="str">
        <f t="shared" si="47"/>
        <v>NORMAL</v>
      </c>
    </row>
    <row r="1485" spans="1:12" x14ac:dyDescent="0.25">
      <c r="A1485" s="3" t="s">
        <v>3301</v>
      </c>
      <c r="B1485" s="3" t="s">
        <v>3302</v>
      </c>
      <c r="C1485" s="1">
        <v>7</v>
      </c>
      <c r="D1485" s="1">
        <v>2587.23</v>
      </c>
      <c r="E1485" s="1" t="s">
        <v>1100</v>
      </c>
      <c r="F1485" s="1" t="s">
        <v>6145</v>
      </c>
      <c r="G1485" s="3" t="s">
        <v>3303</v>
      </c>
      <c r="H1485" s="11">
        <f t="shared" si="46"/>
        <v>12120.51</v>
      </c>
      <c r="I1485" s="9">
        <f>($K$2+0.02)*Tabla1[[#This Row],[PRECIO $]]*1.18</f>
        <v>10532.61333</v>
      </c>
      <c r="J1485" s="7">
        <f>+Tabla1[[#This Row],[PRECIO EN SOLES]]-Tabla1[[#This Row],[PC]]</f>
        <v>1587.8966700000001</v>
      </c>
      <c r="K1485" s="15"/>
      <c r="L1485" s="15" t="str">
        <f t="shared" si="47"/>
        <v>NORMAL</v>
      </c>
    </row>
    <row r="1486" spans="1:12" x14ac:dyDescent="0.25">
      <c r="A1486" s="3" t="s">
        <v>3304</v>
      </c>
      <c r="B1486" s="3" t="s">
        <v>3305</v>
      </c>
      <c r="C1486" s="1">
        <v>17</v>
      </c>
      <c r="D1486" s="1">
        <v>3478.26</v>
      </c>
      <c r="E1486" s="1" t="s">
        <v>1100</v>
      </c>
      <c r="F1486" s="1" t="s">
        <v>6146</v>
      </c>
      <c r="G1486" s="3" t="s">
        <v>3306</v>
      </c>
      <c r="H1486" s="11">
        <f t="shared" si="46"/>
        <v>16292</v>
      </c>
      <c r="I1486" s="9">
        <f>($K$2+0.02)*Tabla1[[#This Row],[PRECIO $]]*1.18</f>
        <v>14159.99646</v>
      </c>
      <c r="J1486" s="7">
        <f>+Tabla1[[#This Row],[PRECIO EN SOLES]]-Tabla1[[#This Row],[PC]]</f>
        <v>2132.0035399999997</v>
      </c>
      <c r="K1486" s="15"/>
      <c r="L1486" s="15" t="str">
        <f t="shared" si="47"/>
        <v>NORMAL</v>
      </c>
    </row>
    <row r="1487" spans="1:12" x14ac:dyDescent="0.25">
      <c r="A1487" s="3" t="s">
        <v>3307</v>
      </c>
      <c r="B1487" s="3" t="s">
        <v>3308</v>
      </c>
      <c r="C1487" s="1">
        <v>13</v>
      </c>
      <c r="D1487" s="1">
        <v>3180</v>
      </c>
      <c r="E1487" s="1" t="s">
        <v>1100</v>
      </c>
      <c r="F1487" s="1" t="s">
        <v>6147</v>
      </c>
      <c r="G1487" s="3" t="s">
        <v>3309</v>
      </c>
      <c r="H1487" s="11">
        <f t="shared" si="46"/>
        <v>14895.65</v>
      </c>
      <c r="I1487" s="9">
        <f>($K$2+0.02)*Tabla1[[#This Row],[PRECIO $]]*1.18</f>
        <v>12945.779999999999</v>
      </c>
      <c r="J1487" s="7">
        <f>+Tabla1[[#This Row],[PRECIO EN SOLES]]-Tabla1[[#This Row],[PC]]</f>
        <v>1949.8700000000008</v>
      </c>
      <c r="K1487" s="15"/>
      <c r="L1487" s="15" t="str">
        <f t="shared" si="47"/>
        <v>NORMAL</v>
      </c>
    </row>
    <row r="1488" spans="1:12" x14ac:dyDescent="0.25">
      <c r="A1488" s="3" t="s">
        <v>3310</v>
      </c>
      <c r="B1488" s="3" t="s">
        <v>3311</v>
      </c>
      <c r="C1488" s="1">
        <v>3</v>
      </c>
      <c r="D1488" s="1">
        <v>7086.74</v>
      </c>
      <c r="E1488" s="1" t="s">
        <v>1051</v>
      </c>
      <c r="F1488" s="1" t="s">
        <v>6148</v>
      </c>
      <c r="G1488" s="3" t="s">
        <v>3312</v>
      </c>
      <c r="H1488" s="11">
        <f t="shared" si="46"/>
        <v>33185.64</v>
      </c>
      <c r="I1488" s="9">
        <f>($K$2+0.02)*Tabla1[[#This Row],[PRECIO $]]*1.18</f>
        <v>28850.118539999999</v>
      </c>
      <c r="J1488" s="7">
        <f>+Tabla1[[#This Row],[PRECIO EN SOLES]]-Tabla1[[#This Row],[PC]]</f>
        <v>4335.5214599999999</v>
      </c>
      <c r="K1488" s="15"/>
      <c r="L1488" s="15" t="str">
        <f t="shared" si="47"/>
        <v>NORMAL</v>
      </c>
    </row>
    <row r="1489" spans="1:12" x14ac:dyDescent="0.25">
      <c r="A1489" s="3" t="s">
        <v>3313</v>
      </c>
      <c r="B1489" s="3" t="s">
        <v>3314</v>
      </c>
      <c r="C1489" s="1">
        <v>12</v>
      </c>
      <c r="D1489" s="1">
        <v>2946.28</v>
      </c>
      <c r="E1489" s="1" t="s">
        <v>1100</v>
      </c>
      <c r="F1489" s="1" t="s">
        <v>6149</v>
      </c>
      <c r="G1489" s="3" t="s">
        <v>3315</v>
      </c>
      <c r="H1489" s="11">
        <f t="shared" si="46"/>
        <v>13801.45</v>
      </c>
      <c r="I1489" s="9">
        <f>($K$2+0.02)*Tabla1[[#This Row],[PRECIO $]]*1.18</f>
        <v>11994.30588</v>
      </c>
      <c r="J1489" s="7">
        <f>+Tabla1[[#This Row],[PRECIO EN SOLES]]-Tabla1[[#This Row],[PC]]</f>
        <v>1807.1441200000008</v>
      </c>
      <c r="K1489" s="15"/>
      <c r="L1489" s="15" t="str">
        <f t="shared" si="47"/>
        <v>NORMAL</v>
      </c>
    </row>
    <row r="1490" spans="1:12" x14ac:dyDescent="0.25">
      <c r="A1490" s="3" t="s">
        <v>3316</v>
      </c>
      <c r="B1490" s="3" t="s">
        <v>3317</v>
      </c>
      <c r="C1490" s="1">
        <v>1</v>
      </c>
      <c r="D1490" s="1">
        <v>3365.59</v>
      </c>
      <c r="E1490" s="1" t="s">
        <v>1100</v>
      </c>
      <c r="F1490" s="1" t="s">
        <v>6150</v>
      </c>
      <c r="G1490" s="3"/>
      <c r="H1490" s="11">
        <f t="shared" si="46"/>
        <v>15764.51</v>
      </c>
      <c r="I1490" s="9">
        <f>($K$2+0.02)*Tabla1[[#This Row],[PRECIO $]]*1.18</f>
        <v>13701.316890000002</v>
      </c>
      <c r="J1490" s="7">
        <f>+Tabla1[[#This Row],[PRECIO EN SOLES]]-Tabla1[[#This Row],[PC]]</f>
        <v>2063.1931099999983</v>
      </c>
      <c r="K1490" s="15"/>
      <c r="L1490" s="15" t="str">
        <f t="shared" si="47"/>
        <v>NORMAL</v>
      </c>
    </row>
    <row r="1491" spans="1:12" x14ac:dyDescent="0.25">
      <c r="A1491" s="3" t="s">
        <v>3318</v>
      </c>
      <c r="B1491" s="3" t="s">
        <v>3319</v>
      </c>
      <c r="C1491" s="1">
        <v>4</v>
      </c>
      <c r="D1491" s="1">
        <v>7615.05</v>
      </c>
      <c r="E1491" s="1" t="s">
        <v>1051</v>
      </c>
      <c r="F1491" s="1" t="s">
        <v>6151</v>
      </c>
      <c r="G1491" s="3" t="s">
        <v>3320</v>
      </c>
      <c r="H1491" s="11">
        <f t="shared" si="46"/>
        <v>35659</v>
      </c>
      <c r="I1491" s="9">
        <f>($K$2+0.02)*Tabla1[[#This Row],[PRECIO $]]*1.18</f>
        <v>31000.868549999999</v>
      </c>
      <c r="J1491" s="7">
        <f>+Tabla1[[#This Row],[PRECIO EN SOLES]]-Tabla1[[#This Row],[PC]]</f>
        <v>4658.1314500000008</v>
      </c>
      <c r="K1491" s="15"/>
      <c r="L1491" s="15" t="str">
        <f t="shared" si="47"/>
        <v>NORMAL</v>
      </c>
    </row>
    <row r="1492" spans="1:12" x14ac:dyDescent="0.25">
      <c r="A1492" s="3" t="s">
        <v>3321</v>
      </c>
      <c r="B1492" s="3" t="s">
        <v>3322</v>
      </c>
      <c r="C1492" s="1">
        <v>5</v>
      </c>
      <c r="D1492" s="1">
        <v>2526.88</v>
      </c>
      <c r="E1492" s="1" t="s">
        <v>1100</v>
      </c>
      <c r="F1492" s="1" t="s">
        <v>6152</v>
      </c>
      <c r="G1492" s="3" t="s">
        <v>3323</v>
      </c>
      <c r="H1492" s="11">
        <f t="shared" si="46"/>
        <v>11837.97</v>
      </c>
      <c r="I1492" s="9">
        <f>($K$2+0.02)*Tabla1[[#This Row],[PRECIO $]]*1.18</f>
        <v>10286.92848</v>
      </c>
      <c r="J1492" s="7">
        <f>+Tabla1[[#This Row],[PRECIO EN SOLES]]-Tabla1[[#This Row],[PC]]</f>
        <v>1551.0415199999989</v>
      </c>
      <c r="K1492" s="15"/>
      <c r="L1492" s="15" t="str">
        <f t="shared" si="47"/>
        <v>NORMAL</v>
      </c>
    </row>
    <row r="1493" spans="1:12" x14ac:dyDescent="0.25">
      <c r="A1493" s="3" t="s">
        <v>3324</v>
      </c>
      <c r="B1493" s="3" t="s">
        <v>3325</v>
      </c>
      <c r="C1493" s="1">
        <v>20</v>
      </c>
      <c r="D1493" s="1">
        <v>1</v>
      </c>
      <c r="E1493" s="1" t="s">
        <v>3326</v>
      </c>
      <c r="F1493" s="1" t="s">
        <v>6153</v>
      </c>
      <c r="G1493" s="3"/>
      <c r="H1493" s="11">
        <f t="shared" si="46"/>
        <v>6.68</v>
      </c>
      <c r="I1493" s="9">
        <f>($K$2+0.02)*Tabla1[[#This Row],[PRECIO $]]*1.18</f>
        <v>4.0709999999999997</v>
      </c>
      <c r="J1493" s="7">
        <f>+Tabla1[[#This Row],[PRECIO EN SOLES]]-Tabla1[[#This Row],[PC]]</f>
        <v>2.609</v>
      </c>
      <c r="K1493" s="15"/>
      <c r="L1493" s="15" t="str">
        <f t="shared" si="47"/>
        <v>NORMAL</v>
      </c>
    </row>
    <row r="1494" spans="1:12" x14ac:dyDescent="0.25">
      <c r="A1494" s="3" t="s">
        <v>3327</v>
      </c>
      <c r="B1494" s="3" t="s">
        <v>3328</v>
      </c>
      <c r="C1494" s="1">
        <v>0</v>
      </c>
      <c r="D1494" s="1">
        <v>9999999.9900000002</v>
      </c>
      <c r="E1494" s="1" t="s">
        <v>126</v>
      </c>
      <c r="F1494" s="1" t="s">
        <v>6154</v>
      </c>
      <c r="G1494" s="3"/>
      <c r="H1494" s="11">
        <f t="shared" si="46"/>
        <v>46816507.950000003</v>
      </c>
      <c r="I1494" s="9">
        <f>($K$2+0.02)*Tabla1[[#This Row],[PRECIO $]]*1.18</f>
        <v>40709999.959290005</v>
      </c>
      <c r="J1494" s="7">
        <f>+Tabla1[[#This Row],[PRECIO EN SOLES]]-Tabla1[[#This Row],[PC]]</f>
        <v>6106507.9907099977</v>
      </c>
      <c r="K1494" s="15"/>
      <c r="L1494" s="15" t="str">
        <f t="shared" si="47"/>
        <v>NORMAL</v>
      </c>
    </row>
    <row r="1495" spans="1:12" x14ac:dyDescent="0.25">
      <c r="A1495" s="3" t="s">
        <v>3329</v>
      </c>
      <c r="B1495" s="3" t="s">
        <v>3330</v>
      </c>
      <c r="C1495" s="1">
        <v>20</v>
      </c>
      <c r="D1495" s="1">
        <v>72.94</v>
      </c>
      <c r="E1495" s="1" t="s">
        <v>3326</v>
      </c>
      <c r="F1495" s="1" t="s">
        <v>6155</v>
      </c>
      <c r="G1495" s="3"/>
      <c r="H1495" s="11">
        <f t="shared" si="46"/>
        <v>349.48</v>
      </c>
      <c r="I1495" s="9">
        <f>($K$2+0.02)*Tabla1[[#This Row],[PRECIO $]]*1.18</f>
        <v>296.93874</v>
      </c>
      <c r="J1495" s="7">
        <f>+Tabla1[[#This Row],[PRECIO EN SOLES]]-Tabla1[[#This Row],[PC]]</f>
        <v>52.541260000000023</v>
      </c>
      <c r="K1495" s="15"/>
      <c r="L1495" s="15" t="str">
        <f t="shared" si="47"/>
        <v>NORMAL</v>
      </c>
    </row>
    <row r="1496" spans="1:12" x14ac:dyDescent="0.25">
      <c r="A1496" s="3" t="s">
        <v>3331</v>
      </c>
      <c r="B1496" s="3" t="s">
        <v>3332</v>
      </c>
      <c r="C1496" s="1">
        <v>20</v>
      </c>
      <c r="D1496" s="1">
        <v>663.13</v>
      </c>
      <c r="E1496" s="1" t="s">
        <v>3326</v>
      </c>
      <c r="F1496" s="1" t="s">
        <v>6156</v>
      </c>
      <c r="G1496" s="3"/>
      <c r="H1496" s="11">
        <f t="shared" si="46"/>
        <v>3112.54</v>
      </c>
      <c r="I1496" s="9">
        <f>($K$2+0.02)*Tabla1[[#This Row],[PRECIO $]]*1.18</f>
        <v>2699.6022299999995</v>
      </c>
      <c r="J1496" s="7">
        <f>+Tabla1[[#This Row],[PRECIO EN SOLES]]-Tabla1[[#This Row],[PC]]</f>
        <v>412.93777000000046</v>
      </c>
      <c r="K1496" s="15"/>
      <c r="L1496" s="15" t="str">
        <f t="shared" si="47"/>
        <v>NORMAL</v>
      </c>
    </row>
    <row r="1497" spans="1:12" x14ac:dyDescent="0.25">
      <c r="A1497" s="3" t="s">
        <v>3333</v>
      </c>
      <c r="B1497" s="3" t="s">
        <v>3334</v>
      </c>
      <c r="C1497" s="1">
        <v>20</v>
      </c>
      <c r="D1497" s="1">
        <v>352</v>
      </c>
      <c r="E1497" s="1" t="s">
        <v>3326</v>
      </c>
      <c r="F1497" s="1" t="s">
        <v>6157</v>
      </c>
      <c r="G1497" s="3"/>
      <c r="H1497" s="11">
        <f t="shared" si="46"/>
        <v>1655.94</v>
      </c>
      <c r="I1497" s="9">
        <f>($K$2+0.02)*Tabla1[[#This Row],[PRECIO $]]*1.18</f>
        <v>1432.992</v>
      </c>
      <c r="J1497" s="7">
        <f>+Tabla1[[#This Row],[PRECIO EN SOLES]]-Tabla1[[#This Row],[PC]]</f>
        <v>222.94800000000009</v>
      </c>
      <c r="K1497" s="15"/>
      <c r="L1497" s="15" t="str">
        <f t="shared" si="47"/>
        <v>NORMAL</v>
      </c>
    </row>
    <row r="1498" spans="1:12" x14ac:dyDescent="0.25">
      <c r="A1498" s="3" t="s">
        <v>3335</v>
      </c>
      <c r="B1498" s="3" t="s">
        <v>3336</v>
      </c>
      <c r="C1498" s="1">
        <v>20</v>
      </c>
      <c r="D1498" s="1">
        <v>0.01</v>
      </c>
      <c r="E1498" s="1" t="s">
        <v>3326</v>
      </c>
      <c r="F1498" s="1" t="s">
        <v>6158</v>
      </c>
      <c r="G1498" s="3"/>
      <c r="H1498" s="11">
        <f t="shared" si="46"/>
        <v>2.0499999999999998</v>
      </c>
      <c r="I1498" s="9">
        <f>($K$2+0.02)*Tabla1[[#This Row],[PRECIO $]]*1.18</f>
        <v>4.0710000000000003E-2</v>
      </c>
      <c r="J1498" s="7">
        <f>+Tabla1[[#This Row],[PRECIO EN SOLES]]-Tabla1[[#This Row],[PC]]</f>
        <v>2.00929</v>
      </c>
      <c r="K1498" s="15"/>
      <c r="L1498" s="15" t="str">
        <f t="shared" si="47"/>
        <v>NORMAL</v>
      </c>
    </row>
    <row r="1499" spans="1:12" x14ac:dyDescent="0.25">
      <c r="A1499" s="3" t="s">
        <v>3337</v>
      </c>
      <c r="B1499" s="3" t="s">
        <v>3338</v>
      </c>
      <c r="C1499" s="1">
        <v>0</v>
      </c>
      <c r="D1499" s="1">
        <v>11000</v>
      </c>
      <c r="E1499" s="1" t="s">
        <v>126</v>
      </c>
      <c r="F1499" s="1" t="s">
        <v>6159</v>
      </c>
      <c r="G1499" s="3"/>
      <c r="H1499" s="11">
        <f t="shared" si="46"/>
        <v>55981.25</v>
      </c>
      <c r="I1499" s="9">
        <f>($K$2+0.02)*Tabla1[[#This Row],[PRECIO $]]*1.18</f>
        <v>44781</v>
      </c>
      <c r="J1499" s="7">
        <f>+Tabla1[[#This Row],[PRECIO EN SOLES]]-Tabla1[[#This Row],[PC]]</f>
        <v>11200.25</v>
      </c>
      <c r="K1499" s="15"/>
      <c r="L1499" s="15" t="str">
        <f t="shared" si="47"/>
        <v>COMPLEMENTO</v>
      </c>
    </row>
    <row r="1500" spans="1:12" x14ac:dyDescent="0.25">
      <c r="A1500" s="3" t="s">
        <v>3339</v>
      </c>
      <c r="B1500" s="3" t="s">
        <v>3338</v>
      </c>
      <c r="C1500" s="1">
        <v>0</v>
      </c>
      <c r="D1500" s="1">
        <v>11000</v>
      </c>
      <c r="E1500" s="1" t="s">
        <v>126</v>
      </c>
      <c r="F1500" s="1" t="s">
        <v>6160</v>
      </c>
      <c r="G1500" s="3"/>
      <c r="H1500" s="11">
        <f t="shared" si="46"/>
        <v>55981.25</v>
      </c>
      <c r="I1500" s="9">
        <f>($K$2+0.02)*Tabla1[[#This Row],[PRECIO $]]*1.18</f>
        <v>44781</v>
      </c>
      <c r="J1500" s="7">
        <f>+Tabla1[[#This Row],[PRECIO EN SOLES]]-Tabla1[[#This Row],[PC]]</f>
        <v>11200.25</v>
      </c>
      <c r="K1500" s="15"/>
      <c r="L1500" s="15" t="str">
        <f t="shared" si="47"/>
        <v>COMPLEMENTO</v>
      </c>
    </row>
    <row r="1501" spans="1:12" x14ac:dyDescent="0.25">
      <c r="A1501" s="3" t="s">
        <v>3340</v>
      </c>
      <c r="B1501" s="3" t="s">
        <v>3341</v>
      </c>
      <c r="C1501" s="1">
        <v>0</v>
      </c>
      <c r="D1501" s="1">
        <v>11000</v>
      </c>
      <c r="E1501" s="1" t="s">
        <v>126</v>
      </c>
      <c r="F1501" s="1" t="s">
        <v>6161</v>
      </c>
      <c r="G1501" s="3"/>
      <c r="H1501" s="11">
        <f t="shared" si="46"/>
        <v>55981.25</v>
      </c>
      <c r="I1501" s="9">
        <f>($K$2+0.02)*Tabla1[[#This Row],[PRECIO $]]*1.18</f>
        <v>44781</v>
      </c>
      <c r="J1501" s="7">
        <f>+Tabla1[[#This Row],[PRECIO EN SOLES]]-Tabla1[[#This Row],[PC]]</f>
        <v>11200.25</v>
      </c>
      <c r="K1501" s="15"/>
      <c r="L1501" s="15" t="str">
        <f t="shared" si="47"/>
        <v>COMPLEMENTO</v>
      </c>
    </row>
    <row r="1502" spans="1:12" x14ac:dyDescent="0.25">
      <c r="A1502" s="3" t="s">
        <v>3342</v>
      </c>
      <c r="B1502" s="3" t="s">
        <v>3343</v>
      </c>
      <c r="C1502" s="1">
        <v>1</v>
      </c>
      <c r="D1502" s="1">
        <v>1025</v>
      </c>
      <c r="E1502" s="1" t="s">
        <v>3344</v>
      </c>
      <c r="F1502" s="1" t="s">
        <v>6162</v>
      </c>
      <c r="G1502" s="3"/>
      <c r="H1502" s="11">
        <f t="shared" si="46"/>
        <v>4806.6899999999996</v>
      </c>
      <c r="I1502" s="9">
        <f>($K$2+0.02)*Tabla1[[#This Row],[PRECIO $]]*1.18</f>
        <v>4172.7749999999996</v>
      </c>
      <c r="J1502" s="7">
        <f>+Tabla1[[#This Row],[PRECIO EN SOLES]]-Tabla1[[#This Row],[PC]]</f>
        <v>633.91499999999996</v>
      </c>
      <c r="K1502" s="15"/>
      <c r="L1502" s="15" t="str">
        <f t="shared" si="47"/>
        <v>NORMAL</v>
      </c>
    </row>
    <row r="1503" spans="1:12" x14ac:dyDescent="0.25">
      <c r="A1503" s="3" t="s">
        <v>3345</v>
      </c>
      <c r="B1503" s="3" t="s">
        <v>3346</v>
      </c>
      <c r="C1503" s="1">
        <v>1</v>
      </c>
      <c r="D1503" s="1">
        <v>309</v>
      </c>
      <c r="E1503" s="1" t="s">
        <v>3347</v>
      </c>
      <c r="F1503" s="1" t="s">
        <v>6163</v>
      </c>
      <c r="G1503" s="3"/>
      <c r="H1503" s="11">
        <f t="shared" si="46"/>
        <v>1454.63</v>
      </c>
      <c r="I1503" s="9">
        <f>($K$2+0.02)*Tabla1[[#This Row],[PRECIO $]]*1.18</f>
        <v>1257.9389999999999</v>
      </c>
      <c r="J1503" s="7">
        <f>+Tabla1[[#This Row],[PRECIO EN SOLES]]-Tabla1[[#This Row],[PC]]</f>
        <v>196.69100000000026</v>
      </c>
      <c r="K1503" s="15"/>
      <c r="L1503" s="15" t="str">
        <f t="shared" si="47"/>
        <v>NORMAL</v>
      </c>
    </row>
    <row r="1504" spans="1:12" x14ac:dyDescent="0.25">
      <c r="A1504" s="3" t="s">
        <v>3348</v>
      </c>
      <c r="B1504" s="3" t="s">
        <v>3349</v>
      </c>
      <c r="C1504" s="1">
        <v>1</v>
      </c>
      <c r="D1504" s="1">
        <v>288</v>
      </c>
      <c r="E1504" s="1" t="s">
        <v>3347</v>
      </c>
      <c r="F1504" s="1" t="s">
        <v>6164</v>
      </c>
      <c r="G1504" s="3"/>
      <c r="H1504" s="11">
        <f t="shared" si="46"/>
        <v>1356.32</v>
      </c>
      <c r="I1504" s="9">
        <f>($K$2+0.02)*Tabla1[[#This Row],[PRECIO $]]*1.18</f>
        <v>1172.4479999999999</v>
      </c>
      <c r="J1504" s="7">
        <f>+Tabla1[[#This Row],[PRECIO EN SOLES]]-Tabla1[[#This Row],[PC]]</f>
        <v>183.87200000000007</v>
      </c>
      <c r="K1504" s="15"/>
      <c r="L1504" s="15" t="str">
        <f t="shared" si="47"/>
        <v>NORMAL</v>
      </c>
    </row>
    <row r="1505" spans="1:12" x14ac:dyDescent="0.25">
      <c r="A1505" s="3" t="s">
        <v>3350</v>
      </c>
      <c r="B1505" s="3" t="s">
        <v>3351</v>
      </c>
      <c r="C1505" s="1">
        <v>1</v>
      </c>
      <c r="D1505" s="1">
        <v>153</v>
      </c>
      <c r="E1505" s="1" t="s">
        <v>3347</v>
      </c>
      <c r="F1505" s="1" t="s">
        <v>6165</v>
      </c>
      <c r="G1505" s="3"/>
      <c r="H1505" s="11">
        <f t="shared" si="46"/>
        <v>724.29</v>
      </c>
      <c r="I1505" s="9">
        <f>($K$2+0.02)*Tabla1[[#This Row],[PRECIO $]]*1.18</f>
        <v>622.86299999999994</v>
      </c>
      <c r="J1505" s="7">
        <f>+Tabla1[[#This Row],[PRECIO EN SOLES]]-Tabla1[[#This Row],[PC]]</f>
        <v>101.42700000000002</v>
      </c>
      <c r="K1505" s="15"/>
      <c r="L1505" s="15" t="str">
        <f t="shared" si="47"/>
        <v>NORMAL</v>
      </c>
    </row>
    <row r="1506" spans="1:12" x14ac:dyDescent="0.25">
      <c r="A1506" s="3" t="s">
        <v>3352</v>
      </c>
      <c r="B1506" s="3" t="s">
        <v>3353</v>
      </c>
      <c r="C1506" s="1">
        <v>1</v>
      </c>
      <c r="D1506" s="1">
        <v>676</v>
      </c>
      <c r="E1506" s="1" t="s">
        <v>3344</v>
      </c>
      <c r="F1506" s="1" t="s">
        <v>6166</v>
      </c>
      <c r="G1506" s="3"/>
      <c r="H1506" s="11">
        <f t="shared" si="46"/>
        <v>3172.8</v>
      </c>
      <c r="I1506" s="9">
        <f>($K$2+0.02)*Tabla1[[#This Row],[PRECIO $]]*1.18</f>
        <v>2751.9960000000001</v>
      </c>
      <c r="J1506" s="7">
        <f>+Tabla1[[#This Row],[PRECIO EN SOLES]]-Tabla1[[#This Row],[PC]]</f>
        <v>420.80400000000009</v>
      </c>
      <c r="K1506" s="15"/>
      <c r="L1506" s="15" t="str">
        <f t="shared" si="47"/>
        <v>NORMAL</v>
      </c>
    </row>
    <row r="1507" spans="1:12" x14ac:dyDescent="0.25">
      <c r="A1507" s="3" t="s">
        <v>3354</v>
      </c>
      <c r="B1507" s="3" t="s">
        <v>3355</v>
      </c>
      <c r="C1507" s="1">
        <v>20</v>
      </c>
      <c r="D1507" s="1">
        <v>97</v>
      </c>
      <c r="E1507" s="1" t="s">
        <v>3326</v>
      </c>
      <c r="F1507" s="1" t="s">
        <v>6167</v>
      </c>
      <c r="G1507" s="3"/>
      <c r="H1507" s="11">
        <f t="shared" si="46"/>
        <v>462.12</v>
      </c>
      <c r="I1507" s="9">
        <f>($K$2+0.02)*Tabla1[[#This Row],[PRECIO $]]*1.18</f>
        <v>394.887</v>
      </c>
      <c r="J1507" s="7">
        <f>+Tabla1[[#This Row],[PRECIO EN SOLES]]-Tabla1[[#This Row],[PC]]</f>
        <v>67.233000000000004</v>
      </c>
      <c r="K1507" s="15"/>
      <c r="L1507" s="15" t="str">
        <f t="shared" si="47"/>
        <v>NORMAL</v>
      </c>
    </row>
    <row r="1508" spans="1:12" x14ac:dyDescent="0.25">
      <c r="A1508" s="3" t="s">
        <v>3356</v>
      </c>
      <c r="B1508" s="3" t="s">
        <v>3357</v>
      </c>
      <c r="C1508" s="1">
        <v>20</v>
      </c>
      <c r="D1508" s="1">
        <v>1380</v>
      </c>
      <c r="E1508" s="1" t="s">
        <v>3326</v>
      </c>
      <c r="F1508" s="1" t="s">
        <v>6168</v>
      </c>
      <c r="G1508" s="3"/>
      <c r="H1508" s="11">
        <f t="shared" si="46"/>
        <v>6468.68</v>
      </c>
      <c r="I1508" s="9">
        <f>($K$2+0.02)*Tabla1[[#This Row],[PRECIO $]]*1.18</f>
        <v>5617.98</v>
      </c>
      <c r="J1508" s="7">
        <f>+Tabla1[[#This Row],[PRECIO EN SOLES]]-Tabla1[[#This Row],[PC]]</f>
        <v>850.70000000000073</v>
      </c>
      <c r="K1508" s="15"/>
      <c r="L1508" s="15" t="str">
        <f t="shared" si="47"/>
        <v>NORMAL</v>
      </c>
    </row>
    <row r="1509" spans="1:12" x14ac:dyDescent="0.25">
      <c r="A1509" s="3" t="s">
        <v>3358</v>
      </c>
      <c r="B1509" s="3" t="s">
        <v>3359</v>
      </c>
      <c r="C1509" s="1">
        <v>20</v>
      </c>
      <c r="D1509" s="1">
        <v>10</v>
      </c>
      <c r="E1509" s="1" t="s">
        <v>3326</v>
      </c>
      <c r="F1509" s="1" t="s">
        <v>6169</v>
      </c>
      <c r="G1509" s="3"/>
      <c r="H1509" s="11">
        <f t="shared" si="46"/>
        <v>50.82</v>
      </c>
      <c r="I1509" s="9">
        <f>($K$2+0.02)*Tabla1[[#This Row],[PRECIO $]]*1.18</f>
        <v>40.71</v>
      </c>
      <c r="J1509" s="7">
        <f>+Tabla1[[#This Row],[PRECIO EN SOLES]]-Tabla1[[#This Row],[PC]]</f>
        <v>10.11</v>
      </c>
      <c r="K1509" s="15"/>
      <c r="L1509" s="15" t="str">
        <f t="shared" si="47"/>
        <v>NORMAL</v>
      </c>
    </row>
    <row r="1510" spans="1:12" x14ac:dyDescent="0.25">
      <c r="A1510" s="3" t="s">
        <v>6170</v>
      </c>
      <c r="B1510" s="3" t="s">
        <v>6171</v>
      </c>
      <c r="C1510" s="1">
        <v>0</v>
      </c>
      <c r="D1510" s="1">
        <v>3800</v>
      </c>
      <c r="E1510" s="1" t="s">
        <v>1051</v>
      </c>
      <c r="F1510" s="1" t="s">
        <v>6172</v>
      </c>
      <c r="G1510" s="3"/>
      <c r="H1510" s="11">
        <f t="shared" si="46"/>
        <v>17798.27</v>
      </c>
      <c r="I1510" s="9">
        <f>($K$2+0.02)*Tabla1[[#This Row],[PRECIO $]]*1.18</f>
        <v>15469.8</v>
      </c>
      <c r="J1510" s="7">
        <f>+Tabla1[[#This Row],[PRECIO EN SOLES]]-Tabla1[[#This Row],[PC]]</f>
        <v>2328.4700000000012</v>
      </c>
      <c r="K1510" s="15"/>
      <c r="L1510" s="15" t="str">
        <f t="shared" si="47"/>
        <v>NORMAL</v>
      </c>
    </row>
    <row r="1511" spans="1:12" x14ac:dyDescent="0.25">
      <c r="A1511" s="3" t="s">
        <v>3360</v>
      </c>
      <c r="B1511" s="3" t="s">
        <v>3361</v>
      </c>
      <c r="C1511" s="1">
        <v>3</v>
      </c>
      <c r="D1511" s="1">
        <v>6485.19</v>
      </c>
      <c r="E1511" s="1" t="s">
        <v>1051</v>
      </c>
      <c r="F1511" s="1" t="s">
        <v>6173</v>
      </c>
      <c r="G1511" s="3"/>
      <c r="H1511" s="11">
        <f t="shared" si="46"/>
        <v>30369.39</v>
      </c>
      <c r="I1511" s="9">
        <f>($K$2+0.02)*Tabla1[[#This Row],[PRECIO $]]*1.18</f>
        <v>26401.208490000001</v>
      </c>
      <c r="J1511" s="7">
        <f>+Tabla1[[#This Row],[PRECIO EN SOLES]]-Tabla1[[#This Row],[PC]]</f>
        <v>3968.1815099999985</v>
      </c>
      <c r="K1511" s="15"/>
      <c r="L1511" s="15" t="str">
        <f t="shared" si="47"/>
        <v>NORMAL</v>
      </c>
    </row>
    <row r="1512" spans="1:12" x14ac:dyDescent="0.25">
      <c r="A1512" s="3" t="s">
        <v>3362</v>
      </c>
      <c r="B1512" s="3" t="s">
        <v>3363</v>
      </c>
      <c r="C1512" s="1">
        <v>1</v>
      </c>
      <c r="D1512" s="1">
        <v>9839</v>
      </c>
      <c r="E1512" s="1" t="s">
        <v>1051</v>
      </c>
      <c r="F1512" s="1" t="s">
        <v>6174</v>
      </c>
      <c r="G1512" s="3"/>
      <c r="H1512" s="11">
        <f t="shared" si="46"/>
        <v>46070.75</v>
      </c>
      <c r="I1512" s="9">
        <f>($K$2+0.02)*Tabla1[[#This Row],[PRECIO $]]*1.18</f>
        <v>40054.569000000003</v>
      </c>
      <c r="J1512" s="7">
        <f>+Tabla1[[#This Row],[PRECIO EN SOLES]]-Tabla1[[#This Row],[PC]]</f>
        <v>6016.1809999999969</v>
      </c>
      <c r="K1512" s="15"/>
      <c r="L1512" s="15" t="str">
        <f t="shared" si="47"/>
        <v>NORMAL</v>
      </c>
    </row>
    <row r="1513" spans="1:12" x14ac:dyDescent="0.25">
      <c r="A1513" s="3" t="s">
        <v>3364</v>
      </c>
      <c r="B1513" s="3" t="s">
        <v>3365</v>
      </c>
      <c r="C1513" s="1">
        <v>0</v>
      </c>
      <c r="D1513" s="1">
        <v>6960</v>
      </c>
      <c r="E1513" s="1" t="s">
        <v>1051</v>
      </c>
      <c r="F1513" s="1" t="s">
        <v>6175</v>
      </c>
      <c r="G1513" s="3"/>
      <c r="H1513" s="11">
        <f t="shared" si="46"/>
        <v>32592.28</v>
      </c>
      <c r="I1513" s="9">
        <f>($K$2+0.02)*Tabla1[[#This Row],[PRECIO $]]*1.18</f>
        <v>28334.16</v>
      </c>
      <c r="J1513" s="7">
        <f>+Tabla1[[#This Row],[PRECIO EN SOLES]]-Tabla1[[#This Row],[PC]]</f>
        <v>4258.119999999999</v>
      </c>
      <c r="K1513" s="15"/>
      <c r="L1513" s="15" t="str">
        <f t="shared" si="47"/>
        <v>NORMAL</v>
      </c>
    </row>
    <row r="1514" spans="1:12" x14ac:dyDescent="0.25">
      <c r="A1514" s="3" t="s">
        <v>3366</v>
      </c>
      <c r="B1514" s="3" t="s">
        <v>3367</v>
      </c>
      <c r="C1514" s="1">
        <v>20</v>
      </c>
      <c r="D1514" s="1">
        <v>4747.3100000000004</v>
      </c>
      <c r="E1514" s="1" t="s">
        <v>1100</v>
      </c>
      <c r="F1514" s="1" t="s">
        <v>6176</v>
      </c>
      <c r="G1514" s="3" t="s">
        <v>3368</v>
      </c>
      <c r="H1514" s="11">
        <f t="shared" si="46"/>
        <v>22233.24</v>
      </c>
      <c r="I1514" s="9">
        <f>($K$2+0.02)*Tabla1[[#This Row],[PRECIO $]]*1.18</f>
        <v>19326.299010000002</v>
      </c>
      <c r="J1514" s="7">
        <f>+Tabla1[[#This Row],[PRECIO EN SOLES]]-Tabla1[[#This Row],[PC]]</f>
        <v>2906.9409899999991</v>
      </c>
      <c r="K1514" s="15"/>
      <c r="L1514" s="15" t="str">
        <f t="shared" si="47"/>
        <v>NORMAL</v>
      </c>
    </row>
    <row r="1515" spans="1:12" x14ac:dyDescent="0.25">
      <c r="A1515" s="3" t="s">
        <v>3369</v>
      </c>
      <c r="B1515" s="3" t="s">
        <v>3370</v>
      </c>
      <c r="C1515" s="1">
        <v>10</v>
      </c>
      <c r="D1515" s="1">
        <v>6924.73</v>
      </c>
      <c r="E1515" s="1" t="s">
        <v>1100</v>
      </c>
      <c r="F1515" s="1" t="s">
        <v>6177</v>
      </c>
      <c r="G1515" s="3" t="s">
        <v>3371</v>
      </c>
      <c r="H1515" s="11">
        <f t="shared" si="46"/>
        <v>32427.16</v>
      </c>
      <c r="I1515" s="9">
        <f>($K$2+0.02)*Tabla1[[#This Row],[PRECIO $]]*1.18</f>
        <v>28190.575830000002</v>
      </c>
      <c r="J1515" s="7">
        <f>+Tabla1[[#This Row],[PRECIO EN SOLES]]-Tabla1[[#This Row],[PC]]</f>
        <v>4236.5841699999983</v>
      </c>
      <c r="K1515" s="15"/>
      <c r="L1515" s="15" t="str">
        <f t="shared" si="47"/>
        <v>NORMAL</v>
      </c>
    </row>
    <row r="1516" spans="1:12" x14ac:dyDescent="0.25">
      <c r="A1516" s="3" t="s">
        <v>3372</v>
      </c>
      <c r="B1516" s="3" t="s">
        <v>3373</v>
      </c>
      <c r="C1516" s="1">
        <v>2</v>
      </c>
      <c r="D1516" s="1">
        <v>7127.66</v>
      </c>
      <c r="E1516" s="1" t="s">
        <v>1100</v>
      </c>
      <c r="F1516" s="1" t="s">
        <v>6178</v>
      </c>
      <c r="G1516" s="3" t="s">
        <v>3374</v>
      </c>
      <c r="H1516" s="11">
        <f t="shared" si="46"/>
        <v>33377.21</v>
      </c>
      <c r="I1516" s="9">
        <f>($K$2+0.02)*Tabla1[[#This Row],[PRECIO $]]*1.18</f>
        <v>29016.703859999998</v>
      </c>
      <c r="J1516" s="7">
        <f>+Tabla1[[#This Row],[PRECIO EN SOLES]]-Tabla1[[#This Row],[PC]]</f>
        <v>4360.5061400000013</v>
      </c>
      <c r="K1516" s="15"/>
      <c r="L1516" s="15" t="str">
        <f t="shared" si="47"/>
        <v>NORMAL</v>
      </c>
    </row>
    <row r="1517" spans="1:12" x14ac:dyDescent="0.25">
      <c r="A1517" s="3" t="s">
        <v>3375</v>
      </c>
      <c r="B1517" s="3" t="s">
        <v>3376</v>
      </c>
      <c r="C1517" s="1">
        <v>20</v>
      </c>
      <c r="D1517" s="1">
        <v>1990</v>
      </c>
      <c r="E1517" s="1" t="s">
        <v>1100</v>
      </c>
      <c r="F1517" s="1" t="s">
        <v>6179</v>
      </c>
      <c r="G1517" s="3" t="s">
        <v>3377</v>
      </c>
      <c r="H1517" s="11">
        <f t="shared" si="46"/>
        <v>9324.48</v>
      </c>
      <c r="I1517" s="9">
        <f>($K$2+0.02)*Tabla1[[#This Row],[PRECIO $]]*1.18</f>
        <v>8101.29</v>
      </c>
      <c r="J1517" s="7">
        <f>+Tabla1[[#This Row],[PRECIO EN SOLES]]-Tabla1[[#This Row],[PC]]</f>
        <v>1223.1899999999996</v>
      </c>
      <c r="K1517" s="15"/>
      <c r="L1517" s="15" t="str">
        <f t="shared" si="47"/>
        <v>NORMAL</v>
      </c>
    </row>
    <row r="1518" spans="1:12" x14ac:dyDescent="0.25">
      <c r="A1518" s="3" t="s">
        <v>3378</v>
      </c>
      <c r="B1518" s="3" t="s">
        <v>3379</v>
      </c>
      <c r="C1518" s="1">
        <v>0</v>
      </c>
      <c r="D1518" s="1">
        <v>15</v>
      </c>
      <c r="E1518" s="1" t="s">
        <v>1051</v>
      </c>
      <c r="F1518" s="1" t="s">
        <v>6180</v>
      </c>
      <c r="G1518" s="3" t="s">
        <v>3380</v>
      </c>
      <c r="H1518" s="11">
        <f t="shared" si="46"/>
        <v>80.33</v>
      </c>
      <c r="I1518" s="9">
        <f>($K$2+0.02)*Tabla1[[#This Row],[PRECIO $]]*1.18</f>
        <v>61.064999999999998</v>
      </c>
      <c r="J1518" s="7">
        <f>+Tabla1[[#This Row],[PRECIO EN SOLES]]-Tabla1[[#This Row],[PC]]</f>
        <v>19.265000000000001</v>
      </c>
      <c r="K1518" s="15"/>
      <c r="L1518" s="15" t="str">
        <f t="shared" si="47"/>
        <v>COMPLEMENTO</v>
      </c>
    </row>
    <row r="1519" spans="1:12" x14ac:dyDescent="0.25">
      <c r="A1519" s="3" t="s">
        <v>3381</v>
      </c>
      <c r="B1519" s="3" t="s">
        <v>3382</v>
      </c>
      <c r="C1519" s="1">
        <v>1</v>
      </c>
      <c r="D1519" s="1">
        <v>28.6</v>
      </c>
      <c r="E1519" s="1" t="s">
        <v>1051</v>
      </c>
      <c r="F1519" s="1" t="s">
        <v>6181</v>
      </c>
      <c r="G1519" s="3" t="s">
        <v>3383</v>
      </c>
      <c r="H1519" s="11">
        <f t="shared" si="46"/>
        <v>139.9</v>
      </c>
      <c r="I1519" s="9">
        <f>($K$2+0.02)*Tabla1[[#This Row],[PRECIO $]]*1.18</f>
        <v>116.43060000000001</v>
      </c>
      <c r="J1519" s="7">
        <f>+Tabla1[[#This Row],[PRECIO EN SOLES]]-Tabla1[[#This Row],[PC]]</f>
        <v>23.469399999999993</v>
      </c>
      <c r="K1519" s="15"/>
      <c r="L1519" s="15" t="str">
        <f t="shared" si="47"/>
        <v>NORMAL</v>
      </c>
    </row>
    <row r="1520" spans="1:12" x14ac:dyDescent="0.25">
      <c r="A1520" s="3" t="s">
        <v>3384</v>
      </c>
      <c r="B1520" s="3" t="s">
        <v>3385</v>
      </c>
      <c r="C1520" s="1">
        <v>1</v>
      </c>
      <c r="D1520" s="1">
        <v>1276.99</v>
      </c>
      <c r="E1520" s="1" t="s">
        <v>1051</v>
      </c>
      <c r="F1520" s="1" t="s">
        <v>6182</v>
      </c>
      <c r="G1520" s="3" t="s">
        <v>3386</v>
      </c>
      <c r="H1520" s="11">
        <f t="shared" si="46"/>
        <v>5986.42</v>
      </c>
      <c r="I1520" s="9">
        <f>($K$2+0.02)*Tabla1[[#This Row],[PRECIO $]]*1.18</f>
        <v>5198.6262899999992</v>
      </c>
      <c r="J1520" s="7">
        <f>+Tabla1[[#This Row],[PRECIO EN SOLES]]-Tabla1[[#This Row],[PC]]</f>
        <v>787.79371000000083</v>
      </c>
      <c r="K1520" s="15"/>
      <c r="L1520" s="15" t="str">
        <f t="shared" si="47"/>
        <v>NORMAL</v>
      </c>
    </row>
    <row r="1521" spans="1:12" x14ac:dyDescent="0.25">
      <c r="A1521" s="3" t="s">
        <v>3387</v>
      </c>
      <c r="B1521" s="3" t="s">
        <v>3388</v>
      </c>
      <c r="C1521" s="1">
        <v>1</v>
      </c>
      <c r="D1521" s="1">
        <v>115.27</v>
      </c>
      <c r="E1521" s="1" t="s">
        <v>1100</v>
      </c>
      <c r="F1521" s="1" t="s">
        <v>6183</v>
      </c>
      <c r="G1521" s="3" t="s">
        <v>3389</v>
      </c>
      <c r="H1521" s="11">
        <f t="shared" si="46"/>
        <v>547.65</v>
      </c>
      <c r="I1521" s="9">
        <f>($K$2+0.02)*Tabla1[[#This Row],[PRECIO $]]*1.18</f>
        <v>469.26417000000004</v>
      </c>
      <c r="J1521" s="7">
        <f>+Tabla1[[#This Row],[PRECIO EN SOLES]]-Tabla1[[#This Row],[PC]]</f>
        <v>78.385829999999942</v>
      </c>
      <c r="K1521" s="15"/>
      <c r="L1521" s="15" t="str">
        <f t="shared" si="47"/>
        <v>NORMAL</v>
      </c>
    </row>
    <row r="1522" spans="1:12" x14ac:dyDescent="0.25">
      <c r="A1522" s="3" t="s">
        <v>3390</v>
      </c>
      <c r="B1522" s="3" t="s">
        <v>3391</v>
      </c>
      <c r="C1522" s="1">
        <v>12</v>
      </c>
      <c r="D1522" s="1">
        <v>123.76</v>
      </c>
      <c r="E1522" s="1" t="s">
        <v>1100</v>
      </c>
      <c r="F1522" s="1" t="s">
        <v>6184</v>
      </c>
      <c r="G1522" s="3"/>
      <c r="H1522" s="11">
        <f t="shared" si="46"/>
        <v>587.4</v>
      </c>
      <c r="I1522" s="9">
        <f>($K$2+0.02)*Tabla1[[#This Row],[PRECIO $]]*1.18</f>
        <v>503.82696000000004</v>
      </c>
      <c r="J1522" s="7">
        <f>+Tabla1[[#This Row],[PRECIO EN SOLES]]-Tabla1[[#This Row],[PC]]</f>
        <v>83.573039999999935</v>
      </c>
      <c r="K1522" s="15"/>
      <c r="L1522" s="15" t="str">
        <f t="shared" si="47"/>
        <v>NORMAL</v>
      </c>
    </row>
    <row r="1523" spans="1:12" x14ac:dyDescent="0.25">
      <c r="A1523" s="3" t="s">
        <v>6185</v>
      </c>
      <c r="B1523" s="3" t="s">
        <v>6186</v>
      </c>
      <c r="C1523" s="1">
        <v>2</v>
      </c>
      <c r="D1523" s="1">
        <v>488.1</v>
      </c>
      <c r="E1523" s="1" t="s">
        <v>1100</v>
      </c>
      <c r="F1523" s="1" t="s">
        <v>6187</v>
      </c>
      <c r="G1523" s="3"/>
      <c r="H1523" s="11">
        <f t="shared" si="46"/>
        <v>2293.11</v>
      </c>
      <c r="I1523" s="9">
        <f>($K$2+0.02)*Tabla1[[#This Row],[PRECIO $]]*1.18</f>
        <v>1987.0551</v>
      </c>
      <c r="J1523" s="7">
        <f>+Tabla1[[#This Row],[PRECIO EN SOLES]]-Tabla1[[#This Row],[PC]]</f>
        <v>306.05490000000009</v>
      </c>
      <c r="K1523" s="15"/>
      <c r="L1523" s="15" t="str">
        <f t="shared" si="47"/>
        <v>NORMAL</v>
      </c>
    </row>
    <row r="1524" spans="1:12" x14ac:dyDescent="0.25">
      <c r="A1524" s="3" t="s">
        <v>3392</v>
      </c>
      <c r="B1524" s="3" t="s">
        <v>3393</v>
      </c>
      <c r="C1524" s="1">
        <v>18</v>
      </c>
      <c r="D1524" s="1">
        <v>30.69</v>
      </c>
      <c r="E1524" s="1" t="s">
        <v>1100</v>
      </c>
      <c r="F1524" s="1" t="s">
        <v>6188</v>
      </c>
      <c r="G1524" s="3" t="s">
        <v>3394</v>
      </c>
      <c r="H1524" s="11">
        <f t="shared" si="46"/>
        <v>161.16999999999999</v>
      </c>
      <c r="I1524" s="9">
        <f>($K$2+0.02)*Tabla1[[#This Row],[PRECIO $]]*1.18</f>
        <v>124.93899</v>
      </c>
      <c r="J1524" s="7">
        <f>+Tabla1[[#This Row],[PRECIO EN SOLES]]-Tabla1[[#This Row],[PC]]</f>
        <v>36.231009999999984</v>
      </c>
      <c r="K1524" s="15"/>
      <c r="L1524" s="15" t="str">
        <f t="shared" si="47"/>
        <v>COMPLEMENTO</v>
      </c>
    </row>
    <row r="1525" spans="1:12" x14ac:dyDescent="0.25">
      <c r="A1525" s="3" t="s">
        <v>3395</v>
      </c>
      <c r="B1525" s="3" t="s">
        <v>3396</v>
      </c>
      <c r="C1525" s="1">
        <v>0</v>
      </c>
      <c r="D1525" s="1">
        <v>72</v>
      </c>
      <c r="E1525" s="1" t="s">
        <v>1051</v>
      </c>
      <c r="F1525" s="1" t="s">
        <v>6189</v>
      </c>
      <c r="G1525" s="3" t="s">
        <v>3397</v>
      </c>
      <c r="H1525" s="11">
        <f t="shared" si="46"/>
        <v>345.08</v>
      </c>
      <c r="I1525" s="9">
        <f>($K$2+0.02)*Tabla1[[#This Row],[PRECIO $]]*1.18</f>
        <v>293.11199999999997</v>
      </c>
      <c r="J1525" s="7">
        <f>+Tabla1[[#This Row],[PRECIO EN SOLES]]-Tabla1[[#This Row],[PC]]</f>
        <v>51.968000000000018</v>
      </c>
      <c r="K1525" s="15"/>
      <c r="L1525" s="15" t="str">
        <f t="shared" si="47"/>
        <v>NORMAL</v>
      </c>
    </row>
    <row r="1526" spans="1:12" x14ac:dyDescent="0.25">
      <c r="A1526" s="3" t="s">
        <v>3398</v>
      </c>
      <c r="B1526" s="3" t="s">
        <v>3399</v>
      </c>
      <c r="C1526" s="1">
        <v>7</v>
      </c>
      <c r="D1526" s="1">
        <v>510</v>
      </c>
      <c r="E1526" s="1" t="s">
        <v>1051</v>
      </c>
      <c r="F1526" s="1" t="s">
        <v>6190</v>
      </c>
      <c r="G1526" s="3" t="s">
        <v>3400</v>
      </c>
      <c r="H1526" s="11">
        <f t="shared" si="46"/>
        <v>2395.64</v>
      </c>
      <c r="I1526" s="9">
        <f>($K$2+0.02)*Tabla1[[#This Row],[PRECIO $]]*1.18</f>
        <v>2076.21</v>
      </c>
      <c r="J1526" s="7">
        <f>+Tabla1[[#This Row],[PRECIO EN SOLES]]-Tabla1[[#This Row],[PC]]</f>
        <v>319.42999999999984</v>
      </c>
      <c r="K1526" s="15"/>
      <c r="L1526" s="15" t="str">
        <f t="shared" si="47"/>
        <v>NORMAL</v>
      </c>
    </row>
    <row r="1527" spans="1:12" x14ac:dyDescent="0.25">
      <c r="A1527" s="3" t="s">
        <v>3401</v>
      </c>
      <c r="B1527" s="3" t="s">
        <v>3402</v>
      </c>
      <c r="C1527" s="1">
        <v>2</v>
      </c>
      <c r="D1527" s="1">
        <v>40.54</v>
      </c>
      <c r="E1527" s="1" t="s">
        <v>1100</v>
      </c>
      <c r="F1527" s="1" t="s">
        <v>6191</v>
      </c>
      <c r="G1527" s="3"/>
      <c r="H1527" s="11">
        <f t="shared" si="46"/>
        <v>197.79</v>
      </c>
      <c r="I1527" s="9">
        <f>($K$2+0.02)*Tabla1[[#This Row],[PRECIO $]]*1.18</f>
        <v>165.03833999999998</v>
      </c>
      <c r="J1527" s="7">
        <f>+Tabla1[[#This Row],[PRECIO EN SOLES]]-Tabla1[[#This Row],[PC]]</f>
        <v>32.751660000000015</v>
      </c>
      <c r="K1527" s="15"/>
      <c r="L1527" s="15" t="str">
        <f t="shared" si="47"/>
        <v>NORMAL</v>
      </c>
    </row>
    <row r="1528" spans="1:12" x14ac:dyDescent="0.25">
      <c r="A1528" s="3" t="s">
        <v>3403</v>
      </c>
      <c r="B1528" s="3" t="s">
        <v>3404</v>
      </c>
      <c r="C1528" s="1">
        <v>1</v>
      </c>
      <c r="D1528" s="1">
        <v>163</v>
      </c>
      <c r="E1528" s="1" t="s">
        <v>1051</v>
      </c>
      <c r="F1528" s="1" t="s">
        <v>6192</v>
      </c>
      <c r="G1528" s="3"/>
      <c r="H1528" s="11">
        <f t="shared" si="46"/>
        <v>771.11</v>
      </c>
      <c r="I1528" s="9">
        <f>($K$2+0.02)*Tabla1[[#This Row],[PRECIO $]]*1.18</f>
        <v>663.57299999999998</v>
      </c>
      <c r="J1528" s="7">
        <f>+Tabla1[[#This Row],[PRECIO EN SOLES]]-Tabla1[[#This Row],[PC]]</f>
        <v>107.53700000000003</v>
      </c>
      <c r="K1528" s="15"/>
      <c r="L1528" s="15" t="str">
        <f t="shared" si="47"/>
        <v>NORMAL</v>
      </c>
    </row>
    <row r="1529" spans="1:12" x14ac:dyDescent="0.25">
      <c r="A1529" s="3" t="s">
        <v>3405</v>
      </c>
      <c r="B1529" s="3" t="s">
        <v>3404</v>
      </c>
      <c r="C1529" s="1">
        <v>13</v>
      </c>
      <c r="D1529" s="1">
        <v>287.83</v>
      </c>
      <c r="E1529" s="1" t="s">
        <v>1051</v>
      </c>
      <c r="F1529" s="1" t="s">
        <v>6193</v>
      </c>
      <c r="G1529" s="3" t="s">
        <v>3406</v>
      </c>
      <c r="H1529" s="11">
        <f t="shared" si="46"/>
        <v>1355.52</v>
      </c>
      <c r="I1529" s="9">
        <f>($K$2+0.02)*Tabla1[[#This Row],[PRECIO $]]*1.18</f>
        <v>1171.75593</v>
      </c>
      <c r="J1529" s="7">
        <f>+Tabla1[[#This Row],[PRECIO EN SOLES]]-Tabla1[[#This Row],[PC]]</f>
        <v>183.76406999999995</v>
      </c>
      <c r="K1529" s="15"/>
      <c r="L1529" s="15" t="str">
        <f t="shared" si="47"/>
        <v>NORMAL</v>
      </c>
    </row>
    <row r="1530" spans="1:12" x14ac:dyDescent="0.25">
      <c r="A1530" s="3" t="s">
        <v>3407</v>
      </c>
      <c r="B1530" s="3" t="s">
        <v>3408</v>
      </c>
      <c r="C1530" s="1">
        <v>2</v>
      </c>
      <c r="D1530" s="1">
        <v>351.17</v>
      </c>
      <c r="E1530" s="1" t="s">
        <v>1051</v>
      </c>
      <c r="F1530" s="1" t="s">
        <v>6194</v>
      </c>
      <c r="G1530" s="3" t="s">
        <v>3409</v>
      </c>
      <c r="H1530" s="11">
        <f t="shared" si="46"/>
        <v>1652.06</v>
      </c>
      <c r="I1530" s="9">
        <f>($K$2+0.02)*Tabla1[[#This Row],[PRECIO $]]*1.18</f>
        <v>1429.6130700000001</v>
      </c>
      <c r="J1530" s="7">
        <f>+Tabla1[[#This Row],[PRECIO EN SOLES]]-Tabla1[[#This Row],[PC]]</f>
        <v>222.44692999999984</v>
      </c>
      <c r="K1530" s="15"/>
      <c r="L1530" s="15" t="str">
        <f t="shared" si="47"/>
        <v>NORMAL</v>
      </c>
    </row>
    <row r="1531" spans="1:12" x14ac:dyDescent="0.25">
      <c r="A1531" s="3" t="s">
        <v>3410</v>
      </c>
      <c r="B1531" s="3" t="s">
        <v>3408</v>
      </c>
      <c r="C1531" s="1">
        <v>20</v>
      </c>
      <c r="D1531" s="1">
        <v>304.62</v>
      </c>
      <c r="E1531" s="1" t="s">
        <v>1051</v>
      </c>
      <c r="F1531" s="1" t="s">
        <v>6195</v>
      </c>
      <c r="G1531" s="3"/>
      <c r="H1531" s="11">
        <f t="shared" si="46"/>
        <v>1434.12</v>
      </c>
      <c r="I1531" s="9">
        <f>($K$2+0.02)*Tabla1[[#This Row],[PRECIO $]]*1.18</f>
        <v>1240.1080200000001</v>
      </c>
      <c r="J1531" s="7">
        <f>+Tabla1[[#This Row],[PRECIO EN SOLES]]-Tabla1[[#This Row],[PC]]</f>
        <v>194.01197999999977</v>
      </c>
      <c r="K1531" s="15"/>
      <c r="L1531" s="15" t="str">
        <f t="shared" si="47"/>
        <v>NORMAL</v>
      </c>
    </row>
    <row r="1532" spans="1:12" x14ac:dyDescent="0.25">
      <c r="A1532" s="3" t="s">
        <v>3411</v>
      </c>
      <c r="B1532" s="3" t="s">
        <v>3412</v>
      </c>
      <c r="C1532" s="1">
        <v>1</v>
      </c>
      <c r="D1532" s="1">
        <v>152.04</v>
      </c>
      <c r="E1532" s="1" t="s">
        <v>1051</v>
      </c>
      <c r="F1532" s="1" t="s">
        <v>6196</v>
      </c>
      <c r="G1532" s="3" t="s">
        <v>3413</v>
      </c>
      <c r="H1532" s="11">
        <f t="shared" si="46"/>
        <v>719.8</v>
      </c>
      <c r="I1532" s="9">
        <f>($K$2+0.02)*Tabla1[[#This Row],[PRECIO $]]*1.18</f>
        <v>618.95483999999999</v>
      </c>
      <c r="J1532" s="7">
        <f>+Tabla1[[#This Row],[PRECIO EN SOLES]]-Tabla1[[#This Row],[PC]]</f>
        <v>100.84515999999996</v>
      </c>
      <c r="K1532" s="15"/>
      <c r="L1532" s="15" t="str">
        <f t="shared" si="47"/>
        <v>NORMAL</v>
      </c>
    </row>
    <row r="1533" spans="1:12" x14ac:dyDescent="0.25">
      <c r="A1533" s="3" t="s">
        <v>6197</v>
      </c>
      <c r="B1533" s="3" t="s">
        <v>6198</v>
      </c>
      <c r="C1533" s="1">
        <v>2</v>
      </c>
      <c r="D1533" s="1">
        <v>180.61</v>
      </c>
      <c r="E1533" s="1" t="s">
        <v>1100</v>
      </c>
      <c r="F1533" s="1" t="s">
        <v>6199</v>
      </c>
      <c r="G1533" s="3" t="s">
        <v>7078</v>
      </c>
      <c r="H1533" s="11">
        <f t="shared" si="46"/>
        <v>853.55</v>
      </c>
      <c r="I1533" s="9">
        <f>($K$2+0.02)*Tabla1[[#This Row],[PRECIO $]]*1.18</f>
        <v>735.26331000000005</v>
      </c>
      <c r="J1533" s="7">
        <f>+Tabla1[[#This Row],[PRECIO EN SOLES]]-Tabla1[[#This Row],[PC]]</f>
        <v>118.28668999999991</v>
      </c>
      <c r="K1533" s="15"/>
      <c r="L1533" s="15" t="str">
        <f t="shared" si="47"/>
        <v>NORMAL</v>
      </c>
    </row>
    <row r="1534" spans="1:12" x14ac:dyDescent="0.25">
      <c r="A1534" s="3" t="s">
        <v>7079</v>
      </c>
      <c r="B1534" s="3" t="s">
        <v>6198</v>
      </c>
      <c r="C1534" s="1">
        <v>1</v>
      </c>
      <c r="D1534" s="1">
        <v>172.93</v>
      </c>
      <c r="E1534" s="1" t="s">
        <v>1100</v>
      </c>
      <c r="F1534" s="1" t="s">
        <v>7080</v>
      </c>
      <c r="G1534" s="3" t="s">
        <v>7078</v>
      </c>
      <c r="H1534" s="11">
        <f t="shared" si="46"/>
        <v>817.6</v>
      </c>
      <c r="I1534" s="9">
        <f>($K$2+0.02)*Tabla1[[#This Row],[PRECIO $]]*1.18</f>
        <v>703.99802999999997</v>
      </c>
      <c r="J1534" s="7">
        <f>+Tabla1[[#This Row],[PRECIO EN SOLES]]-Tabla1[[#This Row],[PC]]</f>
        <v>113.60197000000005</v>
      </c>
      <c r="K1534" s="15"/>
      <c r="L1534" s="15" t="str">
        <f t="shared" si="47"/>
        <v>NORMAL</v>
      </c>
    </row>
    <row r="1535" spans="1:12" x14ac:dyDescent="0.25">
      <c r="A1535" s="3" t="s">
        <v>6200</v>
      </c>
      <c r="B1535" s="3" t="s">
        <v>6201</v>
      </c>
      <c r="C1535" s="1">
        <v>2</v>
      </c>
      <c r="D1535" s="1">
        <v>1241.3800000000001</v>
      </c>
      <c r="E1535" s="1" t="s">
        <v>1100</v>
      </c>
      <c r="F1535" s="1" t="s">
        <v>6202</v>
      </c>
      <c r="G1535" s="3" t="s">
        <v>6203</v>
      </c>
      <c r="H1535" s="11">
        <f t="shared" si="46"/>
        <v>6322.07</v>
      </c>
      <c r="I1535" s="9">
        <f>($K$2+0.02)*Tabla1[[#This Row],[PRECIO $]]*1.18</f>
        <v>5053.65798</v>
      </c>
      <c r="J1535" s="7">
        <f>+Tabla1[[#This Row],[PRECIO EN SOLES]]-Tabla1[[#This Row],[PC]]</f>
        <v>1268.4120199999998</v>
      </c>
      <c r="K1535" s="15"/>
      <c r="L1535" s="15" t="str">
        <f t="shared" si="47"/>
        <v>COMPLEMENTO</v>
      </c>
    </row>
    <row r="1536" spans="1:12" x14ac:dyDescent="0.25">
      <c r="A1536" s="3" t="s">
        <v>3414</v>
      </c>
      <c r="B1536" s="3" t="s">
        <v>3415</v>
      </c>
      <c r="C1536" s="1">
        <v>2</v>
      </c>
      <c r="D1536" s="1">
        <v>450</v>
      </c>
      <c r="E1536" s="1" t="s">
        <v>1051</v>
      </c>
      <c r="F1536" s="1" t="s">
        <v>6204</v>
      </c>
      <c r="G1536" s="3" t="s">
        <v>3416</v>
      </c>
      <c r="H1536" s="11">
        <f t="shared" si="46"/>
        <v>2114.7399999999998</v>
      </c>
      <c r="I1536" s="9">
        <f>($K$2+0.02)*Tabla1[[#This Row],[PRECIO $]]*1.18</f>
        <v>1831.9499999999998</v>
      </c>
      <c r="J1536" s="7">
        <f>+Tabla1[[#This Row],[PRECIO EN SOLES]]-Tabla1[[#This Row],[PC]]</f>
        <v>282.78999999999996</v>
      </c>
      <c r="K1536" s="15"/>
      <c r="L1536" s="15" t="str">
        <f t="shared" si="47"/>
        <v>NORMAL</v>
      </c>
    </row>
    <row r="1537" spans="1:12" x14ac:dyDescent="0.25">
      <c r="A1537" s="3" t="s">
        <v>3417</v>
      </c>
      <c r="B1537" s="3" t="s">
        <v>3418</v>
      </c>
      <c r="C1537" s="1">
        <v>5</v>
      </c>
      <c r="D1537" s="1">
        <v>327.22000000000003</v>
      </c>
      <c r="E1537" s="1" t="s">
        <v>1051</v>
      </c>
      <c r="F1537" s="1" t="s">
        <v>6205</v>
      </c>
      <c r="G1537" s="3"/>
      <c r="H1537" s="11">
        <f t="shared" si="46"/>
        <v>1539.93</v>
      </c>
      <c r="I1537" s="9">
        <f>($K$2+0.02)*Tabla1[[#This Row],[PRECIO $]]*1.18</f>
        <v>1332.1126200000001</v>
      </c>
      <c r="J1537" s="7">
        <f>+Tabla1[[#This Row],[PRECIO EN SOLES]]-Tabla1[[#This Row],[PC]]</f>
        <v>207.81737999999996</v>
      </c>
      <c r="K1537" s="15"/>
      <c r="L1537" s="15" t="str">
        <f t="shared" si="47"/>
        <v>NORMAL</v>
      </c>
    </row>
    <row r="1538" spans="1:12" x14ac:dyDescent="0.25">
      <c r="A1538" s="3" t="s">
        <v>3419</v>
      </c>
      <c r="B1538" s="3" t="s">
        <v>3420</v>
      </c>
      <c r="C1538" s="1">
        <v>1</v>
      </c>
      <c r="D1538" s="1">
        <v>168.42</v>
      </c>
      <c r="E1538" s="1" t="s">
        <v>1051</v>
      </c>
      <c r="F1538" s="1" t="s">
        <v>6206</v>
      </c>
      <c r="G1538" s="3"/>
      <c r="H1538" s="11">
        <f t="shared" ref="H1538:H1601" si="48">ROUND(
IF(L1538="GANCHO",
   IF(I1538&lt;=50,I1538*1.1+4,IF(I1538&lt;=120,I1538*1.1+7,IF(I1538&lt;=250,I1538*1.1+11,I1538*1.1+19))),
IF(L1538="NORMAL",
   IF(I1538&lt;=30,I1538*1.15+2,IF(I1538&lt;=80,I1538*1.15+4,IF(I1538&lt;=150,I1538*1.15+6,I1538*1.15+8))),
IF(L1538="COMPLEMENTO",
   IF(I1538&lt;=25,I1538*1.25+1.5,IF(I1538&lt;=60,I1538*1.25+3,IF(I1538&lt;=120,I1538*1.25+4,I1538*1.25+5))),
""))),2)</f>
        <v>796.48</v>
      </c>
      <c r="I1538" s="9">
        <f>($K$2+0.02)*Tabla1[[#This Row],[PRECIO $]]*1.18</f>
        <v>685.63781999999992</v>
      </c>
      <c r="J1538" s="7">
        <f>+Tabla1[[#This Row],[PRECIO EN SOLES]]-Tabla1[[#This Row],[PC]]</f>
        <v>110.8421800000001</v>
      </c>
      <c r="K1538" s="15"/>
      <c r="L1538" s="15" t="str">
        <f t="shared" si="47"/>
        <v>NORMAL</v>
      </c>
    </row>
    <row r="1539" spans="1:12" x14ac:dyDescent="0.25">
      <c r="A1539" s="3" t="s">
        <v>3421</v>
      </c>
      <c r="B1539" s="3" t="s">
        <v>3422</v>
      </c>
      <c r="C1539" s="1">
        <v>1</v>
      </c>
      <c r="D1539" s="1">
        <v>678</v>
      </c>
      <c r="E1539" s="1" t="s">
        <v>1051</v>
      </c>
      <c r="F1539" s="1" t="s">
        <v>6207</v>
      </c>
      <c r="G1539" s="3" t="s">
        <v>3423</v>
      </c>
      <c r="H1539" s="11">
        <f t="shared" si="48"/>
        <v>3182.16</v>
      </c>
      <c r="I1539" s="9">
        <f>($K$2+0.02)*Tabla1[[#This Row],[PRECIO $]]*1.18</f>
        <v>2760.1379999999999</v>
      </c>
      <c r="J1539" s="7">
        <f>+Tabla1[[#This Row],[PRECIO EN SOLES]]-Tabla1[[#This Row],[PC]]</f>
        <v>422.02199999999993</v>
      </c>
      <c r="K1539" s="15"/>
      <c r="L1539" s="15" t="str">
        <f t="shared" ref="L1539:L1602" si="49">IF(
OR(
ISNUMBER(SEARCH("BACKPACK",B1539)),
ISNUMBER(SEARCH("MOCHILA",B1539)),
ISNUMBER(SEARCH("FUNDA",B1539)),
ISNUMBER(SEARCH("ESTUCHE",B1539)),
ISNUMBER(SEARCH("BOOK COVER",B1539)),
ISNUMBER(SEARCH("KEYBOARD PARA TABLET",B1539)),
ISNUMBER(SEARCH("FLIP TABLET",B1539)),
ISNUMBER(SEARCH("CASE FOR TABLET",B1539)),
ISNUMBER(SEARCH("CABLE",B1539)),
ISNUMBER(SEARCH("ADAPTADOR",B1539)),
ISNUMBER(SEARCH("HUB",B1539)),
ISNUMBER(SEARCH("DOCK",B1539)),
ISNUMBER(SEARCH("MOUSE PAD",B1539)),
ISNUMBER(SEARCH("MOUSEPAD",B1539)),
ISNUMBER(SEARCH("SOPORTE",B1539)),
ISNUMBER(SEARCH("STAND",B1539)),
ISNUMBER(SEARCH("TRAVEL ADAPTER",B1539)),
ISNUMBER(SEARCH("RJ45",B1539)),
ISNUMBER(SEARCH("USB-C",B1539)),
ISNUMBER(SEARCH("USB WIFI",B1539)),
ISNUMBER(SEARCH("POWERBANK",B1539)),
ISNUMBER(SEARCH("CARGADOR",B1539)),
ISNUMBER(SEARCH("COOLER PARA NB",B1539)),
ISNUMBER(SEARCH("SOPORTE PARA NB",B1539)),
ISNUMBER(SEARCH("WEBCAM",B1539)),
ISNUMBER(SEARCH("WEB CAM",B1539)),
ISNUMBER(SEARCH("MOUSE",B1539)),
ISNUMBER(SEARCH("TECLADO",B1539))
),
"COMPLEMENTO",
IF(
OR(
LEFT(A1539,2)="NB",
LEFT(A1539,2)="PC",
LEFT(A1539,2)="WS",
LEFT(A1539,2)="TB",
LEFT(A1539,3)="CEL",
LEFT(A1539,3)="MON",
LEFT(A1539,3)="PRE",
LEFT(A1539,3)="PRH",
ISNUMBER(SEARCH("NOTEBOOK",B1539)),
ISNUMBER(SEARCH("LAPTOP",B1539)),
ISNUMBER(SEARCH("MONITOR",B1539)),
ISNUMBER(SEARCH("TABLET",B1539)),
ISNUMBER(SEARCH("SMARTPH",B1539)),
ISNUMBER(SEARCH("IMPRESORA",B1539)),
ISNUMBER(SEARCH("MULTIFUNCIONAL",B1539)),
ISNUMBER(SEARCH("AIO",B1539))
),
"GANCHO",
"NORMAL"
)
)</f>
        <v>NORMAL</v>
      </c>
    </row>
    <row r="1540" spans="1:12" x14ac:dyDescent="0.25">
      <c r="A1540" s="3" t="s">
        <v>3424</v>
      </c>
      <c r="B1540" s="3" t="s">
        <v>3425</v>
      </c>
      <c r="C1540" s="1">
        <v>8</v>
      </c>
      <c r="D1540" s="1">
        <v>190.15</v>
      </c>
      <c r="E1540" s="1" t="s">
        <v>1100</v>
      </c>
      <c r="F1540" s="1" t="s">
        <v>6208</v>
      </c>
      <c r="G1540" s="3" t="s">
        <v>3426</v>
      </c>
      <c r="H1540" s="11">
        <f t="shared" si="48"/>
        <v>898.22</v>
      </c>
      <c r="I1540" s="9">
        <f>($K$2+0.02)*Tabla1[[#This Row],[PRECIO $]]*1.18</f>
        <v>774.10064999999997</v>
      </c>
      <c r="J1540" s="7">
        <f>+Tabla1[[#This Row],[PRECIO EN SOLES]]-Tabla1[[#This Row],[PC]]</f>
        <v>124.11935000000005</v>
      </c>
      <c r="K1540" s="15"/>
      <c r="L1540" s="15" t="str">
        <f t="shared" si="49"/>
        <v>NORMAL</v>
      </c>
    </row>
    <row r="1541" spans="1:12" x14ac:dyDescent="0.25">
      <c r="A1541" s="3" t="s">
        <v>3427</v>
      </c>
      <c r="B1541" s="3" t="s">
        <v>3428</v>
      </c>
      <c r="C1541" s="1">
        <v>11</v>
      </c>
      <c r="D1541" s="1">
        <v>116</v>
      </c>
      <c r="E1541" s="1" t="s">
        <v>122</v>
      </c>
      <c r="F1541" s="1" t="s">
        <v>6209</v>
      </c>
      <c r="G1541" s="3" t="s">
        <v>3429</v>
      </c>
      <c r="H1541" s="11">
        <f t="shared" si="48"/>
        <v>551.07000000000005</v>
      </c>
      <c r="I1541" s="9">
        <f>($K$2+0.02)*Tabla1[[#This Row],[PRECIO $]]*1.18</f>
        <v>472.23600000000005</v>
      </c>
      <c r="J1541" s="7">
        <f>+Tabla1[[#This Row],[PRECIO EN SOLES]]-Tabla1[[#This Row],[PC]]</f>
        <v>78.834000000000003</v>
      </c>
      <c r="K1541" s="15"/>
      <c r="L1541" s="15" t="str">
        <f t="shared" si="49"/>
        <v>NORMAL</v>
      </c>
    </row>
    <row r="1542" spans="1:12" x14ac:dyDescent="0.25">
      <c r="A1542" s="3" t="s">
        <v>3430</v>
      </c>
      <c r="B1542" s="3" t="s">
        <v>3431</v>
      </c>
      <c r="C1542" s="1">
        <v>18</v>
      </c>
      <c r="D1542" s="1">
        <v>106</v>
      </c>
      <c r="E1542" s="1" t="s">
        <v>122</v>
      </c>
      <c r="F1542" s="1" t="s">
        <v>6210</v>
      </c>
      <c r="G1542" s="3" t="s">
        <v>3432</v>
      </c>
      <c r="H1542" s="11">
        <f t="shared" si="48"/>
        <v>504.25</v>
      </c>
      <c r="I1542" s="9">
        <f>($K$2+0.02)*Tabla1[[#This Row],[PRECIO $]]*1.18</f>
        <v>431.52600000000001</v>
      </c>
      <c r="J1542" s="7">
        <f>+Tabla1[[#This Row],[PRECIO EN SOLES]]-Tabla1[[#This Row],[PC]]</f>
        <v>72.72399999999999</v>
      </c>
      <c r="K1542" s="15"/>
      <c r="L1542" s="15" t="str">
        <f t="shared" si="49"/>
        <v>NORMAL</v>
      </c>
    </row>
    <row r="1543" spans="1:12" x14ac:dyDescent="0.25">
      <c r="A1543" s="3" t="s">
        <v>7081</v>
      </c>
      <c r="B1543" s="3" t="s">
        <v>7082</v>
      </c>
      <c r="C1543" s="1">
        <v>0</v>
      </c>
      <c r="D1543" s="1">
        <v>19.399999999999999</v>
      </c>
      <c r="E1543" s="1" t="s">
        <v>122</v>
      </c>
      <c r="F1543" s="1" t="s">
        <v>7083</v>
      </c>
      <c r="G1543" s="3" t="s">
        <v>7084</v>
      </c>
      <c r="H1543" s="11">
        <f t="shared" si="48"/>
        <v>94.82</v>
      </c>
      <c r="I1543" s="9">
        <f>($K$2+0.02)*Tabla1[[#This Row],[PRECIO $]]*1.18</f>
        <v>78.977399999999989</v>
      </c>
      <c r="J1543" s="7">
        <f>+Tabla1[[#This Row],[PRECIO EN SOLES]]-Tabla1[[#This Row],[PC]]</f>
        <v>15.842600000000004</v>
      </c>
      <c r="K1543" s="15"/>
      <c r="L1543" s="15" t="str">
        <f t="shared" si="49"/>
        <v>NORMAL</v>
      </c>
    </row>
    <row r="1544" spans="1:12" x14ac:dyDescent="0.25">
      <c r="A1544" s="3" t="s">
        <v>3433</v>
      </c>
      <c r="B1544" s="3" t="s">
        <v>3434</v>
      </c>
      <c r="C1544" s="1">
        <v>7</v>
      </c>
      <c r="D1544" s="1">
        <v>93</v>
      </c>
      <c r="E1544" s="1" t="s">
        <v>131</v>
      </c>
      <c r="F1544" s="1" t="s">
        <v>6211</v>
      </c>
      <c r="G1544" s="3" t="s">
        <v>3435</v>
      </c>
      <c r="H1544" s="11">
        <f t="shared" si="48"/>
        <v>443.39</v>
      </c>
      <c r="I1544" s="9">
        <f>($K$2+0.02)*Tabla1[[#This Row],[PRECIO $]]*1.18</f>
        <v>378.60300000000001</v>
      </c>
      <c r="J1544" s="7">
        <f>+Tabla1[[#This Row],[PRECIO EN SOLES]]-Tabla1[[#This Row],[PC]]</f>
        <v>64.786999999999978</v>
      </c>
      <c r="K1544" s="15"/>
      <c r="L1544" s="15" t="str">
        <f t="shared" si="49"/>
        <v>NORMAL</v>
      </c>
    </row>
    <row r="1545" spans="1:12" x14ac:dyDescent="0.25">
      <c r="A1545" s="3" t="s">
        <v>3436</v>
      </c>
      <c r="B1545" s="3" t="s">
        <v>3437</v>
      </c>
      <c r="C1545" s="1">
        <v>0</v>
      </c>
      <c r="D1545" s="1">
        <v>999</v>
      </c>
      <c r="E1545" s="1" t="s">
        <v>3438</v>
      </c>
      <c r="F1545" s="1" t="s">
        <v>6212</v>
      </c>
      <c r="G1545" s="3" t="s">
        <v>3439</v>
      </c>
      <c r="H1545" s="11">
        <f t="shared" si="48"/>
        <v>4684.97</v>
      </c>
      <c r="I1545" s="9">
        <f>($K$2+0.02)*Tabla1[[#This Row],[PRECIO $]]*1.18</f>
        <v>4066.9290000000001</v>
      </c>
      <c r="J1545" s="7">
        <f>+Tabla1[[#This Row],[PRECIO EN SOLES]]-Tabla1[[#This Row],[PC]]</f>
        <v>618.04100000000017</v>
      </c>
      <c r="K1545" s="15"/>
      <c r="L1545" s="15" t="str">
        <f t="shared" si="49"/>
        <v>NORMAL</v>
      </c>
    </row>
    <row r="1546" spans="1:12" x14ac:dyDescent="0.25">
      <c r="A1546" s="3" t="s">
        <v>3440</v>
      </c>
      <c r="B1546" s="3" t="s">
        <v>3441</v>
      </c>
      <c r="C1546" s="1">
        <v>0</v>
      </c>
      <c r="D1546" s="1">
        <v>999</v>
      </c>
      <c r="E1546" s="1" t="s">
        <v>3438</v>
      </c>
      <c r="F1546" s="1" t="s">
        <v>6213</v>
      </c>
      <c r="G1546" s="3" t="s">
        <v>3442</v>
      </c>
      <c r="H1546" s="11">
        <f t="shared" si="48"/>
        <v>4684.97</v>
      </c>
      <c r="I1546" s="9">
        <f>($K$2+0.02)*Tabla1[[#This Row],[PRECIO $]]*1.18</f>
        <v>4066.9290000000001</v>
      </c>
      <c r="J1546" s="7">
        <f>+Tabla1[[#This Row],[PRECIO EN SOLES]]-Tabla1[[#This Row],[PC]]</f>
        <v>618.04100000000017</v>
      </c>
      <c r="K1546" s="15"/>
      <c r="L1546" s="15" t="str">
        <f t="shared" si="49"/>
        <v>NORMAL</v>
      </c>
    </row>
    <row r="1547" spans="1:12" x14ac:dyDescent="0.25">
      <c r="A1547" s="3" t="s">
        <v>3443</v>
      </c>
      <c r="B1547" s="3" t="s">
        <v>3444</v>
      </c>
      <c r="C1547" s="1">
        <v>15</v>
      </c>
      <c r="D1547" s="1">
        <v>500</v>
      </c>
      <c r="E1547" s="1" t="s">
        <v>3438</v>
      </c>
      <c r="F1547" s="1" t="s">
        <v>6214</v>
      </c>
      <c r="G1547" s="3"/>
      <c r="H1547" s="11">
        <f t="shared" si="48"/>
        <v>2348.83</v>
      </c>
      <c r="I1547" s="9">
        <f>($K$2+0.02)*Tabla1[[#This Row],[PRECIO $]]*1.18</f>
        <v>2035.5</v>
      </c>
      <c r="J1547" s="7">
        <f>+Tabla1[[#This Row],[PRECIO EN SOLES]]-Tabla1[[#This Row],[PC]]</f>
        <v>313.32999999999993</v>
      </c>
      <c r="K1547" s="15"/>
      <c r="L1547" s="15" t="str">
        <f t="shared" si="49"/>
        <v>NORMAL</v>
      </c>
    </row>
    <row r="1548" spans="1:12" x14ac:dyDescent="0.25">
      <c r="A1548" s="3" t="s">
        <v>3445</v>
      </c>
      <c r="B1548" s="3" t="s">
        <v>3441</v>
      </c>
      <c r="C1548" s="1">
        <v>20</v>
      </c>
      <c r="D1548" s="1">
        <v>200</v>
      </c>
      <c r="E1548" s="1" t="s">
        <v>3438</v>
      </c>
      <c r="F1548" s="1" t="s">
        <v>6215</v>
      </c>
      <c r="G1548" s="3"/>
      <c r="H1548" s="11">
        <f t="shared" si="48"/>
        <v>944.33</v>
      </c>
      <c r="I1548" s="9">
        <f>($K$2+0.02)*Tabla1[[#This Row],[PRECIO $]]*1.18</f>
        <v>814.19999999999993</v>
      </c>
      <c r="J1548" s="7">
        <f>+Tabla1[[#This Row],[PRECIO EN SOLES]]-Tabla1[[#This Row],[PC]]</f>
        <v>130.13000000000011</v>
      </c>
      <c r="K1548" s="15"/>
      <c r="L1548" s="15" t="str">
        <f t="shared" si="49"/>
        <v>NORMAL</v>
      </c>
    </row>
    <row r="1549" spans="1:12" x14ac:dyDescent="0.25">
      <c r="A1549" s="3" t="s">
        <v>3446</v>
      </c>
      <c r="B1549" s="3" t="s">
        <v>3447</v>
      </c>
      <c r="C1549" s="1">
        <v>9</v>
      </c>
      <c r="D1549" s="1">
        <v>70</v>
      </c>
      <c r="E1549" s="1" t="s">
        <v>3438</v>
      </c>
      <c r="F1549" s="1" t="s">
        <v>6216</v>
      </c>
      <c r="G1549" s="3"/>
      <c r="H1549" s="11">
        <f t="shared" si="48"/>
        <v>335.72</v>
      </c>
      <c r="I1549" s="9">
        <f>($K$2+0.02)*Tabla1[[#This Row],[PRECIO $]]*1.18</f>
        <v>284.96999999999997</v>
      </c>
      <c r="J1549" s="7">
        <f>+Tabla1[[#This Row],[PRECIO EN SOLES]]-Tabla1[[#This Row],[PC]]</f>
        <v>50.750000000000057</v>
      </c>
      <c r="K1549" s="15"/>
      <c r="L1549" s="15" t="str">
        <f t="shared" si="49"/>
        <v>NORMAL</v>
      </c>
    </row>
    <row r="1550" spans="1:12" x14ac:dyDescent="0.25">
      <c r="A1550" s="3" t="s">
        <v>3448</v>
      </c>
      <c r="B1550" s="3" t="s">
        <v>3449</v>
      </c>
      <c r="C1550" s="1">
        <v>20</v>
      </c>
      <c r="D1550" s="1">
        <v>10.32</v>
      </c>
      <c r="E1550" s="1" t="s">
        <v>3450</v>
      </c>
      <c r="F1550" s="1" t="s">
        <v>6217</v>
      </c>
      <c r="G1550" s="3"/>
      <c r="H1550" s="11">
        <f t="shared" si="48"/>
        <v>52.31</v>
      </c>
      <c r="I1550" s="9">
        <f>($K$2+0.02)*Tabla1[[#This Row],[PRECIO $]]*1.18</f>
        <v>42.012720000000009</v>
      </c>
      <c r="J1550" s="7">
        <f>+Tabla1[[#This Row],[PRECIO EN SOLES]]-Tabla1[[#This Row],[PC]]</f>
        <v>10.297279999999994</v>
      </c>
      <c r="K1550" s="15"/>
      <c r="L1550" s="15" t="str">
        <f t="shared" si="49"/>
        <v>NORMAL</v>
      </c>
    </row>
    <row r="1551" spans="1:12" x14ac:dyDescent="0.25">
      <c r="A1551" s="3" t="s">
        <v>3451</v>
      </c>
      <c r="B1551" s="3" t="s">
        <v>3452</v>
      </c>
      <c r="C1551" s="1">
        <v>14</v>
      </c>
      <c r="D1551" s="1">
        <v>16.8</v>
      </c>
      <c r="E1551" s="1" t="s">
        <v>3450</v>
      </c>
      <c r="F1551" s="1" t="s">
        <v>6218</v>
      </c>
      <c r="G1551" s="3" t="s">
        <v>3453</v>
      </c>
      <c r="H1551" s="11">
        <f t="shared" si="48"/>
        <v>82.65</v>
      </c>
      <c r="I1551" s="9">
        <f>($K$2+0.02)*Tabla1[[#This Row],[PRECIO $]]*1.18</f>
        <v>68.392800000000008</v>
      </c>
      <c r="J1551" s="7">
        <f>+Tabla1[[#This Row],[PRECIO EN SOLES]]-Tabla1[[#This Row],[PC]]</f>
        <v>14.257199999999997</v>
      </c>
      <c r="K1551" s="15"/>
      <c r="L1551" s="15" t="str">
        <f t="shared" si="49"/>
        <v>NORMAL</v>
      </c>
    </row>
    <row r="1552" spans="1:12" x14ac:dyDescent="0.25">
      <c r="A1552" s="3" t="s">
        <v>3454</v>
      </c>
      <c r="B1552" s="3" t="s">
        <v>3455</v>
      </c>
      <c r="C1552" s="1">
        <v>20</v>
      </c>
      <c r="D1552" s="1">
        <v>3.3</v>
      </c>
      <c r="E1552" s="1" t="s">
        <v>3450</v>
      </c>
      <c r="F1552" s="1" t="s">
        <v>6219</v>
      </c>
      <c r="G1552" s="3" t="s">
        <v>7085</v>
      </c>
      <c r="H1552" s="11">
        <f t="shared" si="48"/>
        <v>17.45</v>
      </c>
      <c r="I1552" s="9">
        <f>($K$2+0.02)*Tabla1[[#This Row],[PRECIO $]]*1.18</f>
        <v>13.434299999999999</v>
      </c>
      <c r="J1552" s="7">
        <f>+Tabla1[[#This Row],[PRECIO EN SOLES]]-Tabla1[[#This Row],[PC]]</f>
        <v>4.0157000000000007</v>
      </c>
      <c r="K1552" s="15"/>
      <c r="L1552" s="15" t="str">
        <f t="shared" si="49"/>
        <v>NORMAL</v>
      </c>
    </row>
    <row r="1553" spans="1:12" x14ac:dyDescent="0.25">
      <c r="A1553" s="3" t="s">
        <v>3456</v>
      </c>
      <c r="B1553" s="3" t="s">
        <v>3457</v>
      </c>
      <c r="C1553" s="1">
        <v>20</v>
      </c>
      <c r="D1553" s="1">
        <v>12</v>
      </c>
      <c r="E1553" s="1" t="s">
        <v>3450</v>
      </c>
      <c r="F1553" s="1" t="s">
        <v>6220</v>
      </c>
      <c r="G1553" s="3" t="s">
        <v>7086</v>
      </c>
      <c r="H1553" s="11">
        <f t="shared" si="48"/>
        <v>60.18</v>
      </c>
      <c r="I1553" s="9">
        <f>($K$2+0.02)*Tabla1[[#This Row],[PRECIO $]]*1.18</f>
        <v>48.852000000000004</v>
      </c>
      <c r="J1553" s="7">
        <f>+Tabla1[[#This Row],[PRECIO EN SOLES]]-Tabla1[[#This Row],[PC]]</f>
        <v>11.327999999999996</v>
      </c>
      <c r="K1553" s="15"/>
      <c r="L1553" s="15" t="str">
        <f t="shared" si="49"/>
        <v>NORMAL</v>
      </c>
    </row>
    <row r="1554" spans="1:12" x14ac:dyDescent="0.25">
      <c r="A1554" s="3" t="s">
        <v>3458</v>
      </c>
      <c r="B1554" s="3" t="s">
        <v>3459</v>
      </c>
      <c r="C1554" s="1">
        <v>20</v>
      </c>
      <c r="D1554" s="1">
        <v>21.5</v>
      </c>
      <c r="E1554" s="1" t="s">
        <v>3450</v>
      </c>
      <c r="F1554" s="1" t="s">
        <v>6221</v>
      </c>
      <c r="G1554" s="3" t="s">
        <v>7087</v>
      </c>
      <c r="H1554" s="11">
        <f t="shared" si="48"/>
        <v>106.66</v>
      </c>
      <c r="I1554" s="9">
        <f>($K$2+0.02)*Tabla1[[#This Row],[PRECIO $]]*1.18</f>
        <v>87.526499999999999</v>
      </c>
      <c r="J1554" s="7">
        <f>+Tabla1[[#This Row],[PRECIO EN SOLES]]-Tabla1[[#This Row],[PC]]</f>
        <v>19.133499999999998</v>
      </c>
      <c r="K1554" s="15"/>
      <c r="L1554" s="15" t="str">
        <f t="shared" si="49"/>
        <v>NORMAL</v>
      </c>
    </row>
    <row r="1555" spans="1:12" x14ac:dyDescent="0.25">
      <c r="A1555" s="3" t="s">
        <v>3460</v>
      </c>
      <c r="B1555" s="3" t="s">
        <v>3461</v>
      </c>
      <c r="C1555" s="1">
        <v>20</v>
      </c>
      <c r="D1555" s="1">
        <v>15.1</v>
      </c>
      <c r="E1555" s="1" t="s">
        <v>3450</v>
      </c>
      <c r="F1555" s="1" t="s">
        <v>6222</v>
      </c>
      <c r="G1555" s="3" t="s">
        <v>3462</v>
      </c>
      <c r="H1555" s="11">
        <f t="shared" si="48"/>
        <v>74.69</v>
      </c>
      <c r="I1555" s="9">
        <f>($K$2+0.02)*Tabla1[[#This Row],[PRECIO $]]*1.18</f>
        <v>61.472099999999998</v>
      </c>
      <c r="J1555" s="7">
        <f>+Tabla1[[#This Row],[PRECIO EN SOLES]]-Tabla1[[#This Row],[PC]]</f>
        <v>13.2179</v>
      </c>
      <c r="K1555" s="15"/>
      <c r="L1555" s="15" t="str">
        <f t="shared" si="49"/>
        <v>NORMAL</v>
      </c>
    </row>
    <row r="1556" spans="1:12" x14ac:dyDescent="0.25">
      <c r="A1556" s="3" t="s">
        <v>3463</v>
      </c>
      <c r="B1556" s="3" t="s">
        <v>3464</v>
      </c>
      <c r="C1556" s="1">
        <v>20</v>
      </c>
      <c r="D1556" s="1">
        <v>19.809999999999999</v>
      </c>
      <c r="E1556" s="1" t="s">
        <v>3450</v>
      </c>
      <c r="F1556" s="1" t="s">
        <v>6223</v>
      </c>
      <c r="G1556" s="3" t="s">
        <v>3465</v>
      </c>
      <c r="H1556" s="11">
        <f t="shared" si="48"/>
        <v>98.74</v>
      </c>
      <c r="I1556" s="9">
        <f>($K$2+0.02)*Tabla1[[#This Row],[PRECIO $]]*1.18</f>
        <v>80.646509999999992</v>
      </c>
      <c r="J1556" s="7">
        <f>+Tabla1[[#This Row],[PRECIO EN SOLES]]-Tabla1[[#This Row],[PC]]</f>
        <v>18.093490000000003</v>
      </c>
      <c r="K1556" s="15"/>
      <c r="L1556" s="15" t="str">
        <f t="shared" si="49"/>
        <v>NORMAL</v>
      </c>
    </row>
    <row r="1557" spans="1:12" x14ac:dyDescent="0.25">
      <c r="A1557" s="3" t="s">
        <v>3466</v>
      </c>
      <c r="B1557" s="3" t="s">
        <v>3467</v>
      </c>
      <c r="C1557" s="1">
        <v>20</v>
      </c>
      <c r="D1557" s="1">
        <v>4.29</v>
      </c>
      <c r="E1557" s="1" t="s">
        <v>3450</v>
      </c>
      <c r="F1557" s="1" t="s">
        <v>6224</v>
      </c>
      <c r="G1557" s="3"/>
      <c r="H1557" s="11">
        <f t="shared" si="48"/>
        <v>22.08</v>
      </c>
      <c r="I1557" s="9">
        <f>($K$2+0.02)*Tabla1[[#This Row],[PRECIO $]]*1.18</f>
        <v>17.464590000000001</v>
      </c>
      <c r="J1557" s="7">
        <f>+Tabla1[[#This Row],[PRECIO EN SOLES]]-Tabla1[[#This Row],[PC]]</f>
        <v>4.6154099999999971</v>
      </c>
      <c r="K1557" s="15"/>
      <c r="L1557" s="15" t="str">
        <f t="shared" si="49"/>
        <v>NORMAL</v>
      </c>
    </row>
    <row r="1558" spans="1:12" x14ac:dyDescent="0.25">
      <c r="A1558" s="3" t="s">
        <v>3468</v>
      </c>
      <c r="B1558" s="3" t="s">
        <v>3469</v>
      </c>
      <c r="C1558" s="1">
        <v>4</v>
      </c>
      <c r="D1558" s="1">
        <v>37.6</v>
      </c>
      <c r="E1558" s="1" t="s">
        <v>3450</v>
      </c>
      <c r="F1558" s="1" t="s">
        <v>6225</v>
      </c>
      <c r="G1558" s="3"/>
      <c r="H1558" s="11">
        <f t="shared" si="48"/>
        <v>184.03</v>
      </c>
      <c r="I1558" s="9">
        <f>($K$2+0.02)*Tabla1[[#This Row],[PRECIO $]]*1.18</f>
        <v>153.06959999999998</v>
      </c>
      <c r="J1558" s="7">
        <f>+Tabla1[[#This Row],[PRECIO EN SOLES]]-Tabla1[[#This Row],[PC]]</f>
        <v>30.960400000000021</v>
      </c>
      <c r="K1558" s="15"/>
      <c r="L1558" s="15" t="str">
        <f t="shared" si="49"/>
        <v>NORMAL</v>
      </c>
    </row>
    <row r="1559" spans="1:12" x14ac:dyDescent="0.25">
      <c r="A1559" s="3" t="s">
        <v>3470</v>
      </c>
      <c r="B1559" s="3" t="s">
        <v>3471</v>
      </c>
      <c r="C1559" s="1">
        <v>20</v>
      </c>
      <c r="D1559" s="1">
        <v>29</v>
      </c>
      <c r="E1559" s="1" t="s">
        <v>3450</v>
      </c>
      <c r="F1559" s="1" t="s">
        <v>6226</v>
      </c>
      <c r="G1559" s="3" t="s">
        <v>7088</v>
      </c>
      <c r="H1559" s="11">
        <f t="shared" si="48"/>
        <v>141.77000000000001</v>
      </c>
      <c r="I1559" s="9">
        <f>($K$2+0.02)*Tabla1[[#This Row],[PRECIO $]]*1.18</f>
        <v>118.05900000000001</v>
      </c>
      <c r="J1559" s="7">
        <f>+Tabla1[[#This Row],[PRECIO EN SOLES]]-Tabla1[[#This Row],[PC]]</f>
        <v>23.710999999999999</v>
      </c>
      <c r="K1559" s="15"/>
      <c r="L1559" s="15" t="str">
        <f t="shared" si="49"/>
        <v>NORMAL</v>
      </c>
    </row>
    <row r="1560" spans="1:12" x14ac:dyDescent="0.25">
      <c r="A1560" s="3" t="s">
        <v>3472</v>
      </c>
      <c r="B1560" s="3" t="s">
        <v>3473</v>
      </c>
      <c r="C1560" s="1">
        <v>20</v>
      </c>
      <c r="D1560" s="1">
        <v>31.06</v>
      </c>
      <c r="E1560" s="1" t="s">
        <v>3450</v>
      </c>
      <c r="F1560" s="1" t="s">
        <v>6227</v>
      </c>
      <c r="G1560" s="3" t="s">
        <v>7089</v>
      </c>
      <c r="H1560" s="11">
        <f t="shared" si="48"/>
        <v>151.41</v>
      </c>
      <c r="I1560" s="9">
        <f>($K$2+0.02)*Tabla1[[#This Row],[PRECIO $]]*1.18</f>
        <v>126.44525999999999</v>
      </c>
      <c r="J1560" s="7">
        <f>+Tabla1[[#This Row],[PRECIO EN SOLES]]-Tabla1[[#This Row],[PC]]</f>
        <v>24.964740000000006</v>
      </c>
      <c r="K1560" s="15"/>
      <c r="L1560" s="15" t="str">
        <f t="shared" si="49"/>
        <v>NORMAL</v>
      </c>
    </row>
    <row r="1561" spans="1:12" x14ac:dyDescent="0.25">
      <c r="A1561" s="3" t="s">
        <v>3474</v>
      </c>
      <c r="B1561" s="3" t="s">
        <v>3475</v>
      </c>
      <c r="C1561" s="1">
        <v>14</v>
      </c>
      <c r="D1561" s="1">
        <v>16.2</v>
      </c>
      <c r="E1561" s="1" t="s">
        <v>1246</v>
      </c>
      <c r="F1561" s="1" t="s">
        <v>6228</v>
      </c>
      <c r="G1561" s="3"/>
      <c r="H1561" s="11">
        <f t="shared" si="48"/>
        <v>86.44</v>
      </c>
      <c r="I1561" s="9">
        <f>($K$2+0.02)*Tabla1[[#This Row],[PRECIO $]]*1.18</f>
        <v>65.950199999999995</v>
      </c>
      <c r="J1561" s="7">
        <f>+Tabla1[[#This Row],[PRECIO EN SOLES]]-Tabla1[[#This Row],[PC]]</f>
        <v>20.489800000000002</v>
      </c>
      <c r="K1561" s="15"/>
      <c r="L1561" s="15" t="str">
        <f t="shared" si="49"/>
        <v>COMPLEMENTO</v>
      </c>
    </row>
    <row r="1562" spans="1:12" x14ac:dyDescent="0.25">
      <c r="A1562" s="3" t="s">
        <v>3476</v>
      </c>
      <c r="B1562" s="3" t="s">
        <v>3477</v>
      </c>
      <c r="C1562" s="1">
        <v>12</v>
      </c>
      <c r="D1562" s="1">
        <v>20.9</v>
      </c>
      <c r="E1562" s="1" t="s">
        <v>1246</v>
      </c>
      <c r="F1562" s="1" t="s">
        <v>6229</v>
      </c>
      <c r="G1562" s="3"/>
      <c r="H1562" s="11">
        <f t="shared" si="48"/>
        <v>110.35</v>
      </c>
      <c r="I1562" s="9">
        <f>($K$2+0.02)*Tabla1[[#This Row],[PRECIO $]]*1.18</f>
        <v>85.0839</v>
      </c>
      <c r="J1562" s="7">
        <f>+Tabla1[[#This Row],[PRECIO EN SOLES]]-Tabla1[[#This Row],[PC]]</f>
        <v>25.266099999999994</v>
      </c>
      <c r="K1562" s="15"/>
      <c r="L1562" s="15" t="str">
        <f t="shared" si="49"/>
        <v>COMPLEMENTO</v>
      </c>
    </row>
    <row r="1563" spans="1:12" x14ac:dyDescent="0.25">
      <c r="A1563" s="3" t="s">
        <v>3478</v>
      </c>
      <c r="B1563" s="3" t="s">
        <v>3479</v>
      </c>
      <c r="C1563" s="1">
        <v>0</v>
      </c>
      <c r="D1563" s="1">
        <v>37.46</v>
      </c>
      <c r="E1563" s="1" t="s">
        <v>1246</v>
      </c>
      <c r="F1563" s="1" t="s">
        <v>6230</v>
      </c>
      <c r="G1563" s="3"/>
      <c r="H1563" s="11">
        <f t="shared" si="48"/>
        <v>195.62</v>
      </c>
      <c r="I1563" s="9">
        <f>($K$2+0.02)*Tabla1[[#This Row],[PRECIO $]]*1.18</f>
        <v>152.49966000000001</v>
      </c>
      <c r="J1563" s="7">
        <f>+Tabla1[[#This Row],[PRECIO EN SOLES]]-Tabla1[[#This Row],[PC]]</f>
        <v>43.120339999999999</v>
      </c>
      <c r="K1563" s="15"/>
      <c r="L1563" s="15" t="str">
        <f t="shared" si="49"/>
        <v>COMPLEMENTO</v>
      </c>
    </row>
    <row r="1564" spans="1:12" x14ac:dyDescent="0.25">
      <c r="A1564" s="3" t="s">
        <v>3480</v>
      </c>
      <c r="B1564" s="3" t="s">
        <v>3481</v>
      </c>
      <c r="C1564" s="1">
        <v>4</v>
      </c>
      <c r="D1564" s="1">
        <v>24.2</v>
      </c>
      <c r="E1564" s="1" t="s">
        <v>1246</v>
      </c>
      <c r="F1564" s="1" t="s">
        <v>6231</v>
      </c>
      <c r="G1564" s="3"/>
      <c r="H1564" s="11">
        <f t="shared" si="48"/>
        <v>119.3</v>
      </c>
      <c r="I1564" s="9">
        <f>($K$2+0.02)*Tabla1[[#This Row],[PRECIO $]]*1.18</f>
        <v>98.518199999999993</v>
      </c>
      <c r="J1564" s="7">
        <f>+Tabla1[[#This Row],[PRECIO EN SOLES]]-Tabla1[[#This Row],[PC]]</f>
        <v>20.781800000000004</v>
      </c>
      <c r="K1564" s="15"/>
      <c r="L1564" s="15" t="str">
        <f t="shared" si="49"/>
        <v>NORMAL</v>
      </c>
    </row>
    <row r="1565" spans="1:12" x14ac:dyDescent="0.25">
      <c r="A1565" s="3" t="s">
        <v>3482</v>
      </c>
      <c r="B1565" s="3" t="s">
        <v>3483</v>
      </c>
      <c r="C1565" s="1">
        <v>1</v>
      </c>
      <c r="D1565" s="1">
        <v>34</v>
      </c>
      <c r="E1565" s="1" t="s">
        <v>1246</v>
      </c>
      <c r="F1565" s="1" t="s">
        <v>6232</v>
      </c>
      <c r="G1565" s="3" t="s">
        <v>3484</v>
      </c>
      <c r="H1565" s="11">
        <f t="shared" si="48"/>
        <v>165.18</v>
      </c>
      <c r="I1565" s="9">
        <f>($K$2+0.02)*Tabla1[[#This Row],[PRECIO $]]*1.18</f>
        <v>138.41400000000002</v>
      </c>
      <c r="J1565" s="7">
        <f>+Tabla1[[#This Row],[PRECIO EN SOLES]]-Tabla1[[#This Row],[PC]]</f>
        <v>26.765999999999991</v>
      </c>
      <c r="K1565" s="15"/>
      <c r="L1565" s="15" t="str">
        <f t="shared" si="49"/>
        <v>NORMAL</v>
      </c>
    </row>
    <row r="1566" spans="1:12" x14ac:dyDescent="0.25">
      <c r="A1566" s="3" t="s">
        <v>3485</v>
      </c>
      <c r="B1566" s="3" t="s">
        <v>3486</v>
      </c>
      <c r="C1566" s="1">
        <v>11</v>
      </c>
      <c r="D1566" s="1">
        <v>34</v>
      </c>
      <c r="E1566" s="1" t="s">
        <v>1246</v>
      </c>
      <c r="F1566" s="1" t="s">
        <v>6233</v>
      </c>
      <c r="G1566" s="3"/>
      <c r="H1566" s="11">
        <f t="shared" si="48"/>
        <v>165.18</v>
      </c>
      <c r="I1566" s="9">
        <f>($K$2+0.02)*Tabla1[[#This Row],[PRECIO $]]*1.18</f>
        <v>138.41400000000002</v>
      </c>
      <c r="J1566" s="7">
        <f>+Tabla1[[#This Row],[PRECIO EN SOLES]]-Tabla1[[#This Row],[PC]]</f>
        <v>26.765999999999991</v>
      </c>
      <c r="K1566" s="15"/>
      <c r="L1566" s="15" t="str">
        <f t="shared" si="49"/>
        <v>NORMAL</v>
      </c>
    </row>
    <row r="1567" spans="1:12" x14ac:dyDescent="0.25">
      <c r="A1567" s="3" t="s">
        <v>3487</v>
      </c>
      <c r="B1567" s="3" t="s">
        <v>3488</v>
      </c>
      <c r="C1567" s="1">
        <v>4</v>
      </c>
      <c r="D1567" s="1">
        <v>35.1</v>
      </c>
      <c r="E1567" s="1" t="s">
        <v>1246</v>
      </c>
      <c r="F1567" s="1" t="s">
        <v>6234</v>
      </c>
      <c r="G1567" s="3"/>
      <c r="H1567" s="11">
        <f t="shared" si="48"/>
        <v>170.33</v>
      </c>
      <c r="I1567" s="9">
        <f>($K$2+0.02)*Tabla1[[#This Row],[PRECIO $]]*1.18</f>
        <v>142.8921</v>
      </c>
      <c r="J1567" s="7">
        <f>+Tabla1[[#This Row],[PRECIO EN SOLES]]-Tabla1[[#This Row],[PC]]</f>
        <v>27.437900000000013</v>
      </c>
      <c r="K1567" s="15"/>
      <c r="L1567" s="15" t="str">
        <f t="shared" si="49"/>
        <v>NORMAL</v>
      </c>
    </row>
    <row r="1568" spans="1:12" x14ac:dyDescent="0.25">
      <c r="A1568" s="3" t="s">
        <v>3489</v>
      </c>
      <c r="B1568" s="3" t="s">
        <v>3490</v>
      </c>
      <c r="C1568" s="1">
        <v>1</v>
      </c>
      <c r="D1568" s="1">
        <v>25.1</v>
      </c>
      <c r="E1568" s="1" t="s">
        <v>1246</v>
      </c>
      <c r="F1568" s="1" t="s">
        <v>6235</v>
      </c>
      <c r="G1568" s="3"/>
      <c r="H1568" s="11">
        <f t="shared" si="48"/>
        <v>123.51</v>
      </c>
      <c r="I1568" s="9">
        <f>($K$2+0.02)*Tabla1[[#This Row],[PRECIO $]]*1.18</f>
        <v>102.18210000000001</v>
      </c>
      <c r="J1568" s="7">
        <f>+Tabla1[[#This Row],[PRECIO EN SOLES]]-Tabla1[[#This Row],[PC]]</f>
        <v>21.3279</v>
      </c>
      <c r="K1568" s="15"/>
      <c r="L1568" s="15" t="str">
        <f t="shared" si="49"/>
        <v>NORMAL</v>
      </c>
    </row>
    <row r="1569" spans="1:12" x14ac:dyDescent="0.25">
      <c r="A1569" s="3" t="s">
        <v>3491</v>
      </c>
      <c r="B1569" s="3" t="s">
        <v>3492</v>
      </c>
      <c r="C1569" s="1">
        <v>4</v>
      </c>
      <c r="D1569" s="1">
        <v>30</v>
      </c>
      <c r="E1569" s="1" t="s">
        <v>1246</v>
      </c>
      <c r="F1569" s="1" t="s">
        <v>6236</v>
      </c>
      <c r="G1569" s="3"/>
      <c r="H1569" s="11">
        <f t="shared" si="48"/>
        <v>146.44999999999999</v>
      </c>
      <c r="I1569" s="9">
        <f>($K$2+0.02)*Tabla1[[#This Row],[PRECIO $]]*1.18</f>
        <v>122.13</v>
      </c>
      <c r="J1569" s="7">
        <f>+Tabla1[[#This Row],[PRECIO EN SOLES]]-Tabla1[[#This Row],[PC]]</f>
        <v>24.319999999999993</v>
      </c>
      <c r="K1569" s="15"/>
      <c r="L1569" s="15" t="str">
        <f t="shared" si="49"/>
        <v>NORMAL</v>
      </c>
    </row>
    <row r="1570" spans="1:12" x14ac:dyDescent="0.25">
      <c r="A1570" s="3" t="s">
        <v>3493</v>
      </c>
      <c r="B1570" s="3" t="s">
        <v>3494</v>
      </c>
      <c r="C1570" s="1">
        <v>3</v>
      </c>
      <c r="D1570" s="1">
        <v>35.799999999999997</v>
      </c>
      <c r="E1570" s="1" t="s">
        <v>1246</v>
      </c>
      <c r="F1570" s="1" t="s">
        <v>6237</v>
      </c>
      <c r="G1570" s="3"/>
      <c r="H1570" s="11">
        <f t="shared" si="48"/>
        <v>173.6</v>
      </c>
      <c r="I1570" s="9">
        <f>($K$2+0.02)*Tabla1[[#This Row],[PRECIO $]]*1.18</f>
        <v>145.74179999999998</v>
      </c>
      <c r="J1570" s="7">
        <f>+Tabla1[[#This Row],[PRECIO EN SOLES]]-Tabla1[[#This Row],[PC]]</f>
        <v>27.858200000000011</v>
      </c>
      <c r="K1570" s="15"/>
      <c r="L1570" s="15" t="str">
        <f t="shared" si="49"/>
        <v>NORMAL</v>
      </c>
    </row>
    <row r="1571" spans="1:12" x14ac:dyDescent="0.25">
      <c r="A1571" s="3" t="s">
        <v>3495</v>
      </c>
      <c r="B1571" s="3" t="s">
        <v>3496</v>
      </c>
      <c r="C1571" s="1">
        <v>7</v>
      </c>
      <c r="D1571" s="1">
        <v>300</v>
      </c>
      <c r="E1571" s="1" t="s">
        <v>3438</v>
      </c>
      <c r="F1571" s="1" t="s">
        <v>6238</v>
      </c>
      <c r="G1571" s="3"/>
      <c r="H1571" s="11">
        <f t="shared" si="48"/>
        <v>1412.5</v>
      </c>
      <c r="I1571" s="9">
        <f>($K$2+0.02)*Tabla1[[#This Row],[PRECIO $]]*1.18</f>
        <v>1221.3</v>
      </c>
      <c r="J1571" s="7">
        <f>+Tabla1[[#This Row],[PRECIO EN SOLES]]-Tabla1[[#This Row],[PC]]</f>
        <v>191.20000000000005</v>
      </c>
      <c r="K1571" s="15"/>
      <c r="L1571" s="15" t="str">
        <f t="shared" si="49"/>
        <v>NORMAL</v>
      </c>
    </row>
    <row r="1572" spans="1:12" x14ac:dyDescent="0.25">
      <c r="A1572" s="3" t="s">
        <v>7090</v>
      </c>
      <c r="B1572" s="3" t="s">
        <v>7091</v>
      </c>
      <c r="C1572" s="1">
        <v>14</v>
      </c>
      <c r="D1572" s="1">
        <v>24.1</v>
      </c>
      <c r="E1572" s="1" t="s">
        <v>3438</v>
      </c>
      <c r="F1572" s="1" t="s">
        <v>7092</v>
      </c>
      <c r="G1572" s="3"/>
      <c r="H1572" s="11">
        <f t="shared" si="48"/>
        <v>118.83</v>
      </c>
      <c r="I1572" s="9">
        <f>($K$2+0.02)*Tabla1[[#This Row],[PRECIO $]]*1.18</f>
        <v>98.111100000000008</v>
      </c>
      <c r="J1572" s="7">
        <f>+Tabla1[[#This Row],[PRECIO EN SOLES]]-Tabla1[[#This Row],[PC]]</f>
        <v>20.718899999999991</v>
      </c>
      <c r="K1572" s="15"/>
      <c r="L1572" s="15" t="str">
        <f t="shared" si="49"/>
        <v>NORMAL</v>
      </c>
    </row>
    <row r="1573" spans="1:12" x14ac:dyDescent="0.25">
      <c r="A1573" s="3" t="s">
        <v>3497</v>
      </c>
      <c r="B1573" s="3" t="s">
        <v>3498</v>
      </c>
      <c r="C1573" s="1">
        <v>20</v>
      </c>
      <c r="D1573" s="1">
        <v>33.200000000000003</v>
      </c>
      <c r="E1573" s="1" t="s">
        <v>3438</v>
      </c>
      <c r="F1573" s="1" t="s">
        <v>6239</v>
      </c>
      <c r="G1573" s="3"/>
      <c r="H1573" s="11">
        <f t="shared" si="48"/>
        <v>161.43</v>
      </c>
      <c r="I1573" s="9">
        <f>($K$2+0.02)*Tabla1[[#This Row],[PRECIO $]]*1.18</f>
        <v>135.15720000000002</v>
      </c>
      <c r="J1573" s="7">
        <f>+Tabla1[[#This Row],[PRECIO EN SOLES]]-Tabla1[[#This Row],[PC]]</f>
        <v>26.272799999999989</v>
      </c>
      <c r="K1573" s="15"/>
      <c r="L1573" s="15" t="str">
        <f t="shared" si="49"/>
        <v>NORMAL</v>
      </c>
    </row>
    <row r="1574" spans="1:12" x14ac:dyDescent="0.25">
      <c r="A1574" s="3" t="s">
        <v>7093</v>
      </c>
      <c r="B1574" s="3" t="s">
        <v>7094</v>
      </c>
      <c r="C1574" s="1">
        <v>13</v>
      </c>
      <c r="D1574" s="1">
        <v>49</v>
      </c>
      <c r="E1574" s="1" t="s">
        <v>3438</v>
      </c>
      <c r="F1574" s="1" t="s">
        <v>7095</v>
      </c>
      <c r="G1574" s="3"/>
      <c r="H1574" s="11">
        <f t="shared" si="48"/>
        <v>237.4</v>
      </c>
      <c r="I1574" s="9">
        <f>($K$2+0.02)*Tabla1[[#This Row],[PRECIO $]]*1.18</f>
        <v>199.47900000000001</v>
      </c>
      <c r="J1574" s="7">
        <f>+Tabla1[[#This Row],[PRECIO EN SOLES]]-Tabla1[[#This Row],[PC]]</f>
        <v>37.920999999999992</v>
      </c>
      <c r="K1574" s="15"/>
      <c r="L1574" s="15" t="str">
        <f t="shared" si="49"/>
        <v>NORMAL</v>
      </c>
    </row>
    <row r="1575" spans="1:12" x14ac:dyDescent="0.25">
      <c r="A1575" s="3" t="s">
        <v>3499</v>
      </c>
      <c r="B1575" s="3" t="s">
        <v>7096</v>
      </c>
      <c r="C1575" s="1">
        <v>20</v>
      </c>
      <c r="D1575" s="1">
        <v>24</v>
      </c>
      <c r="E1575" s="1" t="s">
        <v>3438</v>
      </c>
      <c r="F1575" s="1" t="s">
        <v>6240</v>
      </c>
      <c r="G1575" s="3"/>
      <c r="H1575" s="11">
        <f t="shared" si="48"/>
        <v>118.36</v>
      </c>
      <c r="I1575" s="9">
        <f>($K$2+0.02)*Tabla1[[#This Row],[PRECIO $]]*1.18</f>
        <v>97.704000000000008</v>
      </c>
      <c r="J1575" s="7">
        <f>+Tabla1[[#This Row],[PRECIO EN SOLES]]-Tabla1[[#This Row],[PC]]</f>
        <v>20.655999999999992</v>
      </c>
      <c r="K1575" s="15"/>
      <c r="L1575" s="15" t="str">
        <f t="shared" si="49"/>
        <v>NORMAL</v>
      </c>
    </row>
    <row r="1576" spans="1:12" x14ac:dyDescent="0.25">
      <c r="A1576" s="3" t="s">
        <v>6241</v>
      </c>
      <c r="B1576" s="3" t="s">
        <v>6242</v>
      </c>
      <c r="C1576" s="1">
        <v>0</v>
      </c>
      <c r="D1576" s="1">
        <v>75.599999999999994</v>
      </c>
      <c r="E1576" s="1" t="s">
        <v>3438</v>
      </c>
      <c r="F1576" s="1" t="s">
        <v>6243</v>
      </c>
      <c r="G1576" s="3" t="s">
        <v>6244</v>
      </c>
      <c r="H1576" s="11">
        <f t="shared" si="48"/>
        <v>361.93</v>
      </c>
      <c r="I1576" s="9">
        <f>($K$2+0.02)*Tabla1[[#This Row],[PRECIO $]]*1.18</f>
        <v>307.76759999999996</v>
      </c>
      <c r="J1576" s="7">
        <f>+Tabla1[[#This Row],[PRECIO EN SOLES]]-Tabla1[[#This Row],[PC]]</f>
        <v>54.162400000000048</v>
      </c>
      <c r="K1576" s="15"/>
      <c r="L1576" s="15" t="str">
        <f t="shared" si="49"/>
        <v>NORMAL</v>
      </c>
    </row>
    <row r="1577" spans="1:12" x14ac:dyDescent="0.25">
      <c r="A1577" s="3" t="s">
        <v>3500</v>
      </c>
      <c r="B1577" s="3" t="s">
        <v>3501</v>
      </c>
      <c r="C1577" s="1">
        <v>0</v>
      </c>
      <c r="D1577" s="1">
        <v>87.5</v>
      </c>
      <c r="E1577" s="1" t="s">
        <v>3438</v>
      </c>
      <c r="F1577" s="1" t="s">
        <v>6245</v>
      </c>
      <c r="G1577" s="3"/>
      <c r="H1577" s="11">
        <f t="shared" si="48"/>
        <v>417.64</v>
      </c>
      <c r="I1577" s="9">
        <f>($K$2+0.02)*Tabla1[[#This Row],[PRECIO $]]*1.18</f>
        <v>356.21249999999998</v>
      </c>
      <c r="J1577" s="7">
        <f>+Tabla1[[#This Row],[PRECIO EN SOLES]]-Tabla1[[#This Row],[PC]]</f>
        <v>61.427500000000009</v>
      </c>
      <c r="K1577" s="15"/>
      <c r="L1577" s="15" t="str">
        <f t="shared" si="49"/>
        <v>NORMAL</v>
      </c>
    </row>
    <row r="1578" spans="1:12" x14ac:dyDescent="0.25">
      <c r="A1578" s="3" t="s">
        <v>6246</v>
      </c>
      <c r="B1578" s="3" t="s">
        <v>6247</v>
      </c>
      <c r="C1578" s="1">
        <v>0</v>
      </c>
      <c r="D1578" s="1">
        <v>32.4</v>
      </c>
      <c r="E1578" s="1" t="s">
        <v>3438</v>
      </c>
      <c r="F1578" s="1" t="s">
        <v>6248</v>
      </c>
      <c r="G1578" s="3"/>
      <c r="H1578" s="11">
        <f t="shared" si="48"/>
        <v>157.69</v>
      </c>
      <c r="I1578" s="9">
        <f>($K$2+0.02)*Tabla1[[#This Row],[PRECIO $]]*1.18</f>
        <v>131.90039999999999</v>
      </c>
      <c r="J1578" s="7">
        <f>+Tabla1[[#This Row],[PRECIO EN SOLES]]-Tabla1[[#This Row],[PC]]</f>
        <v>25.789600000000007</v>
      </c>
      <c r="K1578" s="15"/>
      <c r="L1578" s="15" t="str">
        <f t="shared" si="49"/>
        <v>NORMAL</v>
      </c>
    </row>
    <row r="1579" spans="1:12" x14ac:dyDescent="0.25">
      <c r="A1579" s="3" t="s">
        <v>3502</v>
      </c>
      <c r="B1579" s="3" t="s">
        <v>3503</v>
      </c>
      <c r="C1579" s="1">
        <v>0</v>
      </c>
      <c r="D1579" s="1">
        <v>52.6</v>
      </c>
      <c r="E1579" s="1" t="s">
        <v>3438</v>
      </c>
      <c r="F1579" s="1" t="s">
        <v>6249</v>
      </c>
      <c r="G1579" s="3"/>
      <c r="H1579" s="11">
        <f t="shared" si="48"/>
        <v>254.25</v>
      </c>
      <c r="I1579" s="9">
        <f>($K$2+0.02)*Tabla1[[#This Row],[PRECIO $]]*1.18</f>
        <v>214.13460000000003</v>
      </c>
      <c r="J1579" s="7">
        <f>+Tabla1[[#This Row],[PRECIO EN SOLES]]-Tabla1[[#This Row],[PC]]</f>
        <v>40.115399999999966</v>
      </c>
      <c r="K1579" s="15"/>
      <c r="L1579" s="15" t="str">
        <f t="shared" si="49"/>
        <v>NORMAL</v>
      </c>
    </row>
    <row r="1580" spans="1:12" x14ac:dyDescent="0.25">
      <c r="A1580" s="3" t="s">
        <v>3504</v>
      </c>
      <c r="B1580" s="3" t="s">
        <v>3505</v>
      </c>
      <c r="C1580" s="1">
        <v>19</v>
      </c>
      <c r="D1580" s="1">
        <v>49</v>
      </c>
      <c r="E1580" s="1" t="s">
        <v>3438</v>
      </c>
      <c r="F1580" s="1" t="s">
        <v>6250</v>
      </c>
      <c r="G1580" s="3"/>
      <c r="H1580" s="11">
        <f t="shared" si="48"/>
        <v>237.4</v>
      </c>
      <c r="I1580" s="9">
        <f>($K$2+0.02)*Tabla1[[#This Row],[PRECIO $]]*1.18</f>
        <v>199.47900000000001</v>
      </c>
      <c r="J1580" s="7">
        <f>+Tabla1[[#This Row],[PRECIO EN SOLES]]-Tabla1[[#This Row],[PC]]</f>
        <v>37.920999999999992</v>
      </c>
      <c r="K1580" s="15"/>
      <c r="L1580" s="15" t="str">
        <f t="shared" si="49"/>
        <v>NORMAL</v>
      </c>
    </row>
    <row r="1581" spans="1:12" x14ac:dyDescent="0.25">
      <c r="A1581" s="3" t="s">
        <v>3506</v>
      </c>
      <c r="B1581" s="3" t="s">
        <v>3507</v>
      </c>
      <c r="C1581" s="1">
        <v>0</v>
      </c>
      <c r="D1581" s="1">
        <v>25.65</v>
      </c>
      <c r="E1581" s="1" t="s">
        <v>3438</v>
      </c>
      <c r="F1581" s="1" t="s">
        <v>6251</v>
      </c>
      <c r="G1581" s="3"/>
      <c r="H1581" s="11">
        <f t="shared" si="48"/>
        <v>126.08</v>
      </c>
      <c r="I1581" s="9">
        <f>($K$2+0.02)*Tabla1[[#This Row],[PRECIO $]]*1.18</f>
        <v>104.42114999999998</v>
      </c>
      <c r="J1581" s="7">
        <f>+Tabla1[[#This Row],[PRECIO EN SOLES]]-Tabla1[[#This Row],[PC]]</f>
        <v>21.658850000000015</v>
      </c>
      <c r="K1581" s="15"/>
      <c r="L1581" s="15" t="str">
        <f t="shared" si="49"/>
        <v>NORMAL</v>
      </c>
    </row>
    <row r="1582" spans="1:12" x14ac:dyDescent="0.25">
      <c r="A1582" s="3" t="s">
        <v>6252</v>
      </c>
      <c r="B1582" s="3" t="s">
        <v>6253</v>
      </c>
      <c r="C1582" s="1">
        <v>0</v>
      </c>
      <c r="D1582" s="1">
        <v>20.55</v>
      </c>
      <c r="E1582" s="1" t="s">
        <v>3438</v>
      </c>
      <c r="F1582" s="1" t="s">
        <v>6254</v>
      </c>
      <c r="G1582" s="3"/>
      <c r="H1582" s="11">
        <f t="shared" si="48"/>
        <v>102.21</v>
      </c>
      <c r="I1582" s="9">
        <f>($K$2+0.02)*Tabla1[[#This Row],[PRECIO $]]*1.18</f>
        <v>83.659050000000008</v>
      </c>
      <c r="J1582" s="7">
        <f>+Tabla1[[#This Row],[PRECIO EN SOLES]]-Tabla1[[#This Row],[PC]]</f>
        <v>18.550949999999986</v>
      </c>
      <c r="K1582" s="15"/>
      <c r="L1582" s="15" t="str">
        <f t="shared" si="49"/>
        <v>NORMAL</v>
      </c>
    </row>
    <row r="1583" spans="1:12" x14ac:dyDescent="0.25">
      <c r="A1583" s="3" t="s">
        <v>7097</v>
      </c>
      <c r="B1583" s="3" t="s">
        <v>7098</v>
      </c>
      <c r="C1583" s="1">
        <v>0</v>
      </c>
      <c r="D1583" s="1">
        <v>20.3</v>
      </c>
      <c r="E1583" s="1" t="s">
        <v>3438</v>
      </c>
      <c r="F1583" s="1" t="s">
        <v>7099</v>
      </c>
      <c r="G1583" s="3"/>
      <c r="H1583" s="11">
        <f t="shared" si="48"/>
        <v>101.04</v>
      </c>
      <c r="I1583" s="9">
        <f>($K$2+0.02)*Tabla1[[#This Row],[PRECIO $]]*1.18</f>
        <v>82.641300000000015</v>
      </c>
      <c r="J1583" s="7">
        <f>+Tabla1[[#This Row],[PRECIO EN SOLES]]-Tabla1[[#This Row],[PC]]</f>
        <v>18.398699999999991</v>
      </c>
      <c r="K1583" s="15"/>
      <c r="L1583" s="15" t="str">
        <f t="shared" si="49"/>
        <v>NORMAL</v>
      </c>
    </row>
    <row r="1584" spans="1:12" x14ac:dyDescent="0.25">
      <c r="A1584" s="3" t="s">
        <v>6255</v>
      </c>
      <c r="B1584" s="3" t="s">
        <v>6247</v>
      </c>
      <c r="C1584" s="1">
        <v>0</v>
      </c>
      <c r="D1584" s="1">
        <v>9999999.9900000002</v>
      </c>
      <c r="E1584" s="1" t="s">
        <v>3438</v>
      </c>
      <c r="F1584" s="1" t="s">
        <v>6256</v>
      </c>
      <c r="G1584" s="3"/>
      <c r="H1584" s="11">
        <f t="shared" si="48"/>
        <v>46816507.950000003</v>
      </c>
      <c r="I1584" s="9">
        <f>($K$2+0.02)*Tabla1[[#This Row],[PRECIO $]]*1.18</f>
        <v>40709999.959290005</v>
      </c>
      <c r="J1584" s="7">
        <f>+Tabla1[[#This Row],[PRECIO EN SOLES]]-Tabla1[[#This Row],[PC]]</f>
        <v>6106507.9907099977</v>
      </c>
      <c r="K1584" s="15"/>
      <c r="L1584" s="15" t="str">
        <f t="shared" si="49"/>
        <v>NORMAL</v>
      </c>
    </row>
    <row r="1585" spans="1:12" x14ac:dyDescent="0.25">
      <c r="A1585" s="3" t="s">
        <v>3508</v>
      </c>
      <c r="B1585" s="3" t="s">
        <v>3509</v>
      </c>
      <c r="C1585" s="1">
        <v>20</v>
      </c>
      <c r="D1585" s="1">
        <v>53.2</v>
      </c>
      <c r="E1585" s="1" t="s">
        <v>3438</v>
      </c>
      <c r="F1585" s="1" t="s">
        <v>6257</v>
      </c>
      <c r="G1585" s="3"/>
      <c r="H1585" s="11">
        <f t="shared" si="48"/>
        <v>257.06</v>
      </c>
      <c r="I1585" s="9">
        <f>($K$2+0.02)*Tabla1[[#This Row],[PRECIO $]]*1.18</f>
        <v>216.5772</v>
      </c>
      <c r="J1585" s="7">
        <f>+Tabla1[[#This Row],[PRECIO EN SOLES]]-Tabla1[[#This Row],[PC]]</f>
        <v>40.482799999999997</v>
      </c>
      <c r="K1585" s="15"/>
      <c r="L1585" s="15" t="str">
        <f t="shared" si="49"/>
        <v>NORMAL</v>
      </c>
    </row>
    <row r="1586" spans="1:12" x14ac:dyDescent="0.25">
      <c r="A1586" s="3" t="s">
        <v>7100</v>
      </c>
      <c r="B1586" s="3" t="s">
        <v>7101</v>
      </c>
      <c r="C1586" s="1">
        <v>20</v>
      </c>
      <c r="D1586" s="1">
        <v>65</v>
      </c>
      <c r="E1586" s="1" t="s">
        <v>3438</v>
      </c>
      <c r="F1586" s="1" t="s">
        <v>7102</v>
      </c>
      <c r="G1586" s="3"/>
      <c r="H1586" s="11">
        <f t="shared" si="48"/>
        <v>312.31</v>
      </c>
      <c r="I1586" s="9">
        <f>($K$2+0.02)*Tabla1[[#This Row],[PRECIO $]]*1.18</f>
        <v>264.61500000000001</v>
      </c>
      <c r="J1586" s="7">
        <f>+Tabla1[[#This Row],[PRECIO EN SOLES]]-Tabla1[[#This Row],[PC]]</f>
        <v>47.694999999999993</v>
      </c>
      <c r="K1586" s="15"/>
      <c r="L1586" s="15" t="str">
        <f t="shared" si="49"/>
        <v>NORMAL</v>
      </c>
    </row>
    <row r="1587" spans="1:12" x14ac:dyDescent="0.25">
      <c r="A1587" s="3" t="s">
        <v>6258</v>
      </c>
      <c r="B1587" s="3" t="s">
        <v>6242</v>
      </c>
      <c r="C1587" s="1">
        <v>0</v>
      </c>
      <c r="D1587" s="1">
        <v>9999999.9900000002</v>
      </c>
      <c r="E1587" s="1" t="s">
        <v>3438</v>
      </c>
      <c r="F1587" s="1" t="s">
        <v>6259</v>
      </c>
      <c r="G1587" s="3"/>
      <c r="H1587" s="11">
        <f t="shared" si="48"/>
        <v>46816507.950000003</v>
      </c>
      <c r="I1587" s="9">
        <f>($K$2+0.02)*Tabla1[[#This Row],[PRECIO $]]*1.18</f>
        <v>40709999.959290005</v>
      </c>
      <c r="J1587" s="7">
        <f>+Tabla1[[#This Row],[PRECIO EN SOLES]]-Tabla1[[#This Row],[PC]]</f>
        <v>6106507.9907099977</v>
      </c>
      <c r="K1587" s="15"/>
      <c r="L1587" s="15" t="str">
        <f t="shared" si="49"/>
        <v>NORMAL</v>
      </c>
    </row>
    <row r="1588" spans="1:12" x14ac:dyDescent="0.25">
      <c r="A1588" s="3" t="s">
        <v>7103</v>
      </c>
      <c r="B1588" s="3" t="s">
        <v>7104</v>
      </c>
      <c r="C1588" s="1">
        <v>0</v>
      </c>
      <c r="D1588" s="1">
        <v>9999999.9900000002</v>
      </c>
      <c r="E1588" s="1" t="s">
        <v>3438</v>
      </c>
      <c r="F1588" s="1" t="s">
        <v>7105</v>
      </c>
      <c r="G1588" s="3"/>
      <c r="H1588" s="11">
        <f t="shared" si="48"/>
        <v>46816507.950000003</v>
      </c>
      <c r="I1588" s="9">
        <f>($K$2+0.02)*Tabla1[[#This Row],[PRECIO $]]*1.18</f>
        <v>40709999.959290005</v>
      </c>
      <c r="J1588" s="7">
        <f>+Tabla1[[#This Row],[PRECIO EN SOLES]]-Tabla1[[#This Row],[PC]]</f>
        <v>6106507.9907099977</v>
      </c>
      <c r="K1588" s="15"/>
      <c r="L1588" s="15" t="str">
        <f t="shared" si="49"/>
        <v>NORMAL</v>
      </c>
    </row>
    <row r="1589" spans="1:12" x14ac:dyDescent="0.25">
      <c r="A1589" s="3" t="s">
        <v>3510</v>
      </c>
      <c r="B1589" s="3" t="s">
        <v>3511</v>
      </c>
      <c r="C1589" s="1">
        <v>20</v>
      </c>
      <c r="D1589" s="1">
        <v>25.5</v>
      </c>
      <c r="E1589" s="1" t="s">
        <v>3438</v>
      </c>
      <c r="F1589" s="1" t="s">
        <v>6260</v>
      </c>
      <c r="G1589" s="3"/>
      <c r="H1589" s="11">
        <f t="shared" si="48"/>
        <v>125.38</v>
      </c>
      <c r="I1589" s="9">
        <f>($K$2+0.02)*Tabla1[[#This Row],[PRECIO $]]*1.18</f>
        <v>103.8105</v>
      </c>
      <c r="J1589" s="7">
        <f>+Tabla1[[#This Row],[PRECIO EN SOLES]]-Tabla1[[#This Row],[PC]]</f>
        <v>21.569499999999991</v>
      </c>
      <c r="K1589" s="15"/>
      <c r="L1589" s="15" t="str">
        <f t="shared" si="49"/>
        <v>NORMAL</v>
      </c>
    </row>
    <row r="1590" spans="1:12" x14ac:dyDescent="0.25">
      <c r="A1590" s="3" t="s">
        <v>3512</v>
      </c>
      <c r="B1590" s="3" t="s">
        <v>3513</v>
      </c>
      <c r="C1590" s="1">
        <v>20</v>
      </c>
      <c r="D1590" s="1">
        <v>20.12</v>
      </c>
      <c r="E1590" s="1" t="s">
        <v>3438</v>
      </c>
      <c r="F1590" s="1" t="s">
        <v>6261</v>
      </c>
      <c r="G1590" s="3"/>
      <c r="H1590" s="11">
        <f t="shared" si="48"/>
        <v>100.19</v>
      </c>
      <c r="I1590" s="9">
        <f>($K$2+0.02)*Tabla1[[#This Row],[PRECIO $]]*1.18</f>
        <v>81.908519999999996</v>
      </c>
      <c r="J1590" s="7">
        <f>+Tabla1[[#This Row],[PRECIO EN SOLES]]-Tabla1[[#This Row],[PC]]</f>
        <v>18.281480000000002</v>
      </c>
      <c r="K1590" s="15"/>
      <c r="L1590" s="15" t="str">
        <f t="shared" si="49"/>
        <v>NORMAL</v>
      </c>
    </row>
    <row r="1591" spans="1:12" x14ac:dyDescent="0.25">
      <c r="A1591" s="3" t="s">
        <v>3514</v>
      </c>
      <c r="B1591" s="3" t="s">
        <v>3515</v>
      </c>
      <c r="C1591" s="1">
        <v>0</v>
      </c>
      <c r="D1591" s="1">
        <v>9999999.9900000002</v>
      </c>
      <c r="E1591" s="1" t="s">
        <v>3438</v>
      </c>
      <c r="F1591" s="1" t="s">
        <v>6262</v>
      </c>
      <c r="G1591" s="3"/>
      <c r="H1591" s="11">
        <f t="shared" si="48"/>
        <v>46816507.950000003</v>
      </c>
      <c r="I1591" s="9">
        <f>($K$2+0.02)*Tabla1[[#This Row],[PRECIO $]]*1.18</f>
        <v>40709999.959290005</v>
      </c>
      <c r="J1591" s="7">
        <f>+Tabla1[[#This Row],[PRECIO EN SOLES]]-Tabla1[[#This Row],[PC]]</f>
        <v>6106507.9907099977</v>
      </c>
      <c r="K1591" s="15"/>
      <c r="L1591" s="15" t="str">
        <f t="shared" si="49"/>
        <v>NORMAL</v>
      </c>
    </row>
    <row r="1592" spans="1:12" x14ac:dyDescent="0.25">
      <c r="A1592" s="3" t="s">
        <v>3516</v>
      </c>
      <c r="B1592" s="3" t="s">
        <v>3517</v>
      </c>
      <c r="C1592" s="1">
        <v>0</v>
      </c>
      <c r="D1592" s="1">
        <v>999</v>
      </c>
      <c r="E1592" s="1" t="s">
        <v>242</v>
      </c>
      <c r="F1592" s="1" t="s">
        <v>6263</v>
      </c>
      <c r="G1592" s="3"/>
      <c r="H1592" s="11">
        <f t="shared" si="48"/>
        <v>4684.97</v>
      </c>
      <c r="I1592" s="9">
        <f>($K$2+0.02)*Tabla1[[#This Row],[PRECIO $]]*1.18</f>
        <v>4066.9290000000001</v>
      </c>
      <c r="J1592" s="7">
        <f>+Tabla1[[#This Row],[PRECIO EN SOLES]]-Tabla1[[#This Row],[PC]]</f>
        <v>618.04100000000017</v>
      </c>
      <c r="K1592" s="15"/>
      <c r="L1592" s="15" t="str">
        <f t="shared" si="49"/>
        <v>NORMAL</v>
      </c>
    </row>
    <row r="1593" spans="1:12" x14ac:dyDescent="0.25">
      <c r="A1593" s="3" t="s">
        <v>3518</v>
      </c>
      <c r="B1593" s="3" t="s">
        <v>3467</v>
      </c>
      <c r="C1593" s="1">
        <v>0</v>
      </c>
      <c r="D1593" s="1">
        <v>999</v>
      </c>
      <c r="E1593" s="1" t="s">
        <v>242</v>
      </c>
      <c r="F1593" s="1" t="s">
        <v>6264</v>
      </c>
      <c r="G1593" s="3"/>
      <c r="H1593" s="11">
        <f t="shared" si="48"/>
        <v>4684.97</v>
      </c>
      <c r="I1593" s="9">
        <f>($K$2+0.02)*Tabla1[[#This Row],[PRECIO $]]*1.18</f>
        <v>4066.9290000000001</v>
      </c>
      <c r="J1593" s="7">
        <f>+Tabla1[[#This Row],[PRECIO EN SOLES]]-Tabla1[[#This Row],[PC]]</f>
        <v>618.04100000000017</v>
      </c>
      <c r="K1593" s="15"/>
      <c r="L1593" s="15" t="str">
        <f t="shared" si="49"/>
        <v>NORMAL</v>
      </c>
    </row>
    <row r="1594" spans="1:12" x14ac:dyDescent="0.25">
      <c r="A1594" s="3" t="s">
        <v>3519</v>
      </c>
      <c r="B1594" s="3" t="s">
        <v>3520</v>
      </c>
      <c r="C1594" s="1">
        <v>20</v>
      </c>
      <c r="D1594" s="1">
        <v>666</v>
      </c>
      <c r="E1594" s="1" t="s">
        <v>1300</v>
      </c>
      <c r="F1594" s="1" t="s">
        <v>6265</v>
      </c>
      <c r="G1594" s="3"/>
      <c r="H1594" s="11">
        <f t="shared" si="48"/>
        <v>3125.98</v>
      </c>
      <c r="I1594" s="9">
        <f>($K$2+0.02)*Tabla1[[#This Row],[PRECIO $]]*1.18</f>
        <v>2711.2860000000001</v>
      </c>
      <c r="J1594" s="7">
        <f>+Tabla1[[#This Row],[PRECIO EN SOLES]]-Tabla1[[#This Row],[PC]]</f>
        <v>414.69399999999996</v>
      </c>
      <c r="K1594" s="15"/>
      <c r="L1594" s="15" t="str">
        <f t="shared" si="49"/>
        <v>NORMAL</v>
      </c>
    </row>
    <row r="1595" spans="1:12" x14ac:dyDescent="0.25">
      <c r="A1595" s="3" t="s">
        <v>3521</v>
      </c>
      <c r="B1595" s="3" t="s">
        <v>3522</v>
      </c>
      <c r="C1595" s="1">
        <v>0</v>
      </c>
      <c r="D1595" s="1">
        <v>999</v>
      </c>
      <c r="E1595" s="1" t="s">
        <v>261</v>
      </c>
      <c r="F1595" s="1" t="s">
        <v>6266</v>
      </c>
      <c r="G1595" s="3"/>
      <c r="H1595" s="11">
        <f t="shared" si="48"/>
        <v>4684.97</v>
      </c>
      <c r="I1595" s="9">
        <f>($K$2+0.02)*Tabla1[[#This Row],[PRECIO $]]*1.18</f>
        <v>4066.9290000000001</v>
      </c>
      <c r="J1595" s="7">
        <f>+Tabla1[[#This Row],[PRECIO EN SOLES]]-Tabla1[[#This Row],[PC]]</f>
        <v>618.04100000000017</v>
      </c>
      <c r="K1595" s="15"/>
      <c r="L1595" s="15" t="str">
        <f t="shared" si="49"/>
        <v>NORMAL</v>
      </c>
    </row>
    <row r="1596" spans="1:12" x14ac:dyDescent="0.25">
      <c r="A1596" s="3" t="s">
        <v>3523</v>
      </c>
      <c r="B1596" s="3" t="s">
        <v>3524</v>
      </c>
      <c r="C1596" s="1">
        <v>20</v>
      </c>
      <c r="D1596" s="1">
        <v>666</v>
      </c>
      <c r="E1596" s="1" t="s">
        <v>242</v>
      </c>
      <c r="F1596" s="1" t="s">
        <v>6267</v>
      </c>
      <c r="G1596" s="3"/>
      <c r="H1596" s="11">
        <f t="shared" si="48"/>
        <v>3394.11</v>
      </c>
      <c r="I1596" s="9">
        <f>($K$2+0.02)*Tabla1[[#This Row],[PRECIO $]]*1.18</f>
        <v>2711.2860000000001</v>
      </c>
      <c r="J1596" s="7">
        <f>+Tabla1[[#This Row],[PRECIO EN SOLES]]-Tabla1[[#This Row],[PC]]</f>
        <v>682.82400000000007</v>
      </c>
      <c r="K1596" s="15"/>
      <c r="L1596" s="15" t="str">
        <f t="shared" si="49"/>
        <v>COMPLEMENTO</v>
      </c>
    </row>
    <row r="1597" spans="1:12" x14ac:dyDescent="0.25">
      <c r="A1597" s="3" t="s">
        <v>3525</v>
      </c>
      <c r="B1597" s="3" t="s">
        <v>3526</v>
      </c>
      <c r="C1597" s="1">
        <v>0</v>
      </c>
      <c r="D1597" s="1">
        <v>137</v>
      </c>
      <c r="E1597" s="1" t="s">
        <v>1054</v>
      </c>
      <c r="F1597" s="1" t="s">
        <v>6268</v>
      </c>
      <c r="G1597" s="3"/>
      <c r="H1597" s="11">
        <f t="shared" si="48"/>
        <v>649.39</v>
      </c>
      <c r="I1597" s="9">
        <f>($K$2+0.02)*Tabla1[[#This Row],[PRECIO $]]*1.18</f>
        <v>557.72699999999998</v>
      </c>
      <c r="J1597" s="7">
        <f>+Tabla1[[#This Row],[PRECIO EN SOLES]]-Tabla1[[#This Row],[PC]]</f>
        <v>91.663000000000011</v>
      </c>
      <c r="K1597" s="15"/>
      <c r="L1597" s="15" t="str">
        <f t="shared" si="49"/>
        <v>NORMAL</v>
      </c>
    </row>
    <row r="1598" spans="1:12" x14ac:dyDescent="0.25">
      <c r="A1598" s="3" t="s">
        <v>3527</v>
      </c>
      <c r="B1598" s="3" t="s">
        <v>3520</v>
      </c>
      <c r="C1598" s="1">
        <v>1</v>
      </c>
      <c r="D1598" s="1">
        <v>666</v>
      </c>
      <c r="E1598" s="1" t="s">
        <v>3450</v>
      </c>
      <c r="F1598" s="1" t="s">
        <v>6269</v>
      </c>
      <c r="G1598" s="3"/>
      <c r="H1598" s="11">
        <f t="shared" si="48"/>
        <v>3125.98</v>
      </c>
      <c r="I1598" s="9">
        <f>($K$2+0.02)*Tabla1[[#This Row],[PRECIO $]]*1.18</f>
        <v>2711.2860000000001</v>
      </c>
      <c r="J1598" s="7">
        <f>+Tabla1[[#This Row],[PRECIO EN SOLES]]-Tabla1[[#This Row],[PC]]</f>
        <v>414.69399999999996</v>
      </c>
      <c r="K1598" s="15"/>
      <c r="L1598" s="15" t="str">
        <f t="shared" si="49"/>
        <v>NORMAL</v>
      </c>
    </row>
    <row r="1599" spans="1:12" x14ac:dyDescent="0.25">
      <c r="A1599" s="3" t="s">
        <v>3528</v>
      </c>
      <c r="B1599" s="3" t="s">
        <v>3529</v>
      </c>
      <c r="C1599" s="1">
        <v>0</v>
      </c>
      <c r="D1599" s="1">
        <v>16.38</v>
      </c>
      <c r="E1599" s="1" t="s">
        <v>142</v>
      </c>
      <c r="F1599" s="1" t="s">
        <v>6270</v>
      </c>
      <c r="G1599" s="3" t="s">
        <v>3530</v>
      </c>
      <c r="H1599" s="11">
        <f t="shared" si="48"/>
        <v>80.69</v>
      </c>
      <c r="I1599" s="9">
        <f>($K$2+0.02)*Tabla1[[#This Row],[PRECIO $]]*1.18</f>
        <v>66.682980000000001</v>
      </c>
      <c r="J1599" s="7">
        <f>+Tabla1[[#This Row],[PRECIO EN SOLES]]-Tabla1[[#This Row],[PC]]</f>
        <v>14.007019999999997</v>
      </c>
      <c r="K1599" s="15"/>
      <c r="L1599" s="15" t="str">
        <f t="shared" si="49"/>
        <v>NORMAL</v>
      </c>
    </row>
    <row r="1600" spans="1:12" x14ac:dyDescent="0.25">
      <c r="A1600" s="3" t="s">
        <v>3531</v>
      </c>
      <c r="B1600" s="3" t="s">
        <v>3532</v>
      </c>
      <c r="C1600" s="1">
        <v>0</v>
      </c>
      <c r="D1600" s="1">
        <v>999</v>
      </c>
      <c r="E1600" s="1" t="s">
        <v>1246</v>
      </c>
      <c r="F1600" s="1" t="s">
        <v>6271</v>
      </c>
      <c r="G1600" s="3"/>
      <c r="H1600" s="11">
        <f t="shared" si="48"/>
        <v>4684.97</v>
      </c>
      <c r="I1600" s="9">
        <f>($K$2+0.02)*Tabla1[[#This Row],[PRECIO $]]*1.18</f>
        <v>4066.9290000000001</v>
      </c>
      <c r="J1600" s="7">
        <f>+Tabla1[[#This Row],[PRECIO EN SOLES]]-Tabla1[[#This Row],[PC]]</f>
        <v>618.04100000000017</v>
      </c>
      <c r="K1600" s="15"/>
      <c r="L1600" s="15" t="str">
        <f t="shared" si="49"/>
        <v>NORMAL</v>
      </c>
    </row>
    <row r="1601" spans="1:12" x14ac:dyDescent="0.25">
      <c r="A1601" s="3" t="s">
        <v>3533</v>
      </c>
      <c r="B1601" s="3" t="s">
        <v>3534</v>
      </c>
      <c r="C1601" s="1">
        <v>2</v>
      </c>
      <c r="D1601" s="1">
        <v>195</v>
      </c>
      <c r="E1601" s="1" t="s">
        <v>1246</v>
      </c>
      <c r="F1601" s="1" t="s">
        <v>6272</v>
      </c>
      <c r="G1601" s="3"/>
      <c r="H1601" s="11">
        <f t="shared" si="48"/>
        <v>920.92</v>
      </c>
      <c r="I1601" s="9">
        <f>($K$2+0.02)*Tabla1[[#This Row],[PRECIO $]]*1.18</f>
        <v>793.84499999999991</v>
      </c>
      <c r="J1601" s="7">
        <f>+Tabla1[[#This Row],[PRECIO EN SOLES]]-Tabla1[[#This Row],[PC]]</f>
        <v>127.07500000000005</v>
      </c>
      <c r="K1601" s="15"/>
      <c r="L1601" s="15" t="str">
        <f t="shared" si="49"/>
        <v>NORMAL</v>
      </c>
    </row>
    <row r="1602" spans="1:12" x14ac:dyDescent="0.25">
      <c r="A1602" s="3" t="s">
        <v>3535</v>
      </c>
      <c r="B1602" s="3" t="s">
        <v>3536</v>
      </c>
      <c r="C1602" s="1">
        <v>2</v>
      </c>
      <c r="D1602" s="1">
        <v>185</v>
      </c>
      <c r="E1602" s="1" t="s">
        <v>1246</v>
      </c>
      <c r="F1602" s="1" t="s">
        <v>6273</v>
      </c>
      <c r="G1602" s="3"/>
      <c r="H1602" s="11">
        <f t="shared" ref="H1602:H1665" si="50">ROUND(
IF(L1602="GANCHO",
   IF(I1602&lt;=50,I1602*1.1+4,IF(I1602&lt;=120,I1602*1.1+7,IF(I1602&lt;=250,I1602*1.1+11,I1602*1.1+19))),
IF(L1602="NORMAL",
   IF(I1602&lt;=30,I1602*1.15+2,IF(I1602&lt;=80,I1602*1.15+4,IF(I1602&lt;=150,I1602*1.15+6,I1602*1.15+8))),
IF(L1602="COMPLEMENTO",
   IF(I1602&lt;=25,I1602*1.25+1.5,IF(I1602&lt;=60,I1602*1.25+3,IF(I1602&lt;=120,I1602*1.25+4,I1602*1.25+5))),
""))),2)</f>
        <v>874.11</v>
      </c>
      <c r="I1602" s="9">
        <f>($K$2+0.02)*Tabla1[[#This Row],[PRECIO $]]*1.18</f>
        <v>753.13499999999999</v>
      </c>
      <c r="J1602" s="7">
        <f>+Tabla1[[#This Row],[PRECIO EN SOLES]]-Tabla1[[#This Row],[PC]]</f>
        <v>120.97500000000002</v>
      </c>
      <c r="K1602" s="15"/>
      <c r="L1602" s="15" t="str">
        <f t="shared" si="49"/>
        <v>NORMAL</v>
      </c>
    </row>
    <row r="1603" spans="1:12" x14ac:dyDescent="0.25">
      <c r="A1603" s="3" t="s">
        <v>3537</v>
      </c>
      <c r="B1603" s="3" t="s">
        <v>3538</v>
      </c>
      <c r="C1603" s="1">
        <v>5</v>
      </c>
      <c r="D1603" s="1">
        <v>188</v>
      </c>
      <c r="E1603" s="1" t="s">
        <v>1100</v>
      </c>
      <c r="F1603" s="1" t="s">
        <v>6274</v>
      </c>
      <c r="G1603" s="3" t="s">
        <v>3539</v>
      </c>
      <c r="H1603" s="11">
        <f t="shared" si="50"/>
        <v>888.15</v>
      </c>
      <c r="I1603" s="9">
        <f>($K$2+0.02)*Tabla1[[#This Row],[PRECIO $]]*1.18</f>
        <v>765.34799999999996</v>
      </c>
      <c r="J1603" s="7">
        <f>+Tabla1[[#This Row],[PRECIO EN SOLES]]-Tabla1[[#This Row],[PC]]</f>
        <v>122.80200000000002</v>
      </c>
      <c r="K1603" s="15"/>
      <c r="L1603" s="15" t="str">
        <f t="shared" ref="L1603:L1666" si="51">IF(
OR(
ISNUMBER(SEARCH("BACKPACK",B1603)),
ISNUMBER(SEARCH("MOCHILA",B1603)),
ISNUMBER(SEARCH("FUNDA",B1603)),
ISNUMBER(SEARCH("ESTUCHE",B1603)),
ISNUMBER(SEARCH("BOOK COVER",B1603)),
ISNUMBER(SEARCH("KEYBOARD PARA TABLET",B1603)),
ISNUMBER(SEARCH("FLIP TABLET",B1603)),
ISNUMBER(SEARCH("CASE FOR TABLET",B1603)),
ISNUMBER(SEARCH("CABLE",B1603)),
ISNUMBER(SEARCH("ADAPTADOR",B1603)),
ISNUMBER(SEARCH("HUB",B1603)),
ISNUMBER(SEARCH("DOCK",B1603)),
ISNUMBER(SEARCH("MOUSE PAD",B1603)),
ISNUMBER(SEARCH("MOUSEPAD",B1603)),
ISNUMBER(SEARCH("SOPORTE",B1603)),
ISNUMBER(SEARCH("STAND",B1603)),
ISNUMBER(SEARCH("TRAVEL ADAPTER",B1603)),
ISNUMBER(SEARCH("RJ45",B1603)),
ISNUMBER(SEARCH("USB-C",B1603)),
ISNUMBER(SEARCH("USB WIFI",B1603)),
ISNUMBER(SEARCH("POWERBANK",B1603)),
ISNUMBER(SEARCH("CARGADOR",B1603)),
ISNUMBER(SEARCH("COOLER PARA NB",B1603)),
ISNUMBER(SEARCH("SOPORTE PARA NB",B1603)),
ISNUMBER(SEARCH("WEBCAM",B1603)),
ISNUMBER(SEARCH("WEB CAM",B1603)),
ISNUMBER(SEARCH("MOUSE",B1603)),
ISNUMBER(SEARCH("TECLADO",B1603))
),
"COMPLEMENTO",
IF(
OR(
LEFT(A1603,2)="NB",
LEFT(A1603,2)="PC",
LEFT(A1603,2)="WS",
LEFT(A1603,2)="TB",
LEFT(A1603,3)="CEL",
LEFT(A1603,3)="MON",
LEFT(A1603,3)="PRE",
LEFT(A1603,3)="PRH",
ISNUMBER(SEARCH("NOTEBOOK",B1603)),
ISNUMBER(SEARCH("LAPTOP",B1603)),
ISNUMBER(SEARCH("MONITOR",B1603)),
ISNUMBER(SEARCH("TABLET",B1603)),
ISNUMBER(SEARCH("SMARTPH",B1603)),
ISNUMBER(SEARCH("IMPRESORA",B1603)),
ISNUMBER(SEARCH("MULTIFUNCIONAL",B1603)),
ISNUMBER(SEARCH("AIO",B1603))
),
"GANCHO",
"NORMAL"
)
)</f>
        <v>NORMAL</v>
      </c>
    </row>
    <row r="1604" spans="1:12" x14ac:dyDescent="0.25">
      <c r="A1604" s="3" t="s">
        <v>3540</v>
      </c>
      <c r="B1604" s="3" t="s">
        <v>3541</v>
      </c>
      <c r="C1604" s="1">
        <v>1</v>
      </c>
      <c r="D1604" s="1">
        <v>897</v>
      </c>
      <c r="E1604" s="1" t="s">
        <v>126</v>
      </c>
      <c r="F1604" s="1" t="s">
        <v>6275</v>
      </c>
      <c r="G1604" s="3" t="s">
        <v>3542</v>
      </c>
      <c r="H1604" s="11">
        <f t="shared" si="50"/>
        <v>4207.4399999999996</v>
      </c>
      <c r="I1604" s="9">
        <f>($K$2+0.02)*Tabla1[[#This Row],[PRECIO $]]*1.18</f>
        <v>3651.6869999999999</v>
      </c>
      <c r="J1604" s="7">
        <f>+Tabla1[[#This Row],[PRECIO EN SOLES]]-Tabla1[[#This Row],[PC]]</f>
        <v>555.7529999999997</v>
      </c>
      <c r="K1604" s="15"/>
      <c r="L1604" s="15" t="str">
        <f t="shared" si="51"/>
        <v>NORMAL</v>
      </c>
    </row>
    <row r="1605" spans="1:12" x14ac:dyDescent="0.25">
      <c r="A1605" s="3" t="s">
        <v>3543</v>
      </c>
      <c r="B1605" s="3" t="s">
        <v>3544</v>
      </c>
      <c r="C1605" s="1">
        <v>0</v>
      </c>
      <c r="D1605" s="1">
        <v>110</v>
      </c>
      <c r="E1605" s="1" t="s">
        <v>131</v>
      </c>
      <c r="F1605" s="1" t="s">
        <v>6276</v>
      </c>
      <c r="G1605" s="3"/>
      <c r="H1605" s="11">
        <f t="shared" si="50"/>
        <v>522.98</v>
      </c>
      <c r="I1605" s="9">
        <f>($K$2+0.02)*Tabla1[[#This Row],[PRECIO $]]*1.18</f>
        <v>447.81</v>
      </c>
      <c r="J1605" s="7">
        <f>+Tabla1[[#This Row],[PRECIO EN SOLES]]-Tabla1[[#This Row],[PC]]</f>
        <v>75.170000000000016</v>
      </c>
      <c r="K1605" s="15"/>
      <c r="L1605" s="15" t="str">
        <f t="shared" si="51"/>
        <v>NORMAL</v>
      </c>
    </row>
    <row r="1606" spans="1:12" x14ac:dyDescent="0.25">
      <c r="A1606" s="3" t="s">
        <v>3545</v>
      </c>
      <c r="B1606" s="3" t="s">
        <v>3546</v>
      </c>
      <c r="C1606" s="1">
        <v>3</v>
      </c>
      <c r="D1606" s="1">
        <v>120.5</v>
      </c>
      <c r="E1606" s="1" t="s">
        <v>1837</v>
      </c>
      <c r="F1606" s="1" t="s">
        <v>6277</v>
      </c>
      <c r="G1606" s="3" t="s">
        <v>3547</v>
      </c>
      <c r="H1606" s="11">
        <f t="shared" si="50"/>
        <v>572.14</v>
      </c>
      <c r="I1606" s="9">
        <f>($K$2+0.02)*Tabla1[[#This Row],[PRECIO $]]*1.18</f>
        <v>490.55549999999999</v>
      </c>
      <c r="J1606" s="7">
        <f>+Tabla1[[#This Row],[PRECIO EN SOLES]]-Tabla1[[#This Row],[PC]]</f>
        <v>81.584499999999991</v>
      </c>
      <c r="K1606" s="15"/>
      <c r="L1606" s="15" t="str">
        <f t="shared" si="51"/>
        <v>NORMAL</v>
      </c>
    </row>
    <row r="1607" spans="1:12" x14ac:dyDescent="0.25">
      <c r="A1607" s="3" t="s">
        <v>3548</v>
      </c>
      <c r="B1607" s="3" t="s">
        <v>3549</v>
      </c>
      <c r="C1607" s="1">
        <v>20</v>
      </c>
      <c r="D1607" s="1">
        <v>121.1</v>
      </c>
      <c r="E1607" s="1" t="s">
        <v>1727</v>
      </c>
      <c r="F1607" s="1" t="s">
        <v>6278</v>
      </c>
      <c r="G1607" s="3" t="s">
        <v>3550</v>
      </c>
      <c r="H1607" s="11">
        <f t="shared" si="50"/>
        <v>574.95000000000005</v>
      </c>
      <c r="I1607" s="9">
        <f>($K$2+0.02)*Tabla1[[#This Row],[PRECIO $]]*1.18</f>
        <v>492.99809999999997</v>
      </c>
      <c r="J1607" s="7">
        <f>+Tabla1[[#This Row],[PRECIO EN SOLES]]-Tabla1[[#This Row],[PC]]</f>
        <v>81.95190000000008</v>
      </c>
      <c r="K1607" s="15"/>
      <c r="L1607" s="15" t="str">
        <f t="shared" si="51"/>
        <v>NORMAL</v>
      </c>
    </row>
    <row r="1608" spans="1:12" x14ac:dyDescent="0.25">
      <c r="A1608" s="3" t="s">
        <v>85</v>
      </c>
      <c r="B1608" s="3" t="s">
        <v>7106</v>
      </c>
      <c r="C1608" s="1">
        <v>20</v>
      </c>
      <c r="D1608" s="1">
        <v>58.5</v>
      </c>
      <c r="E1608" s="1" t="s">
        <v>1837</v>
      </c>
      <c r="F1608" s="1" t="s">
        <v>7107</v>
      </c>
      <c r="G1608" s="3" t="s">
        <v>7108</v>
      </c>
      <c r="H1608" s="11">
        <f t="shared" si="50"/>
        <v>281.88</v>
      </c>
      <c r="I1608" s="9">
        <f>($K$2+0.02)*Tabla1[[#This Row],[PRECIO $]]*1.18</f>
        <v>238.15350000000001</v>
      </c>
      <c r="J1608" s="7">
        <f>+Tabla1[[#This Row],[PRECIO EN SOLES]]-Tabla1[[#This Row],[PC]]</f>
        <v>43.726499999999987</v>
      </c>
      <c r="K1608" s="15"/>
      <c r="L1608" s="15" t="str">
        <f t="shared" si="51"/>
        <v>NORMAL</v>
      </c>
    </row>
    <row r="1609" spans="1:12" x14ac:dyDescent="0.25">
      <c r="A1609" s="3" t="s">
        <v>3551</v>
      </c>
      <c r="B1609" s="3" t="s">
        <v>3552</v>
      </c>
      <c r="C1609" s="1">
        <v>20</v>
      </c>
      <c r="D1609" s="1">
        <v>115.3</v>
      </c>
      <c r="E1609" s="1" t="s">
        <v>1750</v>
      </c>
      <c r="F1609" s="1" t="s">
        <v>6279</v>
      </c>
      <c r="G1609" s="3" t="s">
        <v>3553</v>
      </c>
      <c r="H1609" s="11">
        <f t="shared" si="50"/>
        <v>547.79</v>
      </c>
      <c r="I1609" s="9">
        <f>($K$2+0.02)*Tabla1[[#This Row],[PRECIO $]]*1.18</f>
        <v>469.38630000000001</v>
      </c>
      <c r="J1609" s="7">
        <f>+Tabla1[[#This Row],[PRECIO EN SOLES]]-Tabla1[[#This Row],[PC]]</f>
        <v>78.403699999999958</v>
      </c>
      <c r="K1609" s="15"/>
      <c r="L1609" s="15" t="str">
        <f t="shared" si="51"/>
        <v>NORMAL</v>
      </c>
    </row>
    <row r="1610" spans="1:12" x14ac:dyDescent="0.25">
      <c r="A1610" s="3" t="s">
        <v>3554</v>
      </c>
      <c r="B1610" s="3" t="s">
        <v>3555</v>
      </c>
      <c r="C1610" s="1">
        <v>20</v>
      </c>
      <c r="D1610" s="1">
        <v>76.3</v>
      </c>
      <c r="E1610" s="1" t="s">
        <v>1750</v>
      </c>
      <c r="F1610" s="1" t="s">
        <v>6280</v>
      </c>
      <c r="G1610" s="3" t="s">
        <v>3556</v>
      </c>
      <c r="H1610" s="11">
        <f t="shared" si="50"/>
        <v>365.21</v>
      </c>
      <c r="I1610" s="9">
        <f>($K$2+0.02)*Tabla1[[#This Row],[PRECIO $]]*1.18</f>
        <v>310.6173</v>
      </c>
      <c r="J1610" s="7">
        <f>+Tabla1[[#This Row],[PRECIO EN SOLES]]-Tabla1[[#This Row],[PC]]</f>
        <v>54.592699999999979</v>
      </c>
      <c r="K1610" s="15"/>
      <c r="L1610" s="15" t="str">
        <f t="shared" si="51"/>
        <v>NORMAL</v>
      </c>
    </row>
    <row r="1611" spans="1:12" x14ac:dyDescent="0.25">
      <c r="A1611" s="3" t="s">
        <v>3557</v>
      </c>
      <c r="B1611" s="3" t="s">
        <v>3558</v>
      </c>
      <c r="C1611" s="1">
        <v>4</v>
      </c>
      <c r="D1611" s="1">
        <v>1501</v>
      </c>
      <c r="E1611" s="1" t="s">
        <v>965</v>
      </c>
      <c r="F1611" s="1" t="s">
        <v>6281</v>
      </c>
      <c r="G1611" s="3" t="s">
        <v>3559</v>
      </c>
      <c r="H1611" s="11">
        <f t="shared" si="50"/>
        <v>7035.16</v>
      </c>
      <c r="I1611" s="9">
        <f>($K$2+0.02)*Tabla1[[#This Row],[PRECIO $]]*1.18</f>
        <v>6110.5709999999999</v>
      </c>
      <c r="J1611" s="7">
        <f>+Tabla1[[#This Row],[PRECIO EN SOLES]]-Tabla1[[#This Row],[PC]]</f>
        <v>924.58899999999994</v>
      </c>
      <c r="K1611" s="15"/>
      <c r="L1611" s="15" t="str">
        <f t="shared" si="51"/>
        <v>NORMAL</v>
      </c>
    </row>
    <row r="1612" spans="1:12" x14ac:dyDescent="0.25">
      <c r="A1612" s="3" t="s">
        <v>6282</v>
      </c>
      <c r="B1612" s="3" t="s">
        <v>6283</v>
      </c>
      <c r="C1612" s="1">
        <v>14</v>
      </c>
      <c r="D1612" s="1">
        <v>283.5</v>
      </c>
      <c r="E1612" s="1" t="s">
        <v>965</v>
      </c>
      <c r="F1612" s="1" t="s">
        <v>6284</v>
      </c>
      <c r="G1612" s="3" t="s">
        <v>6285</v>
      </c>
      <c r="H1612" s="11">
        <f t="shared" si="50"/>
        <v>1335.25</v>
      </c>
      <c r="I1612" s="9">
        <f>($K$2+0.02)*Tabla1[[#This Row],[PRECIO $]]*1.18</f>
        <v>1154.1285</v>
      </c>
      <c r="J1612" s="7">
        <f>+Tabla1[[#This Row],[PRECIO EN SOLES]]-Tabla1[[#This Row],[PC]]</f>
        <v>181.12149999999997</v>
      </c>
      <c r="K1612" s="15"/>
      <c r="L1612" s="15" t="str">
        <f t="shared" si="51"/>
        <v>NORMAL</v>
      </c>
    </row>
    <row r="1613" spans="1:12" x14ac:dyDescent="0.25">
      <c r="A1613" s="3" t="s">
        <v>3560</v>
      </c>
      <c r="B1613" s="3" t="s">
        <v>3561</v>
      </c>
      <c r="C1613" s="1">
        <v>14</v>
      </c>
      <c r="D1613" s="1">
        <v>2101</v>
      </c>
      <c r="E1613" s="1" t="s">
        <v>965</v>
      </c>
      <c r="F1613" s="1" t="s">
        <v>6286</v>
      </c>
      <c r="G1613" s="3" t="s">
        <v>3562</v>
      </c>
      <c r="H1613" s="11">
        <f t="shared" si="50"/>
        <v>9844.15</v>
      </c>
      <c r="I1613" s="9">
        <f>($K$2+0.02)*Tabla1[[#This Row],[PRECIO $]]*1.18</f>
        <v>8553.1710000000003</v>
      </c>
      <c r="J1613" s="7">
        <f>+Tabla1[[#This Row],[PRECIO EN SOLES]]-Tabla1[[#This Row],[PC]]</f>
        <v>1290.9789999999994</v>
      </c>
      <c r="K1613" s="15"/>
      <c r="L1613" s="15" t="str">
        <f t="shared" si="51"/>
        <v>NORMAL</v>
      </c>
    </row>
    <row r="1614" spans="1:12" x14ac:dyDescent="0.25">
      <c r="A1614" s="3" t="s">
        <v>3563</v>
      </c>
      <c r="B1614" s="3" t="s">
        <v>3564</v>
      </c>
      <c r="C1614" s="1">
        <v>20</v>
      </c>
      <c r="D1614" s="1">
        <v>62.3</v>
      </c>
      <c r="E1614" s="1" t="s">
        <v>965</v>
      </c>
      <c r="F1614" s="1" t="s">
        <v>6287</v>
      </c>
      <c r="G1614" s="3" t="s">
        <v>3565</v>
      </c>
      <c r="H1614" s="11">
        <f t="shared" si="50"/>
        <v>299.67</v>
      </c>
      <c r="I1614" s="9">
        <f>($K$2+0.02)*Tabla1[[#This Row],[PRECIO $]]*1.18</f>
        <v>253.6233</v>
      </c>
      <c r="J1614" s="7">
        <f>+Tabla1[[#This Row],[PRECIO EN SOLES]]-Tabla1[[#This Row],[PC]]</f>
        <v>46.046700000000016</v>
      </c>
      <c r="K1614" s="15"/>
      <c r="L1614" s="15" t="str">
        <f t="shared" si="51"/>
        <v>NORMAL</v>
      </c>
    </row>
    <row r="1615" spans="1:12" x14ac:dyDescent="0.25">
      <c r="A1615" s="3" t="s">
        <v>3566</v>
      </c>
      <c r="B1615" s="3" t="s">
        <v>3567</v>
      </c>
      <c r="C1615" s="1">
        <v>20</v>
      </c>
      <c r="D1615" s="1">
        <v>99.3</v>
      </c>
      <c r="E1615" s="1" t="s">
        <v>965</v>
      </c>
      <c r="F1615" s="1" t="s">
        <v>6288</v>
      </c>
      <c r="G1615" s="3" t="s">
        <v>3568</v>
      </c>
      <c r="H1615" s="11">
        <f t="shared" si="50"/>
        <v>472.89</v>
      </c>
      <c r="I1615" s="9">
        <f>($K$2+0.02)*Tabla1[[#This Row],[PRECIO $]]*1.18</f>
        <v>404.25029999999998</v>
      </c>
      <c r="J1615" s="7">
        <f>+Tabla1[[#This Row],[PRECIO EN SOLES]]-Tabla1[[#This Row],[PC]]</f>
        <v>68.639700000000005</v>
      </c>
      <c r="K1615" s="15"/>
      <c r="L1615" s="15" t="str">
        <f t="shared" si="51"/>
        <v>NORMAL</v>
      </c>
    </row>
    <row r="1616" spans="1:12" x14ac:dyDescent="0.25">
      <c r="A1616" s="3" t="s">
        <v>3569</v>
      </c>
      <c r="B1616" s="3" t="s">
        <v>3570</v>
      </c>
      <c r="C1616" s="1">
        <v>20</v>
      </c>
      <c r="D1616" s="1">
        <v>115.3</v>
      </c>
      <c r="E1616" s="1" t="s">
        <v>965</v>
      </c>
      <c r="F1616" s="1" t="s">
        <v>6289</v>
      </c>
      <c r="G1616" s="3" t="s">
        <v>3571</v>
      </c>
      <c r="H1616" s="11">
        <f t="shared" si="50"/>
        <v>547.79</v>
      </c>
      <c r="I1616" s="9">
        <f>($K$2+0.02)*Tabla1[[#This Row],[PRECIO $]]*1.18</f>
        <v>469.38630000000001</v>
      </c>
      <c r="J1616" s="7">
        <f>+Tabla1[[#This Row],[PRECIO EN SOLES]]-Tabla1[[#This Row],[PC]]</f>
        <v>78.403699999999958</v>
      </c>
      <c r="K1616" s="15"/>
      <c r="L1616" s="15" t="str">
        <f t="shared" si="51"/>
        <v>NORMAL</v>
      </c>
    </row>
    <row r="1617" spans="1:12" x14ac:dyDescent="0.25">
      <c r="A1617" s="3" t="s">
        <v>6290</v>
      </c>
      <c r="B1617" s="3" t="s">
        <v>6291</v>
      </c>
      <c r="C1617" s="1">
        <v>3</v>
      </c>
      <c r="D1617" s="1">
        <v>460.5</v>
      </c>
      <c r="E1617" s="1" t="s">
        <v>965</v>
      </c>
      <c r="F1617" s="1" t="s">
        <v>6292</v>
      </c>
      <c r="G1617" s="3" t="s">
        <v>6293</v>
      </c>
      <c r="H1617" s="11">
        <f t="shared" si="50"/>
        <v>2163.9</v>
      </c>
      <c r="I1617" s="9">
        <f>($K$2+0.02)*Tabla1[[#This Row],[PRECIO $]]*1.18</f>
        <v>1874.6955</v>
      </c>
      <c r="J1617" s="7">
        <f>+Tabla1[[#This Row],[PRECIO EN SOLES]]-Tabla1[[#This Row],[PC]]</f>
        <v>289.20450000000005</v>
      </c>
      <c r="K1617" s="15"/>
      <c r="L1617" s="15" t="str">
        <f t="shared" si="51"/>
        <v>NORMAL</v>
      </c>
    </row>
    <row r="1618" spans="1:12" x14ac:dyDescent="0.25">
      <c r="A1618" s="3" t="s">
        <v>3572</v>
      </c>
      <c r="B1618" s="3" t="s">
        <v>3573</v>
      </c>
      <c r="C1618" s="1">
        <v>20</v>
      </c>
      <c r="D1618" s="1">
        <v>164.6</v>
      </c>
      <c r="E1618" s="1" t="s">
        <v>2304</v>
      </c>
      <c r="F1618" s="1" t="s">
        <v>6294</v>
      </c>
      <c r="G1618" s="3" t="s">
        <v>3574</v>
      </c>
      <c r="H1618" s="11">
        <f t="shared" si="50"/>
        <v>778.6</v>
      </c>
      <c r="I1618" s="9">
        <f>($K$2+0.02)*Tabla1[[#This Row],[PRECIO $]]*1.18</f>
        <v>670.08659999999998</v>
      </c>
      <c r="J1618" s="7">
        <f>+Tabla1[[#This Row],[PRECIO EN SOLES]]-Tabla1[[#This Row],[PC]]</f>
        <v>108.51340000000005</v>
      </c>
      <c r="K1618" s="15"/>
      <c r="L1618" s="15" t="str">
        <f t="shared" si="51"/>
        <v>NORMAL</v>
      </c>
    </row>
    <row r="1619" spans="1:12" x14ac:dyDescent="0.25">
      <c r="A1619" s="3" t="s">
        <v>3575</v>
      </c>
      <c r="B1619" s="3" t="s">
        <v>3576</v>
      </c>
      <c r="C1619" s="1">
        <v>0</v>
      </c>
      <c r="D1619" s="1">
        <v>85.99</v>
      </c>
      <c r="E1619" s="1" t="s">
        <v>1727</v>
      </c>
      <c r="F1619" s="1" t="s">
        <v>6295</v>
      </c>
      <c r="G1619" s="3" t="s">
        <v>3577</v>
      </c>
      <c r="H1619" s="11">
        <f t="shared" si="50"/>
        <v>410.58</v>
      </c>
      <c r="I1619" s="9">
        <f>($K$2+0.02)*Tabla1[[#This Row],[PRECIO $]]*1.18</f>
        <v>350.06529</v>
      </c>
      <c r="J1619" s="7">
        <f>+Tabla1[[#This Row],[PRECIO EN SOLES]]-Tabla1[[#This Row],[PC]]</f>
        <v>60.51470999999998</v>
      </c>
      <c r="K1619" s="15"/>
      <c r="L1619" s="15" t="str">
        <f t="shared" si="51"/>
        <v>NORMAL</v>
      </c>
    </row>
    <row r="1620" spans="1:12" x14ac:dyDescent="0.25">
      <c r="A1620" s="3" t="s">
        <v>3578</v>
      </c>
      <c r="B1620" s="3" t="s">
        <v>3579</v>
      </c>
      <c r="C1620" s="1">
        <v>20</v>
      </c>
      <c r="D1620" s="1">
        <v>198.5</v>
      </c>
      <c r="E1620" s="1" t="s">
        <v>981</v>
      </c>
      <c r="F1620" s="1" t="s">
        <v>6296</v>
      </c>
      <c r="G1620" s="3" t="s">
        <v>3580</v>
      </c>
      <c r="H1620" s="11">
        <f t="shared" si="50"/>
        <v>937.31</v>
      </c>
      <c r="I1620" s="9">
        <f>($K$2+0.02)*Tabla1[[#This Row],[PRECIO $]]*1.18</f>
        <v>808.09350000000006</v>
      </c>
      <c r="J1620" s="7">
        <f>+Tabla1[[#This Row],[PRECIO EN SOLES]]-Tabla1[[#This Row],[PC]]</f>
        <v>129.21649999999988</v>
      </c>
      <c r="K1620" s="15"/>
      <c r="L1620" s="15" t="str">
        <f t="shared" si="51"/>
        <v>NORMAL</v>
      </c>
    </row>
    <row r="1621" spans="1:12" x14ac:dyDescent="0.25">
      <c r="A1621" s="3" t="s">
        <v>7109</v>
      </c>
      <c r="B1621" s="3" t="s">
        <v>7110</v>
      </c>
      <c r="C1621" s="1">
        <v>20</v>
      </c>
      <c r="D1621" s="1">
        <v>19.3</v>
      </c>
      <c r="E1621" s="1" t="s">
        <v>1750</v>
      </c>
      <c r="F1621" s="1" t="s">
        <v>7111</v>
      </c>
      <c r="G1621" s="3"/>
      <c r="H1621" s="11">
        <f t="shared" si="50"/>
        <v>94.36</v>
      </c>
      <c r="I1621" s="9">
        <f>($K$2+0.02)*Tabla1[[#This Row],[PRECIO $]]*1.18</f>
        <v>78.570300000000003</v>
      </c>
      <c r="J1621" s="7">
        <f>+Tabla1[[#This Row],[PRECIO EN SOLES]]-Tabla1[[#This Row],[PC]]</f>
        <v>15.789699999999996</v>
      </c>
      <c r="K1621" s="15"/>
      <c r="L1621" s="15" t="str">
        <f t="shared" si="51"/>
        <v>NORMAL</v>
      </c>
    </row>
    <row r="1622" spans="1:12" x14ac:dyDescent="0.25">
      <c r="A1622" s="3" t="s">
        <v>7112</v>
      </c>
      <c r="B1622" s="3" t="s">
        <v>7113</v>
      </c>
      <c r="C1622" s="1">
        <v>20</v>
      </c>
      <c r="D1622" s="1">
        <v>13.2</v>
      </c>
      <c r="E1622" s="1" t="s">
        <v>1750</v>
      </c>
      <c r="F1622" s="1" t="s">
        <v>7114</v>
      </c>
      <c r="G1622" s="3"/>
      <c r="H1622" s="11">
        <f t="shared" si="50"/>
        <v>65.8</v>
      </c>
      <c r="I1622" s="9">
        <f>($K$2+0.02)*Tabla1[[#This Row],[PRECIO $]]*1.18</f>
        <v>53.737199999999994</v>
      </c>
      <c r="J1622" s="7">
        <f>+Tabla1[[#This Row],[PRECIO EN SOLES]]-Tabla1[[#This Row],[PC]]</f>
        <v>12.062800000000003</v>
      </c>
      <c r="K1622" s="15"/>
      <c r="L1622" s="15" t="str">
        <f t="shared" si="51"/>
        <v>NORMAL</v>
      </c>
    </row>
    <row r="1623" spans="1:12" x14ac:dyDescent="0.25">
      <c r="A1623" s="3" t="s">
        <v>3581</v>
      </c>
      <c r="B1623" s="3" t="s">
        <v>3582</v>
      </c>
      <c r="C1623" s="1">
        <v>20</v>
      </c>
      <c r="D1623" s="1">
        <v>164.5</v>
      </c>
      <c r="E1623" s="1" t="s">
        <v>1727</v>
      </c>
      <c r="F1623" s="1" t="s">
        <v>6297</v>
      </c>
      <c r="G1623" s="3" t="s">
        <v>3583</v>
      </c>
      <c r="H1623" s="11">
        <f t="shared" si="50"/>
        <v>778.13</v>
      </c>
      <c r="I1623" s="9">
        <f>($K$2+0.02)*Tabla1[[#This Row],[PRECIO $]]*1.18</f>
        <v>669.67949999999996</v>
      </c>
      <c r="J1623" s="7">
        <f>+Tabla1[[#This Row],[PRECIO EN SOLES]]-Tabla1[[#This Row],[PC]]</f>
        <v>108.45050000000003</v>
      </c>
      <c r="K1623" s="15"/>
      <c r="L1623" s="15" t="str">
        <f t="shared" si="51"/>
        <v>NORMAL</v>
      </c>
    </row>
    <row r="1624" spans="1:12" x14ac:dyDescent="0.25">
      <c r="A1624" s="3" t="s">
        <v>3584</v>
      </c>
      <c r="B1624" s="3" t="s">
        <v>3585</v>
      </c>
      <c r="C1624" s="1">
        <v>1</v>
      </c>
      <c r="D1624" s="1">
        <v>157.80000000000001</v>
      </c>
      <c r="E1624" s="1" t="s">
        <v>1727</v>
      </c>
      <c r="F1624" s="1" t="s">
        <v>6298</v>
      </c>
      <c r="G1624" s="3" t="s">
        <v>3586</v>
      </c>
      <c r="H1624" s="11">
        <f t="shared" si="50"/>
        <v>746.76</v>
      </c>
      <c r="I1624" s="9">
        <f>($K$2+0.02)*Tabla1[[#This Row],[PRECIO $]]*1.18</f>
        <v>642.40380000000005</v>
      </c>
      <c r="J1624" s="7">
        <f>+Tabla1[[#This Row],[PRECIO EN SOLES]]-Tabla1[[#This Row],[PC]]</f>
        <v>104.35619999999994</v>
      </c>
      <c r="K1624" s="15"/>
      <c r="L1624" s="15" t="str">
        <f t="shared" si="51"/>
        <v>NORMAL</v>
      </c>
    </row>
    <row r="1625" spans="1:12" x14ac:dyDescent="0.25">
      <c r="A1625" s="3" t="s">
        <v>3587</v>
      </c>
      <c r="B1625" s="3" t="s">
        <v>3588</v>
      </c>
      <c r="C1625" s="1">
        <v>13</v>
      </c>
      <c r="D1625" s="1">
        <v>198</v>
      </c>
      <c r="E1625" s="1" t="s">
        <v>1727</v>
      </c>
      <c r="F1625" s="1" t="s">
        <v>6299</v>
      </c>
      <c r="G1625" s="3" t="s">
        <v>3589</v>
      </c>
      <c r="H1625" s="11">
        <f t="shared" si="50"/>
        <v>934.97</v>
      </c>
      <c r="I1625" s="9">
        <f>($K$2+0.02)*Tabla1[[#This Row],[PRECIO $]]*1.18</f>
        <v>806.05799999999999</v>
      </c>
      <c r="J1625" s="7">
        <f>+Tabla1[[#This Row],[PRECIO EN SOLES]]-Tabla1[[#This Row],[PC]]</f>
        <v>128.91200000000003</v>
      </c>
      <c r="K1625" s="15"/>
      <c r="L1625" s="15" t="str">
        <f t="shared" si="51"/>
        <v>NORMAL</v>
      </c>
    </row>
    <row r="1626" spans="1:12" x14ac:dyDescent="0.25">
      <c r="A1626" s="3" t="s">
        <v>3590</v>
      </c>
      <c r="B1626" s="3" t="s">
        <v>3591</v>
      </c>
      <c r="C1626" s="1">
        <v>20</v>
      </c>
      <c r="D1626" s="1">
        <v>99.5</v>
      </c>
      <c r="E1626" s="1" t="s">
        <v>1727</v>
      </c>
      <c r="F1626" s="1" t="s">
        <v>6300</v>
      </c>
      <c r="G1626" s="3" t="s">
        <v>3592</v>
      </c>
      <c r="H1626" s="11">
        <f t="shared" si="50"/>
        <v>473.82</v>
      </c>
      <c r="I1626" s="9">
        <f>($K$2+0.02)*Tabla1[[#This Row],[PRECIO $]]*1.18</f>
        <v>405.06450000000001</v>
      </c>
      <c r="J1626" s="7">
        <f>+Tabla1[[#This Row],[PRECIO EN SOLES]]-Tabla1[[#This Row],[PC]]</f>
        <v>68.755499999999984</v>
      </c>
      <c r="K1626" s="15"/>
      <c r="L1626" s="15" t="str">
        <f t="shared" si="51"/>
        <v>NORMAL</v>
      </c>
    </row>
    <row r="1627" spans="1:12" x14ac:dyDescent="0.25">
      <c r="A1627" s="3" t="s">
        <v>3593</v>
      </c>
      <c r="B1627" s="3" t="s">
        <v>3594</v>
      </c>
      <c r="C1627" s="1">
        <v>20</v>
      </c>
      <c r="D1627" s="1">
        <v>98.3</v>
      </c>
      <c r="E1627" s="1" t="s">
        <v>1727</v>
      </c>
      <c r="F1627" s="1" t="s">
        <v>6301</v>
      </c>
      <c r="G1627" s="3" t="s">
        <v>3595</v>
      </c>
      <c r="H1627" s="11">
        <f t="shared" si="50"/>
        <v>468.21</v>
      </c>
      <c r="I1627" s="9">
        <f>($K$2+0.02)*Tabla1[[#This Row],[PRECIO $]]*1.18</f>
        <v>400.17929999999996</v>
      </c>
      <c r="J1627" s="7">
        <f>+Tabla1[[#This Row],[PRECIO EN SOLES]]-Tabla1[[#This Row],[PC]]</f>
        <v>68.030700000000024</v>
      </c>
      <c r="K1627" s="15"/>
      <c r="L1627" s="15" t="str">
        <f t="shared" si="51"/>
        <v>NORMAL</v>
      </c>
    </row>
    <row r="1628" spans="1:12" x14ac:dyDescent="0.25">
      <c r="A1628" s="3" t="s">
        <v>7115</v>
      </c>
      <c r="B1628" s="3" t="s">
        <v>7116</v>
      </c>
      <c r="C1628" s="1">
        <v>20</v>
      </c>
      <c r="D1628" s="1">
        <v>110.5</v>
      </c>
      <c r="E1628" s="1" t="s">
        <v>1750</v>
      </c>
      <c r="F1628" s="1" t="s">
        <v>7117</v>
      </c>
      <c r="G1628" s="3" t="s">
        <v>7118</v>
      </c>
      <c r="H1628" s="11">
        <f t="shared" si="50"/>
        <v>525.32000000000005</v>
      </c>
      <c r="I1628" s="9">
        <f>($K$2+0.02)*Tabla1[[#This Row],[PRECIO $]]*1.18</f>
        <v>449.84550000000002</v>
      </c>
      <c r="J1628" s="7">
        <f>+Tabla1[[#This Row],[PRECIO EN SOLES]]-Tabla1[[#This Row],[PC]]</f>
        <v>75.474500000000035</v>
      </c>
      <c r="K1628" s="15"/>
      <c r="L1628" s="15" t="str">
        <f t="shared" si="51"/>
        <v>NORMAL</v>
      </c>
    </row>
    <row r="1629" spans="1:12" x14ac:dyDescent="0.25">
      <c r="A1629" s="3" t="s">
        <v>7119</v>
      </c>
      <c r="B1629" s="3" t="s">
        <v>7120</v>
      </c>
      <c r="C1629" s="1">
        <v>20</v>
      </c>
      <c r="D1629" s="1">
        <v>58.3</v>
      </c>
      <c r="E1629" s="1" t="s">
        <v>1750</v>
      </c>
      <c r="F1629" s="1" t="s">
        <v>7121</v>
      </c>
      <c r="G1629" s="3" t="s">
        <v>7122</v>
      </c>
      <c r="H1629" s="11">
        <f t="shared" si="50"/>
        <v>280.94</v>
      </c>
      <c r="I1629" s="9">
        <f>($K$2+0.02)*Tabla1[[#This Row],[PRECIO $]]*1.18</f>
        <v>237.33929999999998</v>
      </c>
      <c r="J1629" s="7">
        <f>+Tabla1[[#This Row],[PRECIO EN SOLES]]-Tabla1[[#This Row],[PC]]</f>
        <v>43.600700000000018</v>
      </c>
      <c r="K1629" s="15"/>
      <c r="L1629" s="15" t="str">
        <f t="shared" si="51"/>
        <v>NORMAL</v>
      </c>
    </row>
    <row r="1630" spans="1:12" x14ac:dyDescent="0.25">
      <c r="A1630" s="3" t="s">
        <v>7123</v>
      </c>
      <c r="B1630" s="3" t="s">
        <v>7124</v>
      </c>
      <c r="C1630" s="1">
        <v>20</v>
      </c>
      <c r="D1630" s="1">
        <v>93.3</v>
      </c>
      <c r="E1630" s="1" t="s">
        <v>1750</v>
      </c>
      <c r="F1630" s="1" t="s">
        <v>7125</v>
      </c>
      <c r="G1630" s="3" t="s">
        <v>7126</v>
      </c>
      <c r="H1630" s="11">
        <f t="shared" si="50"/>
        <v>444.8</v>
      </c>
      <c r="I1630" s="9">
        <f>($K$2+0.02)*Tabla1[[#This Row],[PRECIO $]]*1.18</f>
        <v>379.82429999999999</v>
      </c>
      <c r="J1630" s="7">
        <f>+Tabla1[[#This Row],[PRECIO EN SOLES]]-Tabla1[[#This Row],[PC]]</f>
        <v>64.975700000000018</v>
      </c>
      <c r="K1630" s="15"/>
      <c r="L1630" s="15" t="str">
        <f t="shared" si="51"/>
        <v>NORMAL</v>
      </c>
    </row>
    <row r="1631" spans="1:12" x14ac:dyDescent="0.25">
      <c r="A1631" s="3" t="s">
        <v>3596</v>
      </c>
      <c r="B1631" s="3" t="s">
        <v>3597</v>
      </c>
      <c r="C1631" s="1">
        <v>7</v>
      </c>
      <c r="D1631" s="1">
        <v>174.5</v>
      </c>
      <c r="E1631" s="1" t="s">
        <v>965</v>
      </c>
      <c r="F1631" s="1" t="s">
        <v>6302</v>
      </c>
      <c r="G1631" s="3" t="s">
        <v>3598</v>
      </c>
      <c r="H1631" s="11">
        <f t="shared" si="50"/>
        <v>824.95</v>
      </c>
      <c r="I1631" s="9">
        <f>($K$2+0.02)*Tabla1[[#This Row],[PRECIO $]]*1.18</f>
        <v>710.38949999999988</v>
      </c>
      <c r="J1631" s="7">
        <f>+Tabla1[[#This Row],[PRECIO EN SOLES]]-Tabla1[[#This Row],[PC]]</f>
        <v>114.56050000000016</v>
      </c>
      <c r="K1631" s="15"/>
      <c r="L1631" s="15" t="str">
        <f t="shared" si="51"/>
        <v>NORMAL</v>
      </c>
    </row>
    <row r="1632" spans="1:12" x14ac:dyDescent="0.25">
      <c r="A1632" s="3" t="s">
        <v>6303</v>
      </c>
      <c r="B1632" s="3" t="s">
        <v>6304</v>
      </c>
      <c r="C1632" s="1">
        <v>20</v>
      </c>
      <c r="D1632" s="1">
        <v>455.5</v>
      </c>
      <c r="E1632" s="1" t="s">
        <v>965</v>
      </c>
      <c r="F1632" s="1" t="s">
        <v>6305</v>
      </c>
      <c r="G1632" s="3" t="s">
        <v>6306</v>
      </c>
      <c r="H1632" s="11">
        <f t="shared" si="50"/>
        <v>2140.4899999999998</v>
      </c>
      <c r="I1632" s="9">
        <f>($K$2+0.02)*Tabla1[[#This Row],[PRECIO $]]*1.18</f>
        <v>1854.3405</v>
      </c>
      <c r="J1632" s="7">
        <f>+Tabla1[[#This Row],[PRECIO EN SOLES]]-Tabla1[[#This Row],[PC]]</f>
        <v>286.14949999999976</v>
      </c>
      <c r="K1632" s="15"/>
      <c r="L1632" s="15" t="str">
        <f t="shared" si="51"/>
        <v>NORMAL</v>
      </c>
    </row>
    <row r="1633" spans="1:12" x14ac:dyDescent="0.25">
      <c r="A1633" s="3" t="s">
        <v>3599</v>
      </c>
      <c r="B1633" s="3" t="s">
        <v>3600</v>
      </c>
      <c r="C1633" s="1">
        <v>0</v>
      </c>
      <c r="D1633" s="1">
        <v>663</v>
      </c>
      <c r="E1633" s="1" t="s">
        <v>965</v>
      </c>
      <c r="F1633" s="1" t="s">
        <v>6307</v>
      </c>
      <c r="G1633" s="3" t="s">
        <v>3601</v>
      </c>
      <c r="H1633" s="11">
        <f t="shared" si="50"/>
        <v>3111.93</v>
      </c>
      <c r="I1633" s="9">
        <f>($K$2+0.02)*Tabla1[[#This Row],[PRECIO $]]*1.18</f>
        <v>2699.0729999999999</v>
      </c>
      <c r="J1633" s="7">
        <f>+Tabla1[[#This Row],[PRECIO EN SOLES]]-Tabla1[[#This Row],[PC]]</f>
        <v>412.85699999999997</v>
      </c>
      <c r="K1633" s="15"/>
      <c r="L1633" s="15" t="str">
        <f t="shared" si="51"/>
        <v>NORMAL</v>
      </c>
    </row>
    <row r="1634" spans="1:12" x14ac:dyDescent="0.25">
      <c r="A1634" s="3" t="s">
        <v>6308</v>
      </c>
      <c r="B1634" s="3" t="s">
        <v>6309</v>
      </c>
      <c r="C1634" s="1">
        <v>20</v>
      </c>
      <c r="D1634" s="1">
        <v>169.5</v>
      </c>
      <c r="E1634" s="1" t="s">
        <v>965</v>
      </c>
      <c r="F1634" s="1" t="s">
        <v>6310</v>
      </c>
      <c r="G1634" s="3" t="s">
        <v>6311</v>
      </c>
      <c r="H1634" s="11">
        <f t="shared" si="50"/>
        <v>801.54</v>
      </c>
      <c r="I1634" s="9">
        <f>($K$2+0.02)*Tabla1[[#This Row],[PRECIO $]]*1.18</f>
        <v>690.03449999999998</v>
      </c>
      <c r="J1634" s="7">
        <f>+Tabla1[[#This Row],[PRECIO EN SOLES]]-Tabla1[[#This Row],[PC]]</f>
        <v>111.50549999999998</v>
      </c>
      <c r="K1634" s="15"/>
      <c r="L1634" s="15" t="str">
        <f t="shared" si="51"/>
        <v>NORMAL</v>
      </c>
    </row>
    <row r="1635" spans="1:12" x14ac:dyDescent="0.25">
      <c r="A1635" s="3" t="s">
        <v>3602</v>
      </c>
      <c r="B1635" s="3" t="s">
        <v>3603</v>
      </c>
      <c r="C1635" s="1">
        <v>3</v>
      </c>
      <c r="D1635" s="1">
        <v>264.5</v>
      </c>
      <c r="E1635" s="1" t="s">
        <v>965</v>
      </c>
      <c r="F1635" s="1" t="s">
        <v>6312</v>
      </c>
      <c r="G1635" s="3" t="s">
        <v>3604</v>
      </c>
      <c r="H1635" s="11">
        <f t="shared" si="50"/>
        <v>1246.3</v>
      </c>
      <c r="I1635" s="9">
        <f>($K$2+0.02)*Tabla1[[#This Row],[PRECIO $]]*1.18</f>
        <v>1076.7795000000001</v>
      </c>
      <c r="J1635" s="7">
        <f>+Tabla1[[#This Row],[PRECIO EN SOLES]]-Tabla1[[#This Row],[PC]]</f>
        <v>169.52049999999986</v>
      </c>
      <c r="K1635" s="15"/>
      <c r="L1635" s="15" t="str">
        <f t="shared" si="51"/>
        <v>NORMAL</v>
      </c>
    </row>
    <row r="1636" spans="1:12" x14ac:dyDescent="0.25">
      <c r="A1636" s="3" t="s">
        <v>6313</v>
      </c>
      <c r="B1636" s="3" t="s">
        <v>6314</v>
      </c>
      <c r="C1636" s="1">
        <v>18</v>
      </c>
      <c r="D1636" s="1">
        <v>135.30000000000001</v>
      </c>
      <c r="E1636" s="1" t="s">
        <v>965</v>
      </c>
      <c r="F1636" s="1" t="s">
        <v>6315</v>
      </c>
      <c r="G1636" s="3" t="s">
        <v>6316</v>
      </c>
      <c r="H1636" s="11">
        <f t="shared" si="50"/>
        <v>641.42999999999995</v>
      </c>
      <c r="I1636" s="9">
        <f>($K$2+0.02)*Tabla1[[#This Row],[PRECIO $]]*1.18</f>
        <v>550.80630000000008</v>
      </c>
      <c r="J1636" s="7">
        <f>+Tabla1[[#This Row],[PRECIO EN SOLES]]-Tabla1[[#This Row],[PC]]</f>
        <v>90.623699999999872</v>
      </c>
      <c r="K1636" s="15"/>
      <c r="L1636" s="15" t="str">
        <f t="shared" si="51"/>
        <v>NORMAL</v>
      </c>
    </row>
    <row r="1637" spans="1:12" x14ac:dyDescent="0.25">
      <c r="A1637" s="3" t="s">
        <v>3605</v>
      </c>
      <c r="B1637" s="3" t="s">
        <v>3606</v>
      </c>
      <c r="C1637" s="1">
        <v>20</v>
      </c>
      <c r="D1637" s="1">
        <v>490</v>
      </c>
      <c r="E1637" s="1" t="s">
        <v>965</v>
      </c>
      <c r="F1637" s="1" t="s">
        <v>6317</v>
      </c>
      <c r="G1637" s="3" t="s">
        <v>3607</v>
      </c>
      <c r="H1637" s="11">
        <f t="shared" si="50"/>
        <v>2302.0100000000002</v>
      </c>
      <c r="I1637" s="9">
        <f>($K$2+0.02)*Tabla1[[#This Row],[PRECIO $]]*1.18</f>
        <v>1994.79</v>
      </c>
      <c r="J1637" s="7">
        <f>+Tabla1[[#This Row],[PRECIO EN SOLES]]-Tabla1[[#This Row],[PC]]</f>
        <v>307.22000000000025</v>
      </c>
      <c r="K1637" s="15"/>
      <c r="L1637" s="15" t="str">
        <f t="shared" si="51"/>
        <v>NORMAL</v>
      </c>
    </row>
    <row r="1638" spans="1:12" x14ac:dyDescent="0.25">
      <c r="A1638" s="3" t="s">
        <v>3608</v>
      </c>
      <c r="B1638" s="3" t="s">
        <v>3609</v>
      </c>
      <c r="C1638" s="1">
        <v>3</v>
      </c>
      <c r="D1638" s="1">
        <v>896</v>
      </c>
      <c r="E1638" s="1" t="s">
        <v>965</v>
      </c>
      <c r="F1638" s="1" t="s">
        <v>6318</v>
      </c>
      <c r="G1638" s="3" t="s">
        <v>3610</v>
      </c>
      <c r="H1638" s="11">
        <f t="shared" si="50"/>
        <v>4202.76</v>
      </c>
      <c r="I1638" s="9">
        <f>($K$2+0.02)*Tabla1[[#This Row],[PRECIO $]]*1.18</f>
        <v>3647.616</v>
      </c>
      <c r="J1638" s="7">
        <f>+Tabla1[[#This Row],[PRECIO EN SOLES]]-Tabla1[[#This Row],[PC]]</f>
        <v>555.14400000000023</v>
      </c>
      <c r="K1638" s="15"/>
      <c r="L1638" s="15" t="str">
        <f t="shared" si="51"/>
        <v>NORMAL</v>
      </c>
    </row>
    <row r="1639" spans="1:12" x14ac:dyDescent="0.25">
      <c r="A1639" s="3" t="s">
        <v>3611</v>
      </c>
      <c r="B1639" s="3" t="s">
        <v>3612</v>
      </c>
      <c r="C1639" s="1">
        <v>20</v>
      </c>
      <c r="D1639" s="1">
        <v>455.5</v>
      </c>
      <c r="E1639" s="1" t="s">
        <v>965</v>
      </c>
      <c r="F1639" s="1" t="s">
        <v>6319</v>
      </c>
      <c r="G1639" s="3" t="s">
        <v>3613</v>
      </c>
      <c r="H1639" s="11">
        <f t="shared" si="50"/>
        <v>2140.4899999999998</v>
      </c>
      <c r="I1639" s="9">
        <f>($K$2+0.02)*Tabla1[[#This Row],[PRECIO $]]*1.18</f>
        <v>1854.3405</v>
      </c>
      <c r="J1639" s="7">
        <f>+Tabla1[[#This Row],[PRECIO EN SOLES]]-Tabla1[[#This Row],[PC]]</f>
        <v>286.14949999999976</v>
      </c>
      <c r="K1639" s="15"/>
      <c r="L1639" s="15" t="str">
        <f t="shared" si="51"/>
        <v>NORMAL</v>
      </c>
    </row>
    <row r="1640" spans="1:12" x14ac:dyDescent="0.25">
      <c r="A1640" s="3" t="s">
        <v>7127</v>
      </c>
      <c r="B1640" s="3" t="s">
        <v>7128</v>
      </c>
      <c r="C1640" s="1">
        <v>11</v>
      </c>
      <c r="D1640" s="1">
        <v>657</v>
      </c>
      <c r="E1640" s="1" t="s">
        <v>965</v>
      </c>
      <c r="F1640" s="1" t="s">
        <v>7129</v>
      </c>
      <c r="G1640" s="3" t="s">
        <v>7130</v>
      </c>
      <c r="H1640" s="11">
        <f t="shared" si="50"/>
        <v>3083.84</v>
      </c>
      <c r="I1640" s="9">
        <f>($K$2+0.02)*Tabla1[[#This Row],[PRECIO $]]*1.18</f>
        <v>2674.6469999999999</v>
      </c>
      <c r="J1640" s="7">
        <f>+Tabla1[[#This Row],[PRECIO EN SOLES]]-Tabla1[[#This Row],[PC]]</f>
        <v>409.19300000000021</v>
      </c>
      <c r="K1640" s="15"/>
      <c r="L1640" s="15" t="str">
        <f t="shared" si="51"/>
        <v>NORMAL</v>
      </c>
    </row>
    <row r="1641" spans="1:12" x14ac:dyDescent="0.25">
      <c r="A1641" s="3" t="s">
        <v>3614</v>
      </c>
      <c r="B1641" s="3" t="s">
        <v>3615</v>
      </c>
      <c r="C1641" s="1">
        <v>20</v>
      </c>
      <c r="D1641" s="1">
        <v>272.5</v>
      </c>
      <c r="E1641" s="1" t="s">
        <v>965</v>
      </c>
      <c r="F1641" s="1" t="s">
        <v>6320</v>
      </c>
      <c r="G1641" s="3" t="s">
        <v>3616</v>
      </c>
      <c r="H1641" s="11">
        <f t="shared" si="50"/>
        <v>1283.75</v>
      </c>
      <c r="I1641" s="9">
        <f>($K$2+0.02)*Tabla1[[#This Row],[PRECIO $]]*1.18</f>
        <v>1109.3474999999999</v>
      </c>
      <c r="J1641" s="7">
        <f>+Tabla1[[#This Row],[PRECIO EN SOLES]]-Tabla1[[#This Row],[PC]]</f>
        <v>174.40250000000015</v>
      </c>
      <c r="K1641" s="15"/>
      <c r="L1641" s="15" t="str">
        <f t="shared" si="51"/>
        <v>NORMAL</v>
      </c>
    </row>
    <row r="1642" spans="1:12" x14ac:dyDescent="0.25">
      <c r="A1642" s="3" t="s">
        <v>3617</v>
      </c>
      <c r="B1642" s="3" t="s">
        <v>3618</v>
      </c>
      <c r="C1642" s="1">
        <v>20</v>
      </c>
      <c r="D1642" s="1">
        <v>140.30000000000001</v>
      </c>
      <c r="E1642" s="1" t="s">
        <v>965</v>
      </c>
      <c r="F1642" s="1" t="s">
        <v>6321</v>
      </c>
      <c r="G1642" s="3" t="s">
        <v>3619</v>
      </c>
      <c r="H1642" s="11">
        <f t="shared" si="50"/>
        <v>664.84</v>
      </c>
      <c r="I1642" s="9">
        <f>($K$2+0.02)*Tabla1[[#This Row],[PRECIO $]]*1.18</f>
        <v>571.1613000000001</v>
      </c>
      <c r="J1642" s="7">
        <f>+Tabla1[[#This Row],[PRECIO EN SOLES]]-Tabla1[[#This Row],[PC]]</f>
        <v>93.678699999999935</v>
      </c>
      <c r="K1642" s="15"/>
      <c r="L1642" s="15" t="str">
        <f t="shared" si="51"/>
        <v>NORMAL</v>
      </c>
    </row>
    <row r="1643" spans="1:12" x14ac:dyDescent="0.25">
      <c r="A1643" s="3" t="s">
        <v>3620</v>
      </c>
      <c r="B1643" s="3" t="s">
        <v>3621</v>
      </c>
      <c r="C1643" s="1">
        <v>20</v>
      </c>
      <c r="D1643" s="1">
        <v>238</v>
      </c>
      <c r="E1643" s="1" t="s">
        <v>965</v>
      </c>
      <c r="F1643" s="1" t="s">
        <v>6322</v>
      </c>
      <c r="G1643" s="3" t="s">
        <v>3622</v>
      </c>
      <c r="H1643" s="11">
        <f t="shared" si="50"/>
        <v>1122.23</v>
      </c>
      <c r="I1643" s="9">
        <f>($K$2+0.02)*Tabla1[[#This Row],[PRECIO $]]*1.18</f>
        <v>968.89800000000002</v>
      </c>
      <c r="J1643" s="7">
        <f>+Tabla1[[#This Row],[PRECIO EN SOLES]]-Tabla1[[#This Row],[PC]]</f>
        <v>153.33199999999999</v>
      </c>
      <c r="K1643" s="15"/>
      <c r="L1643" s="15" t="str">
        <f t="shared" si="51"/>
        <v>NORMAL</v>
      </c>
    </row>
    <row r="1644" spans="1:12" x14ac:dyDescent="0.25">
      <c r="A1644" s="3" t="s">
        <v>3623</v>
      </c>
      <c r="B1644" s="3" t="s">
        <v>3624</v>
      </c>
      <c r="C1644" s="1">
        <v>20</v>
      </c>
      <c r="D1644" s="1">
        <v>98.3</v>
      </c>
      <c r="E1644" s="1" t="s">
        <v>965</v>
      </c>
      <c r="F1644" s="1" t="s">
        <v>6323</v>
      </c>
      <c r="G1644" s="3" t="s">
        <v>3625</v>
      </c>
      <c r="H1644" s="11">
        <f t="shared" si="50"/>
        <v>468.21</v>
      </c>
      <c r="I1644" s="9">
        <f>($K$2+0.02)*Tabla1[[#This Row],[PRECIO $]]*1.18</f>
        <v>400.17929999999996</v>
      </c>
      <c r="J1644" s="7">
        <f>+Tabla1[[#This Row],[PRECIO EN SOLES]]-Tabla1[[#This Row],[PC]]</f>
        <v>68.030700000000024</v>
      </c>
      <c r="K1644" s="15"/>
      <c r="L1644" s="15" t="str">
        <f t="shared" si="51"/>
        <v>NORMAL</v>
      </c>
    </row>
    <row r="1645" spans="1:12" x14ac:dyDescent="0.25">
      <c r="A1645" s="3" t="s">
        <v>3626</v>
      </c>
      <c r="B1645" s="3" t="s">
        <v>3627</v>
      </c>
      <c r="C1645" s="1">
        <v>20</v>
      </c>
      <c r="D1645" s="1">
        <v>153.5</v>
      </c>
      <c r="E1645" s="1" t="s">
        <v>981</v>
      </c>
      <c r="F1645" s="1" t="s">
        <v>6324</v>
      </c>
      <c r="G1645" s="3" t="s">
        <v>3628</v>
      </c>
      <c r="H1645" s="11">
        <f t="shared" si="50"/>
        <v>726.63</v>
      </c>
      <c r="I1645" s="9">
        <f>($K$2+0.02)*Tabla1[[#This Row],[PRECIO $]]*1.18</f>
        <v>624.89850000000001</v>
      </c>
      <c r="J1645" s="7">
        <f>+Tabla1[[#This Row],[PRECIO EN SOLES]]-Tabla1[[#This Row],[PC]]</f>
        <v>101.73149999999998</v>
      </c>
      <c r="K1645" s="15"/>
      <c r="L1645" s="15" t="str">
        <f t="shared" si="51"/>
        <v>NORMAL</v>
      </c>
    </row>
    <row r="1646" spans="1:12" x14ac:dyDescent="0.25">
      <c r="A1646" s="3" t="s">
        <v>3629</v>
      </c>
      <c r="B1646" s="3" t="s">
        <v>3630</v>
      </c>
      <c r="C1646" s="1">
        <v>20</v>
      </c>
      <c r="D1646" s="1">
        <v>308.5</v>
      </c>
      <c r="E1646" s="1" t="s">
        <v>981</v>
      </c>
      <c r="F1646" s="1" t="s">
        <v>6325</v>
      </c>
      <c r="G1646" s="3" t="s">
        <v>3631</v>
      </c>
      <c r="H1646" s="11">
        <f t="shared" si="50"/>
        <v>1452.29</v>
      </c>
      <c r="I1646" s="9">
        <f>($K$2+0.02)*Tabla1[[#This Row],[PRECIO $]]*1.18</f>
        <v>1255.9034999999999</v>
      </c>
      <c r="J1646" s="7">
        <f>+Tabla1[[#This Row],[PRECIO EN SOLES]]-Tabla1[[#This Row],[PC]]</f>
        <v>196.38650000000007</v>
      </c>
      <c r="K1646" s="15"/>
      <c r="L1646" s="15" t="str">
        <f t="shared" si="51"/>
        <v>NORMAL</v>
      </c>
    </row>
    <row r="1647" spans="1:12" x14ac:dyDescent="0.25">
      <c r="A1647" s="3" t="s">
        <v>7131</v>
      </c>
      <c r="B1647" s="3" t="s">
        <v>7132</v>
      </c>
      <c r="C1647" s="1">
        <v>20</v>
      </c>
      <c r="D1647" s="1">
        <v>275</v>
      </c>
      <c r="E1647" s="1" t="s">
        <v>981</v>
      </c>
      <c r="F1647" s="1" t="s">
        <v>7133</v>
      </c>
      <c r="G1647" s="3" t="s">
        <v>7134</v>
      </c>
      <c r="H1647" s="11">
        <f t="shared" si="50"/>
        <v>1295.45</v>
      </c>
      <c r="I1647" s="9">
        <f>($K$2+0.02)*Tabla1[[#This Row],[PRECIO $]]*1.18</f>
        <v>1119.5249999999999</v>
      </c>
      <c r="J1647" s="7">
        <f>+Tabla1[[#This Row],[PRECIO EN SOLES]]-Tabla1[[#This Row],[PC]]</f>
        <v>175.92500000000018</v>
      </c>
      <c r="K1647" s="15"/>
      <c r="L1647" s="15" t="str">
        <f t="shared" si="51"/>
        <v>NORMAL</v>
      </c>
    </row>
    <row r="1648" spans="1:12" x14ac:dyDescent="0.25">
      <c r="A1648" s="3" t="s">
        <v>7135</v>
      </c>
      <c r="B1648" s="3" t="s">
        <v>7136</v>
      </c>
      <c r="C1648" s="1">
        <v>20</v>
      </c>
      <c r="D1648" s="1">
        <v>96.3</v>
      </c>
      <c r="E1648" s="1" t="s">
        <v>981</v>
      </c>
      <c r="F1648" s="1" t="s">
        <v>7137</v>
      </c>
      <c r="G1648" s="3" t="s">
        <v>7138</v>
      </c>
      <c r="H1648" s="11">
        <f t="shared" si="50"/>
        <v>458.84</v>
      </c>
      <c r="I1648" s="9">
        <f>($K$2+0.02)*Tabla1[[#This Row],[PRECIO $]]*1.18</f>
        <v>392.03730000000002</v>
      </c>
      <c r="J1648" s="7">
        <f>+Tabla1[[#This Row],[PRECIO EN SOLES]]-Tabla1[[#This Row],[PC]]</f>
        <v>66.802699999999959</v>
      </c>
      <c r="K1648" s="15"/>
      <c r="L1648" s="15" t="str">
        <f t="shared" si="51"/>
        <v>NORMAL</v>
      </c>
    </row>
    <row r="1649" spans="1:12" x14ac:dyDescent="0.25">
      <c r="A1649" s="3" t="s">
        <v>3632</v>
      </c>
      <c r="B1649" s="3" t="s">
        <v>3633</v>
      </c>
      <c r="C1649" s="1">
        <v>20</v>
      </c>
      <c r="D1649" s="1">
        <v>135.5</v>
      </c>
      <c r="E1649" s="1" t="s">
        <v>981</v>
      </c>
      <c r="F1649" s="1" t="s">
        <v>6326</v>
      </c>
      <c r="G1649" s="3" t="s">
        <v>3634</v>
      </c>
      <c r="H1649" s="11">
        <f t="shared" si="50"/>
        <v>642.36</v>
      </c>
      <c r="I1649" s="9">
        <f>($K$2+0.02)*Tabla1[[#This Row],[PRECIO $]]*1.18</f>
        <v>551.62049999999999</v>
      </c>
      <c r="J1649" s="7">
        <f>+Tabla1[[#This Row],[PRECIO EN SOLES]]-Tabla1[[#This Row],[PC]]</f>
        <v>90.739500000000021</v>
      </c>
      <c r="K1649" s="15"/>
      <c r="L1649" s="15" t="str">
        <f t="shared" si="51"/>
        <v>NORMAL</v>
      </c>
    </row>
    <row r="1650" spans="1:12" x14ac:dyDescent="0.25">
      <c r="A1650" s="3" t="s">
        <v>3635</v>
      </c>
      <c r="B1650" s="3" t="s">
        <v>3636</v>
      </c>
      <c r="C1650" s="1">
        <v>0</v>
      </c>
      <c r="D1650" s="1">
        <v>999</v>
      </c>
      <c r="E1650" s="1" t="s">
        <v>916</v>
      </c>
      <c r="F1650" s="1" t="s">
        <v>6327</v>
      </c>
      <c r="G1650" s="3"/>
      <c r="H1650" s="11">
        <f t="shared" si="50"/>
        <v>4684.97</v>
      </c>
      <c r="I1650" s="9">
        <f>($K$2+0.02)*Tabla1[[#This Row],[PRECIO $]]*1.18</f>
        <v>4066.9290000000001</v>
      </c>
      <c r="J1650" s="7">
        <f>+Tabla1[[#This Row],[PRECIO EN SOLES]]-Tabla1[[#This Row],[PC]]</f>
        <v>618.04100000000017</v>
      </c>
      <c r="K1650" s="15"/>
      <c r="L1650" s="15" t="str">
        <f t="shared" si="51"/>
        <v>NORMAL</v>
      </c>
    </row>
    <row r="1651" spans="1:12" x14ac:dyDescent="0.25">
      <c r="A1651" s="3" t="s">
        <v>3637</v>
      </c>
      <c r="B1651" s="3" t="s">
        <v>3638</v>
      </c>
      <c r="C1651" s="1">
        <v>20</v>
      </c>
      <c r="D1651" s="1">
        <v>130</v>
      </c>
      <c r="E1651" s="1" t="s">
        <v>1727</v>
      </c>
      <c r="F1651" s="1" t="s">
        <v>6328</v>
      </c>
      <c r="G1651" s="3" t="s">
        <v>3639</v>
      </c>
      <c r="H1651" s="11">
        <f t="shared" si="50"/>
        <v>616.61</v>
      </c>
      <c r="I1651" s="9">
        <f>($K$2+0.02)*Tabla1[[#This Row],[PRECIO $]]*1.18</f>
        <v>529.23</v>
      </c>
      <c r="J1651" s="7">
        <f>+Tabla1[[#This Row],[PRECIO EN SOLES]]-Tabla1[[#This Row],[PC]]</f>
        <v>87.38</v>
      </c>
      <c r="K1651" s="15"/>
      <c r="L1651" s="15" t="str">
        <f t="shared" si="51"/>
        <v>NORMAL</v>
      </c>
    </row>
    <row r="1652" spans="1:12" x14ac:dyDescent="0.25">
      <c r="A1652" s="3" t="s">
        <v>3640</v>
      </c>
      <c r="B1652" s="3" t="s">
        <v>3641</v>
      </c>
      <c r="C1652" s="1">
        <v>20</v>
      </c>
      <c r="D1652" s="1">
        <v>75.900000000000006</v>
      </c>
      <c r="E1652" s="1" t="s">
        <v>1727</v>
      </c>
      <c r="F1652" s="1" t="s">
        <v>6329</v>
      </c>
      <c r="G1652" s="3" t="s">
        <v>3642</v>
      </c>
      <c r="H1652" s="11">
        <f t="shared" si="50"/>
        <v>363.34</v>
      </c>
      <c r="I1652" s="9">
        <f>($K$2+0.02)*Tabla1[[#This Row],[PRECIO $]]*1.18</f>
        <v>308.9889</v>
      </c>
      <c r="J1652" s="7">
        <f>+Tabla1[[#This Row],[PRECIO EN SOLES]]-Tabla1[[#This Row],[PC]]</f>
        <v>54.351099999999974</v>
      </c>
      <c r="K1652" s="15"/>
      <c r="L1652" s="15" t="str">
        <f t="shared" si="51"/>
        <v>NORMAL</v>
      </c>
    </row>
    <row r="1653" spans="1:12" x14ac:dyDescent="0.25">
      <c r="A1653" s="3" t="s">
        <v>3643</v>
      </c>
      <c r="B1653" s="3" t="s">
        <v>3644</v>
      </c>
      <c r="C1653" s="1">
        <v>9</v>
      </c>
      <c r="D1653" s="1">
        <v>120.5</v>
      </c>
      <c r="E1653" s="1" t="s">
        <v>3645</v>
      </c>
      <c r="F1653" s="1" t="s">
        <v>6330</v>
      </c>
      <c r="G1653" s="3" t="s">
        <v>3646</v>
      </c>
      <c r="H1653" s="11">
        <f t="shared" si="50"/>
        <v>572.14</v>
      </c>
      <c r="I1653" s="9">
        <f>($K$2+0.02)*Tabla1[[#This Row],[PRECIO $]]*1.18</f>
        <v>490.55549999999999</v>
      </c>
      <c r="J1653" s="7">
        <f>+Tabla1[[#This Row],[PRECIO EN SOLES]]-Tabla1[[#This Row],[PC]]</f>
        <v>81.584499999999991</v>
      </c>
      <c r="K1653" s="15"/>
      <c r="L1653" s="15" t="str">
        <f t="shared" si="51"/>
        <v>NORMAL</v>
      </c>
    </row>
    <row r="1654" spans="1:12" x14ac:dyDescent="0.25">
      <c r="A1654" s="3" t="s">
        <v>3647</v>
      </c>
      <c r="B1654" s="3" t="s">
        <v>3648</v>
      </c>
      <c r="C1654" s="1">
        <v>3</v>
      </c>
      <c r="D1654" s="1">
        <v>208.5</v>
      </c>
      <c r="E1654" s="1" t="s">
        <v>3649</v>
      </c>
      <c r="F1654" s="1" t="s">
        <v>6331</v>
      </c>
      <c r="G1654" s="3" t="s">
        <v>3650</v>
      </c>
      <c r="H1654" s="11">
        <f t="shared" si="50"/>
        <v>984.12</v>
      </c>
      <c r="I1654" s="9">
        <f>($K$2+0.02)*Tabla1[[#This Row],[PRECIO $]]*1.18</f>
        <v>848.80349999999999</v>
      </c>
      <c r="J1654" s="7">
        <f>+Tabla1[[#This Row],[PRECIO EN SOLES]]-Tabla1[[#This Row],[PC]]</f>
        <v>135.31650000000002</v>
      </c>
      <c r="K1654" s="15"/>
      <c r="L1654" s="15" t="str">
        <f t="shared" si="51"/>
        <v>NORMAL</v>
      </c>
    </row>
    <row r="1655" spans="1:12" x14ac:dyDescent="0.25">
      <c r="A1655" s="3" t="s">
        <v>3651</v>
      </c>
      <c r="B1655" s="3" t="s">
        <v>3652</v>
      </c>
      <c r="C1655" s="1">
        <v>1</v>
      </c>
      <c r="D1655" s="1">
        <v>283.5</v>
      </c>
      <c r="E1655" s="1" t="s">
        <v>3649</v>
      </c>
      <c r="F1655" s="1" t="s">
        <v>6332</v>
      </c>
      <c r="G1655" s="3" t="s">
        <v>3653</v>
      </c>
      <c r="H1655" s="11">
        <f t="shared" si="50"/>
        <v>1335.25</v>
      </c>
      <c r="I1655" s="9">
        <f>($K$2+0.02)*Tabla1[[#This Row],[PRECIO $]]*1.18</f>
        <v>1154.1285</v>
      </c>
      <c r="J1655" s="7">
        <f>+Tabla1[[#This Row],[PRECIO EN SOLES]]-Tabla1[[#This Row],[PC]]</f>
        <v>181.12149999999997</v>
      </c>
      <c r="K1655" s="15"/>
      <c r="L1655" s="15" t="str">
        <f t="shared" si="51"/>
        <v>NORMAL</v>
      </c>
    </row>
    <row r="1656" spans="1:12" x14ac:dyDescent="0.25">
      <c r="A1656" s="3" t="s">
        <v>3654</v>
      </c>
      <c r="B1656" s="3" t="s">
        <v>3655</v>
      </c>
      <c r="C1656" s="1">
        <v>4</v>
      </c>
      <c r="D1656" s="1">
        <v>285.5</v>
      </c>
      <c r="E1656" s="1" t="s">
        <v>3649</v>
      </c>
      <c r="F1656" s="1" t="s">
        <v>6333</v>
      </c>
      <c r="G1656" s="3" t="s">
        <v>3656</v>
      </c>
      <c r="H1656" s="11">
        <f t="shared" si="50"/>
        <v>1344.61</v>
      </c>
      <c r="I1656" s="9">
        <f>($K$2+0.02)*Tabla1[[#This Row],[PRECIO $]]*1.18</f>
        <v>1162.2704999999999</v>
      </c>
      <c r="J1656" s="7">
        <f>+Tabla1[[#This Row],[PRECIO EN SOLES]]-Tabla1[[#This Row],[PC]]</f>
        <v>182.33950000000004</v>
      </c>
      <c r="K1656" s="15"/>
      <c r="L1656" s="15" t="str">
        <f t="shared" si="51"/>
        <v>NORMAL</v>
      </c>
    </row>
    <row r="1657" spans="1:12" x14ac:dyDescent="0.25">
      <c r="A1657" s="3" t="s">
        <v>3657</v>
      </c>
      <c r="B1657" s="3" t="s">
        <v>3658</v>
      </c>
      <c r="C1657" s="1">
        <v>2</v>
      </c>
      <c r="D1657" s="1">
        <v>557.5</v>
      </c>
      <c r="E1657" s="1" t="s">
        <v>3649</v>
      </c>
      <c r="F1657" s="1" t="s">
        <v>6334</v>
      </c>
      <c r="G1657" s="3" t="s">
        <v>3659</v>
      </c>
      <c r="H1657" s="11">
        <f t="shared" si="50"/>
        <v>2618.02</v>
      </c>
      <c r="I1657" s="9">
        <f>($K$2+0.02)*Tabla1[[#This Row],[PRECIO $]]*1.18</f>
        <v>2269.5825</v>
      </c>
      <c r="J1657" s="7">
        <f>+Tabla1[[#This Row],[PRECIO EN SOLES]]-Tabla1[[#This Row],[PC]]</f>
        <v>348.4375</v>
      </c>
      <c r="K1657" s="15"/>
      <c r="L1657" s="15" t="str">
        <f t="shared" si="51"/>
        <v>NORMAL</v>
      </c>
    </row>
    <row r="1658" spans="1:12" x14ac:dyDescent="0.25">
      <c r="A1658" s="3" t="s">
        <v>3660</v>
      </c>
      <c r="B1658" s="3" t="s">
        <v>3661</v>
      </c>
      <c r="C1658" s="1">
        <v>1</v>
      </c>
      <c r="D1658" s="1">
        <v>922.5</v>
      </c>
      <c r="E1658" s="1" t="s">
        <v>3649</v>
      </c>
      <c r="F1658" s="1" t="s">
        <v>6335</v>
      </c>
      <c r="G1658" s="3" t="s">
        <v>3662</v>
      </c>
      <c r="H1658" s="11">
        <f t="shared" si="50"/>
        <v>4326.82</v>
      </c>
      <c r="I1658" s="9">
        <f>($K$2+0.02)*Tabla1[[#This Row],[PRECIO $]]*1.18</f>
        <v>3755.4974999999999</v>
      </c>
      <c r="J1658" s="7">
        <f>+Tabla1[[#This Row],[PRECIO EN SOLES]]-Tabla1[[#This Row],[PC]]</f>
        <v>571.32249999999976</v>
      </c>
      <c r="K1658" s="15"/>
      <c r="L1658" s="15" t="str">
        <f t="shared" si="51"/>
        <v>NORMAL</v>
      </c>
    </row>
    <row r="1659" spans="1:12" x14ac:dyDescent="0.25">
      <c r="A1659" s="3" t="s">
        <v>3663</v>
      </c>
      <c r="B1659" s="3" t="s">
        <v>3664</v>
      </c>
      <c r="C1659" s="1">
        <v>2</v>
      </c>
      <c r="D1659" s="1">
        <v>1383</v>
      </c>
      <c r="E1659" s="1" t="s">
        <v>3649</v>
      </c>
      <c r="F1659" s="1" t="s">
        <v>6336</v>
      </c>
      <c r="G1659" s="3" t="s">
        <v>3665</v>
      </c>
      <c r="H1659" s="11">
        <f t="shared" si="50"/>
        <v>6482.72</v>
      </c>
      <c r="I1659" s="9">
        <f>($K$2+0.02)*Tabla1[[#This Row],[PRECIO $]]*1.18</f>
        <v>5630.1930000000002</v>
      </c>
      <c r="J1659" s="7">
        <f>+Tabla1[[#This Row],[PRECIO EN SOLES]]-Tabla1[[#This Row],[PC]]</f>
        <v>852.52700000000004</v>
      </c>
      <c r="K1659" s="15"/>
      <c r="L1659" s="15" t="str">
        <f t="shared" si="51"/>
        <v>NORMAL</v>
      </c>
    </row>
    <row r="1660" spans="1:12" x14ac:dyDescent="0.25">
      <c r="A1660" s="3" t="s">
        <v>3666</v>
      </c>
      <c r="B1660" s="3" t="s">
        <v>3667</v>
      </c>
      <c r="C1660" s="1">
        <v>14</v>
      </c>
      <c r="D1660" s="1">
        <v>571.5</v>
      </c>
      <c r="E1660" s="1" t="s">
        <v>3645</v>
      </c>
      <c r="F1660" s="1" t="s">
        <v>6337</v>
      </c>
      <c r="G1660" s="10" t="s">
        <v>3668</v>
      </c>
      <c r="H1660" s="11">
        <f t="shared" si="50"/>
        <v>2683.56</v>
      </c>
      <c r="I1660" s="9">
        <f>($K$2+0.02)*Tabla1[[#This Row],[PRECIO $]]*1.18</f>
        <v>2326.5765000000001</v>
      </c>
      <c r="J1660" s="7">
        <f>+Tabla1[[#This Row],[PRECIO EN SOLES]]-Tabla1[[#This Row],[PC]]</f>
        <v>356.98349999999982</v>
      </c>
      <c r="K1660" s="15"/>
      <c r="L1660" s="15" t="str">
        <f t="shared" si="51"/>
        <v>NORMAL</v>
      </c>
    </row>
    <row r="1661" spans="1:12" x14ac:dyDescent="0.25">
      <c r="A1661" s="3" t="s">
        <v>3669</v>
      </c>
      <c r="B1661" s="3" t="s">
        <v>3670</v>
      </c>
      <c r="C1661" s="1">
        <v>1</v>
      </c>
      <c r="D1661" s="1">
        <v>710.5</v>
      </c>
      <c r="E1661" s="1" t="s">
        <v>3645</v>
      </c>
      <c r="F1661" s="1" t="s">
        <v>6338</v>
      </c>
      <c r="G1661" s="3" t="s">
        <v>3671</v>
      </c>
      <c r="H1661" s="11">
        <f t="shared" si="50"/>
        <v>3334.31</v>
      </c>
      <c r="I1661" s="9">
        <f>($K$2+0.02)*Tabla1[[#This Row],[PRECIO $]]*1.18</f>
        <v>2892.4454999999998</v>
      </c>
      <c r="J1661" s="7">
        <f>+Tabla1[[#This Row],[PRECIO EN SOLES]]-Tabla1[[#This Row],[PC]]</f>
        <v>441.86450000000013</v>
      </c>
      <c r="K1661" s="15"/>
      <c r="L1661" s="15" t="str">
        <f t="shared" si="51"/>
        <v>NORMAL</v>
      </c>
    </row>
    <row r="1662" spans="1:12" x14ac:dyDescent="0.25">
      <c r="A1662" s="3" t="s">
        <v>3672</v>
      </c>
      <c r="B1662" s="3" t="s">
        <v>3673</v>
      </c>
      <c r="C1662" s="1">
        <v>2</v>
      </c>
      <c r="D1662" s="1">
        <v>766</v>
      </c>
      <c r="E1662" s="1" t="s">
        <v>3645</v>
      </c>
      <c r="F1662" s="1" t="s">
        <v>6339</v>
      </c>
      <c r="G1662" s="3" t="s">
        <v>3674</v>
      </c>
      <c r="H1662" s="11">
        <f t="shared" si="50"/>
        <v>3594.14</v>
      </c>
      <c r="I1662" s="9">
        <f>($K$2+0.02)*Tabla1[[#This Row],[PRECIO $]]*1.18</f>
        <v>3118.386</v>
      </c>
      <c r="J1662" s="7">
        <f>+Tabla1[[#This Row],[PRECIO EN SOLES]]-Tabla1[[#This Row],[PC]]</f>
        <v>475.75399999999991</v>
      </c>
      <c r="K1662" s="15"/>
      <c r="L1662" s="15" t="str">
        <f t="shared" si="51"/>
        <v>NORMAL</v>
      </c>
    </row>
    <row r="1663" spans="1:12" x14ac:dyDescent="0.25">
      <c r="A1663" s="3" t="s">
        <v>3675</v>
      </c>
      <c r="B1663" s="3" t="s">
        <v>3676</v>
      </c>
      <c r="C1663" s="1">
        <v>3</v>
      </c>
      <c r="D1663" s="1">
        <v>732.5</v>
      </c>
      <c r="E1663" s="1" t="s">
        <v>3645</v>
      </c>
      <c r="F1663" s="1" t="s">
        <v>6340</v>
      </c>
      <c r="G1663" s="3" t="s">
        <v>3677</v>
      </c>
      <c r="H1663" s="11">
        <f t="shared" si="50"/>
        <v>3437.31</v>
      </c>
      <c r="I1663" s="9">
        <f>($K$2+0.02)*Tabla1[[#This Row],[PRECIO $]]*1.18</f>
        <v>2982.0074999999997</v>
      </c>
      <c r="J1663" s="7">
        <f>+Tabla1[[#This Row],[PRECIO EN SOLES]]-Tabla1[[#This Row],[PC]]</f>
        <v>455.30250000000024</v>
      </c>
      <c r="K1663" s="15"/>
      <c r="L1663" s="15" t="str">
        <f t="shared" si="51"/>
        <v>NORMAL</v>
      </c>
    </row>
    <row r="1664" spans="1:12" x14ac:dyDescent="0.25">
      <c r="A1664" s="3" t="s">
        <v>3678</v>
      </c>
      <c r="B1664" s="3" t="s">
        <v>3679</v>
      </c>
      <c r="C1664" s="1">
        <v>0</v>
      </c>
      <c r="D1664" s="1">
        <v>941</v>
      </c>
      <c r="E1664" s="1" t="s">
        <v>3645</v>
      </c>
      <c r="F1664" s="1" t="s">
        <v>6341</v>
      </c>
      <c r="G1664" s="3" t="s">
        <v>3680</v>
      </c>
      <c r="H1664" s="11">
        <f t="shared" si="50"/>
        <v>4413.43</v>
      </c>
      <c r="I1664" s="9">
        <f>($K$2+0.02)*Tabla1[[#This Row],[PRECIO $]]*1.18</f>
        <v>3830.8110000000001</v>
      </c>
      <c r="J1664" s="7">
        <f>+Tabla1[[#This Row],[PRECIO EN SOLES]]-Tabla1[[#This Row],[PC]]</f>
        <v>582.61900000000014</v>
      </c>
      <c r="K1664" s="15"/>
      <c r="L1664" s="15" t="str">
        <f t="shared" si="51"/>
        <v>NORMAL</v>
      </c>
    </row>
    <row r="1665" spans="1:12" x14ac:dyDescent="0.25">
      <c r="A1665" s="3" t="s">
        <v>3681</v>
      </c>
      <c r="B1665" s="3" t="s">
        <v>3682</v>
      </c>
      <c r="C1665" s="1">
        <v>1</v>
      </c>
      <c r="D1665" s="1">
        <v>836.5</v>
      </c>
      <c r="E1665" s="1" t="s">
        <v>3645</v>
      </c>
      <c r="F1665" s="1" t="s">
        <v>6342</v>
      </c>
      <c r="G1665" s="3" t="s">
        <v>3683</v>
      </c>
      <c r="H1665" s="11">
        <f t="shared" si="50"/>
        <v>3924.2</v>
      </c>
      <c r="I1665" s="9">
        <f>($K$2+0.02)*Tabla1[[#This Row],[PRECIO $]]*1.18</f>
        <v>3405.3915000000002</v>
      </c>
      <c r="J1665" s="7">
        <f>+Tabla1[[#This Row],[PRECIO EN SOLES]]-Tabla1[[#This Row],[PC]]</f>
        <v>518.80849999999964</v>
      </c>
      <c r="K1665" s="15"/>
      <c r="L1665" s="15" t="str">
        <f t="shared" si="51"/>
        <v>NORMAL</v>
      </c>
    </row>
    <row r="1666" spans="1:12" x14ac:dyDescent="0.25">
      <c r="A1666" s="3" t="s">
        <v>3684</v>
      </c>
      <c r="B1666" s="3" t="s">
        <v>3685</v>
      </c>
      <c r="C1666" s="1">
        <v>2</v>
      </c>
      <c r="D1666" s="1">
        <v>1051</v>
      </c>
      <c r="E1666" s="1" t="s">
        <v>3645</v>
      </c>
      <c r="F1666" s="1" t="s">
        <v>6343</v>
      </c>
      <c r="G1666" s="3" t="s">
        <v>3686</v>
      </c>
      <c r="H1666" s="11">
        <f t="shared" ref="H1666:H1729" si="52">ROUND(
IF(L1666="GANCHO",
   IF(I1666&lt;=50,I1666*1.1+4,IF(I1666&lt;=120,I1666*1.1+7,IF(I1666&lt;=250,I1666*1.1+11,I1666*1.1+19))),
IF(L1666="NORMAL",
   IF(I1666&lt;=30,I1666*1.15+2,IF(I1666&lt;=80,I1666*1.15+4,IF(I1666&lt;=150,I1666*1.15+6,I1666*1.15+8))),
IF(L1666="COMPLEMENTO",
   IF(I1666&lt;=25,I1666*1.25+1.5,IF(I1666&lt;=60,I1666*1.25+3,IF(I1666&lt;=120,I1666*1.25+4,I1666*1.25+5))),
""))),2)</f>
        <v>4928.41</v>
      </c>
      <c r="I1666" s="9">
        <f>($K$2+0.02)*Tabla1[[#This Row],[PRECIO $]]*1.18</f>
        <v>4278.6210000000001</v>
      </c>
      <c r="J1666" s="7">
        <f>+Tabla1[[#This Row],[PRECIO EN SOLES]]-Tabla1[[#This Row],[PC]]</f>
        <v>649.78899999999976</v>
      </c>
      <c r="K1666" s="15"/>
      <c r="L1666" s="15" t="str">
        <f t="shared" si="51"/>
        <v>NORMAL</v>
      </c>
    </row>
    <row r="1667" spans="1:12" x14ac:dyDescent="0.25">
      <c r="A1667" s="3" t="s">
        <v>3687</v>
      </c>
      <c r="B1667" s="3" t="s">
        <v>3688</v>
      </c>
      <c r="C1667" s="1">
        <v>1</v>
      </c>
      <c r="D1667" s="1">
        <v>789</v>
      </c>
      <c r="E1667" s="1" t="s">
        <v>3645</v>
      </c>
      <c r="F1667" s="1" t="s">
        <v>6344</v>
      </c>
      <c r="G1667" s="3" t="s">
        <v>3689</v>
      </c>
      <c r="H1667" s="11">
        <f t="shared" si="52"/>
        <v>3701.82</v>
      </c>
      <c r="I1667" s="9">
        <f>($K$2+0.02)*Tabla1[[#This Row],[PRECIO $]]*1.18</f>
        <v>3212.0190000000002</v>
      </c>
      <c r="J1667" s="7">
        <f>+Tabla1[[#This Row],[PRECIO EN SOLES]]-Tabla1[[#This Row],[PC]]</f>
        <v>489.80099999999993</v>
      </c>
      <c r="K1667" s="15"/>
      <c r="L1667" s="15" t="str">
        <f t="shared" ref="L1667:L1730" si="53">IF(
OR(
ISNUMBER(SEARCH("BACKPACK",B1667)),
ISNUMBER(SEARCH("MOCHILA",B1667)),
ISNUMBER(SEARCH("FUNDA",B1667)),
ISNUMBER(SEARCH("ESTUCHE",B1667)),
ISNUMBER(SEARCH("BOOK COVER",B1667)),
ISNUMBER(SEARCH("KEYBOARD PARA TABLET",B1667)),
ISNUMBER(SEARCH("FLIP TABLET",B1667)),
ISNUMBER(SEARCH("CASE FOR TABLET",B1667)),
ISNUMBER(SEARCH("CABLE",B1667)),
ISNUMBER(SEARCH("ADAPTADOR",B1667)),
ISNUMBER(SEARCH("HUB",B1667)),
ISNUMBER(SEARCH("DOCK",B1667)),
ISNUMBER(SEARCH("MOUSE PAD",B1667)),
ISNUMBER(SEARCH("MOUSEPAD",B1667)),
ISNUMBER(SEARCH("SOPORTE",B1667)),
ISNUMBER(SEARCH("STAND",B1667)),
ISNUMBER(SEARCH("TRAVEL ADAPTER",B1667)),
ISNUMBER(SEARCH("RJ45",B1667)),
ISNUMBER(SEARCH("USB-C",B1667)),
ISNUMBER(SEARCH("USB WIFI",B1667)),
ISNUMBER(SEARCH("POWERBANK",B1667)),
ISNUMBER(SEARCH("CARGADOR",B1667)),
ISNUMBER(SEARCH("COOLER PARA NB",B1667)),
ISNUMBER(SEARCH("SOPORTE PARA NB",B1667)),
ISNUMBER(SEARCH("WEBCAM",B1667)),
ISNUMBER(SEARCH("WEB CAM",B1667)),
ISNUMBER(SEARCH("MOUSE",B1667)),
ISNUMBER(SEARCH("TECLADO",B1667))
),
"COMPLEMENTO",
IF(
OR(
LEFT(A1667,2)="NB",
LEFT(A1667,2)="PC",
LEFT(A1667,2)="WS",
LEFT(A1667,2)="TB",
LEFT(A1667,3)="CEL",
LEFT(A1667,3)="MON",
LEFT(A1667,3)="PRE",
LEFT(A1667,3)="PRH",
ISNUMBER(SEARCH("NOTEBOOK",B1667)),
ISNUMBER(SEARCH("LAPTOP",B1667)),
ISNUMBER(SEARCH("MONITOR",B1667)),
ISNUMBER(SEARCH("TABLET",B1667)),
ISNUMBER(SEARCH("SMARTPH",B1667)),
ISNUMBER(SEARCH("IMPRESORA",B1667)),
ISNUMBER(SEARCH("MULTIFUNCIONAL",B1667)),
ISNUMBER(SEARCH("AIO",B1667))
),
"GANCHO",
"NORMAL"
)
)</f>
        <v>NORMAL</v>
      </c>
    </row>
    <row r="1668" spans="1:12" x14ac:dyDescent="0.25">
      <c r="A1668" s="3" t="s">
        <v>3690</v>
      </c>
      <c r="B1668" s="3" t="s">
        <v>3691</v>
      </c>
      <c r="C1668" s="1">
        <v>0</v>
      </c>
      <c r="D1668" s="1">
        <v>1527</v>
      </c>
      <c r="E1668" s="1" t="s">
        <v>3645</v>
      </c>
      <c r="F1668" s="1" t="s">
        <v>6345</v>
      </c>
      <c r="G1668" s="3" t="s">
        <v>3692</v>
      </c>
      <c r="H1668" s="11">
        <f t="shared" si="52"/>
        <v>7156.88</v>
      </c>
      <c r="I1668" s="9">
        <f>($K$2+0.02)*Tabla1[[#This Row],[PRECIO $]]*1.18</f>
        <v>6216.4170000000004</v>
      </c>
      <c r="J1668" s="7">
        <f>+Tabla1[[#This Row],[PRECIO EN SOLES]]-Tabla1[[#This Row],[PC]]</f>
        <v>940.46299999999974</v>
      </c>
      <c r="K1668" s="15"/>
      <c r="L1668" s="15" t="str">
        <f t="shared" si="53"/>
        <v>NORMAL</v>
      </c>
    </row>
    <row r="1669" spans="1:12" x14ac:dyDescent="0.25">
      <c r="A1669" s="3" t="s">
        <v>6346</v>
      </c>
      <c r="B1669" s="3" t="s">
        <v>6347</v>
      </c>
      <c r="C1669" s="1">
        <v>0</v>
      </c>
      <c r="D1669" s="1">
        <v>43</v>
      </c>
      <c r="E1669" s="1" t="s">
        <v>6348</v>
      </c>
      <c r="F1669" s="1" t="s">
        <v>6349</v>
      </c>
      <c r="G1669" s="3" t="s">
        <v>6350</v>
      </c>
      <c r="H1669" s="11">
        <f t="shared" si="52"/>
        <v>209.31</v>
      </c>
      <c r="I1669" s="9">
        <f>($K$2+0.02)*Tabla1[[#This Row],[PRECIO $]]*1.18</f>
        <v>175.053</v>
      </c>
      <c r="J1669" s="7">
        <f>+Tabla1[[#This Row],[PRECIO EN SOLES]]-Tabla1[[#This Row],[PC]]</f>
        <v>34.257000000000005</v>
      </c>
      <c r="K1669" s="15"/>
      <c r="L1669" s="15" t="str">
        <f t="shared" si="53"/>
        <v>NORMAL</v>
      </c>
    </row>
    <row r="1670" spans="1:12" x14ac:dyDescent="0.25">
      <c r="A1670" s="3" t="s">
        <v>3693</v>
      </c>
      <c r="B1670" s="3" t="s">
        <v>3694</v>
      </c>
      <c r="C1670" s="1">
        <v>0</v>
      </c>
      <c r="D1670" s="1">
        <v>310</v>
      </c>
      <c r="E1670" s="1" t="s">
        <v>126</v>
      </c>
      <c r="F1670" s="1" t="s">
        <v>6351</v>
      </c>
      <c r="G1670" s="3" t="s">
        <v>3695</v>
      </c>
      <c r="H1670" s="11">
        <f t="shared" si="52"/>
        <v>1459.31</v>
      </c>
      <c r="I1670" s="9">
        <f>($K$2+0.02)*Tabla1[[#This Row],[PRECIO $]]*1.18</f>
        <v>1262.01</v>
      </c>
      <c r="J1670" s="7">
        <f>+Tabla1[[#This Row],[PRECIO EN SOLES]]-Tabla1[[#This Row],[PC]]</f>
        <v>197.29999999999995</v>
      </c>
      <c r="K1670" s="15"/>
      <c r="L1670" s="15" t="str">
        <f t="shared" si="53"/>
        <v>NORMAL</v>
      </c>
    </row>
    <row r="1671" spans="1:12" x14ac:dyDescent="0.25">
      <c r="A1671" s="3" t="s">
        <v>3696</v>
      </c>
      <c r="B1671" s="3" t="s">
        <v>3697</v>
      </c>
      <c r="C1671" s="1">
        <v>0</v>
      </c>
      <c r="D1671" s="1">
        <v>186</v>
      </c>
      <c r="E1671" s="1" t="s">
        <v>528</v>
      </c>
      <c r="F1671" s="1" t="s">
        <v>6352</v>
      </c>
      <c r="G1671" s="3"/>
      <c r="H1671" s="11">
        <f t="shared" si="52"/>
        <v>878.79</v>
      </c>
      <c r="I1671" s="9">
        <f>($K$2+0.02)*Tabla1[[#This Row],[PRECIO $]]*1.18</f>
        <v>757.20600000000002</v>
      </c>
      <c r="J1671" s="7">
        <f>+Tabla1[[#This Row],[PRECIO EN SOLES]]-Tabla1[[#This Row],[PC]]</f>
        <v>121.58399999999995</v>
      </c>
      <c r="K1671" s="15"/>
      <c r="L1671" s="15" t="str">
        <f t="shared" si="53"/>
        <v>NORMAL</v>
      </c>
    </row>
    <row r="1672" spans="1:12" x14ac:dyDescent="0.25">
      <c r="A1672" s="3" t="s">
        <v>3699</v>
      </c>
      <c r="B1672" s="3" t="s">
        <v>3698</v>
      </c>
      <c r="C1672" s="1">
        <v>8</v>
      </c>
      <c r="D1672" s="1">
        <v>234</v>
      </c>
      <c r="E1672" s="1" t="s">
        <v>528</v>
      </c>
      <c r="F1672" s="1" t="s">
        <v>6353</v>
      </c>
      <c r="G1672" s="3"/>
      <c r="H1672" s="11">
        <f t="shared" si="52"/>
        <v>1103.51</v>
      </c>
      <c r="I1672" s="9">
        <f>($K$2+0.02)*Tabla1[[#This Row],[PRECIO $]]*1.18</f>
        <v>952.61400000000003</v>
      </c>
      <c r="J1672" s="7">
        <f>+Tabla1[[#This Row],[PRECIO EN SOLES]]-Tabla1[[#This Row],[PC]]</f>
        <v>150.89599999999996</v>
      </c>
      <c r="K1672" s="15"/>
      <c r="L1672" s="15" t="str">
        <f t="shared" si="53"/>
        <v>NORMAL</v>
      </c>
    </row>
    <row r="1673" spans="1:12" x14ac:dyDescent="0.25">
      <c r="A1673" s="3" t="s">
        <v>3700</v>
      </c>
      <c r="B1673" s="3" t="s">
        <v>3701</v>
      </c>
      <c r="C1673" s="1">
        <v>10</v>
      </c>
      <c r="D1673" s="1">
        <v>235</v>
      </c>
      <c r="E1673" s="1" t="s">
        <v>528</v>
      </c>
      <c r="F1673" s="1" t="s">
        <v>6354</v>
      </c>
      <c r="G1673" s="3"/>
      <c r="H1673" s="11">
        <f t="shared" si="52"/>
        <v>1108.19</v>
      </c>
      <c r="I1673" s="9">
        <f>($K$2+0.02)*Tabla1[[#This Row],[PRECIO $]]*1.18</f>
        <v>956.68499999999995</v>
      </c>
      <c r="J1673" s="7">
        <f>+Tabla1[[#This Row],[PRECIO EN SOLES]]-Tabla1[[#This Row],[PC]]</f>
        <v>151.50500000000011</v>
      </c>
      <c r="K1673" s="15"/>
      <c r="L1673" s="15" t="str">
        <f t="shared" si="53"/>
        <v>NORMAL</v>
      </c>
    </row>
    <row r="1674" spans="1:12" x14ac:dyDescent="0.25">
      <c r="A1674" s="3" t="s">
        <v>3702</v>
      </c>
      <c r="B1674" s="3" t="s">
        <v>3698</v>
      </c>
      <c r="C1674" s="1">
        <v>10</v>
      </c>
      <c r="D1674" s="1">
        <v>235</v>
      </c>
      <c r="E1674" s="1" t="s">
        <v>528</v>
      </c>
      <c r="F1674" s="1" t="s">
        <v>6355</v>
      </c>
      <c r="G1674" s="3"/>
      <c r="H1674" s="11">
        <f t="shared" si="52"/>
        <v>1108.19</v>
      </c>
      <c r="I1674" s="9">
        <f>($K$2+0.02)*Tabla1[[#This Row],[PRECIO $]]*1.18</f>
        <v>956.68499999999995</v>
      </c>
      <c r="J1674" s="7">
        <f>+Tabla1[[#This Row],[PRECIO EN SOLES]]-Tabla1[[#This Row],[PC]]</f>
        <v>151.50500000000011</v>
      </c>
      <c r="K1674" s="15"/>
      <c r="L1674" s="15" t="str">
        <f t="shared" si="53"/>
        <v>NORMAL</v>
      </c>
    </row>
    <row r="1675" spans="1:12" x14ac:dyDescent="0.25">
      <c r="A1675" s="3" t="s">
        <v>3703</v>
      </c>
      <c r="B1675" s="3" t="s">
        <v>3704</v>
      </c>
      <c r="C1675" s="1">
        <v>3</v>
      </c>
      <c r="D1675" s="1">
        <v>22.5</v>
      </c>
      <c r="E1675" s="1" t="s">
        <v>528</v>
      </c>
      <c r="F1675" s="1" t="s">
        <v>6356</v>
      </c>
      <c r="G1675" s="3"/>
      <c r="H1675" s="11">
        <f t="shared" si="52"/>
        <v>111.34</v>
      </c>
      <c r="I1675" s="9">
        <f>($K$2+0.02)*Tabla1[[#This Row],[PRECIO $]]*1.18</f>
        <v>91.597499999999997</v>
      </c>
      <c r="J1675" s="7">
        <f>+Tabla1[[#This Row],[PRECIO EN SOLES]]-Tabla1[[#This Row],[PC]]</f>
        <v>19.742500000000007</v>
      </c>
      <c r="K1675" s="15"/>
      <c r="L1675" s="15" t="str">
        <f t="shared" si="53"/>
        <v>NORMAL</v>
      </c>
    </row>
    <row r="1676" spans="1:12" x14ac:dyDescent="0.25">
      <c r="A1676" s="3" t="s">
        <v>3705</v>
      </c>
      <c r="B1676" s="3" t="s">
        <v>3706</v>
      </c>
      <c r="C1676" s="1">
        <v>20</v>
      </c>
      <c r="D1676" s="1">
        <v>8.4499999999999993</v>
      </c>
      <c r="E1676" s="1" t="s">
        <v>681</v>
      </c>
      <c r="F1676" s="1" t="s">
        <v>6357</v>
      </c>
      <c r="G1676" s="3" t="s">
        <v>3707</v>
      </c>
      <c r="H1676" s="11">
        <f t="shared" si="52"/>
        <v>43.56</v>
      </c>
      <c r="I1676" s="9">
        <f>($K$2+0.02)*Tabla1[[#This Row],[PRECIO $]]*1.18</f>
        <v>34.399949999999997</v>
      </c>
      <c r="J1676" s="7">
        <f>+Tabla1[[#This Row],[PRECIO EN SOLES]]-Tabla1[[#This Row],[PC]]</f>
        <v>9.1600500000000054</v>
      </c>
      <c r="K1676" s="15"/>
      <c r="L1676" s="15" t="str">
        <f t="shared" si="53"/>
        <v>NORMAL</v>
      </c>
    </row>
    <row r="1677" spans="1:12" x14ac:dyDescent="0.25">
      <c r="A1677" s="3" t="s">
        <v>3708</v>
      </c>
      <c r="B1677" s="3" t="s">
        <v>3709</v>
      </c>
      <c r="C1677" s="1">
        <v>20</v>
      </c>
      <c r="D1677" s="1">
        <v>7.95</v>
      </c>
      <c r="E1677" s="1" t="s">
        <v>681</v>
      </c>
      <c r="F1677" s="1" t="s">
        <v>6358</v>
      </c>
      <c r="G1677" s="3" t="s">
        <v>3710</v>
      </c>
      <c r="H1677" s="11">
        <f t="shared" si="52"/>
        <v>41.22</v>
      </c>
      <c r="I1677" s="9">
        <f>($K$2+0.02)*Tabla1[[#This Row],[PRECIO $]]*1.18</f>
        <v>32.364449999999998</v>
      </c>
      <c r="J1677" s="7">
        <f>+Tabla1[[#This Row],[PRECIO EN SOLES]]-Tabla1[[#This Row],[PC]]</f>
        <v>8.8555500000000009</v>
      </c>
      <c r="K1677" s="15"/>
      <c r="L1677" s="15" t="str">
        <f t="shared" si="53"/>
        <v>NORMAL</v>
      </c>
    </row>
    <row r="1678" spans="1:12" x14ac:dyDescent="0.25">
      <c r="A1678" s="3" t="s">
        <v>3711</v>
      </c>
      <c r="B1678" s="3" t="s">
        <v>3712</v>
      </c>
      <c r="C1678" s="1">
        <v>0</v>
      </c>
      <c r="D1678" s="1">
        <v>7.95</v>
      </c>
      <c r="E1678" s="1" t="s">
        <v>681</v>
      </c>
      <c r="F1678" s="1" t="s">
        <v>6359</v>
      </c>
      <c r="G1678" s="3" t="s">
        <v>3713</v>
      </c>
      <c r="H1678" s="11">
        <f t="shared" si="52"/>
        <v>41.22</v>
      </c>
      <c r="I1678" s="9">
        <f>($K$2+0.02)*Tabla1[[#This Row],[PRECIO $]]*1.18</f>
        <v>32.364449999999998</v>
      </c>
      <c r="J1678" s="7">
        <f>+Tabla1[[#This Row],[PRECIO EN SOLES]]-Tabla1[[#This Row],[PC]]</f>
        <v>8.8555500000000009</v>
      </c>
      <c r="K1678" s="15"/>
      <c r="L1678" s="15" t="str">
        <f t="shared" si="53"/>
        <v>NORMAL</v>
      </c>
    </row>
    <row r="1679" spans="1:12" x14ac:dyDescent="0.25">
      <c r="A1679" s="3" t="s">
        <v>3714</v>
      </c>
      <c r="B1679" s="3" t="s">
        <v>3715</v>
      </c>
      <c r="C1679" s="1">
        <v>20</v>
      </c>
      <c r="D1679" s="1">
        <v>7.95</v>
      </c>
      <c r="E1679" s="1" t="s">
        <v>681</v>
      </c>
      <c r="F1679" s="1" t="s">
        <v>6360</v>
      </c>
      <c r="G1679" s="3" t="s">
        <v>3716</v>
      </c>
      <c r="H1679" s="11">
        <f t="shared" si="52"/>
        <v>41.22</v>
      </c>
      <c r="I1679" s="9">
        <f>($K$2+0.02)*Tabla1[[#This Row],[PRECIO $]]*1.18</f>
        <v>32.364449999999998</v>
      </c>
      <c r="J1679" s="7">
        <f>+Tabla1[[#This Row],[PRECIO EN SOLES]]-Tabla1[[#This Row],[PC]]</f>
        <v>8.8555500000000009</v>
      </c>
      <c r="K1679" s="15"/>
      <c r="L1679" s="15" t="str">
        <f t="shared" si="53"/>
        <v>NORMAL</v>
      </c>
    </row>
    <row r="1680" spans="1:12" x14ac:dyDescent="0.25">
      <c r="A1680" s="3" t="s">
        <v>3717</v>
      </c>
      <c r="B1680" s="3" t="s">
        <v>3718</v>
      </c>
      <c r="C1680" s="1">
        <v>20</v>
      </c>
      <c r="D1680" s="1">
        <v>7.95</v>
      </c>
      <c r="E1680" s="1" t="s">
        <v>681</v>
      </c>
      <c r="F1680" s="1" t="s">
        <v>6361</v>
      </c>
      <c r="G1680" s="3" t="s">
        <v>3719</v>
      </c>
      <c r="H1680" s="11">
        <f t="shared" si="52"/>
        <v>41.22</v>
      </c>
      <c r="I1680" s="9">
        <f>($K$2+0.02)*Tabla1[[#This Row],[PRECIO $]]*1.18</f>
        <v>32.364449999999998</v>
      </c>
      <c r="J1680" s="7">
        <f>+Tabla1[[#This Row],[PRECIO EN SOLES]]-Tabla1[[#This Row],[PC]]</f>
        <v>8.8555500000000009</v>
      </c>
      <c r="K1680" s="15"/>
      <c r="L1680" s="15" t="str">
        <f t="shared" si="53"/>
        <v>NORMAL</v>
      </c>
    </row>
    <row r="1681" spans="1:12" x14ac:dyDescent="0.25">
      <c r="A1681" s="3" t="s">
        <v>3720</v>
      </c>
      <c r="B1681" s="3" t="s">
        <v>3721</v>
      </c>
      <c r="C1681" s="1">
        <v>20</v>
      </c>
      <c r="D1681" s="1">
        <v>7.95</v>
      </c>
      <c r="E1681" s="1" t="s">
        <v>681</v>
      </c>
      <c r="F1681" s="1" t="s">
        <v>6362</v>
      </c>
      <c r="G1681" s="3" t="s">
        <v>3722</v>
      </c>
      <c r="H1681" s="11">
        <f t="shared" si="52"/>
        <v>41.22</v>
      </c>
      <c r="I1681" s="9">
        <f>($K$2+0.02)*Tabla1[[#This Row],[PRECIO $]]*1.18</f>
        <v>32.364449999999998</v>
      </c>
      <c r="J1681" s="7">
        <f>+Tabla1[[#This Row],[PRECIO EN SOLES]]-Tabla1[[#This Row],[PC]]</f>
        <v>8.8555500000000009</v>
      </c>
      <c r="K1681" s="15"/>
      <c r="L1681" s="15" t="str">
        <f t="shared" si="53"/>
        <v>NORMAL</v>
      </c>
    </row>
    <row r="1682" spans="1:12" x14ac:dyDescent="0.25">
      <c r="A1682" s="3" t="s">
        <v>3723</v>
      </c>
      <c r="B1682" s="3" t="s">
        <v>3724</v>
      </c>
      <c r="C1682" s="1">
        <v>1</v>
      </c>
      <c r="D1682" s="1">
        <v>7.95</v>
      </c>
      <c r="E1682" s="1" t="s">
        <v>681</v>
      </c>
      <c r="F1682" s="1" t="s">
        <v>6363</v>
      </c>
      <c r="G1682" s="3" t="s">
        <v>3725</v>
      </c>
      <c r="H1682" s="11">
        <f t="shared" si="52"/>
        <v>41.22</v>
      </c>
      <c r="I1682" s="9">
        <f>($K$2+0.02)*Tabla1[[#This Row],[PRECIO $]]*1.18</f>
        <v>32.364449999999998</v>
      </c>
      <c r="J1682" s="7">
        <f>+Tabla1[[#This Row],[PRECIO EN SOLES]]-Tabla1[[#This Row],[PC]]</f>
        <v>8.8555500000000009</v>
      </c>
      <c r="K1682" s="15"/>
      <c r="L1682" s="15" t="str">
        <f t="shared" si="53"/>
        <v>NORMAL</v>
      </c>
    </row>
    <row r="1683" spans="1:12" x14ac:dyDescent="0.25">
      <c r="A1683" s="3" t="s">
        <v>7139</v>
      </c>
      <c r="B1683" s="3" t="s">
        <v>7140</v>
      </c>
      <c r="C1683" s="1">
        <v>20</v>
      </c>
      <c r="D1683" s="1">
        <v>16.72</v>
      </c>
      <c r="E1683" s="1" t="s">
        <v>681</v>
      </c>
      <c r="F1683" s="1" t="s">
        <v>7141</v>
      </c>
      <c r="G1683" s="3"/>
      <c r="H1683" s="11">
        <f t="shared" si="52"/>
        <v>82.28</v>
      </c>
      <c r="I1683" s="9">
        <f>($K$2+0.02)*Tabla1[[#This Row],[PRECIO $]]*1.18</f>
        <v>68.067119999999989</v>
      </c>
      <c r="J1683" s="7">
        <f>+Tabla1[[#This Row],[PRECIO EN SOLES]]-Tabla1[[#This Row],[PC]]</f>
        <v>14.212880000000013</v>
      </c>
      <c r="K1683" s="15"/>
      <c r="L1683" s="15" t="str">
        <f t="shared" si="53"/>
        <v>NORMAL</v>
      </c>
    </row>
    <row r="1684" spans="1:12" x14ac:dyDescent="0.25">
      <c r="A1684" s="3" t="s">
        <v>3726</v>
      </c>
      <c r="B1684" s="3" t="s">
        <v>3727</v>
      </c>
      <c r="C1684" s="1">
        <v>20</v>
      </c>
      <c r="D1684" s="1">
        <v>16.72</v>
      </c>
      <c r="E1684" s="1" t="s">
        <v>681</v>
      </c>
      <c r="F1684" s="1" t="s">
        <v>6364</v>
      </c>
      <c r="G1684" s="3"/>
      <c r="H1684" s="11">
        <f t="shared" si="52"/>
        <v>82.28</v>
      </c>
      <c r="I1684" s="9">
        <f>($K$2+0.02)*Tabla1[[#This Row],[PRECIO $]]*1.18</f>
        <v>68.067119999999989</v>
      </c>
      <c r="J1684" s="7">
        <f>+Tabla1[[#This Row],[PRECIO EN SOLES]]-Tabla1[[#This Row],[PC]]</f>
        <v>14.212880000000013</v>
      </c>
      <c r="K1684" s="15"/>
      <c r="L1684" s="15" t="str">
        <f t="shared" si="53"/>
        <v>NORMAL</v>
      </c>
    </row>
    <row r="1685" spans="1:12" x14ac:dyDescent="0.25">
      <c r="A1685" s="3" t="s">
        <v>3728</v>
      </c>
      <c r="B1685" s="3" t="s">
        <v>3729</v>
      </c>
      <c r="C1685" s="1">
        <v>20</v>
      </c>
      <c r="D1685" s="1">
        <v>16.72</v>
      </c>
      <c r="E1685" s="1" t="s">
        <v>681</v>
      </c>
      <c r="F1685" s="1" t="s">
        <v>6365</v>
      </c>
      <c r="G1685" s="3"/>
      <c r="H1685" s="11">
        <f t="shared" si="52"/>
        <v>82.28</v>
      </c>
      <c r="I1685" s="9">
        <f>($K$2+0.02)*Tabla1[[#This Row],[PRECIO $]]*1.18</f>
        <v>68.067119999999989</v>
      </c>
      <c r="J1685" s="7">
        <f>+Tabla1[[#This Row],[PRECIO EN SOLES]]-Tabla1[[#This Row],[PC]]</f>
        <v>14.212880000000013</v>
      </c>
      <c r="K1685" s="15"/>
      <c r="L1685" s="15" t="str">
        <f t="shared" si="53"/>
        <v>NORMAL</v>
      </c>
    </row>
    <row r="1686" spans="1:12" x14ac:dyDescent="0.25">
      <c r="A1686" s="3" t="s">
        <v>3730</v>
      </c>
      <c r="B1686" s="3" t="s">
        <v>3731</v>
      </c>
      <c r="C1686" s="1">
        <v>20</v>
      </c>
      <c r="D1686" s="1">
        <v>7.95</v>
      </c>
      <c r="E1686" s="1" t="s">
        <v>681</v>
      </c>
      <c r="F1686" s="1" t="s">
        <v>6366</v>
      </c>
      <c r="G1686" s="3" t="s">
        <v>3732</v>
      </c>
      <c r="H1686" s="11">
        <f t="shared" si="52"/>
        <v>41.22</v>
      </c>
      <c r="I1686" s="9">
        <f>($K$2+0.02)*Tabla1[[#This Row],[PRECIO $]]*1.18</f>
        <v>32.364449999999998</v>
      </c>
      <c r="J1686" s="7">
        <f>+Tabla1[[#This Row],[PRECIO EN SOLES]]-Tabla1[[#This Row],[PC]]</f>
        <v>8.8555500000000009</v>
      </c>
      <c r="K1686" s="15"/>
      <c r="L1686" s="15" t="str">
        <f t="shared" si="53"/>
        <v>NORMAL</v>
      </c>
    </row>
    <row r="1687" spans="1:12" x14ac:dyDescent="0.25">
      <c r="A1687" s="3" t="s">
        <v>6367</v>
      </c>
      <c r="B1687" s="3" t="s">
        <v>6368</v>
      </c>
      <c r="C1687" s="1">
        <v>20</v>
      </c>
      <c r="D1687" s="1">
        <v>7.95</v>
      </c>
      <c r="E1687" s="1" t="s">
        <v>681</v>
      </c>
      <c r="F1687" s="1" t="s">
        <v>6369</v>
      </c>
      <c r="G1687" s="3" t="s">
        <v>6370</v>
      </c>
      <c r="H1687" s="11">
        <f t="shared" si="52"/>
        <v>41.22</v>
      </c>
      <c r="I1687" s="9">
        <f>($K$2+0.02)*Tabla1[[#This Row],[PRECIO $]]*1.18</f>
        <v>32.364449999999998</v>
      </c>
      <c r="J1687" s="7">
        <f>+Tabla1[[#This Row],[PRECIO EN SOLES]]-Tabla1[[#This Row],[PC]]</f>
        <v>8.8555500000000009</v>
      </c>
      <c r="K1687" s="15"/>
      <c r="L1687" s="15" t="str">
        <f t="shared" si="53"/>
        <v>NORMAL</v>
      </c>
    </row>
    <row r="1688" spans="1:12" x14ac:dyDescent="0.25">
      <c r="A1688" s="3" t="s">
        <v>3733</v>
      </c>
      <c r="B1688" s="3" t="s">
        <v>3734</v>
      </c>
      <c r="C1688" s="1">
        <v>0</v>
      </c>
      <c r="D1688" s="1">
        <v>7.95</v>
      </c>
      <c r="E1688" s="1" t="s">
        <v>681</v>
      </c>
      <c r="F1688" s="1" t="s">
        <v>6371</v>
      </c>
      <c r="G1688" s="3" t="s">
        <v>3735</v>
      </c>
      <c r="H1688" s="11">
        <f t="shared" si="52"/>
        <v>41.22</v>
      </c>
      <c r="I1688" s="9">
        <f>($K$2+0.02)*Tabla1[[#This Row],[PRECIO $]]*1.18</f>
        <v>32.364449999999998</v>
      </c>
      <c r="J1688" s="7">
        <f>+Tabla1[[#This Row],[PRECIO EN SOLES]]-Tabla1[[#This Row],[PC]]</f>
        <v>8.8555500000000009</v>
      </c>
      <c r="K1688" s="15"/>
      <c r="L1688" s="15" t="str">
        <f t="shared" si="53"/>
        <v>NORMAL</v>
      </c>
    </row>
    <row r="1689" spans="1:12" x14ac:dyDescent="0.25">
      <c r="A1689" s="3" t="s">
        <v>3736</v>
      </c>
      <c r="B1689" s="3" t="s">
        <v>3737</v>
      </c>
      <c r="C1689" s="1">
        <v>0</v>
      </c>
      <c r="D1689" s="1">
        <v>7.95</v>
      </c>
      <c r="E1689" s="1" t="s">
        <v>681</v>
      </c>
      <c r="F1689" s="1" t="s">
        <v>6372</v>
      </c>
      <c r="G1689" s="3" t="s">
        <v>3738</v>
      </c>
      <c r="H1689" s="11">
        <f t="shared" si="52"/>
        <v>41.22</v>
      </c>
      <c r="I1689" s="9">
        <f>($K$2+0.02)*Tabla1[[#This Row],[PRECIO $]]*1.18</f>
        <v>32.364449999999998</v>
      </c>
      <c r="J1689" s="7">
        <f>+Tabla1[[#This Row],[PRECIO EN SOLES]]-Tabla1[[#This Row],[PC]]</f>
        <v>8.8555500000000009</v>
      </c>
      <c r="K1689" s="15"/>
      <c r="L1689" s="15" t="str">
        <f t="shared" si="53"/>
        <v>NORMAL</v>
      </c>
    </row>
    <row r="1690" spans="1:12" x14ac:dyDescent="0.25">
      <c r="A1690" s="3" t="s">
        <v>3739</v>
      </c>
      <c r="B1690" s="3" t="s">
        <v>3740</v>
      </c>
      <c r="C1690" s="1">
        <v>8</v>
      </c>
      <c r="D1690" s="1">
        <v>10.31</v>
      </c>
      <c r="E1690" s="1" t="s">
        <v>681</v>
      </c>
      <c r="F1690" s="1" t="s">
        <v>6373</v>
      </c>
      <c r="G1690" s="3" t="s">
        <v>3741</v>
      </c>
      <c r="H1690" s="11">
        <f t="shared" si="52"/>
        <v>52.27</v>
      </c>
      <c r="I1690" s="9">
        <f>($K$2+0.02)*Tabla1[[#This Row],[PRECIO $]]*1.18</f>
        <v>41.972010000000004</v>
      </c>
      <c r="J1690" s="7">
        <f>+Tabla1[[#This Row],[PRECIO EN SOLES]]-Tabla1[[#This Row],[PC]]</f>
        <v>10.297989999999999</v>
      </c>
      <c r="K1690" s="15"/>
      <c r="L1690" s="15" t="str">
        <f t="shared" si="53"/>
        <v>NORMAL</v>
      </c>
    </row>
    <row r="1691" spans="1:12" x14ac:dyDescent="0.25">
      <c r="A1691" s="3" t="s">
        <v>3742</v>
      </c>
      <c r="B1691" s="3" t="s">
        <v>3743</v>
      </c>
      <c r="C1691" s="1">
        <v>20</v>
      </c>
      <c r="D1691" s="1">
        <v>10.31</v>
      </c>
      <c r="E1691" s="1" t="s">
        <v>681</v>
      </c>
      <c r="F1691" s="1" t="s">
        <v>6374</v>
      </c>
      <c r="G1691" s="3" t="s">
        <v>3744</v>
      </c>
      <c r="H1691" s="11">
        <f t="shared" si="52"/>
        <v>52.27</v>
      </c>
      <c r="I1691" s="9">
        <f>($K$2+0.02)*Tabla1[[#This Row],[PRECIO $]]*1.18</f>
        <v>41.972010000000004</v>
      </c>
      <c r="J1691" s="7">
        <f>+Tabla1[[#This Row],[PRECIO EN SOLES]]-Tabla1[[#This Row],[PC]]</f>
        <v>10.297989999999999</v>
      </c>
      <c r="K1691" s="15"/>
      <c r="L1691" s="15" t="str">
        <f t="shared" si="53"/>
        <v>NORMAL</v>
      </c>
    </row>
    <row r="1692" spans="1:12" x14ac:dyDescent="0.25">
      <c r="A1692" s="3" t="s">
        <v>3745</v>
      </c>
      <c r="B1692" s="3" t="s">
        <v>3746</v>
      </c>
      <c r="C1692" s="1">
        <v>12</v>
      </c>
      <c r="D1692" s="1">
        <v>10.31</v>
      </c>
      <c r="E1692" s="1" t="s">
        <v>681</v>
      </c>
      <c r="F1692" s="1" t="s">
        <v>6375</v>
      </c>
      <c r="G1692" s="3" t="s">
        <v>3747</v>
      </c>
      <c r="H1692" s="11">
        <f t="shared" si="52"/>
        <v>52.27</v>
      </c>
      <c r="I1692" s="9">
        <f>($K$2+0.02)*Tabla1[[#This Row],[PRECIO $]]*1.18</f>
        <v>41.972010000000004</v>
      </c>
      <c r="J1692" s="7">
        <f>+Tabla1[[#This Row],[PRECIO EN SOLES]]-Tabla1[[#This Row],[PC]]</f>
        <v>10.297989999999999</v>
      </c>
      <c r="K1692" s="15"/>
      <c r="L1692" s="15" t="str">
        <f t="shared" si="53"/>
        <v>NORMAL</v>
      </c>
    </row>
    <row r="1693" spans="1:12" x14ac:dyDescent="0.25">
      <c r="A1693" s="3" t="s">
        <v>3748</v>
      </c>
      <c r="B1693" s="3" t="s">
        <v>3749</v>
      </c>
      <c r="C1693" s="1">
        <v>11</v>
      </c>
      <c r="D1693" s="1">
        <v>10.31</v>
      </c>
      <c r="E1693" s="1" t="s">
        <v>681</v>
      </c>
      <c r="F1693" s="1" t="s">
        <v>6376</v>
      </c>
      <c r="G1693" s="3" t="s">
        <v>3750</v>
      </c>
      <c r="H1693" s="11">
        <f t="shared" si="52"/>
        <v>52.27</v>
      </c>
      <c r="I1693" s="9">
        <f>($K$2+0.02)*Tabla1[[#This Row],[PRECIO $]]*1.18</f>
        <v>41.972010000000004</v>
      </c>
      <c r="J1693" s="7">
        <f>+Tabla1[[#This Row],[PRECIO EN SOLES]]-Tabla1[[#This Row],[PC]]</f>
        <v>10.297989999999999</v>
      </c>
      <c r="K1693" s="15"/>
      <c r="L1693" s="15" t="str">
        <f t="shared" si="53"/>
        <v>NORMAL</v>
      </c>
    </row>
    <row r="1694" spans="1:12" x14ac:dyDescent="0.25">
      <c r="A1694" s="3" t="s">
        <v>7142</v>
      </c>
      <c r="B1694" s="3" t="s">
        <v>7143</v>
      </c>
      <c r="C1694" s="1">
        <v>0</v>
      </c>
      <c r="D1694" s="1">
        <v>10.31</v>
      </c>
      <c r="E1694" s="1" t="s">
        <v>681</v>
      </c>
      <c r="F1694" s="1" t="s">
        <v>7144</v>
      </c>
      <c r="G1694" s="3" t="s">
        <v>7145</v>
      </c>
      <c r="H1694" s="11">
        <f t="shared" si="52"/>
        <v>52.27</v>
      </c>
      <c r="I1694" s="9">
        <f>($K$2+0.02)*Tabla1[[#This Row],[PRECIO $]]*1.18</f>
        <v>41.972010000000004</v>
      </c>
      <c r="J1694" s="7">
        <f>+Tabla1[[#This Row],[PRECIO EN SOLES]]-Tabla1[[#This Row],[PC]]</f>
        <v>10.297989999999999</v>
      </c>
      <c r="K1694" s="15"/>
      <c r="L1694" s="15" t="str">
        <f t="shared" si="53"/>
        <v>NORMAL</v>
      </c>
    </row>
    <row r="1695" spans="1:12" x14ac:dyDescent="0.25">
      <c r="A1695" s="3" t="s">
        <v>3751</v>
      </c>
      <c r="B1695" s="3" t="s">
        <v>3752</v>
      </c>
      <c r="C1695" s="1">
        <v>20</v>
      </c>
      <c r="D1695" s="1">
        <v>10.31</v>
      </c>
      <c r="E1695" s="1" t="s">
        <v>681</v>
      </c>
      <c r="F1695" s="1" t="s">
        <v>6377</v>
      </c>
      <c r="G1695" s="3" t="s">
        <v>3753</v>
      </c>
      <c r="H1695" s="11">
        <f t="shared" si="52"/>
        <v>52.27</v>
      </c>
      <c r="I1695" s="9">
        <f>($K$2+0.02)*Tabla1[[#This Row],[PRECIO $]]*1.18</f>
        <v>41.972010000000004</v>
      </c>
      <c r="J1695" s="7">
        <f>+Tabla1[[#This Row],[PRECIO EN SOLES]]-Tabla1[[#This Row],[PC]]</f>
        <v>10.297989999999999</v>
      </c>
      <c r="K1695" s="15"/>
      <c r="L1695" s="15" t="str">
        <f t="shared" si="53"/>
        <v>NORMAL</v>
      </c>
    </row>
    <row r="1696" spans="1:12" x14ac:dyDescent="0.25">
      <c r="A1696" s="3" t="s">
        <v>3754</v>
      </c>
      <c r="B1696" s="3" t="s">
        <v>3755</v>
      </c>
      <c r="C1696" s="1">
        <v>20</v>
      </c>
      <c r="D1696" s="1">
        <v>17.93</v>
      </c>
      <c r="E1696" s="1" t="s">
        <v>681</v>
      </c>
      <c r="F1696" s="1" t="s">
        <v>6378</v>
      </c>
      <c r="G1696" s="3" t="s">
        <v>3756</v>
      </c>
      <c r="H1696" s="11">
        <f t="shared" si="52"/>
        <v>87.94</v>
      </c>
      <c r="I1696" s="9">
        <f>($K$2+0.02)*Tabla1[[#This Row],[PRECIO $]]*1.18</f>
        <v>72.99302999999999</v>
      </c>
      <c r="J1696" s="7">
        <f>+Tabla1[[#This Row],[PRECIO EN SOLES]]-Tabla1[[#This Row],[PC]]</f>
        <v>14.946970000000007</v>
      </c>
      <c r="K1696" s="15"/>
      <c r="L1696" s="15" t="str">
        <f t="shared" si="53"/>
        <v>NORMAL</v>
      </c>
    </row>
    <row r="1697" spans="1:12" x14ac:dyDescent="0.25">
      <c r="A1697" s="3" t="s">
        <v>3757</v>
      </c>
      <c r="B1697" s="3" t="s">
        <v>3758</v>
      </c>
      <c r="C1697" s="1">
        <v>20</v>
      </c>
      <c r="D1697" s="1">
        <v>17.93</v>
      </c>
      <c r="E1697" s="1" t="s">
        <v>681</v>
      </c>
      <c r="F1697" s="1" t="s">
        <v>6379</v>
      </c>
      <c r="G1697" s="3" t="s">
        <v>3759</v>
      </c>
      <c r="H1697" s="11">
        <f t="shared" si="52"/>
        <v>87.94</v>
      </c>
      <c r="I1697" s="9">
        <f>($K$2+0.02)*Tabla1[[#This Row],[PRECIO $]]*1.18</f>
        <v>72.99302999999999</v>
      </c>
      <c r="J1697" s="7">
        <f>+Tabla1[[#This Row],[PRECIO EN SOLES]]-Tabla1[[#This Row],[PC]]</f>
        <v>14.946970000000007</v>
      </c>
      <c r="K1697" s="15"/>
      <c r="L1697" s="15" t="str">
        <f t="shared" si="53"/>
        <v>NORMAL</v>
      </c>
    </row>
    <row r="1698" spans="1:12" x14ac:dyDescent="0.25">
      <c r="A1698" s="3" t="s">
        <v>3760</v>
      </c>
      <c r="B1698" s="3" t="s">
        <v>3761</v>
      </c>
      <c r="C1698" s="1">
        <v>1</v>
      </c>
      <c r="D1698" s="1">
        <v>105</v>
      </c>
      <c r="E1698" s="1" t="s">
        <v>528</v>
      </c>
      <c r="F1698" s="1" t="s">
        <v>6380</v>
      </c>
      <c r="G1698" s="3"/>
      <c r="H1698" s="11">
        <f t="shared" si="52"/>
        <v>499.57</v>
      </c>
      <c r="I1698" s="9">
        <f>($K$2+0.02)*Tabla1[[#This Row],[PRECIO $]]*1.18</f>
        <v>427.45499999999998</v>
      </c>
      <c r="J1698" s="7">
        <f>+Tabla1[[#This Row],[PRECIO EN SOLES]]-Tabla1[[#This Row],[PC]]</f>
        <v>72.115000000000009</v>
      </c>
      <c r="K1698" s="15"/>
      <c r="L1698" s="15" t="str">
        <f t="shared" si="53"/>
        <v>NORMAL</v>
      </c>
    </row>
    <row r="1699" spans="1:12" x14ac:dyDescent="0.25">
      <c r="A1699" s="3" t="s">
        <v>3762</v>
      </c>
      <c r="B1699" s="3" t="s">
        <v>3763</v>
      </c>
      <c r="C1699" s="1">
        <v>4</v>
      </c>
      <c r="D1699" s="1">
        <v>107</v>
      </c>
      <c r="E1699" s="1" t="s">
        <v>528</v>
      </c>
      <c r="F1699" s="1" t="s">
        <v>6381</v>
      </c>
      <c r="G1699" s="3"/>
      <c r="H1699" s="11">
        <f t="shared" si="52"/>
        <v>508.94</v>
      </c>
      <c r="I1699" s="9">
        <f>($K$2+0.02)*Tabla1[[#This Row],[PRECIO $]]*1.18</f>
        <v>435.59700000000004</v>
      </c>
      <c r="J1699" s="7">
        <f>+Tabla1[[#This Row],[PRECIO EN SOLES]]-Tabla1[[#This Row],[PC]]</f>
        <v>73.342999999999961</v>
      </c>
      <c r="K1699" s="15"/>
      <c r="L1699" s="15" t="str">
        <f t="shared" si="53"/>
        <v>NORMAL</v>
      </c>
    </row>
    <row r="1700" spans="1:12" x14ac:dyDescent="0.25">
      <c r="A1700" s="3" t="s">
        <v>3764</v>
      </c>
      <c r="B1700" s="3" t="s">
        <v>3765</v>
      </c>
      <c r="C1700" s="1">
        <v>5</v>
      </c>
      <c r="D1700" s="1">
        <v>105</v>
      </c>
      <c r="E1700" s="1" t="s">
        <v>528</v>
      </c>
      <c r="F1700" s="1" t="s">
        <v>6382</v>
      </c>
      <c r="G1700" s="3"/>
      <c r="H1700" s="11">
        <f t="shared" si="52"/>
        <v>499.57</v>
      </c>
      <c r="I1700" s="9">
        <f>($K$2+0.02)*Tabla1[[#This Row],[PRECIO $]]*1.18</f>
        <v>427.45499999999998</v>
      </c>
      <c r="J1700" s="7">
        <f>+Tabla1[[#This Row],[PRECIO EN SOLES]]-Tabla1[[#This Row],[PC]]</f>
        <v>72.115000000000009</v>
      </c>
      <c r="K1700" s="15"/>
      <c r="L1700" s="15" t="str">
        <f t="shared" si="53"/>
        <v>NORMAL</v>
      </c>
    </row>
    <row r="1701" spans="1:12" x14ac:dyDescent="0.25">
      <c r="A1701" s="3" t="s">
        <v>3766</v>
      </c>
      <c r="B1701" s="3" t="s">
        <v>3767</v>
      </c>
      <c r="C1701" s="1">
        <v>12</v>
      </c>
      <c r="D1701" s="1">
        <v>38.299999999999997</v>
      </c>
      <c r="E1701" s="1" t="s">
        <v>528</v>
      </c>
      <c r="F1701" s="1" t="s">
        <v>6383</v>
      </c>
      <c r="G1701" s="3" t="s">
        <v>3768</v>
      </c>
      <c r="H1701" s="11">
        <f t="shared" si="52"/>
        <v>187.31</v>
      </c>
      <c r="I1701" s="9">
        <f>($K$2+0.02)*Tabla1[[#This Row],[PRECIO $]]*1.18</f>
        <v>155.91929999999999</v>
      </c>
      <c r="J1701" s="7">
        <f>+Tabla1[[#This Row],[PRECIO EN SOLES]]-Tabla1[[#This Row],[PC]]</f>
        <v>31.39070000000001</v>
      </c>
      <c r="K1701" s="15"/>
      <c r="L1701" s="15" t="str">
        <f t="shared" si="53"/>
        <v>NORMAL</v>
      </c>
    </row>
    <row r="1702" spans="1:12" x14ac:dyDescent="0.25">
      <c r="A1702" s="3" t="s">
        <v>3769</v>
      </c>
      <c r="B1702" s="3" t="s">
        <v>3770</v>
      </c>
      <c r="C1702" s="1">
        <v>0</v>
      </c>
      <c r="D1702" s="1">
        <v>40.5</v>
      </c>
      <c r="E1702" s="1" t="s">
        <v>528</v>
      </c>
      <c r="F1702" s="1" t="s">
        <v>6384</v>
      </c>
      <c r="G1702" s="3" t="s">
        <v>3771</v>
      </c>
      <c r="H1702" s="11">
        <f t="shared" si="52"/>
        <v>197.61</v>
      </c>
      <c r="I1702" s="9">
        <f>($K$2+0.02)*Tabla1[[#This Row],[PRECIO $]]*1.18</f>
        <v>164.87549999999999</v>
      </c>
      <c r="J1702" s="7">
        <f>+Tabla1[[#This Row],[PRECIO EN SOLES]]-Tabla1[[#This Row],[PC]]</f>
        <v>32.734500000000025</v>
      </c>
      <c r="K1702" s="15"/>
      <c r="L1702" s="15" t="str">
        <f t="shared" si="53"/>
        <v>NORMAL</v>
      </c>
    </row>
    <row r="1703" spans="1:12" x14ac:dyDescent="0.25">
      <c r="A1703" s="3" t="s">
        <v>3772</v>
      </c>
      <c r="B1703" s="3" t="s">
        <v>3773</v>
      </c>
      <c r="C1703" s="1">
        <v>9</v>
      </c>
      <c r="D1703" s="1">
        <v>114</v>
      </c>
      <c r="E1703" s="1" t="s">
        <v>528</v>
      </c>
      <c r="F1703" s="1" t="s">
        <v>6385</v>
      </c>
      <c r="G1703" s="3" t="s">
        <v>3774</v>
      </c>
      <c r="H1703" s="11">
        <f t="shared" si="52"/>
        <v>585.12</v>
      </c>
      <c r="I1703" s="9">
        <f>($K$2+0.02)*Tabla1[[#This Row],[PRECIO $]]*1.18</f>
        <v>464.09399999999999</v>
      </c>
      <c r="J1703" s="7">
        <f>+Tabla1[[#This Row],[PRECIO EN SOLES]]-Tabla1[[#This Row],[PC]]</f>
        <v>121.02600000000001</v>
      </c>
      <c r="K1703" s="15"/>
      <c r="L1703" s="15" t="str">
        <f t="shared" si="53"/>
        <v>COMPLEMENTO</v>
      </c>
    </row>
    <row r="1704" spans="1:12" x14ac:dyDescent="0.25">
      <c r="A1704" s="3" t="s">
        <v>7146</v>
      </c>
      <c r="B1704" s="3" t="s">
        <v>7147</v>
      </c>
      <c r="C1704" s="1">
        <v>18</v>
      </c>
      <c r="D1704" s="1">
        <v>3.7</v>
      </c>
      <c r="E1704" s="1" t="s">
        <v>528</v>
      </c>
      <c r="F1704" s="1" t="s">
        <v>7148</v>
      </c>
      <c r="G1704" s="3" t="s">
        <v>7149</v>
      </c>
      <c r="H1704" s="11">
        <f t="shared" si="52"/>
        <v>19.32</v>
      </c>
      <c r="I1704" s="9">
        <f>($K$2+0.02)*Tabla1[[#This Row],[PRECIO $]]*1.18</f>
        <v>15.0627</v>
      </c>
      <c r="J1704" s="7">
        <f>+Tabla1[[#This Row],[PRECIO EN SOLES]]-Tabla1[[#This Row],[PC]]</f>
        <v>4.2573000000000008</v>
      </c>
      <c r="K1704" s="15"/>
      <c r="L1704" s="15" t="str">
        <f t="shared" si="53"/>
        <v>NORMAL</v>
      </c>
    </row>
    <row r="1705" spans="1:12" x14ac:dyDescent="0.25">
      <c r="A1705" s="3" t="s">
        <v>3775</v>
      </c>
      <c r="B1705" s="3" t="s">
        <v>3776</v>
      </c>
      <c r="C1705" s="1">
        <v>20</v>
      </c>
      <c r="D1705" s="1">
        <v>2.1800000000000002</v>
      </c>
      <c r="E1705" s="1" t="s">
        <v>528</v>
      </c>
      <c r="F1705" s="1" t="s">
        <v>6386</v>
      </c>
      <c r="G1705" s="3" t="s">
        <v>3777</v>
      </c>
      <c r="H1705" s="11">
        <f t="shared" si="52"/>
        <v>12.21</v>
      </c>
      <c r="I1705" s="9">
        <f>($K$2+0.02)*Tabla1[[#This Row],[PRECIO $]]*1.18</f>
        <v>8.8747800000000012</v>
      </c>
      <c r="J1705" s="7">
        <f>+Tabla1[[#This Row],[PRECIO EN SOLES]]-Tabla1[[#This Row],[PC]]</f>
        <v>3.3352199999999996</v>
      </c>
      <c r="K1705" s="15"/>
      <c r="L1705" s="15" t="str">
        <f t="shared" si="53"/>
        <v>NORMAL</v>
      </c>
    </row>
    <row r="1706" spans="1:12" x14ac:dyDescent="0.25">
      <c r="A1706" s="3" t="s">
        <v>3778</v>
      </c>
      <c r="B1706" s="3" t="s">
        <v>3779</v>
      </c>
      <c r="C1706" s="1">
        <v>5</v>
      </c>
      <c r="D1706" s="1">
        <v>6.7</v>
      </c>
      <c r="E1706" s="1" t="s">
        <v>528</v>
      </c>
      <c r="F1706" s="1" t="s">
        <v>6387</v>
      </c>
      <c r="G1706" s="3" t="s">
        <v>3780</v>
      </c>
      <c r="H1706" s="11">
        <f t="shared" si="52"/>
        <v>33.369999999999997</v>
      </c>
      <c r="I1706" s="9">
        <f>($K$2+0.02)*Tabla1[[#This Row],[PRECIO $]]*1.18</f>
        <v>27.275700000000001</v>
      </c>
      <c r="J1706" s="7">
        <f>+Tabla1[[#This Row],[PRECIO EN SOLES]]-Tabla1[[#This Row],[PC]]</f>
        <v>6.0942999999999969</v>
      </c>
      <c r="K1706" s="15"/>
      <c r="L1706" s="15" t="str">
        <f t="shared" si="53"/>
        <v>NORMAL</v>
      </c>
    </row>
    <row r="1707" spans="1:12" x14ac:dyDescent="0.25">
      <c r="A1707" s="3" t="s">
        <v>3781</v>
      </c>
      <c r="B1707" s="3" t="s">
        <v>3782</v>
      </c>
      <c r="C1707" s="1">
        <v>20</v>
      </c>
      <c r="D1707" s="1">
        <v>24.2</v>
      </c>
      <c r="E1707" s="1" t="s">
        <v>528</v>
      </c>
      <c r="F1707" s="1" t="s">
        <v>6388</v>
      </c>
      <c r="G1707" s="3" t="s">
        <v>3783</v>
      </c>
      <c r="H1707" s="11">
        <f t="shared" si="52"/>
        <v>119.3</v>
      </c>
      <c r="I1707" s="9">
        <f>($K$2+0.02)*Tabla1[[#This Row],[PRECIO $]]*1.18</f>
        <v>98.518199999999993</v>
      </c>
      <c r="J1707" s="7">
        <f>+Tabla1[[#This Row],[PRECIO EN SOLES]]-Tabla1[[#This Row],[PC]]</f>
        <v>20.781800000000004</v>
      </c>
      <c r="K1707" s="15"/>
      <c r="L1707" s="15" t="str">
        <f t="shared" si="53"/>
        <v>NORMAL</v>
      </c>
    </row>
    <row r="1708" spans="1:12" x14ac:dyDescent="0.25">
      <c r="A1708" s="3" t="s">
        <v>3784</v>
      </c>
      <c r="B1708" s="3" t="s">
        <v>3785</v>
      </c>
      <c r="C1708" s="1">
        <v>20</v>
      </c>
      <c r="D1708" s="1">
        <v>6.4</v>
      </c>
      <c r="E1708" s="1" t="s">
        <v>528</v>
      </c>
      <c r="F1708" s="1" t="s">
        <v>6389</v>
      </c>
      <c r="G1708" s="3" t="s">
        <v>3786</v>
      </c>
      <c r="H1708" s="11">
        <f t="shared" si="52"/>
        <v>31.96</v>
      </c>
      <c r="I1708" s="9">
        <f>($K$2+0.02)*Tabla1[[#This Row],[PRECIO $]]*1.18</f>
        <v>26.054400000000001</v>
      </c>
      <c r="J1708" s="7">
        <f>+Tabla1[[#This Row],[PRECIO EN SOLES]]-Tabla1[[#This Row],[PC]]</f>
        <v>5.9055999999999997</v>
      </c>
      <c r="K1708" s="15"/>
      <c r="L1708" s="15" t="str">
        <f t="shared" si="53"/>
        <v>NORMAL</v>
      </c>
    </row>
    <row r="1709" spans="1:12" x14ac:dyDescent="0.25">
      <c r="A1709" s="3" t="s">
        <v>7150</v>
      </c>
      <c r="B1709" s="3" t="s">
        <v>7151</v>
      </c>
      <c r="C1709" s="1">
        <v>0</v>
      </c>
      <c r="D1709" s="1">
        <v>6.8</v>
      </c>
      <c r="E1709" s="1" t="s">
        <v>681</v>
      </c>
      <c r="F1709" s="1" t="s">
        <v>7152</v>
      </c>
      <c r="G1709" s="3"/>
      <c r="H1709" s="11">
        <f t="shared" si="52"/>
        <v>33.840000000000003</v>
      </c>
      <c r="I1709" s="9">
        <f>($K$2+0.02)*Tabla1[[#This Row],[PRECIO $]]*1.18</f>
        <v>27.6828</v>
      </c>
      <c r="J1709" s="7">
        <f>+Tabla1[[#This Row],[PRECIO EN SOLES]]-Tabla1[[#This Row],[PC]]</f>
        <v>6.1572000000000031</v>
      </c>
      <c r="K1709" s="15"/>
      <c r="L1709" s="15" t="str">
        <f t="shared" si="53"/>
        <v>NORMAL</v>
      </c>
    </row>
    <row r="1710" spans="1:12" x14ac:dyDescent="0.25">
      <c r="A1710" s="3" t="s">
        <v>3787</v>
      </c>
      <c r="B1710" s="3" t="s">
        <v>3788</v>
      </c>
      <c r="C1710" s="1">
        <v>5</v>
      </c>
      <c r="D1710" s="1">
        <v>28.5</v>
      </c>
      <c r="E1710" s="1" t="s">
        <v>528</v>
      </c>
      <c r="F1710" s="1" t="s">
        <v>6390</v>
      </c>
      <c r="G1710" s="3"/>
      <c r="H1710" s="11">
        <f t="shared" si="52"/>
        <v>139.43</v>
      </c>
      <c r="I1710" s="9">
        <f>($K$2+0.02)*Tabla1[[#This Row],[PRECIO $]]*1.18</f>
        <v>116.0235</v>
      </c>
      <c r="J1710" s="7">
        <f>+Tabla1[[#This Row],[PRECIO EN SOLES]]-Tabla1[[#This Row],[PC]]</f>
        <v>23.406500000000008</v>
      </c>
      <c r="K1710" s="15"/>
      <c r="L1710" s="15" t="str">
        <f t="shared" si="53"/>
        <v>NORMAL</v>
      </c>
    </row>
    <row r="1711" spans="1:12" x14ac:dyDescent="0.25">
      <c r="A1711" s="3" t="s">
        <v>3789</v>
      </c>
      <c r="B1711" s="3" t="s">
        <v>3790</v>
      </c>
      <c r="C1711" s="1">
        <v>8</v>
      </c>
      <c r="D1711" s="1">
        <v>28.5</v>
      </c>
      <c r="E1711" s="1" t="s">
        <v>528</v>
      </c>
      <c r="F1711" s="1" t="s">
        <v>6391</v>
      </c>
      <c r="G1711" s="3"/>
      <c r="H1711" s="11">
        <f t="shared" si="52"/>
        <v>139.43</v>
      </c>
      <c r="I1711" s="9">
        <f>($K$2+0.02)*Tabla1[[#This Row],[PRECIO $]]*1.18</f>
        <v>116.0235</v>
      </c>
      <c r="J1711" s="7">
        <f>+Tabla1[[#This Row],[PRECIO EN SOLES]]-Tabla1[[#This Row],[PC]]</f>
        <v>23.406500000000008</v>
      </c>
      <c r="K1711" s="15"/>
      <c r="L1711" s="15" t="str">
        <f t="shared" si="53"/>
        <v>NORMAL</v>
      </c>
    </row>
    <row r="1712" spans="1:12" x14ac:dyDescent="0.25">
      <c r="A1712" s="3" t="s">
        <v>3791</v>
      </c>
      <c r="B1712" s="3" t="s">
        <v>3792</v>
      </c>
      <c r="C1712" s="1">
        <v>8</v>
      </c>
      <c r="D1712" s="1">
        <v>28.5</v>
      </c>
      <c r="E1712" s="1" t="s">
        <v>528</v>
      </c>
      <c r="F1712" s="1" t="s">
        <v>6392</v>
      </c>
      <c r="G1712" s="3"/>
      <c r="H1712" s="11">
        <f t="shared" si="52"/>
        <v>139.43</v>
      </c>
      <c r="I1712" s="9">
        <f>($K$2+0.02)*Tabla1[[#This Row],[PRECIO $]]*1.18</f>
        <v>116.0235</v>
      </c>
      <c r="J1712" s="7">
        <f>+Tabla1[[#This Row],[PRECIO EN SOLES]]-Tabla1[[#This Row],[PC]]</f>
        <v>23.406500000000008</v>
      </c>
      <c r="K1712" s="15"/>
      <c r="L1712" s="15" t="str">
        <f t="shared" si="53"/>
        <v>NORMAL</v>
      </c>
    </row>
    <row r="1713" spans="1:12" x14ac:dyDescent="0.25">
      <c r="A1713" s="3" t="s">
        <v>3793</v>
      </c>
      <c r="B1713" s="3" t="s">
        <v>3794</v>
      </c>
      <c r="C1713" s="1">
        <v>8</v>
      </c>
      <c r="D1713" s="1">
        <v>28.5</v>
      </c>
      <c r="E1713" s="1" t="s">
        <v>528</v>
      </c>
      <c r="F1713" s="1" t="s">
        <v>6393</v>
      </c>
      <c r="G1713" s="3"/>
      <c r="H1713" s="11">
        <f t="shared" si="52"/>
        <v>139.43</v>
      </c>
      <c r="I1713" s="9">
        <f>($K$2+0.02)*Tabla1[[#This Row],[PRECIO $]]*1.18</f>
        <v>116.0235</v>
      </c>
      <c r="J1713" s="7">
        <f>+Tabla1[[#This Row],[PRECIO EN SOLES]]-Tabla1[[#This Row],[PC]]</f>
        <v>23.406500000000008</v>
      </c>
      <c r="K1713" s="15"/>
      <c r="L1713" s="15" t="str">
        <f t="shared" si="53"/>
        <v>NORMAL</v>
      </c>
    </row>
    <row r="1714" spans="1:12" x14ac:dyDescent="0.25">
      <c r="A1714" s="3" t="s">
        <v>3795</v>
      </c>
      <c r="B1714" s="3" t="s">
        <v>3796</v>
      </c>
      <c r="C1714" s="1">
        <v>10</v>
      </c>
      <c r="D1714" s="1">
        <v>28.4</v>
      </c>
      <c r="E1714" s="1" t="s">
        <v>528</v>
      </c>
      <c r="F1714" s="1" t="s">
        <v>6394</v>
      </c>
      <c r="G1714" s="3"/>
      <c r="H1714" s="11">
        <f t="shared" si="52"/>
        <v>138.96</v>
      </c>
      <c r="I1714" s="9">
        <f>($K$2+0.02)*Tabla1[[#This Row],[PRECIO $]]*1.18</f>
        <v>115.6164</v>
      </c>
      <c r="J1714" s="7">
        <f>+Tabla1[[#This Row],[PRECIO EN SOLES]]-Tabla1[[#This Row],[PC]]</f>
        <v>23.343600000000009</v>
      </c>
      <c r="K1714" s="15"/>
      <c r="L1714" s="15" t="str">
        <f t="shared" si="53"/>
        <v>NORMAL</v>
      </c>
    </row>
    <row r="1715" spans="1:12" x14ac:dyDescent="0.25">
      <c r="A1715" s="3" t="s">
        <v>3797</v>
      </c>
      <c r="B1715" s="3" t="s">
        <v>3798</v>
      </c>
      <c r="C1715" s="1">
        <v>20</v>
      </c>
      <c r="D1715" s="1">
        <v>35.299999999999997</v>
      </c>
      <c r="E1715" s="1" t="s">
        <v>528</v>
      </c>
      <c r="F1715" s="1" t="s">
        <v>6395</v>
      </c>
      <c r="G1715" s="3"/>
      <c r="H1715" s="11">
        <f t="shared" si="52"/>
        <v>171.26</v>
      </c>
      <c r="I1715" s="9">
        <f>($K$2+0.02)*Tabla1[[#This Row],[PRECIO $]]*1.18</f>
        <v>143.7063</v>
      </c>
      <c r="J1715" s="7">
        <f>+Tabla1[[#This Row],[PRECIO EN SOLES]]-Tabla1[[#This Row],[PC]]</f>
        <v>27.553699999999992</v>
      </c>
      <c r="K1715" s="15"/>
      <c r="L1715" s="15" t="str">
        <f t="shared" si="53"/>
        <v>NORMAL</v>
      </c>
    </row>
    <row r="1716" spans="1:12" x14ac:dyDescent="0.25">
      <c r="A1716" s="3" t="s">
        <v>3799</v>
      </c>
      <c r="B1716" s="3" t="s">
        <v>3800</v>
      </c>
      <c r="C1716" s="1">
        <v>20</v>
      </c>
      <c r="D1716" s="1">
        <v>35.299999999999997</v>
      </c>
      <c r="E1716" s="1" t="s">
        <v>528</v>
      </c>
      <c r="F1716" s="1" t="s">
        <v>6396</v>
      </c>
      <c r="G1716" s="3"/>
      <c r="H1716" s="11">
        <f t="shared" si="52"/>
        <v>171.26</v>
      </c>
      <c r="I1716" s="9">
        <f>($K$2+0.02)*Tabla1[[#This Row],[PRECIO $]]*1.18</f>
        <v>143.7063</v>
      </c>
      <c r="J1716" s="7">
        <f>+Tabla1[[#This Row],[PRECIO EN SOLES]]-Tabla1[[#This Row],[PC]]</f>
        <v>27.553699999999992</v>
      </c>
      <c r="K1716" s="15"/>
      <c r="L1716" s="15" t="str">
        <f t="shared" si="53"/>
        <v>NORMAL</v>
      </c>
    </row>
    <row r="1717" spans="1:12" x14ac:dyDescent="0.25">
      <c r="A1717" s="3" t="s">
        <v>3801</v>
      </c>
      <c r="B1717" s="3" t="s">
        <v>3802</v>
      </c>
      <c r="C1717" s="1">
        <v>20</v>
      </c>
      <c r="D1717" s="1">
        <v>35.299999999999997</v>
      </c>
      <c r="E1717" s="1" t="s">
        <v>528</v>
      </c>
      <c r="F1717" s="1" t="s">
        <v>6397</v>
      </c>
      <c r="G1717" s="3"/>
      <c r="H1717" s="11">
        <f t="shared" si="52"/>
        <v>171.26</v>
      </c>
      <c r="I1717" s="9">
        <f>($K$2+0.02)*Tabla1[[#This Row],[PRECIO $]]*1.18</f>
        <v>143.7063</v>
      </c>
      <c r="J1717" s="7">
        <f>+Tabla1[[#This Row],[PRECIO EN SOLES]]-Tabla1[[#This Row],[PC]]</f>
        <v>27.553699999999992</v>
      </c>
      <c r="K1717" s="15"/>
      <c r="L1717" s="15" t="str">
        <f t="shared" si="53"/>
        <v>NORMAL</v>
      </c>
    </row>
    <row r="1718" spans="1:12" x14ac:dyDescent="0.25">
      <c r="A1718" s="3" t="s">
        <v>3803</v>
      </c>
      <c r="B1718" s="3" t="s">
        <v>3804</v>
      </c>
      <c r="C1718" s="1">
        <v>20</v>
      </c>
      <c r="D1718" s="1">
        <v>35.299999999999997</v>
      </c>
      <c r="E1718" s="1" t="s">
        <v>528</v>
      </c>
      <c r="F1718" s="1" t="s">
        <v>6398</v>
      </c>
      <c r="G1718" s="3"/>
      <c r="H1718" s="11">
        <f t="shared" si="52"/>
        <v>171.26</v>
      </c>
      <c r="I1718" s="9">
        <f>($K$2+0.02)*Tabla1[[#This Row],[PRECIO $]]*1.18</f>
        <v>143.7063</v>
      </c>
      <c r="J1718" s="7">
        <f>+Tabla1[[#This Row],[PRECIO EN SOLES]]-Tabla1[[#This Row],[PC]]</f>
        <v>27.553699999999992</v>
      </c>
      <c r="K1718" s="15"/>
      <c r="L1718" s="15" t="str">
        <f t="shared" si="53"/>
        <v>NORMAL</v>
      </c>
    </row>
    <row r="1719" spans="1:12" x14ac:dyDescent="0.25">
      <c r="A1719" s="3" t="s">
        <v>3805</v>
      </c>
      <c r="B1719" s="3" t="s">
        <v>3806</v>
      </c>
      <c r="C1719" s="1">
        <v>10</v>
      </c>
      <c r="D1719" s="1">
        <v>36</v>
      </c>
      <c r="E1719" s="1" t="s">
        <v>528</v>
      </c>
      <c r="F1719" s="1" t="s">
        <v>6399</v>
      </c>
      <c r="G1719" s="3"/>
      <c r="H1719" s="11">
        <f t="shared" si="52"/>
        <v>174.54</v>
      </c>
      <c r="I1719" s="9">
        <f>($K$2+0.02)*Tabla1[[#This Row],[PRECIO $]]*1.18</f>
        <v>146.55599999999998</v>
      </c>
      <c r="J1719" s="7">
        <f>+Tabla1[[#This Row],[PRECIO EN SOLES]]-Tabla1[[#This Row],[PC]]</f>
        <v>27.984000000000009</v>
      </c>
      <c r="K1719" s="15"/>
      <c r="L1719" s="15" t="str">
        <f t="shared" si="53"/>
        <v>NORMAL</v>
      </c>
    </row>
    <row r="1720" spans="1:12" x14ac:dyDescent="0.25">
      <c r="A1720" s="3" t="s">
        <v>3807</v>
      </c>
      <c r="B1720" s="3" t="s">
        <v>3808</v>
      </c>
      <c r="C1720" s="1">
        <v>3</v>
      </c>
      <c r="D1720" s="1">
        <v>151.4</v>
      </c>
      <c r="E1720" s="1" t="s">
        <v>528</v>
      </c>
      <c r="F1720" s="1" t="s">
        <v>6400</v>
      </c>
      <c r="G1720" s="3"/>
      <c r="H1720" s="11">
        <f t="shared" si="52"/>
        <v>716.8</v>
      </c>
      <c r="I1720" s="9">
        <f>($K$2+0.02)*Tabla1[[#This Row],[PRECIO $]]*1.18</f>
        <v>616.34940000000006</v>
      </c>
      <c r="J1720" s="7">
        <f>+Tabla1[[#This Row],[PRECIO EN SOLES]]-Tabla1[[#This Row],[PC]]</f>
        <v>100.45059999999989</v>
      </c>
      <c r="K1720" s="15"/>
      <c r="L1720" s="15" t="str">
        <f t="shared" si="53"/>
        <v>NORMAL</v>
      </c>
    </row>
    <row r="1721" spans="1:12" x14ac:dyDescent="0.25">
      <c r="A1721" s="3" t="s">
        <v>3809</v>
      </c>
      <c r="B1721" s="3" t="s">
        <v>3810</v>
      </c>
      <c r="C1721" s="1">
        <v>12</v>
      </c>
      <c r="D1721" s="1">
        <v>117</v>
      </c>
      <c r="E1721" s="1" t="s">
        <v>528</v>
      </c>
      <c r="F1721" s="1" t="s">
        <v>6401</v>
      </c>
      <c r="G1721" s="3"/>
      <c r="H1721" s="11">
        <f t="shared" si="52"/>
        <v>555.75</v>
      </c>
      <c r="I1721" s="9">
        <f>($K$2+0.02)*Tabla1[[#This Row],[PRECIO $]]*1.18</f>
        <v>476.30700000000002</v>
      </c>
      <c r="J1721" s="7">
        <f>+Tabla1[[#This Row],[PRECIO EN SOLES]]-Tabla1[[#This Row],[PC]]</f>
        <v>79.442999999999984</v>
      </c>
      <c r="K1721" s="15"/>
      <c r="L1721" s="15" t="str">
        <f t="shared" si="53"/>
        <v>NORMAL</v>
      </c>
    </row>
    <row r="1722" spans="1:12" x14ac:dyDescent="0.25">
      <c r="A1722" s="3" t="s">
        <v>3811</v>
      </c>
      <c r="B1722" s="3" t="s">
        <v>3812</v>
      </c>
      <c r="C1722" s="1">
        <v>0</v>
      </c>
      <c r="D1722" s="1">
        <v>93.42</v>
      </c>
      <c r="E1722" s="1" t="s">
        <v>528</v>
      </c>
      <c r="F1722" s="1" t="s">
        <v>6402</v>
      </c>
      <c r="G1722" s="3" t="s">
        <v>3813</v>
      </c>
      <c r="H1722" s="11">
        <f t="shared" si="52"/>
        <v>445.36</v>
      </c>
      <c r="I1722" s="9">
        <f>($K$2+0.02)*Tabla1[[#This Row],[PRECIO $]]*1.18</f>
        <v>380.31282000000004</v>
      </c>
      <c r="J1722" s="7">
        <f>+Tabla1[[#This Row],[PRECIO EN SOLES]]-Tabla1[[#This Row],[PC]]</f>
        <v>65.047179999999969</v>
      </c>
      <c r="K1722" s="15"/>
      <c r="L1722" s="15" t="str">
        <f t="shared" si="53"/>
        <v>NORMAL</v>
      </c>
    </row>
    <row r="1723" spans="1:12" x14ac:dyDescent="0.25">
      <c r="A1723" s="3" t="s">
        <v>3814</v>
      </c>
      <c r="B1723" s="3" t="s">
        <v>3815</v>
      </c>
      <c r="C1723" s="1">
        <v>20</v>
      </c>
      <c r="D1723" s="1">
        <v>15</v>
      </c>
      <c r="E1723" s="1" t="s">
        <v>3816</v>
      </c>
      <c r="F1723" s="1" t="s">
        <v>6403</v>
      </c>
      <c r="G1723" s="3" t="s">
        <v>3817</v>
      </c>
      <c r="H1723" s="11">
        <f t="shared" si="52"/>
        <v>74.22</v>
      </c>
      <c r="I1723" s="9">
        <f>($K$2+0.02)*Tabla1[[#This Row],[PRECIO $]]*1.18</f>
        <v>61.064999999999998</v>
      </c>
      <c r="J1723" s="7">
        <f>+Tabla1[[#This Row],[PRECIO EN SOLES]]-Tabla1[[#This Row],[PC]]</f>
        <v>13.155000000000001</v>
      </c>
      <c r="K1723" s="15"/>
      <c r="L1723" s="15" t="str">
        <f t="shared" si="53"/>
        <v>NORMAL</v>
      </c>
    </row>
    <row r="1724" spans="1:12" x14ac:dyDescent="0.25">
      <c r="A1724" s="3" t="s">
        <v>3818</v>
      </c>
      <c r="B1724" s="3" t="s">
        <v>3819</v>
      </c>
      <c r="C1724" s="1">
        <v>12</v>
      </c>
      <c r="D1724" s="1">
        <v>16.8</v>
      </c>
      <c r="E1724" s="1" t="s">
        <v>528</v>
      </c>
      <c r="F1724" s="1" t="s">
        <v>6404</v>
      </c>
      <c r="G1724" s="3" t="s">
        <v>3820</v>
      </c>
      <c r="H1724" s="11">
        <f t="shared" si="52"/>
        <v>82.65</v>
      </c>
      <c r="I1724" s="9">
        <f>($K$2+0.02)*Tabla1[[#This Row],[PRECIO $]]*1.18</f>
        <v>68.392800000000008</v>
      </c>
      <c r="J1724" s="7">
        <f>+Tabla1[[#This Row],[PRECIO EN SOLES]]-Tabla1[[#This Row],[PC]]</f>
        <v>14.257199999999997</v>
      </c>
      <c r="K1724" s="15"/>
      <c r="L1724" s="15" t="str">
        <f t="shared" si="53"/>
        <v>NORMAL</v>
      </c>
    </row>
    <row r="1725" spans="1:12" x14ac:dyDescent="0.25">
      <c r="A1725" s="3" t="s">
        <v>3821</v>
      </c>
      <c r="B1725" s="3" t="s">
        <v>3822</v>
      </c>
      <c r="C1725" s="1">
        <v>1</v>
      </c>
      <c r="D1725" s="1">
        <v>16.75</v>
      </c>
      <c r="E1725" s="1" t="s">
        <v>528</v>
      </c>
      <c r="F1725" s="1" t="s">
        <v>6405</v>
      </c>
      <c r="G1725" s="3" t="s">
        <v>3823</v>
      </c>
      <c r="H1725" s="11">
        <f t="shared" si="52"/>
        <v>82.42</v>
      </c>
      <c r="I1725" s="9">
        <f>($K$2+0.02)*Tabla1[[#This Row],[PRECIO $]]*1.18</f>
        <v>68.189250000000001</v>
      </c>
      <c r="J1725" s="7">
        <f>+Tabla1[[#This Row],[PRECIO EN SOLES]]-Tabla1[[#This Row],[PC]]</f>
        <v>14.23075</v>
      </c>
      <c r="K1725" s="15"/>
      <c r="L1725" s="15" t="str">
        <f t="shared" si="53"/>
        <v>NORMAL</v>
      </c>
    </row>
    <row r="1726" spans="1:12" x14ac:dyDescent="0.25">
      <c r="A1726" s="3" t="s">
        <v>3824</v>
      </c>
      <c r="B1726" s="3" t="s">
        <v>3825</v>
      </c>
      <c r="C1726" s="1">
        <v>2</v>
      </c>
      <c r="D1726" s="1">
        <v>16.75</v>
      </c>
      <c r="E1726" s="1" t="s">
        <v>528</v>
      </c>
      <c r="F1726" s="1" t="s">
        <v>6406</v>
      </c>
      <c r="G1726" s="3" t="s">
        <v>3826</v>
      </c>
      <c r="H1726" s="11">
        <f t="shared" si="52"/>
        <v>82.42</v>
      </c>
      <c r="I1726" s="9">
        <f>($K$2+0.02)*Tabla1[[#This Row],[PRECIO $]]*1.18</f>
        <v>68.189250000000001</v>
      </c>
      <c r="J1726" s="7">
        <f>+Tabla1[[#This Row],[PRECIO EN SOLES]]-Tabla1[[#This Row],[PC]]</f>
        <v>14.23075</v>
      </c>
      <c r="K1726" s="15"/>
      <c r="L1726" s="15" t="str">
        <f t="shared" si="53"/>
        <v>NORMAL</v>
      </c>
    </row>
    <row r="1727" spans="1:12" x14ac:dyDescent="0.25">
      <c r="A1727" s="3" t="s">
        <v>3827</v>
      </c>
      <c r="B1727" s="3" t="s">
        <v>3828</v>
      </c>
      <c r="C1727" s="1">
        <v>2</v>
      </c>
      <c r="D1727" s="1">
        <v>16.75</v>
      </c>
      <c r="E1727" s="1" t="s">
        <v>528</v>
      </c>
      <c r="F1727" s="1" t="s">
        <v>6407</v>
      </c>
      <c r="G1727" s="3" t="s">
        <v>3829</v>
      </c>
      <c r="H1727" s="11">
        <f t="shared" si="52"/>
        <v>82.42</v>
      </c>
      <c r="I1727" s="9">
        <f>($K$2+0.02)*Tabla1[[#This Row],[PRECIO $]]*1.18</f>
        <v>68.189250000000001</v>
      </c>
      <c r="J1727" s="7">
        <f>+Tabla1[[#This Row],[PRECIO EN SOLES]]-Tabla1[[#This Row],[PC]]</f>
        <v>14.23075</v>
      </c>
      <c r="K1727" s="15"/>
      <c r="L1727" s="15" t="str">
        <f t="shared" si="53"/>
        <v>NORMAL</v>
      </c>
    </row>
    <row r="1728" spans="1:12" x14ac:dyDescent="0.25">
      <c r="A1728" s="3" t="s">
        <v>3830</v>
      </c>
      <c r="B1728" s="3" t="s">
        <v>3831</v>
      </c>
      <c r="C1728" s="1">
        <v>14</v>
      </c>
      <c r="D1728" s="1">
        <v>20.399999999999999</v>
      </c>
      <c r="E1728" s="1" t="s">
        <v>122</v>
      </c>
      <c r="F1728" s="1" t="s">
        <v>6408</v>
      </c>
      <c r="G1728" s="3" t="s">
        <v>3832</v>
      </c>
      <c r="H1728" s="11">
        <f t="shared" si="52"/>
        <v>107.81</v>
      </c>
      <c r="I1728" s="9">
        <f>($K$2+0.02)*Tabla1[[#This Row],[PRECIO $]]*1.18</f>
        <v>83.048399999999987</v>
      </c>
      <c r="J1728" s="7">
        <f>+Tabla1[[#This Row],[PRECIO EN SOLES]]-Tabla1[[#This Row],[PC]]</f>
        <v>24.761600000000016</v>
      </c>
      <c r="K1728" s="15"/>
      <c r="L1728" s="15" t="str">
        <f t="shared" si="53"/>
        <v>COMPLEMENTO</v>
      </c>
    </row>
    <row r="1729" spans="1:12" x14ac:dyDescent="0.25">
      <c r="A1729" s="3" t="s">
        <v>7153</v>
      </c>
      <c r="B1729" s="3" t="s">
        <v>7154</v>
      </c>
      <c r="C1729" s="1">
        <v>0</v>
      </c>
      <c r="D1729" s="1">
        <v>15.1</v>
      </c>
      <c r="E1729" s="1" t="s">
        <v>122</v>
      </c>
      <c r="F1729" s="1" t="s">
        <v>7155</v>
      </c>
      <c r="G1729" s="3" t="s">
        <v>7156</v>
      </c>
      <c r="H1729" s="11">
        <f t="shared" si="52"/>
        <v>80.84</v>
      </c>
      <c r="I1729" s="9">
        <f>($K$2+0.02)*Tabla1[[#This Row],[PRECIO $]]*1.18</f>
        <v>61.472099999999998</v>
      </c>
      <c r="J1729" s="7">
        <f>+Tabla1[[#This Row],[PRECIO EN SOLES]]-Tabla1[[#This Row],[PC]]</f>
        <v>19.367900000000006</v>
      </c>
      <c r="K1729" s="15"/>
      <c r="L1729" s="15" t="str">
        <f t="shared" si="53"/>
        <v>COMPLEMENTO</v>
      </c>
    </row>
    <row r="1730" spans="1:12" x14ac:dyDescent="0.25">
      <c r="A1730" s="3" t="s">
        <v>3833</v>
      </c>
      <c r="B1730" s="3" t="s">
        <v>3834</v>
      </c>
      <c r="C1730" s="1">
        <v>20</v>
      </c>
      <c r="D1730" s="1">
        <v>23</v>
      </c>
      <c r="E1730" s="1" t="s">
        <v>122</v>
      </c>
      <c r="F1730" s="1" t="s">
        <v>6409</v>
      </c>
      <c r="G1730" s="3" t="s">
        <v>3835</v>
      </c>
      <c r="H1730" s="11">
        <f t="shared" ref="H1730:H1793" si="54">ROUND(
IF(L1730="GANCHO",
   IF(I1730&lt;=50,I1730*1.1+4,IF(I1730&lt;=120,I1730*1.1+7,IF(I1730&lt;=250,I1730*1.1+11,I1730*1.1+19))),
IF(L1730="NORMAL",
   IF(I1730&lt;=30,I1730*1.15+2,IF(I1730&lt;=80,I1730*1.15+4,IF(I1730&lt;=150,I1730*1.15+6,I1730*1.15+8))),
IF(L1730="COMPLEMENTO",
   IF(I1730&lt;=25,I1730*1.25+1.5,IF(I1730&lt;=60,I1730*1.25+3,IF(I1730&lt;=120,I1730*1.25+4,I1730*1.25+5))),
""))),2)</f>
        <v>121.04</v>
      </c>
      <c r="I1730" s="9">
        <f>($K$2+0.02)*Tabla1[[#This Row],[PRECIO $]]*1.18</f>
        <v>93.63300000000001</v>
      </c>
      <c r="J1730" s="7">
        <f>+Tabla1[[#This Row],[PRECIO EN SOLES]]-Tabla1[[#This Row],[PC]]</f>
        <v>27.406999999999996</v>
      </c>
      <c r="K1730" s="15"/>
      <c r="L1730" s="15" t="str">
        <f t="shared" si="53"/>
        <v>COMPLEMENTO</v>
      </c>
    </row>
    <row r="1731" spans="1:12" x14ac:dyDescent="0.25">
      <c r="A1731" s="3" t="s">
        <v>3836</v>
      </c>
      <c r="B1731" s="3" t="s">
        <v>3837</v>
      </c>
      <c r="C1731" s="1">
        <v>20</v>
      </c>
      <c r="D1731" s="1">
        <v>57</v>
      </c>
      <c r="E1731" s="1" t="s">
        <v>122</v>
      </c>
      <c r="F1731" s="1" t="s">
        <v>6410</v>
      </c>
      <c r="G1731" s="3" t="s">
        <v>3838</v>
      </c>
      <c r="H1731" s="11">
        <f t="shared" si="54"/>
        <v>274.85000000000002</v>
      </c>
      <c r="I1731" s="9">
        <f>($K$2+0.02)*Tabla1[[#This Row],[PRECIO $]]*1.18</f>
        <v>232.047</v>
      </c>
      <c r="J1731" s="7">
        <f>+Tabla1[[#This Row],[PRECIO EN SOLES]]-Tabla1[[#This Row],[PC]]</f>
        <v>42.803000000000026</v>
      </c>
      <c r="K1731" s="15"/>
      <c r="L1731" s="15" t="str">
        <f t="shared" ref="L1731:L1794" si="55">IF(
OR(
ISNUMBER(SEARCH("BACKPACK",B1731)),
ISNUMBER(SEARCH("MOCHILA",B1731)),
ISNUMBER(SEARCH("FUNDA",B1731)),
ISNUMBER(SEARCH("ESTUCHE",B1731)),
ISNUMBER(SEARCH("BOOK COVER",B1731)),
ISNUMBER(SEARCH("KEYBOARD PARA TABLET",B1731)),
ISNUMBER(SEARCH("FLIP TABLET",B1731)),
ISNUMBER(SEARCH("CASE FOR TABLET",B1731)),
ISNUMBER(SEARCH("CABLE",B1731)),
ISNUMBER(SEARCH("ADAPTADOR",B1731)),
ISNUMBER(SEARCH("HUB",B1731)),
ISNUMBER(SEARCH("DOCK",B1731)),
ISNUMBER(SEARCH("MOUSE PAD",B1731)),
ISNUMBER(SEARCH("MOUSEPAD",B1731)),
ISNUMBER(SEARCH("SOPORTE",B1731)),
ISNUMBER(SEARCH("STAND",B1731)),
ISNUMBER(SEARCH("TRAVEL ADAPTER",B1731)),
ISNUMBER(SEARCH("RJ45",B1731)),
ISNUMBER(SEARCH("USB-C",B1731)),
ISNUMBER(SEARCH("USB WIFI",B1731)),
ISNUMBER(SEARCH("POWERBANK",B1731)),
ISNUMBER(SEARCH("CARGADOR",B1731)),
ISNUMBER(SEARCH("COOLER PARA NB",B1731)),
ISNUMBER(SEARCH("SOPORTE PARA NB",B1731)),
ISNUMBER(SEARCH("WEBCAM",B1731)),
ISNUMBER(SEARCH("WEB CAM",B1731)),
ISNUMBER(SEARCH("MOUSE",B1731)),
ISNUMBER(SEARCH("TECLADO",B1731))
),
"COMPLEMENTO",
IF(
OR(
LEFT(A1731,2)="NB",
LEFT(A1731,2)="PC",
LEFT(A1731,2)="WS",
LEFT(A1731,2)="TB",
LEFT(A1731,3)="CEL",
LEFT(A1731,3)="MON",
LEFT(A1731,3)="PRE",
LEFT(A1731,3)="PRH",
ISNUMBER(SEARCH("NOTEBOOK",B1731)),
ISNUMBER(SEARCH("LAPTOP",B1731)),
ISNUMBER(SEARCH("MONITOR",B1731)),
ISNUMBER(SEARCH("TABLET",B1731)),
ISNUMBER(SEARCH("SMARTPH",B1731)),
ISNUMBER(SEARCH("IMPRESORA",B1731)),
ISNUMBER(SEARCH("MULTIFUNCIONAL",B1731)),
ISNUMBER(SEARCH("AIO",B1731))
),
"GANCHO",
"NORMAL"
)
)</f>
        <v>NORMAL</v>
      </c>
    </row>
    <row r="1732" spans="1:12" x14ac:dyDescent="0.25">
      <c r="A1732" s="3" t="s">
        <v>3839</v>
      </c>
      <c r="B1732" s="3" t="s">
        <v>3831</v>
      </c>
      <c r="C1732" s="1">
        <v>0</v>
      </c>
      <c r="D1732" s="1">
        <v>999</v>
      </c>
      <c r="E1732" s="1" t="s">
        <v>242</v>
      </c>
      <c r="F1732" s="1" t="s">
        <v>6411</v>
      </c>
      <c r="G1732" s="3"/>
      <c r="H1732" s="11">
        <f t="shared" si="54"/>
        <v>5088.66</v>
      </c>
      <c r="I1732" s="9">
        <f>($K$2+0.02)*Tabla1[[#This Row],[PRECIO $]]*1.18</f>
        <v>4066.9290000000001</v>
      </c>
      <c r="J1732" s="7">
        <f>+Tabla1[[#This Row],[PRECIO EN SOLES]]-Tabla1[[#This Row],[PC]]</f>
        <v>1021.7309999999998</v>
      </c>
      <c r="K1732" s="15"/>
      <c r="L1732" s="15" t="str">
        <f t="shared" si="55"/>
        <v>COMPLEMENTO</v>
      </c>
    </row>
    <row r="1733" spans="1:12" x14ac:dyDescent="0.25">
      <c r="A1733" s="3" t="s">
        <v>3840</v>
      </c>
      <c r="B1733" s="3" t="s">
        <v>3841</v>
      </c>
      <c r="C1733" s="1">
        <v>0</v>
      </c>
      <c r="D1733" s="1">
        <v>13</v>
      </c>
      <c r="E1733" s="1" t="s">
        <v>126</v>
      </c>
      <c r="F1733" s="1" t="s">
        <v>6412</v>
      </c>
      <c r="G1733" s="3"/>
      <c r="H1733" s="11">
        <f t="shared" si="54"/>
        <v>64.86</v>
      </c>
      <c r="I1733" s="9">
        <f>($K$2+0.02)*Tabla1[[#This Row],[PRECIO $]]*1.18</f>
        <v>52.923000000000002</v>
      </c>
      <c r="J1733" s="7">
        <f>+Tabla1[[#This Row],[PRECIO EN SOLES]]-Tabla1[[#This Row],[PC]]</f>
        <v>11.936999999999998</v>
      </c>
      <c r="K1733" s="15"/>
      <c r="L1733" s="15" t="str">
        <f t="shared" si="55"/>
        <v>NORMAL</v>
      </c>
    </row>
    <row r="1734" spans="1:12" x14ac:dyDescent="0.25">
      <c r="A1734" s="3" t="s">
        <v>3842</v>
      </c>
      <c r="B1734" s="3" t="s">
        <v>3843</v>
      </c>
      <c r="C1734" s="1">
        <v>20</v>
      </c>
      <c r="D1734" s="1">
        <v>97</v>
      </c>
      <c r="E1734" s="1" t="s">
        <v>131</v>
      </c>
      <c r="F1734" s="1" t="s">
        <v>6413</v>
      </c>
      <c r="G1734" s="3" t="s">
        <v>3844</v>
      </c>
      <c r="H1734" s="11">
        <f t="shared" si="54"/>
        <v>453.38</v>
      </c>
      <c r="I1734" s="9">
        <f>($K$2+0.02)*Tabla1[[#This Row],[PRECIO $]]*1.18</f>
        <v>394.887</v>
      </c>
      <c r="J1734" s="7">
        <f>+Tabla1[[#This Row],[PRECIO EN SOLES]]-Tabla1[[#This Row],[PC]]</f>
        <v>58.492999999999995</v>
      </c>
      <c r="K1734" s="15"/>
      <c r="L1734" s="15" t="str">
        <f t="shared" si="55"/>
        <v>GANCHO</v>
      </c>
    </row>
    <row r="1735" spans="1:12" x14ac:dyDescent="0.25">
      <c r="A1735" s="3" t="s">
        <v>3845</v>
      </c>
      <c r="B1735" s="3" t="s">
        <v>3846</v>
      </c>
      <c r="C1735" s="1">
        <v>14</v>
      </c>
      <c r="D1735" s="1">
        <v>147</v>
      </c>
      <c r="E1735" s="1" t="s">
        <v>131</v>
      </c>
      <c r="F1735" s="1" t="s">
        <v>6414</v>
      </c>
      <c r="G1735" s="3" t="s">
        <v>3847</v>
      </c>
      <c r="H1735" s="11">
        <f t="shared" si="54"/>
        <v>677.28</v>
      </c>
      <c r="I1735" s="9">
        <f>($K$2+0.02)*Tabla1[[#This Row],[PRECIO $]]*1.18</f>
        <v>598.43700000000001</v>
      </c>
      <c r="J1735" s="7">
        <f>+Tabla1[[#This Row],[PRECIO EN SOLES]]-Tabla1[[#This Row],[PC]]</f>
        <v>78.842999999999961</v>
      </c>
      <c r="K1735" s="15"/>
      <c r="L1735" s="15" t="str">
        <f t="shared" si="55"/>
        <v>GANCHO</v>
      </c>
    </row>
    <row r="1736" spans="1:12" x14ac:dyDescent="0.25">
      <c r="A1736" s="3" t="s">
        <v>3848</v>
      </c>
      <c r="B1736" s="3" t="s">
        <v>3846</v>
      </c>
      <c r="C1736" s="1">
        <v>20</v>
      </c>
      <c r="D1736" s="1">
        <v>107</v>
      </c>
      <c r="E1736" s="1" t="s">
        <v>131</v>
      </c>
      <c r="F1736" s="1" t="s">
        <v>6415</v>
      </c>
      <c r="G1736" s="3" t="s">
        <v>3849</v>
      </c>
      <c r="H1736" s="11">
        <f t="shared" si="54"/>
        <v>498.16</v>
      </c>
      <c r="I1736" s="9">
        <f>($K$2+0.02)*Tabla1[[#This Row],[PRECIO $]]*1.18</f>
        <v>435.59700000000004</v>
      </c>
      <c r="J1736" s="7">
        <f>+Tabla1[[#This Row],[PRECIO EN SOLES]]-Tabla1[[#This Row],[PC]]</f>
        <v>62.562999999999988</v>
      </c>
      <c r="K1736" s="15"/>
      <c r="L1736" s="15" t="str">
        <f t="shared" si="55"/>
        <v>GANCHO</v>
      </c>
    </row>
    <row r="1737" spans="1:12" x14ac:dyDescent="0.25">
      <c r="A1737" s="3" t="s">
        <v>3850</v>
      </c>
      <c r="B1737" s="3" t="s">
        <v>3851</v>
      </c>
      <c r="C1737" s="1">
        <v>8</v>
      </c>
      <c r="D1737" s="1">
        <v>109</v>
      </c>
      <c r="E1737" s="1" t="s">
        <v>131</v>
      </c>
      <c r="F1737" s="1" t="s">
        <v>6416</v>
      </c>
      <c r="G1737" s="3" t="s">
        <v>3852</v>
      </c>
      <c r="H1737" s="11">
        <f t="shared" si="54"/>
        <v>507.11</v>
      </c>
      <c r="I1737" s="9">
        <f>($K$2+0.02)*Tabla1[[#This Row],[PRECIO $]]*1.18</f>
        <v>443.73899999999998</v>
      </c>
      <c r="J1737" s="7">
        <f>+Tabla1[[#This Row],[PRECIO EN SOLES]]-Tabla1[[#This Row],[PC]]</f>
        <v>63.371000000000038</v>
      </c>
      <c r="K1737" s="15"/>
      <c r="L1737" s="15" t="str">
        <f t="shared" si="55"/>
        <v>GANCHO</v>
      </c>
    </row>
    <row r="1738" spans="1:12" x14ac:dyDescent="0.25">
      <c r="A1738" s="3" t="s">
        <v>3853</v>
      </c>
      <c r="B1738" s="3" t="s">
        <v>3854</v>
      </c>
      <c r="C1738" s="1">
        <v>20</v>
      </c>
      <c r="D1738" s="1">
        <v>243</v>
      </c>
      <c r="E1738" s="1" t="s">
        <v>261</v>
      </c>
      <c r="F1738" s="1" t="s">
        <v>6417</v>
      </c>
      <c r="G1738" s="3" t="s">
        <v>3855</v>
      </c>
      <c r="H1738" s="11">
        <f t="shared" si="54"/>
        <v>1107.18</v>
      </c>
      <c r="I1738" s="9">
        <f>($K$2+0.02)*Tabla1[[#This Row],[PRECIO $]]*1.18</f>
        <v>989.25299999999993</v>
      </c>
      <c r="J1738" s="7">
        <f>+Tabla1[[#This Row],[PRECIO EN SOLES]]-Tabla1[[#This Row],[PC]]</f>
        <v>117.92700000000013</v>
      </c>
      <c r="K1738" s="15"/>
      <c r="L1738" s="15" t="str">
        <f t="shared" si="55"/>
        <v>GANCHO</v>
      </c>
    </row>
    <row r="1739" spans="1:12" x14ac:dyDescent="0.25">
      <c r="A1739" s="3" t="s">
        <v>6418</v>
      </c>
      <c r="B1739" s="3" t="s">
        <v>6419</v>
      </c>
      <c r="C1739" s="1">
        <v>20</v>
      </c>
      <c r="D1739" s="1">
        <v>423</v>
      </c>
      <c r="E1739" s="1" t="s">
        <v>261</v>
      </c>
      <c r="F1739" s="1" t="s">
        <v>6420</v>
      </c>
      <c r="G1739" s="3" t="s">
        <v>6421</v>
      </c>
      <c r="H1739" s="11">
        <f t="shared" si="54"/>
        <v>1913.24</v>
      </c>
      <c r="I1739" s="9">
        <f>($K$2+0.02)*Tabla1[[#This Row],[PRECIO $]]*1.18</f>
        <v>1722.0330000000001</v>
      </c>
      <c r="J1739" s="7">
        <f>+Tabla1[[#This Row],[PRECIO EN SOLES]]-Tabla1[[#This Row],[PC]]</f>
        <v>191.20699999999988</v>
      </c>
      <c r="K1739" s="15"/>
      <c r="L1739" s="15" t="str">
        <f t="shared" si="55"/>
        <v>GANCHO</v>
      </c>
    </row>
    <row r="1740" spans="1:12" x14ac:dyDescent="0.25">
      <c r="A1740" s="3" t="s">
        <v>3856</v>
      </c>
      <c r="B1740" s="3" t="s">
        <v>3857</v>
      </c>
      <c r="C1740" s="1">
        <v>0</v>
      </c>
      <c r="D1740" s="1">
        <v>639.5</v>
      </c>
      <c r="E1740" s="1" t="s">
        <v>261</v>
      </c>
      <c r="F1740" s="1" t="s">
        <v>6422</v>
      </c>
      <c r="G1740" s="3" t="s">
        <v>3858</v>
      </c>
      <c r="H1740" s="11">
        <f t="shared" si="54"/>
        <v>2882.74</v>
      </c>
      <c r="I1740" s="9">
        <f>($K$2+0.02)*Tabla1[[#This Row],[PRECIO $]]*1.18</f>
        <v>2603.4045000000001</v>
      </c>
      <c r="J1740" s="7">
        <f>+Tabla1[[#This Row],[PRECIO EN SOLES]]-Tabla1[[#This Row],[PC]]</f>
        <v>279.33549999999968</v>
      </c>
      <c r="K1740" s="15"/>
      <c r="L1740" s="15" t="str">
        <f t="shared" si="55"/>
        <v>GANCHO</v>
      </c>
    </row>
    <row r="1741" spans="1:12" x14ac:dyDescent="0.25">
      <c r="A1741" s="3" t="s">
        <v>3859</v>
      </c>
      <c r="B1741" s="3" t="s">
        <v>3860</v>
      </c>
      <c r="C1741" s="1">
        <v>20</v>
      </c>
      <c r="D1741" s="1">
        <v>166</v>
      </c>
      <c r="E1741" s="1" t="s">
        <v>261</v>
      </c>
      <c r="F1741" s="1" t="s">
        <v>6423</v>
      </c>
      <c r="G1741" s="3" t="s">
        <v>3861</v>
      </c>
      <c r="H1741" s="11">
        <f t="shared" si="54"/>
        <v>762.36</v>
      </c>
      <c r="I1741" s="9">
        <f>($K$2+0.02)*Tabla1[[#This Row],[PRECIO $]]*1.18</f>
        <v>675.78600000000006</v>
      </c>
      <c r="J1741" s="7">
        <f>+Tabla1[[#This Row],[PRECIO EN SOLES]]-Tabla1[[#This Row],[PC]]</f>
        <v>86.573999999999955</v>
      </c>
      <c r="K1741" s="15"/>
      <c r="L1741" s="15" t="str">
        <f t="shared" si="55"/>
        <v>GANCHO</v>
      </c>
    </row>
    <row r="1742" spans="1:12" x14ac:dyDescent="0.25">
      <c r="A1742" s="3" t="s">
        <v>7157</v>
      </c>
      <c r="B1742" s="3" t="s">
        <v>7158</v>
      </c>
      <c r="C1742" s="1">
        <v>20</v>
      </c>
      <c r="D1742" s="1">
        <v>177</v>
      </c>
      <c r="E1742" s="1" t="s">
        <v>261</v>
      </c>
      <c r="F1742" s="1" t="s">
        <v>7159</v>
      </c>
      <c r="G1742" s="3" t="s">
        <v>7160</v>
      </c>
      <c r="H1742" s="11">
        <f t="shared" si="54"/>
        <v>811.62</v>
      </c>
      <c r="I1742" s="9">
        <f>($K$2+0.02)*Tabla1[[#This Row],[PRECIO $]]*1.18</f>
        <v>720.56699999999989</v>
      </c>
      <c r="J1742" s="7">
        <f>+Tabla1[[#This Row],[PRECIO EN SOLES]]-Tabla1[[#This Row],[PC]]</f>
        <v>91.053000000000111</v>
      </c>
      <c r="K1742" s="15"/>
      <c r="L1742" s="15" t="str">
        <f t="shared" si="55"/>
        <v>GANCHO</v>
      </c>
    </row>
    <row r="1743" spans="1:12" x14ac:dyDescent="0.25">
      <c r="A1743" s="3" t="s">
        <v>7161</v>
      </c>
      <c r="B1743" s="3" t="s">
        <v>7162</v>
      </c>
      <c r="C1743" s="1">
        <v>20</v>
      </c>
      <c r="D1743" s="1">
        <v>137.9</v>
      </c>
      <c r="E1743" s="1" t="s">
        <v>261</v>
      </c>
      <c r="F1743" s="1" t="s">
        <v>7163</v>
      </c>
      <c r="G1743" s="3" t="s">
        <v>7164</v>
      </c>
      <c r="H1743" s="11">
        <f t="shared" si="54"/>
        <v>636.53</v>
      </c>
      <c r="I1743" s="9">
        <f>($K$2+0.02)*Tabla1[[#This Row],[PRECIO $]]*1.18</f>
        <v>561.39089999999999</v>
      </c>
      <c r="J1743" s="7">
        <f>+Tabla1[[#This Row],[PRECIO EN SOLES]]-Tabla1[[#This Row],[PC]]</f>
        <v>75.139099999999985</v>
      </c>
      <c r="K1743" s="15"/>
      <c r="L1743" s="15" t="str">
        <f t="shared" si="55"/>
        <v>GANCHO</v>
      </c>
    </row>
    <row r="1744" spans="1:12" x14ac:dyDescent="0.25">
      <c r="A1744" s="3" t="s">
        <v>3862</v>
      </c>
      <c r="B1744" s="3" t="s">
        <v>3863</v>
      </c>
      <c r="C1744" s="1">
        <v>20</v>
      </c>
      <c r="D1744" s="1">
        <v>146</v>
      </c>
      <c r="E1744" s="1" t="s">
        <v>261</v>
      </c>
      <c r="F1744" s="1" t="s">
        <v>6424</v>
      </c>
      <c r="G1744" s="3" t="s">
        <v>3864</v>
      </c>
      <c r="H1744" s="11">
        <f t="shared" si="54"/>
        <v>672.8</v>
      </c>
      <c r="I1744" s="9">
        <f>($K$2+0.02)*Tabla1[[#This Row],[PRECIO $]]*1.18</f>
        <v>594.36599999999999</v>
      </c>
      <c r="J1744" s="7">
        <f>+Tabla1[[#This Row],[PRECIO EN SOLES]]-Tabla1[[#This Row],[PC]]</f>
        <v>78.433999999999969</v>
      </c>
      <c r="K1744" s="15"/>
      <c r="L1744" s="15" t="str">
        <f t="shared" si="55"/>
        <v>GANCHO</v>
      </c>
    </row>
    <row r="1745" spans="1:12" x14ac:dyDescent="0.25">
      <c r="A1745" s="3" t="s">
        <v>3865</v>
      </c>
      <c r="B1745" s="3" t="s">
        <v>7165</v>
      </c>
      <c r="C1745" s="1">
        <v>20</v>
      </c>
      <c r="D1745" s="1">
        <v>287</v>
      </c>
      <c r="E1745" s="1" t="s">
        <v>261</v>
      </c>
      <c r="F1745" s="1" t="s">
        <v>6425</v>
      </c>
      <c r="G1745" s="3" t="s">
        <v>6426</v>
      </c>
      <c r="H1745" s="11">
        <f t="shared" si="54"/>
        <v>1304.21</v>
      </c>
      <c r="I1745" s="9">
        <f>($K$2+0.02)*Tabla1[[#This Row],[PRECIO $]]*1.18</f>
        <v>1168.377</v>
      </c>
      <c r="J1745" s="7">
        <f>+Tabla1[[#This Row],[PRECIO EN SOLES]]-Tabla1[[#This Row],[PC]]</f>
        <v>135.83300000000008</v>
      </c>
      <c r="K1745" s="15"/>
      <c r="L1745" s="15" t="str">
        <f t="shared" si="55"/>
        <v>GANCHO</v>
      </c>
    </row>
    <row r="1746" spans="1:12" x14ac:dyDescent="0.25">
      <c r="A1746" s="3" t="s">
        <v>6427</v>
      </c>
      <c r="B1746" s="3" t="s">
        <v>6428</v>
      </c>
      <c r="C1746" s="1">
        <v>20</v>
      </c>
      <c r="D1746" s="1">
        <v>331</v>
      </c>
      <c r="E1746" s="1" t="s">
        <v>261</v>
      </c>
      <c r="F1746" s="1" t="s">
        <v>6429</v>
      </c>
      <c r="G1746" s="3" t="s">
        <v>6430</v>
      </c>
      <c r="H1746" s="11">
        <f t="shared" si="54"/>
        <v>1501.25</v>
      </c>
      <c r="I1746" s="9">
        <f>($K$2+0.02)*Tabla1[[#This Row],[PRECIO $]]*1.18</f>
        <v>1347.501</v>
      </c>
      <c r="J1746" s="7">
        <f>+Tabla1[[#This Row],[PRECIO EN SOLES]]-Tabla1[[#This Row],[PC]]</f>
        <v>153.74900000000002</v>
      </c>
      <c r="K1746" s="15"/>
      <c r="L1746" s="15" t="str">
        <f t="shared" si="55"/>
        <v>GANCHO</v>
      </c>
    </row>
    <row r="1747" spans="1:12" x14ac:dyDescent="0.25">
      <c r="A1747" s="3" t="s">
        <v>3866</v>
      </c>
      <c r="B1747" s="3" t="s">
        <v>3867</v>
      </c>
      <c r="C1747" s="1">
        <v>0</v>
      </c>
      <c r="D1747" s="1">
        <v>144</v>
      </c>
      <c r="E1747" s="1" t="s">
        <v>2304</v>
      </c>
      <c r="F1747" s="1" t="s">
        <v>6431</v>
      </c>
      <c r="G1747" s="3" t="s">
        <v>3868</v>
      </c>
      <c r="H1747" s="11">
        <f t="shared" si="54"/>
        <v>663.85</v>
      </c>
      <c r="I1747" s="9">
        <f>($K$2+0.02)*Tabla1[[#This Row],[PRECIO $]]*1.18</f>
        <v>586.22399999999993</v>
      </c>
      <c r="J1747" s="7">
        <f>+Tabla1[[#This Row],[PRECIO EN SOLES]]-Tabla1[[#This Row],[PC]]</f>
        <v>77.62600000000009</v>
      </c>
      <c r="K1747" s="15"/>
      <c r="L1747" s="15" t="str">
        <f t="shared" si="55"/>
        <v>GANCHO</v>
      </c>
    </row>
    <row r="1748" spans="1:12" x14ac:dyDescent="0.25">
      <c r="A1748" s="3" t="s">
        <v>3869</v>
      </c>
      <c r="B1748" s="3" t="s">
        <v>3870</v>
      </c>
      <c r="C1748" s="1">
        <v>0</v>
      </c>
      <c r="D1748" s="1">
        <v>529</v>
      </c>
      <c r="E1748" s="1" t="s">
        <v>2304</v>
      </c>
      <c r="F1748" s="1" t="s">
        <v>6432</v>
      </c>
      <c r="G1748" s="3" t="s">
        <v>3871</v>
      </c>
      <c r="H1748" s="11">
        <f t="shared" si="54"/>
        <v>2387.91</v>
      </c>
      <c r="I1748" s="9">
        <f>($K$2+0.02)*Tabla1[[#This Row],[PRECIO $]]*1.18</f>
        <v>2153.5590000000002</v>
      </c>
      <c r="J1748" s="7">
        <f>+Tabla1[[#This Row],[PRECIO EN SOLES]]-Tabla1[[#This Row],[PC]]</f>
        <v>234.35099999999966</v>
      </c>
      <c r="K1748" s="15"/>
      <c r="L1748" s="15" t="str">
        <f t="shared" si="55"/>
        <v>GANCHO</v>
      </c>
    </row>
    <row r="1749" spans="1:12" x14ac:dyDescent="0.25">
      <c r="A1749" s="3" t="s">
        <v>3872</v>
      </c>
      <c r="B1749" s="3" t="s">
        <v>3873</v>
      </c>
      <c r="C1749" s="1">
        <v>7</v>
      </c>
      <c r="D1749" s="1">
        <v>344</v>
      </c>
      <c r="E1749" s="1" t="s">
        <v>2304</v>
      </c>
      <c r="F1749" s="1" t="s">
        <v>6433</v>
      </c>
      <c r="G1749" s="3" t="s">
        <v>3874</v>
      </c>
      <c r="H1749" s="11">
        <f t="shared" si="54"/>
        <v>1559.47</v>
      </c>
      <c r="I1749" s="9">
        <f>($K$2+0.02)*Tabla1[[#This Row],[PRECIO $]]*1.18</f>
        <v>1400.424</v>
      </c>
      <c r="J1749" s="7">
        <f>+Tabla1[[#This Row],[PRECIO EN SOLES]]-Tabla1[[#This Row],[PC]]</f>
        <v>159.04600000000005</v>
      </c>
      <c r="K1749" s="15"/>
      <c r="L1749" s="15" t="str">
        <f t="shared" si="55"/>
        <v>GANCHO</v>
      </c>
    </row>
    <row r="1750" spans="1:12" x14ac:dyDescent="0.25">
      <c r="A1750" s="3" t="s">
        <v>3875</v>
      </c>
      <c r="B1750" s="3" t="s">
        <v>3876</v>
      </c>
      <c r="C1750" s="1">
        <v>13</v>
      </c>
      <c r="D1750" s="1">
        <v>579</v>
      </c>
      <c r="E1750" s="1" t="s">
        <v>2304</v>
      </c>
      <c r="F1750" s="1" t="s">
        <v>6434</v>
      </c>
      <c r="G1750" s="3" t="s">
        <v>3877</v>
      </c>
      <c r="H1750" s="11">
        <f t="shared" si="54"/>
        <v>2611.8200000000002</v>
      </c>
      <c r="I1750" s="9">
        <f>($K$2+0.02)*Tabla1[[#This Row],[PRECIO $]]*1.18</f>
        <v>2357.1089999999999</v>
      </c>
      <c r="J1750" s="7">
        <f>+Tabla1[[#This Row],[PRECIO EN SOLES]]-Tabla1[[#This Row],[PC]]</f>
        <v>254.71100000000024</v>
      </c>
      <c r="K1750" s="15"/>
      <c r="L1750" s="15" t="str">
        <f t="shared" si="55"/>
        <v>GANCHO</v>
      </c>
    </row>
    <row r="1751" spans="1:12" x14ac:dyDescent="0.25">
      <c r="A1751" s="3" t="s">
        <v>7166</v>
      </c>
      <c r="B1751" s="3" t="s">
        <v>7167</v>
      </c>
      <c r="C1751" s="1">
        <v>20</v>
      </c>
      <c r="D1751" s="1">
        <v>177</v>
      </c>
      <c r="E1751" s="1" t="s">
        <v>261</v>
      </c>
      <c r="F1751" s="1" t="s">
        <v>7168</v>
      </c>
      <c r="G1751" s="3" t="s">
        <v>7160</v>
      </c>
      <c r="H1751" s="11">
        <f t="shared" si="54"/>
        <v>811.62</v>
      </c>
      <c r="I1751" s="9">
        <f>($K$2+0.02)*Tabla1[[#This Row],[PRECIO $]]*1.18</f>
        <v>720.56699999999989</v>
      </c>
      <c r="J1751" s="7">
        <f>+Tabla1[[#This Row],[PRECIO EN SOLES]]-Tabla1[[#This Row],[PC]]</f>
        <v>91.053000000000111</v>
      </c>
      <c r="K1751" s="15"/>
      <c r="L1751" s="15" t="str">
        <f t="shared" si="55"/>
        <v>GANCHO</v>
      </c>
    </row>
    <row r="1752" spans="1:12" x14ac:dyDescent="0.25">
      <c r="A1752" s="3" t="s">
        <v>6435</v>
      </c>
      <c r="B1752" s="3" t="s">
        <v>6436</v>
      </c>
      <c r="C1752" s="1">
        <v>20</v>
      </c>
      <c r="D1752" s="1">
        <v>240</v>
      </c>
      <c r="E1752" s="1" t="s">
        <v>261</v>
      </c>
      <c r="F1752" s="1" t="s">
        <v>6437</v>
      </c>
      <c r="G1752" s="3" t="s">
        <v>6438</v>
      </c>
      <c r="H1752" s="11">
        <f t="shared" si="54"/>
        <v>1093.74</v>
      </c>
      <c r="I1752" s="9">
        <f>($K$2+0.02)*Tabla1[[#This Row],[PRECIO $]]*1.18</f>
        <v>977.04</v>
      </c>
      <c r="J1752" s="7">
        <f>+Tabla1[[#This Row],[PRECIO EN SOLES]]-Tabla1[[#This Row],[PC]]</f>
        <v>116.70000000000005</v>
      </c>
      <c r="K1752" s="15"/>
      <c r="L1752" s="15" t="str">
        <f t="shared" si="55"/>
        <v>GANCHO</v>
      </c>
    </row>
    <row r="1753" spans="1:12" x14ac:dyDescent="0.25">
      <c r="A1753" s="3" t="s">
        <v>3878</v>
      </c>
      <c r="B1753" s="3" t="s">
        <v>3879</v>
      </c>
      <c r="C1753" s="1">
        <v>18</v>
      </c>
      <c r="D1753" s="1">
        <v>670</v>
      </c>
      <c r="E1753" s="1" t="s">
        <v>2304</v>
      </c>
      <c r="F1753" s="1" t="s">
        <v>6439</v>
      </c>
      <c r="G1753" s="3" t="s">
        <v>3880</v>
      </c>
      <c r="H1753" s="11">
        <f t="shared" si="54"/>
        <v>3144.71</v>
      </c>
      <c r="I1753" s="9">
        <f>($K$2+0.02)*Tabla1[[#This Row],[PRECIO $]]*1.18</f>
        <v>2727.5699999999997</v>
      </c>
      <c r="J1753" s="7">
        <f>+Tabla1[[#This Row],[PRECIO EN SOLES]]-Tabla1[[#This Row],[PC]]</f>
        <v>417.14000000000033</v>
      </c>
      <c r="K1753" s="15"/>
      <c r="L1753" s="15" t="str">
        <f t="shared" si="55"/>
        <v>NORMAL</v>
      </c>
    </row>
    <row r="1754" spans="1:12" x14ac:dyDescent="0.25">
      <c r="A1754" s="3" t="s">
        <v>3881</v>
      </c>
      <c r="B1754" s="3" t="s">
        <v>3882</v>
      </c>
      <c r="C1754" s="1">
        <v>20</v>
      </c>
      <c r="D1754" s="1">
        <v>400</v>
      </c>
      <c r="E1754" s="1" t="s">
        <v>131</v>
      </c>
      <c r="F1754" s="1" t="s">
        <v>6440</v>
      </c>
      <c r="G1754" s="3"/>
      <c r="H1754" s="11">
        <f t="shared" si="54"/>
        <v>1880.66</v>
      </c>
      <c r="I1754" s="9">
        <f>($K$2+0.02)*Tabla1[[#This Row],[PRECIO $]]*1.18</f>
        <v>1628.3999999999999</v>
      </c>
      <c r="J1754" s="7">
        <f>+Tabla1[[#This Row],[PRECIO EN SOLES]]-Tabla1[[#This Row],[PC]]</f>
        <v>252.26000000000022</v>
      </c>
      <c r="K1754" s="15"/>
      <c r="L1754" s="15" t="str">
        <f t="shared" si="55"/>
        <v>NORMAL</v>
      </c>
    </row>
    <row r="1755" spans="1:12" x14ac:dyDescent="0.25">
      <c r="A1755" s="3" t="s">
        <v>3883</v>
      </c>
      <c r="B1755" s="3" t="s">
        <v>3884</v>
      </c>
      <c r="C1755" s="1">
        <v>0</v>
      </c>
      <c r="D1755" s="1">
        <v>200</v>
      </c>
      <c r="E1755" s="1" t="s">
        <v>126</v>
      </c>
      <c r="F1755" s="1" t="s">
        <v>6441</v>
      </c>
      <c r="G1755" s="3"/>
      <c r="H1755" s="11">
        <f t="shared" si="54"/>
        <v>914.62</v>
      </c>
      <c r="I1755" s="9">
        <f>($K$2+0.02)*Tabla1[[#This Row],[PRECIO $]]*1.18</f>
        <v>814.19999999999993</v>
      </c>
      <c r="J1755" s="7">
        <f>+Tabla1[[#This Row],[PRECIO EN SOLES]]-Tabla1[[#This Row],[PC]]</f>
        <v>100.42000000000007</v>
      </c>
      <c r="K1755" s="15"/>
      <c r="L1755" s="15" t="str">
        <f t="shared" si="55"/>
        <v>GANCHO</v>
      </c>
    </row>
    <row r="1756" spans="1:12" x14ac:dyDescent="0.25">
      <c r="A1756" s="3" t="s">
        <v>3885</v>
      </c>
      <c r="B1756" s="3" t="s">
        <v>3886</v>
      </c>
      <c r="C1756" s="1">
        <v>17</v>
      </c>
      <c r="D1756" s="1">
        <v>2.5</v>
      </c>
      <c r="E1756" s="1" t="s">
        <v>131</v>
      </c>
      <c r="F1756" s="1" t="s">
        <v>6442</v>
      </c>
      <c r="G1756" s="3" t="s">
        <v>3887</v>
      </c>
      <c r="H1756" s="11">
        <f t="shared" si="54"/>
        <v>14.22</v>
      </c>
      <c r="I1756" s="9">
        <f>($K$2+0.02)*Tabla1[[#This Row],[PRECIO $]]*1.18</f>
        <v>10.1775</v>
      </c>
      <c r="J1756" s="7">
        <f>+Tabla1[[#This Row],[PRECIO EN SOLES]]-Tabla1[[#This Row],[PC]]</f>
        <v>4.0425000000000004</v>
      </c>
      <c r="K1756" s="15"/>
      <c r="L1756" s="15" t="str">
        <f t="shared" si="55"/>
        <v>COMPLEMENTO</v>
      </c>
    </row>
    <row r="1757" spans="1:12" x14ac:dyDescent="0.25">
      <c r="A1757" s="3" t="s">
        <v>3888</v>
      </c>
      <c r="B1757" s="3" t="s">
        <v>3889</v>
      </c>
      <c r="C1757" s="1">
        <v>20</v>
      </c>
      <c r="D1757" s="1">
        <v>100</v>
      </c>
      <c r="E1757" s="1" t="s">
        <v>131</v>
      </c>
      <c r="F1757" s="1" t="s">
        <v>6443</v>
      </c>
      <c r="G1757" s="3" t="s">
        <v>3890</v>
      </c>
      <c r="H1757" s="11">
        <f t="shared" si="54"/>
        <v>476.17</v>
      </c>
      <c r="I1757" s="9">
        <f>($K$2+0.02)*Tabla1[[#This Row],[PRECIO $]]*1.18</f>
        <v>407.09999999999997</v>
      </c>
      <c r="J1757" s="7">
        <f>+Tabla1[[#This Row],[PRECIO EN SOLES]]-Tabla1[[#This Row],[PC]]</f>
        <v>69.07000000000005</v>
      </c>
      <c r="K1757" s="15"/>
      <c r="L1757" s="15" t="str">
        <f t="shared" si="55"/>
        <v>NORMAL</v>
      </c>
    </row>
    <row r="1758" spans="1:12" x14ac:dyDescent="0.25">
      <c r="A1758" s="3" t="s">
        <v>6444</v>
      </c>
      <c r="B1758" s="3" t="s">
        <v>6445</v>
      </c>
      <c r="C1758" s="1">
        <v>20</v>
      </c>
      <c r="D1758" s="1">
        <v>199</v>
      </c>
      <c r="E1758" s="1" t="s">
        <v>131</v>
      </c>
      <c r="F1758" s="1" t="s">
        <v>6446</v>
      </c>
      <c r="G1758" s="3"/>
      <c r="H1758" s="11">
        <f t="shared" si="54"/>
        <v>939.65</v>
      </c>
      <c r="I1758" s="9">
        <f>($K$2+0.02)*Tabla1[[#This Row],[PRECIO $]]*1.18</f>
        <v>810.12900000000002</v>
      </c>
      <c r="J1758" s="7">
        <f>+Tabla1[[#This Row],[PRECIO EN SOLES]]-Tabla1[[#This Row],[PC]]</f>
        <v>129.52099999999996</v>
      </c>
      <c r="K1758" s="15"/>
      <c r="L1758" s="15" t="str">
        <f t="shared" si="55"/>
        <v>NORMAL</v>
      </c>
    </row>
    <row r="1759" spans="1:12" x14ac:dyDescent="0.25">
      <c r="A1759" s="3" t="s">
        <v>3891</v>
      </c>
      <c r="B1759" s="3" t="s">
        <v>3892</v>
      </c>
      <c r="C1759" s="1">
        <v>20</v>
      </c>
      <c r="D1759" s="1">
        <v>8</v>
      </c>
      <c r="E1759" s="1" t="s">
        <v>131</v>
      </c>
      <c r="F1759" s="1" t="s">
        <v>6447</v>
      </c>
      <c r="G1759" s="3"/>
      <c r="H1759" s="11">
        <f t="shared" si="54"/>
        <v>41.45</v>
      </c>
      <c r="I1759" s="9">
        <f>($K$2+0.02)*Tabla1[[#This Row],[PRECIO $]]*1.18</f>
        <v>32.567999999999998</v>
      </c>
      <c r="J1759" s="7">
        <f>+Tabla1[[#This Row],[PRECIO EN SOLES]]-Tabla1[[#This Row],[PC]]</f>
        <v>8.882000000000005</v>
      </c>
      <c r="K1759" s="15"/>
      <c r="L1759" s="15" t="str">
        <f t="shared" si="55"/>
        <v>NORMAL</v>
      </c>
    </row>
    <row r="1760" spans="1:12" x14ac:dyDescent="0.25">
      <c r="A1760" s="3" t="s">
        <v>3893</v>
      </c>
      <c r="B1760" s="3" t="s">
        <v>3894</v>
      </c>
      <c r="C1760" s="1">
        <v>10</v>
      </c>
      <c r="D1760" s="1">
        <v>65</v>
      </c>
      <c r="E1760" s="1" t="s">
        <v>2304</v>
      </c>
      <c r="F1760" s="1" t="s">
        <v>6448</v>
      </c>
      <c r="G1760" s="3"/>
      <c r="H1760" s="11">
        <f t="shared" si="54"/>
        <v>312.31</v>
      </c>
      <c r="I1760" s="9">
        <f>($K$2+0.02)*Tabla1[[#This Row],[PRECIO $]]*1.18</f>
        <v>264.61500000000001</v>
      </c>
      <c r="J1760" s="7">
        <f>+Tabla1[[#This Row],[PRECIO EN SOLES]]-Tabla1[[#This Row],[PC]]</f>
        <v>47.694999999999993</v>
      </c>
      <c r="K1760" s="15"/>
      <c r="L1760" s="15" t="str">
        <f t="shared" si="55"/>
        <v>NORMAL</v>
      </c>
    </row>
    <row r="1761" spans="1:12" x14ac:dyDescent="0.25">
      <c r="A1761" s="3" t="s">
        <v>3896</v>
      </c>
      <c r="B1761" s="3" t="s">
        <v>3895</v>
      </c>
      <c r="C1761" s="1">
        <v>20</v>
      </c>
      <c r="D1761" s="1">
        <v>55</v>
      </c>
      <c r="E1761" s="1" t="s">
        <v>2304</v>
      </c>
      <c r="F1761" s="1" t="s">
        <v>6449</v>
      </c>
      <c r="G1761" s="3"/>
      <c r="H1761" s="11">
        <f t="shared" si="54"/>
        <v>265.49</v>
      </c>
      <c r="I1761" s="9">
        <f>($K$2+0.02)*Tabla1[[#This Row],[PRECIO $]]*1.18</f>
        <v>223.905</v>
      </c>
      <c r="J1761" s="7">
        <f>+Tabla1[[#This Row],[PRECIO EN SOLES]]-Tabla1[[#This Row],[PC]]</f>
        <v>41.585000000000008</v>
      </c>
      <c r="K1761" s="15"/>
      <c r="L1761" s="15" t="str">
        <f t="shared" si="55"/>
        <v>NORMAL</v>
      </c>
    </row>
    <row r="1762" spans="1:12" x14ac:dyDescent="0.25">
      <c r="A1762" s="3" t="s">
        <v>3897</v>
      </c>
      <c r="B1762" s="3" t="s">
        <v>3898</v>
      </c>
      <c r="C1762" s="1">
        <v>3</v>
      </c>
      <c r="D1762" s="1">
        <v>7</v>
      </c>
      <c r="E1762" s="1" t="s">
        <v>131</v>
      </c>
      <c r="F1762" s="1" t="s">
        <v>6450</v>
      </c>
      <c r="G1762" s="3" t="s">
        <v>3899</v>
      </c>
      <c r="H1762" s="11">
        <f t="shared" si="54"/>
        <v>38.619999999999997</v>
      </c>
      <c r="I1762" s="9">
        <f>($K$2+0.02)*Tabla1[[#This Row],[PRECIO $]]*1.18</f>
        <v>28.497</v>
      </c>
      <c r="J1762" s="7">
        <f>+Tabla1[[#This Row],[PRECIO EN SOLES]]-Tabla1[[#This Row],[PC]]</f>
        <v>10.122999999999998</v>
      </c>
      <c r="K1762" s="15"/>
      <c r="L1762" s="15" t="str">
        <f t="shared" si="55"/>
        <v>COMPLEMENTO</v>
      </c>
    </row>
    <row r="1763" spans="1:12" x14ac:dyDescent="0.25">
      <c r="A1763" s="3" t="s">
        <v>3900</v>
      </c>
      <c r="B1763" s="3" t="s">
        <v>3895</v>
      </c>
      <c r="C1763" s="1">
        <v>20</v>
      </c>
      <c r="D1763" s="1">
        <v>55</v>
      </c>
      <c r="E1763" s="1" t="s">
        <v>2304</v>
      </c>
      <c r="F1763" s="1" t="s">
        <v>6451</v>
      </c>
      <c r="G1763" s="3"/>
      <c r="H1763" s="11">
        <f t="shared" si="54"/>
        <v>265.49</v>
      </c>
      <c r="I1763" s="9">
        <f>($K$2+0.02)*Tabla1[[#This Row],[PRECIO $]]*1.18</f>
        <v>223.905</v>
      </c>
      <c r="J1763" s="7">
        <f>+Tabla1[[#This Row],[PRECIO EN SOLES]]-Tabla1[[#This Row],[PC]]</f>
        <v>41.585000000000008</v>
      </c>
      <c r="K1763" s="15"/>
      <c r="L1763" s="15" t="str">
        <f t="shared" si="55"/>
        <v>NORMAL</v>
      </c>
    </row>
    <row r="1764" spans="1:12" x14ac:dyDescent="0.25">
      <c r="A1764" s="3" t="s">
        <v>3901</v>
      </c>
      <c r="B1764" s="3" t="s">
        <v>3902</v>
      </c>
      <c r="C1764" s="1">
        <v>3</v>
      </c>
      <c r="D1764" s="1">
        <v>110</v>
      </c>
      <c r="E1764" s="1" t="s">
        <v>2304</v>
      </c>
      <c r="F1764" s="1" t="s">
        <v>6452</v>
      </c>
      <c r="G1764" s="3" t="s">
        <v>3903</v>
      </c>
      <c r="H1764" s="11">
        <f t="shared" si="54"/>
        <v>564.76</v>
      </c>
      <c r="I1764" s="9">
        <f>($K$2+0.02)*Tabla1[[#This Row],[PRECIO $]]*1.18</f>
        <v>447.81</v>
      </c>
      <c r="J1764" s="7">
        <f>+Tabla1[[#This Row],[PRECIO EN SOLES]]-Tabla1[[#This Row],[PC]]</f>
        <v>116.94999999999999</v>
      </c>
      <c r="K1764" s="15"/>
      <c r="L1764" s="15" t="str">
        <f t="shared" si="55"/>
        <v>COMPLEMENTO</v>
      </c>
    </row>
    <row r="1765" spans="1:12" x14ac:dyDescent="0.25">
      <c r="A1765" s="3" t="s">
        <v>3904</v>
      </c>
      <c r="B1765" s="3" t="s">
        <v>3905</v>
      </c>
      <c r="C1765" s="1">
        <v>5</v>
      </c>
      <c r="D1765" s="1">
        <v>96</v>
      </c>
      <c r="E1765" s="1" t="s">
        <v>2304</v>
      </c>
      <c r="F1765" s="1" t="s">
        <v>6453</v>
      </c>
      <c r="G1765" s="3" t="s">
        <v>3906</v>
      </c>
      <c r="H1765" s="11">
        <f t="shared" si="54"/>
        <v>457.44</v>
      </c>
      <c r="I1765" s="9">
        <f>($K$2+0.02)*Tabla1[[#This Row],[PRECIO $]]*1.18</f>
        <v>390.81600000000003</v>
      </c>
      <c r="J1765" s="7">
        <f>+Tabla1[[#This Row],[PRECIO EN SOLES]]-Tabla1[[#This Row],[PC]]</f>
        <v>66.623999999999967</v>
      </c>
      <c r="K1765" s="15"/>
      <c r="L1765" s="15" t="str">
        <f t="shared" si="55"/>
        <v>NORMAL</v>
      </c>
    </row>
    <row r="1766" spans="1:12" x14ac:dyDescent="0.25">
      <c r="A1766" s="3" t="s">
        <v>3907</v>
      </c>
      <c r="B1766" s="3" t="s">
        <v>3908</v>
      </c>
      <c r="C1766" s="1">
        <v>3</v>
      </c>
      <c r="D1766" s="1">
        <v>18.399999999999999</v>
      </c>
      <c r="E1766" s="1" t="s">
        <v>131</v>
      </c>
      <c r="F1766" s="1" t="s">
        <v>6454</v>
      </c>
      <c r="G1766" s="3" t="s">
        <v>3909</v>
      </c>
      <c r="H1766" s="11">
        <f t="shared" si="54"/>
        <v>97.63</v>
      </c>
      <c r="I1766" s="9">
        <f>($K$2+0.02)*Tabla1[[#This Row],[PRECIO $]]*1.18</f>
        <v>74.906399999999991</v>
      </c>
      <c r="J1766" s="7">
        <f>+Tabla1[[#This Row],[PRECIO EN SOLES]]-Tabla1[[#This Row],[PC]]</f>
        <v>22.723600000000005</v>
      </c>
      <c r="K1766" s="15"/>
      <c r="L1766" s="15" t="str">
        <f t="shared" si="55"/>
        <v>COMPLEMENTO</v>
      </c>
    </row>
    <row r="1767" spans="1:12" x14ac:dyDescent="0.25">
      <c r="A1767" s="3" t="s">
        <v>3910</v>
      </c>
      <c r="B1767" s="3" t="s">
        <v>3911</v>
      </c>
      <c r="C1767" s="1">
        <v>10</v>
      </c>
      <c r="D1767" s="1">
        <v>6.4</v>
      </c>
      <c r="E1767" s="1" t="s">
        <v>131</v>
      </c>
      <c r="F1767" s="1" t="s">
        <v>6455</v>
      </c>
      <c r="G1767" s="3" t="s">
        <v>3912</v>
      </c>
      <c r="H1767" s="11">
        <f t="shared" si="54"/>
        <v>31.96</v>
      </c>
      <c r="I1767" s="9">
        <f>($K$2+0.02)*Tabla1[[#This Row],[PRECIO $]]*1.18</f>
        <v>26.054400000000001</v>
      </c>
      <c r="J1767" s="7">
        <f>+Tabla1[[#This Row],[PRECIO EN SOLES]]-Tabla1[[#This Row],[PC]]</f>
        <v>5.9055999999999997</v>
      </c>
      <c r="K1767" s="15"/>
      <c r="L1767" s="15" t="str">
        <f t="shared" si="55"/>
        <v>NORMAL</v>
      </c>
    </row>
    <row r="1768" spans="1:12" x14ac:dyDescent="0.25">
      <c r="A1768" s="3" t="s">
        <v>3913</v>
      </c>
      <c r="B1768" s="3" t="s">
        <v>3914</v>
      </c>
      <c r="C1768" s="1">
        <v>20</v>
      </c>
      <c r="D1768" s="1">
        <v>2.75</v>
      </c>
      <c r="E1768" s="1" t="s">
        <v>131</v>
      </c>
      <c r="F1768" s="1" t="s">
        <v>6456</v>
      </c>
      <c r="G1768" s="3" t="s">
        <v>3915</v>
      </c>
      <c r="H1768" s="11">
        <f t="shared" si="54"/>
        <v>14.87</v>
      </c>
      <c r="I1768" s="9">
        <f>($K$2+0.02)*Tabla1[[#This Row],[PRECIO $]]*1.18</f>
        <v>11.19525</v>
      </c>
      <c r="J1768" s="7">
        <f>+Tabla1[[#This Row],[PRECIO EN SOLES]]-Tabla1[[#This Row],[PC]]</f>
        <v>3.6747499999999995</v>
      </c>
      <c r="K1768" s="15"/>
      <c r="L1768" s="15" t="str">
        <f t="shared" si="55"/>
        <v>NORMAL</v>
      </c>
    </row>
    <row r="1769" spans="1:12" x14ac:dyDescent="0.25">
      <c r="A1769" s="3" t="s">
        <v>3916</v>
      </c>
      <c r="B1769" s="3" t="s">
        <v>3917</v>
      </c>
      <c r="C1769" s="1">
        <v>20</v>
      </c>
      <c r="D1769" s="1">
        <v>15</v>
      </c>
      <c r="E1769" s="1" t="s">
        <v>2304</v>
      </c>
      <c r="F1769" s="1" t="s">
        <v>6457</v>
      </c>
      <c r="G1769" s="3" t="s">
        <v>3918</v>
      </c>
      <c r="H1769" s="11">
        <f t="shared" si="54"/>
        <v>80.33</v>
      </c>
      <c r="I1769" s="9">
        <f>($K$2+0.02)*Tabla1[[#This Row],[PRECIO $]]*1.18</f>
        <v>61.064999999999998</v>
      </c>
      <c r="J1769" s="7">
        <f>+Tabla1[[#This Row],[PRECIO EN SOLES]]-Tabla1[[#This Row],[PC]]</f>
        <v>19.265000000000001</v>
      </c>
      <c r="K1769" s="15"/>
      <c r="L1769" s="15" t="str">
        <f t="shared" si="55"/>
        <v>COMPLEMENTO</v>
      </c>
    </row>
    <row r="1770" spans="1:12" x14ac:dyDescent="0.25">
      <c r="A1770" s="3" t="s">
        <v>3919</v>
      </c>
      <c r="B1770" s="3" t="s">
        <v>3920</v>
      </c>
      <c r="C1770" s="1">
        <v>20</v>
      </c>
      <c r="D1770" s="1">
        <v>10</v>
      </c>
      <c r="E1770" s="1" t="s">
        <v>2304</v>
      </c>
      <c r="F1770" s="1" t="s">
        <v>6458</v>
      </c>
      <c r="G1770" s="3" t="s">
        <v>3921</v>
      </c>
      <c r="H1770" s="11">
        <f t="shared" si="54"/>
        <v>53.89</v>
      </c>
      <c r="I1770" s="9">
        <f>($K$2+0.02)*Tabla1[[#This Row],[PRECIO $]]*1.18</f>
        <v>40.71</v>
      </c>
      <c r="J1770" s="7">
        <f>+Tabla1[[#This Row],[PRECIO EN SOLES]]-Tabla1[[#This Row],[PC]]</f>
        <v>13.18</v>
      </c>
      <c r="K1770" s="15"/>
      <c r="L1770" s="15" t="str">
        <f t="shared" si="55"/>
        <v>COMPLEMENTO</v>
      </c>
    </row>
    <row r="1771" spans="1:12" x14ac:dyDescent="0.25">
      <c r="A1771" s="3" t="s">
        <v>3922</v>
      </c>
      <c r="B1771" s="3" t="s">
        <v>3923</v>
      </c>
      <c r="C1771" s="1">
        <v>20</v>
      </c>
      <c r="D1771" s="1">
        <v>23</v>
      </c>
      <c r="E1771" s="1" t="s">
        <v>2304</v>
      </c>
      <c r="F1771" s="1" t="s">
        <v>6459</v>
      </c>
      <c r="G1771" s="3" t="s">
        <v>3924</v>
      </c>
      <c r="H1771" s="11">
        <f t="shared" si="54"/>
        <v>121.04</v>
      </c>
      <c r="I1771" s="9">
        <f>($K$2+0.02)*Tabla1[[#This Row],[PRECIO $]]*1.18</f>
        <v>93.63300000000001</v>
      </c>
      <c r="J1771" s="7">
        <f>+Tabla1[[#This Row],[PRECIO EN SOLES]]-Tabla1[[#This Row],[PC]]</f>
        <v>27.406999999999996</v>
      </c>
      <c r="K1771" s="15"/>
      <c r="L1771" s="15" t="str">
        <f t="shared" si="55"/>
        <v>COMPLEMENTO</v>
      </c>
    </row>
    <row r="1772" spans="1:12" x14ac:dyDescent="0.25">
      <c r="A1772" s="3" t="s">
        <v>3925</v>
      </c>
      <c r="B1772" s="3" t="s">
        <v>3926</v>
      </c>
      <c r="C1772" s="1">
        <v>20</v>
      </c>
      <c r="D1772" s="1">
        <v>34</v>
      </c>
      <c r="E1772" s="1" t="s">
        <v>2304</v>
      </c>
      <c r="F1772" s="1" t="s">
        <v>6460</v>
      </c>
      <c r="G1772" s="3"/>
      <c r="H1772" s="11">
        <f t="shared" si="54"/>
        <v>178.02</v>
      </c>
      <c r="I1772" s="9">
        <f>($K$2+0.02)*Tabla1[[#This Row],[PRECIO $]]*1.18</f>
        <v>138.41400000000002</v>
      </c>
      <c r="J1772" s="7">
        <f>+Tabla1[[#This Row],[PRECIO EN SOLES]]-Tabla1[[#This Row],[PC]]</f>
        <v>39.605999999999995</v>
      </c>
      <c r="K1772" s="15"/>
      <c r="L1772" s="15" t="str">
        <f t="shared" si="55"/>
        <v>COMPLEMENTO</v>
      </c>
    </row>
    <row r="1773" spans="1:12" x14ac:dyDescent="0.25">
      <c r="A1773" s="3" t="s">
        <v>3927</v>
      </c>
      <c r="B1773" s="3" t="s">
        <v>3928</v>
      </c>
      <c r="C1773" s="1">
        <v>1</v>
      </c>
      <c r="D1773" s="1">
        <v>1</v>
      </c>
      <c r="E1773" s="1" t="s">
        <v>131</v>
      </c>
      <c r="F1773" s="1" t="s">
        <v>6461</v>
      </c>
      <c r="G1773" s="3" t="s">
        <v>3929</v>
      </c>
      <c r="H1773" s="11">
        <f t="shared" si="54"/>
        <v>6.59</v>
      </c>
      <c r="I1773" s="9">
        <f>($K$2+0.02)*Tabla1[[#This Row],[PRECIO $]]*1.18</f>
        <v>4.0709999999999997</v>
      </c>
      <c r="J1773" s="7">
        <f>+Tabla1[[#This Row],[PRECIO EN SOLES]]-Tabla1[[#This Row],[PC]]</f>
        <v>2.5190000000000001</v>
      </c>
      <c r="K1773" s="15"/>
      <c r="L1773" s="15" t="str">
        <f t="shared" si="55"/>
        <v>COMPLEMENTO</v>
      </c>
    </row>
    <row r="1774" spans="1:12" x14ac:dyDescent="0.25">
      <c r="A1774" s="3" t="s">
        <v>6462</v>
      </c>
      <c r="B1774" s="3" t="s">
        <v>6463</v>
      </c>
      <c r="C1774" s="1">
        <v>0</v>
      </c>
      <c r="D1774" s="1">
        <v>76</v>
      </c>
      <c r="E1774" s="1" t="s">
        <v>269</v>
      </c>
      <c r="F1774" s="1" t="s">
        <v>6464</v>
      </c>
      <c r="G1774" s="3" t="s">
        <v>6465</v>
      </c>
      <c r="H1774" s="11">
        <f t="shared" si="54"/>
        <v>363.81</v>
      </c>
      <c r="I1774" s="9">
        <f>($K$2+0.02)*Tabla1[[#This Row],[PRECIO $]]*1.18</f>
        <v>309.39599999999996</v>
      </c>
      <c r="J1774" s="7">
        <f>+Tabla1[[#This Row],[PRECIO EN SOLES]]-Tabla1[[#This Row],[PC]]</f>
        <v>54.414000000000044</v>
      </c>
      <c r="K1774" s="15"/>
      <c r="L1774" s="15" t="str">
        <f t="shared" si="55"/>
        <v>NORMAL</v>
      </c>
    </row>
    <row r="1775" spans="1:12" x14ac:dyDescent="0.25">
      <c r="A1775" s="3" t="s">
        <v>6466</v>
      </c>
      <c r="B1775" s="3" t="s">
        <v>6467</v>
      </c>
      <c r="C1775" s="1">
        <v>20</v>
      </c>
      <c r="D1775" s="1">
        <v>39</v>
      </c>
      <c r="E1775" s="1" t="s">
        <v>269</v>
      </c>
      <c r="F1775" s="1" t="s">
        <v>6468</v>
      </c>
      <c r="G1775" s="3" t="s">
        <v>6469</v>
      </c>
      <c r="H1775" s="11">
        <f t="shared" si="54"/>
        <v>190.58</v>
      </c>
      <c r="I1775" s="9">
        <f>($K$2+0.02)*Tabla1[[#This Row],[PRECIO $]]*1.18</f>
        <v>158.76900000000001</v>
      </c>
      <c r="J1775" s="7">
        <f>+Tabla1[[#This Row],[PRECIO EN SOLES]]-Tabla1[[#This Row],[PC]]</f>
        <v>31.811000000000007</v>
      </c>
      <c r="K1775" s="15"/>
      <c r="L1775" s="15" t="str">
        <f t="shared" si="55"/>
        <v>NORMAL</v>
      </c>
    </row>
    <row r="1776" spans="1:12" x14ac:dyDescent="0.25">
      <c r="A1776" s="3" t="s">
        <v>6470</v>
      </c>
      <c r="B1776" s="3" t="s">
        <v>6471</v>
      </c>
      <c r="C1776" s="1">
        <v>4</v>
      </c>
      <c r="D1776" s="1">
        <v>50</v>
      </c>
      <c r="E1776" s="1" t="s">
        <v>269</v>
      </c>
      <c r="F1776" s="1" t="s">
        <v>6472</v>
      </c>
      <c r="G1776" s="3" t="s">
        <v>7169</v>
      </c>
      <c r="H1776" s="11">
        <f t="shared" si="54"/>
        <v>259.44</v>
      </c>
      <c r="I1776" s="9">
        <f>($K$2+0.02)*Tabla1[[#This Row],[PRECIO $]]*1.18</f>
        <v>203.54999999999998</v>
      </c>
      <c r="J1776" s="7">
        <f>+Tabla1[[#This Row],[PRECIO EN SOLES]]-Tabla1[[#This Row],[PC]]</f>
        <v>55.890000000000015</v>
      </c>
      <c r="K1776" s="15"/>
      <c r="L1776" s="15" t="str">
        <f t="shared" si="55"/>
        <v>COMPLEMENTO</v>
      </c>
    </row>
    <row r="1777" spans="1:12" x14ac:dyDescent="0.25">
      <c r="A1777" s="3" t="s">
        <v>3930</v>
      </c>
      <c r="B1777" s="3" t="s">
        <v>3931</v>
      </c>
      <c r="C1777" s="1">
        <v>20</v>
      </c>
      <c r="D1777" s="1">
        <v>9.6999999999999993</v>
      </c>
      <c r="E1777" s="1" t="s">
        <v>122</v>
      </c>
      <c r="F1777" s="1" t="s">
        <v>6473</v>
      </c>
      <c r="G1777" s="3" t="s">
        <v>3932</v>
      </c>
      <c r="H1777" s="11">
        <f t="shared" si="54"/>
        <v>52.36</v>
      </c>
      <c r="I1777" s="9">
        <f>($K$2+0.02)*Tabla1[[#This Row],[PRECIO $]]*1.18</f>
        <v>39.488699999999994</v>
      </c>
      <c r="J1777" s="7">
        <f>+Tabla1[[#This Row],[PRECIO EN SOLES]]-Tabla1[[#This Row],[PC]]</f>
        <v>12.871300000000005</v>
      </c>
      <c r="K1777" s="15"/>
      <c r="L1777" s="15" t="str">
        <f t="shared" si="55"/>
        <v>COMPLEMENTO</v>
      </c>
    </row>
    <row r="1778" spans="1:12" x14ac:dyDescent="0.25">
      <c r="A1778" s="3" t="s">
        <v>3933</v>
      </c>
      <c r="B1778" s="3" t="s">
        <v>3934</v>
      </c>
      <c r="C1778" s="1">
        <v>20</v>
      </c>
      <c r="D1778" s="1">
        <v>8.6999999999999993</v>
      </c>
      <c r="E1778" s="1" t="s">
        <v>122</v>
      </c>
      <c r="F1778" s="1" t="s">
        <v>6474</v>
      </c>
      <c r="G1778" s="3" t="s">
        <v>3935</v>
      </c>
      <c r="H1778" s="11">
        <f t="shared" si="54"/>
        <v>47.27</v>
      </c>
      <c r="I1778" s="9">
        <f>($K$2+0.02)*Tabla1[[#This Row],[PRECIO $]]*1.18</f>
        <v>35.417699999999996</v>
      </c>
      <c r="J1778" s="7">
        <f>+Tabla1[[#This Row],[PRECIO EN SOLES]]-Tabla1[[#This Row],[PC]]</f>
        <v>11.852300000000007</v>
      </c>
      <c r="K1778" s="15"/>
      <c r="L1778" s="15" t="str">
        <f t="shared" si="55"/>
        <v>COMPLEMENTO</v>
      </c>
    </row>
    <row r="1779" spans="1:12" x14ac:dyDescent="0.25">
      <c r="A1779" s="3" t="s">
        <v>3936</v>
      </c>
      <c r="B1779" s="3" t="s">
        <v>3934</v>
      </c>
      <c r="C1779" s="1">
        <v>20</v>
      </c>
      <c r="D1779" s="1">
        <v>14.3</v>
      </c>
      <c r="E1779" s="1" t="s">
        <v>122</v>
      </c>
      <c r="F1779" s="1" t="s">
        <v>6475</v>
      </c>
      <c r="G1779" s="3" t="s">
        <v>3937</v>
      </c>
      <c r="H1779" s="11">
        <f t="shared" si="54"/>
        <v>75.77</v>
      </c>
      <c r="I1779" s="9">
        <f>($K$2+0.02)*Tabla1[[#This Row],[PRECIO $]]*1.18</f>
        <v>58.215300000000006</v>
      </c>
      <c r="J1779" s="7">
        <f>+Tabla1[[#This Row],[PRECIO EN SOLES]]-Tabla1[[#This Row],[PC]]</f>
        <v>17.55469999999999</v>
      </c>
      <c r="K1779" s="15"/>
      <c r="L1779" s="15" t="str">
        <f t="shared" si="55"/>
        <v>COMPLEMENTO</v>
      </c>
    </row>
    <row r="1780" spans="1:12" x14ac:dyDescent="0.25">
      <c r="A1780" s="3" t="s">
        <v>3938</v>
      </c>
      <c r="B1780" s="3" t="s">
        <v>3939</v>
      </c>
      <c r="C1780" s="1">
        <v>0</v>
      </c>
      <c r="D1780" s="1">
        <v>15.5</v>
      </c>
      <c r="E1780" s="1" t="s">
        <v>122</v>
      </c>
      <c r="F1780" s="1" t="s">
        <v>6476</v>
      </c>
      <c r="G1780" s="3" t="s">
        <v>3940</v>
      </c>
      <c r="H1780" s="11">
        <f t="shared" si="54"/>
        <v>82.88</v>
      </c>
      <c r="I1780" s="9">
        <f>($K$2+0.02)*Tabla1[[#This Row],[PRECIO $]]*1.18</f>
        <v>63.100499999999997</v>
      </c>
      <c r="J1780" s="7">
        <f>+Tabla1[[#This Row],[PRECIO EN SOLES]]-Tabla1[[#This Row],[PC]]</f>
        <v>19.779499999999999</v>
      </c>
      <c r="K1780" s="15"/>
      <c r="L1780" s="15" t="str">
        <f t="shared" si="55"/>
        <v>COMPLEMENTO</v>
      </c>
    </row>
    <row r="1781" spans="1:12" x14ac:dyDescent="0.25">
      <c r="A1781" s="3" t="s">
        <v>3941</v>
      </c>
      <c r="B1781" s="3" t="s">
        <v>3942</v>
      </c>
      <c r="C1781" s="1">
        <v>0</v>
      </c>
      <c r="D1781" s="1">
        <v>9999</v>
      </c>
      <c r="E1781" s="1" t="s">
        <v>333</v>
      </c>
      <c r="F1781" s="1" t="s">
        <v>6477</v>
      </c>
      <c r="G1781" s="3"/>
      <c r="H1781" s="11">
        <f t="shared" si="54"/>
        <v>46819.82</v>
      </c>
      <c r="I1781" s="9">
        <f>($K$2+0.02)*Tabla1[[#This Row],[PRECIO $]]*1.18</f>
        <v>40705.929000000004</v>
      </c>
      <c r="J1781" s="7">
        <f>+Tabla1[[#This Row],[PRECIO EN SOLES]]-Tabla1[[#This Row],[PC]]</f>
        <v>6113.890999999996</v>
      </c>
      <c r="K1781" s="15"/>
      <c r="L1781" s="15" t="str">
        <f t="shared" si="55"/>
        <v>NORMAL</v>
      </c>
    </row>
    <row r="1782" spans="1:12" x14ac:dyDescent="0.25">
      <c r="A1782" s="3" t="s">
        <v>6478</v>
      </c>
      <c r="B1782" s="3" t="s">
        <v>6479</v>
      </c>
      <c r="C1782" s="1">
        <v>6</v>
      </c>
      <c r="D1782" s="1">
        <v>33.799999999999997</v>
      </c>
      <c r="E1782" s="1" t="s">
        <v>261</v>
      </c>
      <c r="F1782" s="1" t="s">
        <v>6480</v>
      </c>
      <c r="G1782" s="3" t="s">
        <v>6481</v>
      </c>
      <c r="H1782" s="11">
        <f t="shared" si="54"/>
        <v>164.24</v>
      </c>
      <c r="I1782" s="9">
        <f>($K$2+0.02)*Tabla1[[#This Row],[PRECIO $]]*1.18</f>
        <v>137.59979999999999</v>
      </c>
      <c r="J1782" s="7">
        <f>+Tabla1[[#This Row],[PRECIO EN SOLES]]-Tabla1[[#This Row],[PC]]</f>
        <v>26.640200000000021</v>
      </c>
      <c r="K1782" s="15"/>
      <c r="L1782" s="15" t="str">
        <f t="shared" si="55"/>
        <v>NORMAL</v>
      </c>
    </row>
    <row r="1783" spans="1:12" x14ac:dyDescent="0.25">
      <c r="A1783" s="3" t="s">
        <v>3943</v>
      </c>
      <c r="B1783" s="3" t="s">
        <v>3944</v>
      </c>
      <c r="C1783" s="1">
        <v>20</v>
      </c>
      <c r="D1783" s="1">
        <v>10</v>
      </c>
      <c r="E1783" s="1" t="s">
        <v>122</v>
      </c>
      <c r="F1783" s="1" t="s">
        <v>6482</v>
      </c>
      <c r="G1783" s="3" t="s">
        <v>3945</v>
      </c>
      <c r="H1783" s="11">
        <f t="shared" si="54"/>
        <v>53.89</v>
      </c>
      <c r="I1783" s="9">
        <f>($K$2+0.02)*Tabla1[[#This Row],[PRECIO $]]*1.18</f>
        <v>40.71</v>
      </c>
      <c r="J1783" s="7">
        <f>+Tabla1[[#This Row],[PRECIO EN SOLES]]-Tabla1[[#This Row],[PC]]</f>
        <v>13.18</v>
      </c>
      <c r="K1783" s="15"/>
      <c r="L1783" s="15" t="str">
        <f t="shared" si="55"/>
        <v>COMPLEMENTO</v>
      </c>
    </row>
    <row r="1784" spans="1:12" x14ac:dyDescent="0.25">
      <c r="A1784" s="3" t="s">
        <v>3946</v>
      </c>
      <c r="B1784" s="3" t="s">
        <v>3947</v>
      </c>
      <c r="C1784" s="1">
        <v>0</v>
      </c>
      <c r="D1784" s="1">
        <v>1100</v>
      </c>
      <c r="E1784" s="1" t="s">
        <v>131</v>
      </c>
      <c r="F1784" s="1" t="s">
        <v>6483</v>
      </c>
      <c r="G1784" s="3" t="s">
        <v>3948</v>
      </c>
      <c r="H1784" s="11">
        <f t="shared" si="54"/>
        <v>5602.63</v>
      </c>
      <c r="I1784" s="9">
        <f>($K$2+0.02)*Tabla1[[#This Row],[PRECIO $]]*1.18</f>
        <v>4478.0999999999995</v>
      </c>
      <c r="J1784" s="7">
        <f>+Tabla1[[#This Row],[PRECIO EN SOLES]]-Tabla1[[#This Row],[PC]]</f>
        <v>1124.5300000000007</v>
      </c>
      <c r="K1784" s="15"/>
      <c r="L1784" s="15" t="str">
        <f t="shared" si="55"/>
        <v>COMPLEMENTO</v>
      </c>
    </row>
    <row r="1785" spans="1:12" x14ac:dyDescent="0.25">
      <c r="A1785" s="3" t="s">
        <v>6484</v>
      </c>
      <c r="B1785" s="3" t="s">
        <v>6485</v>
      </c>
      <c r="C1785" s="1">
        <v>9</v>
      </c>
      <c r="D1785" s="1">
        <v>18.7</v>
      </c>
      <c r="E1785" s="1" t="s">
        <v>269</v>
      </c>
      <c r="F1785" s="1" t="s">
        <v>6486</v>
      </c>
      <c r="G1785" s="3" t="s">
        <v>6487</v>
      </c>
      <c r="H1785" s="11">
        <f t="shared" si="54"/>
        <v>91.55</v>
      </c>
      <c r="I1785" s="9">
        <f>($K$2+0.02)*Tabla1[[#This Row],[PRECIO $]]*1.18</f>
        <v>76.12769999999999</v>
      </c>
      <c r="J1785" s="7">
        <f>+Tabla1[[#This Row],[PRECIO EN SOLES]]-Tabla1[[#This Row],[PC]]</f>
        <v>15.422300000000007</v>
      </c>
      <c r="K1785" s="15"/>
      <c r="L1785" s="15" t="str">
        <f t="shared" si="55"/>
        <v>NORMAL</v>
      </c>
    </row>
    <row r="1786" spans="1:12" x14ac:dyDescent="0.25">
      <c r="A1786" s="3" t="s">
        <v>7170</v>
      </c>
      <c r="B1786" s="3" t="s">
        <v>7171</v>
      </c>
      <c r="C1786" s="1">
        <v>20</v>
      </c>
      <c r="D1786" s="1">
        <v>6.3</v>
      </c>
      <c r="E1786" s="1" t="s">
        <v>122</v>
      </c>
      <c r="F1786" s="1" t="s">
        <v>7172</v>
      </c>
      <c r="G1786" s="3" t="s">
        <v>7173</v>
      </c>
      <c r="H1786" s="11">
        <f t="shared" si="54"/>
        <v>35.06</v>
      </c>
      <c r="I1786" s="9">
        <f>($K$2+0.02)*Tabla1[[#This Row],[PRECIO $]]*1.18</f>
        <v>25.647299999999998</v>
      </c>
      <c r="J1786" s="7">
        <f>+Tabla1[[#This Row],[PRECIO EN SOLES]]-Tabla1[[#This Row],[PC]]</f>
        <v>9.4127000000000045</v>
      </c>
      <c r="K1786" s="15"/>
      <c r="L1786" s="15" t="str">
        <f t="shared" si="55"/>
        <v>COMPLEMENTO</v>
      </c>
    </row>
    <row r="1787" spans="1:12" x14ac:dyDescent="0.25">
      <c r="A1787" s="3" t="s">
        <v>3949</v>
      </c>
      <c r="B1787" s="3" t="s">
        <v>3950</v>
      </c>
      <c r="C1787" s="1">
        <v>0</v>
      </c>
      <c r="D1787" s="1">
        <v>999</v>
      </c>
      <c r="E1787" s="1" t="s">
        <v>242</v>
      </c>
      <c r="F1787" s="1" t="s">
        <v>6488</v>
      </c>
      <c r="G1787" s="3"/>
      <c r="H1787" s="11">
        <f t="shared" si="54"/>
        <v>5088.66</v>
      </c>
      <c r="I1787" s="9">
        <f>($K$2+0.02)*Tabla1[[#This Row],[PRECIO $]]*1.18</f>
        <v>4066.9290000000001</v>
      </c>
      <c r="J1787" s="7">
        <f>+Tabla1[[#This Row],[PRECIO EN SOLES]]-Tabla1[[#This Row],[PC]]</f>
        <v>1021.7309999999998</v>
      </c>
      <c r="K1787" s="15"/>
      <c r="L1787" s="15" t="str">
        <f t="shared" si="55"/>
        <v>COMPLEMENTO</v>
      </c>
    </row>
    <row r="1788" spans="1:12" x14ac:dyDescent="0.25">
      <c r="A1788" s="3" t="s">
        <v>3951</v>
      </c>
      <c r="B1788" s="3" t="s">
        <v>3952</v>
      </c>
      <c r="C1788" s="1">
        <v>20</v>
      </c>
      <c r="D1788" s="1">
        <v>8</v>
      </c>
      <c r="E1788" s="1" t="s">
        <v>122</v>
      </c>
      <c r="F1788" s="1" t="s">
        <v>6489</v>
      </c>
      <c r="G1788" s="3" t="s">
        <v>3953</v>
      </c>
      <c r="H1788" s="11">
        <f t="shared" si="54"/>
        <v>41.45</v>
      </c>
      <c r="I1788" s="9">
        <f>($K$2+0.02)*Tabla1[[#This Row],[PRECIO $]]*1.18</f>
        <v>32.567999999999998</v>
      </c>
      <c r="J1788" s="7">
        <f>+Tabla1[[#This Row],[PRECIO EN SOLES]]-Tabla1[[#This Row],[PC]]</f>
        <v>8.882000000000005</v>
      </c>
      <c r="K1788" s="15"/>
      <c r="L1788" s="15" t="str">
        <f t="shared" si="55"/>
        <v>NORMAL</v>
      </c>
    </row>
    <row r="1789" spans="1:12" x14ac:dyDescent="0.25">
      <c r="A1789" s="3" t="s">
        <v>3954</v>
      </c>
      <c r="B1789" s="3" t="s">
        <v>3955</v>
      </c>
      <c r="C1789" s="1">
        <v>20</v>
      </c>
      <c r="D1789" s="1">
        <v>19.3</v>
      </c>
      <c r="E1789" s="1" t="s">
        <v>122</v>
      </c>
      <c r="F1789" s="1" t="s">
        <v>6490</v>
      </c>
      <c r="G1789" s="3" t="s">
        <v>3956</v>
      </c>
      <c r="H1789" s="11">
        <f t="shared" si="54"/>
        <v>94.36</v>
      </c>
      <c r="I1789" s="9">
        <f>($K$2+0.02)*Tabla1[[#This Row],[PRECIO $]]*1.18</f>
        <v>78.570300000000003</v>
      </c>
      <c r="J1789" s="7">
        <f>+Tabla1[[#This Row],[PRECIO EN SOLES]]-Tabla1[[#This Row],[PC]]</f>
        <v>15.789699999999996</v>
      </c>
      <c r="K1789" s="15"/>
      <c r="L1789" s="15" t="str">
        <f t="shared" si="55"/>
        <v>NORMAL</v>
      </c>
    </row>
    <row r="1790" spans="1:12" x14ac:dyDescent="0.25">
      <c r="A1790" s="3" t="s">
        <v>3957</v>
      </c>
      <c r="B1790" s="3" t="s">
        <v>3958</v>
      </c>
      <c r="C1790" s="1">
        <v>0</v>
      </c>
      <c r="D1790" s="1">
        <v>145</v>
      </c>
      <c r="E1790" s="1" t="s">
        <v>126</v>
      </c>
      <c r="F1790" s="1" t="s">
        <v>6491</v>
      </c>
      <c r="G1790" s="3"/>
      <c r="H1790" s="11">
        <f t="shared" si="54"/>
        <v>686.84</v>
      </c>
      <c r="I1790" s="9">
        <f>($K$2+0.02)*Tabla1[[#This Row],[PRECIO $]]*1.18</f>
        <v>590.29499999999996</v>
      </c>
      <c r="J1790" s="7">
        <f>+Tabla1[[#This Row],[PRECIO EN SOLES]]-Tabla1[[#This Row],[PC]]</f>
        <v>96.545000000000073</v>
      </c>
      <c r="K1790" s="15"/>
      <c r="L1790" s="15" t="str">
        <f t="shared" si="55"/>
        <v>NORMAL</v>
      </c>
    </row>
    <row r="1791" spans="1:12" x14ac:dyDescent="0.25">
      <c r="A1791" s="3" t="s">
        <v>6492</v>
      </c>
      <c r="B1791" s="3" t="s">
        <v>6493</v>
      </c>
      <c r="C1791" s="1">
        <v>0</v>
      </c>
      <c r="D1791" s="1">
        <v>9999999.9900000002</v>
      </c>
      <c r="E1791" s="1" t="s">
        <v>997</v>
      </c>
      <c r="F1791" s="1" t="s">
        <v>6494</v>
      </c>
      <c r="G1791" s="3"/>
      <c r="H1791" s="11">
        <f t="shared" si="54"/>
        <v>46816507.950000003</v>
      </c>
      <c r="I1791" s="9">
        <f>($K$2+0.02)*Tabla1[[#This Row],[PRECIO $]]*1.18</f>
        <v>40709999.959290005</v>
      </c>
      <c r="J1791" s="7">
        <f>+Tabla1[[#This Row],[PRECIO EN SOLES]]-Tabla1[[#This Row],[PC]]</f>
        <v>6106507.9907099977</v>
      </c>
      <c r="K1791" s="15"/>
      <c r="L1791" s="15" t="str">
        <f t="shared" si="55"/>
        <v>NORMAL</v>
      </c>
    </row>
    <row r="1792" spans="1:12" x14ac:dyDescent="0.25">
      <c r="A1792" s="3" t="s">
        <v>3959</v>
      </c>
      <c r="B1792" s="3" t="s">
        <v>3960</v>
      </c>
      <c r="C1792" s="1">
        <v>20</v>
      </c>
      <c r="D1792" s="1">
        <v>149.6</v>
      </c>
      <c r="E1792" s="1" t="s">
        <v>997</v>
      </c>
      <c r="F1792" s="1" t="s">
        <v>6495</v>
      </c>
      <c r="G1792" s="3" t="s">
        <v>3961</v>
      </c>
      <c r="H1792" s="11">
        <f t="shared" si="54"/>
        <v>708.37</v>
      </c>
      <c r="I1792" s="9">
        <f>($K$2+0.02)*Tabla1[[#This Row],[PRECIO $]]*1.18</f>
        <v>609.02159999999992</v>
      </c>
      <c r="J1792" s="7">
        <f>+Tabla1[[#This Row],[PRECIO EN SOLES]]-Tabla1[[#This Row],[PC]]</f>
        <v>99.348400000000083</v>
      </c>
      <c r="K1792" s="15"/>
      <c r="L1792" s="15" t="str">
        <f t="shared" si="55"/>
        <v>NORMAL</v>
      </c>
    </row>
    <row r="1793" spans="1:12" x14ac:dyDescent="0.25">
      <c r="A1793" s="3" t="s">
        <v>6496</v>
      </c>
      <c r="B1793" s="3" t="s">
        <v>6497</v>
      </c>
      <c r="C1793" s="1">
        <v>20</v>
      </c>
      <c r="D1793" s="1">
        <v>62</v>
      </c>
      <c r="E1793" s="1" t="s">
        <v>997</v>
      </c>
      <c r="F1793" s="1" t="s">
        <v>6498</v>
      </c>
      <c r="G1793" s="3" t="s">
        <v>6499</v>
      </c>
      <c r="H1793" s="11">
        <f t="shared" si="54"/>
        <v>298.26</v>
      </c>
      <c r="I1793" s="9">
        <f>($K$2+0.02)*Tabla1[[#This Row],[PRECIO $]]*1.18</f>
        <v>252.40199999999999</v>
      </c>
      <c r="J1793" s="7">
        <f>+Tabla1[[#This Row],[PRECIO EN SOLES]]-Tabla1[[#This Row],[PC]]</f>
        <v>45.858000000000004</v>
      </c>
      <c r="K1793" s="15"/>
      <c r="L1793" s="15" t="str">
        <f t="shared" si="55"/>
        <v>NORMAL</v>
      </c>
    </row>
    <row r="1794" spans="1:12" x14ac:dyDescent="0.25">
      <c r="A1794" s="3" t="s">
        <v>3962</v>
      </c>
      <c r="B1794" s="3" t="s">
        <v>3963</v>
      </c>
      <c r="C1794" s="1">
        <v>0</v>
      </c>
      <c r="D1794" s="1">
        <v>78.099999999999994</v>
      </c>
      <c r="E1794" s="1" t="s">
        <v>997</v>
      </c>
      <c r="F1794" s="1" t="s">
        <v>6500</v>
      </c>
      <c r="G1794" s="3" t="s">
        <v>3964</v>
      </c>
      <c r="H1794" s="11">
        <f t="shared" ref="H1794:H1857" si="56">ROUND(
IF(L1794="GANCHO",
   IF(I1794&lt;=50,I1794*1.1+4,IF(I1794&lt;=120,I1794*1.1+7,IF(I1794&lt;=250,I1794*1.1+11,I1794*1.1+19))),
IF(L1794="NORMAL",
   IF(I1794&lt;=30,I1794*1.15+2,IF(I1794&lt;=80,I1794*1.15+4,IF(I1794&lt;=150,I1794*1.15+6,I1794*1.15+8))),
IF(L1794="COMPLEMENTO",
   IF(I1794&lt;=25,I1794*1.25+1.5,IF(I1794&lt;=60,I1794*1.25+3,IF(I1794&lt;=120,I1794*1.25+4,I1794*1.25+5))),
""))),2)</f>
        <v>373.64</v>
      </c>
      <c r="I1794" s="9">
        <f>($K$2+0.02)*Tabla1[[#This Row],[PRECIO $]]*1.18</f>
        <v>317.94509999999997</v>
      </c>
      <c r="J1794" s="7">
        <f>+Tabla1[[#This Row],[PRECIO EN SOLES]]-Tabla1[[#This Row],[PC]]</f>
        <v>55.694900000000018</v>
      </c>
      <c r="K1794" s="15"/>
      <c r="L1794" s="15" t="str">
        <f t="shared" si="55"/>
        <v>NORMAL</v>
      </c>
    </row>
    <row r="1795" spans="1:12" x14ac:dyDescent="0.25">
      <c r="A1795" s="3" t="s">
        <v>6501</v>
      </c>
      <c r="B1795" s="3" t="s">
        <v>6502</v>
      </c>
      <c r="C1795" s="1">
        <v>13</v>
      </c>
      <c r="D1795" s="1">
        <v>49</v>
      </c>
      <c r="E1795" s="1" t="s">
        <v>994</v>
      </c>
      <c r="F1795" s="1" t="s">
        <v>6503</v>
      </c>
      <c r="G1795" s="3" t="s">
        <v>6504</v>
      </c>
      <c r="H1795" s="11">
        <f t="shared" si="56"/>
        <v>237.4</v>
      </c>
      <c r="I1795" s="9">
        <f>($K$2+0.02)*Tabla1[[#This Row],[PRECIO $]]*1.18</f>
        <v>199.47900000000001</v>
      </c>
      <c r="J1795" s="7">
        <f>+Tabla1[[#This Row],[PRECIO EN SOLES]]-Tabla1[[#This Row],[PC]]</f>
        <v>37.920999999999992</v>
      </c>
      <c r="K1795" s="15"/>
      <c r="L1795" s="15" t="str">
        <f t="shared" ref="L1795:L1858" si="57">IF(
OR(
ISNUMBER(SEARCH("BACKPACK",B1795)),
ISNUMBER(SEARCH("MOCHILA",B1795)),
ISNUMBER(SEARCH("FUNDA",B1795)),
ISNUMBER(SEARCH("ESTUCHE",B1795)),
ISNUMBER(SEARCH("BOOK COVER",B1795)),
ISNUMBER(SEARCH("KEYBOARD PARA TABLET",B1795)),
ISNUMBER(SEARCH("FLIP TABLET",B1795)),
ISNUMBER(SEARCH("CASE FOR TABLET",B1795)),
ISNUMBER(SEARCH("CABLE",B1795)),
ISNUMBER(SEARCH("ADAPTADOR",B1795)),
ISNUMBER(SEARCH("HUB",B1795)),
ISNUMBER(SEARCH("DOCK",B1795)),
ISNUMBER(SEARCH("MOUSE PAD",B1795)),
ISNUMBER(SEARCH("MOUSEPAD",B1795)),
ISNUMBER(SEARCH("SOPORTE",B1795)),
ISNUMBER(SEARCH("STAND",B1795)),
ISNUMBER(SEARCH("TRAVEL ADAPTER",B1795)),
ISNUMBER(SEARCH("RJ45",B1795)),
ISNUMBER(SEARCH("USB-C",B1795)),
ISNUMBER(SEARCH("USB WIFI",B1795)),
ISNUMBER(SEARCH("POWERBANK",B1795)),
ISNUMBER(SEARCH("CARGADOR",B1795)),
ISNUMBER(SEARCH("COOLER PARA NB",B1795)),
ISNUMBER(SEARCH("SOPORTE PARA NB",B1795)),
ISNUMBER(SEARCH("WEBCAM",B1795)),
ISNUMBER(SEARCH("WEB CAM",B1795)),
ISNUMBER(SEARCH("MOUSE",B1795)),
ISNUMBER(SEARCH("TECLADO",B1795))
),
"COMPLEMENTO",
IF(
OR(
LEFT(A1795,2)="NB",
LEFT(A1795,2)="PC",
LEFT(A1795,2)="WS",
LEFT(A1795,2)="TB",
LEFT(A1795,3)="CEL",
LEFT(A1795,3)="MON",
LEFT(A1795,3)="PRE",
LEFT(A1795,3)="PRH",
ISNUMBER(SEARCH("NOTEBOOK",B1795)),
ISNUMBER(SEARCH("LAPTOP",B1795)),
ISNUMBER(SEARCH("MONITOR",B1795)),
ISNUMBER(SEARCH("TABLET",B1795)),
ISNUMBER(SEARCH("SMARTPH",B1795)),
ISNUMBER(SEARCH("IMPRESORA",B1795)),
ISNUMBER(SEARCH("MULTIFUNCIONAL",B1795)),
ISNUMBER(SEARCH("AIO",B1795))
),
"GANCHO",
"NORMAL"
)
)</f>
        <v>NORMAL</v>
      </c>
    </row>
    <row r="1796" spans="1:12" x14ac:dyDescent="0.25">
      <c r="A1796" s="3" t="s">
        <v>3965</v>
      </c>
      <c r="B1796" s="3" t="s">
        <v>3966</v>
      </c>
      <c r="C1796" s="1">
        <v>8</v>
      </c>
      <c r="D1796" s="1">
        <v>56.6</v>
      </c>
      <c r="E1796" s="1" t="s">
        <v>997</v>
      </c>
      <c r="F1796" s="1" t="s">
        <v>6505</v>
      </c>
      <c r="G1796" s="3" t="s">
        <v>3967</v>
      </c>
      <c r="H1796" s="11">
        <f t="shared" si="56"/>
        <v>272.98</v>
      </c>
      <c r="I1796" s="9">
        <f>($K$2+0.02)*Tabla1[[#This Row],[PRECIO $]]*1.18</f>
        <v>230.4186</v>
      </c>
      <c r="J1796" s="7">
        <f>+Tabla1[[#This Row],[PRECIO EN SOLES]]-Tabla1[[#This Row],[PC]]</f>
        <v>42.56140000000002</v>
      </c>
      <c r="K1796" s="15"/>
      <c r="L1796" s="15" t="str">
        <f t="shared" si="57"/>
        <v>NORMAL</v>
      </c>
    </row>
    <row r="1797" spans="1:12" x14ac:dyDescent="0.25">
      <c r="A1797" s="3" t="s">
        <v>3968</v>
      </c>
      <c r="B1797" s="3" t="s">
        <v>3969</v>
      </c>
      <c r="C1797" s="1">
        <v>9</v>
      </c>
      <c r="D1797" s="1">
        <v>54.5</v>
      </c>
      <c r="E1797" s="1" t="s">
        <v>994</v>
      </c>
      <c r="F1797" s="1" t="s">
        <v>6506</v>
      </c>
      <c r="G1797" s="3" t="s">
        <v>3970</v>
      </c>
      <c r="H1797" s="11">
        <f t="shared" si="56"/>
        <v>263.14999999999998</v>
      </c>
      <c r="I1797" s="9">
        <f>($K$2+0.02)*Tabla1[[#This Row],[PRECIO $]]*1.18</f>
        <v>221.86949999999999</v>
      </c>
      <c r="J1797" s="7">
        <f>+Tabla1[[#This Row],[PRECIO EN SOLES]]-Tabla1[[#This Row],[PC]]</f>
        <v>41.280499999999989</v>
      </c>
      <c r="K1797" s="15"/>
      <c r="L1797" s="15" t="str">
        <f t="shared" si="57"/>
        <v>NORMAL</v>
      </c>
    </row>
    <row r="1798" spans="1:12" x14ac:dyDescent="0.25">
      <c r="A1798" s="3" t="s">
        <v>3971</v>
      </c>
      <c r="B1798" s="3" t="s">
        <v>3972</v>
      </c>
      <c r="C1798" s="1">
        <v>11</v>
      </c>
      <c r="D1798" s="1">
        <v>182</v>
      </c>
      <c r="E1798" s="1" t="s">
        <v>226</v>
      </c>
      <c r="F1798" s="1" t="s">
        <v>6507</v>
      </c>
      <c r="G1798" s="3" t="s">
        <v>3973</v>
      </c>
      <c r="H1798" s="11">
        <f t="shared" si="56"/>
        <v>860.06</v>
      </c>
      <c r="I1798" s="9">
        <f>($K$2+0.02)*Tabla1[[#This Row],[PRECIO $]]*1.18</f>
        <v>740.92199999999991</v>
      </c>
      <c r="J1798" s="7">
        <f>+Tabla1[[#This Row],[PRECIO EN SOLES]]-Tabla1[[#This Row],[PC]]</f>
        <v>119.13800000000003</v>
      </c>
      <c r="K1798" s="15"/>
      <c r="L1798" s="15" t="str">
        <f t="shared" si="57"/>
        <v>NORMAL</v>
      </c>
    </row>
    <row r="1799" spans="1:12" x14ac:dyDescent="0.25">
      <c r="A1799" s="3" t="s">
        <v>3974</v>
      </c>
      <c r="B1799" s="3" t="s">
        <v>3975</v>
      </c>
      <c r="C1799" s="1">
        <v>9</v>
      </c>
      <c r="D1799" s="1">
        <v>306</v>
      </c>
      <c r="E1799" s="1" t="s">
        <v>226</v>
      </c>
      <c r="F1799" s="1" t="s">
        <v>6508</v>
      </c>
      <c r="G1799" s="3" t="s">
        <v>3976</v>
      </c>
      <c r="H1799" s="11">
        <f t="shared" si="56"/>
        <v>1440.58</v>
      </c>
      <c r="I1799" s="9">
        <f>($K$2+0.02)*Tabla1[[#This Row],[PRECIO $]]*1.18</f>
        <v>1245.7259999999999</v>
      </c>
      <c r="J1799" s="7">
        <f>+Tabla1[[#This Row],[PRECIO EN SOLES]]-Tabla1[[#This Row],[PC]]</f>
        <v>194.85400000000004</v>
      </c>
      <c r="K1799" s="15"/>
      <c r="L1799" s="15" t="str">
        <f t="shared" si="57"/>
        <v>NORMAL</v>
      </c>
    </row>
    <row r="1800" spans="1:12" x14ac:dyDescent="0.25">
      <c r="A1800" s="3" t="s">
        <v>3977</v>
      </c>
      <c r="B1800" s="3" t="s">
        <v>3978</v>
      </c>
      <c r="C1800" s="1">
        <v>20</v>
      </c>
      <c r="D1800" s="1">
        <v>50</v>
      </c>
      <c r="E1800" s="1" t="s">
        <v>994</v>
      </c>
      <c r="F1800" s="1" t="s">
        <v>6509</v>
      </c>
      <c r="G1800" s="3" t="s">
        <v>3979</v>
      </c>
      <c r="H1800" s="11">
        <f t="shared" si="56"/>
        <v>242.08</v>
      </c>
      <c r="I1800" s="9">
        <f>($K$2+0.02)*Tabla1[[#This Row],[PRECIO $]]*1.18</f>
        <v>203.54999999999998</v>
      </c>
      <c r="J1800" s="7">
        <f>+Tabla1[[#This Row],[PRECIO EN SOLES]]-Tabla1[[#This Row],[PC]]</f>
        <v>38.53000000000003</v>
      </c>
      <c r="K1800" s="15"/>
      <c r="L1800" s="15" t="str">
        <f t="shared" si="57"/>
        <v>NORMAL</v>
      </c>
    </row>
    <row r="1801" spans="1:12" x14ac:dyDescent="0.25">
      <c r="A1801" s="3" t="s">
        <v>3980</v>
      </c>
      <c r="B1801" s="3" t="s">
        <v>3981</v>
      </c>
      <c r="C1801" s="1">
        <v>1</v>
      </c>
      <c r="D1801" s="1">
        <v>64</v>
      </c>
      <c r="E1801" s="1" t="s">
        <v>997</v>
      </c>
      <c r="F1801" s="1" t="s">
        <v>6510</v>
      </c>
      <c r="G1801" s="3" t="s">
        <v>3982</v>
      </c>
      <c r="H1801" s="11">
        <f t="shared" si="56"/>
        <v>307.63</v>
      </c>
      <c r="I1801" s="9">
        <f>($K$2+0.02)*Tabla1[[#This Row],[PRECIO $]]*1.18</f>
        <v>260.54399999999998</v>
      </c>
      <c r="J1801" s="7">
        <f>+Tabla1[[#This Row],[PRECIO EN SOLES]]-Tabla1[[#This Row],[PC]]</f>
        <v>47.086000000000013</v>
      </c>
      <c r="K1801" s="15"/>
      <c r="L1801" s="15" t="str">
        <f t="shared" si="57"/>
        <v>NORMAL</v>
      </c>
    </row>
    <row r="1802" spans="1:12" x14ac:dyDescent="0.25">
      <c r="A1802" s="3" t="s">
        <v>3984</v>
      </c>
      <c r="B1802" s="3" t="s">
        <v>3983</v>
      </c>
      <c r="C1802" s="1">
        <v>8</v>
      </c>
      <c r="D1802" s="1">
        <v>103.2</v>
      </c>
      <c r="E1802" s="1" t="s">
        <v>997</v>
      </c>
      <c r="F1802" s="1" t="s">
        <v>6511</v>
      </c>
      <c r="G1802" s="3" t="s">
        <v>3985</v>
      </c>
      <c r="H1802" s="11">
        <f t="shared" si="56"/>
        <v>491.15</v>
      </c>
      <c r="I1802" s="9">
        <f>($K$2+0.02)*Tabla1[[#This Row],[PRECIO $]]*1.18</f>
        <v>420.12720000000002</v>
      </c>
      <c r="J1802" s="7">
        <f>+Tabla1[[#This Row],[PRECIO EN SOLES]]-Tabla1[[#This Row],[PC]]</f>
        <v>71.022799999999961</v>
      </c>
      <c r="K1802" s="15"/>
      <c r="L1802" s="15" t="str">
        <f t="shared" si="57"/>
        <v>NORMAL</v>
      </c>
    </row>
    <row r="1803" spans="1:12" x14ac:dyDescent="0.25">
      <c r="A1803" s="3" t="s">
        <v>3986</v>
      </c>
      <c r="B1803" s="3" t="s">
        <v>3983</v>
      </c>
      <c r="C1803" s="1">
        <v>20</v>
      </c>
      <c r="D1803" s="1">
        <v>141.6</v>
      </c>
      <c r="E1803" s="1" t="s">
        <v>997</v>
      </c>
      <c r="F1803" s="1" t="s">
        <v>6512</v>
      </c>
      <c r="G1803" s="3" t="s">
        <v>3987</v>
      </c>
      <c r="H1803" s="11">
        <f t="shared" si="56"/>
        <v>670.92</v>
      </c>
      <c r="I1803" s="9">
        <f>($K$2+0.02)*Tabla1[[#This Row],[PRECIO $]]*1.18</f>
        <v>576.45359999999994</v>
      </c>
      <c r="J1803" s="7">
        <f>+Tabla1[[#This Row],[PRECIO EN SOLES]]-Tabla1[[#This Row],[PC]]</f>
        <v>94.466400000000021</v>
      </c>
      <c r="K1803" s="15"/>
      <c r="L1803" s="15" t="str">
        <f t="shared" si="57"/>
        <v>NORMAL</v>
      </c>
    </row>
    <row r="1804" spans="1:12" x14ac:dyDescent="0.25">
      <c r="A1804" s="3" t="s">
        <v>3988</v>
      </c>
      <c r="B1804" s="3" t="s">
        <v>3983</v>
      </c>
      <c r="C1804" s="1">
        <v>2</v>
      </c>
      <c r="D1804" s="1">
        <v>70.400000000000006</v>
      </c>
      <c r="E1804" s="1" t="s">
        <v>997</v>
      </c>
      <c r="F1804" s="1" t="s">
        <v>6513</v>
      </c>
      <c r="G1804" s="3" t="s">
        <v>3989</v>
      </c>
      <c r="H1804" s="11">
        <f t="shared" si="56"/>
        <v>337.59</v>
      </c>
      <c r="I1804" s="9">
        <f>($K$2+0.02)*Tabla1[[#This Row],[PRECIO $]]*1.18</f>
        <v>286.59840000000003</v>
      </c>
      <c r="J1804" s="7">
        <f>+Tabla1[[#This Row],[PRECIO EN SOLES]]-Tabla1[[#This Row],[PC]]</f>
        <v>50.991599999999949</v>
      </c>
      <c r="K1804" s="15"/>
      <c r="L1804" s="15" t="str">
        <f t="shared" si="57"/>
        <v>NORMAL</v>
      </c>
    </row>
    <row r="1805" spans="1:12" x14ac:dyDescent="0.25">
      <c r="A1805" s="3" t="s">
        <v>3990</v>
      </c>
      <c r="B1805" s="3" t="s">
        <v>3991</v>
      </c>
      <c r="C1805" s="1">
        <v>11</v>
      </c>
      <c r="D1805" s="1">
        <v>155</v>
      </c>
      <c r="E1805" s="1" t="s">
        <v>994</v>
      </c>
      <c r="F1805" s="1" t="s">
        <v>6514</v>
      </c>
      <c r="G1805" s="3" t="s">
        <v>3992</v>
      </c>
      <c r="H1805" s="11">
        <f t="shared" si="56"/>
        <v>733.66</v>
      </c>
      <c r="I1805" s="9">
        <f>($K$2+0.02)*Tabla1[[#This Row],[PRECIO $]]*1.18</f>
        <v>631.005</v>
      </c>
      <c r="J1805" s="7">
        <f>+Tabla1[[#This Row],[PRECIO EN SOLES]]-Tabla1[[#This Row],[PC]]</f>
        <v>102.65499999999997</v>
      </c>
      <c r="K1805" s="15"/>
      <c r="L1805" s="15" t="str">
        <f t="shared" si="57"/>
        <v>NORMAL</v>
      </c>
    </row>
    <row r="1806" spans="1:12" x14ac:dyDescent="0.25">
      <c r="A1806" s="3" t="s">
        <v>6515</v>
      </c>
      <c r="B1806" s="3" t="s">
        <v>6516</v>
      </c>
      <c r="C1806" s="1">
        <v>16</v>
      </c>
      <c r="D1806" s="1">
        <v>306</v>
      </c>
      <c r="E1806" s="1" t="s">
        <v>997</v>
      </c>
      <c r="F1806" s="1" t="s">
        <v>6517</v>
      </c>
      <c r="G1806" s="3" t="s">
        <v>6518</v>
      </c>
      <c r="H1806" s="11">
        <f t="shared" si="56"/>
        <v>1440.58</v>
      </c>
      <c r="I1806" s="9">
        <f>($K$2+0.02)*Tabla1[[#This Row],[PRECIO $]]*1.18</f>
        <v>1245.7259999999999</v>
      </c>
      <c r="J1806" s="7">
        <f>+Tabla1[[#This Row],[PRECIO EN SOLES]]-Tabla1[[#This Row],[PC]]</f>
        <v>194.85400000000004</v>
      </c>
      <c r="K1806" s="15"/>
      <c r="L1806" s="15" t="str">
        <f t="shared" si="57"/>
        <v>NORMAL</v>
      </c>
    </row>
    <row r="1807" spans="1:12" x14ac:dyDescent="0.25">
      <c r="A1807" s="3" t="s">
        <v>3993</v>
      </c>
      <c r="B1807" s="3" t="s">
        <v>3994</v>
      </c>
      <c r="C1807" s="1">
        <v>17</v>
      </c>
      <c r="D1807" s="1">
        <v>548</v>
      </c>
      <c r="E1807" s="1" t="s">
        <v>997</v>
      </c>
      <c r="F1807" s="1" t="s">
        <v>6519</v>
      </c>
      <c r="G1807" s="3" t="s">
        <v>3995</v>
      </c>
      <c r="H1807" s="11">
        <f t="shared" si="56"/>
        <v>2573.54</v>
      </c>
      <c r="I1807" s="9">
        <f>($K$2+0.02)*Tabla1[[#This Row],[PRECIO $]]*1.18</f>
        <v>2230.9079999999999</v>
      </c>
      <c r="J1807" s="7">
        <f>+Tabla1[[#This Row],[PRECIO EN SOLES]]-Tabla1[[#This Row],[PC]]</f>
        <v>342.63200000000006</v>
      </c>
      <c r="K1807" s="15"/>
      <c r="L1807" s="15" t="str">
        <f t="shared" si="57"/>
        <v>NORMAL</v>
      </c>
    </row>
    <row r="1808" spans="1:12" x14ac:dyDescent="0.25">
      <c r="A1808" s="3" t="s">
        <v>3996</v>
      </c>
      <c r="B1808" s="3" t="s">
        <v>3997</v>
      </c>
      <c r="C1808" s="1">
        <v>3</v>
      </c>
      <c r="D1808" s="1">
        <v>718</v>
      </c>
      <c r="E1808" s="1" t="s">
        <v>997</v>
      </c>
      <c r="F1808" s="1" t="s">
        <v>6520</v>
      </c>
      <c r="G1808" s="3" t="s">
        <v>3998</v>
      </c>
      <c r="H1808" s="11">
        <f t="shared" si="56"/>
        <v>3369.42</v>
      </c>
      <c r="I1808" s="9">
        <f>($K$2+0.02)*Tabla1[[#This Row],[PRECIO $]]*1.18</f>
        <v>2922.9779999999996</v>
      </c>
      <c r="J1808" s="7">
        <f>+Tabla1[[#This Row],[PRECIO EN SOLES]]-Tabla1[[#This Row],[PC]]</f>
        <v>446.44200000000046</v>
      </c>
      <c r="K1808" s="15"/>
      <c r="L1808" s="15" t="str">
        <f t="shared" si="57"/>
        <v>NORMAL</v>
      </c>
    </row>
    <row r="1809" spans="1:12" x14ac:dyDescent="0.25">
      <c r="A1809" s="3" t="s">
        <v>6521</v>
      </c>
      <c r="B1809" s="3" t="s">
        <v>6522</v>
      </c>
      <c r="C1809" s="1">
        <v>2</v>
      </c>
      <c r="D1809" s="1">
        <v>1528</v>
      </c>
      <c r="E1809" s="1" t="s">
        <v>997</v>
      </c>
      <c r="F1809" s="1" t="s">
        <v>6523</v>
      </c>
      <c r="G1809" s="3" t="s">
        <v>6524</v>
      </c>
      <c r="H1809" s="11">
        <f t="shared" si="56"/>
        <v>7161.56</v>
      </c>
      <c r="I1809" s="9">
        <f>($K$2+0.02)*Tabla1[[#This Row],[PRECIO $]]*1.18</f>
        <v>6220.4880000000003</v>
      </c>
      <c r="J1809" s="7">
        <f>+Tabla1[[#This Row],[PRECIO EN SOLES]]-Tabla1[[#This Row],[PC]]</f>
        <v>941.07200000000012</v>
      </c>
      <c r="K1809" s="15"/>
      <c r="L1809" s="15" t="str">
        <f t="shared" si="57"/>
        <v>NORMAL</v>
      </c>
    </row>
    <row r="1810" spans="1:12" x14ac:dyDescent="0.25">
      <c r="A1810" s="3" t="s">
        <v>3999</v>
      </c>
      <c r="B1810" s="3" t="s">
        <v>4000</v>
      </c>
      <c r="C1810" s="1">
        <v>18</v>
      </c>
      <c r="D1810" s="1">
        <v>393</v>
      </c>
      <c r="E1810" s="1" t="s">
        <v>997</v>
      </c>
      <c r="F1810" s="1" t="s">
        <v>6525</v>
      </c>
      <c r="G1810" s="3" t="s">
        <v>4001</v>
      </c>
      <c r="H1810" s="11">
        <f t="shared" si="56"/>
        <v>1847.89</v>
      </c>
      <c r="I1810" s="9">
        <f>($K$2+0.02)*Tabla1[[#This Row],[PRECIO $]]*1.18</f>
        <v>1599.903</v>
      </c>
      <c r="J1810" s="7">
        <f>+Tabla1[[#This Row],[PRECIO EN SOLES]]-Tabla1[[#This Row],[PC]]</f>
        <v>247.98700000000008</v>
      </c>
      <c r="K1810" s="15"/>
      <c r="L1810" s="15" t="str">
        <f t="shared" si="57"/>
        <v>NORMAL</v>
      </c>
    </row>
    <row r="1811" spans="1:12" x14ac:dyDescent="0.25">
      <c r="A1811" s="3" t="s">
        <v>4002</v>
      </c>
      <c r="B1811" s="3" t="s">
        <v>4003</v>
      </c>
      <c r="C1811" s="1">
        <v>12</v>
      </c>
      <c r="D1811" s="1">
        <v>674</v>
      </c>
      <c r="E1811" s="1" t="s">
        <v>997</v>
      </c>
      <c r="F1811" s="1" t="s">
        <v>6526</v>
      </c>
      <c r="G1811" s="3" t="s">
        <v>4004</v>
      </c>
      <c r="H1811" s="11">
        <f t="shared" si="56"/>
        <v>3163.43</v>
      </c>
      <c r="I1811" s="9">
        <f>($K$2+0.02)*Tabla1[[#This Row],[PRECIO $]]*1.18</f>
        <v>2743.8540000000003</v>
      </c>
      <c r="J1811" s="7">
        <f>+Tabla1[[#This Row],[PRECIO EN SOLES]]-Tabla1[[#This Row],[PC]]</f>
        <v>419.57599999999957</v>
      </c>
      <c r="K1811" s="15"/>
      <c r="L1811" s="15" t="str">
        <f t="shared" si="57"/>
        <v>NORMAL</v>
      </c>
    </row>
    <row r="1812" spans="1:12" x14ac:dyDescent="0.25">
      <c r="A1812" s="3" t="s">
        <v>6527</v>
      </c>
      <c r="B1812" s="3" t="s">
        <v>6528</v>
      </c>
      <c r="C1812" s="1">
        <v>18</v>
      </c>
      <c r="D1812" s="1">
        <v>780</v>
      </c>
      <c r="E1812" s="1" t="s">
        <v>997</v>
      </c>
      <c r="F1812" s="1" t="s">
        <v>6529</v>
      </c>
      <c r="G1812" s="3" t="s">
        <v>6530</v>
      </c>
      <c r="H1812" s="11">
        <f t="shared" si="56"/>
        <v>3659.69</v>
      </c>
      <c r="I1812" s="9">
        <f>($K$2+0.02)*Tabla1[[#This Row],[PRECIO $]]*1.18</f>
        <v>3175.3799999999997</v>
      </c>
      <c r="J1812" s="7">
        <f>+Tabla1[[#This Row],[PRECIO EN SOLES]]-Tabla1[[#This Row],[PC]]</f>
        <v>484.3100000000004</v>
      </c>
      <c r="K1812" s="15"/>
      <c r="L1812" s="15" t="str">
        <f t="shared" si="57"/>
        <v>NORMAL</v>
      </c>
    </row>
    <row r="1813" spans="1:12" x14ac:dyDescent="0.25">
      <c r="A1813" s="3" t="s">
        <v>4005</v>
      </c>
      <c r="B1813" s="3" t="s">
        <v>4006</v>
      </c>
      <c r="C1813" s="1">
        <v>3</v>
      </c>
      <c r="D1813" s="1">
        <v>1542</v>
      </c>
      <c r="E1813" s="1" t="s">
        <v>997</v>
      </c>
      <c r="F1813" s="1" t="s">
        <v>6531</v>
      </c>
      <c r="G1813" s="3" t="s">
        <v>4007</v>
      </c>
      <c r="H1813" s="11">
        <f t="shared" si="56"/>
        <v>7227.1</v>
      </c>
      <c r="I1813" s="9">
        <f>($K$2+0.02)*Tabla1[[#This Row],[PRECIO $]]*1.18</f>
        <v>6277.482</v>
      </c>
      <c r="J1813" s="7">
        <f>+Tabla1[[#This Row],[PRECIO EN SOLES]]-Tabla1[[#This Row],[PC]]</f>
        <v>949.61800000000039</v>
      </c>
      <c r="K1813" s="15"/>
      <c r="L1813" s="15" t="str">
        <f t="shared" si="57"/>
        <v>NORMAL</v>
      </c>
    </row>
    <row r="1814" spans="1:12" x14ac:dyDescent="0.25">
      <c r="A1814" s="3" t="s">
        <v>4008</v>
      </c>
      <c r="B1814" s="3" t="s">
        <v>4009</v>
      </c>
      <c r="C1814" s="1">
        <v>20</v>
      </c>
      <c r="D1814" s="1">
        <v>278</v>
      </c>
      <c r="E1814" s="1" t="s">
        <v>997</v>
      </c>
      <c r="F1814" s="1" t="s">
        <v>6532</v>
      </c>
      <c r="G1814" s="3" t="s">
        <v>4010</v>
      </c>
      <c r="H1814" s="11">
        <f t="shared" si="56"/>
        <v>1309.5</v>
      </c>
      <c r="I1814" s="9">
        <f>($K$2+0.02)*Tabla1[[#This Row],[PRECIO $]]*1.18</f>
        <v>1131.7380000000001</v>
      </c>
      <c r="J1814" s="7">
        <f>+Tabla1[[#This Row],[PRECIO EN SOLES]]-Tabla1[[#This Row],[PC]]</f>
        <v>177.76199999999994</v>
      </c>
      <c r="K1814" s="15"/>
      <c r="L1814" s="15" t="str">
        <f t="shared" si="57"/>
        <v>NORMAL</v>
      </c>
    </row>
    <row r="1815" spans="1:12" x14ac:dyDescent="0.25">
      <c r="A1815" s="3" t="s">
        <v>4011</v>
      </c>
      <c r="B1815" s="3" t="s">
        <v>4012</v>
      </c>
      <c r="C1815" s="1">
        <v>20</v>
      </c>
      <c r="D1815" s="1">
        <v>390.6</v>
      </c>
      <c r="E1815" s="1" t="s">
        <v>997</v>
      </c>
      <c r="F1815" s="1" t="s">
        <v>6533</v>
      </c>
      <c r="G1815" s="3" t="s">
        <v>4013</v>
      </c>
      <c r="H1815" s="11">
        <f t="shared" si="56"/>
        <v>1836.65</v>
      </c>
      <c r="I1815" s="9">
        <f>($K$2+0.02)*Tabla1[[#This Row],[PRECIO $]]*1.18</f>
        <v>1590.1326000000001</v>
      </c>
      <c r="J1815" s="7">
        <f>+Tabla1[[#This Row],[PRECIO EN SOLES]]-Tabla1[[#This Row],[PC]]</f>
        <v>246.51739999999995</v>
      </c>
      <c r="K1815" s="15"/>
      <c r="L1815" s="15" t="str">
        <f t="shared" si="57"/>
        <v>NORMAL</v>
      </c>
    </row>
    <row r="1816" spans="1:12" x14ac:dyDescent="0.25">
      <c r="A1816" s="3" t="s">
        <v>4014</v>
      </c>
      <c r="B1816" s="3" t="s">
        <v>4015</v>
      </c>
      <c r="C1816" s="1">
        <v>20</v>
      </c>
      <c r="D1816" s="1">
        <v>581</v>
      </c>
      <c r="E1816" s="1" t="s">
        <v>997</v>
      </c>
      <c r="F1816" s="1" t="s">
        <v>6534</v>
      </c>
      <c r="G1816" s="3" t="s">
        <v>4016</v>
      </c>
      <c r="H1816" s="11">
        <f t="shared" si="56"/>
        <v>2728.04</v>
      </c>
      <c r="I1816" s="9">
        <f>($K$2+0.02)*Tabla1[[#This Row],[PRECIO $]]*1.18</f>
        <v>2365.2509999999997</v>
      </c>
      <c r="J1816" s="7">
        <f>+Tabla1[[#This Row],[PRECIO EN SOLES]]-Tabla1[[#This Row],[PC]]</f>
        <v>362.78900000000021</v>
      </c>
      <c r="K1816" s="15"/>
      <c r="L1816" s="15" t="str">
        <f t="shared" si="57"/>
        <v>NORMAL</v>
      </c>
    </row>
    <row r="1817" spans="1:12" x14ac:dyDescent="0.25">
      <c r="A1817" s="3" t="s">
        <v>4017</v>
      </c>
      <c r="B1817" s="3" t="s">
        <v>4018</v>
      </c>
      <c r="C1817" s="1">
        <v>0</v>
      </c>
      <c r="D1817" s="1">
        <v>1195</v>
      </c>
      <c r="E1817" s="1" t="s">
        <v>997</v>
      </c>
      <c r="F1817" s="1" t="s">
        <v>6535</v>
      </c>
      <c r="G1817" s="3" t="s">
        <v>4019</v>
      </c>
      <c r="H1817" s="11">
        <f t="shared" si="56"/>
        <v>5602.57</v>
      </c>
      <c r="I1817" s="9">
        <f>($K$2+0.02)*Tabla1[[#This Row],[PRECIO $]]*1.18</f>
        <v>4864.8449999999993</v>
      </c>
      <c r="J1817" s="7">
        <f>+Tabla1[[#This Row],[PRECIO EN SOLES]]-Tabla1[[#This Row],[PC]]</f>
        <v>737.72500000000036</v>
      </c>
      <c r="K1817" s="15"/>
      <c r="L1817" s="15" t="str">
        <f t="shared" si="57"/>
        <v>NORMAL</v>
      </c>
    </row>
    <row r="1818" spans="1:12" x14ac:dyDescent="0.25">
      <c r="A1818" s="3" t="s">
        <v>4020</v>
      </c>
      <c r="B1818" s="3" t="s">
        <v>4021</v>
      </c>
      <c r="C1818" s="1">
        <v>1</v>
      </c>
      <c r="D1818" s="1">
        <v>2260</v>
      </c>
      <c r="E1818" s="1" t="s">
        <v>997</v>
      </c>
      <c r="F1818" s="1" t="s">
        <v>6536</v>
      </c>
      <c r="G1818" s="3" t="s">
        <v>4022</v>
      </c>
      <c r="H1818" s="11">
        <f t="shared" si="56"/>
        <v>10588.53</v>
      </c>
      <c r="I1818" s="9">
        <f>($K$2+0.02)*Tabla1[[#This Row],[PRECIO $]]*1.18</f>
        <v>9200.4599999999991</v>
      </c>
      <c r="J1818" s="7">
        <f>+Tabla1[[#This Row],[PRECIO EN SOLES]]-Tabla1[[#This Row],[PC]]</f>
        <v>1388.0700000000015</v>
      </c>
      <c r="K1818" s="15"/>
      <c r="L1818" s="15" t="str">
        <f t="shared" si="57"/>
        <v>NORMAL</v>
      </c>
    </row>
    <row r="1819" spans="1:12" x14ac:dyDescent="0.25">
      <c r="A1819" s="3" t="s">
        <v>4023</v>
      </c>
      <c r="B1819" s="3" t="s">
        <v>4024</v>
      </c>
      <c r="C1819" s="1">
        <v>2</v>
      </c>
      <c r="D1819" s="1">
        <v>840</v>
      </c>
      <c r="E1819" s="1" t="s">
        <v>226</v>
      </c>
      <c r="F1819" s="1" t="s">
        <v>6537</v>
      </c>
      <c r="G1819" s="3" t="s">
        <v>4025</v>
      </c>
      <c r="H1819" s="11">
        <f t="shared" si="56"/>
        <v>3940.59</v>
      </c>
      <c r="I1819" s="9">
        <f>($K$2+0.02)*Tabla1[[#This Row],[PRECIO $]]*1.18</f>
        <v>3419.64</v>
      </c>
      <c r="J1819" s="7">
        <f>+Tabla1[[#This Row],[PRECIO EN SOLES]]-Tabla1[[#This Row],[PC]]</f>
        <v>520.95000000000027</v>
      </c>
      <c r="K1819" s="15"/>
      <c r="L1819" s="15" t="str">
        <f t="shared" si="57"/>
        <v>NORMAL</v>
      </c>
    </row>
    <row r="1820" spans="1:12" x14ac:dyDescent="0.25">
      <c r="A1820" s="3" t="s">
        <v>4026</v>
      </c>
      <c r="B1820" s="3" t="s">
        <v>4027</v>
      </c>
      <c r="C1820" s="1">
        <v>7</v>
      </c>
      <c r="D1820" s="1">
        <v>541</v>
      </c>
      <c r="E1820" s="1" t="s">
        <v>994</v>
      </c>
      <c r="F1820" s="1" t="s">
        <v>6538</v>
      </c>
      <c r="G1820" s="3" t="s">
        <v>4028</v>
      </c>
      <c r="H1820" s="11">
        <f t="shared" si="56"/>
        <v>2540.77</v>
      </c>
      <c r="I1820" s="9">
        <f>($K$2+0.02)*Tabla1[[#This Row],[PRECIO $]]*1.18</f>
        <v>2202.4110000000001</v>
      </c>
      <c r="J1820" s="7">
        <f>+Tabla1[[#This Row],[PRECIO EN SOLES]]-Tabla1[[#This Row],[PC]]</f>
        <v>338.35899999999992</v>
      </c>
      <c r="K1820" s="15"/>
      <c r="L1820" s="15" t="str">
        <f t="shared" si="57"/>
        <v>NORMAL</v>
      </c>
    </row>
    <row r="1821" spans="1:12" x14ac:dyDescent="0.25">
      <c r="A1821" s="3" t="s">
        <v>4029</v>
      </c>
      <c r="B1821" s="3" t="s">
        <v>4030</v>
      </c>
      <c r="C1821" s="1">
        <v>0</v>
      </c>
      <c r="D1821" s="1">
        <v>1570</v>
      </c>
      <c r="E1821" s="1" t="s">
        <v>226</v>
      </c>
      <c r="F1821" s="1" t="s">
        <v>6539</v>
      </c>
      <c r="G1821" s="3" t="s">
        <v>4031</v>
      </c>
      <c r="H1821" s="11">
        <f t="shared" si="56"/>
        <v>7358.19</v>
      </c>
      <c r="I1821" s="9">
        <f>($K$2+0.02)*Tabla1[[#This Row],[PRECIO $]]*1.18</f>
        <v>6391.4699999999993</v>
      </c>
      <c r="J1821" s="7">
        <f>+Tabla1[[#This Row],[PRECIO EN SOLES]]-Tabla1[[#This Row],[PC]]</f>
        <v>966.72000000000025</v>
      </c>
      <c r="K1821" s="15"/>
      <c r="L1821" s="15" t="str">
        <f t="shared" si="57"/>
        <v>NORMAL</v>
      </c>
    </row>
    <row r="1822" spans="1:12" x14ac:dyDescent="0.25">
      <c r="A1822" s="3" t="s">
        <v>4032</v>
      </c>
      <c r="B1822" s="3" t="s">
        <v>4033</v>
      </c>
      <c r="C1822" s="1">
        <v>0</v>
      </c>
      <c r="D1822" s="1">
        <v>4985</v>
      </c>
      <c r="E1822" s="1" t="s">
        <v>4034</v>
      </c>
      <c r="F1822" s="1" t="s">
        <v>6540</v>
      </c>
      <c r="G1822" s="3" t="s">
        <v>4035</v>
      </c>
      <c r="H1822" s="11">
        <f t="shared" si="56"/>
        <v>23346.03</v>
      </c>
      <c r="I1822" s="9">
        <f>($K$2+0.02)*Tabla1[[#This Row],[PRECIO $]]*1.18</f>
        <v>20293.934999999998</v>
      </c>
      <c r="J1822" s="7">
        <f>+Tabla1[[#This Row],[PRECIO EN SOLES]]-Tabla1[[#This Row],[PC]]</f>
        <v>3052.0950000000012</v>
      </c>
      <c r="K1822" s="15"/>
      <c r="L1822" s="15" t="str">
        <f t="shared" si="57"/>
        <v>NORMAL</v>
      </c>
    </row>
    <row r="1823" spans="1:12" x14ac:dyDescent="0.25">
      <c r="A1823" s="3" t="s">
        <v>4036</v>
      </c>
      <c r="B1823" s="3" t="s">
        <v>4037</v>
      </c>
      <c r="C1823" s="1">
        <v>1</v>
      </c>
      <c r="D1823" s="1">
        <v>5150</v>
      </c>
      <c r="E1823" s="1" t="s">
        <v>4034</v>
      </c>
      <c r="F1823" s="1" t="s">
        <v>6541</v>
      </c>
      <c r="G1823" s="3" t="s">
        <v>4038</v>
      </c>
      <c r="H1823" s="11">
        <f t="shared" si="56"/>
        <v>24118.5</v>
      </c>
      <c r="I1823" s="9">
        <f>($K$2+0.02)*Tabla1[[#This Row],[PRECIO $]]*1.18</f>
        <v>20965.649999999998</v>
      </c>
      <c r="J1823" s="7">
        <f>+Tabla1[[#This Row],[PRECIO EN SOLES]]-Tabla1[[#This Row],[PC]]</f>
        <v>3152.8500000000022</v>
      </c>
      <c r="K1823" s="15"/>
      <c r="L1823" s="15" t="str">
        <f t="shared" si="57"/>
        <v>NORMAL</v>
      </c>
    </row>
    <row r="1824" spans="1:12" x14ac:dyDescent="0.25">
      <c r="A1824" s="3" t="s">
        <v>4039</v>
      </c>
      <c r="B1824" s="3" t="s">
        <v>4040</v>
      </c>
      <c r="C1824" s="1">
        <v>1</v>
      </c>
      <c r="D1824" s="1">
        <v>7700</v>
      </c>
      <c r="E1824" s="1" t="s">
        <v>4034</v>
      </c>
      <c r="F1824" s="1" t="s">
        <v>6542</v>
      </c>
      <c r="G1824" s="3" t="s">
        <v>4041</v>
      </c>
      <c r="H1824" s="11">
        <f t="shared" si="56"/>
        <v>36056.71</v>
      </c>
      <c r="I1824" s="9">
        <f>($K$2+0.02)*Tabla1[[#This Row],[PRECIO $]]*1.18</f>
        <v>31346.699999999997</v>
      </c>
      <c r="J1824" s="7">
        <f>+Tabla1[[#This Row],[PRECIO EN SOLES]]-Tabla1[[#This Row],[PC]]</f>
        <v>4710.010000000002</v>
      </c>
      <c r="K1824" s="15"/>
      <c r="L1824" s="15" t="str">
        <f t="shared" si="57"/>
        <v>NORMAL</v>
      </c>
    </row>
    <row r="1825" spans="1:12" x14ac:dyDescent="0.25">
      <c r="A1825" s="3" t="s">
        <v>4042</v>
      </c>
      <c r="B1825" s="3" t="s">
        <v>4043</v>
      </c>
      <c r="C1825" s="1">
        <v>8</v>
      </c>
      <c r="D1825" s="1">
        <v>56.5</v>
      </c>
      <c r="E1825" s="1" t="s">
        <v>994</v>
      </c>
      <c r="F1825" s="1" t="s">
        <v>6543</v>
      </c>
      <c r="G1825" s="3"/>
      <c r="H1825" s="11">
        <f t="shared" si="56"/>
        <v>272.51</v>
      </c>
      <c r="I1825" s="9">
        <f>($K$2+0.02)*Tabla1[[#This Row],[PRECIO $]]*1.18</f>
        <v>230.01150000000001</v>
      </c>
      <c r="J1825" s="7">
        <f>+Tabla1[[#This Row],[PRECIO EN SOLES]]-Tabla1[[#This Row],[PC]]</f>
        <v>42.498499999999979</v>
      </c>
      <c r="K1825" s="15"/>
      <c r="L1825" s="15" t="str">
        <f t="shared" si="57"/>
        <v>NORMAL</v>
      </c>
    </row>
    <row r="1826" spans="1:12" x14ac:dyDescent="0.25">
      <c r="A1826" s="3" t="s">
        <v>6544</v>
      </c>
      <c r="B1826" s="3" t="s">
        <v>6545</v>
      </c>
      <c r="C1826" s="1">
        <v>7</v>
      </c>
      <c r="D1826" s="1">
        <v>30.8</v>
      </c>
      <c r="E1826" s="1" t="s">
        <v>997</v>
      </c>
      <c r="F1826" s="1" t="s">
        <v>6546</v>
      </c>
      <c r="G1826" s="3"/>
      <c r="H1826" s="11">
        <f t="shared" si="56"/>
        <v>150.19</v>
      </c>
      <c r="I1826" s="9">
        <f>($K$2+0.02)*Tabla1[[#This Row],[PRECIO $]]*1.18</f>
        <v>125.38679999999999</v>
      </c>
      <c r="J1826" s="7">
        <f>+Tabla1[[#This Row],[PRECIO EN SOLES]]-Tabla1[[#This Row],[PC]]</f>
        <v>24.803200000000004</v>
      </c>
      <c r="K1826" s="15"/>
      <c r="L1826" s="15" t="str">
        <f t="shared" si="57"/>
        <v>NORMAL</v>
      </c>
    </row>
    <row r="1827" spans="1:12" x14ac:dyDescent="0.25">
      <c r="A1827" s="3" t="s">
        <v>6547</v>
      </c>
      <c r="B1827" s="3" t="s">
        <v>6548</v>
      </c>
      <c r="C1827" s="1">
        <v>0</v>
      </c>
      <c r="D1827" s="1">
        <v>276</v>
      </c>
      <c r="E1827" s="1" t="s">
        <v>226</v>
      </c>
      <c r="F1827" s="1" t="s">
        <v>6549</v>
      </c>
      <c r="G1827" s="3"/>
      <c r="H1827" s="11">
        <f t="shared" si="56"/>
        <v>1254.96</v>
      </c>
      <c r="I1827" s="9">
        <f>($K$2+0.02)*Tabla1[[#This Row],[PRECIO $]]*1.18</f>
        <v>1123.596</v>
      </c>
      <c r="J1827" s="7">
        <f>+Tabla1[[#This Row],[PRECIO EN SOLES]]-Tabla1[[#This Row],[PC]]</f>
        <v>131.36400000000003</v>
      </c>
      <c r="K1827" s="15"/>
      <c r="L1827" s="15" t="str">
        <f t="shared" si="57"/>
        <v>GANCHO</v>
      </c>
    </row>
    <row r="1828" spans="1:12" x14ac:dyDescent="0.25">
      <c r="A1828" s="3" t="s">
        <v>4044</v>
      </c>
      <c r="B1828" s="3" t="s">
        <v>4045</v>
      </c>
      <c r="C1828" s="1">
        <v>2</v>
      </c>
      <c r="D1828" s="1">
        <v>500</v>
      </c>
      <c r="E1828" s="1" t="s">
        <v>226</v>
      </c>
      <c r="F1828" s="1" t="s">
        <v>6550</v>
      </c>
      <c r="G1828" s="3" t="s">
        <v>4046</v>
      </c>
      <c r="H1828" s="11">
        <f t="shared" si="56"/>
        <v>2348.83</v>
      </c>
      <c r="I1828" s="9">
        <f>($K$2+0.02)*Tabla1[[#This Row],[PRECIO $]]*1.18</f>
        <v>2035.5</v>
      </c>
      <c r="J1828" s="7">
        <f>+Tabla1[[#This Row],[PRECIO EN SOLES]]-Tabla1[[#This Row],[PC]]</f>
        <v>313.32999999999993</v>
      </c>
      <c r="K1828" s="15"/>
      <c r="L1828" s="15" t="str">
        <f t="shared" si="57"/>
        <v>NORMAL</v>
      </c>
    </row>
    <row r="1829" spans="1:12" x14ac:dyDescent="0.25">
      <c r="A1829" s="3" t="s">
        <v>4047</v>
      </c>
      <c r="B1829" s="3" t="s">
        <v>4048</v>
      </c>
      <c r="C1829" s="1">
        <v>1</v>
      </c>
      <c r="D1829" s="1">
        <v>177</v>
      </c>
      <c r="E1829" s="1" t="s">
        <v>997</v>
      </c>
      <c r="F1829" s="1" t="s">
        <v>6551</v>
      </c>
      <c r="G1829" s="3"/>
      <c r="H1829" s="11">
        <f t="shared" si="56"/>
        <v>836.65</v>
      </c>
      <c r="I1829" s="9">
        <f>($K$2+0.02)*Tabla1[[#This Row],[PRECIO $]]*1.18</f>
        <v>720.56699999999989</v>
      </c>
      <c r="J1829" s="7">
        <f>+Tabla1[[#This Row],[PRECIO EN SOLES]]-Tabla1[[#This Row],[PC]]</f>
        <v>116.08300000000008</v>
      </c>
      <c r="K1829" s="15"/>
      <c r="L1829" s="15" t="str">
        <f t="shared" si="57"/>
        <v>NORMAL</v>
      </c>
    </row>
    <row r="1830" spans="1:12" x14ac:dyDescent="0.25">
      <c r="A1830" s="3" t="s">
        <v>4049</v>
      </c>
      <c r="B1830" s="3" t="s">
        <v>4050</v>
      </c>
      <c r="C1830" s="1">
        <v>1</v>
      </c>
      <c r="D1830" s="1">
        <v>106.6</v>
      </c>
      <c r="E1830" s="1" t="s">
        <v>997</v>
      </c>
      <c r="F1830" s="1" t="s">
        <v>6552</v>
      </c>
      <c r="G1830" s="3" t="s">
        <v>4051</v>
      </c>
      <c r="H1830" s="11">
        <f t="shared" si="56"/>
        <v>507.06</v>
      </c>
      <c r="I1830" s="9">
        <f>($K$2+0.02)*Tabla1[[#This Row],[PRECIO $]]*1.18</f>
        <v>433.96859999999998</v>
      </c>
      <c r="J1830" s="7">
        <f>+Tabla1[[#This Row],[PRECIO EN SOLES]]-Tabla1[[#This Row],[PC]]</f>
        <v>73.091400000000021</v>
      </c>
      <c r="K1830" s="15"/>
      <c r="L1830" s="15" t="str">
        <f t="shared" si="57"/>
        <v>NORMAL</v>
      </c>
    </row>
    <row r="1831" spans="1:12" x14ac:dyDescent="0.25">
      <c r="A1831" s="3" t="s">
        <v>4052</v>
      </c>
      <c r="B1831" s="3" t="s">
        <v>4053</v>
      </c>
      <c r="C1831" s="1">
        <v>9</v>
      </c>
      <c r="D1831" s="1">
        <v>126.6</v>
      </c>
      <c r="E1831" s="1" t="s">
        <v>997</v>
      </c>
      <c r="F1831" s="1" t="s">
        <v>6553</v>
      </c>
      <c r="G1831" s="3" t="s">
        <v>4054</v>
      </c>
      <c r="H1831" s="11">
        <f t="shared" si="56"/>
        <v>600.70000000000005</v>
      </c>
      <c r="I1831" s="9">
        <f>($K$2+0.02)*Tabla1[[#This Row],[PRECIO $]]*1.18</f>
        <v>515.3886</v>
      </c>
      <c r="J1831" s="7">
        <f>+Tabla1[[#This Row],[PRECIO EN SOLES]]-Tabla1[[#This Row],[PC]]</f>
        <v>85.311400000000049</v>
      </c>
      <c r="K1831" s="15"/>
      <c r="L1831" s="15" t="str">
        <f t="shared" si="57"/>
        <v>NORMAL</v>
      </c>
    </row>
    <row r="1832" spans="1:12" x14ac:dyDescent="0.25">
      <c r="A1832" s="3" t="s">
        <v>4055</v>
      </c>
      <c r="B1832" s="3" t="s">
        <v>4056</v>
      </c>
      <c r="C1832" s="1">
        <v>6</v>
      </c>
      <c r="D1832" s="1">
        <v>142.6</v>
      </c>
      <c r="E1832" s="1" t="s">
        <v>997</v>
      </c>
      <c r="F1832" s="1" t="s">
        <v>6554</v>
      </c>
      <c r="G1832" s="3" t="s">
        <v>4057</v>
      </c>
      <c r="H1832" s="11">
        <f t="shared" si="56"/>
        <v>675.6</v>
      </c>
      <c r="I1832" s="9">
        <f>($K$2+0.02)*Tabla1[[#This Row],[PRECIO $]]*1.18</f>
        <v>580.52459999999996</v>
      </c>
      <c r="J1832" s="7">
        <f>+Tabla1[[#This Row],[PRECIO EN SOLES]]-Tabla1[[#This Row],[PC]]</f>
        <v>95.075400000000059</v>
      </c>
      <c r="K1832" s="15"/>
      <c r="L1832" s="15" t="str">
        <f t="shared" si="57"/>
        <v>NORMAL</v>
      </c>
    </row>
    <row r="1833" spans="1:12" x14ac:dyDescent="0.25">
      <c r="A1833" s="3" t="s">
        <v>4058</v>
      </c>
      <c r="B1833" s="3" t="s">
        <v>4059</v>
      </c>
      <c r="C1833" s="1">
        <v>6</v>
      </c>
      <c r="D1833" s="1">
        <v>17.7</v>
      </c>
      <c r="E1833" s="1" t="s">
        <v>226</v>
      </c>
      <c r="F1833" s="1" t="s">
        <v>6555</v>
      </c>
      <c r="G1833" s="3" t="s">
        <v>4060</v>
      </c>
      <c r="H1833" s="11">
        <f t="shared" si="56"/>
        <v>86.87</v>
      </c>
      <c r="I1833" s="9">
        <f>($K$2+0.02)*Tabla1[[#This Row],[PRECIO $]]*1.18</f>
        <v>72.056699999999992</v>
      </c>
      <c r="J1833" s="7">
        <f>+Tabla1[[#This Row],[PRECIO EN SOLES]]-Tabla1[[#This Row],[PC]]</f>
        <v>14.813300000000012</v>
      </c>
      <c r="K1833" s="15"/>
      <c r="L1833" s="15" t="str">
        <f t="shared" si="57"/>
        <v>NORMAL</v>
      </c>
    </row>
    <row r="1834" spans="1:12" x14ac:dyDescent="0.25">
      <c r="A1834" s="3" t="s">
        <v>6556</v>
      </c>
      <c r="B1834" s="3" t="s">
        <v>6557</v>
      </c>
      <c r="C1834" s="1">
        <v>20</v>
      </c>
      <c r="D1834" s="1">
        <v>88</v>
      </c>
      <c r="E1834" s="1" t="s">
        <v>226</v>
      </c>
      <c r="F1834" s="1" t="s">
        <v>6558</v>
      </c>
      <c r="G1834" s="3"/>
      <c r="H1834" s="11">
        <f t="shared" si="56"/>
        <v>419.99</v>
      </c>
      <c r="I1834" s="9">
        <f>($K$2+0.02)*Tabla1[[#This Row],[PRECIO $]]*1.18</f>
        <v>358.24799999999999</v>
      </c>
      <c r="J1834" s="7">
        <f>+Tabla1[[#This Row],[PRECIO EN SOLES]]-Tabla1[[#This Row],[PC]]</f>
        <v>61.742000000000019</v>
      </c>
      <c r="K1834" s="15"/>
      <c r="L1834" s="15" t="str">
        <f t="shared" si="57"/>
        <v>NORMAL</v>
      </c>
    </row>
    <row r="1835" spans="1:12" x14ac:dyDescent="0.25">
      <c r="A1835" s="3" t="s">
        <v>4061</v>
      </c>
      <c r="B1835" s="3" t="s">
        <v>4062</v>
      </c>
      <c r="C1835" s="1">
        <v>10</v>
      </c>
      <c r="D1835" s="1">
        <v>207</v>
      </c>
      <c r="E1835" s="1" t="s">
        <v>226</v>
      </c>
      <c r="F1835" s="1" t="s">
        <v>6559</v>
      </c>
      <c r="G1835" s="3" t="s">
        <v>4063</v>
      </c>
      <c r="H1835" s="11">
        <f t="shared" si="56"/>
        <v>977.1</v>
      </c>
      <c r="I1835" s="9">
        <f>($K$2+0.02)*Tabla1[[#This Row],[PRECIO $]]*1.18</f>
        <v>842.69700000000012</v>
      </c>
      <c r="J1835" s="7">
        <f>+Tabla1[[#This Row],[PRECIO EN SOLES]]-Tabla1[[#This Row],[PC]]</f>
        <v>134.40299999999991</v>
      </c>
      <c r="K1835" s="15"/>
      <c r="L1835" s="15" t="str">
        <f t="shared" si="57"/>
        <v>NORMAL</v>
      </c>
    </row>
    <row r="1836" spans="1:12" x14ac:dyDescent="0.25">
      <c r="A1836" s="3" t="s">
        <v>4064</v>
      </c>
      <c r="B1836" s="3" t="s">
        <v>4065</v>
      </c>
      <c r="C1836" s="1">
        <v>20</v>
      </c>
      <c r="D1836" s="1">
        <v>157</v>
      </c>
      <c r="E1836" s="1" t="s">
        <v>4034</v>
      </c>
      <c r="F1836" s="1" t="s">
        <v>6560</v>
      </c>
      <c r="G1836" s="3" t="s">
        <v>4066</v>
      </c>
      <c r="H1836" s="11">
        <f t="shared" si="56"/>
        <v>743.02</v>
      </c>
      <c r="I1836" s="9">
        <f>($K$2+0.02)*Tabla1[[#This Row],[PRECIO $]]*1.18</f>
        <v>639.14699999999993</v>
      </c>
      <c r="J1836" s="7">
        <f>+Tabla1[[#This Row],[PRECIO EN SOLES]]-Tabla1[[#This Row],[PC]]</f>
        <v>103.87300000000005</v>
      </c>
      <c r="K1836" s="15"/>
      <c r="L1836" s="15" t="str">
        <f t="shared" si="57"/>
        <v>NORMAL</v>
      </c>
    </row>
    <row r="1837" spans="1:12" x14ac:dyDescent="0.25">
      <c r="A1837" s="3" t="s">
        <v>4067</v>
      </c>
      <c r="B1837" s="3" t="s">
        <v>4068</v>
      </c>
      <c r="C1837" s="1">
        <v>20</v>
      </c>
      <c r="D1837" s="1">
        <v>110</v>
      </c>
      <c r="E1837" s="1" t="s">
        <v>994</v>
      </c>
      <c r="F1837" s="1" t="s">
        <v>6561</v>
      </c>
      <c r="G1837" s="3" t="s">
        <v>4069</v>
      </c>
      <c r="H1837" s="11">
        <f t="shared" si="56"/>
        <v>522.98</v>
      </c>
      <c r="I1837" s="9">
        <f>($K$2+0.02)*Tabla1[[#This Row],[PRECIO $]]*1.18</f>
        <v>447.81</v>
      </c>
      <c r="J1837" s="7">
        <f>+Tabla1[[#This Row],[PRECIO EN SOLES]]-Tabla1[[#This Row],[PC]]</f>
        <v>75.170000000000016</v>
      </c>
      <c r="K1837" s="15"/>
      <c r="L1837" s="15" t="str">
        <f t="shared" si="57"/>
        <v>NORMAL</v>
      </c>
    </row>
    <row r="1838" spans="1:12" x14ac:dyDescent="0.25">
      <c r="A1838" s="3" t="s">
        <v>4070</v>
      </c>
      <c r="B1838" s="3" t="s">
        <v>4071</v>
      </c>
      <c r="C1838" s="1">
        <v>1</v>
      </c>
      <c r="D1838" s="1">
        <v>75</v>
      </c>
      <c r="E1838" s="1" t="s">
        <v>2916</v>
      </c>
      <c r="F1838" s="1" t="s">
        <v>6562</v>
      </c>
      <c r="G1838" s="3"/>
      <c r="H1838" s="11">
        <f t="shared" si="56"/>
        <v>359.12</v>
      </c>
      <c r="I1838" s="9">
        <f>($K$2+0.02)*Tabla1[[#This Row],[PRECIO $]]*1.18</f>
        <v>305.32499999999999</v>
      </c>
      <c r="J1838" s="7">
        <f>+Tabla1[[#This Row],[PRECIO EN SOLES]]-Tabla1[[#This Row],[PC]]</f>
        <v>53.795000000000016</v>
      </c>
      <c r="K1838" s="15"/>
      <c r="L1838" s="15" t="str">
        <f t="shared" si="57"/>
        <v>NORMAL</v>
      </c>
    </row>
    <row r="1839" spans="1:12" x14ac:dyDescent="0.25">
      <c r="A1839" s="3" t="s">
        <v>6563</v>
      </c>
      <c r="B1839" s="3" t="s">
        <v>6564</v>
      </c>
      <c r="C1839" s="1">
        <v>6</v>
      </c>
      <c r="D1839" s="1">
        <v>1260</v>
      </c>
      <c r="E1839" s="1" t="s">
        <v>226</v>
      </c>
      <c r="F1839" s="1" t="s">
        <v>6565</v>
      </c>
      <c r="G1839" s="3" t="s">
        <v>6566</v>
      </c>
      <c r="H1839" s="11">
        <f t="shared" si="56"/>
        <v>5906.88</v>
      </c>
      <c r="I1839" s="9">
        <f>($K$2+0.02)*Tabla1[[#This Row],[PRECIO $]]*1.18</f>
        <v>5129.46</v>
      </c>
      <c r="J1839" s="7">
        <f>+Tabla1[[#This Row],[PRECIO EN SOLES]]-Tabla1[[#This Row],[PC]]</f>
        <v>777.42000000000007</v>
      </c>
      <c r="K1839" s="15"/>
      <c r="L1839" s="15" t="str">
        <f t="shared" si="57"/>
        <v>NORMAL</v>
      </c>
    </row>
    <row r="1840" spans="1:12" x14ac:dyDescent="0.25">
      <c r="A1840" s="3" t="s">
        <v>4072</v>
      </c>
      <c r="B1840" s="3" t="s">
        <v>4073</v>
      </c>
      <c r="C1840" s="1">
        <v>17</v>
      </c>
      <c r="D1840" s="1">
        <v>15.8</v>
      </c>
      <c r="E1840" s="1" t="s">
        <v>226</v>
      </c>
      <c r="F1840" s="1" t="s">
        <v>6567</v>
      </c>
      <c r="G1840" s="3" t="s">
        <v>4074</v>
      </c>
      <c r="H1840" s="11">
        <f t="shared" si="56"/>
        <v>77.97</v>
      </c>
      <c r="I1840" s="9">
        <f>($K$2+0.02)*Tabla1[[#This Row],[PRECIO $]]*1.18</f>
        <v>64.321799999999996</v>
      </c>
      <c r="J1840" s="7">
        <f>+Tabla1[[#This Row],[PRECIO EN SOLES]]-Tabla1[[#This Row],[PC]]</f>
        <v>13.648200000000003</v>
      </c>
      <c r="K1840" s="15"/>
      <c r="L1840" s="15" t="str">
        <f t="shared" si="57"/>
        <v>NORMAL</v>
      </c>
    </row>
    <row r="1841" spans="1:12" x14ac:dyDescent="0.25">
      <c r="A1841" s="3" t="s">
        <v>7174</v>
      </c>
      <c r="B1841" s="3" t="s">
        <v>7175</v>
      </c>
      <c r="C1841" s="1">
        <v>20</v>
      </c>
      <c r="D1841" s="1">
        <v>304.7</v>
      </c>
      <c r="E1841" s="1" t="s">
        <v>456</v>
      </c>
      <c r="F1841" s="1" t="s">
        <v>7176</v>
      </c>
      <c r="G1841" s="3" t="s">
        <v>7177</v>
      </c>
      <c r="H1841" s="11">
        <f t="shared" si="56"/>
        <v>1434.5</v>
      </c>
      <c r="I1841" s="9">
        <f>($K$2+0.02)*Tabla1[[#This Row],[PRECIO $]]*1.18</f>
        <v>1240.4336999999998</v>
      </c>
      <c r="J1841" s="7">
        <f>+Tabla1[[#This Row],[PRECIO EN SOLES]]-Tabla1[[#This Row],[PC]]</f>
        <v>194.06630000000018</v>
      </c>
      <c r="K1841" s="15"/>
      <c r="L1841" s="15" t="str">
        <f t="shared" si="57"/>
        <v>NORMAL</v>
      </c>
    </row>
    <row r="1842" spans="1:12" x14ac:dyDescent="0.25">
      <c r="A1842" s="3" t="s">
        <v>4075</v>
      </c>
      <c r="B1842" s="3" t="s">
        <v>4076</v>
      </c>
      <c r="C1842" s="1">
        <v>9</v>
      </c>
      <c r="D1842" s="1">
        <v>144</v>
      </c>
      <c r="E1842" s="1" t="s">
        <v>456</v>
      </c>
      <c r="F1842" s="1" t="s">
        <v>6568</v>
      </c>
      <c r="G1842" s="3" t="s">
        <v>4077</v>
      </c>
      <c r="H1842" s="11">
        <f t="shared" si="56"/>
        <v>682.16</v>
      </c>
      <c r="I1842" s="9">
        <f>($K$2+0.02)*Tabla1[[#This Row],[PRECIO $]]*1.18</f>
        <v>586.22399999999993</v>
      </c>
      <c r="J1842" s="7">
        <f>+Tabla1[[#This Row],[PRECIO EN SOLES]]-Tabla1[[#This Row],[PC]]</f>
        <v>95.936000000000035</v>
      </c>
      <c r="K1842" s="15"/>
      <c r="L1842" s="15" t="str">
        <f t="shared" si="57"/>
        <v>NORMAL</v>
      </c>
    </row>
    <row r="1843" spans="1:12" x14ac:dyDescent="0.25">
      <c r="A1843" s="3" t="s">
        <v>4078</v>
      </c>
      <c r="B1843" s="3" t="s">
        <v>4079</v>
      </c>
      <c r="C1843" s="1">
        <v>20</v>
      </c>
      <c r="D1843" s="1">
        <v>679</v>
      </c>
      <c r="E1843" s="1" t="s">
        <v>340</v>
      </c>
      <c r="F1843" s="1" t="s">
        <v>6569</v>
      </c>
      <c r="G1843" s="3" t="s">
        <v>4080</v>
      </c>
      <c r="H1843" s="11">
        <f t="shared" si="56"/>
        <v>3186.84</v>
      </c>
      <c r="I1843" s="9">
        <f>($K$2+0.02)*Tabla1[[#This Row],[PRECIO $]]*1.18</f>
        <v>2764.2090000000003</v>
      </c>
      <c r="J1843" s="7">
        <f>+Tabla1[[#This Row],[PRECIO EN SOLES]]-Tabla1[[#This Row],[PC]]</f>
        <v>422.63099999999986</v>
      </c>
      <c r="K1843" s="15"/>
      <c r="L1843" s="15" t="str">
        <f t="shared" si="57"/>
        <v>NORMAL</v>
      </c>
    </row>
    <row r="1844" spans="1:12" x14ac:dyDescent="0.25">
      <c r="A1844" s="3" t="s">
        <v>4081</v>
      </c>
      <c r="B1844" s="3" t="s">
        <v>4082</v>
      </c>
      <c r="C1844" s="1">
        <v>20</v>
      </c>
      <c r="D1844" s="1">
        <v>754</v>
      </c>
      <c r="E1844" s="1" t="s">
        <v>340</v>
      </c>
      <c r="F1844" s="1" t="s">
        <v>6570</v>
      </c>
      <c r="G1844" s="3" t="s">
        <v>4083</v>
      </c>
      <c r="H1844" s="11">
        <f t="shared" si="56"/>
        <v>3537.96</v>
      </c>
      <c r="I1844" s="9">
        <f>($K$2+0.02)*Tabla1[[#This Row],[PRECIO $]]*1.18</f>
        <v>3069.5340000000001</v>
      </c>
      <c r="J1844" s="7">
        <f>+Tabla1[[#This Row],[PRECIO EN SOLES]]-Tabla1[[#This Row],[PC]]</f>
        <v>468.42599999999993</v>
      </c>
      <c r="K1844" s="15"/>
      <c r="L1844" s="15" t="str">
        <f t="shared" si="57"/>
        <v>NORMAL</v>
      </c>
    </row>
    <row r="1845" spans="1:12" x14ac:dyDescent="0.25">
      <c r="A1845" s="3" t="s">
        <v>4084</v>
      </c>
      <c r="B1845" s="3" t="s">
        <v>4085</v>
      </c>
      <c r="C1845" s="1">
        <v>20</v>
      </c>
      <c r="D1845" s="1">
        <v>706</v>
      </c>
      <c r="E1845" s="1" t="s">
        <v>340</v>
      </c>
      <c r="F1845" s="1" t="s">
        <v>6571</v>
      </c>
      <c r="G1845" s="3" t="s">
        <v>4086</v>
      </c>
      <c r="H1845" s="11">
        <f t="shared" si="56"/>
        <v>3313.24</v>
      </c>
      <c r="I1845" s="9">
        <f>($K$2+0.02)*Tabla1[[#This Row],[PRECIO $]]*1.18</f>
        <v>2874.1260000000002</v>
      </c>
      <c r="J1845" s="7">
        <f>+Tabla1[[#This Row],[PRECIO EN SOLES]]-Tabla1[[#This Row],[PC]]</f>
        <v>439.11399999999958</v>
      </c>
      <c r="K1845" s="15"/>
      <c r="L1845" s="15" t="str">
        <f t="shared" si="57"/>
        <v>NORMAL</v>
      </c>
    </row>
    <row r="1846" spans="1:12" x14ac:dyDescent="0.25">
      <c r="A1846" s="3" t="s">
        <v>6572</v>
      </c>
      <c r="B1846" s="3" t="s">
        <v>6573</v>
      </c>
      <c r="C1846" s="1">
        <v>15</v>
      </c>
      <c r="D1846" s="1">
        <v>856</v>
      </c>
      <c r="E1846" s="1" t="s">
        <v>340</v>
      </c>
      <c r="F1846" s="1" t="s">
        <v>6574</v>
      </c>
      <c r="G1846" s="3"/>
      <c r="H1846" s="11">
        <f t="shared" si="56"/>
        <v>4015.49</v>
      </c>
      <c r="I1846" s="9">
        <f>($K$2+0.02)*Tabla1[[#This Row],[PRECIO $]]*1.18</f>
        <v>3484.7760000000003</v>
      </c>
      <c r="J1846" s="7">
        <f>+Tabla1[[#This Row],[PRECIO EN SOLES]]-Tabla1[[#This Row],[PC]]</f>
        <v>530.71399999999949</v>
      </c>
      <c r="K1846" s="15"/>
      <c r="L1846" s="15" t="str">
        <f t="shared" si="57"/>
        <v>NORMAL</v>
      </c>
    </row>
    <row r="1847" spans="1:12" x14ac:dyDescent="0.25">
      <c r="A1847" s="3" t="s">
        <v>4087</v>
      </c>
      <c r="B1847" s="3" t="s">
        <v>4088</v>
      </c>
      <c r="C1847" s="1">
        <v>20</v>
      </c>
      <c r="D1847" s="1">
        <v>775</v>
      </c>
      <c r="E1847" s="1" t="s">
        <v>442</v>
      </c>
      <c r="F1847" s="1" t="s">
        <v>6575</v>
      </c>
      <c r="G1847" s="3" t="s">
        <v>4089</v>
      </c>
      <c r="H1847" s="11">
        <f t="shared" si="56"/>
        <v>3636.28</v>
      </c>
      <c r="I1847" s="9">
        <f>($K$2+0.02)*Tabla1[[#This Row],[PRECIO $]]*1.18</f>
        <v>3155.0249999999996</v>
      </c>
      <c r="J1847" s="7">
        <f>+Tabla1[[#This Row],[PRECIO EN SOLES]]-Tabla1[[#This Row],[PC]]</f>
        <v>481.25500000000056</v>
      </c>
      <c r="K1847" s="15"/>
      <c r="L1847" s="15" t="str">
        <f t="shared" si="57"/>
        <v>NORMAL</v>
      </c>
    </row>
    <row r="1848" spans="1:12" x14ac:dyDescent="0.25">
      <c r="A1848" s="3" t="s">
        <v>4090</v>
      </c>
      <c r="B1848" s="3" t="s">
        <v>4091</v>
      </c>
      <c r="C1848" s="1">
        <v>19</v>
      </c>
      <c r="D1848" s="1">
        <v>885</v>
      </c>
      <c r="E1848" s="1" t="s">
        <v>442</v>
      </c>
      <c r="F1848" s="1" t="s">
        <v>6576</v>
      </c>
      <c r="G1848" s="3" t="s">
        <v>4092</v>
      </c>
      <c r="H1848" s="11">
        <f t="shared" si="56"/>
        <v>4151.26</v>
      </c>
      <c r="I1848" s="9">
        <f>($K$2+0.02)*Tabla1[[#This Row],[PRECIO $]]*1.18</f>
        <v>3602.835</v>
      </c>
      <c r="J1848" s="7">
        <f>+Tabla1[[#This Row],[PRECIO EN SOLES]]-Tabla1[[#This Row],[PC]]</f>
        <v>548.42500000000018</v>
      </c>
      <c r="K1848" s="15"/>
      <c r="L1848" s="15" t="str">
        <f t="shared" si="57"/>
        <v>NORMAL</v>
      </c>
    </row>
    <row r="1849" spans="1:12" x14ac:dyDescent="0.25">
      <c r="A1849" s="3" t="s">
        <v>4093</v>
      </c>
      <c r="B1849" s="3" t="s">
        <v>4094</v>
      </c>
      <c r="C1849" s="1">
        <v>20</v>
      </c>
      <c r="D1849" s="1">
        <v>752</v>
      </c>
      <c r="E1849" s="1" t="s">
        <v>442</v>
      </c>
      <c r="F1849" s="1" t="s">
        <v>6577</v>
      </c>
      <c r="G1849" s="3" t="s">
        <v>4095</v>
      </c>
      <c r="H1849" s="11">
        <f t="shared" si="56"/>
        <v>3528.6</v>
      </c>
      <c r="I1849" s="9">
        <f>($K$2+0.02)*Tabla1[[#This Row],[PRECIO $]]*1.18</f>
        <v>3061.3919999999998</v>
      </c>
      <c r="J1849" s="7">
        <f>+Tabla1[[#This Row],[PRECIO EN SOLES]]-Tabla1[[#This Row],[PC]]</f>
        <v>467.20800000000008</v>
      </c>
      <c r="K1849" s="15"/>
      <c r="L1849" s="15" t="str">
        <f t="shared" si="57"/>
        <v>NORMAL</v>
      </c>
    </row>
    <row r="1850" spans="1:12" x14ac:dyDescent="0.25">
      <c r="A1850" s="3" t="s">
        <v>4096</v>
      </c>
      <c r="B1850" s="3" t="s">
        <v>4097</v>
      </c>
      <c r="C1850" s="1">
        <v>20</v>
      </c>
      <c r="D1850" s="1">
        <v>742</v>
      </c>
      <c r="E1850" s="1" t="s">
        <v>442</v>
      </c>
      <c r="F1850" s="1" t="s">
        <v>6578</v>
      </c>
      <c r="G1850" s="3" t="s">
        <v>4098</v>
      </c>
      <c r="H1850" s="11">
        <f t="shared" si="56"/>
        <v>3481.78</v>
      </c>
      <c r="I1850" s="9">
        <f>($K$2+0.02)*Tabla1[[#This Row],[PRECIO $]]*1.18</f>
        <v>3020.6819999999998</v>
      </c>
      <c r="J1850" s="7">
        <f>+Tabla1[[#This Row],[PRECIO EN SOLES]]-Tabla1[[#This Row],[PC]]</f>
        <v>461.09800000000041</v>
      </c>
      <c r="K1850" s="15"/>
      <c r="L1850" s="15" t="str">
        <f t="shared" si="57"/>
        <v>NORMAL</v>
      </c>
    </row>
    <row r="1851" spans="1:12" x14ac:dyDescent="0.25">
      <c r="A1851" s="3" t="s">
        <v>4099</v>
      </c>
      <c r="B1851" s="3" t="s">
        <v>4100</v>
      </c>
      <c r="C1851" s="1">
        <v>14</v>
      </c>
      <c r="D1851" s="1">
        <v>779</v>
      </c>
      <c r="E1851" s="1" t="s">
        <v>442</v>
      </c>
      <c r="F1851" s="1" t="s">
        <v>6579</v>
      </c>
      <c r="G1851" s="3" t="s">
        <v>4101</v>
      </c>
      <c r="H1851" s="11">
        <f t="shared" si="56"/>
        <v>3655.01</v>
      </c>
      <c r="I1851" s="9">
        <f>($K$2+0.02)*Tabla1[[#This Row],[PRECIO $]]*1.18</f>
        <v>3171.3090000000002</v>
      </c>
      <c r="J1851" s="7">
        <f>+Tabla1[[#This Row],[PRECIO EN SOLES]]-Tabla1[[#This Row],[PC]]</f>
        <v>483.70100000000002</v>
      </c>
      <c r="K1851" s="15"/>
      <c r="L1851" s="15" t="str">
        <f t="shared" si="57"/>
        <v>NORMAL</v>
      </c>
    </row>
    <row r="1852" spans="1:12" x14ac:dyDescent="0.25">
      <c r="A1852" s="3" t="s">
        <v>4102</v>
      </c>
      <c r="B1852" s="3" t="s">
        <v>4103</v>
      </c>
      <c r="C1852" s="1">
        <v>15</v>
      </c>
      <c r="D1852" s="1">
        <v>805</v>
      </c>
      <c r="E1852" s="1" t="s">
        <v>355</v>
      </c>
      <c r="F1852" s="1" t="s">
        <v>6580</v>
      </c>
      <c r="G1852" s="3" t="s">
        <v>4104</v>
      </c>
      <c r="H1852" s="11">
        <f t="shared" si="56"/>
        <v>3776.73</v>
      </c>
      <c r="I1852" s="9">
        <f>($K$2+0.02)*Tabla1[[#This Row],[PRECIO $]]*1.18</f>
        <v>3277.1549999999997</v>
      </c>
      <c r="J1852" s="7">
        <f>+Tabla1[[#This Row],[PRECIO EN SOLES]]-Tabla1[[#This Row],[PC]]</f>
        <v>499.57500000000027</v>
      </c>
      <c r="K1852" s="15"/>
      <c r="L1852" s="15" t="str">
        <f t="shared" si="57"/>
        <v>NORMAL</v>
      </c>
    </row>
    <row r="1853" spans="1:12" x14ac:dyDescent="0.25">
      <c r="A1853" s="3" t="s">
        <v>4105</v>
      </c>
      <c r="B1853" s="3" t="s">
        <v>4106</v>
      </c>
      <c r="C1853" s="1">
        <v>20</v>
      </c>
      <c r="D1853" s="1">
        <v>566</v>
      </c>
      <c r="E1853" s="1" t="s">
        <v>340</v>
      </c>
      <c r="F1853" s="1" t="s">
        <v>6581</v>
      </c>
      <c r="G1853" s="3" t="s">
        <v>4107</v>
      </c>
      <c r="H1853" s="11">
        <f t="shared" si="56"/>
        <v>2657.81</v>
      </c>
      <c r="I1853" s="9">
        <f>($K$2+0.02)*Tabla1[[#This Row],[PRECIO $]]*1.18</f>
        <v>2304.1860000000001</v>
      </c>
      <c r="J1853" s="7">
        <f>+Tabla1[[#This Row],[PRECIO EN SOLES]]-Tabla1[[#This Row],[PC]]</f>
        <v>353.6239999999998</v>
      </c>
      <c r="K1853" s="15"/>
      <c r="L1853" s="15" t="str">
        <f t="shared" si="57"/>
        <v>NORMAL</v>
      </c>
    </row>
    <row r="1854" spans="1:12" x14ac:dyDescent="0.25">
      <c r="A1854" s="3" t="s">
        <v>4108</v>
      </c>
      <c r="B1854" s="3" t="s">
        <v>4109</v>
      </c>
      <c r="C1854" s="1">
        <v>20</v>
      </c>
      <c r="D1854" s="1">
        <v>611</v>
      </c>
      <c r="E1854" s="1" t="s">
        <v>340</v>
      </c>
      <c r="F1854" s="1" t="s">
        <v>6582</v>
      </c>
      <c r="G1854" s="3" t="s">
        <v>4110</v>
      </c>
      <c r="H1854" s="11">
        <f t="shared" si="56"/>
        <v>2868.49</v>
      </c>
      <c r="I1854" s="9">
        <f>($K$2+0.02)*Tabla1[[#This Row],[PRECIO $]]*1.18</f>
        <v>2487.3810000000003</v>
      </c>
      <c r="J1854" s="7">
        <f>+Tabla1[[#This Row],[PRECIO EN SOLES]]-Tabla1[[#This Row],[PC]]</f>
        <v>381.10899999999947</v>
      </c>
      <c r="K1854" s="15"/>
      <c r="L1854" s="15" t="str">
        <f t="shared" si="57"/>
        <v>NORMAL</v>
      </c>
    </row>
    <row r="1855" spans="1:12" x14ac:dyDescent="0.25">
      <c r="A1855" s="3" t="s">
        <v>4111</v>
      </c>
      <c r="B1855" s="3" t="s">
        <v>4112</v>
      </c>
      <c r="C1855" s="1">
        <v>8</v>
      </c>
      <c r="D1855" s="1">
        <v>1011</v>
      </c>
      <c r="E1855" s="1" t="s">
        <v>340</v>
      </c>
      <c r="F1855" s="1" t="s">
        <v>6583</v>
      </c>
      <c r="G1855" s="3" t="s">
        <v>4113</v>
      </c>
      <c r="H1855" s="11">
        <f t="shared" si="56"/>
        <v>4741.1499999999996</v>
      </c>
      <c r="I1855" s="9">
        <f>($K$2+0.02)*Tabla1[[#This Row],[PRECIO $]]*1.18</f>
        <v>4115.7809999999999</v>
      </c>
      <c r="J1855" s="7">
        <f>+Tabla1[[#This Row],[PRECIO EN SOLES]]-Tabla1[[#This Row],[PC]]</f>
        <v>625.36899999999969</v>
      </c>
      <c r="K1855" s="15"/>
      <c r="L1855" s="15" t="str">
        <f t="shared" si="57"/>
        <v>NORMAL</v>
      </c>
    </row>
    <row r="1856" spans="1:12" x14ac:dyDescent="0.25">
      <c r="A1856" s="3" t="s">
        <v>4114</v>
      </c>
      <c r="B1856" s="3" t="s">
        <v>4115</v>
      </c>
      <c r="C1856" s="1">
        <v>12</v>
      </c>
      <c r="D1856" s="1">
        <v>1606</v>
      </c>
      <c r="E1856" s="1" t="s">
        <v>340</v>
      </c>
      <c r="F1856" s="1" t="s">
        <v>6584</v>
      </c>
      <c r="G1856" s="3" t="s">
        <v>4116</v>
      </c>
      <c r="H1856" s="11">
        <f t="shared" si="56"/>
        <v>7526.73</v>
      </c>
      <c r="I1856" s="9">
        <f>($K$2+0.02)*Tabla1[[#This Row],[PRECIO $]]*1.18</f>
        <v>6538.0260000000007</v>
      </c>
      <c r="J1856" s="7">
        <f>+Tabla1[[#This Row],[PRECIO EN SOLES]]-Tabla1[[#This Row],[PC]]</f>
        <v>988.70399999999881</v>
      </c>
      <c r="K1856" s="15"/>
      <c r="L1856" s="15" t="str">
        <f t="shared" si="57"/>
        <v>NORMAL</v>
      </c>
    </row>
    <row r="1857" spans="1:12" x14ac:dyDescent="0.25">
      <c r="A1857" s="3" t="s">
        <v>4117</v>
      </c>
      <c r="B1857" s="3" t="s">
        <v>4118</v>
      </c>
      <c r="C1857" s="1">
        <v>2</v>
      </c>
      <c r="D1857" s="1">
        <v>597.05999999999995</v>
      </c>
      <c r="E1857" s="1" t="s">
        <v>442</v>
      </c>
      <c r="F1857" s="1" t="s">
        <v>6585</v>
      </c>
      <c r="G1857" s="3" t="s">
        <v>4119</v>
      </c>
      <c r="H1857" s="11">
        <f t="shared" si="56"/>
        <v>2803.23</v>
      </c>
      <c r="I1857" s="9">
        <f>($K$2+0.02)*Tabla1[[#This Row],[PRECIO $]]*1.18</f>
        <v>2430.6312599999997</v>
      </c>
      <c r="J1857" s="7">
        <f>+Tabla1[[#This Row],[PRECIO EN SOLES]]-Tabla1[[#This Row],[PC]]</f>
        <v>372.59874000000036</v>
      </c>
      <c r="K1857" s="15"/>
      <c r="L1857" s="15" t="str">
        <f t="shared" si="57"/>
        <v>NORMAL</v>
      </c>
    </row>
    <row r="1858" spans="1:12" x14ac:dyDescent="0.25">
      <c r="A1858" s="3" t="s">
        <v>4120</v>
      </c>
      <c r="B1858" s="3" t="s">
        <v>4121</v>
      </c>
      <c r="C1858" s="1">
        <v>20</v>
      </c>
      <c r="D1858" s="1">
        <v>1056</v>
      </c>
      <c r="E1858" s="1" t="s">
        <v>442</v>
      </c>
      <c r="F1858" s="1" t="s">
        <v>6586</v>
      </c>
      <c r="G1858" s="3" t="s">
        <v>4122</v>
      </c>
      <c r="H1858" s="11">
        <f t="shared" ref="H1858:H1921" si="58">ROUND(
IF(L1858="GANCHO",
   IF(I1858&lt;=50,I1858*1.1+4,IF(I1858&lt;=120,I1858*1.1+7,IF(I1858&lt;=250,I1858*1.1+11,I1858*1.1+19))),
IF(L1858="NORMAL",
   IF(I1858&lt;=30,I1858*1.15+2,IF(I1858&lt;=80,I1858*1.15+4,IF(I1858&lt;=150,I1858*1.15+6,I1858*1.15+8))),
IF(L1858="COMPLEMENTO",
   IF(I1858&lt;=25,I1858*1.25+1.5,IF(I1858&lt;=60,I1858*1.25+3,IF(I1858&lt;=120,I1858*1.25+4,I1858*1.25+5))),
""))),2)</f>
        <v>4951.82</v>
      </c>
      <c r="I1858" s="9">
        <f>($K$2+0.02)*Tabla1[[#This Row],[PRECIO $]]*1.18</f>
        <v>4298.9759999999997</v>
      </c>
      <c r="J1858" s="7">
        <f>+Tabla1[[#This Row],[PRECIO EN SOLES]]-Tabla1[[#This Row],[PC]]</f>
        <v>652.84400000000005</v>
      </c>
      <c r="K1858" s="15"/>
      <c r="L1858" s="15" t="str">
        <f t="shared" si="57"/>
        <v>NORMAL</v>
      </c>
    </row>
    <row r="1859" spans="1:12" x14ac:dyDescent="0.25">
      <c r="A1859" s="3" t="s">
        <v>6587</v>
      </c>
      <c r="B1859" s="3" t="s">
        <v>4121</v>
      </c>
      <c r="C1859" s="1">
        <v>17</v>
      </c>
      <c r="D1859" s="1">
        <v>1033.52</v>
      </c>
      <c r="E1859" s="1" t="s">
        <v>442</v>
      </c>
      <c r="F1859" s="1" t="s">
        <v>6588</v>
      </c>
      <c r="G1859" s="3" t="s">
        <v>6589</v>
      </c>
      <c r="H1859" s="11">
        <f t="shared" si="58"/>
        <v>4846.58</v>
      </c>
      <c r="I1859" s="9">
        <f>($K$2+0.02)*Tabla1[[#This Row],[PRECIO $]]*1.18</f>
        <v>4207.4599200000002</v>
      </c>
      <c r="J1859" s="7">
        <f>+Tabla1[[#This Row],[PRECIO EN SOLES]]-Tabla1[[#This Row],[PC]]</f>
        <v>639.12007999999969</v>
      </c>
      <c r="K1859" s="15"/>
      <c r="L1859" s="15" t="str">
        <f t="shared" ref="L1859:L1922" si="59">IF(
OR(
ISNUMBER(SEARCH("BACKPACK",B1859)),
ISNUMBER(SEARCH("MOCHILA",B1859)),
ISNUMBER(SEARCH("FUNDA",B1859)),
ISNUMBER(SEARCH("ESTUCHE",B1859)),
ISNUMBER(SEARCH("BOOK COVER",B1859)),
ISNUMBER(SEARCH("KEYBOARD PARA TABLET",B1859)),
ISNUMBER(SEARCH("FLIP TABLET",B1859)),
ISNUMBER(SEARCH("CASE FOR TABLET",B1859)),
ISNUMBER(SEARCH("CABLE",B1859)),
ISNUMBER(SEARCH("ADAPTADOR",B1859)),
ISNUMBER(SEARCH("HUB",B1859)),
ISNUMBER(SEARCH("DOCK",B1859)),
ISNUMBER(SEARCH("MOUSE PAD",B1859)),
ISNUMBER(SEARCH("MOUSEPAD",B1859)),
ISNUMBER(SEARCH("SOPORTE",B1859)),
ISNUMBER(SEARCH("STAND",B1859)),
ISNUMBER(SEARCH("TRAVEL ADAPTER",B1859)),
ISNUMBER(SEARCH("RJ45",B1859)),
ISNUMBER(SEARCH("USB-C",B1859)),
ISNUMBER(SEARCH("USB WIFI",B1859)),
ISNUMBER(SEARCH("POWERBANK",B1859)),
ISNUMBER(SEARCH("CARGADOR",B1859)),
ISNUMBER(SEARCH("COOLER PARA NB",B1859)),
ISNUMBER(SEARCH("SOPORTE PARA NB",B1859)),
ISNUMBER(SEARCH("WEBCAM",B1859)),
ISNUMBER(SEARCH("WEB CAM",B1859)),
ISNUMBER(SEARCH("MOUSE",B1859)),
ISNUMBER(SEARCH("TECLADO",B1859))
),
"COMPLEMENTO",
IF(
OR(
LEFT(A1859,2)="NB",
LEFT(A1859,2)="PC",
LEFT(A1859,2)="WS",
LEFT(A1859,2)="TB",
LEFT(A1859,3)="CEL",
LEFT(A1859,3)="MON",
LEFT(A1859,3)="PRE",
LEFT(A1859,3)="PRH",
ISNUMBER(SEARCH("NOTEBOOK",B1859)),
ISNUMBER(SEARCH("LAPTOP",B1859)),
ISNUMBER(SEARCH("MONITOR",B1859)),
ISNUMBER(SEARCH("TABLET",B1859)),
ISNUMBER(SEARCH("SMARTPH",B1859)),
ISNUMBER(SEARCH("IMPRESORA",B1859)),
ISNUMBER(SEARCH("MULTIFUNCIONAL",B1859)),
ISNUMBER(SEARCH("AIO",B1859))
),
"GANCHO",
"NORMAL"
)
)</f>
        <v>NORMAL</v>
      </c>
    </row>
    <row r="1860" spans="1:12" x14ac:dyDescent="0.25">
      <c r="A1860" s="3" t="s">
        <v>4123</v>
      </c>
      <c r="B1860" s="3" t="s">
        <v>4124</v>
      </c>
      <c r="C1860" s="1">
        <v>6</v>
      </c>
      <c r="D1860" s="1">
        <v>1520</v>
      </c>
      <c r="E1860" s="1" t="s">
        <v>355</v>
      </c>
      <c r="F1860" s="1" t="s">
        <v>6590</v>
      </c>
      <c r="G1860" s="3" t="s">
        <v>4125</v>
      </c>
      <c r="H1860" s="11">
        <f t="shared" si="58"/>
        <v>7124.11</v>
      </c>
      <c r="I1860" s="9">
        <f>($K$2+0.02)*Tabla1[[#This Row],[PRECIO $]]*1.18</f>
        <v>6187.92</v>
      </c>
      <c r="J1860" s="7">
        <f>+Tabla1[[#This Row],[PRECIO EN SOLES]]-Tabla1[[#This Row],[PC]]</f>
        <v>936.1899999999996</v>
      </c>
      <c r="K1860" s="15"/>
      <c r="L1860" s="15" t="str">
        <f t="shared" si="59"/>
        <v>NORMAL</v>
      </c>
    </row>
    <row r="1861" spans="1:12" x14ac:dyDescent="0.25">
      <c r="A1861" s="3" t="s">
        <v>4126</v>
      </c>
      <c r="B1861" s="3" t="s">
        <v>4127</v>
      </c>
      <c r="C1861" s="1">
        <v>0</v>
      </c>
      <c r="D1861" s="1">
        <v>3480</v>
      </c>
      <c r="E1861" s="1" t="s">
        <v>340</v>
      </c>
      <c r="F1861" s="1" t="s">
        <v>6591</v>
      </c>
      <c r="G1861" s="3" t="s">
        <v>4128</v>
      </c>
      <c r="H1861" s="11">
        <f t="shared" si="58"/>
        <v>16300.14</v>
      </c>
      <c r="I1861" s="9">
        <f>($K$2+0.02)*Tabla1[[#This Row],[PRECIO $]]*1.18</f>
        <v>14167.08</v>
      </c>
      <c r="J1861" s="7">
        <f>+Tabla1[[#This Row],[PRECIO EN SOLES]]-Tabla1[[#This Row],[PC]]</f>
        <v>2133.0599999999995</v>
      </c>
      <c r="K1861" s="15"/>
      <c r="L1861" s="15" t="str">
        <f t="shared" si="59"/>
        <v>NORMAL</v>
      </c>
    </row>
    <row r="1862" spans="1:12" x14ac:dyDescent="0.25">
      <c r="A1862" s="3" t="s">
        <v>6592</v>
      </c>
      <c r="B1862" s="3" t="s">
        <v>6593</v>
      </c>
      <c r="C1862" s="1">
        <v>6</v>
      </c>
      <c r="D1862" s="1">
        <v>3442</v>
      </c>
      <c r="E1862" s="1" t="s">
        <v>340</v>
      </c>
      <c r="F1862" s="1" t="s">
        <v>6594</v>
      </c>
      <c r="G1862" s="3" t="s">
        <v>6595</v>
      </c>
      <c r="H1862" s="11">
        <f t="shared" si="58"/>
        <v>16122.24</v>
      </c>
      <c r="I1862" s="9">
        <f>($K$2+0.02)*Tabla1[[#This Row],[PRECIO $]]*1.18</f>
        <v>14012.382000000001</v>
      </c>
      <c r="J1862" s="7">
        <f>+Tabla1[[#This Row],[PRECIO EN SOLES]]-Tabla1[[#This Row],[PC]]</f>
        <v>2109.8579999999984</v>
      </c>
      <c r="K1862" s="15"/>
      <c r="L1862" s="15" t="str">
        <f t="shared" si="59"/>
        <v>NORMAL</v>
      </c>
    </row>
    <row r="1863" spans="1:12" x14ac:dyDescent="0.25">
      <c r="A1863" s="3" t="s">
        <v>4129</v>
      </c>
      <c r="B1863" s="3" t="s">
        <v>4130</v>
      </c>
      <c r="C1863" s="1">
        <v>4</v>
      </c>
      <c r="D1863" s="1">
        <v>217.5</v>
      </c>
      <c r="E1863" s="1" t="s">
        <v>340</v>
      </c>
      <c r="F1863" s="1" t="s">
        <v>6596</v>
      </c>
      <c r="G1863" s="3" t="s">
        <v>4131</v>
      </c>
      <c r="H1863" s="11">
        <f t="shared" si="58"/>
        <v>1026.26</v>
      </c>
      <c r="I1863" s="9">
        <f>($K$2+0.02)*Tabla1[[#This Row],[PRECIO $]]*1.18</f>
        <v>885.4425</v>
      </c>
      <c r="J1863" s="7">
        <f>+Tabla1[[#This Row],[PRECIO EN SOLES]]-Tabla1[[#This Row],[PC]]</f>
        <v>140.8175</v>
      </c>
      <c r="K1863" s="15"/>
      <c r="L1863" s="15" t="str">
        <f t="shared" si="59"/>
        <v>NORMAL</v>
      </c>
    </row>
    <row r="1864" spans="1:12" x14ac:dyDescent="0.25">
      <c r="A1864" s="3" t="s">
        <v>4132</v>
      </c>
      <c r="B1864" s="3" t="s">
        <v>4133</v>
      </c>
      <c r="C1864" s="1">
        <v>0</v>
      </c>
      <c r="D1864" s="1">
        <v>222.2</v>
      </c>
      <c r="E1864" s="1" t="s">
        <v>355</v>
      </c>
      <c r="F1864" s="1" t="s">
        <v>6597</v>
      </c>
      <c r="G1864" s="3" t="s">
        <v>4134</v>
      </c>
      <c r="H1864" s="11">
        <f t="shared" si="58"/>
        <v>1048.26</v>
      </c>
      <c r="I1864" s="9">
        <f>($K$2+0.02)*Tabla1[[#This Row],[PRECIO $]]*1.18</f>
        <v>904.57619999999997</v>
      </c>
      <c r="J1864" s="7">
        <f>+Tabla1[[#This Row],[PRECIO EN SOLES]]-Tabla1[[#This Row],[PC]]</f>
        <v>143.68380000000002</v>
      </c>
      <c r="K1864" s="15"/>
      <c r="L1864" s="15" t="str">
        <f t="shared" si="59"/>
        <v>NORMAL</v>
      </c>
    </row>
    <row r="1865" spans="1:12" x14ac:dyDescent="0.25">
      <c r="A1865" s="3" t="s">
        <v>4135</v>
      </c>
      <c r="B1865" s="3" t="s">
        <v>4136</v>
      </c>
      <c r="C1865" s="1">
        <v>20</v>
      </c>
      <c r="D1865" s="1">
        <v>313</v>
      </c>
      <c r="E1865" s="1" t="s">
        <v>340</v>
      </c>
      <c r="F1865" s="1" t="s">
        <v>6598</v>
      </c>
      <c r="G1865" s="3" t="s">
        <v>4137</v>
      </c>
      <c r="H1865" s="11">
        <f t="shared" si="58"/>
        <v>1473.36</v>
      </c>
      <c r="I1865" s="9">
        <f>($K$2+0.02)*Tabla1[[#This Row],[PRECIO $]]*1.18</f>
        <v>1274.2230000000002</v>
      </c>
      <c r="J1865" s="7">
        <f>+Tabla1[[#This Row],[PRECIO EN SOLES]]-Tabla1[[#This Row],[PC]]</f>
        <v>199.13699999999972</v>
      </c>
      <c r="K1865" s="15"/>
      <c r="L1865" s="15" t="str">
        <f t="shared" si="59"/>
        <v>NORMAL</v>
      </c>
    </row>
    <row r="1866" spans="1:12" x14ac:dyDescent="0.25">
      <c r="A1866" s="3" t="s">
        <v>4138</v>
      </c>
      <c r="B1866" s="3" t="s">
        <v>4139</v>
      </c>
      <c r="C1866" s="1">
        <v>20</v>
      </c>
      <c r="D1866" s="1">
        <v>374</v>
      </c>
      <c r="E1866" s="1" t="s">
        <v>340</v>
      </c>
      <c r="F1866" s="1" t="s">
        <v>6599</v>
      </c>
      <c r="G1866" s="3" t="s">
        <v>4140</v>
      </c>
      <c r="H1866" s="11">
        <f t="shared" si="58"/>
        <v>1758.94</v>
      </c>
      <c r="I1866" s="9">
        <f>($K$2+0.02)*Tabla1[[#This Row],[PRECIO $]]*1.18</f>
        <v>1522.5539999999999</v>
      </c>
      <c r="J1866" s="7">
        <f>+Tabla1[[#This Row],[PRECIO EN SOLES]]-Tabla1[[#This Row],[PC]]</f>
        <v>236.38600000000019</v>
      </c>
      <c r="K1866" s="15"/>
      <c r="L1866" s="15" t="str">
        <f t="shared" si="59"/>
        <v>NORMAL</v>
      </c>
    </row>
    <row r="1867" spans="1:12" x14ac:dyDescent="0.25">
      <c r="A1867" s="3" t="s">
        <v>4141</v>
      </c>
      <c r="B1867" s="3" t="s">
        <v>4142</v>
      </c>
      <c r="C1867" s="1">
        <v>20</v>
      </c>
      <c r="D1867" s="1">
        <v>446</v>
      </c>
      <c r="E1867" s="1" t="s">
        <v>340</v>
      </c>
      <c r="F1867" s="1" t="s">
        <v>6600</v>
      </c>
      <c r="G1867" s="3" t="s">
        <v>4143</v>
      </c>
      <c r="H1867" s="11">
        <f t="shared" si="58"/>
        <v>2096.02</v>
      </c>
      <c r="I1867" s="9">
        <f>($K$2+0.02)*Tabla1[[#This Row],[PRECIO $]]*1.18</f>
        <v>1815.6659999999999</v>
      </c>
      <c r="J1867" s="7">
        <f>+Tabla1[[#This Row],[PRECIO EN SOLES]]-Tabla1[[#This Row],[PC]]</f>
        <v>280.35400000000004</v>
      </c>
      <c r="K1867" s="15"/>
      <c r="L1867" s="15" t="str">
        <f t="shared" si="59"/>
        <v>NORMAL</v>
      </c>
    </row>
    <row r="1868" spans="1:12" x14ac:dyDescent="0.25">
      <c r="A1868" s="3" t="s">
        <v>4144</v>
      </c>
      <c r="B1868" s="3" t="s">
        <v>4145</v>
      </c>
      <c r="C1868" s="1">
        <v>20</v>
      </c>
      <c r="D1868" s="1">
        <v>332.5</v>
      </c>
      <c r="E1868" s="1" t="s">
        <v>442</v>
      </c>
      <c r="F1868" s="1" t="s">
        <v>6601</v>
      </c>
      <c r="G1868" s="3" t="s">
        <v>4146</v>
      </c>
      <c r="H1868" s="11">
        <f t="shared" si="58"/>
        <v>1564.65</v>
      </c>
      <c r="I1868" s="9">
        <f>($K$2+0.02)*Tabla1[[#This Row],[PRECIO $]]*1.18</f>
        <v>1353.6074999999998</v>
      </c>
      <c r="J1868" s="7">
        <f>+Tabla1[[#This Row],[PRECIO EN SOLES]]-Tabla1[[#This Row],[PC]]</f>
        <v>211.04250000000025</v>
      </c>
      <c r="K1868" s="15"/>
      <c r="L1868" s="15" t="str">
        <f t="shared" si="59"/>
        <v>NORMAL</v>
      </c>
    </row>
    <row r="1869" spans="1:12" x14ac:dyDescent="0.25">
      <c r="A1869" s="3" t="s">
        <v>4147</v>
      </c>
      <c r="B1869" s="3" t="s">
        <v>4148</v>
      </c>
      <c r="C1869" s="1">
        <v>20</v>
      </c>
      <c r="D1869" s="1">
        <v>320.5</v>
      </c>
      <c r="E1869" s="1" t="s">
        <v>442</v>
      </c>
      <c r="F1869" s="1" t="s">
        <v>6602</v>
      </c>
      <c r="G1869" s="3" t="s">
        <v>4149</v>
      </c>
      <c r="H1869" s="11">
        <f t="shared" si="58"/>
        <v>1508.47</v>
      </c>
      <c r="I1869" s="9">
        <f>($K$2+0.02)*Tabla1[[#This Row],[PRECIO $]]*1.18</f>
        <v>1304.7555</v>
      </c>
      <c r="J1869" s="7">
        <f>+Tabla1[[#This Row],[PRECIO EN SOLES]]-Tabla1[[#This Row],[PC]]</f>
        <v>203.71450000000004</v>
      </c>
      <c r="K1869" s="15"/>
      <c r="L1869" s="15" t="str">
        <f t="shared" si="59"/>
        <v>NORMAL</v>
      </c>
    </row>
    <row r="1870" spans="1:12" x14ac:dyDescent="0.25">
      <c r="A1870" s="3" t="s">
        <v>4150</v>
      </c>
      <c r="B1870" s="3" t="s">
        <v>4148</v>
      </c>
      <c r="C1870" s="1">
        <v>20</v>
      </c>
      <c r="D1870" s="1">
        <v>321.7</v>
      </c>
      <c r="E1870" s="1" t="s">
        <v>442</v>
      </c>
      <c r="F1870" s="1" t="s">
        <v>6603</v>
      </c>
      <c r="G1870" s="3" t="s">
        <v>4151</v>
      </c>
      <c r="H1870" s="11">
        <f t="shared" si="58"/>
        <v>1514.09</v>
      </c>
      <c r="I1870" s="9">
        <f>($K$2+0.02)*Tabla1[[#This Row],[PRECIO $]]*1.18</f>
        <v>1309.6406999999999</v>
      </c>
      <c r="J1870" s="7">
        <f>+Tabla1[[#This Row],[PRECIO EN SOLES]]-Tabla1[[#This Row],[PC]]</f>
        <v>204.44929999999999</v>
      </c>
      <c r="K1870" s="15"/>
      <c r="L1870" s="15" t="str">
        <f t="shared" si="59"/>
        <v>NORMAL</v>
      </c>
    </row>
    <row r="1871" spans="1:12" x14ac:dyDescent="0.25">
      <c r="A1871" s="3" t="s">
        <v>4152</v>
      </c>
      <c r="B1871" s="3" t="s">
        <v>4153</v>
      </c>
      <c r="C1871" s="1">
        <v>20</v>
      </c>
      <c r="D1871" s="1">
        <v>415</v>
      </c>
      <c r="E1871" s="1" t="s">
        <v>442</v>
      </c>
      <c r="F1871" s="1" t="s">
        <v>6604</v>
      </c>
      <c r="G1871" s="3" t="s">
        <v>4154</v>
      </c>
      <c r="H1871" s="11">
        <f t="shared" si="58"/>
        <v>1950.88</v>
      </c>
      <c r="I1871" s="9">
        <f>($K$2+0.02)*Tabla1[[#This Row],[PRECIO $]]*1.18</f>
        <v>1689.4649999999999</v>
      </c>
      <c r="J1871" s="7">
        <f>+Tabla1[[#This Row],[PRECIO EN SOLES]]-Tabla1[[#This Row],[PC]]</f>
        <v>261.41500000000019</v>
      </c>
      <c r="K1871" s="15"/>
      <c r="L1871" s="15" t="str">
        <f t="shared" si="59"/>
        <v>NORMAL</v>
      </c>
    </row>
    <row r="1872" spans="1:12" x14ac:dyDescent="0.25">
      <c r="A1872" s="3" t="s">
        <v>4155</v>
      </c>
      <c r="B1872" s="3" t="s">
        <v>4156</v>
      </c>
      <c r="C1872" s="1">
        <v>7</v>
      </c>
      <c r="D1872" s="1">
        <v>362</v>
      </c>
      <c r="E1872" s="1" t="s">
        <v>442</v>
      </c>
      <c r="F1872" s="1" t="s">
        <v>6605</v>
      </c>
      <c r="G1872" s="3" t="s">
        <v>4157</v>
      </c>
      <c r="H1872" s="11">
        <f t="shared" si="58"/>
        <v>1702.76</v>
      </c>
      <c r="I1872" s="9">
        <f>($K$2+0.02)*Tabla1[[#This Row],[PRECIO $]]*1.18</f>
        <v>1473.702</v>
      </c>
      <c r="J1872" s="7">
        <f>+Tabla1[[#This Row],[PRECIO EN SOLES]]-Tabla1[[#This Row],[PC]]</f>
        <v>229.05799999999999</v>
      </c>
      <c r="K1872" s="15"/>
      <c r="L1872" s="15" t="str">
        <f t="shared" si="59"/>
        <v>NORMAL</v>
      </c>
    </row>
    <row r="1873" spans="1:12" x14ac:dyDescent="0.25">
      <c r="A1873" s="3" t="s">
        <v>4158</v>
      </c>
      <c r="B1873" s="3" t="s">
        <v>4159</v>
      </c>
      <c r="C1873" s="1">
        <v>20</v>
      </c>
      <c r="D1873" s="1">
        <v>388.86</v>
      </c>
      <c r="E1873" s="1" t="s">
        <v>442</v>
      </c>
      <c r="F1873" s="1" t="s">
        <v>6606</v>
      </c>
      <c r="G1873" s="3" t="s">
        <v>4160</v>
      </c>
      <c r="H1873" s="11">
        <f t="shared" si="58"/>
        <v>1828.51</v>
      </c>
      <c r="I1873" s="9">
        <f>($K$2+0.02)*Tabla1[[#This Row],[PRECIO $]]*1.18</f>
        <v>1583.0490599999998</v>
      </c>
      <c r="J1873" s="7">
        <f>+Tabla1[[#This Row],[PRECIO EN SOLES]]-Tabla1[[#This Row],[PC]]</f>
        <v>245.46094000000016</v>
      </c>
      <c r="K1873" s="15"/>
      <c r="L1873" s="15" t="str">
        <f t="shared" si="59"/>
        <v>NORMAL</v>
      </c>
    </row>
    <row r="1874" spans="1:12" x14ac:dyDescent="0.25">
      <c r="A1874" s="3" t="s">
        <v>4161</v>
      </c>
      <c r="B1874" s="3" t="s">
        <v>4162</v>
      </c>
      <c r="C1874" s="1">
        <v>9</v>
      </c>
      <c r="D1874" s="1">
        <v>360</v>
      </c>
      <c r="E1874" s="1" t="s">
        <v>442</v>
      </c>
      <c r="F1874" s="1" t="s">
        <v>6607</v>
      </c>
      <c r="G1874" s="3" t="s">
        <v>4163</v>
      </c>
      <c r="H1874" s="11">
        <f t="shared" si="58"/>
        <v>1693.39</v>
      </c>
      <c r="I1874" s="9">
        <f>($K$2+0.02)*Tabla1[[#This Row],[PRECIO $]]*1.18</f>
        <v>1465.56</v>
      </c>
      <c r="J1874" s="7">
        <f>+Tabla1[[#This Row],[PRECIO EN SOLES]]-Tabla1[[#This Row],[PC]]</f>
        <v>227.83000000000015</v>
      </c>
      <c r="K1874" s="15"/>
      <c r="L1874" s="15" t="str">
        <f t="shared" si="59"/>
        <v>NORMAL</v>
      </c>
    </row>
    <row r="1875" spans="1:12" x14ac:dyDescent="0.25">
      <c r="A1875" s="3" t="s">
        <v>4164</v>
      </c>
      <c r="B1875" s="3" t="s">
        <v>4165</v>
      </c>
      <c r="C1875" s="1">
        <v>8</v>
      </c>
      <c r="D1875" s="1">
        <v>364</v>
      </c>
      <c r="E1875" s="1" t="s">
        <v>442</v>
      </c>
      <c r="F1875" s="1" t="s">
        <v>6608</v>
      </c>
      <c r="G1875" s="3" t="s">
        <v>4166</v>
      </c>
      <c r="H1875" s="11">
        <f t="shared" si="58"/>
        <v>1712.12</v>
      </c>
      <c r="I1875" s="9">
        <f>($K$2+0.02)*Tabla1[[#This Row],[PRECIO $]]*1.18</f>
        <v>1481.8439999999998</v>
      </c>
      <c r="J1875" s="7">
        <f>+Tabla1[[#This Row],[PRECIO EN SOLES]]-Tabla1[[#This Row],[PC]]</f>
        <v>230.27600000000007</v>
      </c>
      <c r="K1875" s="15"/>
      <c r="L1875" s="15" t="str">
        <f t="shared" si="59"/>
        <v>NORMAL</v>
      </c>
    </row>
    <row r="1876" spans="1:12" x14ac:dyDescent="0.25">
      <c r="A1876" s="3" t="s">
        <v>4167</v>
      </c>
      <c r="B1876" s="3" t="s">
        <v>4168</v>
      </c>
      <c r="C1876" s="1">
        <v>6</v>
      </c>
      <c r="D1876" s="1">
        <v>483</v>
      </c>
      <c r="E1876" s="1" t="s">
        <v>442</v>
      </c>
      <c r="F1876" s="1" t="s">
        <v>6609</v>
      </c>
      <c r="G1876" s="3" t="s">
        <v>4169</v>
      </c>
      <c r="H1876" s="11">
        <f t="shared" si="58"/>
        <v>2269.2399999999998</v>
      </c>
      <c r="I1876" s="9">
        <f>($K$2+0.02)*Tabla1[[#This Row],[PRECIO $]]*1.18</f>
        <v>1966.2930000000001</v>
      </c>
      <c r="J1876" s="7">
        <f>+Tabla1[[#This Row],[PRECIO EN SOLES]]-Tabla1[[#This Row],[PC]]</f>
        <v>302.94699999999966</v>
      </c>
      <c r="K1876" s="15"/>
      <c r="L1876" s="15" t="str">
        <f t="shared" si="59"/>
        <v>NORMAL</v>
      </c>
    </row>
    <row r="1877" spans="1:12" x14ac:dyDescent="0.25">
      <c r="A1877" s="3" t="s">
        <v>4170</v>
      </c>
      <c r="B1877" s="3" t="s">
        <v>4171</v>
      </c>
      <c r="C1877" s="1">
        <v>7</v>
      </c>
      <c r="D1877" s="1">
        <v>480.5</v>
      </c>
      <c r="E1877" s="1" t="s">
        <v>442</v>
      </c>
      <c r="F1877" s="1" t="s">
        <v>6610</v>
      </c>
      <c r="G1877" s="3" t="s">
        <v>4172</v>
      </c>
      <c r="H1877" s="11">
        <f t="shared" si="58"/>
        <v>2257.5300000000002</v>
      </c>
      <c r="I1877" s="9">
        <f>($K$2+0.02)*Tabla1[[#This Row],[PRECIO $]]*1.18</f>
        <v>1956.1155000000001</v>
      </c>
      <c r="J1877" s="7">
        <f>+Tabla1[[#This Row],[PRECIO EN SOLES]]-Tabla1[[#This Row],[PC]]</f>
        <v>301.41450000000009</v>
      </c>
      <c r="K1877" s="15"/>
      <c r="L1877" s="15" t="str">
        <f t="shared" si="59"/>
        <v>NORMAL</v>
      </c>
    </row>
    <row r="1878" spans="1:12" x14ac:dyDescent="0.25">
      <c r="A1878" s="3" t="s">
        <v>4173</v>
      </c>
      <c r="B1878" s="3" t="s">
        <v>4174</v>
      </c>
      <c r="C1878" s="1">
        <v>20</v>
      </c>
      <c r="D1878" s="1">
        <v>455</v>
      </c>
      <c r="E1878" s="1" t="s">
        <v>442</v>
      </c>
      <c r="F1878" s="1" t="s">
        <v>6611</v>
      </c>
      <c r="G1878" s="3" t="s">
        <v>4175</v>
      </c>
      <c r="H1878" s="11">
        <f t="shared" si="58"/>
        <v>2138.15</v>
      </c>
      <c r="I1878" s="9">
        <f>($K$2+0.02)*Tabla1[[#This Row],[PRECIO $]]*1.18</f>
        <v>1852.3049999999998</v>
      </c>
      <c r="J1878" s="7">
        <f>+Tabla1[[#This Row],[PRECIO EN SOLES]]-Tabla1[[#This Row],[PC]]</f>
        <v>285.84500000000025</v>
      </c>
      <c r="K1878" s="15"/>
      <c r="L1878" s="15" t="str">
        <f t="shared" si="59"/>
        <v>NORMAL</v>
      </c>
    </row>
    <row r="1879" spans="1:12" x14ac:dyDescent="0.25">
      <c r="A1879" s="3" t="s">
        <v>4176</v>
      </c>
      <c r="B1879" s="3" t="s">
        <v>4177</v>
      </c>
      <c r="C1879" s="1">
        <v>20</v>
      </c>
      <c r="D1879" s="1">
        <v>472</v>
      </c>
      <c r="E1879" s="1" t="s">
        <v>442</v>
      </c>
      <c r="F1879" s="1" t="s">
        <v>6612</v>
      </c>
      <c r="G1879" s="3" t="s">
        <v>4178</v>
      </c>
      <c r="H1879" s="11">
        <f t="shared" si="58"/>
        <v>2217.7399999999998</v>
      </c>
      <c r="I1879" s="9">
        <f>($K$2+0.02)*Tabla1[[#This Row],[PRECIO $]]*1.18</f>
        <v>1921.5119999999999</v>
      </c>
      <c r="J1879" s="7">
        <f>+Tabla1[[#This Row],[PRECIO EN SOLES]]-Tabla1[[#This Row],[PC]]</f>
        <v>296.22799999999984</v>
      </c>
      <c r="K1879" s="15"/>
      <c r="L1879" s="15" t="str">
        <f t="shared" si="59"/>
        <v>NORMAL</v>
      </c>
    </row>
    <row r="1880" spans="1:12" x14ac:dyDescent="0.25">
      <c r="A1880" s="3" t="s">
        <v>4179</v>
      </c>
      <c r="B1880" s="3" t="s">
        <v>4180</v>
      </c>
      <c r="C1880" s="1">
        <v>20</v>
      </c>
      <c r="D1880" s="1">
        <v>450.5</v>
      </c>
      <c r="E1880" s="1" t="s">
        <v>442</v>
      </c>
      <c r="F1880" s="1" t="s">
        <v>6613</v>
      </c>
      <c r="G1880" s="3" t="s">
        <v>4181</v>
      </c>
      <c r="H1880" s="11">
        <f t="shared" si="58"/>
        <v>2117.08</v>
      </c>
      <c r="I1880" s="9">
        <f>($K$2+0.02)*Tabla1[[#This Row],[PRECIO $]]*1.18</f>
        <v>1833.9855</v>
      </c>
      <c r="J1880" s="7">
        <f>+Tabla1[[#This Row],[PRECIO EN SOLES]]-Tabla1[[#This Row],[PC]]</f>
        <v>283.09449999999993</v>
      </c>
      <c r="K1880" s="15"/>
      <c r="L1880" s="15" t="str">
        <f t="shared" si="59"/>
        <v>NORMAL</v>
      </c>
    </row>
    <row r="1881" spans="1:12" x14ac:dyDescent="0.25">
      <c r="A1881" s="3" t="s">
        <v>4182</v>
      </c>
      <c r="B1881" s="3" t="s">
        <v>4183</v>
      </c>
      <c r="C1881" s="1">
        <v>14</v>
      </c>
      <c r="D1881" s="1">
        <v>408.4</v>
      </c>
      <c r="E1881" s="1" t="s">
        <v>442</v>
      </c>
      <c r="F1881" s="1" t="s">
        <v>6614</v>
      </c>
      <c r="G1881" s="3" t="s">
        <v>4184</v>
      </c>
      <c r="H1881" s="11">
        <f t="shared" si="58"/>
        <v>1919.99</v>
      </c>
      <c r="I1881" s="9">
        <f>($K$2+0.02)*Tabla1[[#This Row],[PRECIO $]]*1.18</f>
        <v>1662.5963999999999</v>
      </c>
      <c r="J1881" s="7">
        <f>+Tabla1[[#This Row],[PRECIO EN SOLES]]-Tabla1[[#This Row],[PC]]</f>
        <v>257.39360000000011</v>
      </c>
      <c r="K1881" s="15"/>
      <c r="L1881" s="15" t="str">
        <f t="shared" si="59"/>
        <v>NORMAL</v>
      </c>
    </row>
    <row r="1882" spans="1:12" x14ac:dyDescent="0.25">
      <c r="A1882" s="3" t="s">
        <v>4185</v>
      </c>
      <c r="B1882" s="3" t="s">
        <v>4186</v>
      </c>
      <c r="C1882" s="1">
        <v>20</v>
      </c>
      <c r="D1882" s="1">
        <v>306.5</v>
      </c>
      <c r="E1882" s="1" t="s">
        <v>355</v>
      </c>
      <c r="F1882" s="1" t="s">
        <v>6615</v>
      </c>
      <c r="G1882" s="3" t="s">
        <v>4187</v>
      </c>
      <c r="H1882" s="11">
        <f t="shared" si="58"/>
        <v>1442.93</v>
      </c>
      <c r="I1882" s="9">
        <f>($K$2+0.02)*Tabla1[[#This Row],[PRECIO $]]*1.18</f>
        <v>1247.7614999999998</v>
      </c>
      <c r="J1882" s="7">
        <f>+Tabla1[[#This Row],[PRECIO EN SOLES]]-Tabla1[[#This Row],[PC]]</f>
        <v>195.16850000000022</v>
      </c>
      <c r="K1882" s="15"/>
      <c r="L1882" s="15" t="str">
        <f t="shared" si="59"/>
        <v>NORMAL</v>
      </c>
    </row>
    <row r="1883" spans="1:12" x14ac:dyDescent="0.25">
      <c r="A1883" s="3" t="s">
        <v>4188</v>
      </c>
      <c r="B1883" s="3" t="s">
        <v>4189</v>
      </c>
      <c r="C1883" s="1">
        <v>20</v>
      </c>
      <c r="D1883" s="1">
        <v>340</v>
      </c>
      <c r="E1883" s="1" t="s">
        <v>355</v>
      </c>
      <c r="F1883" s="1" t="s">
        <v>6616</v>
      </c>
      <c r="G1883" s="3" t="s">
        <v>4190</v>
      </c>
      <c r="H1883" s="11">
        <f t="shared" si="58"/>
        <v>1599.76</v>
      </c>
      <c r="I1883" s="9">
        <f>($K$2+0.02)*Tabla1[[#This Row],[PRECIO $]]*1.18</f>
        <v>1384.1399999999999</v>
      </c>
      <c r="J1883" s="7">
        <f>+Tabla1[[#This Row],[PRECIO EN SOLES]]-Tabla1[[#This Row],[PC]]</f>
        <v>215.62000000000012</v>
      </c>
      <c r="K1883" s="15"/>
      <c r="L1883" s="15" t="str">
        <f t="shared" si="59"/>
        <v>NORMAL</v>
      </c>
    </row>
    <row r="1884" spans="1:12" x14ac:dyDescent="0.25">
      <c r="A1884" s="3" t="s">
        <v>4191</v>
      </c>
      <c r="B1884" s="3" t="s">
        <v>4192</v>
      </c>
      <c r="C1884" s="1">
        <v>20</v>
      </c>
      <c r="D1884" s="1">
        <v>399</v>
      </c>
      <c r="E1884" s="1" t="s">
        <v>355</v>
      </c>
      <c r="F1884" s="1" t="s">
        <v>6617</v>
      </c>
      <c r="G1884" s="3" t="s">
        <v>4193</v>
      </c>
      <c r="H1884" s="11">
        <f t="shared" si="58"/>
        <v>1875.98</v>
      </c>
      <c r="I1884" s="9">
        <f>($K$2+0.02)*Tabla1[[#This Row],[PRECIO $]]*1.18</f>
        <v>1624.3290000000002</v>
      </c>
      <c r="J1884" s="7">
        <f>+Tabla1[[#This Row],[PRECIO EN SOLES]]-Tabla1[[#This Row],[PC]]</f>
        <v>251.65099999999984</v>
      </c>
      <c r="K1884" s="15"/>
      <c r="L1884" s="15" t="str">
        <f t="shared" si="59"/>
        <v>NORMAL</v>
      </c>
    </row>
    <row r="1885" spans="1:12" x14ac:dyDescent="0.25">
      <c r="A1885" s="3" t="s">
        <v>4194</v>
      </c>
      <c r="B1885" s="3" t="s">
        <v>4195</v>
      </c>
      <c r="C1885" s="1">
        <v>20</v>
      </c>
      <c r="D1885" s="1">
        <v>409</v>
      </c>
      <c r="E1885" s="1" t="s">
        <v>355</v>
      </c>
      <c r="F1885" s="1" t="s">
        <v>6618</v>
      </c>
      <c r="G1885" s="3" t="s">
        <v>4196</v>
      </c>
      <c r="H1885" s="11">
        <f t="shared" si="58"/>
        <v>1922.79</v>
      </c>
      <c r="I1885" s="9">
        <f>($K$2+0.02)*Tabla1[[#This Row],[PRECIO $]]*1.18</f>
        <v>1665.0390000000002</v>
      </c>
      <c r="J1885" s="7">
        <f>+Tabla1[[#This Row],[PRECIO EN SOLES]]-Tabla1[[#This Row],[PC]]</f>
        <v>257.75099999999975</v>
      </c>
      <c r="K1885" s="15"/>
      <c r="L1885" s="15" t="str">
        <f t="shared" si="59"/>
        <v>NORMAL</v>
      </c>
    </row>
    <row r="1886" spans="1:12" x14ac:dyDescent="0.25">
      <c r="A1886" s="3" t="s">
        <v>4197</v>
      </c>
      <c r="B1886" s="3" t="s">
        <v>4198</v>
      </c>
      <c r="C1886" s="1">
        <v>20</v>
      </c>
      <c r="D1886" s="1">
        <v>439</v>
      </c>
      <c r="E1886" s="1" t="s">
        <v>355</v>
      </c>
      <c r="F1886" s="1" t="s">
        <v>6619</v>
      </c>
      <c r="G1886" s="3" t="s">
        <v>4199</v>
      </c>
      <c r="H1886" s="11">
        <f t="shared" si="58"/>
        <v>2063.2399999999998</v>
      </c>
      <c r="I1886" s="9">
        <f>($K$2+0.02)*Tabla1[[#This Row],[PRECIO $]]*1.18</f>
        <v>1787.1690000000001</v>
      </c>
      <c r="J1886" s="7">
        <f>+Tabla1[[#This Row],[PRECIO EN SOLES]]-Tabla1[[#This Row],[PC]]</f>
        <v>276.07099999999969</v>
      </c>
      <c r="K1886" s="15"/>
      <c r="L1886" s="15" t="str">
        <f t="shared" si="59"/>
        <v>NORMAL</v>
      </c>
    </row>
    <row r="1887" spans="1:12" x14ac:dyDescent="0.25">
      <c r="A1887" s="3" t="s">
        <v>4200</v>
      </c>
      <c r="B1887" s="3" t="s">
        <v>4201</v>
      </c>
      <c r="C1887" s="1">
        <v>20</v>
      </c>
      <c r="D1887" s="1">
        <v>406</v>
      </c>
      <c r="E1887" s="1" t="s">
        <v>355</v>
      </c>
      <c r="F1887" s="1" t="s">
        <v>6620</v>
      </c>
      <c r="G1887" s="3" t="s">
        <v>4202</v>
      </c>
      <c r="H1887" s="11">
        <f t="shared" si="58"/>
        <v>1908.75</v>
      </c>
      <c r="I1887" s="9">
        <f>($K$2+0.02)*Tabla1[[#This Row],[PRECIO $]]*1.18</f>
        <v>1652.826</v>
      </c>
      <c r="J1887" s="7">
        <f>+Tabla1[[#This Row],[PRECIO EN SOLES]]-Tabla1[[#This Row],[PC]]</f>
        <v>255.92399999999998</v>
      </c>
      <c r="K1887" s="15"/>
      <c r="L1887" s="15" t="str">
        <f t="shared" si="59"/>
        <v>NORMAL</v>
      </c>
    </row>
    <row r="1888" spans="1:12" x14ac:dyDescent="0.25">
      <c r="A1888" s="3" t="s">
        <v>4203</v>
      </c>
      <c r="B1888" s="3" t="s">
        <v>4204</v>
      </c>
      <c r="C1888" s="1">
        <v>20</v>
      </c>
      <c r="D1888" s="1">
        <v>412</v>
      </c>
      <c r="E1888" s="1" t="s">
        <v>355</v>
      </c>
      <c r="F1888" s="1" t="s">
        <v>6621</v>
      </c>
      <c r="G1888" s="3" t="s">
        <v>4205</v>
      </c>
      <c r="H1888" s="11">
        <f t="shared" si="58"/>
        <v>1936.84</v>
      </c>
      <c r="I1888" s="9">
        <f>($K$2+0.02)*Tabla1[[#This Row],[PRECIO $]]*1.18</f>
        <v>1677.252</v>
      </c>
      <c r="J1888" s="7">
        <f>+Tabla1[[#This Row],[PRECIO EN SOLES]]-Tabla1[[#This Row],[PC]]</f>
        <v>259.58799999999997</v>
      </c>
      <c r="K1888" s="15"/>
      <c r="L1888" s="15" t="str">
        <f t="shared" si="59"/>
        <v>NORMAL</v>
      </c>
    </row>
    <row r="1889" spans="1:12" x14ac:dyDescent="0.25">
      <c r="A1889" s="3" t="s">
        <v>4206</v>
      </c>
      <c r="B1889" s="3" t="s">
        <v>4207</v>
      </c>
      <c r="C1889" s="1">
        <v>1</v>
      </c>
      <c r="D1889" s="1">
        <v>370.42</v>
      </c>
      <c r="E1889" s="1" t="s">
        <v>355</v>
      </c>
      <c r="F1889" s="1" t="s">
        <v>6622</v>
      </c>
      <c r="G1889" s="3" t="s">
        <v>4208</v>
      </c>
      <c r="H1889" s="11">
        <f t="shared" si="58"/>
        <v>1742.18</v>
      </c>
      <c r="I1889" s="9">
        <f>($K$2+0.02)*Tabla1[[#This Row],[PRECIO $]]*1.18</f>
        <v>1507.97982</v>
      </c>
      <c r="J1889" s="7">
        <f>+Tabla1[[#This Row],[PRECIO EN SOLES]]-Tabla1[[#This Row],[PC]]</f>
        <v>234.20018000000005</v>
      </c>
      <c r="K1889" s="15"/>
      <c r="L1889" s="15" t="str">
        <f t="shared" si="59"/>
        <v>NORMAL</v>
      </c>
    </row>
    <row r="1890" spans="1:12" x14ac:dyDescent="0.25">
      <c r="A1890" s="3" t="s">
        <v>4209</v>
      </c>
      <c r="B1890" s="3" t="s">
        <v>4210</v>
      </c>
      <c r="C1890" s="1">
        <v>20</v>
      </c>
      <c r="D1890" s="1">
        <v>342</v>
      </c>
      <c r="E1890" s="1" t="s">
        <v>4211</v>
      </c>
      <c r="F1890" s="1" t="s">
        <v>6623</v>
      </c>
      <c r="G1890" s="3" t="s">
        <v>4212</v>
      </c>
      <c r="H1890" s="11">
        <f t="shared" si="58"/>
        <v>1609.12</v>
      </c>
      <c r="I1890" s="9">
        <f>($K$2+0.02)*Tabla1[[#This Row],[PRECIO $]]*1.18</f>
        <v>1392.2819999999999</v>
      </c>
      <c r="J1890" s="7">
        <f>+Tabla1[[#This Row],[PRECIO EN SOLES]]-Tabla1[[#This Row],[PC]]</f>
        <v>216.83799999999997</v>
      </c>
      <c r="K1890" s="15"/>
      <c r="L1890" s="15" t="str">
        <f t="shared" si="59"/>
        <v>NORMAL</v>
      </c>
    </row>
    <row r="1891" spans="1:12" x14ac:dyDescent="0.25">
      <c r="A1891" s="3" t="s">
        <v>4213</v>
      </c>
      <c r="B1891" s="3" t="s">
        <v>4214</v>
      </c>
      <c r="C1891" s="1">
        <v>20</v>
      </c>
      <c r="D1891" s="1">
        <v>408</v>
      </c>
      <c r="E1891" s="1" t="s">
        <v>4211</v>
      </c>
      <c r="F1891" s="1" t="s">
        <v>6624</v>
      </c>
      <c r="G1891" s="3" t="s">
        <v>4215</v>
      </c>
      <c r="H1891" s="11">
        <f t="shared" si="58"/>
        <v>1918.11</v>
      </c>
      <c r="I1891" s="9">
        <f>($K$2+0.02)*Tabla1[[#This Row],[PRECIO $]]*1.18</f>
        <v>1660.9680000000001</v>
      </c>
      <c r="J1891" s="7">
        <f>+Tabla1[[#This Row],[PRECIO EN SOLES]]-Tabla1[[#This Row],[PC]]</f>
        <v>257.14199999999983</v>
      </c>
      <c r="K1891" s="15"/>
      <c r="L1891" s="15" t="str">
        <f t="shared" si="59"/>
        <v>NORMAL</v>
      </c>
    </row>
    <row r="1892" spans="1:12" x14ac:dyDescent="0.25">
      <c r="A1892" s="3" t="s">
        <v>4216</v>
      </c>
      <c r="B1892" s="3" t="s">
        <v>4217</v>
      </c>
      <c r="C1892" s="1">
        <v>6</v>
      </c>
      <c r="D1892" s="1">
        <v>439</v>
      </c>
      <c r="E1892" s="1" t="s">
        <v>442</v>
      </c>
      <c r="F1892" s="1" t="s">
        <v>6625</v>
      </c>
      <c r="G1892" s="3" t="s">
        <v>4218</v>
      </c>
      <c r="H1892" s="11">
        <f t="shared" si="58"/>
        <v>2063.2399999999998</v>
      </c>
      <c r="I1892" s="9">
        <f>($K$2+0.02)*Tabla1[[#This Row],[PRECIO $]]*1.18</f>
        <v>1787.1690000000001</v>
      </c>
      <c r="J1892" s="7">
        <f>+Tabla1[[#This Row],[PRECIO EN SOLES]]-Tabla1[[#This Row],[PC]]</f>
        <v>276.07099999999969</v>
      </c>
      <c r="K1892" s="15"/>
      <c r="L1892" s="15" t="str">
        <f t="shared" si="59"/>
        <v>NORMAL</v>
      </c>
    </row>
    <row r="1893" spans="1:12" x14ac:dyDescent="0.25">
      <c r="A1893" s="3" t="s">
        <v>4219</v>
      </c>
      <c r="B1893" s="3" t="s">
        <v>4220</v>
      </c>
      <c r="C1893" s="1">
        <v>20</v>
      </c>
      <c r="D1893" s="1">
        <v>499</v>
      </c>
      <c r="E1893" s="1" t="s">
        <v>456</v>
      </c>
      <c r="F1893" s="1" t="s">
        <v>6626</v>
      </c>
      <c r="G1893" s="3" t="s">
        <v>4221</v>
      </c>
      <c r="H1893" s="11">
        <f t="shared" si="58"/>
        <v>2344.14</v>
      </c>
      <c r="I1893" s="9">
        <f>($K$2+0.02)*Tabla1[[#This Row],[PRECIO $]]*1.18</f>
        <v>2031.4290000000001</v>
      </c>
      <c r="J1893" s="7">
        <f>+Tabla1[[#This Row],[PRECIO EN SOLES]]-Tabla1[[#This Row],[PC]]</f>
        <v>312.71099999999979</v>
      </c>
      <c r="K1893" s="15"/>
      <c r="L1893" s="15" t="str">
        <f t="shared" si="59"/>
        <v>NORMAL</v>
      </c>
    </row>
    <row r="1894" spans="1:12" x14ac:dyDescent="0.25">
      <c r="A1894" s="3" t="s">
        <v>4222</v>
      </c>
      <c r="B1894" s="3" t="s">
        <v>4223</v>
      </c>
      <c r="C1894" s="1">
        <v>8</v>
      </c>
      <c r="D1894" s="1">
        <v>689</v>
      </c>
      <c r="E1894" s="1" t="s">
        <v>456</v>
      </c>
      <c r="F1894" s="1" t="s">
        <v>6627</v>
      </c>
      <c r="G1894" s="3" t="s">
        <v>4224</v>
      </c>
      <c r="H1894" s="11">
        <f t="shared" si="58"/>
        <v>3233.66</v>
      </c>
      <c r="I1894" s="9">
        <f>($K$2+0.02)*Tabla1[[#This Row],[PRECIO $]]*1.18</f>
        <v>2804.9189999999999</v>
      </c>
      <c r="J1894" s="7">
        <f>+Tabla1[[#This Row],[PRECIO EN SOLES]]-Tabla1[[#This Row],[PC]]</f>
        <v>428.74099999999999</v>
      </c>
      <c r="K1894" s="15"/>
      <c r="L1894" s="15" t="str">
        <f t="shared" si="59"/>
        <v>NORMAL</v>
      </c>
    </row>
    <row r="1895" spans="1:12" x14ac:dyDescent="0.25">
      <c r="A1895" s="3" t="s">
        <v>4225</v>
      </c>
      <c r="B1895" s="3" t="s">
        <v>4226</v>
      </c>
      <c r="C1895" s="1">
        <v>7</v>
      </c>
      <c r="D1895" s="1">
        <v>775</v>
      </c>
      <c r="E1895" s="1" t="s">
        <v>456</v>
      </c>
      <c r="F1895" s="1" t="s">
        <v>6628</v>
      </c>
      <c r="G1895" s="3" t="s">
        <v>4227</v>
      </c>
      <c r="H1895" s="11">
        <f t="shared" si="58"/>
        <v>3636.28</v>
      </c>
      <c r="I1895" s="9">
        <f>($K$2+0.02)*Tabla1[[#This Row],[PRECIO $]]*1.18</f>
        <v>3155.0249999999996</v>
      </c>
      <c r="J1895" s="7">
        <f>+Tabla1[[#This Row],[PRECIO EN SOLES]]-Tabla1[[#This Row],[PC]]</f>
        <v>481.25500000000056</v>
      </c>
      <c r="K1895" s="15"/>
      <c r="L1895" s="15" t="str">
        <f t="shared" si="59"/>
        <v>NORMAL</v>
      </c>
    </row>
    <row r="1896" spans="1:12" x14ac:dyDescent="0.25">
      <c r="A1896" s="3" t="s">
        <v>7178</v>
      </c>
      <c r="B1896" s="3" t="s">
        <v>7179</v>
      </c>
      <c r="C1896" s="1">
        <v>5</v>
      </c>
      <c r="D1896" s="1">
        <v>835</v>
      </c>
      <c r="E1896" s="1" t="s">
        <v>456</v>
      </c>
      <c r="F1896" s="1" t="s">
        <v>7180</v>
      </c>
      <c r="G1896" s="3" t="s">
        <v>7181</v>
      </c>
      <c r="H1896" s="11">
        <f t="shared" si="58"/>
        <v>3917.18</v>
      </c>
      <c r="I1896" s="9">
        <f>($K$2+0.02)*Tabla1[[#This Row],[PRECIO $]]*1.18</f>
        <v>3399.2849999999999</v>
      </c>
      <c r="J1896" s="7">
        <f>+Tabla1[[#This Row],[PRECIO EN SOLES]]-Tabla1[[#This Row],[PC]]</f>
        <v>517.89499999999998</v>
      </c>
      <c r="K1896" s="15"/>
      <c r="L1896" s="15" t="str">
        <f t="shared" si="59"/>
        <v>NORMAL</v>
      </c>
    </row>
    <row r="1897" spans="1:12" x14ac:dyDescent="0.25">
      <c r="A1897" s="3" t="s">
        <v>4228</v>
      </c>
      <c r="B1897" s="3" t="s">
        <v>4229</v>
      </c>
      <c r="C1897" s="1">
        <v>10</v>
      </c>
      <c r="D1897" s="1">
        <v>771</v>
      </c>
      <c r="E1897" s="1" t="s">
        <v>456</v>
      </c>
      <c r="F1897" s="1" t="s">
        <v>6629</v>
      </c>
      <c r="G1897" s="3" t="s">
        <v>4230</v>
      </c>
      <c r="H1897" s="11">
        <f t="shared" si="58"/>
        <v>3617.55</v>
      </c>
      <c r="I1897" s="9">
        <f>($K$2+0.02)*Tabla1[[#This Row],[PRECIO $]]*1.18</f>
        <v>3138.741</v>
      </c>
      <c r="J1897" s="7">
        <f>+Tabla1[[#This Row],[PRECIO EN SOLES]]-Tabla1[[#This Row],[PC]]</f>
        <v>478.8090000000002</v>
      </c>
      <c r="K1897" s="15"/>
      <c r="L1897" s="15" t="str">
        <f t="shared" si="59"/>
        <v>NORMAL</v>
      </c>
    </row>
    <row r="1898" spans="1:12" x14ac:dyDescent="0.25">
      <c r="A1898" s="3" t="s">
        <v>4231</v>
      </c>
      <c r="B1898" s="3" t="s">
        <v>4232</v>
      </c>
      <c r="C1898" s="1">
        <v>8</v>
      </c>
      <c r="D1898" s="1">
        <v>771</v>
      </c>
      <c r="E1898" s="1" t="s">
        <v>456</v>
      </c>
      <c r="F1898" s="1" t="s">
        <v>6630</v>
      </c>
      <c r="G1898" s="3" t="s">
        <v>4233</v>
      </c>
      <c r="H1898" s="11">
        <f t="shared" si="58"/>
        <v>3617.55</v>
      </c>
      <c r="I1898" s="9">
        <f>($K$2+0.02)*Tabla1[[#This Row],[PRECIO $]]*1.18</f>
        <v>3138.741</v>
      </c>
      <c r="J1898" s="7">
        <f>+Tabla1[[#This Row],[PRECIO EN SOLES]]-Tabla1[[#This Row],[PC]]</f>
        <v>478.8090000000002</v>
      </c>
      <c r="K1898" s="15"/>
      <c r="L1898" s="15" t="str">
        <f t="shared" si="59"/>
        <v>NORMAL</v>
      </c>
    </row>
    <row r="1899" spans="1:12" x14ac:dyDescent="0.25">
      <c r="A1899" s="3" t="s">
        <v>7182</v>
      </c>
      <c r="B1899" s="3" t="s">
        <v>7183</v>
      </c>
      <c r="C1899" s="1">
        <v>10</v>
      </c>
      <c r="D1899" s="1">
        <v>820</v>
      </c>
      <c r="E1899" s="1" t="s">
        <v>456</v>
      </c>
      <c r="F1899" s="1" t="s">
        <v>7184</v>
      </c>
      <c r="G1899" s="3" t="s">
        <v>7185</v>
      </c>
      <c r="H1899" s="11">
        <f t="shared" si="58"/>
        <v>3846.95</v>
      </c>
      <c r="I1899" s="9">
        <f>($K$2+0.02)*Tabla1[[#This Row],[PRECIO $]]*1.18</f>
        <v>3338.22</v>
      </c>
      <c r="J1899" s="7">
        <f>+Tabla1[[#This Row],[PRECIO EN SOLES]]-Tabla1[[#This Row],[PC]]</f>
        <v>508.73</v>
      </c>
      <c r="K1899" s="15"/>
      <c r="L1899" s="15" t="str">
        <f t="shared" si="59"/>
        <v>NORMAL</v>
      </c>
    </row>
    <row r="1900" spans="1:12" x14ac:dyDescent="0.25">
      <c r="A1900" s="3" t="s">
        <v>4234</v>
      </c>
      <c r="B1900" s="3" t="s">
        <v>4235</v>
      </c>
      <c r="C1900" s="1">
        <v>20</v>
      </c>
      <c r="D1900" s="1">
        <v>500</v>
      </c>
      <c r="E1900" s="1" t="s">
        <v>340</v>
      </c>
      <c r="F1900" s="1" t="s">
        <v>6631</v>
      </c>
      <c r="G1900" s="3" t="s">
        <v>4236</v>
      </c>
      <c r="H1900" s="11">
        <f t="shared" si="58"/>
        <v>2348.83</v>
      </c>
      <c r="I1900" s="9">
        <f>($K$2+0.02)*Tabla1[[#This Row],[PRECIO $]]*1.18</f>
        <v>2035.5</v>
      </c>
      <c r="J1900" s="7">
        <f>+Tabla1[[#This Row],[PRECIO EN SOLES]]-Tabla1[[#This Row],[PC]]</f>
        <v>313.32999999999993</v>
      </c>
      <c r="K1900" s="15"/>
      <c r="L1900" s="15" t="str">
        <f t="shared" si="59"/>
        <v>NORMAL</v>
      </c>
    </row>
    <row r="1901" spans="1:12" x14ac:dyDescent="0.25">
      <c r="A1901" s="3" t="s">
        <v>4237</v>
      </c>
      <c r="B1901" s="3" t="s">
        <v>4238</v>
      </c>
      <c r="C1901" s="1">
        <v>18</v>
      </c>
      <c r="D1901" s="1">
        <v>760</v>
      </c>
      <c r="E1901" s="1" t="s">
        <v>340</v>
      </c>
      <c r="F1901" s="1" t="s">
        <v>6632</v>
      </c>
      <c r="G1901" s="3" t="s">
        <v>4239</v>
      </c>
      <c r="H1901" s="11">
        <f t="shared" si="58"/>
        <v>3566.05</v>
      </c>
      <c r="I1901" s="9">
        <f>($K$2+0.02)*Tabla1[[#This Row],[PRECIO $]]*1.18</f>
        <v>3093.96</v>
      </c>
      <c r="J1901" s="7">
        <f>+Tabla1[[#This Row],[PRECIO EN SOLES]]-Tabla1[[#This Row],[PC]]</f>
        <v>472.09000000000015</v>
      </c>
      <c r="K1901" s="15"/>
      <c r="L1901" s="15" t="str">
        <f t="shared" si="59"/>
        <v>NORMAL</v>
      </c>
    </row>
    <row r="1902" spans="1:12" x14ac:dyDescent="0.25">
      <c r="A1902" s="3" t="s">
        <v>4240</v>
      </c>
      <c r="B1902" s="3" t="s">
        <v>4241</v>
      </c>
      <c r="C1902" s="1">
        <v>0</v>
      </c>
      <c r="D1902" s="1">
        <v>455.13</v>
      </c>
      <c r="E1902" s="1" t="s">
        <v>442</v>
      </c>
      <c r="F1902" s="1" t="s">
        <v>6633</v>
      </c>
      <c r="G1902" s="3" t="s">
        <v>4242</v>
      </c>
      <c r="H1902" s="11">
        <f t="shared" si="58"/>
        <v>2138.7600000000002</v>
      </c>
      <c r="I1902" s="9">
        <f>($K$2+0.02)*Tabla1[[#This Row],[PRECIO $]]*1.18</f>
        <v>1852.8342299999999</v>
      </c>
      <c r="J1902" s="7">
        <f>+Tabla1[[#This Row],[PRECIO EN SOLES]]-Tabla1[[#This Row],[PC]]</f>
        <v>285.92577000000028</v>
      </c>
      <c r="K1902" s="15"/>
      <c r="L1902" s="15" t="str">
        <f t="shared" si="59"/>
        <v>NORMAL</v>
      </c>
    </row>
    <row r="1903" spans="1:12" x14ac:dyDescent="0.25">
      <c r="A1903" s="3" t="s">
        <v>4243</v>
      </c>
      <c r="B1903" s="3" t="s">
        <v>4244</v>
      </c>
      <c r="C1903" s="1">
        <v>20</v>
      </c>
      <c r="D1903" s="1">
        <v>710.62</v>
      </c>
      <c r="E1903" s="1" t="s">
        <v>442</v>
      </c>
      <c r="F1903" s="1" t="s">
        <v>6634</v>
      </c>
      <c r="G1903" s="3" t="s">
        <v>4245</v>
      </c>
      <c r="H1903" s="11">
        <f t="shared" si="58"/>
        <v>3334.87</v>
      </c>
      <c r="I1903" s="9">
        <f>($K$2+0.02)*Tabla1[[#This Row],[PRECIO $]]*1.18</f>
        <v>2892.9340200000001</v>
      </c>
      <c r="J1903" s="7">
        <f>+Tabla1[[#This Row],[PRECIO EN SOLES]]-Tabla1[[#This Row],[PC]]</f>
        <v>441.93597999999974</v>
      </c>
      <c r="K1903" s="15"/>
      <c r="L1903" s="15" t="str">
        <f t="shared" si="59"/>
        <v>NORMAL</v>
      </c>
    </row>
    <row r="1904" spans="1:12" x14ac:dyDescent="0.25">
      <c r="A1904" s="3" t="s">
        <v>4246</v>
      </c>
      <c r="B1904" s="3" t="s">
        <v>4247</v>
      </c>
      <c r="C1904" s="1">
        <v>20</v>
      </c>
      <c r="D1904" s="1">
        <v>885</v>
      </c>
      <c r="E1904" s="1" t="s">
        <v>442</v>
      </c>
      <c r="F1904" s="1" t="s">
        <v>6635</v>
      </c>
      <c r="G1904" s="3" t="s">
        <v>4248</v>
      </c>
      <c r="H1904" s="11">
        <f t="shared" si="58"/>
        <v>4151.26</v>
      </c>
      <c r="I1904" s="9">
        <f>($K$2+0.02)*Tabla1[[#This Row],[PRECIO $]]*1.18</f>
        <v>3602.835</v>
      </c>
      <c r="J1904" s="7">
        <f>+Tabla1[[#This Row],[PRECIO EN SOLES]]-Tabla1[[#This Row],[PC]]</f>
        <v>548.42500000000018</v>
      </c>
      <c r="K1904" s="15"/>
      <c r="L1904" s="15" t="str">
        <f t="shared" si="59"/>
        <v>NORMAL</v>
      </c>
    </row>
    <row r="1905" spans="1:12" x14ac:dyDescent="0.25">
      <c r="A1905" s="3" t="s">
        <v>4249</v>
      </c>
      <c r="B1905" s="3" t="s">
        <v>4250</v>
      </c>
      <c r="C1905" s="1">
        <v>20</v>
      </c>
      <c r="D1905" s="1">
        <v>506.48</v>
      </c>
      <c r="E1905" s="1" t="s">
        <v>4251</v>
      </c>
      <c r="F1905" s="1" t="s">
        <v>6636</v>
      </c>
      <c r="G1905" s="3" t="s">
        <v>4252</v>
      </c>
      <c r="H1905" s="11">
        <f t="shared" si="58"/>
        <v>2379.16</v>
      </c>
      <c r="I1905" s="9">
        <f>($K$2+0.02)*Tabla1[[#This Row],[PRECIO $]]*1.18</f>
        <v>2061.8800800000004</v>
      </c>
      <c r="J1905" s="7">
        <f>+Tabla1[[#This Row],[PRECIO EN SOLES]]-Tabla1[[#This Row],[PC]]</f>
        <v>317.27991999999949</v>
      </c>
      <c r="K1905" s="15"/>
      <c r="L1905" s="15" t="str">
        <f t="shared" si="59"/>
        <v>NORMAL</v>
      </c>
    </row>
    <row r="1906" spans="1:12" x14ac:dyDescent="0.25">
      <c r="A1906" s="3" t="s">
        <v>4253</v>
      </c>
      <c r="B1906" s="3" t="s">
        <v>4254</v>
      </c>
      <c r="C1906" s="1">
        <v>20</v>
      </c>
      <c r="D1906" s="1">
        <v>494.01</v>
      </c>
      <c r="E1906" s="1" t="s">
        <v>4251</v>
      </c>
      <c r="F1906" s="1" t="s">
        <v>6637</v>
      </c>
      <c r="G1906" s="3" t="s">
        <v>4255</v>
      </c>
      <c r="H1906" s="11">
        <f t="shared" si="58"/>
        <v>2320.7800000000002</v>
      </c>
      <c r="I1906" s="9">
        <f>($K$2+0.02)*Tabla1[[#This Row],[PRECIO $]]*1.18</f>
        <v>2011.1147100000001</v>
      </c>
      <c r="J1906" s="7">
        <f>+Tabla1[[#This Row],[PRECIO EN SOLES]]-Tabla1[[#This Row],[PC]]</f>
        <v>309.66529000000014</v>
      </c>
      <c r="K1906" s="15"/>
      <c r="L1906" s="15" t="str">
        <f t="shared" si="59"/>
        <v>NORMAL</v>
      </c>
    </row>
    <row r="1907" spans="1:12" x14ac:dyDescent="0.25">
      <c r="A1907" s="3" t="s">
        <v>4256</v>
      </c>
      <c r="B1907" s="3" t="s">
        <v>4257</v>
      </c>
      <c r="C1907" s="1">
        <v>20</v>
      </c>
      <c r="D1907" s="1">
        <v>500.81</v>
      </c>
      <c r="E1907" s="1" t="s">
        <v>4251</v>
      </c>
      <c r="F1907" s="1" t="s">
        <v>6638</v>
      </c>
      <c r="G1907" s="3" t="s">
        <v>4258</v>
      </c>
      <c r="H1907" s="11">
        <f t="shared" si="58"/>
        <v>2352.62</v>
      </c>
      <c r="I1907" s="9">
        <f>($K$2+0.02)*Tabla1[[#This Row],[PRECIO $]]*1.18</f>
        <v>2038.7975100000001</v>
      </c>
      <c r="J1907" s="7">
        <f>+Tabla1[[#This Row],[PRECIO EN SOLES]]-Tabla1[[#This Row],[PC]]</f>
        <v>313.82248999999979</v>
      </c>
      <c r="K1907" s="15"/>
      <c r="L1907" s="15" t="str">
        <f t="shared" si="59"/>
        <v>NORMAL</v>
      </c>
    </row>
    <row r="1908" spans="1:12" x14ac:dyDescent="0.25">
      <c r="A1908" s="3" t="s">
        <v>4259</v>
      </c>
      <c r="B1908" s="3" t="s">
        <v>4260</v>
      </c>
      <c r="C1908" s="1">
        <v>11</v>
      </c>
      <c r="D1908" s="1">
        <v>651.97</v>
      </c>
      <c r="E1908" s="1" t="s">
        <v>4251</v>
      </c>
      <c r="F1908" s="1" t="s">
        <v>6639</v>
      </c>
      <c r="G1908" s="3" t="s">
        <v>4261</v>
      </c>
      <c r="H1908" s="11">
        <f t="shared" si="58"/>
        <v>3060.3</v>
      </c>
      <c r="I1908" s="9">
        <f>($K$2+0.02)*Tabla1[[#This Row],[PRECIO $]]*1.18</f>
        <v>2654.1698700000002</v>
      </c>
      <c r="J1908" s="7">
        <f>+Tabla1[[#This Row],[PRECIO EN SOLES]]-Tabla1[[#This Row],[PC]]</f>
        <v>406.13013000000001</v>
      </c>
      <c r="K1908" s="15"/>
      <c r="L1908" s="15" t="str">
        <f t="shared" si="59"/>
        <v>NORMAL</v>
      </c>
    </row>
    <row r="1909" spans="1:12" x14ac:dyDescent="0.25">
      <c r="A1909" s="3" t="s">
        <v>4262</v>
      </c>
      <c r="B1909" s="3" t="s">
        <v>4263</v>
      </c>
      <c r="C1909" s="1">
        <v>8</v>
      </c>
      <c r="D1909" s="1">
        <v>788.02</v>
      </c>
      <c r="E1909" s="1" t="s">
        <v>4251</v>
      </c>
      <c r="F1909" s="1" t="s">
        <v>6640</v>
      </c>
      <c r="G1909" s="3" t="s">
        <v>4264</v>
      </c>
      <c r="H1909" s="11">
        <f t="shared" si="58"/>
        <v>3697.23</v>
      </c>
      <c r="I1909" s="9">
        <f>($K$2+0.02)*Tabla1[[#This Row],[PRECIO $]]*1.18</f>
        <v>3208.0294199999998</v>
      </c>
      <c r="J1909" s="7">
        <f>+Tabla1[[#This Row],[PRECIO EN SOLES]]-Tabla1[[#This Row],[PC]]</f>
        <v>489.20058000000017</v>
      </c>
      <c r="K1909" s="15"/>
      <c r="L1909" s="15" t="str">
        <f t="shared" si="59"/>
        <v>NORMAL</v>
      </c>
    </row>
    <row r="1910" spans="1:12" x14ac:dyDescent="0.25">
      <c r="A1910" s="3" t="s">
        <v>4265</v>
      </c>
      <c r="B1910" s="3" t="s">
        <v>4266</v>
      </c>
      <c r="C1910" s="1">
        <v>2</v>
      </c>
      <c r="D1910" s="1">
        <v>870.97</v>
      </c>
      <c r="E1910" s="1" t="s">
        <v>4251</v>
      </c>
      <c r="F1910" s="1" t="s">
        <v>6641</v>
      </c>
      <c r="G1910" s="3" t="s">
        <v>4267</v>
      </c>
      <c r="H1910" s="11">
        <f t="shared" si="58"/>
        <v>4085.58</v>
      </c>
      <c r="I1910" s="9">
        <f>($K$2+0.02)*Tabla1[[#This Row],[PRECIO $]]*1.18</f>
        <v>3545.7188700000002</v>
      </c>
      <c r="J1910" s="7">
        <f>+Tabla1[[#This Row],[PRECIO EN SOLES]]-Tabla1[[#This Row],[PC]]</f>
        <v>539.86112999999978</v>
      </c>
      <c r="K1910" s="15"/>
      <c r="L1910" s="15" t="str">
        <f t="shared" si="59"/>
        <v>NORMAL</v>
      </c>
    </row>
    <row r="1911" spans="1:12" x14ac:dyDescent="0.25">
      <c r="A1911" s="3" t="s">
        <v>4268</v>
      </c>
      <c r="B1911" s="3" t="s">
        <v>4269</v>
      </c>
      <c r="C1911" s="1">
        <v>5</v>
      </c>
      <c r="D1911" s="1">
        <v>793.63</v>
      </c>
      <c r="E1911" s="1" t="s">
        <v>4251</v>
      </c>
      <c r="F1911" s="1" t="s">
        <v>6642</v>
      </c>
      <c r="G1911" s="3" t="s">
        <v>4270</v>
      </c>
      <c r="H1911" s="11">
        <f t="shared" si="58"/>
        <v>3723.5</v>
      </c>
      <c r="I1911" s="9">
        <f>($K$2+0.02)*Tabla1[[#This Row],[PRECIO $]]*1.18</f>
        <v>3230.8677299999999</v>
      </c>
      <c r="J1911" s="7">
        <f>+Tabla1[[#This Row],[PRECIO EN SOLES]]-Tabla1[[#This Row],[PC]]</f>
        <v>492.63227000000006</v>
      </c>
      <c r="K1911" s="15"/>
      <c r="L1911" s="15" t="str">
        <f t="shared" si="59"/>
        <v>NORMAL</v>
      </c>
    </row>
    <row r="1912" spans="1:12" x14ac:dyDescent="0.25">
      <c r="A1912" s="3" t="s">
        <v>4271</v>
      </c>
      <c r="B1912" s="3" t="s">
        <v>4272</v>
      </c>
      <c r="C1912" s="1">
        <v>2</v>
      </c>
      <c r="D1912" s="1">
        <v>840.71</v>
      </c>
      <c r="E1912" s="1" t="s">
        <v>4251</v>
      </c>
      <c r="F1912" s="1" t="s">
        <v>6643</v>
      </c>
      <c r="G1912" s="3" t="s">
        <v>4273</v>
      </c>
      <c r="H1912" s="11">
        <f t="shared" si="58"/>
        <v>3943.91</v>
      </c>
      <c r="I1912" s="9">
        <f>($K$2+0.02)*Tabla1[[#This Row],[PRECIO $]]*1.18</f>
        <v>3422.5304099999998</v>
      </c>
      <c r="J1912" s="7">
        <f>+Tabla1[[#This Row],[PRECIO EN SOLES]]-Tabla1[[#This Row],[PC]]</f>
        <v>521.37959000000001</v>
      </c>
      <c r="K1912" s="15"/>
      <c r="L1912" s="15" t="str">
        <f t="shared" si="59"/>
        <v>NORMAL</v>
      </c>
    </row>
    <row r="1913" spans="1:12" x14ac:dyDescent="0.25">
      <c r="A1913" s="3" t="s">
        <v>4274</v>
      </c>
      <c r="B1913" s="3" t="s">
        <v>4275</v>
      </c>
      <c r="C1913" s="1">
        <v>20</v>
      </c>
      <c r="D1913" s="1">
        <v>342</v>
      </c>
      <c r="E1913" s="1" t="s">
        <v>456</v>
      </c>
      <c r="F1913" s="1" t="s">
        <v>6644</v>
      </c>
      <c r="G1913" s="3" t="s">
        <v>4276</v>
      </c>
      <c r="H1913" s="11">
        <f t="shared" si="58"/>
        <v>1609.12</v>
      </c>
      <c r="I1913" s="9">
        <f>($K$2+0.02)*Tabla1[[#This Row],[PRECIO $]]*1.18</f>
        <v>1392.2819999999999</v>
      </c>
      <c r="J1913" s="7">
        <f>+Tabla1[[#This Row],[PRECIO EN SOLES]]-Tabla1[[#This Row],[PC]]</f>
        <v>216.83799999999997</v>
      </c>
      <c r="K1913" s="15"/>
      <c r="L1913" s="15" t="str">
        <f t="shared" si="59"/>
        <v>NORMAL</v>
      </c>
    </row>
    <row r="1914" spans="1:12" x14ac:dyDescent="0.25">
      <c r="A1914" s="3" t="s">
        <v>4277</v>
      </c>
      <c r="B1914" s="3" t="s">
        <v>4278</v>
      </c>
      <c r="C1914" s="1">
        <v>20</v>
      </c>
      <c r="D1914" s="1">
        <v>333</v>
      </c>
      <c r="E1914" s="1" t="s">
        <v>442</v>
      </c>
      <c r="F1914" s="1" t="s">
        <v>6645</v>
      </c>
      <c r="G1914" s="3" t="s">
        <v>4279</v>
      </c>
      <c r="H1914" s="11">
        <f t="shared" si="58"/>
        <v>1566.99</v>
      </c>
      <c r="I1914" s="9">
        <f>($K$2+0.02)*Tabla1[[#This Row],[PRECIO $]]*1.18</f>
        <v>1355.643</v>
      </c>
      <c r="J1914" s="7">
        <f>+Tabla1[[#This Row],[PRECIO EN SOLES]]-Tabla1[[#This Row],[PC]]</f>
        <v>211.34699999999998</v>
      </c>
      <c r="K1914" s="15"/>
      <c r="L1914" s="15" t="str">
        <f t="shared" si="59"/>
        <v>NORMAL</v>
      </c>
    </row>
    <row r="1915" spans="1:12" x14ac:dyDescent="0.25">
      <c r="A1915" s="3" t="s">
        <v>4280</v>
      </c>
      <c r="B1915" s="3" t="s">
        <v>4281</v>
      </c>
      <c r="C1915" s="1">
        <v>20</v>
      </c>
      <c r="D1915" s="1">
        <v>386.98</v>
      </c>
      <c r="E1915" s="1" t="s">
        <v>442</v>
      </c>
      <c r="F1915" s="1" t="s">
        <v>6646</v>
      </c>
      <c r="G1915" s="3" t="s">
        <v>4282</v>
      </c>
      <c r="H1915" s="11">
        <f t="shared" si="58"/>
        <v>1819.7</v>
      </c>
      <c r="I1915" s="9">
        <f>($K$2+0.02)*Tabla1[[#This Row],[PRECIO $]]*1.18</f>
        <v>1575.3955800000001</v>
      </c>
      <c r="J1915" s="7">
        <f>+Tabla1[[#This Row],[PRECIO EN SOLES]]-Tabla1[[#This Row],[PC]]</f>
        <v>244.30441999999994</v>
      </c>
      <c r="K1915" s="15"/>
      <c r="L1915" s="15" t="str">
        <f t="shared" si="59"/>
        <v>NORMAL</v>
      </c>
    </row>
    <row r="1916" spans="1:12" x14ac:dyDescent="0.25">
      <c r="A1916" s="3" t="s">
        <v>4283</v>
      </c>
      <c r="B1916" s="3" t="s">
        <v>4284</v>
      </c>
      <c r="C1916" s="1">
        <v>20</v>
      </c>
      <c r="D1916" s="1">
        <v>296</v>
      </c>
      <c r="E1916" s="1" t="s">
        <v>4251</v>
      </c>
      <c r="F1916" s="1" t="s">
        <v>6647</v>
      </c>
      <c r="G1916" s="3" t="s">
        <v>4285</v>
      </c>
      <c r="H1916" s="11">
        <f t="shared" si="58"/>
        <v>1393.77</v>
      </c>
      <c r="I1916" s="9">
        <f>($K$2+0.02)*Tabla1[[#This Row],[PRECIO $]]*1.18</f>
        <v>1205.0160000000001</v>
      </c>
      <c r="J1916" s="7">
        <f>+Tabla1[[#This Row],[PRECIO EN SOLES]]-Tabla1[[#This Row],[PC]]</f>
        <v>188.75399999999991</v>
      </c>
      <c r="K1916" s="15"/>
      <c r="L1916" s="15" t="str">
        <f t="shared" si="59"/>
        <v>NORMAL</v>
      </c>
    </row>
    <row r="1917" spans="1:12" x14ac:dyDescent="0.25">
      <c r="A1917" s="3" t="s">
        <v>4286</v>
      </c>
      <c r="B1917" s="3" t="s">
        <v>4287</v>
      </c>
      <c r="C1917" s="1">
        <v>17</v>
      </c>
      <c r="D1917" s="1">
        <v>107.69</v>
      </c>
      <c r="E1917" s="1" t="s">
        <v>442</v>
      </c>
      <c r="F1917" s="1" t="s">
        <v>6648</v>
      </c>
      <c r="G1917" s="3" t="s">
        <v>4288</v>
      </c>
      <c r="H1917" s="11">
        <f t="shared" si="58"/>
        <v>512.16999999999996</v>
      </c>
      <c r="I1917" s="9">
        <f>($K$2+0.02)*Tabla1[[#This Row],[PRECIO $]]*1.18</f>
        <v>438.40598999999997</v>
      </c>
      <c r="J1917" s="7">
        <f>+Tabla1[[#This Row],[PRECIO EN SOLES]]-Tabla1[[#This Row],[PC]]</f>
        <v>73.764009999999985</v>
      </c>
      <c r="K1917" s="15"/>
      <c r="L1917" s="15" t="str">
        <f t="shared" si="59"/>
        <v>NORMAL</v>
      </c>
    </row>
    <row r="1918" spans="1:12" x14ac:dyDescent="0.25">
      <c r="A1918" s="3" t="s">
        <v>4289</v>
      </c>
      <c r="B1918" s="3" t="s">
        <v>4290</v>
      </c>
      <c r="C1918" s="1">
        <v>0</v>
      </c>
      <c r="D1918" s="1">
        <v>1200</v>
      </c>
      <c r="E1918" s="1" t="s">
        <v>226</v>
      </c>
      <c r="F1918" s="1" t="s">
        <v>6649</v>
      </c>
      <c r="G1918" s="3" t="s">
        <v>4291</v>
      </c>
      <c r="H1918" s="11">
        <f t="shared" si="58"/>
        <v>5625.98</v>
      </c>
      <c r="I1918" s="9">
        <f>($K$2+0.02)*Tabla1[[#This Row],[PRECIO $]]*1.18</f>
        <v>4885.2</v>
      </c>
      <c r="J1918" s="7">
        <f>+Tabla1[[#This Row],[PRECIO EN SOLES]]-Tabla1[[#This Row],[PC]]</f>
        <v>740.77999999999975</v>
      </c>
      <c r="K1918" s="15"/>
      <c r="L1918" s="15" t="str">
        <f t="shared" si="59"/>
        <v>NORMAL</v>
      </c>
    </row>
    <row r="1919" spans="1:12" x14ac:dyDescent="0.25">
      <c r="A1919" s="3" t="s">
        <v>4292</v>
      </c>
      <c r="B1919" s="3" t="s">
        <v>4293</v>
      </c>
      <c r="C1919" s="1">
        <v>20</v>
      </c>
      <c r="D1919" s="1">
        <v>6.1</v>
      </c>
      <c r="E1919" s="1" t="s">
        <v>226</v>
      </c>
      <c r="F1919" s="1" t="s">
        <v>6650</v>
      </c>
      <c r="G1919" s="3" t="s">
        <v>4294</v>
      </c>
      <c r="H1919" s="11">
        <f t="shared" si="58"/>
        <v>32.54</v>
      </c>
      <c r="I1919" s="9">
        <f>($K$2+0.02)*Tabla1[[#This Row],[PRECIO $]]*1.18</f>
        <v>24.833099999999998</v>
      </c>
      <c r="J1919" s="7">
        <f>+Tabla1[[#This Row],[PRECIO EN SOLES]]-Tabla1[[#This Row],[PC]]</f>
        <v>7.706900000000001</v>
      </c>
      <c r="K1919" s="15"/>
      <c r="L1919" s="15" t="str">
        <f t="shared" si="59"/>
        <v>COMPLEMENTO</v>
      </c>
    </row>
    <row r="1920" spans="1:12" x14ac:dyDescent="0.25">
      <c r="A1920" s="3" t="s">
        <v>6651</v>
      </c>
      <c r="B1920" s="3" t="s">
        <v>6652</v>
      </c>
      <c r="C1920" s="1">
        <v>3</v>
      </c>
      <c r="D1920" s="1">
        <v>396</v>
      </c>
      <c r="E1920" s="1" t="s">
        <v>226</v>
      </c>
      <c r="F1920" s="1" t="s">
        <v>6653</v>
      </c>
      <c r="G1920" s="3" t="s">
        <v>6654</v>
      </c>
      <c r="H1920" s="11">
        <f t="shared" si="58"/>
        <v>2020.15</v>
      </c>
      <c r="I1920" s="9">
        <f>($K$2+0.02)*Tabla1[[#This Row],[PRECIO $]]*1.18</f>
        <v>1612.116</v>
      </c>
      <c r="J1920" s="7">
        <f>+Tabla1[[#This Row],[PRECIO EN SOLES]]-Tabla1[[#This Row],[PC]]</f>
        <v>408.03400000000011</v>
      </c>
      <c r="K1920" s="15"/>
      <c r="L1920" s="15" t="str">
        <f t="shared" si="59"/>
        <v>COMPLEMENTO</v>
      </c>
    </row>
    <row r="1921" spans="1:12" x14ac:dyDescent="0.25">
      <c r="A1921" s="3"/>
      <c r="B1921" s="3"/>
      <c r="C1921" s="1"/>
      <c r="D1921" s="1"/>
      <c r="E1921" s="1"/>
      <c r="F1921" s="1"/>
      <c r="G1921" s="3"/>
      <c r="H1921" s="11">
        <f t="shared" si="58"/>
        <v>2</v>
      </c>
      <c r="I1921" s="9">
        <f>($K$2+0.02)*Tabla1[[#This Row],[PRECIO $]]*1.18</f>
        <v>0</v>
      </c>
      <c r="J1921" s="7">
        <f>+Tabla1[[#This Row],[PRECIO EN SOLES]]-Tabla1[[#This Row],[PC]]</f>
        <v>2</v>
      </c>
      <c r="K1921" s="15"/>
      <c r="L1921" s="15" t="str">
        <f t="shared" si="59"/>
        <v>NORMAL</v>
      </c>
    </row>
    <row r="1922" spans="1:12" x14ac:dyDescent="0.25">
      <c r="A1922" s="3"/>
      <c r="B1922" s="3"/>
      <c r="C1922" s="1"/>
      <c r="D1922" s="1"/>
      <c r="E1922" s="1"/>
      <c r="F1922" s="1"/>
      <c r="G1922" s="3"/>
      <c r="H1922" s="11">
        <f t="shared" ref="H1922:H1985" si="60">ROUND(
IF(L1922="GANCHO",
   IF(I1922&lt;=50,I1922*1.1+4,IF(I1922&lt;=120,I1922*1.1+7,IF(I1922&lt;=250,I1922*1.1+11,I1922*1.1+19))),
IF(L1922="NORMAL",
   IF(I1922&lt;=30,I1922*1.15+2,IF(I1922&lt;=80,I1922*1.15+4,IF(I1922&lt;=150,I1922*1.15+6,I1922*1.15+8))),
IF(L1922="COMPLEMENTO",
   IF(I1922&lt;=25,I1922*1.25+1.5,IF(I1922&lt;=60,I1922*1.25+3,IF(I1922&lt;=120,I1922*1.25+4,I1922*1.25+5))),
""))),2)</f>
        <v>2</v>
      </c>
      <c r="I1922" s="9">
        <f>($K$2+0.02)*Tabla1[[#This Row],[PRECIO $]]*1.18</f>
        <v>0</v>
      </c>
      <c r="J1922" s="7">
        <f>+Tabla1[[#This Row],[PRECIO EN SOLES]]-Tabla1[[#This Row],[PC]]</f>
        <v>2</v>
      </c>
      <c r="K1922" s="15"/>
      <c r="L1922" s="15" t="str">
        <f t="shared" si="59"/>
        <v>NORMAL</v>
      </c>
    </row>
    <row r="1923" spans="1:12" x14ac:dyDescent="0.25">
      <c r="A1923" s="3"/>
      <c r="B1923" s="3"/>
      <c r="C1923" s="1"/>
      <c r="D1923" s="1"/>
      <c r="E1923" s="1"/>
      <c r="F1923" s="1"/>
      <c r="G1923" s="3"/>
      <c r="H1923" s="11">
        <f t="shared" si="60"/>
        <v>2</v>
      </c>
      <c r="I1923" s="9">
        <f>($K$2+0.02)*Tabla1[[#This Row],[PRECIO $]]*1.18</f>
        <v>0</v>
      </c>
      <c r="J1923" s="7">
        <f>+Tabla1[[#This Row],[PRECIO EN SOLES]]-Tabla1[[#This Row],[PC]]</f>
        <v>2</v>
      </c>
      <c r="K1923" s="15"/>
      <c r="L1923" s="15" t="str">
        <f t="shared" ref="L1923:L1986" si="61">IF(
OR(
ISNUMBER(SEARCH("BACKPACK",B1923)),
ISNUMBER(SEARCH("MOCHILA",B1923)),
ISNUMBER(SEARCH("FUNDA",B1923)),
ISNUMBER(SEARCH("ESTUCHE",B1923)),
ISNUMBER(SEARCH("BOOK COVER",B1923)),
ISNUMBER(SEARCH("KEYBOARD PARA TABLET",B1923)),
ISNUMBER(SEARCH("FLIP TABLET",B1923)),
ISNUMBER(SEARCH("CASE FOR TABLET",B1923)),
ISNUMBER(SEARCH("CABLE",B1923)),
ISNUMBER(SEARCH("ADAPTADOR",B1923)),
ISNUMBER(SEARCH("HUB",B1923)),
ISNUMBER(SEARCH("DOCK",B1923)),
ISNUMBER(SEARCH("MOUSE PAD",B1923)),
ISNUMBER(SEARCH("MOUSEPAD",B1923)),
ISNUMBER(SEARCH("SOPORTE",B1923)),
ISNUMBER(SEARCH("STAND",B1923)),
ISNUMBER(SEARCH("TRAVEL ADAPTER",B1923)),
ISNUMBER(SEARCH("RJ45",B1923)),
ISNUMBER(SEARCH("USB-C",B1923)),
ISNUMBER(SEARCH("USB WIFI",B1923)),
ISNUMBER(SEARCH("POWERBANK",B1923)),
ISNUMBER(SEARCH("CARGADOR",B1923)),
ISNUMBER(SEARCH("COOLER PARA NB",B1923)),
ISNUMBER(SEARCH("SOPORTE PARA NB",B1923)),
ISNUMBER(SEARCH("WEBCAM",B1923)),
ISNUMBER(SEARCH("WEB CAM",B1923)),
ISNUMBER(SEARCH("MOUSE",B1923)),
ISNUMBER(SEARCH("TECLADO",B1923))
),
"COMPLEMENTO",
IF(
OR(
LEFT(A1923,2)="NB",
LEFT(A1923,2)="PC",
LEFT(A1923,2)="WS",
LEFT(A1923,2)="TB",
LEFT(A1923,3)="CEL",
LEFT(A1923,3)="MON",
LEFT(A1923,3)="PRE",
LEFT(A1923,3)="PRH",
ISNUMBER(SEARCH("NOTEBOOK",B1923)),
ISNUMBER(SEARCH("LAPTOP",B1923)),
ISNUMBER(SEARCH("MONITOR",B1923)),
ISNUMBER(SEARCH("TABLET",B1923)),
ISNUMBER(SEARCH("SMARTPH",B1923)),
ISNUMBER(SEARCH("IMPRESORA",B1923)),
ISNUMBER(SEARCH("MULTIFUNCIONAL",B1923)),
ISNUMBER(SEARCH("AIO",B1923))
),
"GANCHO",
"NORMAL"
)
)</f>
        <v>NORMAL</v>
      </c>
    </row>
    <row r="1924" spans="1:12" x14ac:dyDescent="0.25">
      <c r="A1924" s="3"/>
      <c r="B1924" s="3"/>
      <c r="C1924" s="1"/>
      <c r="D1924" s="1"/>
      <c r="E1924" s="1"/>
      <c r="F1924" s="1"/>
      <c r="G1924" s="3"/>
      <c r="H1924" s="11">
        <f t="shared" si="60"/>
        <v>2</v>
      </c>
      <c r="I1924" s="9">
        <f>($K$2+0.02)*Tabla1[[#This Row],[PRECIO $]]*1.18</f>
        <v>0</v>
      </c>
      <c r="J1924" s="7">
        <f>+Tabla1[[#This Row],[PRECIO EN SOLES]]-Tabla1[[#This Row],[PC]]</f>
        <v>2</v>
      </c>
      <c r="K1924" s="15"/>
      <c r="L1924" s="15" t="str">
        <f t="shared" si="61"/>
        <v>NORMAL</v>
      </c>
    </row>
    <row r="1925" spans="1:12" x14ac:dyDescent="0.25">
      <c r="A1925" s="3"/>
      <c r="B1925" s="3"/>
      <c r="C1925" s="1"/>
      <c r="D1925" s="1"/>
      <c r="E1925" s="1"/>
      <c r="F1925" s="1"/>
      <c r="G1925" s="3"/>
      <c r="H1925" s="11">
        <f t="shared" si="60"/>
        <v>2</v>
      </c>
      <c r="I1925" s="9">
        <f>($K$2+0.02)*Tabla1[[#This Row],[PRECIO $]]*1.18</f>
        <v>0</v>
      </c>
      <c r="J1925" s="7">
        <f>+Tabla1[[#This Row],[PRECIO EN SOLES]]-Tabla1[[#This Row],[PC]]</f>
        <v>2</v>
      </c>
      <c r="K1925" s="15"/>
      <c r="L1925" s="15" t="str">
        <f t="shared" si="61"/>
        <v>NORMAL</v>
      </c>
    </row>
    <row r="1926" spans="1:12" x14ac:dyDescent="0.25">
      <c r="A1926" s="3"/>
      <c r="B1926" s="3"/>
      <c r="C1926" s="1"/>
      <c r="D1926" s="1"/>
      <c r="E1926" s="1"/>
      <c r="F1926" s="1"/>
      <c r="G1926" s="3"/>
      <c r="H1926" s="11">
        <f t="shared" si="60"/>
        <v>2</v>
      </c>
      <c r="I1926" s="9">
        <f>($K$2+0.02)*Tabla1[[#This Row],[PRECIO $]]*1.18</f>
        <v>0</v>
      </c>
      <c r="J1926" s="7">
        <f>+Tabla1[[#This Row],[PRECIO EN SOLES]]-Tabla1[[#This Row],[PC]]</f>
        <v>2</v>
      </c>
      <c r="K1926" s="15"/>
      <c r="L1926" s="15" t="str">
        <f t="shared" si="61"/>
        <v>NORMAL</v>
      </c>
    </row>
    <row r="1927" spans="1:12" x14ac:dyDescent="0.25">
      <c r="A1927" s="3"/>
      <c r="B1927" s="3"/>
      <c r="C1927" s="1"/>
      <c r="D1927" s="1"/>
      <c r="E1927" s="1"/>
      <c r="F1927" s="1"/>
      <c r="G1927" s="3"/>
      <c r="H1927" s="11">
        <f t="shared" si="60"/>
        <v>2</v>
      </c>
      <c r="I1927" s="9">
        <f>($K$2+0.02)*Tabla1[[#This Row],[PRECIO $]]*1.18</f>
        <v>0</v>
      </c>
      <c r="J1927" s="7">
        <f>+Tabla1[[#This Row],[PRECIO EN SOLES]]-Tabla1[[#This Row],[PC]]</f>
        <v>2</v>
      </c>
      <c r="K1927" s="15"/>
      <c r="L1927" s="15" t="str">
        <f t="shared" si="61"/>
        <v>NORMAL</v>
      </c>
    </row>
    <row r="1928" spans="1:12" x14ac:dyDescent="0.25">
      <c r="A1928" s="3"/>
      <c r="B1928" s="3"/>
      <c r="C1928" s="1"/>
      <c r="D1928" s="1"/>
      <c r="E1928" s="1"/>
      <c r="F1928" s="1"/>
      <c r="G1928" s="3"/>
      <c r="H1928" s="11">
        <f t="shared" si="60"/>
        <v>2</v>
      </c>
      <c r="I1928" s="9">
        <f>($K$2+0.02)*Tabla1[[#This Row],[PRECIO $]]*1.18</f>
        <v>0</v>
      </c>
      <c r="J1928" s="7">
        <f>+Tabla1[[#This Row],[PRECIO EN SOLES]]-Tabla1[[#This Row],[PC]]</f>
        <v>2</v>
      </c>
      <c r="K1928" s="15"/>
      <c r="L1928" s="15" t="str">
        <f t="shared" si="61"/>
        <v>NORMAL</v>
      </c>
    </row>
    <row r="1929" spans="1:12" x14ac:dyDescent="0.25">
      <c r="A1929" s="3"/>
      <c r="B1929" s="3"/>
      <c r="C1929" s="1"/>
      <c r="D1929" s="1"/>
      <c r="E1929" s="1"/>
      <c r="F1929" s="1"/>
      <c r="G1929" s="3"/>
      <c r="H1929" s="11">
        <f t="shared" si="60"/>
        <v>2</v>
      </c>
      <c r="I1929" s="9">
        <f>($K$2+0.02)*Tabla1[[#This Row],[PRECIO $]]*1.18</f>
        <v>0</v>
      </c>
      <c r="J1929" s="7">
        <f>+Tabla1[[#This Row],[PRECIO EN SOLES]]-Tabla1[[#This Row],[PC]]</f>
        <v>2</v>
      </c>
      <c r="K1929" s="15"/>
      <c r="L1929" s="15" t="str">
        <f t="shared" si="61"/>
        <v>NORMAL</v>
      </c>
    </row>
    <row r="1930" spans="1:12" x14ac:dyDescent="0.25">
      <c r="A1930" s="3"/>
      <c r="B1930" s="3"/>
      <c r="C1930" s="1"/>
      <c r="D1930" s="1"/>
      <c r="E1930" s="1"/>
      <c r="F1930" s="1"/>
      <c r="G1930" s="3"/>
      <c r="H1930" s="11">
        <f t="shared" si="60"/>
        <v>2</v>
      </c>
      <c r="I1930" s="9">
        <f>($K$2+0.02)*Tabla1[[#This Row],[PRECIO $]]*1.18</f>
        <v>0</v>
      </c>
      <c r="J1930" s="7">
        <f>+Tabla1[[#This Row],[PRECIO EN SOLES]]-Tabla1[[#This Row],[PC]]</f>
        <v>2</v>
      </c>
      <c r="K1930" s="15"/>
      <c r="L1930" s="15" t="str">
        <f t="shared" si="61"/>
        <v>NORMAL</v>
      </c>
    </row>
    <row r="1931" spans="1:12" x14ac:dyDescent="0.25">
      <c r="A1931" s="3"/>
      <c r="B1931" s="3"/>
      <c r="C1931" s="1"/>
      <c r="D1931" s="1"/>
      <c r="E1931" s="1"/>
      <c r="F1931" s="1"/>
      <c r="G1931" s="3"/>
      <c r="H1931" s="11">
        <f t="shared" si="60"/>
        <v>2</v>
      </c>
      <c r="I1931" s="9">
        <f>($K$2+0.02)*Tabla1[[#This Row],[PRECIO $]]*1.18</f>
        <v>0</v>
      </c>
      <c r="J1931" s="7">
        <f>+Tabla1[[#This Row],[PRECIO EN SOLES]]-Tabla1[[#This Row],[PC]]</f>
        <v>2</v>
      </c>
      <c r="K1931" s="15"/>
      <c r="L1931" s="15" t="str">
        <f t="shared" si="61"/>
        <v>NORMAL</v>
      </c>
    </row>
    <row r="1932" spans="1:12" x14ac:dyDescent="0.25">
      <c r="A1932" s="3"/>
      <c r="B1932" s="3"/>
      <c r="C1932" s="1"/>
      <c r="D1932" s="1"/>
      <c r="E1932" s="1"/>
      <c r="F1932" s="1"/>
      <c r="G1932" s="3"/>
      <c r="H1932" s="11">
        <f t="shared" si="60"/>
        <v>2</v>
      </c>
      <c r="I1932" s="9">
        <f>($K$2+0.02)*Tabla1[[#This Row],[PRECIO $]]*1.18</f>
        <v>0</v>
      </c>
      <c r="J1932" s="7">
        <f>+Tabla1[[#This Row],[PRECIO EN SOLES]]-Tabla1[[#This Row],[PC]]</f>
        <v>2</v>
      </c>
      <c r="K1932" s="15"/>
      <c r="L1932" s="15" t="str">
        <f t="shared" si="61"/>
        <v>NORMAL</v>
      </c>
    </row>
    <row r="1933" spans="1:12" x14ac:dyDescent="0.25">
      <c r="A1933" s="3"/>
      <c r="B1933" s="3"/>
      <c r="C1933" s="1"/>
      <c r="D1933" s="1"/>
      <c r="E1933" s="1"/>
      <c r="F1933" s="1"/>
      <c r="G1933" s="3"/>
      <c r="H1933" s="11">
        <f t="shared" si="60"/>
        <v>2</v>
      </c>
      <c r="I1933" s="9">
        <f>($K$2+0.02)*Tabla1[[#This Row],[PRECIO $]]*1.18</f>
        <v>0</v>
      </c>
      <c r="J1933" s="7">
        <f>+Tabla1[[#This Row],[PRECIO EN SOLES]]-Tabla1[[#This Row],[PC]]</f>
        <v>2</v>
      </c>
      <c r="K1933" s="15"/>
      <c r="L1933" s="15" t="str">
        <f t="shared" si="61"/>
        <v>NORMAL</v>
      </c>
    </row>
    <row r="1934" spans="1:12" x14ac:dyDescent="0.25">
      <c r="A1934" s="3"/>
      <c r="B1934" s="3"/>
      <c r="C1934" s="1"/>
      <c r="D1934" s="1"/>
      <c r="E1934" s="1"/>
      <c r="F1934" s="1"/>
      <c r="G1934" s="3"/>
      <c r="H1934" s="11">
        <f t="shared" si="60"/>
        <v>2</v>
      </c>
      <c r="I1934" s="9">
        <f>($K$2+0.02)*Tabla1[[#This Row],[PRECIO $]]*1.18</f>
        <v>0</v>
      </c>
      <c r="J1934" s="7">
        <f>+Tabla1[[#This Row],[PRECIO EN SOLES]]-Tabla1[[#This Row],[PC]]</f>
        <v>2</v>
      </c>
      <c r="K1934" s="15"/>
      <c r="L1934" s="15" t="str">
        <f t="shared" si="61"/>
        <v>NORMAL</v>
      </c>
    </row>
    <row r="1935" spans="1:12" x14ac:dyDescent="0.25">
      <c r="A1935" s="3"/>
      <c r="B1935" s="3"/>
      <c r="C1935" s="1"/>
      <c r="D1935" s="1"/>
      <c r="E1935" s="1"/>
      <c r="F1935" s="1"/>
      <c r="G1935" s="3"/>
      <c r="H1935" s="11">
        <f t="shared" si="60"/>
        <v>2</v>
      </c>
      <c r="I1935" s="9">
        <f>($K$2+0.02)*Tabla1[[#This Row],[PRECIO $]]*1.18</f>
        <v>0</v>
      </c>
      <c r="J1935" s="7">
        <f>+Tabla1[[#This Row],[PRECIO EN SOLES]]-Tabla1[[#This Row],[PC]]</f>
        <v>2</v>
      </c>
      <c r="K1935" s="15"/>
      <c r="L1935" s="15" t="str">
        <f t="shared" si="61"/>
        <v>NORMAL</v>
      </c>
    </row>
    <row r="1936" spans="1:12" x14ac:dyDescent="0.25">
      <c r="A1936" s="3"/>
      <c r="B1936" s="3"/>
      <c r="C1936" s="1"/>
      <c r="D1936" s="1"/>
      <c r="E1936" s="1"/>
      <c r="F1936" s="1"/>
      <c r="G1936" s="3"/>
      <c r="H1936" s="11">
        <f t="shared" si="60"/>
        <v>2</v>
      </c>
      <c r="I1936" s="9">
        <f>($K$2+0.02)*Tabla1[[#This Row],[PRECIO $]]*1.18</f>
        <v>0</v>
      </c>
      <c r="J1936" s="7">
        <f>+Tabla1[[#This Row],[PRECIO EN SOLES]]-Tabla1[[#This Row],[PC]]</f>
        <v>2</v>
      </c>
      <c r="K1936" s="15"/>
      <c r="L1936" s="15" t="str">
        <f t="shared" si="61"/>
        <v>NORMAL</v>
      </c>
    </row>
    <row r="1937" spans="1:12" x14ac:dyDescent="0.25">
      <c r="A1937" s="3"/>
      <c r="B1937" s="3"/>
      <c r="C1937" s="1"/>
      <c r="D1937" s="1"/>
      <c r="E1937" s="1"/>
      <c r="F1937" s="1"/>
      <c r="G1937" s="3"/>
      <c r="H1937" s="11">
        <f t="shared" si="60"/>
        <v>2</v>
      </c>
      <c r="I1937" s="9">
        <f>($K$2+0.02)*Tabla1[[#This Row],[PRECIO $]]*1.18</f>
        <v>0</v>
      </c>
      <c r="J1937" s="7">
        <f>+Tabla1[[#This Row],[PRECIO EN SOLES]]-Tabla1[[#This Row],[PC]]</f>
        <v>2</v>
      </c>
      <c r="K1937" s="15"/>
      <c r="L1937" s="15" t="str">
        <f t="shared" si="61"/>
        <v>NORMAL</v>
      </c>
    </row>
    <row r="1938" spans="1:12" x14ac:dyDescent="0.25">
      <c r="A1938" s="3"/>
      <c r="B1938" s="3"/>
      <c r="C1938" s="1"/>
      <c r="D1938" s="1"/>
      <c r="E1938" s="1"/>
      <c r="F1938" s="1"/>
      <c r="G1938" s="3"/>
      <c r="H1938" s="11">
        <f t="shared" si="60"/>
        <v>2</v>
      </c>
      <c r="I1938" s="9">
        <f>($K$2+0.02)*Tabla1[[#This Row],[PRECIO $]]*1.18</f>
        <v>0</v>
      </c>
      <c r="J1938" s="7">
        <f>+Tabla1[[#This Row],[PRECIO EN SOLES]]-Tabla1[[#This Row],[PC]]</f>
        <v>2</v>
      </c>
      <c r="K1938" s="15"/>
      <c r="L1938" s="15" t="str">
        <f t="shared" si="61"/>
        <v>NORMAL</v>
      </c>
    </row>
    <row r="1939" spans="1:12" x14ac:dyDescent="0.25">
      <c r="A1939" s="3"/>
      <c r="B1939" s="3"/>
      <c r="C1939" s="1"/>
      <c r="D1939" s="1"/>
      <c r="E1939" s="1"/>
      <c r="F1939" s="1"/>
      <c r="G1939" s="3"/>
      <c r="H1939" s="11">
        <f t="shared" si="60"/>
        <v>2</v>
      </c>
      <c r="I1939" s="9">
        <f>($K$2+0.02)*Tabla1[[#This Row],[PRECIO $]]*1.18</f>
        <v>0</v>
      </c>
      <c r="J1939" s="7">
        <f>+Tabla1[[#This Row],[PRECIO EN SOLES]]-Tabla1[[#This Row],[PC]]</f>
        <v>2</v>
      </c>
      <c r="K1939" s="15"/>
      <c r="L1939" s="15" t="str">
        <f t="shared" si="61"/>
        <v>NORMAL</v>
      </c>
    </row>
    <row r="1940" spans="1:12" x14ac:dyDescent="0.25">
      <c r="A1940" s="3"/>
      <c r="B1940" s="3"/>
      <c r="C1940" s="1"/>
      <c r="D1940" s="1"/>
      <c r="E1940" s="1"/>
      <c r="F1940" s="1"/>
      <c r="G1940" s="3"/>
      <c r="H1940" s="11">
        <f t="shared" si="60"/>
        <v>2</v>
      </c>
      <c r="I1940" s="9">
        <f>($K$2+0.02)*Tabla1[[#This Row],[PRECIO $]]*1.18</f>
        <v>0</v>
      </c>
      <c r="J1940" s="7">
        <f>+Tabla1[[#This Row],[PRECIO EN SOLES]]-Tabla1[[#This Row],[PC]]</f>
        <v>2</v>
      </c>
      <c r="K1940" s="15"/>
      <c r="L1940" s="15" t="str">
        <f t="shared" si="61"/>
        <v>NORMAL</v>
      </c>
    </row>
    <row r="1941" spans="1:12" x14ac:dyDescent="0.25">
      <c r="A1941" s="3"/>
      <c r="B1941" s="3"/>
      <c r="C1941" s="1"/>
      <c r="D1941" s="1"/>
      <c r="E1941" s="1"/>
      <c r="F1941" s="1"/>
      <c r="G1941" s="3"/>
      <c r="H1941" s="11">
        <f t="shared" si="60"/>
        <v>2</v>
      </c>
      <c r="I1941" s="9">
        <f>($K$2+0.02)*Tabla1[[#This Row],[PRECIO $]]*1.18</f>
        <v>0</v>
      </c>
      <c r="J1941" s="7">
        <f>+Tabla1[[#This Row],[PRECIO EN SOLES]]-Tabla1[[#This Row],[PC]]</f>
        <v>2</v>
      </c>
      <c r="K1941" s="15"/>
      <c r="L1941" s="15" t="str">
        <f t="shared" si="61"/>
        <v>NORMAL</v>
      </c>
    </row>
    <row r="1942" spans="1:12" x14ac:dyDescent="0.25">
      <c r="A1942" s="3"/>
      <c r="B1942" s="3"/>
      <c r="C1942" s="1"/>
      <c r="D1942" s="1"/>
      <c r="E1942" s="1"/>
      <c r="F1942" s="1"/>
      <c r="G1942" s="3"/>
      <c r="H1942" s="11">
        <f t="shared" si="60"/>
        <v>2</v>
      </c>
      <c r="I1942" s="9">
        <f>($K$2+0.02)*Tabla1[[#This Row],[PRECIO $]]*1.18</f>
        <v>0</v>
      </c>
      <c r="J1942" s="7">
        <f>+Tabla1[[#This Row],[PRECIO EN SOLES]]-Tabla1[[#This Row],[PC]]</f>
        <v>2</v>
      </c>
      <c r="K1942" s="15"/>
      <c r="L1942" s="15" t="str">
        <f t="shared" si="61"/>
        <v>NORMAL</v>
      </c>
    </row>
    <row r="1943" spans="1:12" x14ac:dyDescent="0.25">
      <c r="A1943" s="3"/>
      <c r="B1943" s="3"/>
      <c r="C1943" s="1"/>
      <c r="D1943" s="1"/>
      <c r="E1943" s="1"/>
      <c r="F1943" s="1"/>
      <c r="G1943" s="3"/>
      <c r="H1943" s="11">
        <f t="shared" si="60"/>
        <v>2</v>
      </c>
      <c r="I1943" s="9">
        <f>($K$2+0.02)*Tabla1[[#This Row],[PRECIO $]]*1.18</f>
        <v>0</v>
      </c>
      <c r="J1943" s="7">
        <f>+Tabla1[[#This Row],[PRECIO EN SOLES]]-Tabla1[[#This Row],[PC]]</f>
        <v>2</v>
      </c>
      <c r="K1943" s="15"/>
      <c r="L1943" s="15" t="str">
        <f t="shared" si="61"/>
        <v>NORMAL</v>
      </c>
    </row>
    <row r="1944" spans="1:12" x14ac:dyDescent="0.25">
      <c r="A1944" s="3"/>
      <c r="B1944" s="3"/>
      <c r="C1944" s="1"/>
      <c r="D1944" s="1"/>
      <c r="E1944" s="1"/>
      <c r="F1944" s="1"/>
      <c r="G1944" s="3"/>
      <c r="H1944" s="11">
        <f t="shared" si="60"/>
        <v>2</v>
      </c>
      <c r="I1944" s="9">
        <f>($K$2+0.02)*Tabla1[[#This Row],[PRECIO $]]*1.18</f>
        <v>0</v>
      </c>
      <c r="J1944" s="7">
        <f>+Tabla1[[#This Row],[PRECIO EN SOLES]]-Tabla1[[#This Row],[PC]]</f>
        <v>2</v>
      </c>
      <c r="K1944" s="15"/>
      <c r="L1944" s="15" t="str">
        <f t="shared" si="61"/>
        <v>NORMAL</v>
      </c>
    </row>
    <row r="1945" spans="1:12" x14ac:dyDescent="0.25">
      <c r="A1945" s="3"/>
      <c r="B1945" s="3"/>
      <c r="C1945" s="1"/>
      <c r="D1945" s="1"/>
      <c r="E1945" s="1"/>
      <c r="F1945" s="1"/>
      <c r="G1945" s="3"/>
      <c r="H1945" s="11">
        <f t="shared" si="60"/>
        <v>2</v>
      </c>
      <c r="I1945" s="9">
        <f>($K$2+0.02)*Tabla1[[#This Row],[PRECIO $]]*1.18</f>
        <v>0</v>
      </c>
      <c r="J1945" s="7">
        <f>+Tabla1[[#This Row],[PRECIO EN SOLES]]-Tabla1[[#This Row],[PC]]</f>
        <v>2</v>
      </c>
      <c r="K1945" s="15"/>
      <c r="L1945" s="15" t="str">
        <f t="shared" si="61"/>
        <v>NORMAL</v>
      </c>
    </row>
    <row r="1946" spans="1:12" x14ac:dyDescent="0.25">
      <c r="A1946" s="3"/>
      <c r="B1946" s="3"/>
      <c r="C1946" s="1"/>
      <c r="D1946" s="1"/>
      <c r="E1946" s="1"/>
      <c r="F1946" s="1"/>
      <c r="G1946" s="3"/>
      <c r="H1946" s="11">
        <f t="shared" si="60"/>
        <v>2</v>
      </c>
      <c r="I1946" s="9">
        <f>($K$2+0.02)*Tabla1[[#This Row],[PRECIO $]]*1.18</f>
        <v>0</v>
      </c>
      <c r="J1946" s="7">
        <f>+Tabla1[[#This Row],[PRECIO EN SOLES]]-Tabla1[[#This Row],[PC]]</f>
        <v>2</v>
      </c>
      <c r="K1946" s="15"/>
      <c r="L1946" s="15" t="str">
        <f t="shared" si="61"/>
        <v>NORMAL</v>
      </c>
    </row>
    <row r="1947" spans="1:12" x14ac:dyDescent="0.25">
      <c r="A1947" s="3"/>
      <c r="B1947" s="3"/>
      <c r="C1947" s="1"/>
      <c r="D1947" s="1"/>
      <c r="E1947" s="1"/>
      <c r="F1947" s="1"/>
      <c r="G1947" s="3"/>
      <c r="H1947" s="11">
        <f t="shared" si="60"/>
        <v>2</v>
      </c>
      <c r="I1947" s="9">
        <f>($K$2+0.02)*Tabla1[[#This Row],[PRECIO $]]*1.18</f>
        <v>0</v>
      </c>
      <c r="J1947" s="7">
        <f>+Tabla1[[#This Row],[PRECIO EN SOLES]]-Tabla1[[#This Row],[PC]]</f>
        <v>2</v>
      </c>
      <c r="K1947" s="15"/>
      <c r="L1947" s="15" t="str">
        <f t="shared" si="61"/>
        <v>NORMAL</v>
      </c>
    </row>
    <row r="1948" spans="1:12" x14ac:dyDescent="0.25">
      <c r="A1948" s="3"/>
      <c r="B1948" s="3"/>
      <c r="C1948" s="1"/>
      <c r="D1948" s="1"/>
      <c r="E1948" s="1"/>
      <c r="F1948" s="1"/>
      <c r="G1948" s="3"/>
      <c r="H1948" s="11">
        <f t="shared" si="60"/>
        <v>2</v>
      </c>
      <c r="I1948" s="9">
        <f>($K$2+0.02)*Tabla1[[#This Row],[PRECIO $]]*1.18</f>
        <v>0</v>
      </c>
      <c r="J1948" s="7">
        <f>+Tabla1[[#This Row],[PRECIO EN SOLES]]-Tabla1[[#This Row],[PC]]</f>
        <v>2</v>
      </c>
      <c r="K1948" s="15"/>
      <c r="L1948" s="15" t="str">
        <f t="shared" si="61"/>
        <v>NORMAL</v>
      </c>
    </row>
    <row r="1949" spans="1:12" x14ac:dyDescent="0.25">
      <c r="A1949" s="3"/>
      <c r="B1949" s="3"/>
      <c r="C1949" s="1"/>
      <c r="D1949" s="1"/>
      <c r="E1949" s="1"/>
      <c r="F1949" s="1"/>
      <c r="G1949" s="3"/>
      <c r="H1949" s="11">
        <f t="shared" si="60"/>
        <v>2</v>
      </c>
      <c r="I1949" s="9">
        <f>($K$2+0.02)*Tabla1[[#This Row],[PRECIO $]]*1.18</f>
        <v>0</v>
      </c>
      <c r="J1949" s="7">
        <f>+Tabla1[[#This Row],[PRECIO EN SOLES]]-Tabla1[[#This Row],[PC]]</f>
        <v>2</v>
      </c>
      <c r="K1949" s="15"/>
      <c r="L1949" s="15" t="str">
        <f t="shared" si="61"/>
        <v>NORMAL</v>
      </c>
    </row>
    <row r="1950" spans="1:12" x14ac:dyDescent="0.25">
      <c r="A1950" s="3"/>
      <c r="B1950" s="3"/>
      <c r="C1950" s="1"/>
      <c r="D1950" s="1"/>
      <c r="E1950" s="1"/>
      <c r="F1950" s="1"/>
      <c r="G1950" s="3"/>
      <c r="H1950" s="11">
        <f t="shared" si="60"/>
        <v>2</v>
      </c>
      <c r="I1950" s="9">
        <f>($K$2+0.02)*Tabla1[[#This Row],[PRECIO $]]*1.18</f>
        <v>0</v>
      </c>
      <c r="J1950" s="7">
        <f>+Tabla1[[#This Row],[PRECIO EN SOLES]]-Tabla1[[#This Row],[PC]]</f>
        <v>2</v>
      </c>
      <c r="K1950" s="15"/>
      <c r="L1950" s="15" t="str">
        <f t="shared" si="61"/>
        <v>NORMAL</v>
      </c>
    </row>
    <row r="1951" spans="1:12" x14ac:dyDescent="0.25">
      <c r="A1951" s="3"/>
      <c r="B1951" s="3"/>
      <c r="C1951" s="1"/>
      <c r="D1951" s="1"/>
      <c r="E1951" s="1"/>
      <c r="F1951" s="1"/>
      <c r="G1951" s="3"/>
      <c r="H1951" s="11">
        <f t="shared" si="60"/>
        <v>2</v>
      </c>
      <c r="I1951" s="9">
        <f>($K$2+0.02)*Tabla1[[#This Row],[PRECIO $]]*1.18</f>
        <v>0</v>
      </c>
      <c r="J1951" s="7">
        <f>+Tabla1[[#This Row],[PRECIO EN SOLES]]-Tabla1[[#This Row],[PC]]</f>
        <v>2</v>
      </c>
      <c r="K1951" s="15"/>
      <c r="L1951" s="15" t="str">
        <f t="shared" si="61"/>
        <v>NORMAL</v>
      </c>
    </row>
    <row r="1952" spans="1:12" x14ac:dyDescent="0.25">
      <c r="A1952" s="3"/>
      <c r="B1952" s="3"/>
      <c r="C1952" s="1"/>
      <c r="D1952" s="1"/>
      <c r="E1952" s="1"/>
      <c r="F1952" s="1"/>
      <c r="G1952" s="3"/>
      <c r="H1952" s="11">
        <f t="shared" si="60"/>
        <v>2</v>
      </c>
      <c r="I1952" s="9">
        <f>($K$2+0.02)*Tabla1[[#This Row],[PRECIO $]]*1.18</f>
        <v>0</v>
      </c>
      <c r="J1952" s="7">
        <f>+Tabla1[[#This Row],[PRECIO EN SOLES]]-Tabla1[[#This Row],[PC]]</f>
        <v>2</v>
      </c>
      <c r="K1952" s="15"/>
      <c r="L1952" s="15" t="str">
        <f t="shared" si="61"/>
        <v>NORMAL</v>
      </c>
    </row>
    <row r="1953" spans="1:12" x14ac:dyDescent="0.25">
      <c r="A1953" s="3"/>
      <c r="B1953" s="3"/>
      <c r="C1953" s="1"/>
      <c r="D1953" s="1"/>
      <c r="E1953" s="1"/>
      <c r="F1953" s="1"/>
      <c r="G1953" s="3"/>
      <c r="H1953" s="11">
        <f t="shared" si="60"/>
        <v>2</v>
      </c>
      <c r="I1953" s="9">
        <f>($K$2+0.02)*Tabla1[[#This Row],[PRECIO $]]*1.18</f>
        <v>0</v>
      </c>
      <c r="J1953" s="7">
        <f>+Tabla1[[#This Row],[PRECIO EN SOLES]]-Tabla1[[#This Row],[PC]]</f>
        <v>2</v>
      </c>
      <c r="K1953" s="15"/>
      <c r="L1953" s="15" t="str">
        <f t="shared" si="61"/>
        <v>NORMAL</v>
      </c>
    </row>
    <row r="1954" spans="1:12" x14ac:dyDescent="0.25">
      <c r="A1954" s="3"/>
      <c r="B1954" s="3"/>
      <c r="C1954" s="1"/>
      <c r="D1954" s="1"/>
      <c r="E1954" s="1"/>
      <c r="F1954" s="1"/>
      <c r="G1954" s="3"/>
      <c r="H1954" s="11">
        <f t="shared" si="60"/>
        <v>2</v>
      </c>
      <c r="I1954" s="9">
        <f>($K$2+0.02)*Tabla1[[#This Row],[PRECIO $]]*1.18</f>
        <v>0</v>
      </c>
      <c r="J1954" s="7">
        <f>+Tabla1[[#This Row],[PRECIO EN SOLES]]-Tabla1[[#This Row],[PC]]</f>
        <v>2</v>
      </c>
      <c r="K1954" s="15"/>
      <c r="L1954" s="15" t="str">
        <f t="shared" si="61"/>
        <v>NORMAL</v>
      </c>
    </row>
    <row r="1955" spans="1:12" x14ac:dyDescent="0.25">
      <c r="A1955" s="3"/>
      <c r="B1955" s="3"/>
      <c r="C1955" s="1"/>
      <c r="D1955" s="1"/>
      <c r="E1955" s="1"/>
      <c r="F1955" s="1"/>
      <c r="G1955" s="3"/>
      <c r="H1955" s="11">
        <f t="shared" si="60"/>
        <v>2</v>
      </c>
      <c r="I1955" s="9">
        <f>($K$2+0.02)*Tabla1[[#This Row],[PRECIO $]]*1.18</f>
        <v>0</v>
      </c>
      <c r="J1955" s="7">
        <f>+Tabla1[[#This Row],[PRECIO EN SOLES]]-Tabla1[[#This Row],[PC]]</f>
        <v>2</v>
      </c>
      <c r="K1955" s="15"/>
      <c r="L1955" s="15" t="str">
        <f t="shared" si="61"/>
        <v>NORMAL</v>
      </c>
    </row>
    <row r="1956" spans="1:12" x14ac:dyDescent="0.25">
      <c r="A1956" s="3"/>
      <c r="B1956" s="3"/>
      <c r="C1956" s="1"/>
      <c r="D1956" s="1"/>
      <c r="E1956" s="1"/>
      <c r="F1956" s="1"/>
      <c r="G1956" s="3"/>
      <c r="H1956" s="11">
        <f t="shared" si="60"/>
        <v>2</v>
      </c>
      <c r="I1956" s="9">
        <f>($K$2+0.02)*Tabla1[[#This Row],[PRECIO $]]*1.18</f>
        <v>0</v>
      </c>
      <c r="J1956" s="7">
        <f>+Tabla1[[#This Row],[PRECIO EN SOLES]]-Tabla1[[#This Row],[PC]]</f>
        <v>2</v>
      </c>
      <c r="K1956" s="15"/>
      <c r="L1956" s="15" t="str">
        <f t="shared" si="61"/>
        <v>NORMAL</v>
      </c>
    </row>
    <row r="1957" spans="1:12" x14ac:dyDescent="0.25">
      <c r="A1957" s="3"/>
      <c r="B1957" s="3"/>
      <c r="C1957" s="1"/>
      <c r="D1957" s="1"/>
      <c r="E1957" s="1"/>
      <c r="F1957" s="1"/>
      <c r="G1957" s="3"/>
      <c r="H1957" s="11">
        <f t="shared" si="60"/>
        <v>2</v>
      </c>
      <c r="I1957" s="9">
        <f>($K$2+0.02)*Tabla1[[#This Row],[PRECIO $]]*1.18</f>
        <v>0</v>
      </c>
      <c r="J1957" s="7">
        <f>+Tabla1[[#This Row],[PRECIO EN SOLES]]-Tabla1[[#This Row],[PC]]</f>
        <v>2</v>
      </c>
      <c r="K1957" s="15"/>
      <c r="L1957" s="15" t="str">
        <f t="shared" si="61"/>
        <v>NORMAL</v>
      </c>
    </row>
    <row r="1958" spans="1:12" x14ac:dyDescent="0.25">
      <c r="A1958" s="3"/>
      <c r="B1958" s="3"/>
      <c r="C1958" s="1"/>
      <c r="D1958" s="1"/>
      <c r="E1958" s="1"/>
      <c r="F1958" s="1"/>
      <c r="G1958" s="3"/>
      <c r="H1958" s="11">
        <f t="shared" si="60"/>
        <v>2</v>
      </c>
      <c r="I1958" s="9">
        <f>($K$2+0.02)*Tabla1[[#This Row],[PRECIO $]]*1.18</f>
        <v>0</v>
      </c>
      <c r="J1958" s="7">
        <f>+Tabla1[[#This Row],[PRECIO EN SOLES]]-Tabla1[[#This Row],[PC]]</f>
        <v>2</v>
      </c>
      <c r="K1958" s="15"/>
      <c r="L1958" s="15" t="str">
        <f t="shared" si="61"/>
        <v>NORMAL</v>
      </c>
    </row>
    <row r="1959" spans="1:12" x14ac:dyDescent="0.25">
      <c r="A1959" s="3"/>
      <c r="B1959" s="3"/>
      <c r="C1959" s="1"/>
      <c r="D1959" s="1"/>
      <c r="E1959" s="1"/>
      <c r="F1959" s="1"/>
      <c r="G1959" s="3"/>
      <c r="H1959" s="11">
        <f t="shared" si="60"/>
        <v>2</v>
      </c>
      <c r="I1959" s="9">
        <f>($K$2+0.02)*Tabla1[[#This Row],[PRECIO $]]*1.18</f>
        <v>0</v>
      </c>
      <c r="J1959" s="7">
        <f>+Tabla1[[#This Row],[PRECIO EN SOLES]]-Tabla1[[#This Row],[PC]]</f>
        <v>2</v>
      </c>
      <c r="K1959" s="15"/>
      <c r="L1959" s="15" t="str">
        <f t="shared" si="61"/>
        <v>NORMAL</v>
      </c>
    </row>
    <row r="1960" spans="1:12" x14ac:dyDescent="0.25">
      <c r="A1960" s="3"/>
      <c r="B1960" s="3"/>
      <c r="C1960" s="1"/>
      <c r="D1960" s="1"/>
      <c r="E1960" s="1"/>
      <c r="F1960" s="1"/>
      <c r="G1960" s="3"/>
      <c r="H1960" s="11">
        <f t="shared" si="60"/>
        <v>2</v>
      </c>
      <c r="I1960" s="9">
        <f>($K$2+0.02)*Tabla1[[#This Row],[PRECIO $]]*1.18</f>
        <v>0</v>
      </c>
      <c r="J1960" s="7">
        <f>+Tabla1[[#This Row],[PRECIO EN SOLES]]-Tabla1[[#This Row],[PC]]</f>
        <v>2</v>
      </c>
      <c r="K1960" s="15"/>
      <c r="L1960" s="15" t="str">
        <f t="shared" si="61"/>
        <v>NORMAL</v>
      </c>
    </row>
    <row r="1961" spans="1:12" x14ac:dyDescent="0.25">
      <c r="A1961" s="3"/>
      <c r="B1961" s="3"/>
      <c r="C1961" s="1"/>
      <c r="D1961" s="1"/>
      <c r="E1961" s="1"/>
      <c r="F1961" s="1"/>
      <c r="G1961" s="3"/>
      <c r="H1961" s="11">
        <f t="shared" si="60"/>
        <v>2</v>
      </c>
      <c r="I1961" s="9">
        <f>($K$2+0.02)*Tabla1[[#This Row],[PRECIO $]]*1.18</f>
        <v>0</v>
      </c>
      <c r="J1961" s="7">
        <f>+Tabla1[[#This Row],[PRECIO EN SOLES]]-Tabla1[[#This Row],[PC]]</f>
        <v>2</v>
      </c>
      <c r="K1961" s="15"/>
      <c r="L1961" s="15" t="str">
        <f t="shared" si="61"/>
        <v>NORMAL</v>
      </c>
    </row>
    <row r="1962" spans="1:12" x14ac:dyDescent="0.25">
      <c r="A1962" s="3"/>
      <c r="B1962" s="3"/>
      <c r="C1962" s="1"/>
      <c r="D1962" s="1"/>
      <c r="E1962" s="1"/>
      <c r="F1962" s="1"/>
      <c r="G1962" s="3"/>
      <c r="H1962" s="11">
        <f t="shared" si="60"/>
        <v>2</v>
      </c>
      <c r="I1962" s="9">
        <f>($K$2+0.02)*Tabla1[[#This Row],[PRECIO $]]*1.18</f>
        <v>0</v>
      </c>
      <c r="J1962" s="7">
        <f>+Tabla1[[#This Row],[PRECIO EN SOLES]]-Tabla1[[#This Row],[PC]]</f>
        <v>2</v>
      </c>
      <c r="K1962" s="15"/>
      <c r="L1962" s="15" t="str">
        <f t="shared" si="61"/>
        <v>NORMAL</v>
      </c>
    </row>
    <row r="1963" spans="1:12" x14ac:dyDescent="0.25">
      <c r="A1963" s="3"/>
      <c r="B1963" s="3"/>
      <c r="C1963" s="1"/>
      <c r="D1963" s="1"/>
      <c r="E1963" s="1"/>
      <c r="F1963" s="1"/>
      <c r="G1963" s="3"/>
      <c r="H1963" s="11">
        <f t="shared" si="60"/>
        <v>2</v>
      </c>
      <c r="I1963" s="9">
        <f>($K$2+0.02)*Tabla1[[#This Row],[PRECIO $]]*1.18</f>
        <v>0</v>
      </c>
      <c r="J1963" s="7">
        <f>+Tabla1[[#This Row],[PRECIO EN SOLES]]-Tabla1[[#This Row],[PC]]</f>
        <v>2</v>
      </c>
      <c r="K1963" s="15"/>
      <c r="L1963" s="15" t="str">
        <f t="shared" si="61"/>
        <v>NORMAL</v>
      </c>
    </row>
    <row r="1964" spans="1:12" x14ac:dyDescent="0.25">
      <c r="A1964" s="3"/>
      <c r="B1964" s="3"/>
      <c r="C1964" s="1"/>
      <c r="D1964" s="1"/>
      <c r="E1964" s="1"/>
      <c r="F1964" s="1"/>
      <c r="G1964" s="3"/>
      <c r="H1964" s="11">
        <f t="shared" si="60"/>
        <v>2</v>
      </c>
      <c r="I1964" s="9">
        <f>($K$2+0.02)*Tabla1[[#This Row],[PRECIO $]]*1.18</f>
        <v>0</v>
      </c>
      <c r="J1964" s="7">
        <f>+Tabla1[[#This Row],[PRECIO EN SOLES]]-Tabla1[[#This Row],[PC]]</f>
        <v>2</v>
      </c>
      <c r="K1964" s="15"/>
      <c r="L1964" s="15" t="str">
        <f t="shared" si="61"/>
        <v>NORMAL</v>
      </c>
    </row>
    <row r="1965" spans="1:12" x14ac:dyDescent="0.25">
      <c r="A1965" s="3"/>
      <c r="B1965" s="3"/>
      <c r="C1965" s="1"/>
      <c r="D1965" s="1"/>
      <c r="E1965" s="1"/>
      <c r="F1965" s="1"/>
      <c r="G1965" s="3"/>
      <c r="H1965" s="11">
        <f t="shared" si="60"/>
        <v>2</v>
      </c>
      <c r="I1965" s="9">
        <f>($K$2+0.02)*Tabla1[[#This Row],[PRECIO $]]*1.18</f>
        <v>0</v>
      </c>
      <c r="J1965" s="7">
        <f>+Tabla1[[#This Row],[PRECIO EN SOLES]]-Tabla1[[#This Row],[PC]]</f>
        <v>2</v>
      </c>
      <c r="K1965" s="15"/>
      <c r="L1965" s="15" t="str">
        <f t="shared" si="61"/>
        <v>NORMAL</v>
      </c>
    </row>
    <row r="1966" spans="1:12" x14ac:dyDescent="0.25">
      <c r="A1966" s="3"/>
      <c r="B1966" s="3"/>
      <c r="C1966" s="1"/>
      <c r="D1966" s="1"/>
      <c r="E1966" s="1"/>
      <c r="F1966" s="1"/>
      <c r="G1966" s="3"/>
      <c r="H1966" s="11">
        <f t="shared" si="60"/>
        <v>2</v>
      </c>
      <c r="I1966" s="9">
        <f>($K$2+0.02)*Tabla1[[#This Row],[PRECIO $]]*1.18</f>
        <v>0</v>
      </c>
      <c r="J1966" s="7">
        <f>+Tabla1[[#This Row],[PRECIO EN SOLES]]-Tabla1[[#This Row],[PC]]</f>
        <v>2</v>
      </c>
      <c r="K1966" s="15"/>
      <c r="L1966" s="15" t="str">
        <f t="shared" si="61"/>
        <v>NORMAL</v>
      </c>
    </row>
    <row r="1967" spans="1:12" x14ac:dyDescent="0.25">
      <c r="A1967" s="3"/>
      <c r="B1967" s="3"/>
      <c r="C1967" s="1"/>
      <c r="D1967" s="1"/>
      <c r="E1967" s="1"/>
      <c r="F1967" s="1"/>
      <c r="G1967" s="3"/>
      <c r="H1967" s="11">
        <f t="shared" si="60"/>
        <v>2</v>
      </c>
      <c r="I1967" s="9">
        <f>($K$2+0.02)*Tabla1[[#This Row],[PRECIO $]]*1.18</f>
        <v>0</v>
      </c>
      <c r="J1967" s="7">
        <f>+Tabla1[[#This Row],[PRECIO EN SOLES]]-Tabla1[[#This Row],[PC]]</f>
        <v>2</v>
      </c>
      <c r="K1967" s="15"/>
      <c r="L1967" s="15" t="str">
        <f t="shared" si="61"/>
        <v>NORMAL</v>
      </c>
    </row>
    <row r="1968" spans="1:12" x14ac:dyDescent="0.25">
      <c r="A1968" s="3"/>
      <c r="B1968" s="3"/>
      <c r="C1968" s="1"/>
      <c r="D1968" s="1"/>
      <c r="E1968" s="1"/>
      <c r="F1968" s="1"/>
      <c r="G1968" s="3"/>
      <c r="H1968" s="11">
        <f t="shared" si="60"/>
        <v>2</v>
      </c>
      <c r="I1968" s="9">
        <f>($K$2+0.02)*Tabla1[[#This Row],[PRECIO $]]*1.18</f>
        <v>0</v>
      </c>
      <c r="J1968" s="7">
        <f>+Tabla1[[#This Row],[PRECIO EN SOLES]]-Tabla1[[#This Row],[PC]]</f>
        <v>2</v>
      </c>
      <c r="K1968" s="15"/>
      <c r="L1968" s="15" t="str">
        <f t="shared" si="61"/>
        <v>NORMAL</v>
      </c>
    </row>
    <row r="1969" spans="1:12" x14ac:dyDescent="0.25">
      <c r="A1969" s="3"/>
      <c r="B1969" s="3"/>
      <c r="C1969" s="1"/>
      <c r="D1969" s="1"/>
      <c r="E1969" s="1"/>
      <c r="F1969" s="1"/>
      <c r="G1969" s="3"/>
      <c r="H1969" s="11">
        <f t="shared" si="60"/>
        <v>2</v>
      </c>
      <c r="I1969" s="9">
        <f>($K$2+0.02)*Tabla1[[#This Row],[PRECIO $]]*1.18</f>
        <v>0</v>
      </c>
      <c r="J1969" s="7">
        <f>+Tabla1[[#This Row],[PRECIO EN SOLES]]-Tabla1[[#This Row],[PC]]</f>
        <v>2</v>
      </c>
      <c r="K1969" s="15"/>
      <c r="L1969" s="15" t="str">
        <f t="shared" si="61"/>
        <v>NORMAL</v>
      </c>
    </row>
    <row r="1970" spans="1:12" x14ac:dyDescent="0.25">
      <c r="A1970" s="3"/>
      <c r="B1970" s="3"/>
      <c r="C1970" s="1"/>
      <c r="D1970" s="1"/>
      <c r="E1970" s="1"/>
      <c r="F1970" s="1"/>
      <c r="G1970" s="3"/>
      <c r="H1970" s="11">
        <f t="shared" si="60"/>
        <v>2</v>
      </c>
      <c r="I1970" s="9">
        <f>($K$2+0.02)*Tabla1[[#This Row],[PRECIO $]]*1.18</f>
        <v>0</v>
      </c>
      <c r="J1970" s="7">
        <f>+Tabla1[[#This Row],[PRECIO EN SOLES]]-Tabla1[[#This Row],[PC]]</f>
        <v>2</v>
      </c>
      <c r="K1970" s="15"/>
      <c r="L1970" s="15" t="str">
        <f t="shared" si="61"/>
        <v>NORMAL</v>
      </c>
    </row>
    <row r="1971" spans="1:12" x14ac:dyDescent="0.25">
      <c r="A1971" s="3"/>
      <c r="B1971" s="3"/>
      <c r="C1971" s="1"/>
      <c r="D1971" s="1"/>
      <c r="E1971" s="1"/>
      <c r="F1971" s="1"/>
      <c r="G1971" s="3"/>
      <c r="H1971" s="11">
        <f t="shared" si="60"/>
        <v>2</v>
      </c>
      <c r="I1971" s="9">
        <f>($K$2+0.02)*Tabla1[[#This Row],[PRECIO $]]*1.18</f>
        <v>0</v>
      </c>
      <c r="J1971" s="7">
        <f>+Tabla1[[#This Row],[PRECIO EN SOLES]]-Tabla1[[#This Row],[PC]]</f>
        <v>2</v>
      </c>
      <c r="K1971" s="15"/>
      <c r="L1971" s="15" t="str">
        <f t="shared" si="61"/>
        <v>NORMAL</v>
      </c>
    </row>
    <row r="1972" spans="1:12" x14ac:dyDescent="0.25">
      <c r="A1972" s="3"/>
      <c r="B1972" s="3"/>
      <c r="C1972" s="1"/>
      <c r="D1972" s="1"/>
      <c r="E1972" s="1"/>
      <c r="F1972" s="1"/>
      <c r="G1972" s="3"/>
      <c r="H1972" s="11">
        <f t="shared" si="60"/>
        <v>2</v>
      </c>
      <c r="I1972" s="9">
        <f>($K$2+0.02)*Tabla1[[#This Row],[PRECIO $]]*1.18</f>
        <v>0</v>
      </c>
      <c r="J1972" s="7">
        <f>+Tabla1[[#This Row],[PRECIO EN SOLES]]-Tabla1[[#This Row],[PC]]</f>
        <v>2</v>
      </c>
      <c r="K1972" s="15"/>
      <c r="L1972" s="15" t="str">
        <f t="shared" si="61"/>
        <v>NORMAL</v>
      </c>
    </row>
    <row r="1973" spans="1:12" x14ac:dyDescent="0.25">
      <c r="A1973" s="3"/>
      <c r="B1973" s="3"/>
      <c r="C1973" s="1"/>
      <c r="D1973" s="1"/>
      <c r="E1973" s="1"/>
      <c r="F1973" s="1"/>
      <c r="G1973" s="3"/>
      <c r="H1973" s="11">
        <f t="shared" si="60"/>
        <v>2</v>
      </c>
      <c r="I1973" s="9">
        <f>($K$2+0.02)*Tabla1[[#This Row],[PRECIO $]]*1.18</f>
        <v>0</v>
      </c>
      <c r="J1973" s="7">
        <f>+Tabla1[[#This Row],[PRECIO EN SOLES]]-Tabla1[[#This Row],[PC]]</f>
        <v>2</v>
      </c>
      <c r="K1973" s="15"/>
      <c r="L1973" s="15" t="str">
        <f t="shared" si="61"/>
        <v>NORMAL</v>
      </c>
    </row>
    <row r="1974" spans="1:12" x14ac:dyDescent="0.25">
      <c r="A1974" s="3"/>
      <c r="B1974" s="3"/>
      <c r="C1974" s="1"/>
      <c r="D1974" s="1"/>
      <c r="E1974" s="1"/>
      <c r="F1974" s="1"/>
      <c r="G1974" s="3"/>
      <c r="H1974" s="11">
        <f t="shared" si="60"/>
        <v>2</v>
      </c>
      <c r="I1974" s="9">
        <f>($K$2+0.02)*Tabla1[[#This Row],[PRECIO $]]*1.18</f>
        <v>0</v>
      </c>
      <c r="J1974" s="7">
        <f>+Tabla1[[#This Row],[PRECIO EN SOLES]]-Tabla1[[#This Row],[PC]]</f>
        <v>2</v>
      </c>
      <c r="K1974" s="15"/>
      <c r="L1974" s="15" t="str">
        <f t="shared" si="61"/>
        <v>NORMAL</v>
      </c>
    </row>
    <row r="1975" spans="1:12" x14ac:dyDescent="0.25">
      <c r="A1975" s="3"/>
      <c r="B1975" s="3"/>
      <c r="C1975" s="1"/>
      <c r="D1975" s="1"/>
      <c r="E1975" s="1"/>
      <c r="F1975" s="1"/>
      <c r="G1975" s="3"/>
      <c r="H1975" s="11">
        <f t="shared" si="60"/>
        <v>2</v>
      </c>
      <c r="I1975" s="9">
        <f>($K$2+0.02)*Tabla1[[#This Row],[PRECIO $]]*1.18</f>
        <v>0</v>
      </c>
      <c r="J1975" s="7">
        <f>+Tabla1[[#This Row],[PRECIO EN SOLES]]-Tabla1[[#This Row],[PC]]</f>
        <v>2</v>
      </c>
      <c r="K1975" s="15"/>
      <c r="L1975" s="15" t="str">
        <f t="shared" si="61"/>
        <v>NORMAL</v>
      </c>
    </row>
    <row r="1976" spans="1:12" x14ac:dyDescent="0.25">
      <c r="A1976" s="3"/>
      <c r="B1976" s="3"/>
      <c r="C1976" s="1"/>
      <c r="D1976" s="1"/>
      <c r="E1976" s="1"/>
      <c r="F1976" s="1"/>
      <c r="G1976" s="3"/>
      <c r="H1976" s="11">
        <f t="shared" si="60"/>
        <v>2</v>
      </c>
      <c r="I1976" s="9">
        <f>($K$2+0.02)*Tabla1[[#This Row],[PRECIO $]]*1.18</f>
        <v>0</v>
      </c>
      <c r="J1976" s="7">
        <f>+Tabla1[[#This Row],[PRECIO EN SOLES]]-Tabla1[[#This Row],[PC]]</f>
        <v>2</v>
      </c>
      <c r="K1976" s="15"/>
      <c r="L1976" s="15" t="str">
        <f t="shared" si="61"/>
        <v>NORMAL</v>
      </c>
    </row>
    <row r="1977" spans="1:12" x14ac:dyDescent="0.25">
      <c r="A1977" s="3"/>
      <c r="B1977" s="3"/>
      <c r="C1977" s="1"/>
      <c r="D1977" s="1"/>
      <c r="E1977" s="1"/>
      <c r="F1977" s="1"/>
      <c r="G1977" s="3"/>
      <c r="H1977" s="11">
        <f t="shared" si="60"/>
        <v>2</v>
      </c>
      <c r="I1977" s="9">
        <f>($K$2+0.02)*Tabla1[[#This Row],[PRECIO $]]*1.18</f>
        <v>0</v>
      </c>
      <c r="J1977" s="7">
        <f>+Tabla1[[#This Row],[PRECIO EN SOLES]]-Tabla1[[#This Row],[PC]]</f>
        <v>2</v>
      </c>
      <c r="K1977" s="15"/>
      <c r="L1977" s="15" t="str">
        <f t="shared" si="61"/>
        <v>NORMAL</v>
      </c>
    </row>
    <row r="1978" spans="1:12" x14ac:dyDescent="0.25">
      <c r="A1978" s="3"/>
      <c r="B1978" s="3"/>
      <c r="C1978" s="1"/>
      <c r="D1978" s="1"/>
      <c r="E1978" s="1"/>
      <c r="F1978" s="1"/>
      <c r="G1978" s="3"/>
      <c r="H1978" s="11">
        <f t="shared" si="60"/>
        <v>2</v>
      </c>
      <c r="I1978" s="9">
        <f>($K$2+0.02)*Tabla1[[#This Row],[PRECIO $]]*1.18</f>
        <v>0</v>
      </c>
      <c r="J1978" s="7">
        <f>+Tabla1[[#This Row],[PRECIO EN SOLES]]-Tabla1[[#This Row],[PC]]</f>
        <v>2</v>
      </c>
      <c r="K1978" s="15"/>
      <c r="L1978" s="15" t="str">
        <f t="shared" si="61"/>
        <v>NORMAL</v>
      </c>
    </row>
    <row r="1979" spans="1:12" x14ac:dyDescent="0.25">
      <c r="A1979" s="3"/>
      <c r="B1979" s="3"/>
      <c r="C1979" s="1"/>
      <c r="D1979" s="1"/>
      <c r="E1979" s="1"/>
      <c r="F1979" s="1"/>
      <c r="G1979" s="3"/>
      <c r="H1979" s="11">
        <f t="shared" si="60"/>
        <v>2</v>
      </c>
      <c r="I1979" s="9">
        <f>($K$2+0.02)*Tabla1[[#This Row],[PRECIO $]]*1.18</f>
        <v>0</v>
      </c>
      <c r="J1979" s="7">
        <f>+Tabla1[[#This Row],[PRECIO EN SOLES]]-Tabla1[[#This Row],[PC]]</f>
        <v>2</v>
      </c>
      <c r="K1979" s="15"/>
      <c r="L1979" s="15" t="str">
        <f t="shared" si="61"/>
        <v>NORMAL</v>
      </c>
    </row>
    <row r="1980" spans="1:12" x14ac:dyDescent="0.25">
      <c r="A1980" s="3"/>
      <c r="B1980" s="3"/>
      <c r="C1980" s="1"/>
      <c r="D1980" s="1"/>
      <c r="E1980" s="1"/>
      <c r="F1980" s="1"/>
      <c r="G1980" s="3"/>
      <c r="H1980" s="11">
        <f t="shared" si="60"/>
        <v>2</v>
      </c>
      <c r="I1980" s="9">
        <f>($K$2+0.02)*Tabla1[[#This Row],[PRECIO $]]*1.18</f>
        <v>0</v>
      </c>
      <c r="J1980" s="7">
        <f>+Tabla1[[#This Row],[PRECIO EN SOLES]]-Tabla1[[#This Row],[PC]]</f>
        <v>2</v>
      </c>
      <c r="K1980" s="15"/>
      <c r="L1980" s="15" t="str">
        <f t="shared" si="61"/>
        <v>NORMAL</v>
      </c>
    </row>
    <row r="1981" spans="1:12" x14ac:dyDescent="0.25">
      <c r="A1981" s="3"/>
      <c r="B1981" s="3"/>
      <c r="C1981" s="1"/>
      <c r="D1981" s="1"/>
      <c r="E1981" s="1"/>
      <c r="F1981" s="1"/>
      <c r="G1981" s="3"/>
      <c r="H1981" s="11">
        <f t="shared" si="60"/>
        <v>2</v>
      </c>
      <c r="I1981" s="9">
        <f>($K$2+0.02)*Tabla1[[#This Row],[PRECIO $]]*1.18</f>
        <v>0</v>
      </c>
      <c r="J1981" s="7">
        <f>+Tabla1[[#This Row],[PRECIO EN SOLES]]-Tabla1[[#This Row],[PC]]</f>
        <v>2</v>
      </c>
      <c r="K1981" s="15"/>
      <c r="L1981" s="15" t="str">
        <f t="shared" si="61"/>
        <v>NORMAL</v>
      </c>
    </row>
    <row r="1982" spans="1:12" x14ac:dyDescent="0.25">
      <c r="A1982" s="3"/>
      <c r="B1982" s="3"/>
      <c r="C1982" s="1"/>
      <c r="D1982" s="1"/>
      <c r="E1982" s="1"/>
      <c r="F1982" s="1"/>
      <c r="G1982" s="3"/>
      <c r="H1982" s="11">
        <f t="shared" si="60"/>
        <v>2</v>
      </c>
      <c r="I1982" s="9">
        <f>($K$2+0.02)*Tabla1[[#This Row],[PRECIO $]]*1.18</f>
        <v>0</v>
      </c>
      <c r="J1982" s="7">
        <f>+Tabla1[[#This Row],[PRECIO EN SOLES]]-Tabla1[[#This Row],[PC]]</f>
        <v>2</v>
      </c>
      <c r="K1982" s="15"/>
      <c r="L1982" s="15" t="str">
        <f t="shared" si="61"/>
        <v>NORMAL</v>
      </c>
    </row>
    <row r="1983" spans="1:12" x14ac:dyDescent="0.25">
      <c r="A1983" s="3"/>
      <c r="B1983" s="3"/>
      <c r="C1983" s="1"/>
      <c r="D1983" s="1"/>
      <c r="E1983" s="1"/>
      <c r="F1983" s="1"/>
      <c r="G1983" s="3"/>
      <c r="H1983" s="11">
        <f t="shared" si="60"/>
        <v>2</v>
      </c>
      <c r="I1983" s="9">
        <f>($K$2+0.02)*Tabla1[[#This Row],[PRECIO $]]*1.18</f>
        <v>0</v>
      </c>
      <c r="J1983" s="7">
        <f>+Tabla1[[#This Row],[PRECIO EN SOLES]]-Tabla1[[#This Row],[PC]]</f>
        <v>2</v>
      </c>
      <c r="K1983" s="15"/>
      <c r="L1983" s="15" t="str">
        <f t="shared" si="61"/>
        <v>NORMAL</v>
      </c>
    </row>
    <row r="1984" spans="1:12" x14ac:dyDescent="0.25">
      <c r="A1984" s="3"/>
      <c r="B1984" s="3"/>
      <c r="C1984" s="1"/>
      <c r="D1984" s="1"/>
      <c r="E1984" s="1"/>
      <c r="F1984" s="1"/>
      <c r="G1984" s="3"/>
      <c r="H1984" s="11">
        <f t="shared" si="60"/>
        <v>2</v>
      </c>
      <c r="I1984" s="9">
        <f>($K$2+0.02)*Tabla1[[#This Row],[PRECIO $]]*1.18</f>
        <v>0</v>
      </c>
      <c r="J1984" s="7">
        <f>+Tabla1[[#This Row],[PRECIO EN SOLES]]-Tabla1[[#This Row],[PC]]</f>
        <v>2</v>
      </c>
      <c r="K1984" s="15"/>
      <c r="L1984" s="15" t="str">
        <f t="shared" si="61"/>
        <v>NORMAL</v>
      </c>
    </row>
    <row r="1985" spans="1:12" x14ac:dyDescent="0.25">
      <c r="A1985" s="3"/>
      <c r="B1985" s="3"/>
      <c r="C1985" s="1"/>
      <c r="D1985" s="1"/>
      <c r="E1985" s="1"/>
      <c r="F1985" s="1"/>
      <c r="G1985" s="3"/>
      <c r="H1985" s="11">
        <f t="shared" si="60"/>
        <v>2</v>
      </c>
      <c r="I1985" s="9">
        <f>($K$2+0.02)*Tabla1[[#This Row],[PRECIO $]]*1.18</f>
        <v>0</v>
      </c>
      <c r="J1985" s="7">
        <f>+Tabla1[[#This Row],[PRECIO EN SOLES]]-Tabla1[[#This Row],[PC]]</f>
        <v>2</v>
      </c>
      <c r="K1985" s="15"/>
      <c r="L1985" s="15" t="str">
        <f t="shared" si="61"/>
        <v>NORMAL</v>
      </c>
    </row>
    <row r="1986" spans="1:12" x14ac:dyDescent="0.25">
      <c r="A1986" s="3"/>
      <c r="B1986" s="3"/>
      <c r="C1986" s="1"/>
      <c r="D1986" s="1"/>
      <c r="E1986" s="1"/>
      <c r="F1986" s="1"/>
      <c r="G1986" s="3"/>
      <c r="H1986" s="11">
        <f t="shared" ref="H1986:H2049" si="62">ROUND(
IF(L1986="GANCHO",
   IF(I1986&lt;=50,I1986*1.1+4,IF(I1986&lt;=120,I1986*1.1+7,IF(I1986&lt;=250,I1986*1.1+11,I1986*1.1+19))),
IF(L1986="NORMAL",
   IF(I1986&lt;=30,I1986*1.15+2,IF(I1986&lt;=80,I1986*1.15+4,IF(I1986&lt;=150,I1986*1.15+6,I1986*1.15+8))),
IF(L1986="COMPLEMENTO",
   IF(I1986&lt;=25,I1986*1.25+1.5,IF(I1986&lt;=60,I1986*1.25+3,IF(I1986&lt;=120,I1986*1.25+4,I1986*1.25+5))),
""))),2)</f>
        <v>2</v>
      </c>
      <c r="I1986" s="9">
        <f>($K$2+0.02)*Tabla1[[#This Row],[PRECIO $]]*1.18</f>
        <v>0</v>
      </c>
      <c r="J1986" s="7">
        <f>+Tabla1[[#This Row],[PRECIO EN SOLES]]-Tabla1[[#This Row],[PC]]</f>
        <v>2</v>
      </c>
      <c r="K1986" s="15"/>
      <c r="L1986" s="15" t="str">
        <f t="shared" si="61"/>
        <v>NORMAL</v>
      </c>
    </row>
    <row r="1987" spans="1:12" x14ac:dyDescent="0.25">
      <c r="A1987" s="3"/>
      <c r="B1987" s="3"/>
      <c r="C1987" s="1"/>
      <c r="D1987" s="1"/>
      <c r="E1987" s="1"/>
      <c r="F1987" s="1"/>
      <c r="G1987" s="3"/>
      <c r="H1987" s="11">
        <f t="shared" si="62"/>
        <v>2</v>
      </c>
      <c r="I1987" s="9">
        <f>($K$2+0.02)*Tabla1[[#This Row],[PRECIO $]]*1.18</f>
        <v>0</v>
      </c>
      <c r="J1987" s="7">
        <f>+Tabla1[[#This Row],[PRECIO EN SOLES]]-Tabla1[[#This Row],[PC]]</f>
        <v>2</v>
      </c>
      <c r="K1987" s="15"/>
      <c r="L1987" s="15" t="str">
        <f t="shared" ref="L1987:L2050" si="63">IF(
OR(
ISNUMBER(SEARCH("BACKPACK",B1987)),
ISNUMBER(SEARCH("MOCHILA",B1987)),
ISNUMBER(SEARCH("FUNDA",B1987)),
ISNUMBER(SEARCH("ESTUCHE",B1987)),
ISNUMBER(SEARCH("BOOK COVER",B1987)),
ISNUMBER(SEARCH("KEYBOARD PARA TABLET",B1987)),
ISNUMBER(SEARCH("FLIP TABLET",B1987)),
ISNUMBER(SEARCH("CASE FOR TABLET",B1987)),
ISNUMBER(SEARCH("CABLE",B1987)),
ISNUMBER(SEARCH("ADAPTADOR",B1987)),
ISNUMBER(SEARCH("HUB",B1987)),
ISNUMBER(SEARCH("DOCK",B1987)),
ISNUMBER(SEARCH("MOUSE PAD",B1987)),
ISNUMBER(SEARCH("MOUSEPAD",B1987)),
ISNUMBER(SEARCH("SOPORTE",B1987)),
ISNUMBER(SEARCH("STAND",B1987)),
ISNUMBER(SEARCH("TRAVEL ADAPTER",B1987)),
ISNUMBER(SEARCH("RJ45",B1987)),
ISNUMBER(SEARCH("USB-C",B1987)),
ISNUMBER(SEARCH("USB WIFI",B1987)),
ISNUMBER(SEARCH("POWERBANK",B1987)),
ISNUMBER(SEARCH("CARGADOR",B1987)),
ISNUMBER(SEARCH("COOLER PARA NB",B1987)),
ISNUMBER(SEARCH("SOPORTE PARA NB",B1987)),
ISNUMBER(SEARCH("WEBCAM",B1987)),
ISNUMBER(SEARCH("WEB CAM",B1987)),
ISNUMBER(SEARCH("MOUSE",B1987)),
ISNUMBER(SEARCH("TECLADO",B1987))
),
"COMPLEMENTO",
IF(
OR(
LEFT(A1987,2)="NB",
LEFT(A1987,2)="PC",
LEFT(A1987,2)="WS",
LEFT(A1987,2)="TB",
LEFT(A1987,3)="CEL",
LEFT(A1987,3)="MON",
LEFT(A1987,3)="PRE",
LEFT(A1987,3)="PRH",
ISNUMBER(SEARCH("NOTEBOOK",B1987)),
ISNUMBER(SEARCH("LAPTOP",B1987)),
ISNUMBER(SEARCH("MONITOR",B1987)),
ISNUMBER(SEARCH("TABLET",B1987)),
ISNUMBER(SEARCH("SMARTPH",B1987)),
ISNUMBER(SEARCH("IMPRESORA",B1987)),
ISNUMBER(SEARCH("MULTIFUNCIONAL",B1987)),
ISNUMBER(SEARCH("AIO",B1987))
),
"GANCHO",
"NORMAL"
)
)</f>
        <v>NORMAL</v>
      </c>
    </row>
    <row r="1988" spans="1:12" x14ac:dyDescent="0.25">
      <c r="A1988" s="3"/>
      <c r="B1988" s="3"/>
      <c r="C1988" s="1"/>
      <c r="D1988" s="1"/>
      <c r="E1988" s="1"/>
      <c r="F1988" s="1"/>
      <c r="G1988" s="3"/>
      <c r="H1988" s="11">
        <f t="shared" si="62"/>
        <v>2</v>
      </c>
      <c r="I1988" s="9">
        <f>($K$2+0.02)*Tabla1[[#This Row],[PRECIO $]]*1.18</f>
        <v>0</v>
      </c>
      <c r="J1988" s="7">
        <f>+Tabla1[[#This Row],[PRECIO EN SOLES]]-Tabla1[[#This Row],[PC]]</f>
        <v>2</v>
      </c>
      <c r="K1988" s="15"/>
      <c r="L1988" s="15" t="str">
        <f t="shared" si="63"/>
        <v>NORMAL</v>
      </c>
    </row>
    <row r="1989" spans="1:12" x14ac:dyDescent="0.25">
      <c r="A1989" s="3"/>
      <c r="B1989" s="3"/>
      <c r="C1989" s="1"/>
      <c r="D1989" s="1"/>
      <c r="E1989" s="1"/>
      <c r="F1989" s="1"/>
      <c r="G1989" s="3"/>
      <c r="H1989" s="11">
        <f t="shared" si="62"/>
        <v>2</v>
      </c>
      <c r="I1989" s="9">
        <f>($K$2+0.02)*Tabla1[[#This Row],[PRECIO $]]*1.18</f>
        <v>0</v>
      </c>
      <c r="J1989" s="7">
        <f>+Tabla1[[#This Row],[PRECIO EN SOLES]]-Tabla1[[#This Row],[PC]]</f>
        <v>2</v>
      </c>
      <c r="K1989" s="15"/>
      <c r="L1989" s="15" t="str">
        <f t="shared" si="63"/>
        <v>NORMAL</v>
      </c>
    </row>
    <row r="1990" spans="1:12" x14ac:dyDescent="0.25">
      <c r="A1990" s="3"/>
      <c r="B1990" s="3"/>
      <c r="C1990" s="1"/>
      <c r="D1990" s="1"/>
      <c r="E1990" s="1"/>
      <c r="F1990" s="1"/>
      <c r="G1990" s="3"/>
      <c r="H1990" s="11">
        <f t="shared" si="62"/>
        <v>2</v>
      </c>
      <c r="I1990" s="9">
        <f>($K$2+0.02)*Tabla1[[#This Row],[PRECIO $]]*1.18</f>
        <v>0</v>
      </c>
      <c r="J1990" s="7">
        <f>+Tabla1[[#This Row],[PRECIO EN SOLES]]-Tabla1[[#This Row],[PC]]</f>
        <v>2</v>
      </c>
      <c r="K1990" s="15"/>
      <c r="L1990" s="15" t="str">
        <f t="shared" si="63"/>
        <v>NORMAL</v>
      </c>
    </row>
    <row r="1991" spans="1:12" x14ac:dyDescent="0.25">
      <c r="A1991" s="3"/>
      <c r="B1991" s="3"/>
      <c r="C1991" s="1"/>
      <c r="D1991" s="1"/>
      <c r="E1991" s="1"/>
      <c r="F1991" s="1"/>
      <c r="G1991" s="3"/>
      <c r="H1991" s="11">
        <f t="shared" si="62"/>
        <v>2</v>
      </c>
      <c r="I1991" s="9">
        <f>($K$2+0.02)*Tabla1[[#This Row],[PRECIO $]]*1.18</f>
        <v>0</v>
      </c>
      <c r="J1991" s="7">
        <f>+Tabla1[[#This Row],[PRECIO EN SOLES]]-Tabla1[[#This Row],[PC]]</f>
        <v>2</v>
      </c>
      <c r="K1991" s="15"/>
      <c r="L1991" s="15" t="str">
        <f t="shared" si="63"/>
        <v>NORMAL</v>
      </c>
    </row>
    <row r="1992" spans="1:12" x14ac:dyDescent="0.25">
      <c r="A1992" s="3"/>
      <c r="B1992" s="3"/>
      <c r="C1992" s="1"/>
      <c r="D1992" s="1"/>
      <c r="E1992" s="1"/>
      <c r="F1992" s="1"/>
      <c r="G1992" s="3"/>
      <c r="H1992" s="11">
        <f t="shared" si="62"/>
        <v>2</v>
      </c>
      <c r="I1992" s="9">
        <f>($K$2+0.02)*Tabla1[[#This Row],[PRECIO $]]*1.18</f>
        <v>0</v>
      </c>
      <c r="J1992" s="7">
        <f>+Tabla1[[#This Row],[PRECIO EN SOLES]]-Tabla1[[#This Row],[PC]]</f>
        <v>2</v>
      </c>
      <c r="K1992" s="15"/>
      <c r="L1992" s="15" t="str">
        <f t="shared" si="63"/>
        <v>NORMAL</v>
      </c>
    </row>
    <row r="1993" spans="1:12" x14ac:dyDescent="0.25">
      <c r="A1993" s="3"/>
      <c r="B1993" s="3"/>
      <c r="C1993" s="1"/>
      <c r="D1993" s="1"/>
      <c r="E1993" s="1"/>
      <c r="F1993" s="1"/>
      <c r="G1993" s="3"/>
      <c r="H1993" s="11">
        <f t="shared" si="62"/>
        <v>2</v>
      </c>
      <c r="I1993" s="9">
        <f>($K$2+0.02)*Tabla1[[#This Row],[PRECIO $]]*1.18</f>
        <v>0</v>
      </c>
      <c r="J1993" s="7">
        <f>+Tabla1[[#This Row],[PRECIO EN SOLES]]-Tabla1[[#This Row],[PC]]</f>
        <v>2</v>
      </c>
      <c r="K1993" s="15"/>
      <c r="L1993" s="15" t="str">
        <f t="shared" si="63"/>
        <v>NORMAL</v>
      </c>
    </row>
    <row r="1994" spans="1:12" x14ac:dyDescent="0.25">
      <c r="A1994" s="3"/>
      <c r="B1994" s="3"/>
      <c r="C1994" s="1"/>
      <c r="D1994" s="1"/>
      <c r="E1994" s="1"/>
      <c r="F1994" s="1"/>
      <c r="G1994" s="3"/>
      <c r="H1994" s="11">
        <f t="shared" si="62"/>
        <v>2</v>
      </c>
      <c r="I1994" s="9">
        <f>($K$2+0.02)*Tabla1[[#This Row],[PRECIO $]]*1.18</f>
        <v>0</v>
      </c>
      <c r="J1994" s="7">
        <f>+Tabla1[[#This Row],[PRECIO EN SOLES]]-Tabla1[[#This Row],[PC]]</f>
        <v>2</v>
      </c>
      <c r="K1994" s="15"/>
      <c r="L1994" s="15" t="str">
        <f t="shared" si="63"/>
        <v>NORMAL</v>
      </c>
    </row>
    <row r="1995" spans="1:12" x14ac:dyDescent="0.25">
      <c r="A1995" s="3"/>
      <c r="B1995" s="3"/>
      <c r="C1995" s="1"/>
      <c r="D1995" s="1"/>
      <c r="E1995" s="1"/>
      <c r="F1995" s="1"/>
      <c r="G1995" s="3"/>
      <c r="H1995" s="11">
        <f t="shared" si="62"/>
        <v>2</v>
      </c>
      <c r="I1995" s="9">
        <f>($K$2+0.02)*Tabla1[[#This Row],[PRECIO $]]*1.18</f>
        <v>0</v>
      </c>
      <c r="J1995" s="7">
        <f>+Tabla1[[#This Row],[PRECIO EN SOLES]]-Tabla1[[#This Row],[PC]]</f>
        <v>2</v>
      </c>
      <c r="K1995" s="15"/>
      <c r="L1995" s="15" t="str">
        <f t="shared" si="63"/>
        <v>NORMAL</v>
      </c>
    </row>
    <row r="1996" spans="1:12" x14ac:dyDescent="0.25">
      <c r="A1996" s="3"/>
      <c r="B1996" s="3"/>
      <c r="C1996" s="1"/>
      <c r="D1996" s="1"/>
      <c r="E1996" s="1"/>
      <c r="F1996" s="1"/>
      <c r="G1996" s="3"/>
      <c r="H1996" s="11">
        <f t="shared" si="62"/>
        <v>2</v>
      </c>
      <c r="I1996" s="9">
        <f>($K$2+0.02)*Tabla1[[#This Row],[PRECIO $]]*1.18</f>
        <v>0</v>
      </c>
      <c r="J1996" s="7">
        <f>+Tabla1[[#This Row],[PRECIO EN SOLES]]-Tabla1[[#This Row],[PC]]</f>
        <v>2</v>
      </c>
      <c r="K1996" s="15"/>
      <c r="L1996" s="15" t="str">
        <f t="shared" si="63"/>
        <v>NORMAL</v>
      </c>
    </row>
    <row r="1997" spans="1:12" x14ac:dyDescent="0.25">
      <c r="A1997" s="3"/>
      <c r="B1997" s="3"/>
      <c r="C1997" s="1"/>
      <c r="D1997" s="1"/>
      <c r="E1997" s="1"/>
      <c r="F1997" s="1"/>
      <c r="G1997" s="3"/>
      <c r="H1997" s="11">
        <f t="shared" si="62"/>
        <v>2</v>
      </c>
      <c r="I1997" s="9">
        <f>($K$2+0.02)*Tabla1[[#This Row],[PRECIO $]]*1.18</f>
        <v>0</v>
      </c>
      <c r="J1997" s="7">
        <f>+Tabla1[[#This Row],[PRECIO EN SOLES]]-Tabla1[[#This Row],[PC]]</f>
        <v>2</v>
      </c>
      <c r="K1997" s="15"/>
      <c r="L1997" s="15" t="str">
        <f t="shared" si="63"/>
        <v>NORMAL</v>
      </c>
    </row>
    <row r="1998" spans="1:12" x14ac:dyDescent="0.25">
      <c r="A1998" s="3"/>
      <c r="B1998" s="3"/>
      <c r="C1998" s="1"/>
      <c r="D1998" s="1"/>
      <c r="E1998" s="1"/>
      <c r="F1998" s="1"/>
      <c r="G1998" s="3"/>
      <c r="H1998" s="11">
        <f t="shared" si="62"/>
        <v>2</v>
      </c>
      <c r="I1998" s="9">
        <f>($K$2+0.02)*Tabla1[[#This Row],[PRECIO $]]*1.18</f>
        <v>0</v>
      </c>
      <c r="J1998" s="7">
        <f>+Tabla1[[#This Row],[PRECIO EN SOLES]]-Tabla1[[#This Row],[PC]]</f>
        <v>2</v>
      </c>
      <c r="K1998" s="15"/>
      <c r="L1998" s="15" t="str">
        <f t="shared" si="63"/>
        <v>NORMAL</v>
      </c>
    </row>
    <row r="1999" spans="1:12" x14ac:dyDescent="0.25">
      <c r="A1999" s="3"/>
      <c r="B1999" s="3"/>
      <c r="C1999" s="1"/>
      <c r="D1999" s="1"/>
      <c r="E1999" s="1"/>
      <c r="F1999" s="1"/>
      <c r="G1999" s="3"/>
      <c r="H1999" s="11">
        <f t="shared" si="62"/>
        <v>2</v>
      </c>
      <c r="I1999" s="9">
        <f>($K$2+0.02)*Tabla1[[#This Row],[PRECIO $]]*1.18</f>
        <v>0</v>
      </c>
      <c r="J1999" s="7">
        <f>+Tabla1[[#This Row],[PRECIO EN SOLES]]-Tabla1[[#This Row],[PC]]</f>
        <v>2</v>
      </c>
      <c r="K1999" s="15"/>
      <c r="L1999" s="15" t="str">
        <f t="shared" si="63"/>
        <v>NORMAL</v>
      </c>
    </row>
    <row r="2000" spans="1:12" x14ac:dyDescent="0.25">
      <c r="A2000" s="3"/>
      <c r="B2000" s="3"/>
      <c r="C2000" s="1"/>
      <c r="D2000" s="1"/>
      <c r="E2000" s="1"/>
      <c r="F2000" s="1"/>
      <c r="G2000" s="3"/>
      <c r="H2000" s="11">
        <f t="shared" si="62"/>
        <v>2</v>
      </c>
      <c r="I2000" s="9">
        <f>($K$2+0.02)*Tabla1[[#This Row],[PRECIO $]]*1.18</f>
        <v>0</v>
      </c>
      <c r="J2000" s="7">
        <f>+Tabla1[[#This Row],[PRECIO EN SOLES]]-Tabla1[[#This Row],[PC]]</f>
        <v>2</v>
      </c>
      <c r="K2000" s="15"/>
      <c r="L2000" s="15" t="str">
        <f t="shared" si="63"/>
        <v>NORMAL</v>
      </c>
    </row>
    <row r="2001" spans="1:12" x14ac:dyDescent="0.25">
      <c r="A2001" s="3"/>
      <c r="B2001" s="3"/>
      <c r="C2001" s="1"/>
      <c r="D2001" s="1"/>
      <c r="E2001" s="1"/>
      <c r="F2001" s="1"/>
      <c r="G2001" s="3"/>
      <c r="H2001" s="11">
        <f t="shared" si="62"/>
        <v>2</v>
      </c>
      <c r="I2001" s="9">
        <f>($K$2+0.02)*Tabla1[[#This Row],[PRECIO $]]*1.18</f>
        <v>0</v>
      </c>
      <c r="J2001" s="7">
        <f>+Tabla1[[#This Row],[PRECIO EN SOLES]]-Tabla1[[#This Row],[PC]]</f>
        <v>2</v>
      </c>
      <c r="K2001" s="15"/>
      <c r="L2001" s="15" t="str">
        <f t="shared" si="63"/>
        <v>NORMAL</v>
      </c>
    </row>
    <row r="2002" spans="1:12" x14ac:dyDescent="0.25">
      <c r="A2002" s="3"/>
      <c r="B2002" s="3"/>
      <c r="C2002" s="1"/>
      <c r="D2002" s="1"/>
      <c r="E2002" s="1"/>
      <c r="F2002" s="1"/>
      <c r="G2002" s="3"/>
      <c r="H2002" s="11">
        <f t="shared" si="62"/>
        <v>2</v>
      </c>
      <c r="I2002" s="9">
        <f>($K$2+0.02)*Tabla1[[#This Row],[PRECIO $]]*1.18</f>
        <v>0</v>
      </c>
      <c r="J2002" s="7">
        <f>+Tabla1[[#This Row],[PRECIO EN SOLES]]-Tabla1[[#This Row],[PC]]</f>
        <v>2</v>
      </c>
      <c r="K2002" s="15"/>
      <c r="L2002" s="15" t="str">
        <f t="shared" si="63"/>
        <v>NORMAL</v>
      </c>
    </row>
    <row r="2003" spans="1:12" x14ac:dyDescent="0.25">
      <c r="A2003" s="3"/>
      <c r="B2003" s="3"/>
      <c r="C2003" s="1"/>
      <c r="D2003" s="1"/>
      <c r="E2003" s="1"/>
      <c r="F2003" s="1"/>
      <c r="G2003" s="3"/>
      <c r="H2003" s="11">
        <f t="shared" si="62"/>
        <v>2</v>
      </c>
      <c r="I2003" s="9">
        <f>($K$2+0.02)*Tabla1[[#This Row],[PRECIO $]]*1.18</f>
        <v>0</v>
      </c>
      <c r="J2003" s="7">
        <f>+Tabla1[[#This Row],[PRECIO EN SOLES]]-Tabla1[[#This Row],[PC]]</f>
        <v>2</v>
      </c>
      <c r="K2003" s="15"/>
      <c r="L2003" s="15" t="str">
        <f t="shared" si="63"/>
        <v>NORMAL</v>
      </c>
    </row>
    <row r="2004" spans="1:12" x14ac:dyDescent="0.25">
      <c r="A2004" s="3"/>
      <c r="B2004" s="3"/>
      <c r="C2004" s="1"/>
      <c r="D2004" s="1"/>
      <c r="E2004" s="1"/>
      <c r="F2004" s="1"/>
      <c r="G2004" s="3"/>
      <c r="H2004" s="11">
        <f t="shared" si="62"/>
        <v>2</v>
      </c>
      <c r="I2004" s="9">
        <f>($K$2+0.02)*Tabla1[[#This Row],[PRECIO $]]*1.18</f>
        <v>0</v>
      </c>
      <c r="J2004" s="7">
        <f>+Tabla1[[#This Row],[PRECIO EN SOLES]]-Tabla1[[#This Row],[PC]]</f>
        <v>2</v>
      </c>
      <c r="K2004" s="15"/>
      <c r="L2004" s="15" t="str">
        <f t="shared" si="63"/>
        <v>NORMAL</v>
      </c>
    </row>
    <row r="2005" spans="1:12" x14ac:dyDescent="0.25">
      <c r="A2005" s="3"/>
      <c r="B2005" s="3"/>
      <c r="C2005" s="1"/>
      <c r="D2005" s="1"/>
      <c r="E2005" s="1"/>
      <c r="F2005" s="1"/>
      <c r="G2005" s="3"/>
      <c r="H2005" s="11">
        <f t="shared" si="62"/>
        <v>2</v>
      </c>
      <c r="I2005" s="9">
        <f>($K$2+0.02)*Tabla1[[#This Row],[PRECIO $]]*1.18</f>
        <v>0</v>
      </c>
      <c r="J2005" s="7">
        <f>+Tabla1[[#This Row],[PRECIO EN SOLES]]-Tabla1[[#This Row],[PC]]</f>
        <v>2</v>
      </c>
      <c r="K2005" s="15"/>
      <c r="L2005" s="15" t="str">
        <f t="shared" si="63"/>
        <v>NORMAL</v>
      </c>
    </row>
    <row r="2006" spans="1:12" x14ac:dyDescent="0.25">
      <c r="A2006" s="3"/>
      <c r="B2006" s="3"/>
      <c r="C2006" s="1"/>
      <c r="D2006" s="1"/>
      <c r="E2006" s="1"/>
      <c r="F2006" s="1"/>
      <c r="G2006" s="3"/>
      <c r="H2006" s="11">
        <f t="shared" si="62"/>
        <v>2</v>
      </c>
      <c r="I2006" s="9">
        <f>($K$2+0.02)*Tabla1[[#This Row],[PRECIO $]]*1.18</f>
        <v>0</v>
      </c>
      <c r="J2006" s="7">
        <f>+Tabla1[[#This Row],[PRECIO EN SOLES]]-Tabla1[[#This Row],[PC]]</f>
        <v>2</v>
      </c>
      <c r="K2006" s="15"/>
      <c r="L2006" s="15" t="str">
        <f t="shared" si="63"/>
        <v>NORMAL</v>
      </c>
    </row>
    <row r="2007" spans="1:12" x14ac:dyDescent="0.25">
      <c r="A2007" s="3"/>
      <c r="B2007" s="3"/>
      <c r="C2007" s="1"/>
      <c r="D2007" s="1"/>
      <c r="E2007" s="1"/>
      <c r="F2007" s="1"/>
      <c r="G2007" s="3"/>
      <c r="H2007" s="11">
        <f t="shared" si="62"/>
        <v>2</v>
      </c>
      <c r="I2007" s="9">
        <f>($K$2+0.02)*Tabla1[[#This Row],[PRECIO $]]*1.18</f>
        <v>0</v>
      </c>
      <c r="J2007" s="7">
        <f>+Tabla1[[#This Row],[PRECIO EN SOLES]]-Tabla1[[#This Row],[PC]]</f>
        <v>2</v>
      </c>
      <c r="K2007" s="15"/>
      <c r="L2007" s="15" t="str">
        <f t="shared" si="63"/>
        <v>NORMAL</v>
      </c>
    </row>
    <row r="2008" spans="1:12" x14ac:dyDescent="0.25">
      <c r="A2008" s="3"/>
      <c r="B2008" s="3"/>
      <c r="C2008" s="1"/>
      <c r="D2008" s="1"/>
      <c r="E2008" s="1"/>
      <c r="F2008" s="1"/>
      <c r="G2008" s="3"/>
      <c r="H2008" s="11">
        <f t="shared" si="62"/>
        <v>2</v>
      </c>
      <c r="I2008" s="9">
        <f>($K$2+0.02)*Tabla1[[#This Row],[PRECIO $]]*1.18</f>
        <v>0</v>
      </c>
      <c r="J2008" s="7">
        <f>+Tabla1[[#This Row],[PRECIO EN SOLES]]-Tabla1[[#This Row],[PC]]</f>
        <v>2</v>
      </c>
      <c r="K2008" s="15"/>
      <c r="L2008" s="15" t="str">
        <f t="shared" si="63"/>
        <v>NORMAL</v>
      </c>
    </row>
    <row r="2009" spans="1:12" x14ac:dyDescent="0.25">
      <c r="A2009" s="3"/>
      <c r="B2009" s="3"/>
      <c r="C2009" s="1"/>
      <c r="D2009" s="1"/>
      <c r="E2009" s="1"/>
      <c r="F2009" s="1"/>
      <c r="G2009" s="3"/>
      <c r="H2009" s="11">
        <f t="shared" si="62"/>
        <v>2</v>
      </c>
      <c r="I2009" s="9">
        <f>($K$2+0.02)*Tabla1[[#This Row],[PRECIO $]]*1.18</f>
        <v>0</v>
      </c>
      <c r="J2009" s="7">
        <f>+Tabla1[[#This Row],[PRECIO EN SOLES]]-Tabla1[[#This Row],[PC]]</f>
        <v>2</v>
      </c>
      <c r="K2009" s="15"/>
      <c r="L2009" s="15" t="str">
        <f t="shared" si="63"/>
        <v>NORMAL</v>
      </c>
    </row>
    <row r="2010" spans="1:12" x14ac:dyDescent="0.25">
      <c r="A2010" s="3"/>
      <c r="B2010" s="3"/>
      <c r="C2010" s="1"/>
      <c r="D2010" s="1"/>
      <c r="E2010" s="1"/>
      <c r="F2010" s="1"/>
      <c r="G2010" s="3"/>
      <c r="H2010" s="11">
        <f t="shared" si="62"/>
        <v>2</v>
      </c>
      <c r="I2010" s="9">
        <f>($K$2+0.02)*Tabla1[[#This Row],[PRECIO $]]*1.18</f>
        <v>0</v>
      </c>
      <c r="J2010" s="7">
        <f>+Tabla1[[#This Row],[PRECIO EN SOLES]]-Tabla1[[#This Row],[PC]]</f>
        <v>2</v>
      </c>
      <c r="K2010" s="15"/>
      <c r="L2010" s="15" t="str">
        <f t="shared" si="63"/>
        <v>NORMAL</v>
      </c>
    </row>
    <row r="2011" spans="1:12" x14ac:dyDescent="0.25">
      <c r="A2011" s="3"/>
      <c r="B2011" s="3"/>
      <c r="C2011" s="1"/>
      <c r="D2011" s="1"/>
      <c r="E2011" s="1"/>
      <c r="F2011" s="1"/>
      <c r="G2011" s="3"/>
      <c r="H2011" s="11">
        <f t="shared" si="62"/>
        <v>2</v>
      </c>
      <c r="I2011" s="9">
        <f>($K$2+0.02)*Tabla1[[#This Row],[PRECIO $]]*1.18</f>
        <v>0</v>
      </c>
      <c r="J2011" s="7">
        <f>+Tabla1[[#This Row],[PRECIO EN SOLES]]-Tabla1[[#This Row],[PC]]</f>
        <v>2</v>
      </c>
      <c r="K2011" s="15"/>
      <c r="L2011" s="15" t="str">
        <f t="shared" si="63"/>
        <v>NORMAL</v>
      </c>
    </row>
    <row r="2012" spans="1:12" x14ac:dyDescent="0.25">
      <c r="A2012" s="3"/>
      <c r="B2012" s="3"/>
      <c r="C2012" s="1"/>
      <c r="D2012" s="1"/>
      <c r="E2012" s="1"/>
      <c r="F2012" s="1"/>
      <c r="G2012" s="3"/>
      <c r="H2012" s="11">
        <f t="shared" si="62"/>
        <v>2</v>
      </c>
      <c r="I2012" s="9">
        <f>($K$2+0.02)*Tabla1[[#This Row],[PRECIO $]]*1.18</f>
        <v>0</v>
      </c>
      <c r="J2012" s="7">
        <f>+Tabla1[[#This Row],[PRECIO EN SOLES]]-Tabla1[[#This Row],[PC]]</f>
        <v>2</v>
      </c>
      <c r="K2012" s="15"/>
      <c r="L2012" s="15" t="str">
        <f t="shared" si="63"/>
        <v>NORMAL</v>
      </c>
    </row>
    <row r="2013" spans="1:12" x14ac:dyDescent="0.25">
      <c r="A2013" s="3"/>
      <c r="B2013" s="3"/>
      <c r="C2013" s="1"/>
      <c r="D2013" s="1"/>
      <c r="E2013" s="1"/>
      <c r="F2013" s="1"/>
      <c r="G2013" s="3"/>
      <c r="H2013" s="11">
        <f t="shared" si="62"/>
        <v>2</v>
      </c>
      <c r="I2013" s="9">
        <f>($K$2+0.02)*Tabla1[[#This Row],[PRECIO $]]*1.18</f>
        <v>0</v>
      </c>
      <c r="J2013" s="7">
        <f>+Tabla1[[#This Row],[PRECIO EN SOLES]]-Tabla1[[#This Row],[PC]]</f>
        <v>2</v>
      </c>
      <c r="K2013" s="15"/>
      <c r="L2013" s="15" t="str">
        <f t="shared" si="63"/>
        <v>NORMAL</v>
      </c>
    </row>
    <row r="2014" spans="1:12" x14ac:dyDescent="0.25">
      <c r="A2014" s="3"/>
      <c r="B2014" s="3"/>
      <c r="C2014" s="1"/>
      <c r="D2014" s="1"/>
      <c r="E2014" s="1"/>
      <c r="F2014" s="1"/>
      <c r="G2014" s="3"/>
      <c r="H2014" s="11">
        <f t="shared" si="62"/>
        <v>2</v>
      </c>
      <c r="I2014" s="9">
        <f>($K$2+0.02)*Tabla1[[#This Row],[PRECIO $]]*1.18</f>
        <v>0</v>
      </c>
      <c r="J2014" s="7">
        <f>+Tabla1[[#This Row],[PRECIO EN SOLES]]-Tabla1[[#This Row],[PC]]</f>
        <v>2</v>
      </c>
      <c r="K2014" s="15"/>
      <c r="L2014" s="15" t="str">
        <f t="shared" si="63"/>
        <v>NORMAL</v>
      </c>
    </row>
    <row r="2015" spans="1:12" x14ac:dyDescent="0.25">
      <c r="A2015" s="3"/>
      <c r="B2015" s="3"/>
      <c r="C2015" s="1"/>
      <c r="D2015" s="1"/>
      <c r="E2015" s="1"/>
      <c r="F2015" s="1"/>
      <c r="G2015" s="3"/>
      <c r="H2015" s="11">
        <f t="shared" si="62"/>
        <v>2</v>
      </c>
      <c r="I2015" s="9">
        <f>($K$2+0.02)*Tabla1[[#This Row],[PRECIO $]]*1.18</f>
        <v>0</v>
      </c>
      <c r="J2015" s="7">
        <f>+Tabla1[[#This Row],[PRECIO EN SOLES]]-Tabla1[[#This Row],[PC]]</f>
        <v>2</v>
      </c>
      <c r="K2015" s="15"/>
      <c r="L2015" s="15" t="str">
        <f t="shared" si="63"/>
        <v>NORMAL</v>
      </c>
    </row>
    <row r="2016" spans="1:12" x14ac:dyDescent="0.25">
      <c r="A2016" s="3"/>
      <c r="B2016" s="3"/>
      <c r="C2016" s="1"/>
      <c r="D2016" s="1"/>
      <c r="E2016" s="1"/>
      <c r="F2016" s="1"/>
      <c r="G2016" s="3"/>
      <c r="H2016" s="11">
        <f t="shared" si="62"/>
        <v>2</v>
      </c>
      <c r="I2016" s="9">
        <f>($K$2+0.02)*Tabla1[[#This Row],[PRECIO $]]*1.18</f>
        <v>0</v>
      </c>
      <c r="J2016" s="7">
        <f>+Tabla1[[#This Row],[PRECIO EN SOLES]]-Tabla1[[#This Row],[PC]]</f>
        <v>2</v>
      </c>
      <c r="K2016" s="15"/>
      <c r="L2016" s="15" t="str">
        <f t="shared" si="63"/>
        <v>NORMAL</v>
      </c>
    </row>
    <row r="2017" spans="1:12" x14ac:dyDescent="0.25">
      <c r="A2017" s="3"/>
      <c r="B2017" s="3"/>
      <c r="C2017" s="1"/>
      <c r="D2017" s="1"/>
      <c r="E2017" s="1"/>
      <c r="F2017" s="1"/>
      <c r="G2017" s="3"/>
      <c r="H2017" s="11">
        <f t="shared" si="62"/>
        <v>2</v>
      </c>
      <c r="I2017" s="9">
        <f>($K$2+0.02)*Tabla1[[#This Row],[PRECIO $]]*1.18</f>
        <v>0</v>
      </c>
      <c r="J2017" s="7">
        <f>+Tabla1[[#This Row],[PRECIO EN SOLES]]-Tabla1[[#This Row],[PC]]</f>
        <v>2</v>
      </c>
      <c r="K2017" s="15"/>
      <c r="L2017" s="15" t="str">
        <f t="shared" si="63"/>
        <v>NORMAL</v>
      </c>
    </row>
    <row r="2018" spans="1:12" x14ac:dyDescent="0.25">
      <c r="A2018" s="3"/>
      <c r="B2018" s="3"/>
      <c r="C2018" s="1"/>
      <c r="D2018" s="1"/>
      <c r="E2018" s="1"/>
      <c r="F2018" s="1"/>
      <c r="G2018" s="3"/>
      <c r="H2018" s="11">
        <f t="shared" si="62"/>
        <v>2</v>
      </c>
      <c r="I2018" s="9">
        <f>($K$2+0.02)*Tabla1[[#This Row],[PRECIO $]]*1.18</f>
        <v>0</v>
      </c>
      <c r="J2018" s="7">
        <f>+Tabla1[[#This Row],[PRECIO EN SOLES]]-Tabla1[[#This Row],[PC]]</f>
        <v>2</v>
      </c>
      <c r="K2018" s="15"/>
      <c r="L2018" s="15" t="str">
        <f t="shared" si="63"/>
        <v>NORMAL</v>
      </c>
    </row>
    <row r="2019" spans="1:12" x14ac:dyDescent="0.25">
      <c r="A2019" s="3"/>
      <c r="B2019" s="3"/>
      <c r="C2019" s="1"/>
      <c r="D2019" s="1"/>
      <c r="E2019" s="1"/>
      <c r="F2019" s="1"/>
      <c r="G2019" s="3"/>
      <c r="H2019" s="11">
        <f t="shared" si="62"/>
        <v>2</v>
      </c>
      <c r="I2019" s="9">
        <f>($K$2+0.02)*Tabla1[[#This Row],[PRECIO $]]*1.18</f>
        <v>0</v>
      </c>
      <c r="J2019" s="7">
        <f>+Tabla1[[#This Row],[PRECIO EN SOLES]]-Tabla1[[#This Row],[PC]]</f>
        <v>2</v>
      </c>
      <c r="K2019" s="15"/>
      <c r="L2019" s="15" t="str">
        <f t="shared" si="63"/>
        <v>NORMAL</v>
      </c>
    </row>
    <row r="2020" spans="1:12" x14ac:dyDescent="0.25">
      <c r="A2020" s="3"/>
      <c r="B2020" s="3"/>
      <c r="C2020" s="1"/>
      <c r="D2020" s="1"/>
      <c r="E2020" s="1"/>
      <c r="F2020" s="1"/>
      <c r="G2020" s="3"/>
      <c r="H2020" s="11">
        <f t="shared" si="62"/>
        <v>2</v>
      </c>
      <c r="I2020" s="9">
        <f>($K$2+0.02)*Tabla1[[#This Row],[PRECIO $]]*1.18</f>
        <v>0</v>
      </c>
      <c r="J2020" s="7">
        <f>+Tabla1[[#This Row],[PRECIO EN SOLES]]-Tabla1[[#This Row],[PC]]</f>
        <v>2</v>
      </c>
      <c r="K2020" s="15"/>
      <c r="L2020" s="15" t="str">
        <f t="shared" si="63"/>
        <v>NORMAL</v>
      </c>
    </row>
    <row r="2021" spans="1:12" x14ac:dyDescent="0.25">
      <c r="A2021" s="3"/>
      <c r="B2021" s="3"/>
      <c r="C2021" s="1"/>
      <c r="D2021" s="1"/>
      <c r="E2021" s="1"/>
      <c r="F2021" s="1"/>
      <c r="G2021" s="3"/>
      <c r="H2021" s="11">
        <f t="shared" si="62"/>
        <v>2</v>
      </c>
      <c r="I2021" s="9">
        <f>($K$2+0.02)*Tabla1[[#This Row],[PRECIO $]]*1.18</f>
        <v>0</v>
      </c>
      <c r="J2021" s="7">
        <f>+Tabla1[[#This Row],[PRECIO EN SOLES]]-Tabla1[[#This Row],[PC]]</f>
        <v>2</v>
      </c>
      <c r="K2021" s="15"/>
      <c r="L2021" s="15" t="str">
        <f t="shared" si="63"/>
        <v>NORMAL</v>
      </c>
    </row>
    <row r="2022" spans="1:12" x14ac:dyDescent="0.25">
      <c r="A2022" s="3"/>
      <c r="B2022" s="3"/>
      <c r="C2022" s="1"/>
      <c r="D2022" s="1"/>
      <c r="E2022" s="1"/>
      <c r="F2022" s="1"/>
      <c r="G2022" s="3"/>
      <c r="H2022" s="11">
        <f t="shared" si="62"/>
        <v>2</v>
      </c>
      <c r="I2022" s="9">
        <f>($K$2+0.02)*Tabla1[[#This Row],[PRECIO $]]*1.18</f>
        <v>0</v>
      </c>
      <c r="J2022" s="7">
        <f>+Tabla1[[#This Row],[PRECIO EN SOLES]]-Tabla1[[#This Row],[PC]]</f>
        <v>2</v>
      </c>
      <c r="K2022" s="15"/>
      <c r="L2022" s="15" t="str">
        <f t="shared" si="63"/>
        <v>NORMAL</v>
      </c>
    </row>
    <row r="2023" spans="1:12" x14ac:dyDescent="0.25">
      <c r="A2023" s="3"/>
      <c r="B2023" s="3"/>
      <c r="C2023" s="1"/>
      <c r="D2023" s="1"/>
      <c r="E2023" s="1"/>
      <c r="F2023" s="1"/>
      <c r="G2023" s="3"/>
      <c r="H2023" s="11">
        <f t="shared" si="62"/>
        <v>2</v>
      </c>
      <c r="I2023" s="9">
        <f>($K$2+0.02)*Tabla1[[#This Row],[PRECIO $]]*1.18</f>
        <v>0</v>
      </c>
      <c r="J2023" s="7">
        <f>+Tabla1[[#This Row],[PRECIO EN SOLES]]-Tabla1[[#This Row],[PC]]</f>
        <v>2</v>
      </c>
      <c r="K2023" s="15"/>
      <c r="L2023" s="15" t="str">
        <f t="shared" si="63"/>
        <v>NORMAL</v>
      </c>
    </row>
    <row r="2024" spans="1:12" x14ac:dyDescent="0.25">
      <c r="A2024" s="3"/>
      <c r="B2024" s="3"/>
      <c r="C2024" s="1"/>
      <c r="D2024" s="1"/>
      <c r="E2024" s="1"/>
      <c r="F2024" s="1"/>
      <c r="G2024" s="3"/>
      <c r="H2024" s="11">
        <f t="shared" si="62"/>
        <v>2</v>
      </c>
      <c r="I2024" s="9">
        <f>($K$2+0.02)*Tabla1[[#This Row],[PRECIO $]]*1.18</f>
        <v>0</v>
      </c>
      <c r="J2024" s="7">
        <f>+Tabla1[[#This Row],[PRECIO EN SOLES]]-Tabla1[[#This Row],[PC]]</f>
        <v>2</v>
      </c>
      <c r="K2024" s="15"/>
      <c r="L2024" s="15" t="str">
        <f t="shared" si="63"/>
        <v>NORMAL</v>
      </c>
    </row>
    <row r="2025" spans="1:12" x14ac:dyDescent="0.25">
      <c r="A2025" s="3"/>
      <c r="B2025" s="3"/>
      <c r="C2025" s="1"/>
      <c r="D2025" s="1"/>
      <c r="E2025" s="1"/>
      <c r="F2025" s="1"/>
      <c r="G2025" s="3"/>
      <c r="H2025" s="11">
        <f t="shared" si="62"/>
        <v>2</v>
      </c>
      <c r="I2025" s="9">
        <f>($K$2+0.02)*Tabla1[[#This Row],[PRECIO $]]*1.18</f>
        <v>0</v>
      </c>
      <c r="J2025" s="7">
        <f>+Tabla1[[#This Row],[PRECIO EN SOLES]]-Tabla1[[#This Row],[PC]]</f>
        <v>2</v>
      </c>
      <c r="K2025" s="15"/>
      <c r="L2025" s="15" t="str">
        <f t="shared" si="63"/>
        <v>NORMAL</v>
      </c>
    </row>
    <row r="2026" spans="1:12" x14ac:dyDescent="0.25">
      <c r="A2026" s="3"/>
      <c r="B2026" s="3"/>
      <c r="C2026" s="1"/>
      <c r="D2026" s="1"/>
      <c r="E2026" s="1"/>
      <c r="F2026" s="1"/>
      <c r="G2026" s="3"/>
      <c r="H2026" s="11">
        <f t="shared" si="62"/>
        <v>2</v>
      </c>
      <c r="I2026" s="9">
        <f>($K$2+0.02)*Tabla1[[#This Row],[PRECIO $]]*1.18</f>
        <v>0</v>
      </c>
      <c r="J2026" s="7">
        <f>+Tabla1[[#This Row],[PRECIO EN SOLES]]-Tabla1[[#This Row],[PC]]</f>
        <v>2</v>
      </c>
      <c r="K2026" s="15"/>
      <c r="L2026" s="15" t="str">
        <f t="shared" si="63"/>
        <v>NORMAL</v>
      </c>
    </row>
    <row r="2027" spans="1:12" x14ac:dyDescent="0.25">
      <c r="A2027" s="3"/>
      <c r="B2027" s="3"/>
      <c r="C2027" s="1"/>
      <c r="D2027" s="1"/>
      <c r="E2027" s="1"/>
      <c r="F2027" s="1"/>
      <c r="G2027" s="3"/>
      <c r="H2027" s="11">
        <f t="shared" si="62"/>
        <v>2</v>
      </c>
      <c r="I2027" s="9">
        <f>($K$2+0.02)*Tabla1[[#This Row],[PRECIO $]]*1.18</f>
        <v>0</v>
      </c>
      <c r="J2027" s="7">
        <f>+Tabla1[[#This Row],[PRECIO EN SOLES]]-Tabla1[[#This Row],[PC]]</f>
        <v>2</v>
      </c>
      <c r="K2027" s="15"/>
      <c r="L2027" s="15" t="str">
        <f t="shared" si="63"/>
        <v>NORMAL</v>
      </c>
    </row>
    <row r="2028" spans="1:12" x14ac:dyDescent="0.25">
      <c r="A2028" s="3"/>
      <c r="B2028" s="3"/>
      <c r="C2028" s="1"/>
      <c r="D2028" s="1"/>
      <c r="E2028" s="1"/>
      <c r="F2028" s="1"/>
      <c r="G2028" s="3"/>
      <c r="H2028" s="11">
        <f t="shared" si="62"/>
        <v>2</v>
      </c>
      <c r="I2028" s="9">
        <f>($K$2+0.02)*Tabla1[[#This Row],[PRECIO $]]*1.18</f>
        <v>0</v>
      </c>
      <c r="J2028" s="7">
        <f>+Tabla1[[#This Row],[PRECIO EN SOLES]]-Tabla1[[#This Row],[PC]]</f>
        <v>2</v>
      </c>
      <c r="K2028" s="15"/>
      <c r="L2028" s="15" t="str">
        <f t="shared" si="63"/>
        <v>NORMAL</v>
      </c>
    </row>
    <row r="2029" spans="1:12" x14ac:dyDescent="0.25">
      <c r="A2029" s="3"/>
      <c r="B2029" s="3"/>
      <c r="C2029" s="1"/>
      <c r="D2029" s="1"/>
      <c r="E2029" s="1"/>
      <c r="F2029" s="1"/>
      <c r="G2029" s="3"/>
      <c r="H2029" s="11">
        <f t="shared" si="62"/>
        <v>2</v>
      </c>
      <c r="I2029" s="9">
        <f>($K$2+0.02)*Tabla1[[#This Row],[PRECIO $]]*1.18</f>
        <v>0</v>
      </c>
      <c r="J2029" s="7">
        <f>+Tabla1[[#This Row],[PRECIO EN SOLES]]-Tabla1[[#This Row],[PC]]</f>
        <v>2</v>
      </c>
      <c r="K2029" s="15"/>
      <c r="L2029" s="15" t="str">
        <f t="shared" si="63"/>
        <v>NORMAL</v>
      </c>
    </row>
    <row r="2030" spans="1:12" x14ac:dyDescent="0.25">
      <c r="A2030" s="3"/>
      <c r="B2030" s="3"/>
      <c r="C2030" s="1"/>
      <c r="D2030" s="1"/>
      <c r="E2030" s="1"/>
      <c r="F2030" s="1"/>
      <c r="G2030" s="3"/>
      <c r="H2030" s="11">
        <f t="shared" si="62"/>
        <v>2</v>
      </c>
      <c r="I2030" s="9">
        <f>($K$2+0.02)*Tabla1[[#This Row],[PRECIO $]]*1.18</f>
        <v>0</v>
      </c>
      <c r="J2030" s="7">
        <f>+Tabla1[[#This Row],[PRECIO EN SOLES]]-Tabla1[[#This Row],[PC]]</f>
        <v>2</v>
      </c>
      <c r="K2030" s="15"/>
      <c r="L2030" s="15" t="str">
        <f t="shared" si="63"/>
        <v>NORMAL</v>
      </c>
    </row>
    <row r="2031" spans="1:12" x14ac:dyDescent="0.25">
      <c r="A2031" s="3"/>
      <c r="B2031" s="3"/>
      <c r="C2031" s="1"/>
      <c r="D2031" s="1"/>
      <c r="E2031" s="1"/>
      <c r="F2031" s="1"/>
      <c r="G2031" s="3"/>
      <c r="H2031" s="11">
        <f t="shared" si="62"/>
        <v>2</v>
      </c>
      <c r="I2031" s="9">
        <f>($K$2+0.02)*Tabla1[[#This Row],[PRECIO $]]*1.18</f>
        <v>0</v>
      </c>
      <c r="J2031" s="7">
        <f>+Tabla1[[#This Row],[PRECIO EN SOLES]]-Tabla1[[#This Row],[PC]]</f>
        <v>2</v>
      </c>
      <c r="K2031" s="15"/>
      <c r="L2031" s="15" t="str">
        <f t="shared" si="63"/>
        <v>NORMAL</v>
      </c>
    </row>
    <row r="2032" spans="1:12" x14ac:dyDescent="0.25">
      <c r="A2032" s="3"/>
      <c r="B2032" s="3"/>
      <c r="C2032" s="1"/>
      <c r="D2032" s="1"/>
      <c r="E2032" s="1"/>
      <c r="F2032" s="1"/>
      <c r="G2032" s="3"/>
      <c r="H2032" s="11">
        <f t="shared" si="62"/>
        <v>2</v>
      </c>
      <c r="I2032" s="9">
        <f>($K$2+0.02)*Tabla1[[#This Row],[PRECIO $]]*1.18</f>
        <v>0</v>
      </c>
      <c r="J2032" s="7">
        <f>+Tabla1[[#This Row],[PRECIO EN SOLES]]-Tabla1[[#This Row],[PC]]</f>
        <v>2</v>
      </c>
      <c r="K2032" s="15"/>
      <c r="L2032" s="15" t="str">
        <f t="shared" si="63"/>
        <v>NORMAL</v>
      </c>
    </row>
    <row r="2033" spans="1:12" x14ac:dyDescent="0.25">
      <c r="A2033" s="3"/>
      <c r="B2033" s="3"/>
      <c r="C2033" s="1"/>
      <c r="D2033" s="1"/>
      <c r="E2033" s="1"/>
      <c r="F2033" s="1"/>
      <c r="G2033" s="3"/>
      <c r="H2033" s="11">
        <f t="shared" si="62"/>
        <v>2</v>
      </c>
      <c r="I2033" s="9">
        <f>($K$2+0.02)*Tabla1[[#This Row],[PRECIO $]]*1.18</f>
        <v>0</v>
      </c>
      <c r="J2033" s="7">
        <f>+Tabla1[[#This Row],[PRECIO EN SOLES]]-Tabla1[[#This Row],[PC]]</f>
        <v>2</v>
      </c>
      <c r="K2033" s="15"/>
      <c r="L2033" s="15" t="str">
        <f t="shared" si="63"/>
        <v>NORMAL</v>
      </c>
    </row>
    <row r="2034" spans="1:12" x14ac:dyDescent="0.25">
      <c r="A2034" s="3"/>
      <c r="B2034" s="3"/>
      <c r="C2034" s="1"/>
      <c r="D2034" s="1"/>
      <c r="E2034" s="1"/>
      <c r="F2034" s="1"/>
      <c r="G2034" s="3"/>
      <c r="H2034" s="11">
        <f t="shared" si="62"/>
        <v>2</v>
      </c>
      <c r="I2034" s="9">
        <f>($K$2+0.02)*Tabla1[[#This Row],[PRECIO $]]*1.18</f>
        <v>0</v>
      </c>
      <c r="J2034" s="7">
        <f>+Tabla1[[#This Row],[PRECIO EN SOLES]]-Tabla1[[#This Row],[PC]]</f>
        <v>2</v>
      </c>
      <c r="K2034" s="15"/>
      <c r="L2034" s="15" t="str">
        <f t="shared" si="63"/>
        <v>NORMAL</v>
      </c>
    </row>
    <row r="2035" spans="1:12" x14ac:dyDescent="0.25">
      <c r="A2035" s="3"/>
      <c r="B2035" s="3"/>
      <c r="C2035" s="1"/>
      <c r="D2035" s="1"/>
      <c r="E2035" s="1"/>
      <c r="F2035" s="1"/>
      <c r="G2035" s="3"/>
      <c r="H2035" s="11">
        <f t="shared" si="62"/>
        <v>2</v>
      </c>
      <c r="I2035" s="9">
        <f>($K$2+0.02)*Tabla1[[#This Row],[PRECIO $]]*1.18</f>
        <v>0</v>
      </c>
      <c r="J2035" s="7">
        <f>+Tabla1[[#This Row],[PRECIO EN SOLES]]-Tabla1[[#This Row],[PC]]</f>
        <v>2</v>
      </c>
      <c r="K2035" s="15"/>
      <c r="L2035" s="15" t="str">
        <f t="shared" si="63"/>
        <v>NORMAL</v>
      </c>
    </row>
    <row r="2036" spans="1:12" x14ac:dyDescent="0.25">
      <c r="A2036" s="3"/>
      <c r="B2036" s="3"/>
      <c r="C2036" s="1"/>
      <c r="D2036" s="1"/>
      <c r="E2036" s="1"/>
      <c r="F2036" s="1"/>
      <c r="G2036" s="3"/>
      <c r="H2036" s="11">
        <f t="shared" si="62"/>
        <v>2</v>
      </c>
      <c r="I2036" s="9">
        <f>($K$2+0.02)*Tabla1[[#This Row],[PRECIO $]]*1.18</f>
        <v>0</v>
      </c>
      <c r="J2036" s="7">
        <f>+Tabla1[[#This Row],[PRECIO EN SOLES]]-Tabla1[[#This Row],[PC]]</f>
        <v>2</v>
      </c>
      <c r="K2036" s="15"/>
      <c r="L2036" s="15" t="str">
        <f t="shared" si="63"/>
        <v>NORMAL</v>
      </c>
    </row>
    <row r="2037" spans="1:12" x14ac:dyDescent="0.25">
      <c r="A2037" s="3"/>
      <c r="B2037" s="3"/>
      <c r="C2037" s="1"/>
      <c r="D2037" s="1"/>
      <c r="E2037" s="1"/>
      <c r="F2037" s="1"/>
      <c r="G2037" s="3"/>
      <c r="H2037" s="11">
        <f t="shared" si="62"/>
        <v>2</v>
      </c>
      <c r="I2037" s="9">
        <f>($K$2+0.02)*Tabla1[[#This Row],[PRECIO $]]*1.18</f>
        <v>0</v>
      </c>
      <c r="J2037" s="7">
        <f>+Tabla1[[#This Row],[PRECIO EN SOLES]]-Tabla1[[#This Row],[PC]]</f>
        <v>2</v>
      </c>
      <c r="K2037" s="15"/>
      <c r="L2037" s="15" t="str">
        <f t="shared" si="63"/>
        <v>NORMAL</v>
      </c>
    </row>
    <row r="2038" spans="1:12" x14ac:dyDescent="0.25">
      <c r="A2038" s="3"/>
      <c r="B2038" s="3"/>
      <c r="C2038" s="1"/>
      <c r="D2038" s="1"/>
      <c r="E2038" s="1"/>
      <c r="F2038" s="1"/>
      <c r="G2038" s="3"/>
      <c r="H2038" s="11">
        <f t="shared" si="62"/>
        <v>2</v>
      </c>
      <c r="I2038" s="9">
        <f>($K$2+0.02)*Tabla1[[#This Row],[PRECIO $]]*1.18</f>
        <v>0</v>
      </c>
      <c r="J2038" s="7">
        <f>+Tabla1[[#This Row],[PRECIO EN SOLES]]-Tabla1[[#This Row],[PC]]</f>
        <v>2</v>
      </c>
      <c r="K2038" s="15"/>
      <c r="L2038" s="15" t="str">
        <f t="shared" si="63"/>
        <v>NORMAL</v>
      </c>
    </row>
    <row r="2039" spans="1:12" x14ac:dyDescent="0.25">
      <c r="A2039" s="3"/>
      <c r="B2039" s="3"/>
      <c r="C2039" s="1"/>
      <c r="D2039" s="1"/>
      <c r="E2039" s="1"/>
      <c r="F2039" s="1"/>
      <c r="G2039" s="3"/>
      <c r="H2039" s="11">
        <f t="shared" si="62"/>
        <v>2</v>
      </c>
      <c r="I2039" s="9">
        <f>($K$2+0.02)*Tabla1[[#This Row],[PRECIO $]]*1.18</f>
        <v>0</v>
      </c>
      <c r="J2039" s="7">
        <f>+Tabla1[[#This Row],[PRECIO EN SOLES]]-Tabla1[[#This Row],[PC]]</f>
        <v>2</v>
      </c>
      <c r="K2039" s="15"/>
      <c r="L2039" s="15" t="str">
        <f t="shared" si="63"/>
        <v>NORMAL</v>
      </c>
    </row>
    <row r="2040" spans="1:12" x14ac:dyDescent="0.25">
      <c r="A2040" s="3"/>
      <c r="B2040" s="3"/>
      <c r="C2040" s="1"/>
      <c r="D2040" s="1"/>
      <c r="E2040" s="1"/>
      <c r="F2040" s="1"/>
      <c r="G2040" s="3"/>
      <c r="H2040" s="11">
        <f t="shared" si="62"/>
        <v>2</v>
      </c>
      <c r="I2040" s="9">
        <f>($K$2+0.02)*Tabla1[[#This Row],[PRECIO $]]*1.18</f>
        <v>0</v>
      </c>
      <c r="J2040" s="7">
        <f>+Tabla1[[#This Row],[PRECIO EN SOLES]]-Tabla1[[#This Row],[PC]]</f>
        <v>2</v>
      </c>
      <c r="K2040" s="15"/>
      <c r="L2040" s="15" t="str">
        <f t="shared" si="63"/>
        <v>NORMAL</v>
      </c>
    </row>
    <row r="2041" spans="1:12" x14ac:dyDescent="0.25">
      <c r="A2041" s="3"/>
      <c r="B2041" s="3"/>
      <c r="C2041" s="1"/>
      <c r="D2041" s="1"/>
      <c r="E2041" s="1"/>
      <c r="F2041" s="1"/>
      <c r="G2041" s="3"/>
      <c r="H2041" s="11">
        <f t="shared" si="62"/>
        <v>2</v>
      </c>
      <c r="I2041" s="9">
        <f>($K$2+0.02)*Tabla1[[#This Row],[PRECIO $]]*1.18</f>
        <v>0</v>
      </c>
      <c r="J2041" s="7">
        <f>+Tabla1[[#This Row],[PRECIO EN SOLES]]-Tabla1[[#This Row],[PC]]</f>
        <v>2</v>
      </c>
      <c r="K2041" s="15"/>
      <c r="L2041" s="15" t="str">
        <f t="shared" si="63"/>
        <v>NORMAL</v>
      </c>
    </row>
    <row r="2042" spans="1:12" x14ac:dyDescent="0.25">
      <c r="A2042" s="3"/>
      <c r="B2042" s="3"/>
      <c r="C2042" s="1"/>
      <c r="D2042" s="1"/>
      <c r="E2042" s="1"/>
      <c r="F2042" s="1"/>
      <c r="G2042" s="3"/>
      <c r="H2042" s="11">
        <f t="shared" si="62"/>
        <v>2</v>
      </c>
      <c r="I2042" s="9">
        <f>($K$2+0.02)*Tabla1[[#This Row],[PRECIO $]]*1.18</f>
        <v>0</v>
      </c>
      <c r="J2042" s="7">
        <f>+Tabla1[[#This Row],[PRECIO EN SOLES]]-Tabla1[[#This Row],[PC]]</f>
        <v>2</v>
      </c>
      <c r="K2042" s="15"/>
      <c r="L2042" s="15" t="str">
        <f t="shared" si="63"/>
        <v>NORMAL</v>
      </c>
    </row>
    <row r="2043" spans="1:12" x14ac:dyDescent="0.25">
      <c r="A2043" s="3"/>
      <c r="B2043" s="3"/>
      <c r="C2043" s="1"/>
      <c r="D2043" s="1"/>
      <c r="E2043" s="1"/>
      <c r="F2043" s="1"/>
      <c r="G2043" s="3"/>
      <c r="H2043" s="11">
        <f t="shared" si="62"/>
        <v>2</v>
      </c>
      <c r="I2043" s="9">
        <f>($K$2+0.02)*Tabla1[[#This Row],[PRECIO $]]*1.18</f>
        <v>0</v>
      </c>
      <c r="J2043" s="7">
        <f>+Tabla1[[#This Row],[PRECIO EN SOLES]]-Tabla1[[#This Row],[PC]]</f>
        <v>2</v>
      </c>
      <c r="K2043" s="15"/>
      <c r="L2043" s="15" t="str">
        <f t="shared" si="63"/>
        <v>NORMAL</v>
      </c>
    </row>
    <row r="2044" spans="1:12" x14ac:dyDescent="0.25">
      <c r="A2044" s="3"/>
      <c r="B2044" s="3"/>
      <c r="C2044" s="1"/>
      <c r="D2044" s="1"/>
      <c r="E2044" s="1"/>
      <c r="F2044" s="1"/>
      <c r="G2044" s="3"/>
      <c r="H2044" s="11">
        <f t="shared" si="62"/>
        <v>2</v>
      </c>
      <c r="I2044" s="9">
        <f>($K$2+0.02)*Tabla1[[#This Row],[PRECIO $]]*1.18</f>
        <v>0</v>
      </c>
      <c r="J2044" s="7">
        <f>+Tabla1[[#This Row],[PRECIO EN SOLES]]-Tabla1[[#This Row],[PC]]</f>
        <v>2</v>
      </c>
      <c r="K2044" s="15"/>
      <c r="L2044" s="15" t="str">
        <f t="shared" si="63"/>
        <v>NORMAL</v>
      </c>
    </row>
    <row r="2045" spans="1:12" x14ac:dyDescent="0.25">
      <c r="A2045" s="3"/>
      <c r="B2045" s="3"/>
      <c r="C2045" s="1"/>
      <c r="D2045" s="1"/>
      <c r="E2045" s="1"/>
      <c r="F2045" s="1"/>
      <c r="G2045" s="3"/>
      <c r="H2045" s="11">
        <f t="shared" si="62"/>
        <v>2</v>
      </c>
      <c r="I2045" s="9">
        <f>($K$2+0.02)*Tabla1[[#This Row],[PRECIO $]]*1.18</f>
        <v>0</v>
      </c>
      <c r="J2045" s="7">
        <f>+Tabla1[[#This Row],[PRECIO EN SOLES]]-Tabla1[[#This Row],[PC]]</f>
        <v>2</v>
      </c>
      <c r="K2045" s="15"/>
      <c r="L2045" s="15" t="str">
        <f t="shared" si="63"/>
        <v>NORMAL</v>
      </c>
    </row>
    <row r="2046" spans="1:12" x14ac:dyDescent="0.25">
      <c r="A2046" s="3"/>
      <c r="B2046" s="3"/>
      <c r="C2046" s="1"/>
      <c r="D2046" s="1"/>
      <c r="E2046" s="1"/>
      <c r="F2046" s="1"/>
      <c r="G2046" s="3"/>
      <c r="H2046" s="11">
        <f t="shared" si="62"/>
        <v>2</v>
      </c>
      <c r="I2046" s="9">
        <f>($K$2+0.02)*Tabla1[[#This Row],[PRECIO $]]*1.18</f>
        <v>0</v>
      </c>
      <c r="J2046" s="7">
        <f>+Tabla1[[#This Row],[PRECIO EN SOLES]]-Tabla1[[#This Row],[PC]]</f>
        <v>2</v>
      </c>
      <c r="K2046" s="15"/>
      <c r="L2046" s="15" t="str">
        <f t="shared" si="63"/>
        <v>NORMAL</v>
      </c>
    </row>
    <row r="2047" spans="1:12" x14ac:dyDescent="0.25">
      <c r="A2047" s="3"/>
      <c r="B2047" s="3"/>
      <c r="C2047" s="1"/>
      <c r="D2047" s="1"/>
      <c r="E2047" s="1"/>
      <c r="F2047" s="1"/>
      <c r="G2047" s="3"/>
      <c r="H2047" s="11">
        <f t="shared" si="62"/>
        <v>2</v>
      </c>
      <c r="I2047" s="9">
        <f>($K$2+0.02)*Tabla1[[#This Row],[PRECIO $]]*1.18</f>
        <v>0</v>
      </c>
      <c r="J2047" s="7">
        <f>+Tabla1[[#This Row],[PRECIO EN SOLES]]-Tabla1[[#This Row],[PC]]</f>
        <v>2</v>
      </c>
      <c r="K2047" s="15"/>
      <c r="L2047" s="15" t="str">
        <f t="shared" si="63"/>
        <v>NORMAL</v>
      </c>
    </row>
    <row r="2048" spans="1:12" x14ac:dyDescent="0.25">
      <c r="A2048" s="3"/>
      <c r="B2048" s="3"/>
      <c r="C2048" s="1"/>
      <c r="D2048" s="1"/>
      <c r="E2048" s="1"/>
      <c r="F2048" s="1"/>
      <c r="G2048" s="3"/>
      <c r="H2048" s="11">
        <f t="shared" si="62"/>
        <v>2</v>
      </c>
      <c r="I2048" s="9">
        <f>($K$2+0.02)*Tabla1[[#This Row],[PRECIO $]]*1.18</f>
        <v>0</v>
      </c>
      <c r="J2048" s="7">
        <f>+Tabla1[[#This Row],[PRECIO EN SOLES]]-Tabla1[[#This Row],[PC]]</f>
        <v>2</v>
      </c>
      <c r="K2048" s="15"/>
      <c r="L2048" s="15" t="str">
        <f t="shared" si="63"/>
        <v>NORMAL</v>
      </c>
    </row>
    <row r="2049" spans="1:12" x14ac:dyDescent="0.25">
      <c r="A2049" s="3"/>
      <c r="B2049" s="3"/>
      <c r="C2049" s="1"/>
      <c r="D2049" s="1"/>
      <c r="E2049" s="1"/>
      <c r="F2049" s="1"/>
      <c r="G2049" s="3"/>
      <c r="H2049" s="11">
        <f t="shared" si="62"/>
        <v>2</v>
      </c>
      <c r="I2049" s="9">
        <f>($K$2+0.02)*Tabla1[[#This Row],[PRECIO $]]*1.18</f>
        <v>0</v>
      </c>
      <c r="J2049" s="7">
        <f>+Tabla1[[#This Row],[PRECIO EN SOLES]]-Tabla1[[#This Row],[PC]]</f>
        <v>2</v>
      </c>
      <c r="K2049" s="15"/>
      <c r="L2049" s="15" t="str">
        <f t="shared" si="63"/>
        <v>NORMAL</v>
      </c>
    </row>
    <row r="2050" spans="1:12" x14ac:dyDescent="0.25">
      <c r="A2050" s="3"/>
      <c r="B2050" s="3"/>
      <c r="C2050" s="1"/>
      <c r="D2050" s="1"/>
      <c r="E2050" s="1"/>
      <c r="F2050" s="1"/>
      <c r="G2050" s="3"/>
      <c r="H2050" s="11">
        <f t="shared" ref="H2050:H2113" si="64">ROUND(
IF(L2050="GANCHO",
   IF(I2050&lt;=50,I2050*1.1+4,IF(I2050&lt;=120,I2050*1.1+7,IF(I2050&lt;=250,I2050*1.1+11,I2050*1.1+19))),
IF(L2050="NORMAL",
   IF(I2050&lt;=30,I2050*1.15+2,IF(I2050&lt;=80,I2050*1.15+4,IF(I2050&lt;=150,I2050*1.15+6,I2050*1.15+8))),
IF(L2050="COMPLEMENTO",
   IF(I2050&lt;=25,I2050*1.25+1.5,IF(I2050&lt;=60,I2050*1.25+3,IF(I2050&lt;=120,I2050*1.25+4,I2050*1.25+5))),
""))),2)</f>
        <v>2</v>
      </c>
      <c r="I2050" s="9">
        <f>($K$2+0.02)*Tabla1[[#This Row],[PRECIO $]]*1.18</f>
        <v>0</v>
      </c>
      <c r="J2050" s="7">
        <f>+Tabla1[[#This Row],[PRECIO EN SOLES]]-Tabla1[[#This Row],[PC]]</f>
        <v>2</v>
      </c>
      <c r="K2050" s="15"/>
      <c r="L2050" s="15" t="str">
        <f t="shared" si="63"/>
        <v>NORMAL</v>
      </c>
    </row>
    <row r="2051" spans="1:12" x14ac:dyDescent="0.25">
      <c r="A2051" s="3"/>
      <c r="B2051" s="3"/>
      <c r="C2051" s="1"/>
      <c r="D2051" s="1"/>
      <c r="E2051" s="1"/>
      <c r="F2051" s="1"/>
      <c r="G2051" s="3"/>
      <c r="H2051" s="11">
        <f t="shared" si="64"/>
        <v>2</v>
      </c>
      <c r="I2051" s="9">
        <f>($K$2+0.02)*Tabla1[[#This Row],[PRECIO $]]*1.18</f>
        <v>0</v>
      </c>
      <c r="J2051" s="7">
        <f>+Tabla1[[#This Row],[PRECIO EN SOLES]]-Tabla1[[#This Row],[PC]]</f>
        <v>2</v>
      </c>
      <c r="K2051" s="15"/>
      <c r="L2051" s="15" t="str">
        <f t="shared" ref="L2051:L2114" si="65">IF(
OR(
ISNUMBER(SEARCH("BACKPACK",B2051)),
ISNUMBER(SEARCH("MOCHILA",B2051)),
ISNUMBER(SEARCH("FUNDA",B2051)),
ISNUMBER(SEARCH("ESTUCHE",B2051)),
ISNUMBER(SEARCH("BOOK COVER",B2051)),
ISNUMBER(SEARCH("KEYBOARD PARA TABLET",B2051)),
ISNUMBER(SEARCH("FLIP TABLET",B2051)),
ISNUMBER(SEARCH("CASE FOR TABLET",B2051)),
ISNUMBER(SEARCH("CABLE",B2051)),
ISNUMBER(SEARCH("ADAPTADOR",B2051)),
ISNUMBER(SEARCH("HUB",B2051)),
ISNUMBER(SEARCH("DOCK",B2051)),
ISNUMBER(SEARCH("MOUSE PAD",B2051)),
ISNUMBER(SEARCH("MOUSEPAD",B2051)),
ISNUMBER(SEARCH("SOPORTE",B2051)),
ISNUMBER(SEARCH("STAND",B2051)),
ISNUMBER(SEARCH("TRAVEL ADAPTER",B2051)),
ISNUMBER(SEARCH("RJ45",B2051)),
ISNUMBER(SEARCH("USB-C",B2051)),
ISNUMBER(SEARCH("USB WIFI",B2051)),
ISNUMBER(SEARCH("POWERBANK",B2051)),
ISNUMBER(SEARCH("CARGADOR",B2051)),
ISNUMBER(SEARCH("COOLER PARA NB",B2051)),
ISNUMBER(SEARCH("SOPORTE PARA NB",B2051)),
ISNUMBER(SEARCH("WEBCAM",B2051)),
ISNUMBER(SEARCH("WEB CAM",B2051)),
ISNUMBER(SEARCH("MOUSE",B2051)),
ISNUMBER(SEARCH("TECLADO",B2051))
),
"COMPLEMENTO",
IF(
OR(
LEFT(A2051,2)="NB",
LEFT(A2051,2)="PC",
LEFT(A2051,2)="WS",
LEFT(A2051,2)="TB",
LEFT(A2051,3)="CEL",
LEFT(A2051,3)="MON",
LEFT(A2051,3)="PRE",
LEFT(A2051,3)="PRH",
ISNUMBER(SEARCH("NOTEBOOK",B2051)),
ISNUMBER(SEARCH("LAPTOP",B2051)),
ISNUMBER(SEARCH("MONITOR",B2051)),
ISNUMBER(SEARCH("TABLET",B2051)),
ISNUMBER(SEARCH("SMARTPH",B2051)),
ISNUMBER(SEARCH("IMPRESORA",B2051)),
ISNUMBER(SEARCH("MULTIFUNCIONAL",B2051)),
ISNUMBER(SEARCH("AIO",B2051))
),
"GANCHO",
"NORMAL"
)
)</f>
        <v>NORMAL</v>
      </c>
    </row>
    <row r="2052" spans="1:12" x14ac:dyDescent="0.25">
      <c r="A2052" s="3"/>
      <c r="B2052" s="3"/>
      <c r="C2052" s="1"/>
      <c r="D2052" s="1"/>
      <c r="E2052" s="1"/>
      <c r="F2052" s="1"/>
      <c r="G2052" s="3"/>
      <c r="H2052" s="11">
        <f t="shared" si="64"/>
        <v>2</v>
      </c>
      <c r="I2052" s="9">
        <f>($K$2+0.02)*Tabla1[[#This Row],[PRECIO $]]*1.18</f>
        <v>0</v>
      </c>
      <c r="J2052" s="7">
        <f>+Tabla1[[#This Row],[PRECIO EN SOLES]]-Tabla1[[#This Row],[PC]]</f>
        <v>2</v>
      </c>
      <c r="K2052" s="15"/>
      <c r="L2052" s="15" t="str">
        <f t="shared" si="65"/>
        <v>NORMAL</v>
      </c>
    </row>
    <row r="2053" spans="1:12" x14ac:dyDescent="0.25">
      <c r="A2053" s="3"/>
      <c r="B2053" s="3"/>
      <c r="C2053" s="1"/>
      <c r="D2053" s="1"/>
      <c r="E2053" s="1"/>
      <c r="F2053" s="1"/>
      <c r="G2053" s="3"/>
      <c r="H2053" s="11">
        <f t="shared" si="64"/>
        <v>2</v>
      </c>
      <c r="I2053" s="9">
        <f>($K$2+0.02)*Tabla1[[#This Row],[PRECIO $]]*1.18</f>
        <v>0</v>
      </c>
      <c r="J2053" s="7">
        <f>+Tabla1[[#This Row],[PRECIO EN SOLES]]-Tabla1[[#This Row],[PC]]</f>
        <v>2</v>
      </c>
      <c r="K2053" s="15"/>
      <c r="L2053" s="15" t="str">
        <f t="shared" si="65"/>
        <v>NORMAL</v>
      </c>
    </row>
    <row r="2054" spans="1:12" x14ac:dyDescent="0.25">
      <c r="A2054" s="3"/>
      <c r="B2054" s="3"/>
      <c r="C2054" s="1"/>
      <c r="D2054" s="1"/>
      <c r="E2054" s="1"/>
      <c r="F2054" s="1"/>
      <c r="G2054" s="3"/>
      <c r="H2054" s="11">
        <f t="shared" si="64"/>
        <v>2</v>
      </c>
      <c r="I2054" s="9">
        <f>($K$2+0.02)*Tabla1[[#This Row],[PRECIO $]]*1.18</f>
        <v>0</v>
      </c>
      <c r="J2054" s="7">
        <f>+Tabla1[[#This Row],[PRECIO EN SOLES]]-Tabla1[[#This Row],[PC]]</f>
        <v>2</v>
      </c>
      <c r="K2054" s="15"/>
      <c r="L2054" s="15" t="str">
        <f t="shared" si="65"/>
        <v>NORMAL</v>
      </c>
    </row>
    <row r="2055" spans="1:12" x14ac:dyDescent="0.25">
      <c r="A2055" s="3"/>
      <c r="B2055" s="3"/>
      <c r="C2055" s="1"/>
      <c r="D2055" s="1"/>
      <c r="E2055" s="1"/>
      <c r="F2055" s="1"/>
      <c r="G2055" s="3"/>
      <c r="H2055" s="11">
        <f t="shared" si="64"/>
        <v>2</v>
      </c>
      <c r="I2055" s="9">
        <f>($K$2+0.02)*Tabla1[[#This Row],[PRECIO $]]*1.18</f>
        <v>0</v>
      </c>
      <c r="J2055" s="7">
        <f>+Tabla1[[#This Row],[PRECIO EN SOLES]]-Tabla1[[#This Row],[PC]]</f>
        <v>2</v>
      </c>
      <c r="K2055" s="15"/>
      <c r="L2055" s="15" t="str">
        <f t="shared" si="65"/>
        <v>NORMAL</v>
      </c>
    </row>
    <row r="2056" spans="1:12" x14ac:dyDescent="0.25">
      <c r="A2056" s="3"/>
      <c r="B2056" s="3"/>
      <c r="C2056" s="1"/>
      <c r="D2056" s="1"/>
      <c r="E2056" s="1"/>
      <c r="F2056" s="1"/>
      <c r="G2056" s="3"/>
      <c r="H2056" s="11">
        <f t="shared" si="64"/>
        <v>2</v>
      </c>
      <c r="I2056" s="9">
        <f>($K$2+0.02)*Tabla1[[#This Row],[PRECIO $]]*1.18</f>
        <v>0</v>
      </c>
      <c r="J2056" s="7">
        <f>+Tabla1[[#This Row],[PRECIO EN SOLES]]-Tabla1[[#This Row],[PC]]</f>
        <v>2</v>
      </c>
      <c r="K2056" s="15"/>
      <c r="L2056" s="15" t="str">
        <f t="shared" si="65"/>
        <v>NORMAL</v>
      </c>
    </row>
    <row r="2057" spans="1:12" x14ac:dyDescent="0.25">
      <c r="A2057" s="3"/>
      <c r="B2057" s="3"/>
      <c r="C2057" s="1"/>
      <c r="D2057" s="1"/>
      <c r="E2057" s="1"/>
      <c r="F2057" s="1"/>
      <c r="G2057" s="3"/>
      <c r="H2057" s="11">
        <f t="shared" si="64"/>
        <v>2</v>
      </c>
      <c r="I2057" s="9">
        <f>($K$2+0.02)*Tabla1[[#This Row],[PRECIO $]]*1.18</f>
        <v>0</v>
      </c>
      <c r="J2057" s="7">
        <f>+Tabla1[[#This Row],[PRECIO EN SOLES]]-Tabla1[[#This Row],[PC]]</f>
        <v>2</v>
      </c>
      <c r="K2057" s="15"/>
      <c r="L2057" s="15" t="str">
        <f t="shared" si="65"/>
        <v>NORMAL</v>
      </c>
    </row>
    <row r="2058" spans="1:12" x14ac:dyDescent="0.25">
      <c r="A2058" s="3"/>
      <c r="B2058" s="3"/>
      <c r="C2058" s="1"/>
      <c r="D2058" s="1"/>
      <c r="E2058" s="1"/>
      <c r="F2058" s="1"/>
      <c r="G2058" s="3"/>
      <c r="H2058" s="11">
        <f t="shared" si="64"/>
        <v>2</v>
      </c>
      <c r="I2058" s="9">
        <f>($K$2+0.02)*Tabla1[[#This Row],[PRECIO $]]*1.18</f>
        <v>0</v>
      </c>
      <c r="J2058" s="7">
        <f>+Tabla1[[#This Row],[PRECIO EN SOLES]]-Tabla1[[#This Row],[PC]]</f>
        <v>2</v>
      </c>
      <c r="K2058" s="15"/>
      <c r="L2058" s="15" t="str">
        <f t="shared" si="65"/>
        <v>NORMAL</v>
      </c>
    </row>
    <row r="2059" spans="1:12" x14ac:dyDescent="0.25">
      <c r="A2059" s="3"/>
      <c r="B2059" s="3"/>
      <c r="C2059" s="1"/>
      <c r="D2059" s="1"/>
      <c r="E2059" s="1"/>
      <c r="F2059" s="1"/>
      <c r="G2059" s="3"/>
      <c r="H2059" s="11">
        <f t="shared" si="64"/>
        <v>2</v>
      </c>
      <c r="I2059" s="9">
        <f>($K$2+0.02)*Tabla1[[#This Row],[PRECIO $]]*1.18</f>
        <v>0</v>
      </c>
      <c r="J2059" s="7">
        <f>+Tabla1[[#This Row],[PRECIO EN SOLES]]-Tabla1[[#This Row],[PC]]</f>
        <v>2</v>
      </c>
      <c r="K2059" s="15"/>
      <c r="L2059" s="15" t="str">
        <f t="shared" si="65"/>
        <v>NORMAL</v>
      </c>
    </row>
    <row r="2060" spans="1:12" x14ac:dyDescent="0.25">
      <c r="A2060" s="3"/>
      <c r="B2060" s="3"/>
      <c r="C2060" s="1"/>
      <c r="D2060" s="1"/>
      <c r="E2060" s="1"/>
      <c r="F2060" s="1"/>
      <c r="G2060" s="3"/>
      <c r="H2060" s="11">
        <f t="shared" si="64"/>
        <v>2</v>
      </c>
      <c r="I2060" s="9">
        <f>($K$2+0.02)*Tabla1[[#This Row],[PRECIO $]]*1.18</f>
        <v>0</v>
      </c>
      <c r="J2060" s="7">
        <f>+Tabla1[[#This Row],[PRECIO EN SOLES]]-Tabla1[[#This Row],[PC]]</f>
        <v>2</v>
      </c>
      <c r="K2060" s="15"/>
      <c r="L2060" s="15" t="str">
        <f t="shared" si="65"/>
        <v>NORMAL</v>
      </c>
    </row>
    <row r="2061" spans="1:12" x14ac:dyDescent="0.25">
      <c r="A2061" s="3"/>
      <c r="B2061" s="3"/>
      <c r="C2061" s="1"/>
      <c r="D2061" s="1"/>
      <c r="E2061" s="1"/>
      <c r="F2061" s="1"/>
      <c r="G2061" s="3"/>
      <c r="H2061" s="11">
        <f t="shared" si="64"/>
        <v>2</v>
      </c>
      <c r="I2061" s="9">
        <f>($K$2+0.02)*Tabla1[[#This Row],[PRECIO $]]*1.18</f>
        <v>0</v>
      </c>
      <c r="J2061" s="7">
        <f>+Tabla1[[#This Row],[PRECIO EN SOLES]]-Tabla1[[#This Row],[PC]]</f>
        <v>2</v>
      </c>
      <c r="K2061" s="15"/>
      <c r="L2061" s="15" t="str">
        <f t="shared" si="65"/>
        <v>NORMAL</v>
      </c>
    </row>
    <row r="2062" spans="1:12" x14ac:dyDescent="0.25">
      <c r="A2062" s="3"/>
      <c r="B2062" s="3"/>
      <c r="C2062" s="1"/>
      <c r="D2062" s="1"/>
      <c r="E2062" s="1"/>
      <c r="F2062" s="1"/>
      <c r="G2062" s="3"/>
      <c r="H2062" s="11">
        <f t="shared" si="64"/>
        <v>2</v>
      </c>
      <c r="I2062" s="9">
        <f>($K$2+0.02)*Tabla1[[#This Row],[PRECIO $]]*1.18</f>
        <v>0</v>
      </c>
      <c r="J2062" s="7">
        <f>+Tabla1[[#This Row],[PRECIO EN SOLES]]-Tabla1[[#This Row],[PC]]</f>
        <v>2</v>
      </c>
      <c r="K2062" s="15"/>
      <c r="L2062" s="15" t="str">
        <f t="shared" si="65"/>
        <v>NORMAL</v>
      </c>
    </row>
    <row r="2063" spans="1:12" x14ac:dyDescent="0.25">
      <c r="A2063" s="3"/>
      <c r="B2063" s="3"/>
      <c r="C2063" s="1"/>
      <c r="D2063" s="1"/>
      <c r="E2063" s="1"/>
      <c r="F2063" s="1"/>
      <c r="G2063" s="3"/>
      <c r="H2063" s="11">
        <f t="shared" si="64"/>
        <v>2</v>
      </c>
      <c r="I2063" s="9">
        <f>($K$2+0.02)*Tabla1[[#This Row],[PRECIO $]]*1.18</f>
        <v>0</v>
      </c>
      <c r="J2063" s="7">
        <f>+Tabla1[[#This Row],[PRECIO EN SOLES]]-Tabla1[[#This Row],[PC]]</f>
        <v>2</v>
      </c>
      <c r="K2063" s="15"/>
      <c r="L2063" s="15" t="str">
        <f t="shared" si="65"/>
        <v>NORMAL</v>
      </c>
    </row>
    <row r="2064" spans="1:12" x14ac:dyDescent="0.25">
      <c r="A2064" s="3"/>
      <c r="B2064" s="3"/>
      <c r="C2064" s="1"/>
      <c r="D2064" s="1"/>
      <c r="E2064" s="1"/>
      <c r="F2064" s="1"/>
      <c r="G2064" s="3"/>
      <c r="H2064" s="11">
        <f t="shared" si="64"/>
        <v>2</v>
      </c>
      <c r="I2064" s="9">
        <f>($K$2+0.02)*Tabla1[[#This Row],[PRECIO $]]*1.18</f>
        <v>0</v>
      </c>
      <c r="J2064" s="7">
        <f>+Tabla1[[#This Row],[PRECIO EN SOLES]]-Tabla1[[#This Row],[PC]]</f>
        <v>2</v>
      </c>
      <c r="K2064" s="15"/>
      <c r="L2064" s="15" t="str">
        <f t="shared" si="65"/>
        <v>NORMAL</v>
      </c>
    </row>
    <row r="2065" spans="1:12" x14ac:dyDescent="0.25">
      <c r="A2065" s="3"/>
      <c r="B2065" s="3"/>
      <c r="C2065" s="1"/>
      <c r="D2065" s="1"/>
      <c r="E2065" s="1"/>
      <c r="F2065" s="1"/>
      <c r="G2065" s="3"/>
      <c r="H2065" s="11">
        <f t="shared" si="64"/>
        <v>2</v>
      </c>
      <c r="I2065" s="9">
        <f>($K$2+0.02)*Tabla1[[#This Row],[PRECIO $]]*1.18</f>
        <v>0</v>
      </c>
      <c r="J2065" s="7">
        <f>+Tabla1[[#This Row],[PRECIO EN SOLES]]-Tabla1[[#This Row],[PC]]</f>
        <v>2</v>
      </c>
      <c r="K2065" s="15"/>
      <c r="L2065" s="15" t="str">
        <f t="shared" si="65"/>
        <v>NORMAL</v>
      </c>
    </row>
    <row r="2066" spans="1:12" x14ac:dyDescent="0.25">
      <c r="A2066" s="3"/>
      <c r="B2066" s="3"/>
      <c r="C2066" s="1"/>
      <c r="D2066" s="1"/>
      <c r="E2066" s="1"/>
      <c r="F2066" s="1"/>
      <c r="G2066" s="3"/>
      <c r="H2066" s="11">
        <f t="shared" si="64"/>
        <v>2</v>
      </c>
      <c r="I2066" s="9">
        <f>($K$2+0.02)*Tabla1[[#This Row],[PRECIO $]]*1.18</f>
        <v>0</v>
      </c>
      <c r="J2066" s="7">
        <f>+Tabla1[[#This Row],[PRECIO EN SOLES]]-Tabla1[[#This Row],[PC]]</f>
        <v>2</v>
      </c>
      <c r="K2066" s="15"/>
      <c r="L2066" s="15" t="str">
        <f t="shared" si="65"/>
        <v>NORMAL</v>
      </c>
    </row>
    <row r="2067" spans="1:12" x14ac:dyDescent="0.25">
      <c r="A2067" s="3"/>
      <c r="B2067" s="3"/>
      <c r="C2067" s="1"/>
      <c r="D2067" s="1"/>
      <c r="E2067" s="1"/>
      <c r="F2067" s="1"/>
      <c r="G2067" s="3"/>
      <c r="H2067" s="11">
        <f t="shared" si="64"/>
        <v>2</v>
      </c>
      <c r="I2067" s="9">
        <f>($K$2+0.02)*Tabla1[[#This Row],[PRECIO $]]*1.18</f>
        <v>0</v>
      </c>
      <c r="J2067" s="7">
        <f>+Tabla1[[#This Row],[PRECIO EN SOLES]]-Tabla1[[#This Row],[PC]]</f>
        <v>2</v>
      </c>
      <c r="K2067" s="15"/>
      <c r="L2067" s="15" t="str">
        <f t="shared" si="65"/>
        <v>NORMAL</v>
      </c>
    </row>
    <row r="2068" spans="1:12" x14ac:dyDescent="0.25">
      <c r="A2068" s="3"/>
      <c r="B2068" s="3"/>
      <c r="C2068" s="1"/>
      <c r="D2068" s="1"/>
      <c r="E2068" s="1"/>
      <c r="F2068" s="1"/>
      <c r="G2068" s="3"/>
      <c r="H2068" s="11">
        <f t="shared" si="64"/>
        <v>2</v>
      </c>
      <c r="I2068" s="9">
        <f>($K$2+0.02)*Tabla1[[#This Row],[PRECIO $]]*1.18</f>
        <v>0</v>
      </c>
      <c r="J2068" s="7">
        <f>+Tabla1[[#This Row],[PRECIO EN SOLES]]-Tabla1[[#This Row],[PC]]</f>
        <v>2</v>
      </c>
      <c r="K2068" s="15"/>
      <c r="L2068" s="15" t="str">
        <f t="shared" si="65"/>
        <v>NORMAL</v>
      </c>
    </row>
    <row r="2069" spans="1:12" x14ac:dyDescent="0.25">
      <c r="A2069" s="3"/>
      <c r="B2069" s="3"/>
      <c r="C2069" s="1"/>
      <c r="D2069" s="1"/>
      <c r="E2069" s="1"/>
      <c r="F2069" s="1"/>
      <c r="G2069" s="3"/>
      <c r="H2069" s="11">
        <f t="shared" si="64"/>
        <v>2</v>
      </c>
      <c r="I2069" s="9">
        <f>($K$2+0.02)*Tabla1[[#This Row],[PRECIO $]]*1.18</f>
        <v>0</v>
      </c>
      <c r="J2069" s="7">
        <f>+Tabla1[[#This Row],[PRECIO EN SOLES]]-Tabla1[[#This Row],[PC]]</f>
        <v>2</v>
      </c>
      <c r="K2069" s="15"/>
      <c r="L2069" s="15" t="str">
        <f t="shared" si="65"/>
        <v>NORMAL</v>
      </c>
    </row>
    <row r="2070" spans="1:12" x14ac:dyDescent="0.25">
      <c r="A2070" s="3"/>
      <c r="B2070" s="3"/>
      <c r="C2070" s="1"/>
      <c r="D2070" s="1"/>
      <c r="E2070" s="1"/>
      <c r="F2070" s="1"/>
      <c r="G2070" s="3"/>
      <c r="H2070" s="11">
        <f t="shared" si="64"/>
        <v>2</v>
      </c>
      <c r="I2070" s="9">
        <f>($K$2+0.02)*Tabla1[[#This Row],[PRECIO $]]*1.18</f>
        <v>0</v>
      </c>
      <c r="J2070" s="7">
        <f>+Tabla1[[#This Row],[PRECIO EN SOLES]]-Tabla1[[#This Row],[PC]]</f>
        <v>2</v>
      </c>
      <c r="K2070" s="15"/>
      <c r="L2070" s="15" t="str">
        <f t="shared" si="65"/>
        <v>NORMAL</v>
      </c>
    </row>
    <row r="2071" spans="1:12" x14ac:dyDescent="0.25">
      <c r="A2071" s="3"/>
      <c r="B2071" s="3"/>
      <c r="C2071" s="1"/>
      <c r="D2071" s="1"/>
      <c r="E2071" s="1"/>
      <c r="F2071" s="1"/>
      <c r="G2071" s="3"/>
      <c r="H2071" s="11">
        <f t="shared" si="64"/>
        <v>2</v>
      </c>
      <c r="I2071" s="9">
        <f>($K$2+0.02)*Tabla1[[#This Row],[PRECIO $]]*1.18</f>
        <v>0</v>
      </c>
      <c r="J2071" s="7">
        <f>+Tabla1[[#This Row],[PRECIO EN SOLES]]-Tabla1[[#This Row],[PC]]</f>
        <v>2</v>
      </c>
      <c r="K2071" s="15"/>
      <c r="L2071" s="15" t="str">
        <f t="shared" si="65"/>
        <v>NORMAL</v>
      </c>
    </row>
    <row r="2072" spans="1:12" x14ac:dyDescent="0.25">
      <c r="A2072" s="3"/>
      <c r="B2072" s="3"/>
      <c r="C2072" s="1"/>
      <c r="D2072" s="1"/>
      <c r="E2072" s="1"/>
      <c r="F2072" s="1"/>
      <c r="G2072" s="3"/>
      <c r="H2072" s="11">
        <f t="shared" si="64"/>
        <v>2</v>
      </c>
      <c r="I2072" s="9">
        <f>($K$2+0.02)*Tabla1[[#This Row],[PRECIO $]]*1.18</f>
        <v>0</v>
      </c>
      <c r="J2072" s="7">
        <f>+Tabla1[[#This Row],[PRECIO EN SOLES]]-Tabla1[[#This Row],[PC]]</f>
        <v>2</v>
      </c>
      <c r="K2072" s="15"/>
      <c r="L2072" s="15" t="str">
        <f t="shared" si="65"/>
        <v>NORMAL</v>
      </c>
    </row>
    <row r="2073" spans="1:12" x14ac:dyDescent="0.25">
      <c r="A2073" s="3"/>
      <c r="B2073" s="3"/>
      <c r="C2073" s="1"/>
      <c r="D2073" s="1"/>
      <c r="E2073" s="1"/>
      <c r="F2073" s="1"/>
      <c r="G2073" s="3"/>
      <c r="H2073" s="11">
        <f t="shared" si="64"/>
        <v>2</v>
      </c>
      <c r="I2073" s="9">
        <f>($K$2+0.02)*Tabla1[[#This Row],[PRECIO $]]*1.18</f>
        <v>0</v>
      </c>
      <c r="J2073" s="7">
        <f>+Tabla1[[#This Row],[PRECIO EN SOLES]]-Tabla1[[#This Row],[PC]]</f>
        <v>2</v>
      </c>
      <c r="K2073" s="15"/>
      <c r="L2073" s="15" t="str">
        <f t="shared" si="65"/>
        <v>NORMAL</v>
      </c>
    </row>
    <row r="2074" spans="1:12" x14ac:dyDescent="0.25">
      <c r="A2074" s="3"/>
      <c r="B2074" s="3"/>
      <c r="C2074" s="1"/>
      <c r="D2074" s="1"/>
      <c r="E2074" s="1"/>
      <c r="F2074" s="1"/>
      <c r="G2074" s="3"/>
      <c r="H2074" s="11">
        <f t="shared" si="64"/>
        <v>2</v>
      </c>
      <c r="I2074" s="9">
        <f>($K$2+0.02)*Tabla1[[#This Row],[PRECIO $]]*1.18</f>
        <v>0</v>
      </c>
      <c r="J2074" s="7">
        <f>+Tabla1[[#This Row],[PRECIO EN SOLES]]-Tabla1[[#This Row],[PC]]</f>
        <v>2</v>
      </c>
      <c r="K2074" s="15"/>
      <c r="L2074" s="15" t="str">
        <f t="shared" si="65"/>
        <v>NORMAL</v>
      </c>
    </row>
    <row r="2075" spans="1:12" x14ac:dyDescent="0.25">
      <c r="A2075" s="3"/>
      <c r="B2075" s="3"/>
      <c r="C2075" s="1"/>
      <c r="D2075" s="1"/>
      <c r="E2075" s="1"/>
      <c r="F2075" s="1"/>
      <c r="G2075" s="3"/>
      <c r="H2075" s="11">
        <f t="shared" si="64"/>
        <v>2</v>
      </c>
      <c r="I2075" s="9">
        <f>($K$2+0.02)*Tabla1[[#This Row],[PRECIO $]]*1.18</f>
        <v>0</v>
      </c>
      <c r="J2075" s="7">
        <f>+Tabla1[[#This Row],[PRECIO EN SOLES]]-Tabla1[[#This Row],[PC]]</f>
        <v>2</v>
      </c>
      <c r="K2075" s="15"/>
      <c r="L2075" s="15" t="str">
        <f t="shared" si="65"/>
        <v>NORMAL</v>
      </c>
    </row>
    <row r="2076" spans="1:12" x14ac:dyDescent="0.25">
      <c r="A2076" s="3"/>
      <c r="B2076" s="3"/>
      <c r="C2076" s="1"/>
      <c r="D2076" s="1"/>
      <c r="E2076" s="1"/>
      <c r="F2076" s="1"/>
      <c r="G2076" s="3"/>
      <c r="H2076" s="11">
        <f t="shared" si="64"/>
        <v>2</v>
      </c>
      <c r="I2076" s="9">
        <f>($K$2+0.02)*Tabla1[[#This Row],[PRECIO $]]*1.18</f>
        <v>0</v>
      </c>
      <c r="J2076" s="7">
        <f>+Tabla1[[#This Row],[PRECIO EN SOLES]]-Tabla1[[#This Row],[PC]]</f>
        <v>2</v>
      </c>
      <c r="K2076" s="15"/>
      <c r="L2076" s="15" t="str">
        <f t="shared" si="65"/>
        <v>NORMAL</v>
      </c>
    </row>
    <row r="2077" spans="1:12" x14ac:dyDescent="0.25">
      <c r="A2077" s="3"/>
      <c r="B2077" s="3"/>
      <c r="C2077" s="1"/>
      <c r="D2077" s="1"/>
      <c r="E2077" s="1"/>
      <c r="F2077" s="1"/>
      <c r="G2077" s="3"/>
      <c r="H2077" s="11">
        <f t="shared" si="64"/>
        <v>2</v>
      </c>
      <c r="I2077" s="9">
        <f>($K$2+0.02)*Tabla1[[#This Row],[PRECIO $]]*1.18</f>
        <v>0</v>
      </c>
      <c r="J2077" s="7">
        <f>+Tabla1[[#This Row],[PRECIO EN SOLES]]-Tabla1[[#This Row],[PC]]</f>
        <v>2</v>
      </c>
      <c r="K2077" s="15"/>
      <c r="L2077" s="15" t="str">
        <f t="shared" si="65"/>
        <v>NORMAL</v>
      </c>
    </row>
    <row r="2078" spans="1:12" x14ac:dyDescent="0.25">
      <c r="A2078" s="3"/>
      <c r="B2078" s="3"/>
      <c r="C2078" s="1"/>
      <c r="D2078" s="1"/>
      <c r="E2078" s="1"/>
      <c r="F2078" s="1"/>
      <c r="G2078" s="3"/>
      <c r="H2078" s="11">
        <f t="shared" si="64"/>
        <v>2</v>
      </c>
      <c r="I2078" s="9">
        <f>($K$2+0.02)*Tabla1[[#This Row],[PRECIO $]]*1.18</f>
        <v>0</v>
      </c>
      <c r="J2078" s="7">
        <f>+Tabla1[[#This Row],[PRECIO EN SOLES]]-Tabla1[[#This Row],[PC]]</f>
        <v>2</v>
      </c>
      <c r="K2078" s="15"/>
      <c r="L2078" s="15" t="str">
        <f t="shared" si="65"/>
        <v>NORMAL</v>
      </c>
    </row>
    <row r="2079" spans="1:12" x14ac:dyDescent="0.25">
      <c r="A2079" s="3"/>
      <c r="B2079" s="3"/>
      <c r="C2079" s="1"/>
      <c r="D2079" s="1"/>
      <c r="E2079" s="1"/>
      <c r="F2079" s="1"/>
      <c r="G2079" s="3"/>
      <c r="H2079" s="11">
        <f t="shared" si="64"/>
        <v>2</v>
      </c>
      <c r="I2079" s="9">
        <f>($K$2+0.02)*Tabla1[[#This Row],[PRECIO $]]*1.18</f>
        <v>0</v>
      </c>
      <c r="J2079" s="7">
        <f>+Tabla1[[#This Row],[PRECIO EN SOLES]]-Tabla1[[#This Row],[PC]]</f>
        <v>2</v>
      </c>
      <c r="K2079" s="15"/>
      <c r="L2079" s="15" t="str">
        <f t="shared" si="65"/>
        <v>NORMAL</v>
      </c>
    </row>
    <row r="2080" spans="1:12" x14ac:dyDescent="0.25">
      <c r="A2080" s="3"/>
      <c r="B2080" s="3"/>
      <c r="C2080" s="1"/>
      <c r="D2080" s="1"/>
      <c r="E2080" s="1"/>
      <c r="F2080" s="1"/>
      <c r="G2080" s="3"/>
      <c r="H2080" s="11">
        <f t="shared" si="64"/>
        <v>2</v>
      </c>
      <c r="I2080" s="9">
        <f>($K$2+0.02)*Tabla1[[#This Row],[PRECIO $]]*1.18</f>
        <v>0</v>
      </c>
      <c r="J2080" s="7">
        <f>+Tabla1[[#This Row],[PRECIO EN SOLES]]-Tabla1[[#This Row],[PC]]</f>
        <v>2</v>
      </c>
      <c r="K2080" s="15"/>
      <c r="L2080" s="15" t="str">
        <f t="shared" si="65"/>
        <v>NORMAL</v>
      </c>
    </row>
    <row r="2081" spans="1:12" x14ac:dyDescent="0.25">
      <c r="A2081" s="3"/>
      <c r="B2081" s="3"/>
      <c r="C2081" s="1"/>
      <c r="D2081" s="1"/>
      <c r="E2081" s="1"/>
      <c r="F2081" s="1"/>
      <c r="G2081" s="3"/>
      <c r="H2081" s="11">
        <f t="shared" si="64"/>
        <v>2</v>
      </c>
      <c r="I2081" s="9">
        <f>($K$2+0.02)*Tabla1[[#This Row],[PRECIO $]]*1.18</f>
        <v>0</v>
      </c>
      <c r="J2081" s="7">
        <f>+Tabla1[[#This Row],[PRECIO EN SOLES]]-Tabla1[[#This Row],[PC]]</f>
        <v>2</v>
      </c>
      <c r="K2081" s="15"/>
      <c r="L2081" s="15" t="str">
        <f t="shared" si="65"/>
        <v>NORMAL</v>
      </c>
    </row>
    <row r="2082" spans="1:12" x14ac:dyDescent="0.25">
      <c r="A2082" s="3"/>
      <c r="B2082" s="3"/>
      <c r="C2082" s="1"/>
      <c r="D2082" s="1"/>
      <c r="E2082" s="1"/>
      <c r="F2082" s="1"/>
      <c r="G2082" s="3"/>
      <c r="H2082" s="11">
        <f t="shared" si="64"/>
        <v>2</v>
      </c>
      <c r="I2082" s="9">
        <f>($K$2+0.02)*Tabla1[[#This Row],[PRECIO $]]*1.18</f>
        <v>0</v>
      </c>
      <c r="J2082" s="7">
        <f>+Tabla1[[#This Row],[PRECIO EN SOLES]]-Tabla1[[#This Row],[PC]]</f>
        <v>2</v>
      </c>
      <c r="K2082" s="15"/>
      <c r="L2082" s="15" t="str">
        <f t="shared" si="65"/>
        <v>NORMAL</v>
      </c>
    </row>
    <row r="2083" spans="1:12" x14ac:dyDescent="0.25">
      <c r="A2083" s="3"/>
      <c r="B2083" s="3"/>
      <c r="C2083" s="1"/>
      <c r="D2083" s="1"/>
      <c r="E2083" s="1"/>
      <c r="F2083" s="1"/>
      <c r="G2083" s="3"/>
      <c r="H2083" s="11">
        <f t="shared" si="64"/>
        <v>2</v>
      </c>
      <c r="I2083" s="9">
        <f>($K$2+0.02)*Tabla1[[#This Row],[PRECIO $]]*1.18</f>
        <v>0</v>
      </c>
      <c r="J2083" s="7">
        <f>+Tabla1[[#This Row],[PRECIO EN SOLES]]-Tabla1[[#This Row],[PC]]</f>
        <v>2</v>
      </c>
      <c r="K2083" s="15"/>
      <c r="L2083" s="15" t="str">
        <f t="shared" si="65"/>
        <v>NORMAL</v>
      </c>
    </row>
    <row r="2084" spans="1:12" x14ac:dyDescent="0.25">
      <c r="A2084" s="3"/>
      <c r="B2084" s="3"/>
      <c r="C2084" s="1"/>
      <c r="D2084" s="1"/>
      <c r="E2084" s="1"/>
      <c r="F2084" s="1"/>
      <c r="G2084" s="3"/>
      <c r="H2084" s="11">
        <f t="shared" si="64"/>
        <v>2</v>
      </c>
      <c r="I2084" s="9">
        <f>($K$2+0.02)*Tabla1[[#This Row],[PRECIO $]]*1.18</f>
        <v>0</v>
      </c>
      <c r="J2084" s="7">
        <f>+Tabla1[[#This Row],[PRECIO EN SOLES]]-Tabla1[[#This Row],[PC]]</f>
        <v>2</v>
      </c>
      <c r="K2084" s="15"/>
      <c r="L2084" s="15" t="str">
        <f t="shared" si="65"/>
        <v>NORMAL</v>
      </c>
    </row>
    <row r="2085" spans="1:12" x14ac:dyDescent="0.25">
      <c r="A2085" s="3"/>
      <c r="B2085" s="3"/>
      <c r="C2085" s="1"/>
      <c r="D2085" s="1"/>
      <c r="E2085" s="1"/>
      <c r="F2085" s="1"/>
      <c r="G2085" s="3"/>
      <c r="H2085" s="11">
        <f t="shared" si="64"/>
        <v>2</v>
      </c>
      <c r="I2085" s="9">
        <f>($K$2+0.02)*Tabla1[[#This Row],[PRECIO $]]*1.18</f>
        <v>0</v>
      </c>
      <c r="J2085" s="7">
        <f>+Tabla1[[#This Row],[PRECIO EN SOLES]]-Tabla1[[#This Row],[PC]]</f>
        <v>2</v>
      </c>
      <c r="K2085" s="15"/>
      <c r="L2085" s="15" t="str">
        <f t="shared" si="65"/>
        <v>NORMAL</v>
      </c>
    </row>
    <row r="2086" spans="1:12" x14ac:dyDescent="0.25">
      <c r="A2086" s="3"/>
      <c r="B2086" s="3"/>
      <c r="C2086" s="1"/>
      <c r="D2086" s="1"/>
      <c r="E2086" s="1"/>
      <c r="F2086" s="1"/>
      <c r="G2086" s="3"/>
      <c r="H2086" s="11">
        <f t="shared" si="64"/>
        <v>2</v>
      </c>
      <c r="I2086" s="9">
        <f>($K$2+0.02)*Tabla1[[#This Row],[PRECIO $]]*1.18</f>
        <v>0</v>
      </c>
      <c r="J2086" s="7">
        <f>+Tabla1[[#This Row],[PRECIO EN SOLES]]-Tabla1[[#This Row],[PC]]</f>
        <v>2</v>
      </c>
      <c r="K2086" s="15"/>
      <c r="L2086" s="15" t="str">
        <f t="shared" si="65"/>
        <v>NORMAL</v>
      </c>
    </row>
    <row r="2087" spans="1:12" x14ac:dyDescent="0.25">
      <c r="A2087" s="3"/>
      <c r="B2087" s="3"/>
      <c r="C2087" s="1"/>
      <c r="D2087" s="1"/>
      <c r="E2087" s="1"/>
      <c r="F2087" s="1"/>
      <c r="G2087" s="3"/>
      <c r="H2087" s="11">
        <f t="shared" si="64"/>
        <v>2</v>
      </c>
      <c r="I2087" s="9">
        <f>($K$2+0.02)*Tabla1[[#This Row],[PRECIO $]]*1.18</f>
        <v>0</v>
      </c>
      <c r="J2087" s="7">
        <f>+Tabla1[[#This Row],[PRECIO EN SOLES]]-Tabla1[[#This Row],[PC]]</f>
        <v>2</v>
      </c>
      <c r="K2087" s="15"/>
      <c r="L2087" s="15" t="str">
        <f t="shared" si="65"/>
        <v>NORMAL</v>
      </c>
    </row>
    <row r="2088" spans="1:12" x14ac:dyDescent="0.25">
      <c r="A2088" s="3"/>
      <c r="B2088" s="3"/>
      <c r="C2088" s="1"/>
      <c r="D2088" s="1"/>
      <c r="E2088" s="1"/>
      <c r="F2088" s="1"/>
      <c r="G2088" s="3"/>
      <c r="H2088" s="11">
        <f t="shared" si="64"/>
        <v>2</v>
      </c>
      <c r="I2088" s="9">
        <f>($K$2+0.02)*Tabla1[[#This Row],[PRECIO $]]*1.18</f>
        <v>0</v>
      </c>
      <c r="J2088" s="7">
        <f>+Tabla1[[#This Row],[PRECIO EN SOLES]]-Tabla1[[#This Row],[PC]]</f>
        <v>2</v>
      </c>
      <c r="K2088" s="15"/>
      <c r="L2088" s="15" t="str">
        <f t="shared" si="65"/>
        <v>NORMAL</v>
      </c>
    </row>
    <row r="2089" spans="1:12" x14ac:dyDescent="0.25">
      <c r="A2089" s="3"/>
      <c r="B2089" s="3"/>
      <c r="C2089" s="1"/>
      <c r="D2089" s="1"/>
      <c r="E2089" s="1"/>
      <c r="F2089" s="1"/>
      <c r="G2089" s="3"/>
      <c r="H2089" s="11">
        <f t="shared" si="64"/>
        <v>2</v>
      </c>
      <c r="I2089" s="9">
        <f>($K$2+0.02)*Tabla1[[#This Row],[PRECIO $]]*1.18</f>
        <v>0</v>
      </c>
      <c r="J2089" s="7">
        <f>+Tabla1[[#This Row],[PRECIO EN SOLES]]-Tabla1[[#This Row],[PC]]</f>
        <v>2</v>
      </c>
      <c r="K2089" s="15"/>
      <c r="L2089" s="15" t="str">
        <f t="shared" si="65"/>
        <v>NORMAL</v>
      </c>
    </row>
    <row r="2090" spans="1:12" x14ac:dyDescent="0.25">
      <c r="A2090" s="3"/>
      <c r="B2090" s="3"/>
      <c r="C2090" s="1"/>
      <c r="D2090" s="1"/>
      <c r="E2090" s="1"/>
      <c r="F2090" s="1"/>
      <c r="G2090" s="3"/>
      <c r="H2090" s="11">
        <f t="shared" si="64"/>
        <v>2</v>
      </c>
      <c r="I2090" s="9">
        <f>($K$2+0.02)*Tabla1[[#This Row],[PRECIO $]]*1.18</f>
        <v>0</v>
      </c>
      <c r="J2090" s="7">
        <f>+Tabla1[[#This Row],[PRECIO EN SOLES]]-Tabla1[[#This Row],[PC]]</f>
        <v>2</v>
      </c>
      <c r="K2090" s="15"/>
      <c r="L2090" s="15" t="str">
        <f t="shared" si="65"/>
        <v>NORMAL</v>
      </c>
    </row>
    <row r="2091" spans="1:12" x14ac:dyDescent="0.25">
      <c r="A2091" s="3"/>
      <c r="B2091" s="3"/>
      <c r="C2091" s="1"/>
      <c r="D2091" s="1"/>
      <c r="E2091" s="1"/>
      <c r="F2091" s="1"/>
      <c r="G2091" s="3"/>
      <c r="H2091" s="11">
        <f t="shared" si="64"/>
        <v>2</v>
      </c>
      <c r="I2091" s="9">
        <f>($K$2+0.02)*Tabla1[[#This Row],[PRECIO $]]*1.18</f>
        <v>0</v>
      </c>
      <c r="J2091" s="7">
        <f>+Tabla1[[#This Row],[PRECIO EN SOLES]]-Tabla1[[#This Row],[PC]]</f>
        <v>2</v>
      </c>
      <c r="K2091" s="15"/>
      <c r="L2091" s="15" t="str">
        <f t="shared" si="65"/>
        <v>NORMAL</v>
      </c>
    </row>
    <row r="2092" spans="1:12" x14ac:dyDescent="0.25">
      <c r="A2092" s="3"/>
      <c r="B2092" s="3"/>
      <c r="C2092" s="1"/>
      <c r="D2092" s="1"/>
      <c r="E2092" s="1"/>
      <c r="F2092" s="1"/>
      <c r="G2092" s="3"/>
      <c r="H2092" s="11">
        <f t="shared" si="64"/>
        <v>2</v>
      </c>
      <c r="I2092" s="9">
        <f>($K$2+0.02)*Tabla1[[#This Row],[PRECIO $]]*1.18</f>
        <v>0</v>
      </c>
      <c r="J2092" s="7">
        <f>+Tabla1[[#This Row],[PRECIO EN SOLES]]-Tabla1[[#This Row],[PC]]</f>
        <v>2</v>
      </c>
      <c r="K2092" s="15"/>
      <c r="L2092" s="15" t="str">
        <f t="shared" si="65"/>
        <v>NORMAL</v>
      </c>
    </row>
    <row r="2093" spans="1:12" x14ac:dyDescent="0.25">
      <c r="A2093" s="3"/>
      <c r="B2093" s="3"/>
      <c r="C2093" s="1"/>
      <c r="D2093" s="1"/>
      <c r="E2093" s="1"/>
      <c r="F2093" s="1"/>
      <c r="G2093" s="3"/>
      <c r="H2093" s="11">
        <f t="shared" si="64"/>
        <v>2</v>
      </c>
      <c r="I2093" s="9">
        <f>($K$2+0.02)*Tabla1[[#This Row],[PRECIO $]]*1.18</f>
        <v>0</v>
      </c>
      <c r="J2093" s="7">
        <f>+Tabla1[[#This Row],[PRECIO EN SOLES]]-Tabla1[[#This Row],[PC]]</f>
        <v>2</v>
      </c>
      <c r="K2093" s="15"/>
      <c r="L2093" s="15" t="str">
        <f t="shared" si="65"/>
        <v>NORMAL</v>
      </c>
    </row>
    <row r="2094" spans="1:12" x14ac:dyDescent="0.25">
      <c r="A2094" s="3"/>
      <c r="B2094" s="3"/>
      <c r="C2094" s="1"/>
      <c r="D2094" s="1"/>
      <c r="E2094" s="1"/>
      <c r="F2094" s="1"/>
      <c r="G2094" s="3"/>
      <c r="H2094" s="11">
        <f t="shared" si="64"/>
        <v>2</v>
      </c>
      <c r="I2094" s="9">
        <f>($K$2+0.02)*Tabla1[[#This Row],[PRECIO $]]*1.18</f>
        <v>0</v>
      </c>
      <c r="J2094" s="7">
        <f>+Tabla1[[#This Row],[PRECIO EN SOLES]]-Tabla1[[#This Row],[PC]]</f>
        <v>2</v>
      </c>
      <c r="K2094" s="15"/>
      <c r="L2094" s="15" t="str">
        <f t="shared" si="65"/>
        <v>NORMAL</v>
      </c>
    </row>
    <row r="2095" spans="1:12" x14ac:dyDescent="0.25">
      <c r="A2095" s="3"/>
      <c r="B2095" s="3"/>
      <c r="C2095" s="1"/>
      <c r="D2095" s="1"/>
      <c r="E2095" s="1"/>
      <c r="F2095" s="1"/>
      <c r="G2095" s="3"/>
      <c r="H2095" s="11">
        <f t="shared" si="64"/>
        <v>2</v>
      </c>
      <c r="I2095" s="9">
        <f>($K$2+0.02)*Tabla1[[#This Row],[PRECIO $]]*1.18</f>
        <v>0</v>
      </c>
      <c r="J2095" s="7">
        <f>+Tabla1[[#This Row],[PRECIO EN SOLES]]-Tabla1[[#This Row],[PC]]</f>
        <v>2</v>
      </c>
      <c r="K2095" s="15"/>
      <c r="L2095" s="15" t="str">
        <f t="shared" si="65"/>
        <v>NORMAL</v>
      </c>
    </row>
    <row r="2096" spans="1:12" x14ac:dyDescent="0.25">
      <c r="A2096" s="3"/>
      <c r="B2096" s="3"/>
      <c r="C2096" s="1"/>
      <c r="D2096" s="1"/>
      <c r="E2096" s="1"/>
      <c r="F2096" s="1"/>
      <c r="G2096" s="3"/>
      <c r="H2096" s="11">
        <f t="shared" si="64"/>
        <v>2</v>
      </c>
      <c r="I2096" s="9">
        <f>($K$2+0.02)*Tabla1[[#This Row],[PRECIO $]]*1.18</f>
        <v>0</v>
      </c>
      <c r="J2096" s="7">
        <f>+Tabla1[[#This Row],[PRECIO EN SOLES]]-Tabla1[[#This Row],[PC]]</f>
        <v>2</v>
      </c>
      <c r="K2096" s="15"/>
      <c r="L2096" s="15" t="str">
        <f t="shared" si="65"/>
        <v>NORMAL</v>
      </c>
    </row>
    <row r="2097" spans="1:12" x14ac:dyDescent="0.25">
      <c r="A2097" s="3"/>
      <c r="B2097" s="3"/>
      <c r="C2097" s="1"/>
      <c r="D2097" s="1"/>
      <c r="E2097" s="1"/>
      <c r="F2097" s="1"/>
      <c r="G2097" s="3"/>
      <c r="H2097" s="11">
        <f t="shared" si="64"/>
        <v>2</v>
      </c>
      <c r="I2097" s="9">
        <f>($K$2+0.02)*Tabla1[[#This Row],[PRECIO $]]*1.18</f>
        <v>0</v>
      </c>
      <c r="J2097" s="7">
        <f>+Tabla1[[#This Row],[PRECIO EN SOLES]]-Tabla1[[#This Row],[PC]]</f>
        <v>2</v>
      </c>
      <c r="K2097" s="15"/>
      <c r="L2097" s="15" t="str">
        <f t="shared" si="65"/>
        <v>NORMAL</v>
      </c>
    </row>
    <row r="2098" spans="1:12" x14ac:dyDescent="0.25">
      <c r="A2098" s="3"/>
      <c r="B2098" s="3"/>
      <c r="C2098" s="1"/>
      <c r="D2098" s="1"/>
      <c r="E2098" s="1"/>
      <c r="F2098" s="1"/>
      <c r="G2098" s="3"/>
      <c r="H2098" s="11">
        <f t="shared" si="64"/>
        <v>2</v>
      </c>
      <c r="I2098" s="9">
        <f>($K$2+0.02)*Tabla1[[#This Row],[PRECIO $]]*1.18</f>
        <v>0</v>
      </c>
      <c r="J2098" s="7">
        <f>+Tabla1[[#This Row],[PRECIO EN SOLES]]-Tabla1[[#This Row],[PC]]</f>
        <v>2</v>
      </c>
      <c r="K2098" s="15"/>
      <c r="L2098" s="15" t="str">
        <f t="shared" si="65"/>
        <v>NORMAL</v>
      </c>
    </row>
    <row r="2099" spans="1:12" x14ac:dyDescent="0.25">
      <c r="A2099" s="3"/>
      <c r="B2099" s="3"/>
      <c r="C2099" s="1"/>
      <c r="D2099" s="1"/>
      <c r="E2099" s="1"/>
      <c r="F2099" s="1"/>
      <c r="G2099" s="3"/>
      <c r="H2099" s="11">
        <f t="shared" si="64"/>
        <v>2</v>
      </c>
      <c r="I2099" s="9">
        <f>($K$2+0.02)*Tabla1[[#This Row],[PRECIO $]]*1.18</f>
        <v>0</v>
      </c>
      <c r="J2099" s="7">
        <f>+Tabla1[[#This Row],[PRECIO EN SOLES]]-Tabla1[[#This Row],[PC]]</f>
        <v>2</v>
      </c>
      <c r="K2099" s="15"/>
      <c r="L2099" s="15" t="str">
        <f t="shared" si="65"/>
        <v>NORMAL</v>
      </c>
    </row>
    <row r="2100" spans="1:12" x14ac:dyDescent="0.25">
      <c r="A2100" s="3"/>
      <c r="B2100" s="3"/>
      <c r="C2100" s="1"/>
      <c r="D2100" s="1"/>
      <c r="E2100" s="1"/>
      <c r="F2100" s="1"/>
      <c r="G2100" s="3"/>
      <c r="H2100" s="11">
        <f t="shared" si="64"/>
        <v>2</v>
      </c>
      <c r="I2100" s="9">
        <f>($K$2+0.02)*Tabla1[[#This Row],[PRECIO $]]*1.18</f>
        <v>0</v>
      </c>
      <c r="J2100" s="7">
        <f>+Tabla1[[#This Row],[PRECIO EN SOLES]]-Tabla1[[#This Row],[PC]]</f>
        <v>2</v>
      </c>
      <c r="K2100" s="15"/>
      <c r="L2100" s="15" t="str">
        <f t="shared" si="65"/>
        <v>NORMAL</v>
      </c>
    </row>
    <row r="2101" spans="1:12" x14ac:dyDescent="0.25">
      <c r="A2101" s="3"/>
      <c r="B2101" s="3"/>
      <c r="C2101" s="1"/>
      <c r="D2101" s="1"/>
      <c r="E2101" s="1"/>
      <c r="F2101" s="1"/>
      <c r="G2101" s="3"/>
      <c r="H2101" s="11">
        <f t="shared" si="64"/>
        <v>2</v>
      </c>
      <c r="I2101" s="9">
        <f>($K$2+0.02)*Tabla1[[#This Row],[PRECIO $]]*1.18</f>
        <v>0</v>
      </c>
      <c r="J2101" s="7">
        <f>+Tabla1[[#This Row],[PRECIO EN SOLES]]-Tabla1[[#This Row],[PC]]</f>
        <v>2</v>
      </c>
      <c r="K2101" s="15"/>
      <c r="L2101" s="15" t="str">
        <f t="shared" si="65"/>
        <v>NORMAL</v>
      </c>
    </row>
    <row r="2102" spans="1:12" x14ac:dyDescent="0.25">
      <c r="A2102" s="3"/>
      <c r="B2102" s="3"/>
      <c r="C2102" s="1"/>
      <c r="D2102" s="1"/>
      <c r="E2102" s="1"/>
      <c r="F2102" s="1"/>
      <c r="G2102" s="3"/>
      <c r="H2102" s="11">
        <f t="shared" si="64"/>
        <v>2</v>
      </c>
      <c r="I2102" s="9">
        <f>($K$2+0.02)*Tabla1[[#This Row],[PRECIO $]]*1.18</f>
        <v>0</v>
      </c>
      <c r="J2102" s="7">
        <f>+Tabla1[[#This Row],[PRECIO EN SOLES]]-Tabla1[[#This Row],[PC]]</f>
        <v>2</v>
      </c>
      <c r="K2102" s="15"/>
      <c r="L2102" s="15" t="str">
        <f t="shared" si="65"/>
        <v>NORMAL</v>
      </c>
    </row>
    <row r="2103" spans="1:12" x14ac:dyDescent="0.25">
      <c r="A2103" s="3"/>
      <c r="B2103" s="3"/>
      <c r="C2103" s="1"/>
      <c r="D2103" s="1"/>
      <c r="E2103" s="1"/>
      <c r="F2103" s="1"/>
      <c r="G2103" s="3"/>
      <c r="H2103" s="11">
        <f t="shared" si="64"/>
        <v>2</v>
      </c>
      <c r="I2103" s="9">
        <f>($K$2+0.02)*Tabla1[[#This Row],[PRECIO $]]*1.18</f>
        <v>0</v>
      </c>
      <c r="J2103" s="7">
        <f>+Tabla1[[#This Row],[PRECIO EN SOLES]]-Tabla1[[#This Row],[PC]]</f>
        <v>2</v>
      </c>
      <c r="K2103" s="15"/>
      <c r="L2103" s="15" t="str">
        <f t="shared" si="65"/>
        <v>NORMAL</v>
      </c>
    </row>
    <row r="2104" spans="1:12" x14ac:dyDescent="0.25">
      <c r="A2104" s="3"/>
      <c r="B2104" s="3"/>
      <c r="C2104" s="1"/>
      <c r="D2104" s="1"/>
      <c r="E2104" s="1"/>
      <c r="F2104" s="1"/>
      <c r="G2104" s="3"/>
      <c r="H2104" s="11">
        <f t="shared" si="64"/>
        <v>2</v>
      </c>
      <c r="I2104" s="9">
        <f>($K$2+0.02)*Tabla1[[#This Row],[PRECIO $]]*1.18</f>
        <v>0</v>
      </c>
      <c r="J2104" s="7">
        <f>+Tabla1[[#This Row],[PRECIO EN SOLES]]-Tabla1[[#This Row],[PC]]</f>
        <v>2</v>
      </c>
      <c r="K2104" s="15"/>
      <c r="L2104" s="15" t="str">
        <f t="shared" si="65"/>
        <v>NORMAL</v>
      </c>
    </row>
    <row r="2105" spans="1:12" x14ac:dyDescent="0.25">
      <c r="A2105" s="3"/>
      <c r="B2105" s="3"/>
      <c r="C2105" s="1"/>
      <c r="D2105" s="1"/>
      <c r="E2105" s="1"/>
      <c r="F2105" s="1"/>
      <c r="G2105" s="3"/>
      <c r="H2105" s="11">
        <f t="shared" si="64"/>
        <v>2</v>
      </c>
      <c r="I2105" s="9">
        <f>($K$2+0.02)*Tabla1[[#This Row],[PRECIO $]]*1.18</f>
        <v>0</v>
      </c>
      <c r="J2105" s="7">
        <f>+Tabla1[[#This Row],[PRECIO EN SOLES]]-Tabla1[[#This Row],[PC]]</f>
        <v>2</v>
      </c>
      <c r="K2105" s="15"/>
      <c r="L2105" s="15" t="str">
        <f t="shared" si="65"/>
        <v>NORMAL</v>
      </c>
    </row>
    <row r="2106" spans="1:12" x14ac:dyDescent="0.25">
      <c r="A2106" s="3"/>
      <c r="B2106" s="3"/>
      <c r="C2106" s="1"/>
      <c r="D2106" s="1"/>
      <c r="E2106" s="1"/>
      <c r="F2106" s="1"/>
      <c r="G2106" s="3"/>
      <c r="H2106" s="11">
        <f t="shared" si="64"/>
        <v>2</v>
      </c>
      <c r="I2106" s="9">
        <f>($K$2+0.02)*Tabla1[[#This Row],[PRECIO $]]*1.18</f>
        <v>0</v>
      </c>
      <c r="J2106" s="7">
        <f>+Tabla1[[#This Row],[PRECIO EN SOLES]]-Tabla1[[#This Row],[PC]]</f>
        <v>2</v>
      </c>
      <c r="K2106" s="15"/>
      <c r="L2106" s="15" t="str">
        <f t="shared" si="65"/>
        <v>NORMAL</v>
      </c>
    </row>
    <row r="2107" spans="1:12" x14ac:dyDescent="0.25">
      <c r="A2107" s="3"/>
      <c r="B2107" s="3"/>
      <c r="C2107" s="1"/>
      <c r="D2107" s="1"/>
      <c r="E2107" s="1"/>
      <c r="F2107" s="1"/>
      <c r="G2107" s="3"/>
      <c r="H2107" s="11">
        <f t="shared" si="64"/>
        <v>2</v>
      </c>
      <c r="I2107" s="9">
        <f>($K$2+0.02)*Tabla1[[#This Row],[PRECIO $]]*1.18</f>
        <v>0</v>
      </c>
      <c r="J2107" s="7">
        <f>+Tabla1[[#This Row],[PRECIO EN SOLES]]-Tabla1[[#This Row],[PC]]</f>
        <v>2</v>
      </c>
      <c r="K2107" s="15"/>
      <c r="L2107" s="15" t="str">
        <f t="shared" si="65"/>
        <v>NORMAL</v>
      </c>
    </row>
    <row r="2108" spans="1:12" x14ac:dyDescent="0.25">
      <c r="A2108" s="3"/>
      <c r="B2108" s="3"/>
      <c r="C2108" s="1"/>
      <c r="D2108" s="1"/>
      <c r="E2108" s="1"/>
      <c r="F2108" s="1"/>
      <c r="G2108" s="3"/>
      <c r="H2108" s="11">
        <f t="shared" si="64"/>
        <v>2</v>
      </c>
      <c r="I2108" s="9">
        <f>($K$2+0.02)*Tabla1[[#This Row],[PRECIO $]]*1.18</f>
        <v>0</v>
      </c>
      <c r="J2108" s="7">
        <f>+Tabla1[[#This Row],[PRECIO EN SOLES]]-Tabla1[[#This Row],[PC]]</f>
        <v>2</v>
      </c>
      <c r="K2108" s="15"/>
      <c r="L2108" s="15" t="str">
        <f t="shared" si="65"/>
        <v>NORMAL</v>
      </c>
    </row>
    <row r="2109" spans="1:12" x14ac:dyDescent="0.25">
      <c r="A2109" s="3"/>
      <c r="B2109" s="3"/>
      <c r="C2109" s="1"/>
      <c r="D2109" s="1"/>
      <c r="E2109" s="1"/>
      <c r="F2109" s="1"/>
      <c r="G2109" s="3"/>
      <c r="H2109" s="11">
        <f t="shared" si="64"/>
        <v>2</v>
      </c>
      <c r="I2109" s="9">
        <f>($K$2+0.02)*Tabla1[[#This Row],[PRECIO $]]*1.18</f>
        <v>0</v>
      </c>
      <c r="J2109" s="7">
        <f>+Tabla1[[#This Row],[PRECIO EN SOLES]]-Tabla1[[#This Row],[PC]]</f>
        <v>2</v>
      </c>
      <c r="K2109" s="15"/>
      <c r="L2109" s="15" t="str">
        <f t="shared" si="65"/>
        <v>NORMAL</v>
      </c>
    </row>
    <row r="2110" spans="1:12" x14ac:dyDescent="0.25">
      <c r="A2110" s="3"/>
      <c r="B2110" s="3"/>
      <c r="C2110" s="1"/>
      <c r="D2110" s="1"/>
      <c r="E2110" s="1"/>
      <c r="F2110" s="1"/>
      <c r="G2110" s="3"/>
      <c r="H2110" s="11">
        <f t="shared" si="64"/>
        <v>2</v>
      </c>
      <c r="I2110" s="9">
        <f>($K$2+0.02)*Tabla1[[#This Row],[PRECIO $]]*1.18</f>
        <v>0</v>
      </c>
      <c r="J2110" s="7">
        <f>+Tabla1[[#This Row],[PRECIO EN SOLES]]-Tabla1[[#This Row],[PC]]</f>
        <v>2</v>
      </c>
      <c r="K2110" s="15"/>
      <c r="L2110" s="15" t="str">
        <f t="shared" si="65"/>
        <v>NORMAL</v>
      </c>
    </row>
    <row r="2111" spans="1:12" x14ac:dyDescent="0.25">
      <c r="A2111" s="3"/>
      <c r="B2111" s="3"/>
      <c r="C2111" s="1"/>
      <c r="D2111" s="1"/>
      <c r="E2111" s="1"/>
      <c r="F2111" s="1"/>
      <c r="G2111" s="3"/>
      <c r="H2111" s="11">
        <f t="shared" si="64"/>
        <v>2</v>
      </c>
      <c r="I2111" s="9">
        <f>($K$2+0.02)*Tabla1[[#This Row],[PRECIO $]]*1.18</f>
        <v>0</v>
      </c>
      <c r="J2111" s="7">
        <f>+Tabla1[[#This Row],[PRECIO EN SOLES]]-Tabla1[[#This Row],[PC]]</f>
        <v>2</v>
      </c>
      <c r="K2111" s="15"/>
      <c r="L2111" s="15" t="str">
        <f t="shared" si="65"/>
        <v>NORMAL</v>
      </c>
    </row>
    <row r="2112" spans="1:12" x14ac:dyDescent="0.25">
      <c r="A2112" s="3"/>
      <c r="B2112" s="3"/>
      <c r="C2112" s="1"/>
      <c r="D2112" s="1"/>
      <c r="E2112" s="1"/>
      <c r="F2112" s="1"/>
      <c r="G2112" s="3"/>
      <c r="H2112" s="11">
        <f t="shared" si="64"/>
        <v>2</v>
      </c>
      <c r="I2112" s="9">
        <f>($K$2+0.02)*Tabla1[[#This Row],[PRECIO $]]*1.18</f>
        <v>0</v>
      </c>
      <c r="J2112" s="7">
        <f>+Tabla1[[#This Row],[PRECIO EN SOLES]]-Tabla1[[#This Row],[PC]]</f>
        <v>2</v>
      </c>
      <c r="K2112" s="15"/>
      <c r="L2112" s="15" t="str">
        <f t="shared" si="65"/>
        <v>NORMAL</v>
      </c>
    </row>
    <row r="2113" spans="1:12" x14ac:dyDescent="0.25">
      <c r="A2113" s="3"/>
      <c r="B2113" s="3"/>
      <c r="C2113" s="1"/>
      <c r="D2113" s="1"/>
      <c r="E2113" s="1"/>
      <c r="F2113" s="1"/>
      <c r="G2113" s="3"/>
      <c r="H2113" s="11">
        <f t="shared" si="64"/>
        <v>2</v>
      </c>
      <c r="I2113" s="9">
        <f>($K$2+0.02)*Tabla1[[#This Row],[PRECIO $]]*1.18</f>
        <v>0</v>
      </c>
      <c r="J2113" s="7">
        <f>+Tabla1[[#This Row],[PRECIO EN SOLES]]-Tabla1[[#This Row],[PC]]</f>
        <v>2</v>
      </c>
      <c r="K2113" s="15"/>
      <c r="L2113" s="15" t="str">
        <f t="shared" si="65"/>
        <v>NORMAL</v>
      </c>
    </row>
    <row r="2114" spans="1:12" x14ac:dyDescent="0.25">
      <c r="A2114" s="3"/>
      <c r="B2114" s="3"/>
      <c r="C2114" s="1"/>
      <c r="D2114" s="1"/>
      <c r="E2114" s="1"/>
      <c r="F2114" s="1"/>
      <c r="G2114" s="3"/>
      <c r="H2114" s="11">
        <f t="shared" ref="H2114:H2177" si="66">ROUND(
IF(L2114="GANCHO",
   IF(I2114&lt;=50,I2114*1.1+4,IF(I2114&lt;=120,I2114*1.1+7,IF(I2114&lt;=250,I2114*1.1+11,I2114*1.1+19))),
IF(L2114="NORMAL",
   IF(I2114&lt;=30,I2114*1.15+2,IF(I2114&lt;=80,I2114*1.15+4,IF(I2114&lt;=150,I2114*1.15+6,I2114*1.15+8))),
IF(L2114="COMPLEMENTO",
   IF(I2114&lt;=25,I2114*1.25+1.5,IF(I2114&lt;=60,I2114*1.25+3,IF(I2114&lt;=120,I2114*1.25+4,I2114*1.25+5))),
""))),2)</f>
        <v>2</v>
      </c>
      <c r="I2114" s="9">
        <f>($K$2+0.02)*Tabla1[[#This Row],[PRECIO $]]*1.18</f>
        <v>0</v>
      </c>
      <c r="J2114" s="7">
        <f>+Tabla1[[#This Row],[PRECIO EN SOLES]]-Tabla1[[#This Row],[PC]]</f>
        <v>2</v>
      </c>
      <c r="K2114" s="15"/>
      <c r="L2114" s="15" t="str">
        <f t="shared" si="65"/>
        <v>NORMAL</v>
      </c>
    </row>
    <row r="2115" spans="1:12" x14ac:dyDescent="0.25">
      <c r="A2115" s="3"/>
      <c r="B2115" s="3"/>
      <c r="C2115" s="1"/>
      <c r="D2115" s="1"/>
      <c r="E2115" s="1"/>
      <c r="F2115" s="1"/>
      <c r="G2115" s="3"/>
      <c r="H2115" s="11">
        <f t="shared" si="66"/>
        <v>2</v>
      </c>
      <c r="I2115" s="9">
        <f>($K$2+0.02)*Tabla1[[#This Row],[PRECIO $]]*1.18</f>
        <v>0</v>
      </c>
      <c r="J2115" s="7">
        <f>+Tabla1[[#This Row],[PRECIO EN SOLES]]-Tabla1[[#This Row],[PC]]</f>
        <v>2</v>
      </c>
      <c r="K2115" s="15"/>
      <c r="L2115" s="15" t="str">
        <f t="shared" ref="L2115:L2178" si="67">IF(
OR(
ISNUMBER(SEARCH("BACKPACK",B2115)),
ISNUMBER(SEARCH("MOCHILA",B2115)),
ISNUMBER(SEARCH("FUNDA",B2115)),
ISNUMBER(SEARCH("ESTUCHE",B2115)),
ISNUMBER(SEARCH("BOOK COVER",B2115)),
ISNUMBER(SEARCH("KEYBOARD PARA TABLET",B2115)),
ISNUMBER(SEARCH("FLIP TABLET",B2115)),
ISNUMBER(SEARCH("CASE FOR TABLET",B2115)),
ISNUMBER(SEARCH("CABLE",B2115)),
ISNUMBER(SEARCH("ADAPTADOR",B2115)),
ISNUMBER(SEARCH("HUB",B2115)),
ISNUMBER(SEARCH("DOCK",B2115)),
ISNUMBER(SEARCH("MOUSE PAD",B2115)),
ISNUMBER(SEARCH("MOUSEPAD",B2115)),
ISNUMBER(SEARCH("SOPORTE",B2115)),
ISNUMBER(SEARCH("STAND",B2115)),
ISNUMBER(SEARCH("TRAVEL ADAPTER",B2115)),
ISNUMBER(SEARCH("RJ45",B2115)),
ISNUMBER(SEARCH("USB-C",B2115)),
ISNUMBER(SEARCH("USB WIFI",B2115)),
ISNUMBER(SEARCH("POWERBANK",B2115)),
ISNUMBER(SEARCH("CARGADOR",B2115)),
ISNUMBER(SEARCH("COOLER PARA NB",B2115)),
ISNUMBER(SEARCH("SOPORTE PARA NB",B2115)),
ISNUMBER(SEARCH("WEBCAM",B2115)),
ISNUMBER(SEARCH("WEB CAM",B2115)),
ISNUMBER(SEARCH("MOUSE",B2115)),
ISNUMBER(SEARCH("TECLADO",B2115))
),
"COMPLEMENTO",
IF(
OR(
LEFT(A2115,2)="NB",
LEFT(A2115,2)="PC",
LEFT(A2115,2)="WS",
LEFT(A2115,2)="TB",
LEFT(A2115,3)="CEL",
LEFT(A2115,3)="MON",
LEFT(A2115,3)="PRE",
LEFT(A2115,3)="PRH",
ISNUMBER(SEARCH("NOTEBOOK",B2115)),
ISNUMBER(SEARCH("LAPTOP",B2115)),
ISNUMBER(SEARCH("MONITOR",B2115)),
ISNUMBER(SEARCH("TABLET",B2115)),
ISNUMBER(SEARCH("SMARTPH",B2115)),
ISNUMBER(SEARCH("IMPRESORA",B2115)),
ISNUMBER(SEARCH("MULTIFUNCIONAL",B2115)),
ISNUMBER(SEARCH("AIO",B2115))
),
"GANCHO",
"NORMAL"
)
)</f>
        <v>NORMAL</v>
      </c>
    </row>
    <row r="2116" spans="1:12" x14ac:dyDescent="0.25">
      <c r="A2116" s="3"/>
      <c r="B2116" s="3"/>
      <c r="C2116" s="1"/>
      <c r="D2116" s="1"/>
      <c r="E2116" s="1"/>
      <c r="F2116" s="1"/>
      <c r="G2116" s="3"/>
      <c r="H2116" s="11">
        <f t="shared" si="66"/>
        <v>2</v>
      </c>
      <c r="I2116" s="9">
        <f>($K$2+0.02)*Tabla1[[#This Row],[PRECIO $]]*1.18</f>
        <v>0</v>
      </c>
      <c r="J2116" s="7">
        <f>+Tabla1[[#This Row],[PRECIO EN SOLES]]-Tabla1[[#This Row],[PC]]</f>
        <v>2</v>
      </c>
      <c r="K2116" s="15"/>
      <c r="L2116" s="15" t="str">
        <f t="shared" si="67"/>
        <v>NORMAL</v>
      </c>
    </row>
    <row r="2117" spans="1:12" x14ac:dyDescent="0.25">
      <c r="A2117" s="3"/>
      <c r="B2117" s="3"/>
      <c r="C2117" s="1"/>
      <c r="D2117" s="1"/>
      <c r="E2117" s="1"/>
      <c r="F2117" s="1"/>
      <c r="G2117" s="3"/>
      <c r="H2117" s="11">
        <f t="shared" si="66"/>
        <v>2</v>
      </c>
      <c r="I2117" s="9">
        <f>($K$2+0.02)*Tabla1[[#This Row],[PRECIO $]]*1.18</f>
        <v>0</v>
      </c>
      <c r="J2117" s="7">
        <f>+Tabla1[[#This Row],[PRECIO EN SOLES]]-Tabla1[[#This Row],[PC]]</f>
        <v>2</v>
      </c>
      <c r="K2117" s="15"/>
      <c r="L2117" s="15" t="str">
        <f t="shared" si="67"/>
        <v>NORMAL</v>
      </c>
    </row>
    <row r="2118" spans="1:12" x14ac:dyDescent="0.25">
      <c r="A2118" s="3"/>
      <c r="B2118" s="3"/>
      <c r="C2118" s="1"/>
      <c r="D2118" s="1"/>
      <c r="E2118" s="1"/>
      <c r="F2118" s="1"/>
      <c r="G2118" s="3"/>
      <c r="H2118" s="11">
        <f t="shared" si="66"/>
        <v>2</v>
      </c>
      <c r="I2118" s="9">
        <f>($K$2+0.02)*Tabla1[[#This Row],[PRECIO $]]*1.18</f>
        <v>0</v>
      </c>
      <c r="J2118" s="7">
        <f>+Tabla1[[#This Row],[PRECIO EN SOLES]]-Tabla1[[#This Row],[PC]]</f>
        <v>2</v>
      </c>
      <c r="K2118" s="15"/>
      <c r="L2118" s="15" t="str">
        <f t="shared" si="67"/>
        <v>NORMAL</v>
      </c>
    </row>
    <row r="2119" spans="1:12" x14ac:dyDescent="0.25">
      <c r="A2119" s="3"/>
      <c r="B2119" s="3"/>
      <c r="C2119" s="1"/>
      <c r="D2119" s="1"/>
      <c r="E2119" s="1"/>
      <c r="F2119" s="1"/>
      <c r="G2119" s="3"/>
      <c r="H2119" s="11">
        <f t="shared" si="66"/>
        <v>2</v>
      </c>
      <c r="I2119" s="9">
        <f>($K$2+0.02)*Tabla1[[#This Row],[PRECIO $]]*1.18</f>
        <v>0</v>
      </c>
      <c r="J2119" s="7">
        <f>+Tabla1[[#This Row],[PRECIO EN SOLES]]-Tabla1[[#This Row],[PC]]</f>
        <v>2</v>
      </c>
      <c r="K2119" s="15"/>
      <c r="L2119" s="15" t="str">
        <f t="shared" si="67"/>
        <v>NORMAL</v>
      </c>
    </row>
    <row r="2120" spans="1:12" x14ac:dyDescent="0.25">
      <c r="A2120" s="3"/>
      <c r="B2120" s="3"/>
      <c r="C2120" s="1"/>
      <c r="D2120" s="1"/>
      <c r="E2120" s="1"/>
      <c r="F2120" s="1"/>
      <c r="G2120" s="3"/>
      <c r="H2120" s="11">
        <f t="shared" si="66"/>
        <v>2</v>
      </c>
      <c r="I2120" s="9">
        <f>($K$2+0.02)*Tabla1[[#This Row],[PRECIO $]]*1.18</f>
        <v>0</v>
      </c>
      <c r="J2120" s="7">
        <f>+Tabla1[[#This Row],[PRECIO EN SOLES]]-Tabla1[[#This Row],[PC]]</f>
        <v>2</v>
      </c>
      <c r="K2120" s="15"/>
      <c r="L2120" s="15" t="str">
        <f t="shared" si="67"/>
        <v>NORMAL</v>
      </c>
    </row>
    <row r="2121" spans="1:12" x14ac:dyDescent="0.25">
      <c r="A2121" s="3"/>
      <c r="B2121" s="3"/>
      <c r="C2121" s="1"/>
      <c r="D2121" s="1"/>
      <c r="E2121" s="1"/>
      <c r="F2121" s="1"/>
      <c r="G2121" s="3"/>
      <c r="H2121" s="11">
        <f t="shared" si="66"/>
        <v>2</v>
      </c>
      <c r="I2121" s="9">
        <f>($K$2+0.02)*Tabla1[[#This Row],[PRECIO $]]*1.18</f>
        <v>0</v>
      </c>
      <c r="J2121" s="7">
        <f>+Tabla1[[#This Row],[PRECIO EN SOLES]]-Tabla1[[#This Row],[PC]]</f>
        <v>2</v>
      </c>
      <c r="K2121" s="15"/>
      <c r="L2121" s="15" t="str">
        <f t="shared" si="67"/>
        <v>NORMAL</v>
      </c>
    </row>
    <row r="2122" spans="1:12" x14ac:dyDescent="0.25">
      <c r="A2122" s="3"/>
      <c r="B2122" s="3"/>
      <c r="C2122" s="1"/>
      <c r="D2122" s="1"/>
      <c r="E2122" s="1"/>
      <c r="F2122" s="1"/>
      <c r="G2122" s="3"/>
      <c r="H2122" s="11">
        <f t="shared" si="66"/>
        <v>2</v>
      </c>
      <c r="I2122" s="9">
        <f>($K$2+0.02)*Tabla1[[#This Row],[PRECIO $]]*1.18</f>
        <v>0</v>
      </c>
      <c r="J2122" s="7">
        <f>+Tabla1[[#This Row],[PRECIO EN SOLES]]-Tabla1[[#This Row],[PC]]</f>
        <v>2</v>
      </c>
      <c r="K2122" s="15"/>
      <c r="L2122" s="15" t="str">
        <f t="shared" si="67"/>
        <v>NORMAL</v>
      </c>
    </row>
    <row r="2123" spans="1:12" x14ac:dyDescent="0.25">
      <c r="A2123" s="3"/>
      <c r="B2123" s="3"/>
      <c r="C2123" s="1"/>
      <c r="D2123" s="1"/>
      <c r="E2123" s="1"/>
      <c r="F2123" s="1"/>
      <c r="G2123" s="3"/>
      <c r="H2123" s="11">
        <f t="shared" si="66"/>
        <v>2</v>
      </c>
      <c r="I2123" s="9">
        <f>($K$2+0.02)*Tabla1[[#This Row],[PRECIO $]]*1.18</f>
        <v>0</v>
      </c>
      <c r="J2123" s="7">
        <f>+Tabla1[[#This Row],[PRECIO EN SOLES]]-Tabla1[[#This Row],[PC]]</f>
        <v>2</v>
      </c>
      <c r="K2123" s="15"/>
      <c r="L2123" s="15" t="str">
        <f t="shared" si="67"/>
        <v>NORMAL</v>
      </c>
    </row>
    <row r="2124" spans="1:12" x14ac:dyDescent="0.25">
      <c r="A2124" s="3"/>
      <c r="B2124" s="3"/>
      <c r="C2124" s="1"/>
      <c r="D2124" s="1"/>
      <c r="E2124" s="1"/>
      <c r="F2124" s="1"/>
      <c r="G2124" s="3"/>
      <c r="H2124" s="11">
        <f t="shared" si="66"/>
        <v>2</v>
      </c>
      <c r="I2124" s="9">
        <f>($K$2+0.02)*Tabla1[[#This Row],[PRECIO $]]*1.18</f>
        <v>0</v>
      </c>
      <c r="J2124" s="7">
        <f>+Tabla1[[#This Row],[PRECIO EN SOLES]]-Tabla1[[#This Row],[PC]]</f>
        <v>2</v>
      </c>
      <c r="K2124" s="15"/>
      <c r="L2124" s="15" t="str">
        <f t="shared" si="67"/>
        <v>NORMAL</v>
      </c>
    </row>
    <row r="2125" spans="1:12" x14ac:dyDescent="0.25">
      <c r="A2125" s="3"/>
      <c r="B2125" s="3"/>
      <c r="C2125" s="1"/>
      <c r="D2125" s="1"/>
      <c r="E2125" s="1"/>
      <c r="F2125" s="1"/>
      <c r="G2125" s="3"/>
      <c r="H2125" s="11">
        <f t="shared" si="66"/>
        <v>2</v>
      </c>
      <c r="I2125" s="9">
        <f>($K$2+0.02)*Tabla1[[#This Row],[PRECIO $]]*1.18</f>
        <v>0</v>
      </c>
      <c r="J2125" s="7">
        <f>+Tabla1[[#This Row],[PRECIO EN SOLES]]-Tabla1[[#This Row],[PC]]</f>
        <v>2</v>
      </c>
      <c r="K2125" s="15"/>
      <c r="L2125" s="15" t="str">
        <f t="shared" si="67"/>
        <v>NORMAL</v>
      </c>
    </row>
    <row r="2126" spans="1:12" x14ac:dyDescent="0.25">
      <c r="A2126" s="3"/>
      <c r="B2126" s="3"/>
      <c r="C2126" s="1"/>
      <c r="D2126" s="1"/>
      <c r="E2126" s="1"/>
      <c r="F2126" s="1"/>
      <c r="G2126" s="3"/>
      <c r="H2126" s="11">
        <f t="shared" si="66"/>
        <v>2</v>
      </c>
      <c r="I2126" s="9">
        <f>($K$2+0.02)*Tabla1[[#This Row],[PRECIO $]]*1.18</f>
        <v>0</v>
      </c>
      <c r="J2126" s="7">
        <f>+Tabla1[[#This Row],[PRECIO EN SOLES]]-Tabla1[[#This Row],[PC]]</f>
        <v>2</v>
      </c>
      <c r="K2126" s="15"/>
      <c r="L2126" s="15" t="str">
        <f t="shared" si="67"/>
        <v>NORMAL</v>
      </c>
    </row>
    <row r="2127" spans="1:12" x14ac:dyDescent="0.25">
      <c r="A2127" s="3"/>
      <c r="B2127" s="3"/>
      <c r="C2127" s="1"/>
      <c r="D2127" s="1"/>
      <c r="E2127" s="1"/>
      <c r="F2127" s="1"/>
      <c r="G2127" s="3"/>
      <c r="H2127" s="11">
        <f t="shared" si="66"/>
        <v>2</v>
      </c>
      <c r="I2127" s="9">
        <f>($K$2+0.02)*Tabla1[[#This Row],[PRECIO $]]*1.18</f>
        <v>0</v>
      </c>
      <c r="J2127" s="7">
        <f>+Tabla1[[#This Row],[PRECIO EN SOLES]]-Tabla1[[#This Row],[PC]]</f>
        <v>2</v>
      </c>
      <c r="K2127" s="15"/>
      <c r="L2127" s="15" t="str">
        <f t="shared" si="67"/>
        <v>NORMAL</v>
      </c>
    </row>
    <row r="2128" spans="1:12" x14ac:dyDescent="0.25">
      <c r="A2128" s="3"/>
      <c r="B2128" s="3"/>
      <c r="C2128" s="1"/>
      <c r="D2128" s="1"/>
      <c r="E2128" s="1"/>
      <c r="F2128" s="1"/>
      <c r="G2128" s="3"/>
      <c r="H2128" s="11">
        <f t="shared" si="66"/>
        <v>2</v>
      </c>
      <c r="I2128" s="9">
        <f>($K$2+0.02)*Tabla1[[#This Row],[PRECIO $]]*1.18</f>
        <v>0</v>
      </c>
      <c r="J2128" s="7">
        <f>+Tabla1[[#This Row],[PRECIO EN SOLES]]-Tabla1[[#This Row],[PC]]</f>
        <v>2</v>
      </c>
      <c r="K2128" s="15"/>
      <c r="L2128" s="15" t="str">
        <f t="shared" si="67"/>
        <v>NORMAL</v>
      </c>
    </row>
    <row r="2129" spans="1:12" x14ac:dyDescent="0.25">
      <c r="A2129" s="3"/>
      <c r="B2129" s="3"/>
      <c r="C2129" s="1"/>
      <c r="D2129" s="1"/>
      <c r="E2129" s="1"/>
      <c r="F2129" s="1"/>
      <c r="G2129" s="3"/>
      <c r="H2129" s="11">
        <f t="shared" si="66"/>
        <v>2</v>
      </c>
      <c r="I2129" s="9">
        <f>($K$2+0.02)*Tabla1[[#This Row],[PRECIO $]]*1.18</f>
        <v>0</v>
      </c>
      <c r="J2129" s="7">
        <f>+Tabla1[[#This Row],[PRECIO EN SOLES]]-Tabla1[[#This Row],[PC]]</f>
        <v>2</v>
      </c>
      <c r="K2129" s="15"/>
      <c r="L2129" s="15" t="str">
        <f t="shared" si="67"/>
        <v>NORMAL</v>
      </c>
    </row>
    <row r="2130" spans="1:12" x14ac:dyDescent="0.25">
      <c r="A2130" s="3"/>
      <c r="B2130" s="3"/>
      <c r="C2130" s="1"/>
      <c r="D2130" s="1"/>
      <c r="E2130" s="1"/>
      <c r="F2130" s="1"/>
      <c r="G2130" s="3"/>
      <c r="H2130" s="11">
        <f t="shared" si="66"/>
        <v>2</v>
      </c>
      <c r="I2130" s="9">
        <f>($K$2+0.02)*Tabla1[[#This Row],[PRECIO $]]*1.18</f>
        <v>0</v>
      </c>
      <c r="J2130" s="7">
        <f>+Tabla1[[#This Row],[PRECIO EN SOLES]]-Tabla1[[#This Row],[PC]]</f>
        <v>2</v>
      </c>
      <c r="K2130" s="15"/>
      <c r="L2130" s="15" t="str">
        <f t="shared" si="67"/>
        <v>NORMAL</v>
      </c>
    </row>
    <row r="2131" spans="1:12" x14ac:dyDescent="0.25">
      <c r="A2131" s="3"/>
      <c r="B2131" s="3"/>
      <c r="C2131" s="1"/>
      <c r="D2131" s="1"/>
      <c r="E2131" s="1"/>
      <c r="F2131" s="1"/>
      <c r="G2131" s="3"/>
      <c r="H2131" s="11">
        <f t="shared" si="66"/>
        <v>2</v>
      </c>
      <c r="I2131" s="9">
        <f>($K$2+0.02)*Tabla1[[#This Row],[PRECIO $]]*1.18</f>
        <v>0</v>
      </c>
      <c r="J2131" s="7">
        <f>+Tabla1[[#This Row],[PRECIO EN SOLES]]-Tabla1[[#This Row],[PC]]</f>
        <v>2</v>
      </c>
      <c r="K2131" s="15"/>
      <c r="L2131" s="15" t="str">
        <f t="shared" si="67"/>
        <v>NORMAL</v>
      </c>
    </row>
    <row r="2132" spans="1:12" x14ac:dyDescent="0.25">
      <c r="A2132" s="3"/>
      <c r="B2132" s="3"/>
      <c r="C2132" s="1"/>
      <c r="D2132" s="1"/>
      <c r="E2132" s="1"/>
      <c r="F2132" s="1"/>
      <c r="G2132" s="3"/>
      <c r="H2132" s="11">
        <f t="shared" si="66"/>
        <v>2</v>
      </c>
      <c r="I2132" s="9">
        <f>($K$2+0.02)*Tabla1[[#This Row],[PRECIO $]]*1.18</f>
        <v>0</v>
      </c>
      <c r="J2132" s="7">
        <f>+Tabla1[[#This Row],[PRECIO EN SOLES]]-Tabla1[[#This Row],[PC]]</f>
        <v>2</v>
      </c>
      <c r="K2132" s="15"/>
      <c r="L2132" s="15" t="str">
        <f t="shared" si="67"/>
        <v>NORMAL</v>
      </c>
    </row>
    <row r="2133" spans="1:12" x14ac:dyDescent="0.25">
      <c r="A2133" s="3"/>
      <c r="B2133" s="3"/>
      <c r="C2133" s="1"/>
      <c r="D2133" s="1"/>
      <c r="E2133" s="1"/>
      <c r="F2133" s="1"/>
      <c r="G2133" s="3"/>
      <c r="H2133" s="11">
        <f t="shared" si="66"/>
        <v>2</v>
      </c>
      <c r="I2133" s="9">
        <f>($K$2+0.02)*Tabla1[[#This Row],[PRECIO $]]*1.18</f>
        <v>0</v>
      </c>
      <c r="J2133" s="7">
        <f>+Tabla1[[#This Row],[PRECIO EN SOLES]]-Tabla1[[#This Row],[PC]]</f>
        <v>2</v>
      </c>
      <c r="K2133" s="15"/>
      <c r="L2133" s="15" t="str">
        <f t="shared" si="67"/>
        <v>NORMAL</v>
      </c>
    </row>
    <row r="2134" spans="1:12" x14ac:dyDescent="0.25">
      <c r="A2134" s="3"/>
      <c r="B2134" s="3"/>
      <c r="C2134" s="1"/>
      <c r="D2134" s="1"/>
      <c r="E2134" s="1"/>
      <c r="F2134" s="1"/>
      <c r="G2134" s="3"/>
      <c r="H2134" s="11">
        <f t="shared" si="66"/>
        <v>2</v>
      </c>
      <c r="I2134" s="9">
        <f>($K$2+0.02)*Tabla1[[#This Row],[PRECIO $]]*1.18</f>
        <v>0</v>
      </c>
      <c r="J2134" s="7">
        <f>+Tabla1[[#This Row],[PRECIO EN SOLES]]-Tabla1[[#This Row],[PC]]</f>
        <v>2</v>
      </c>
      <c r="K2134" s="15"/>
      <c r="L2134" s="15" t="str">
        <f t="shared" si="67"/>
        <v>NORMAL</v>
      </c>
    </row>
    <row r="2135" spans="1:12" x14ac:dyDescent="0.25">
      <c r="A2135" s="3"/>
      <c r="B2135" s="3"/>
      <c r="C2135" s="1"/>
      <c r="D2135" s="1"/>
      <c r="E2135" s="1"/>
      <c r="F2135" s="1"/>
      <c r="G2135" s="3"/>
      <c r="H2135" s="11">
        <f t="shared" si="66"/>
        <v>2</v>
      </c>
      <c r="I2135" s="9">
        <f>($K$2+0.02)*Tabla1[[#This Row],[PRECIO $]]*1.18</f>
        <v>0</v>
      </c>
      <c r="J2135" s="7">
        <f>+Tabla1[[#This Row],[PRECIO EN SOLES]]-Tabla1[[#This Row],[PC]]</f>
        <v>2</v>
      </c>
      <c r="K2135" s="15"/>
      <c r="L2135" s="15" t="str">
        <f t="shared" si="67"/>
        <v>NORMAL</v>
      </c>
    </row>
    <row r="2136" spans="1:12" x14ac:dyDescent="0.25">
      <c r="A2136" s="3"/>
      <c r="B2136" s="3"/>
      <c r="C2136" s="1"/>
      <c r="D2136" s="1"/>
      <c r="E2136" s="1"/>
      <c r="F2136" s="1"/>
      <c r="G2136" s="3"/>
      <c r="H2136" s="11">
        <f t="shared" si="66"/>
        <v>2</v>
      </c>
      <c r="I2136" s="9">
        <f>($K$2+0.02)*Tabla1[[#This Row],[PRECIO $]]*1.18</f>
        <v>0</v>
      </c>
      <c r="J2136" s="7">
        <f>+Tabla1[[#This Row],[PRECIO EN SOLES]]-Tabla1[[#This Row],[PC]]</f>
        <v>2</v>
      </c>
      <c r="K2136" s="15"/>
      <c r="L2136" s="15" t="str">
        <f t="shared" si="67"/>
        <v>NORMAL</v>
      </c>
    </row>
    <row r="2137" spans="1:12" x14ac:dyDescent="0.25">
      <c r="A2137" s="3"/>
      <c r="B2137" s="3"/>
      <c r="C2137" s="1"/>
      <c r="D2137" s="1"/>
      <c r="E2137" s="1"/>
      <c r="F2137" s="1"/>
      <c r="G2137" s="3"/>
      <c r="H2137" s="11">
        <f t="shared" si="66"/>
        <v>2</v>
      </c>
      <c r="I2137" s="9">
        <f>($K$2+0.02)*Tabla1[[#This Row],[PRECIO $]]*1.18</f>
        <v>0</v>
      </c>
      <c r="J2137" s="7">
        <f>+Tabla1[[#This Row],[PRECIO EN SOLES]]-Tabla1[[#This Row],[PC]]</f>
        <v>2</v>
      </c>
      <c r="K2137" s="15"/>
      <c r="L2137" s="15" t="str">
        <f t="shared" si="67"/>
        <v>NORMAL</v>
      </c>
    </row>
    <row r="2138" spans="1:12" x14ac:dyDescent="0.25">
      <c r="A2138" s="3"/>
      <c r="B2138" s="3"/>
      <c r="C2138" s="1"/>
      <c r="D2138" s="1"/>
      <c r="E2138" s="1"/>
      <c r="F2138" s="1"/>
      <c r="G2138" s="3"/>
      <c r="H2138" s="11">
        <f t="shared" si="66"/>
        <v>2</v>
      </c>
      <c r="I2138" s="9">
        <f>($K$2+0.02)*Tabla1[[#This Row],[PRECIO $]]*1.18</f>
        <v>0</v>
      </c>
      <c r="J2138" s="7">
        <f>+Tabla1[[#This Row],[PRECIO EN SOLES]]-Tabla1[[#This Row],[PC]]</f>
        <v>2</v>
      </c>
      <c r="K2138" s="15"/>
      <c r="L2138" s="15" t="str">
        <f t="shared" si="67"/>
        <v>NORMAL</v>
      </c>
    </row>
    <row r="2139" spans="1:12" x14ac:dyDescent="0.25">
      <c r="A2139" s="3"/>
      <c r="B2139" s="3"/>
      <c r="C2139" s="1"/>
      <c r="D2139" s="1"/>
      <c r="E2139" s="1"/>
      <c r="F2139" s="1"/>
      <c r="G2139" s="3"/>
      <c r="H2139" s="11">
        <f t="shared" si="66"/>
        <v>2</v>
      </c>
      <c r="I2139" s="9">
        <f>($K$2+0.02)*Tabla1[[#This Row],[PRECIO $]]*1.18</f>
        <v>0</v>
      </c>
      <c r="J2139" s="7">
        <f>+Tabla1[[#This Row],[PRECIO EN SOLES]]-Tabla1[[#This Row],[PC]]</f>
        <v>2</v>
      </c>
      <c r="K2139" s="15"/>
      <c r="L2139" s="15" t="str">
        <f t="shared" si="67"/>
        <v>NORMAL</v>
      </c>
    </row>
    <row r="2140" spans="1:12" x14ac:dyDescent="0.25">
      <c r="A2140" s="3"/>
      <c r="B2140" s="3"/>
      <c r="C2140" s="1"/>
      <c r="D2140" s="1"/>
      <c r="E2140" s="1"/>
      <c r="F2140" s="1"/>
      <c r="G2140" s="3"/>
      <c r="H2140" s="11">
        <f t="shared" si="66"/>
        <v>2</v>
      </c>
      <c r="I2140" s="9">
        <f>($K$2+0.02)*Tabla1[[#This Row],[PRECIO $]]*1.18</f>
        <v>0</v>
      </c>
      <c r="J2140" s="7">
        <f>+Tabla1[[#This Row],[PRECIO EN SOLES]]-Tabla1[[#This Row],[PC]]</f>
        <v>2</v>
      </c>
      <c r="K2140" s="15"/>
      <c r="L2140" s="15" t="str">
        <f t="shared" si="67"/>
        <v>NORMAL</v>
      </c>
    </row>
    <row r="2141" spans="1:12" x14ac:dyDescent="0.25">
      <c r="A2141" s="3"/>
      <c r="B2141" s="3"/>
      <c r="C2141" s="1"/>
      <c r="D2141" s="1"/>
      <c r="E2141" s="1"/>
      <c r="F2141" s="1"/>
      <c r="G2141" s="3"/>
      <c r="H2141" s="11">
        <f t="shared" si="66"/>
        <v>2</v>
      </c>
      <c r="I2141" s="9">
        <f>($K$2+0.02)*Tabla1[[#This Row],[PRECIO $]]*1.18</f>
        <v>0</v>
      </c>
      <c r="J2141" s="7">
        <f>+Tabla1[[#This Row],[PRECIO EN SOLES]]-Tabla1[[#This Row],[PC]]</f>
        <v>2</v>
      </c>
      <c r="K2141" s="15"/>
      <c r="L2141" s="15" t="str">
        <f t="shared" si="67"/>
        <v>NORMAL</v>
      </c>
    </row>
    <row r="2142" spans="1:12" x14ac:dyDescent="0.25">
      <c r="A2142" s="3"/>
      <c r="B2142" s="3"/>
      <c r="C2142" s="1"/>
      <c r="D2142" s="1"/>
      <c r="E2142" s="1"/>
      <c r="F2142" s="1"/>
      <c r="G2142" s="3"/>
      <c r="H2142" s="11">
        <f t="shared" si="66"/>
        <v>2</v>
      </c>
      <c r="I2142" s="9">
        <f>($K$2+0.02)*Tabla1[[#This Row],[PRECIO $]]*1.18</f>
        <v>0</v>
      </c>
      <c r="J2142" s="7">
        <f>+Tabla1[[#This Row],[PRECIO EN SOLES]]-Tabla1[[#This Row],[PC]]</f>
        <v>2</v>
      </c>
      <c r="K2142" s="15"/>
      <c r="L2142" s="15" t="str">
        <f t="shared" si="67"/>
        <v>NORMAL</v>
      </c>
    </row>
    <row r="2143" spans="1:12" x14ac:dyDescent="0.25">
      <c r="A2143" s="3"/>
      <c r="B2143" s="3"/>
      <c r="C2143" s="1"/>
      <c r="D2143" s="1"/>
      <c r="E2143" s="1"/>
      <c r="F2143" s="1"/>
      <c r="G2143" s="3"/>
      <c r="H2143" s="11">
        <f t="shared" si="66"/>
        <v>2</v>
      </c>
      <c r="I2143" s="9">
        <f>($K$2+0.02)*Tabla1[[#This Row],[PRECIO $]]*1.18</f>
        <v>0</v>
      </c>
      <c r="J2143" s="7">
        <f>+Tabla1[[#This Row],[PRECIO EN SOLES]]-Tabla1[[#This Row],[PC]]</f>
        <v>2</v>
      </c>
      <c r="K2143" s="15"/>
      <c r="L2143" s="15" t="str">
        <f t="shared" si="67"/>
        <v>NORMAL</v>
      </c>
    </row>
    <row r="2144" spans="1:12" x14ac:dyDescent="0.25">
      <c r="A2144" s="3"/>
      <c r="B2144" s="3"/>
      <c r="C2144" s="1"/>
      <c r="D2144" s="1"/>
      <c r="E2144" s="1"/>
      <c r="F2144" s="1"/>
      <c r="G2144" s="3"/>
      <c r="H2144" s="11">
        <f t="shared" si="66"/>
        <v>2</v>
      </c>
      <c r="I2144" s="9">
        <f>($K$2+0.02)*Tabla1[[#This Row],[PRECIO $]]*1.18</f>
        <v>0</v>
      </c>
      <c r="J2144" s="7">
        <f>+Tabla1[[#This Row],[PRECIO EN SOLES]]-Tabla1[[#This Row],[PC]]</f>
        <v>2</v>
      </c>
      <c r="K2144" s="15"/>
      <c r="L2144" s="15" t="str">
        <f t="shared" si="67"/>
        <v>NORMAL</v>
      </c>
    </row>
    <row r="2145" spans="1:12" x14ac:dyDescent="0.25">
      <c r="A2145" s="3"/>
      <c r="B2145" s="3"/>
      <c r="C2145" s="1"/>
      <c r="D2145" s="1"/>
      <c r="E2145" s="1"/>
      <c r="F2145" s="1"/>
      <c r="G2145" s="3"/>
      <c r="H2145" s="11">
        <f t="shared" si="66"/>
        <v>2</v>
      </c>
      <c r="I2145" s="9">
        <f>($K$2+0.02)*Tabla1[[#This Row],[PRECIO $]]*1.18</f>
        <v>0</v>
      </c>
      <c r="J2145" s="7">
        <f>+Tabla1[[#This Row],[PRECIO EN SOLES]]-Tabla1[[#This Row],[PC]]</f>
        <v>2</v>
      </c>
      <c r="K2145" s="15"/>
      <c r="L2145" s="15" t="str">
        <f t="shared" si="67"/>
        <v>NORMAL</v>
      </c>
    </row>
    <row r="2146" spans="1:12" x14ac:dyDescent="0.25">
      <c r="A2146" s="3"/>
      <c r="B2146" s="3"/>
      <c r="C2146" s="1"/>
      <c r="D2146" s="1"/>
      <c r="E2146" s="1"/>
      <c r="F2146" s="1"/>
      <c r="G2146" s="3"/>
      <c r="H2146" s="11">
        <f t="shared" si="66"/>
        <v>2</v>
      </c>
      <c r="I2146" s="9">
        <f>($K$2+0.02)*Tabla1[[#This Row],[PRECIO $]]*1.18</f>
        <v>0</v>
      </c>
      <c r="J2146" s="7">
        <f>+Tabla1[[#This Row],[PRECIO EN SOLES]]-Tabla1[[#This Row],[PC]]</f>
        <v>2</v>
      </c>
      <c r="K2146" s="15"/>
      <c r="L2146" s="15" t="str">
        <f t="shared" si="67"/>
        <v>NORMAL</v>
      </c>
    </row>
    <row r="2147" spans="1:12" x14ac:dyDescent="0.25">
      <c r="A2147" s="3"/>
      <c r="B2147" s="3"/>
      <c r="C2147" s="1"/>
      <c r="D2147" s="1"/>
      <c r="E2147" s="1"/>
      <c r="F2147" s="1"/>
      <c r="G2147" s="3"/>
      <c r="H2147" s="11">
        <f t="shared" si="66"/>
        <v>2</v>
      </c>
      <c r="I2147" s="9">
        <f>($K$2+0.02)*Tabla1[[#This Row],[PRECIO $]]*1.18</f>
        <v>0</v>
      </c>
      <c r="J2147" s="7">
        <f>+Tabla1[[#This Row],[PRECIO EN SOLES]]-Tabla1[[#This Row],[PC]]</f>
        <v>2</v>
      </c>
      <c r="K2147" s="15"/>
      <c r="L2147" s="15" t="str">
        <f t="shared" si="67"/>
        <v>NORMAL</v>
      </c>
    </row>
    <row r="2148" spans="1:12" x14ac:dyDescent="0.25">
      <c r="A2148" s="3"/>
      <c r="B2148" s="3"/>
      <c r="C2148" s="1"/>
      <c r="D2148" s="1"/>
      <c r="E2148" s="1"/>
      <c r="F2148" s="1"/>
      <c r="G2148" s="3"/>
      <c r="H2148" s="11">
        <f t="shared" si="66"/>
        <v>2</v>
      </c>
      <c r="I2148" s="9">
        <f>($K$2+0.02)*Tabla1[[#This Row],[PRECIO $]]*1.18</f>
        <v>0</v>
      </c>
      <c r="J2148" s="7">
        <f>+Tabla1[[#This Row],[PRECIO EN SOLES]]-Tabla1[[#This Row],[PC]]</f>
        <v>2</v>
      </c>
      <c r="K2148" s="15"/>
      <c r="L2148" s="15" t="str">
        <f t="shared" si="67"/>
        <v>NORMAL</v>
      </c>
    </row>
    <row r="2149" spans="1:12" x14ac:dyDescent="0.25">
      <c r="A2149" s="3"/>
      <c r="B2149" s="3"/>
      <c r="C2149" s="1"/>
      <c r="D2149" s="1"/>
      <c r="E2149" s="1"/>
      <c r="F2149" s="1"/>
      <c r="G2149" s="3"/>
      <c r="H2149" s="11">
        <f t="shared" si="66"/>
        <v>2</v>
      </c>
      <c r="I2149" s="9">
        <f>($K$2+0.02)*Tabla1[[#This Row],[PRECIO $]]*1.18</f>
        <v>0</v>
      </c>
      <c r="J2149" s="7">
        <f>+Tabla1[[#This Row],[PRECIO EN SOLES]]-Tabla1[[#This Row],[PC]]</f>
        <v>2</v>
      </c>
      <c r="K2149" s="15"/>
      <c r="L2149" s="15" t="str">
        <f t="shared" si="67"/>
        <v>NORMAL</v>
      </c>
    </row>
    <row r="2150" spans="1:12" x14ac:dyDescent="0.25">
      <c r="A2150" s="3"/>
      <c r="B2150" s="3"/>
      <c r="C2150" s="1"/>
      <c r="D2150" s="1"/>
      <c r="E2150" s="1"/>
      <c r="F2150" s="1"/>
      <c r="G2150" s="3"/>
      <c r="H2150" s="11">
        <f t="shared" si="66"/>
        <v>2</v>
      </c>
      <c r="I2150" s="9">
        <f>($K$2+0.02)*Tabla1[[#This Row],[PRECIO $]]*1.18</f>
        <v>0</v>
      </c>
      <c r="J2150" s="7">
        <f>+Tabla1[[#This Row],[PRECIO EN SOLES]]-Tabla1[[#This Row],[PC]]</f>
        <v>2</v>
      </c>
      <c r="K2150" s="15"/>
      <c r="L2150" s="15" t="str">
        <f t="shared" si="67"/>
        <v>NORMAL</v>
      </c>
    </row>
    <row r="2151" spans="1:12" x14ac:dyDescent="0.25">
      <c r="A2151" s="3"/>
      <c r="B2151" s="3"/>
      <c r="C2151" s="1"/>
      <c r="D2151" s="1"/>
      <c r="E2151" s="1"/>
      <c r="F2151" s="1"/>
      <c r="G2151" s="3"/>
      <c r="H2151" s="11">
        <f t="shared" si="66"/>
        <v>2</v>
      </c>
      <c r="I2151" s="9">
        <f>($K$2+0.02)*Tabla1[[#This Row],[PRECIO $]]*1.18</f>
        <v>0</v>
      </c>
      <c r="J2151" s="7">
        <f>+Tabla1[[#This Row],[PRECIO EN SOLES]]-Tabla1[[#This Row],[PC]]</f>
        <v>2</v>
      </c>
      <c r="K2151" s="15"/>
      <c r="L2151" s="15" t="str">
        <f t="shared" si="67"/>
        <v>NORMAL</v>
      </c>
    </row>
    <row r="2152" spans="1:12" x14ac:dyDescent="0.25">
      <c r="A2152" s="3"/>
      <c r="B2152" s="3"/>
      <c r="C2152" s="1"/>
      <c r="D2152" s="1"/>
      <c r="E2152" s="1"/>
      <c r="F2152" s="1"/>
      <c r="G2152" s="3"/>
      <c r="H2152" s="11">
        <f t="shared" si="66"/>
        <v>2</v>
      </c>
      <c r="I2152" s="9">
        <f>($K$2+0.02)*Tabla1[[#This Row],[PRECIO $]]*1.18</f>
        <v>0</v>
      </c>
      <c r="J2152" s="7">
        <f>+Tabla1[[#This Row],[PRECIO EN SOLES]]-Tabla1[[#This Row],[PC]]</f>
        <v>2</v>
      </c>
      <c r="K2152" s="15"/>
      <c r="L2152" s="15" t="str">
        <f t="shared" si="67"/>
        <v>NORMAL</v>
      </c>
    </row>
    <row r="2153" spans="1:12" x14ac:dyDescent="0.25">
      <c r="A2153" s="3"/>
      <c r="B2153" s="3"/>
      <c r="C2153" s="1"/>
      <c r="D2153" s="1"/>
      <c r="E2153" s="1"/>
      <c r="F2153" s="1"/>
      <c r="G2153" s="3"/>
      <c r="H2153" s="11">
        <f t="shared" si="66"/>
        <v>2</v>
      </c>
      <c r="I2153" s="9">
        <f>($K$2+0.02)*Tabla1[[#This Row],[PRECIO $]]*1.18</f>
        <v>0</v>
      </c>
      <c r="J2153" s="7">
        <f>+Tabla1[[#This Row],[PRECIO EN SOLES]]-Tabla1[[#This Row],[PC]]</f>
        <v>2</v>
      </c>
      <c r="K2153" s="15"/>
      <c r="L2153" s="15" t="str">
        <f t="shared" si="67"/>
        <v>NORMAL</v>
      </c>
    </row>
    <row r="2154" spans="1:12" x14ac:dyDescent="0.25">
      <c r="A2154" s="3"/>
      <c r="B2154" s="3"/>
      <c r="C2154" s="1"/>
      <c r="D2154" s="1"/>
      <c r="E2154" s="1"/>
      <c r="F2154" s="1"/>
      <c r="G2154" s="3"/>
      <c r="H2154" s="11">
        <f t="shared" si="66"/>
        <v>2</v>
      </c>
      <c r="I2154" s="9">
        <f>($K$2+0.02)*Tabla1[[#This Row],[PRECIO $]]*1.18</f>
        <v>0</v>
      </c>
      <c r="J2154" s="7">
        <f>+Tabla1[[#This Row],[PRECIO EN SOLES]]-Tabla1[[#This Row],[PC]]</f>
        <v>2</v>
      </c>
      <c r="K2154" s="15"/>
      <c r="L2154" s="15" t="str">
        <f t="shared" si="67"/>
        <v>NORMAL</v>
      </c>
    </row>
    <row r="2155" spans="1:12" x14ac:dyDescent="0.25">
      <c r="A2155" s="3"/>
      <c r="B2155" s="3"/>
      <c r="C2155" s="1"/>
      <c r="D2155" s="1"/>
      <c r="E2155" s="1"/>
      <c r="F2155" s="1"/>
      <c r="G2155" s="3"/>
      <c r="H2155" s="11">
        <f t="shared" si="66"/>
        <v>2</v>
      </c>
      <c r="I2155" s="9">
        <f>($K$2+0.02)*Tabla1[[#This Row],[PRECIO $]]*1.18</f>
        <v>0</v>
      </c>
      <c r="J2155" s="7">
        <f>+Tabla1[[#This Row],[PRECIO EN SOLES]]-Tabla1[[#This Row],[PC]]</f>
        <v>2</v>
      </c>
      <c r="K2155" s="15"/>
      <c r="L2155" s="15" t="str">
        <f t="shared" si="67"/>
        <v>NORMAL</v>
      </c>
    </row>
    <row r="2156" spans="1:12" x14ac:dyDescent="0.25">
      <c r="A2156" s="3"/>
      <c r="B2156" s="3"/>
      <c r="C2156" s="1"/>
      <c r="D2156" s="1"/>
      <c r="E2156" s="1"/>
      <c r="F2156" s="1"/>
      <c r="G2156" s="3"/>
      <c r="H2156" s="11">
        <f t="shared" si="66"/>
        <v>2</v>
      </c>
      <c r="I2156" s="9">
        <f>($K$2+0.02)*Tabla1[[#This Row],[PRECIO $]]*1.18</f>
        <v>0</v>
      </c>
      <c r="J2156" s="7">
        <f>+Tabla1[[#This Row],[PRECIO EN SOLES]]-Tabla1[[#This Row],[PC]]</f>
        <v>2</v>
      </c>
      <c r="K2156" s="15"/>
      <c r="L2156" s="15" t="str">
        <f t="shared" si="67"/>
        <v>NORMAL</v>
      </c>
    </row>
    <row r="2157" spans="1:12" x14ac:dyDescent="0.25">
      <c r="A2157" s="3"/>
      <c r="B2157" s="3"/>
      <c r="C2157" s="1"/>
      <c r="D2157" s="1"/>
      <c r="E2157" s="1"/>
      <c r="F2157" s="1"/>
      <c r="G2157" s="3"/>
      <c r="H2157" s="11">
        <f t="shared" si="66"/>
        <v>2</v>
      </c>
      <c r="I2157" s="9">
        <f>($K$2+0.02)*Tabla1[[#This Row],[PRECIO $]]*1.18</f>
        <v>0</v>
      </c>
      <c r="J2157" s="7">
        <f>+Tabla1[[#This Row],[PRECIO EN SOLES]]-Tabla1[[#This Row],[PC]]</f>
        <v>2</v>
      </c>
      <c r="K2157" s="15"/>
      <c r="L2157" s="15" t="str">
        <f t="shared" si="67"/>
        <v>NORMAL</v>
      </c>
    </row>
    <row r="2158" spans="1:12" x14ac:dyDescent="0.25">
      <c r="A2158" s="3"/>
      <c r="B2158" s="3"/>
      <c r="C2158" s="1"/>
      <c r="D2158" s="1"/>
      <c r="E2158" s="1"/>
      <c r="F2158" s="1"/>
      <c r="G2158" s="3"/>
      <c r="H2158" s="11">
        <f t="shared" si="66"/>
        <v>2</v>
      </c>
      <c r="I2158" s="9">
        <f>($K$2+0.02)*Tabla1[[#This Row],[PRECIO $]]*1.18</f>
        <v>0</v>
      </c>
      <c r="J2158" s="7">
        <f>+Tabla1[[#This Row],[PRECIO EN SOLES]]-Tabla1[[#This Row],[PC]]</f>
        <v>2</v>
      </c>
      <c r="K2158" s="15"/>
      <c r="L2158" s="15" t="str">
        <f t="shared" si="67"/>
        <v>NORMAL</v>
      </c>
    </row>
    <row r="2159" spans="1:12" x14ac:dyDescent="0.25">
      <c r="A2159" s="3"/>
      <c r="B2159" s="3"/>
      <c r="C2159" s="1"/>
      <c r="D2159" s="1"/>
      <c r="E2159" s="1"/>
      <c r="F2159" s="1"/>
      <c r="G2159" s="3"/>
      <c r="H2159" s="11">
        <f t="shared" si="66"/>
        <v>2</v>
      </c>
      <c r="I2159" s="9">
        <f>($K$2+0.02)*Tabla1[[#This Row],[PRECIO $]]*1.18</f>
        <v>0</v>
      </c>
      <c r="J2159" s="7">
        <f>+Tabla1[[#This Row],[PRECIO EN SOLES]]-Tabla1[[#This Row],[PC]]</f>
        <v>2</v>
      </c>
      <c r="K2159" s="15"/>
      <c r="L2159" s="15" t="str">
        <f t="shared" si="67"/>
        <v>NORMAL</v>
      </c>
    </row>
    <row r="2160" spans="1:12" x14ac:dyDescent="0.25">
      <c r="A2160" s="3"/>
      <c r="B2160" s="3"/>
      <c r="C2160" s="1"/>
      <c r="D2160" s="1"/>
      <c r="E2160" s="1"/>
      <c r="F2160" s="1"/>
      <c r="G2160" s="3"/>
      <c r="H2160" s="11">
        <f t="shared" si="66"/>
        <v>2</v>
      </c>
      <c r="I2160" s="9">
        <f>($K$2+0.02)*Tabla1[[#This Row],[PRECIO $]]*1.18</f>
        <v>0</v>
      </c>
      <c r="J2160" s="7">
        <f>+Tabla1[[#This Row],[PRECIO EN SOLES]]-Tabla1[[#This Row],[PC]]</f>
        <v>2</v>
      </c>
      <c r="K2160" s="15"/>
      <c r="L2160" s="15" t="str">
        <f t="shared" si="67"/>
        <v>NORMAL</v>
      </c>
    </row>
    <row r="2161" spans="1:12" x14ac:dyDescent="0.25">
      <c r="A2161" s="3"/>
      <c r="B2161" s="3"/>
      <c r="C2161" s="1"/>
      <c r="D2161" s="1"/>
      <c r="E2161" s="1"/>
      <c r="F2161" s="1"/>
      <c r="G2161" s="3"/>
      <c r="H2161" s="11">
        <f t="shared" si="66"/>
        <v>2</v>
      </c>
      <c r="I2161" s="9">
        <f>($K$2+0.02)*Tabla1[[#This Row],[PRECIO $]]*1.18</f>
        <v>0</v>
      </c>
      <c r="J2161" s="7">
        <f>+Tabla1[[#This Row],[PRECIO EN SOLES]]-Tabla1[[#This Row],[PC]]</f>
        <v>2</v>
      </c>
      <c r="K2161" s="15"/>
      <c r="L2161" s="15" t="str">
        <f t="shared" si="67"/>
        <v>NORMAL</v>
      </c>
    </row>
    <row r="2162" spans="1:12" x14ac:dyDescent="0.25">
      <c r="A2162" s="3"/>
      <c r="B2162" s="3"/>
      <c r="C2162" s="1"/>
      <c r="D2162" s="1"/>
      <c r="E2162" s="1"/>
      <c r="F2162" s="1"/>
      <c r="G2162" s="3"/>
      <c r="H2162" s="11">
        <f t="shared" si="66"/>
        <v>2</v>
      </c>
      <c r="I2162" s="9">
        <f>($K$2+0.02)*Tabla1[[#This Row],[PRECIO $]]*1.18</f>
        <v>0</v>
      </c>
      <c r="J2162" s="7">
        <f>+Tabla1[[#This Row],[PRECIO EN SOLES]]-Tabla1[[#This Row],[PC]]</f>
        <v>2</v>
      </c>
      <c r="K2162" s="15"/>
      <c r="L2162" s="15" t="str">
        <f t="shared" si="67"/>
        <v>NORMAL</v>
      </c>
    </row>
    <row r="2163" spans="1:12" x14ac:dyDescent="0.25">
      <c r="A2163" s="3"/>
      <c r="B2163" s="3"/>
      <c r="C2163" s="1"/>
      <c r="D2163" s="1"/>
      <c r="E2163" s="1"/>
      <c r="F2163" s="1"/>
      <c r="G2163" s="3"/>
      <c r="H2163" s="11">
        <f t="shared" si="66"/>
        <v>2</v>
      </c>
      <c r="I2163" s="9">
        <f>($K$2+0.02)*Tabla1[[#This Row],[PRECIO $]]*1.18</f>
        <v>0</v>
      </c>
      <c r="J2163" s="7">
        <f>+Tabla1[[#This Row],[PRECIO EN SOLES]]-Tabla1[[#This Row],[PC]]</f>
        <v>2</v>
      </c>
      <c r="K2163" s="15"/>
      <c r="L2163" s="15" t="str">
        <f t="shared" si="67"/>
        <v>NORMAL</v>
      </c>
    </row>
    <row r="2164" spans="1:12" x14ac:dyDescent="0.25">
      <c r="A2164" s="3"/>
      <c r="B2164" s="3"/>
      <c r="C2164" s="1"/>
      <c r="D2164" s="1"/>
      <c r="E2164" s="1"/>
      <c r="F2164" s="1"/>
      <c r="G2164" s="3"/>
      <c r="H2164" s="11">
        <f t="shared" si="66"/>
        <v>2</v>
      </c>
      <c r="I2164" s="9">
        <f>($K$2+0.02)*Tabla1[[#This Row],[PRECIO $]]*1.18</f>
        <v>0</v>
      </c>
      <c r="J2164" s="7">
        <f>+Tabla1[[#This Row],[PRECIO EN SOLES]]-Tabla1[[#This Row],[PC]]</f>
        <v>2</v>
      </c>
      <c r="K2164" s="15"/>
      <c r="L2164" s="15" t="str">
        <f t="shared" si="67"/>
        <v>NORMAL</v>
      </c>
    </row>
    <row r="2165" spans="1:12" x14ac:dyDescent="0.25">
      <c r="A2165" s="3"/>
      <c r="B2165" s="3"/>
      <c r="C2165" s="1"/>
      <c r="D2165" s="1"/>
      <c r="E2165" s="1"/>
      <c r="F2165" s="1"/>
      <c r="G2165" s="3"/>
      <c r="H2165" s="11">
        <f t="shared" si="66"/>
        <v>2</v>
      </c>
      <c r="I2165" s="9">
        <f>($K$2+0.02)*Tabla1[[#This Row],[PRECIO $]]*1.18</f>
        <v>0</v>
      </c>
      <c r="J2165" s="7">
        <f>+Tabla1[[#This Row],[PRECIO EN SOLES]]-Tabla1[[#This Row],[PC]]</f>
        <v>2</v>
      </c>
      <c r="K2165" s="15"/>
      <c r="L2165" s="15" t="str">
        <f t="shared" si="67"/>
        <v>NORMAL</v>
      </c>
    </row>
    <row r="2166" spans="1:12" x14ac:dyDescent="0.25">
      <c r="A2166" s="3"/>
      <c r="B2166" s="3"/>
      <c r="C2166" s="1"/>
      <c r="D2166" s="1"/>
      <c r="E2166" s="1"/>
      <c r="F2166" s="1"/>
      <c r="G2166" s="3"/>
      <c r="H2166" s="11">
        <f t="shared" si="66"/>
        <v>2</v>
      </c>
      <c r="I2166" s="9">
        <f>($K$2+0.02)*Tabla1[[#This Row],[PRECIO $]]*1.18</f>
        <v>0</v>
      </c>
      <c r="J2166" s="7">
        <f>+Tabla1[[#This Row],[PRECIO EN SOLES]]-Tabla1[[#This Row],[PC]]</f>
        <v>2</v>
      </c>
      <c r="K2166" s="15"/>
      <c r="L2166" s="15" t="str">
        <f t="shared" si="67"/>
        <v>NORMAL</v>
      </c>
    </row>
    <row r="2167" spans="1:12" x14ac:dyDescent="0.25">
      <c r="A2167" s="3"/>
      <c r="B2167" s="3"/>
      <c r="C2167" s="1"/>
      <c r="D2167" s="1"/>
      <c r="E2167" s="1"/>
      <c r="F2167" s="1"/>
      <c r="G2167" s="3"/>
      <c r="H2167" s="11">
        <f t="shared" si="66"/>
        <v>2</v>
      </c>
      <c r="I2167" s="9">
        <f>($K$2+0.02)*Tabla1[[#This Row],[PRECIO $]]*1.18</f>
        <v>0</v>
      </c>
      <c r="J2167" s="7">
        <f>+Tabla1[[#This Row],[PRECIO EN SOLES]]-Tabla1[[#This Row],[PC]]</f>
        <v>2</v>
      </c>
      <c r="K2167" s="15"/>
      <c r="L2167" s="15" t="str">
        <f t="shared" si="67"/>
        <v>NORMAL</v>
      </c>
    </row>
    <row r="2168" spans="1:12" x14ac:dyDescent="0.25">
      <c r="A2168" s="3"/>
      <c r="B2168" s="3"/>
      <c r="C2168" s="1"/>
      <c r="D2168" s="1"/>
      <c r="E2168" s="1"/>
      <c r="F2168" s="1"/>
      <c r="G2168" s="3"/>
      <c r="H2168" s="11">
        <f t="shared" si="66"/>
        <v>2</v>
      </c>
      <c r="I2168" s="9">
        <f>($K$2+0.02)*Tabla1[[#This Row],[PRECIO $]]*1.18</f>
        <v>0</v>
      </c>
      <c r="J2168" s="7">
        <f>+Tabla1[[#This Row],[PRECIO EN SOLES]]-Tabla1[[#This Row],[PC]]</f>
        <v>2</v>
      </c>
      <c r="K2168" s="15"/>
      <c r="L2168" s="15" t="str">
        <f t="shared" si="67"/>
        <v>NORMAL</v>
      </c>
    </row>
    <row r="2169" spans="1:12" x14ac:dyDescent="0.25">
      <c r="A2169" s="3"/>
      <c r="B2169" s="3"/>
      <c r="C2169" s="1"/>
      <c r="D2169" s="1"/>
      <c r="E2169" s="1"/>
      <c r="F2169" s="1"/>
      <c r="G2169" s="3"/>
      <c r="H2169" s="11">
        <f t="shared" si="66"/>
        <v>2</v>
      </c>
      <c r="I2169" s="9">
        <f>($K$2+0.02)*Tabla1[[#This Row],[PRECIO $]]*1.18</f>
        <v>0</v>
      </c>
      <c r="J2169" s="7">
        <f>+Tabla1[[#This Row],[PRECIO EN SOLES]]-Tabla1[[#This Row],[PC]]</f>
        <v>2</v>
      </c>
      <c r="K2169" s="15"/>
      <c r="L2169" s="15" t="str">
        <f t="shared" si="67"/>
        <v>NORMAL</v>
      </c>
    </row>
    <row r="2170" spans="1:12" x14ac:dyDescent="0.25">
      <c r="A2170" s="3"/>
      <c r="B2170" s="3"/>
      <c r="C2170" s="1"/>
      <c r="D2170" s="1"/>
      <c r="E2170" s="1"/>
      <c r="F2170" s="1"/>
      <c r="G2170" s="3"/>
      <c r="H2170" s="11">
        <f t="shared" si="66"/>
        <v>2</v>
      </c>
      <c r="I2170" s="9">
        <f>($K$2+0.02)*Tabla1[[#This Row],[PRECIO $]]*1.18</f>
        <v>0</v>
      </c>
      <c r="J2170" s="7">
        <f>+Tabla1[[#This Row],[PRECIO EN SOLES]]-Tabla1[[#This Row],[PC]]</f>
        <v>2</v>
      </c>
      <c r="K2170" s="15"/>
      <c r="L2170" s="15" t="str">
        <f t="shared" si="67"/>
        <v>NORMAL</v>
      </c>
    </row>
    <row r="2171" spans="1:12" x14ac:dyDescent="0.25">
      <c r="A2171" s="3"/>
      <c r="B2171" s="3"/>
      <c r="C2171" s="1"/>
      <c r="D2171" s="1"/>
      <c r="E2171" s="1"/>
      <c r="F2171" s="1"/>
      <c r="G2171" s="3"/>
      <c r="H2171" s="11">
        <f t="shared" si="66"/>
        <v>2</v>
      </c>
      <c r="I2171" s="9">
        <f>($K$2+0.02)*Tabla1[[#This Row],[PRECIO $]]*1.18</f>
        <v>0</v>
      </c>
      <c r="J2171" s="7">
        <f>+Tabla1[[#This Row],[PRECIO EN SOLES]]-Tabla1[[#This Row],[PC]]</f>
        <v>2</v>
      </c>
      <c r="K2171" s="15"/>
      <c r="L2171" s="15" t="str">
        <f t="shared" si="67"/>
        <v>NORMAL</v>
      </c>
    </row>
    <row r="2172" spans="1:12" x14ac:dyDescent="0.25">
      <c r="A2172" s="3"/>
      <c r="B2172" s="3"/>
      <c r="C2172" s="1"/>
      <c r="D2172" s="1"/>
      <c r="E2172" s="1"/>
      <c r="F2172" s="1"/>
      <c r="G2172" s="3"/>
      <c r="H2172" s="11">
        <f t="shared" si="66"/>
        <v>2</v>
      </c>
      <c r="I2172" s="9">
        <f>($K$2+0.02)*Tabla1[[#This Row],[PRECIO $]]*1.18</f>
        <v>0</v>
      </c>
      <c r="J2172" s="7">
        <f>+Tabla1[[#This Row],[PRECIO EN SOLES]]-Tabla1[[#This Row],[PC]]</f>
        <v>2</v>
      </c>
      <c r="K2172" s="15"/>
      <c r="L2172" s="15" t="str">
        <f t="shared" si="67"/>
        <v>NORMAL</v>
      </c>
    </row>
    <row r="2173" spans="1:12" x14ac:dyDescent="0.25">
      <c r="A2173" s="3"/>
      <c r="B2173" s="3"/>
      <c r="C2173" s="1"/>
      <c r="D2173" s="1"/>
      <c r="E2173" s="1"/>
      <c r="F2173" s="1"/>
      <c r="G2173" s="3"/>
      <c r="H2173" s="11">
        <f t="shared" si="66"/>
        <v>2</v>
      </c>
      <c r="I2173" s="9">
        <f>($K$2+0.02)*Tabla1[[#This Row],[PRECIO $]]*1.18</f>
        <v>0</v>
      </c>
      <c r="J2173" s="7">
        <f>+Tabla1[[#This Row],[PRECIO EN SOLES]]-Tabla1[[#This Row],[PC]]</f>
        <v>2</v>
      </c>
      <c r="K2173" s="15"/>
      <c r="L2173" s="15" t="str">
        <f t="shared" si="67"/>
        <v>NORMAL</v>
      </c>
    </row>
    <row r="2174" spans="1:12" x14ac:dyDescent="0.25">
      <c r="A2174" s="3"/>
      <c r="B2174" s="3"/>
      <c r="C2174" s="1"/>
      <c r="D2174" s="1"/>
      <c r="E2174" s="1"/>
      <c r="F2174" s="1"/>
      <c r="G2174" s="3"/>
      <c r="H2174" s="11">
        <f t="shared" si="66"/>
        <v>2</v>
      </c>
      <c r="I2174" s="9">
        <f>($K$2+0.02)*Tabla1[[#This Row],[PRECIO $]]*1.18</f>
        <v>0</v>
      </c>
      <c r="J2174" s="7">
        <f>+Tabla1[[#This Row],[PRECIO EN SOLES]]-Tabla1[[#This Row],[PC]]</f>
        <v>2</v>
      </c>
      <c r="K2174" s="15"/>
      <c r="L2174" s="15" t="str">
        <f t="shared" si="67"/>
        <v>NORMAL</v>
      </c>
    </row>
    <row r="2175" spans="1:12" x14ac:dyDescent="0.25">
      <c r="A2175" s="3"/>
      <c r="B2175" s="3"/>
      <c r="C2175" s="1"/>
      <c r="D2175" s="1"/>
      <c r="E2175" s="1"/>
      <c r="F2175" s="1"/>
      <c r="G2175" s="3"/>
      <c r="H2175" s="11">
        <f t="shared" si="66"/>
        <v>2</v>
      </c>
      <c r="I2175" s="9">
        <f>($K$2+0.02)*Tabla1[[#This Row],[PRECIO $]]*1.18</f>
        <v>0</v>
      </c>
      <c r="J2175" s="7">
        <f>+Tabla1[[#This Row],[PRECIO EN SOLES]]-Tabla1[[#This Row],[PC]]</f>
        <v>2</v>
      </c>
      <c r="K2175" s="15"/>
      <c r="L2175" s="15" t="str">
        <f t="shared" si="67"/>
        <v>NORMAL</v>
      </c>
    </row>
    <row r="2176" spans="1:12" x14ac:dyDescent="0.25">
      <c r="A2176" s="3"/>
      <c r="B2176" s="3"/>
      <c r="C2176" s="1"/>
      <c r="D2176" s="1"/>
      <c r="E2176" s="1"/>
      <c r="F2176" s="1"/>
      <c r="G2176" s="3"/>
      <c r="H2176" s="11">
        <f t="shared" si="66"/>
        <v>2</v>
      </c>
      <c r="I2176" s="9">
        <f>($K$2+0.02)*Tabla1[[#This Row],[PRECIO $]]*1.18</f>
        <v>0</v>
      </c>
      <c r="J2176" s="7">
        <f>+Tabla1[[#This Row],[PRECIO EN SOLES]]-Tabla1[[#This Row],[PC]]</f>
        <v>2</v>
      </c>
      <c r="K2176" s="15"/>
      <c r="L2176" s="15" t="str">
        <f t="shared" si="67"/>
        <v>NORMAL</v>
      </c>
    </row>
    <row r="2177" spans="1:12" x14ac:dyDescent="0.25">
      <c r="A2177" s="3"/>
      <c r="B2177" s="3"/>
      <c r="C2177" s="1"/>
      <c r="D2177" s="1"/>
      <c r="E2177" s="1"/>
      <c r="F2177" s="1"/>
      <c r="G2177" s="3"/>
      <c r="H2177" s="11">
        <f t="shared" si="66"/>
        <v>2</v>
      </c>
      <c r="I2177" s="9">
        <f>($K$2+0.02)*Tabla1[[#This Row],[PRECIO $]]*1.18</f>
        <v>0</v>
      </c>
      <c r="J2177" s="7">
        <f>+Tabla1[[#This Row],[PRECIO EN SOLES]]-Tabla1[[#This Row],[PC]]</f>
        <v>2</v>
      </c>
      <c r="K2177" s="15"/>
      <c r="L2177" s="15" t="str">
        <f t="shared" si="67"/>
        <v>NORMAL</v>
      </c>
    </row>
    <row r="2178" spans="1:12" x14ac:dyDescent="0.25">
      <c r="A2178" s="3"/>
      <c r="B2178" s="3"/>
      <c r="C2178" s="1"/>
      <c r="D2178" s="1"/>
      <c r="E2178" s="1"/>
      <c r="F2178" s="1"/>
      <c r="G2178" s="3"/>
      <c r="H2178" s="11">
        <f t="shared" ref="H2178:H2241" si="68">ROUND(
IF(L2178="GANCHO",
   IF(I2178&lt;=50,I2178*1.1+4,IF(I2178&lt;=120,I2178*1.1+7,IF(I2178&lt;=250,I2178*1.1+11,I2178*1.1+19))),
IF(L2178="NORMAL",
   IF(I2178&lt;=30,I2178*1.15+2,IF(I2178&lt;=80,I2178*1.15+4,IF(I2178&lt;=150,I2178*1.15+6,I2178*1.15+8))),
IF(L2178="COMPLEMENTO",
   IF(I2178&lt;=25,I2178*1.25+1.5,IF(I2178&lt;=60,I2178*1.25+3,IF(I2178&lt;=120,I2178*1.25+4,I2178*1.25+5))),
""))),2)</f>
        <v>2</v>
      </c>
      <c r="I2178" s="9">
        <f>($K$2+0.02)*Tabla1[[#This Row],[PRECIO $]]*1.18</f>
        <v>0</v>
      </c>
      <c r="J2178" s="7">
        <f>+Tabla1[[#This Row],[PRECIO EN SOLES]]-Tabla1[[#This Row],[PC]]</f>
        <v>2</v>
      </c>
      <c r="K2178" s="15"/>
      <c r="L2178" s="15" t="str">
        <f t="shared" si="67"/>
        <v>NORMAL</v>
      </c>
    </row>
    <row r="2179" spans="1:12" x14ac:dyDescent="0.25">
      <c r="A2179" s="3"/>
      <c r="B2179" s="3"/>
      <c r="C2179" s="1"/>
      <c r="D2179" s="1"/>
      <c r="E2179" s="1"/>
      <c r="F2179" s="1"/>
      <c r="G2179" s="3"/>
      <c r="H2179" s="11">
        <f t="shared" si="68"/>
        <v>2</v>
      </c>
      <c r="I2179" s="9">
        <f>($K$2+0.02)*Tabla1[[#This Row],[PRECIO $]]*1.18</f>
        <v>0</v>
      </c>
      <c r="J2179" s="7">
        <f>+Tabla1[[#This Row],[PRECIO EN SOLES]]-Tabla1[[#This Row],[PC]]</f>
        <v>2</v>
      </c>
      <c r="K2179" s="15"/>
      <c r="L2179" s="15" t="str">
        <f t="shared" ref="L2179:L2242" si="69">IF(
OR(
ISNUMBER(SEARCH("BACKPACK",B2179)),
ISNUMBER(SEARCH("MOCHILA",B2179)),
ISNUMBER(SEARCH("FUNDA",B2179)),
ISNUMBER(SEARCH("ESTUCHE",B2179)),
ISNUMBER(SEARCH("BOOK COVER",B2179)),
ISNUMBER(SEARCH("KEYBOARD PARA TABLET",B2179)),
ISNUMBER(SEARCH("FLIP TABLET",B2179)),
ISNUMBER(SEARCH("CASE FOR TABLET",B2179)),
ISNUMBER(SEARCH("CABLE",B2179)),
ISNUMBER(SEARCH("ADAPTADOR",B2179)),
ISNUMBER(SEARCH("HUB",B2179)),
ISNUMBER(SEARCH("DOCK",B2179)),
ISNUMBER(SEARCH("MOUSE PAD",B2179)),
ISNUMBER(SEARCH("MOUSEPAD",B2179)),
ISNUMBER(SEARCH("SOPORTE",B2179)),
ISNUMBER(SEARCH("STAND",B2179)),
ISNUMBER(SEARCH("TRAVEL ADAPTER",B2179)),
ISNUMBER(SEARCH("RJ45",B2179)),
ISNUMBER(SEARCH("USB-C",B2179)),
ISNUMBER(SEARCH("USB WIFI",B2179)),
ISNUMBER(SEARCH("POWERBANK",B2179)),
ISNUMBER(SEARCH("CARGADOR",B2179)),
ISNUMBER(SEARCH("COOLER PARA NB",B2179)),
ISNUMBER(SEARCH("SOPORTE PARA NB",B2179)),
ISNUMBER(SEARCH("WEBCAM",B2179)),
ISNUMBER(SEARCH("WEB CAM",B2179)),
ISNUMBER(SEARCH("MOUSE",B2179)),
ISNUMBER(SEARCH("TECLADO",B2179))
),
"COMPLEMENTO",
IF(
OR(
LEFT(A2179,2)="NB",
LEFT(A2179,2)="PC",
LEFT(A2179,2)="WS",
LEFT(A2179,2)="TB",
LEFT(A2179,3)="CEL",
LEFT(A2179,3)="MON",
LEFT(A2179,3)="PRE",
LEFT(A2179,3)="PRH",
ISNUMBER(SEARCH("NOTEBOOK",B2179)),
ISNUMBER(SEARCH("LAPTOP",B2179)),
ISNUMBER(SEARCH("MONITOR",B2179)),
ISNUMBER(SEARCH("TABLET",B2179)),
ISNUMBER(SEARCH("SMARTPH",B2179)),
ISNUMBER(SEARCH("IMPRESORA",B2179)),
ISNUMBER(SEARCH("MULTIFUNCIONAL",B2179)),
ISNUMBER(SEARCH("AIO",B2179))
),
"GANCHO",
"NORMAL"
)
)</f>
        <v>NORMAL</v>
      </c>
    </row>
    <row r="2180" spans="1:12" x14ac:dyDescent="0.25">
      <c r="A2180" s="3"/>
      <c r="B2180" s="3"/>
      <c r="C2180" s="1"/>
      <c r="D2180" s="1"/>
      <c r="E2180" s="1"/>
      <c r="F2180" s="1"/>
      <c r="G2180" s="3"/>
      <c r="H2180" s="11">
        <f t="shared" si="68"/>
        <v>2</v>
      </c>
      <c r="I2180" s="9">
        <f>($K$2+0.02)*Tabla1[[#This Row],[PRECIO $]]*1.18</f>
        <v>0</v>
      </c>
      <c r="J2180" s="7">
        <f>+Tabla1[[#This Row],[PRECIO EN SOLES]]-Tabla1[[#This Row],[PC]]</f>
        <v>2</v>
      </c>
      <c r="K2180" s="15"/>
      <c r="L2180" s="15" t="str">
        <f t="shared" si="69"/>
        <v>NORMAL</v>
      </c>
    </row>
    <row r="2181" spans="1:12" x14ac:dyDescent="0.25">
      <c r="A2181" s="3"/>
      <c r="B2181" s="3"/>
      <c r="C2181" s="1"/>
      <c r="D2181" s="1"/>
      <c r="E2181" s="1"/>
      <c r="F2181" s="1"/>
      <c r="G2181" s="3"/>
      <c r="H2181" s="11">
        <f t="shared" si="68"/>
        <v>2</v>
      </c>
      <c r="I2181" s="9">
        <f>($K$2+0.02)*Tabla1[[#This Row],[PRECIO $]]*1.18</f>
        <v>0</v>
      </c>
      <c r="J2181" s="7">
        <f>+Tabla1[[#This Row],[PRECIO EN SOLES]]-Tabla1[[#This Row],[PC]]</f>
        <v>2</v>
      </c>
      <c r="K2181" s="15"/>
      <c r="L2181" s="15" t="str">
        <f t="shared" si="69"/>
        <v>NORMAL</v>
      </c>
    </row>
    <row r="2182" spans="1:12" x14ac:dyDescent="0.25">
      <c r="A2182" s="3"/>
      <c r="B2182" s="3"/>
      <c r="C2182" s="1"/>
      <c r="D2182" s="1"/>
      <c r="E2182" s="1"/>
      <c r="F2182" s="1"/>
      <c r="G2182" s="3"/>
      <c r="H2182" s="11">
        <f t="shared" si="68"/>
        <v>2</v>
      </c>
      <c r="I2182" s="9">
        <f>($K$2+0.02)*Tabla1[[#This Row],[PRECIO $]]*1.18</f>
        <v>0</v>
      </c>
      <c r="J2182" s="7">
        <f>+Tabla1[[#This Row],[PRECIO EN SOLES]]-Tabla1[[#This Row],[PC]]</f>
        <v>2</v>
      </c>
      <c r="K2182" s="15"/>
      <c r="L2182" s="15" t="str">
        <f t="shared" si="69"/>
        <v>NORMAL</v>
      </c>
    </row>
    <row r="2183" spans="1:12" x14ac:dyDescent="0.25">
      <c r="A2183" s="3"/>
      <c r="B2183" s="3"/>
      <c r="C2183" s="1"/>
      <c r="D2183" s="1"/>
      <c r="E2183" s="1"/>
      <c r="F2183" s="1"/>
      <c r="G2183" s="3"/>
      <c r="H2183" s="11">
        <f t="shared" si="68"/>
        <v>2</v>
      </c>
      <c r="I2183" s="9">
        <f>($K$2+0.02)*Tabla1[[#This Row],[PRECIO $]]*1.18</f>
        <v>0</v>
      </c>
      <c r="J2183" s="7">
        <f>+Tabla1[[#This Row],[PRECIO EN SOLES]]-Tabla1[[#This Row],[PC]]</f>
        <v>2</v>
      </c>
      <c r="K2183" s="15"/>
      <c r="L2183" s="15" t="str">
        <f t="shared" si="69"/>
        <v>NORMAL</v>
      </c>
    </row>
    <row r="2184" spans="1:12" x14ac:dyDescent="0.25">
      <c r="A2184" s="3"/>
      <c r="B2184" s="3"/>
      <c r="C2184" s="1"/>
      <c r="D2184" s="1"/>
      <c r="E2184" s="1"/>
      <c r="F2184" s="1"/>
      <c r="G2184" s="3"/>
      <c r="H2184" s="11">
        <f t="shared" si="68"/>
        <v>2</v>
      </c>
      <c r="I2184" s="9">
        <f>($K$2+0.02)*Tabla1[[#This Row],[PRECIO $]]*1.18</f>
        <v>0</v>
      </c>
      <c r="J2184" s="7">
        <f>+Tabla1[[#This Row],[PRECIO EN SOLES]]-Tabla1[[#This Row],[PC]]</f>
        <v>2</v>
      </c>
      <c r="K2184" s="15"/>
      <c r="L2184" s="15" t="str">
        <f t="shared" si="69"/>
        <v>NORMAL</v>
      </c>
    </row>
    <row r="2185" spans="1:12" x14ac:dyDescent="0.25">
      <c r="A2185" s="3"/>
      <c r="B2185" s="3"/>
      <c r="C2185" s="1"/>
      <c r="D2185" s="1"/>
      <c r="E2185" s="1"/>
      <c r="F2185" s="1"/>
      <c r="G2185" s="3"/>
      <c r="H2185" s="11">
        <f t="shared" si="68"/>
        <v>2</v>
      </c>
      <c r="I2185" s="9">
        <f>($K$2+0.02)*Tabla1[[#This Row],[PRECIO $]]*1.18</f>
        <v>0</v>
      </c>
      <c r="J2185" s="7">
        <f>+Tabla1[[#This Row],[PRECIO EN SOLES]]-Tabla1[[#This Row],[PC]]</f>
        <v>2</v>
      </c>
      <c r="K2185" s="15"/>
      <c r="L2185" s="15" t="str">
        <f t="shared" si="69"/>
        <v>NORMAL</v>
      </c>
    </row>
    <row r="2186" spans="1:12" x14ac:dyDescent="0.25">
      <c r="A2186" s="3"/>
      <c r="B2186" s="3"/>
      <c r="C2186" s="1"/>
      <c r="D2186" s="1"/>
      <c r="E2186" s="1"/>
      <c r="F2186" s="1"/>
      <c r="G2186" s="3"/>
      <c r="H2186" s="11">
        <f t="shared" si="68"/>
        <v>2</v>
      </c>
      <c r="I2186" s="9">
        <f>($K$2+0.02)*Tabla1[[#This Row],[PRECIO $]]*1.18</f>
        <v>0</v>
      </c>
      <c r="J2186" s="7">
        <f>+Tabla1[[#This Row],[PRECIO EN SOLES]]-Tabla1[[#This Row],[PC]]</f>
        <v>2</v>
      </c>
      <c r="K2186" s="15"/>
      <c r="L2186" s="15" t="str">
        <f t="shared" si="69"/>
        <v>NORMAL</v>
      </c>
    </row>
    <row r="2187" spans="1:12" x14ac:dyDescent="0.25">
      <c r="A2187" s="3"/>
      <c r="B2187" s="3"/>
      <c r="C2187" s="1"/>
      <c r="D2187" s="1"/>
      <c r="E2187" s="1"/>
      <c r="F2187" s="1"/>
      <c r="G2187" s="3"/>
      <c r="H2187" s="11">
        <f t="shared" si="68"/>
        <v>2</v>
      </c>
      <c r="I2187" s="9">
        <f>($K$2+0.02)*Tabla1[[#This Row],[PRECIO $]]*1.18</f>
        <v>0</v>
      </c>
      <c r="J2187" s="7">
        <f>+Tabla1[[#This Row],[PRECIO EN SOLES]]-Tabla1[[#This Row],[PC]]</f>
        <v>2</v>
      </c>
      <c r="K2187" s="15"/>
      <c r="L2187" s="15" t="str">
        <f t="shared" si="69"/>
        <v>NORMAL</v>
      </c>
    </row>
    <row r="2188" spans="1:12" x14ac:dyDescent="0.25">
      <c r="A2188" s="3"/>
      <c r="B2188" s="3"/>
      <c r="C2188" s="1"/>
      <c r="D2188" s="1"/>
      <c r="E2188" s="1"/>
      <c r="F2188" s="1"/>
      <c r="G2188" s="3"/>
      <c r="H2188" s="11">
        <f t="shared" si="68"/>
        <v>2</v>
      </c>
      <c r="I2188" s="9">
        <f>($K$2+0.02)*Tabla1[[#This Row],[PRECIO $]]*1.18</f>
        <v>0</v>
      </c>
      <c r="J2188" s="7">
        <f>+Tabla1[[#This Row],[PRECIO EN SOLES]]-Tabla1[[#This Row],[PC]]</f>
        <v>2</v>
      </c>
      <c r="K2188" s="15"/>
      <c r="L2188" s="15" t="str">
        <f t="shared" si="69"/>
        <v>NORMAL</v>
      </c>
    </row>
    <row r="2189" spans="1:12" x14ac:dyDescent="0.25">
      <c r="A2189" s="3"/>
      <c r="B2189" s="3"/>
      <c r="C2189" s="1"/>
      <c r="D2189" s="1"/>
      <c r="E2189" s="1"/>
      <c r="F2189" s="1"/>
      <c r="G2189" s="3"/>
      <c r="H2189" s="11">
        <f t="shared" si="68"/>
        <v>2</v>
      </c>
      <c r="I2189" s="9">
        <f>($K$2+0.02)*Tabla1[[#This Row],[PRECIO $]]*1.18</f>
        <v>0</v>
      </c>
      <c r="J2189" s="7">
        <f>+Tabla1[[#This Row],[PRECIO EN SOLES]]-Tabla1[[#This Row],[PC]]</f>
        <v>2</v>
      </c>
      <c r="K2189" s="15"/>
      <c r="L2189" s="15" t="str">
        <f t="shared" si="69"/>
        <v>NORMAL</v>
      </c>
    </row>
    <row r="2190" spans="1:12" x14ac:dyDescent="0.25">
      <c r="A2190" s="3"/>
      <c r="B2190" s="3"/>
      <c r="C2190" s="1"/>
      <c r="D2190" s="1"/>
      <c r="E2190" s="1"/>
      <c r="F2190" s="1"/>
      <c r="G2190" s="3"/>
      <c r="H2190" s="11">
        <f t="shared" si="68"/>
        <v>2</v>
      </c>
      <c r="I2190" s="9">
        <f>($K$2+0.02)*Tabla1[[#This Row],[PRECIO $]]*1.18</f>
        <v>0</v>
      </c>
      <c r="J2190" s="7">
        <f>+Tabla1[[#This Row],[PRECIO EN SOLES]]-Tabla1[[#This Row],[PC]]</f>
        <v>2</v>
      </c>
      <c r="K2190" s="15"/>
      <c r="L2190" s="15" t="str">
        <f t="shared" si="69"/>
        <v>NORMAL</v>
      </c>
    </row>
    <row r="2191" spans="1:12" x14ac:dyDescent="0.25">
      <c r="A2191" s="3"/>
      <c r="B2191" s="3"/>
      <c r="C2191" s="1"/>
      <c r="D2191" s="1"/>
      <c r="E2191" s="1"/>
      <c r="F2191" s="1"/>
      <c r="G2191" s="3"/>
      <c r="H2191" s="11">
        <f t="shared" si="68"/>
        <v>2</v>
      </c>
      <c r="I2191" s="9">
        <f>($K$2+0.02)*Tabla1[[#This Row],[PRECIO $]]*1.18</f>
        <v>0</v>
      </c>
      <c r="J2191" s="7">
        <f>+Tabla1[[#This Row],[PRECIO EN SOLES]]-Tabla1[[#This Row],[PC]]</f>
        <v>2</v>
      </c>
      <c r="K2191" s="15"/>
      <c r="L2191" s="15" t="str">
        <f t="shared" si="69"/>
        <v>NORMAL</v>
      </c>
    </row>
    <row r="2192" spans="1:12" x14ac:dyDescent="0.25">
      <c r="A2192" s="3"/>
      <c r="B2192" s="3"/>
      <c r="C2192" s="1"/>
      <c r="D2192" s="1"/>
      <c r="E2192" s="1"/>
      <c r="F2192" s="1"/>
      <c r="G2192" s="3"/>
      <c r="H2192" s="11">
        <f t="shared" si="68"/>
        <v>2</v>
      </c>
      <c r="I2192" s="9">
        <f>($K$2+0.02)*Tabla1[[#This Row],[PRECIO $]]*1.18</f>
        <v>0</v>
      </c>
      <c r="J2192" s="7">
        <f>+Tabla1[[#This Row],[PRECIO EN SOLES]]-Tabla1[[#This Row],[PC]]</f>
        <v>2</v>
      </c>
      <c r="K2192" s="15"/>
      <c r="L2192" s="15" t="str">
        <f t="shared" si="69"/>
        <v>NORMAL</v>
      </c>
    </row>
    <row r="2193" spans="1:12" x14ac:dyDescent="0.25">
      <c r="A2193" s="3"/>
      <c r="B2193" s="3"/>
      <c r="C2193" s="1"/>
      <c r="D2193" s="1"/>
      <c r="E2193" s="1"/>
      <c r="F2193" s="1"/>
      <c r="G2193" s="3"/>
      <c r="H2193" s="11">
        <f t="shared" si="68"/>
        <v>2</v>
      </c>
      <c r="I2193" s="9">
        <f>($K$2+0.02)*Tabla1[[#This Row],[PRECIO $]]*1.18</f>
        <v>0</v>
      </c>
      <c r="J2193" s="7">
        <f>+Tabla1[[#This Row],[PRECIO EN SOLES]]-Tabla1[[#This Row],[PC]]</f>
        <v>2</v>
      </c>
      <c r="K2193" s="15"/>
      <c r="L2193" s="15" t="str">
        <f t="shared" si="69"/>
        <v>NORMAL</v>
      </c>
    </row>
    <row r="2194" spans="1:12" x14ac:dyDescent="0.25">
      <c r="A2194" s="3"/>
      <c r="B2194" s="3"/>
      <c r="C2194" s="1"/>
      <c r="D2194" s="1"/>
      <c r="E2194" s="1"/>
      <c r="F2194" s="1"/>
      <c r="G2194" s="3"/>
      <c r="H2194" s="11">
        <f t="shared" si="68"/>
        <v>2</v>
      </c>
      <c r="I2194" s="9">
        <f>($K$2+0.02)*Tabla1[[#This Row],[PRECIO $]]*1.18</f>
        <v>0</v>
      </c>
      <c r="J2194" s="7">
        <f>+Tabla1[[#This Row],[PRECIO EN SOLES]]-Tabla1[[#This Row],[PC]]</f>
        <v>2</v>
      </c>
      <c r="K2194" s="15"/>
      <c r="L2194" s="15" t="str">
        <f t="shared" si="69"/>
        <v>NORMAL</v>
      </c>
    </row>
    <row r="2195" spans="1:12" x14ac:dyDescent="0.25">
      <c r="A2195" s="3"/>
      <c r="B2195" s="3"/>
      <c r="C2195" s="1"/>
      <c r="D2195" s="1"/>
      <c r="E2195" s="1"/>
      <c r="F2195" s="1"/>
      <c r="G2195" s="3"/>
      <c r="H2195" s="11">
        <f t="shared" si="68"/>
        <v>2</v>
      </c>
      <c r="I2195" s="9">
        <f>($K$2+0.02)*Tabla1[[#This Row],[PRECIO $]]*1.18</f>
        <v>0</v>
      </c>
      <c r="J2195" s="7">
        <f>+Tabla1[[#This Row],[PRECIO EN SOLES]]-Tabla1[[#This Row],[PC]]</f>
        <v>2</v>
      </c>
      <c r="K2195" s="15"/>
      <c r="L2195" s="15" t="str">
        <f t="shared" si="69"/>
        <v>NORMAL</v>
      </c>
    </row>
    <row r="2196" spans="1:12" x14ac:dyDescent="0.25">
      <c r="A2196" s="3"/>
      <c r="B2196" s="3"/>
      <c r="C2196" s="1"/>
      <c r="D2196" s="1"/>
      <c r="E2196" s="1"/>
      <c r="F2196" s="1"/>
      <c r="G2196" s="3"/>
      <c r="H2196" s="11">
        <f t="shared" si="68"/>
        <v>2</v>
      </c>
      <c r="I2196" s="9">
        <f>($K$2+0.02)*Tabla1[[#This Row],[PRECIO $]]*1.18</f>
        <v>0</v>
      </c>
      <c r="J2196" s="7">
        <f>+Tabla1[[#This Row],[PRECIO EN SOLES]]-Tabla1[[#This Row],[PC]]</f>
        <v>2</v>
      </c>
      <c r="K2196" s="15"/>
      <c r="L2196" s="15" t="str">
        <f t="shared" si="69"/>
        <v>NORMAL</v>
      </c>
    </row>
    <row r="2197" spans="1:12" x14ac:dyDescent="0.25">
      <c r="A2197" s="3"/>
      <c r="B2197" s="3"/>
      <c r="C2197" s="1"/>
      <c r="D2197" s="1"/>
      <c r="E2197" s="1"/>
      <c r="F2197" s="1"/>
      <c r="G2197" s="3"/>
      <c r="H2197" s="11">
        <f t="shared" si="68"/>
        <v>2</v>
      </c>
      <c r="I2197" s="9">
        <f>($K$2+0.02)*Tabla1[[#This Row],[PRECIO $]]*1.18</f>
        <v>0</v>
      </c>
      <c r="J2197" s="7">
        <f>+Tabla1[[#This Row],[PRECIO EN SOLES]]-Tabla1[[#This Row],[PC]]</f>
        <v>2</v>
      </c>
      <c r="K2197" s="15"/>
      <c r="L2197" s="15" t="str">
        <f t="shared" si="69"/>
        <v>NORMAL</v>
      </c>
    </row>
    <row r="2198" spans="1:12" x14ac:dyDescent="0.25">
      <c r="A2198" s="3"/>
      <c r="B2198" s="3"/>
      <c r="C2198" s="1"/>
      <c r="D2198" s="1"/>
      <c r="E2198" s="1"/>
      <c r="F2198" s="1"/>
      <c r="G2198" s="3"/>
      <c r="H2198" s="11">
        <f t="shared" si="68"/>
        <v>2</v>
      </c>
      <c r="I2198" s="9">
        <f>($K$2+0.02)*Tabla1[[#This Row],[PRECIO $]]*1.18</f>
        <v>0</v>
      </c>
      <c r="J2198" s="7">
        <f>+Tabla1[[#This Row],[PRECIO EN SOLES]]-Tabla1[[#This Row],[PC]]</f>
        <v>2</v>
      </c>
      <c r="K2198" s="15"/>
      <c r="L2198" s="15" t="str">
        <f t="shared" si="69"/>
        <v>NORMAL</v>
      </c>
    </row>
    <row r="2199" spans="1:12" x14ac:dyDescent="0.25">
      <c r="A2199" s="3"/>
      <c r="B2199" s="3"/>
      <c r="C2199" s="1"/>
      <c r="D2199" s="1"/>
      <c r="E2199" s="1"/>
      <c r="F2199" s="1"/>
      <c r="G2199" s="3"/>
      <c r="H2199" s="11">
        <f t="shared" si="68"/>
        <v>2</v>
      </c>
      <c r="I2199" s="9">
        <f>($K$2+0.02)*Tabla1[[#This Row],[PRECIO $]]*1.18</f>
        <v>0</v>
      </c>
      <c r="J2199" s="7">
        <f>+Tabla1[[#This Row],[PRECIO EN SOLES]]-Tabla1[[#This Row],[PC]]</f>
        <v>2</v>
      </c>
      <c r="K2199" s="15"/>
      <c r="L2199" s="15" t="str">
        <f t="shared" si="69"/>
        <v>NORMAL</v>
      </c>
    </row>
    <row r="2200" spans="1:12" x14ac:dyDescent="0.25">
      <c r="A2200" s="3"/>
      <c r="B2200" s="3"/>
      <c r="C2200" s="1"/>
      <c r="D2200" s="1"/>
      <c r="E2200" s="1"/>
      <c r="F2200" s="1"/>
      <c r="G2200" s="3"/>
      <c r="H2200" s="11">
        <f t="shared" si="68"/>
        <v>2</v>
      </c>
      <c r="I2200" s="9">
        <f>($K$2+0.02)*Tabla1[[#This Row],[PRECIO $]]*1.18</f>
        <v>0</v>
      </c>
      <c r="J2200" s="7">
        <f>+Tabla1[[#This Row],[PRECIO EN SOLES]]-Tabla1[[#This Row],[PC]]</f>
        <v>2</v>
      </c>
      <c r="K2200" s="15"/>
      <c r="L2200" s="15" t="str">
        <f t="shared" si="69"/>
        <v>NORMAL</v>
      </c>
    </row>
    <row r="2201" spans="1:12" x14ac:dyDescent="0.25">
      <c r="A2201" s="3"/>
      <c r="B2201" s="3"/>
      <c r="C2201" s="1"/>
      <c r="D2201" s="1"/>
      <c r="E2201" s="1"/>
      <c r="F2201" s="1"/>
      <c r="G2201" s="3"/>
      <c r="H2201" s="11">
        <f t="shared" si="68"/>
        <v>2</v>
      </c>
      <c r="I2201" s="9">
        <f>($K$2+0.02)*Tabla1[[#This Row],[PRECIO $]]*1.18</f>
        <v>0</v>
      </c>
      <c r="J2201" s="7">
        <f>+Tabla1[[#This Row],[PRECIO EN SOLES]]-Tabla1[[#This Row],[PC]]</f>
        <v>2</v>
      </c>
      <c r="K2201" s="15"/>
      <c r="L2201" s="15" t="str">
        <f t="shared" si="69"/>
        <v>NORMAL</v>
      </c>
    </row>
    <row r="2202" spans="1:12" x14ac:dyDescent="0.25">
      <c r="A2202" s="3"/>
      <c r="B2202" s="3"/>
      <c r="C2202" s="1"/>
      <c r="D2202" s="1"/>
      <c r="E2202" s="1"/>
      <c r="F2202" s="1"/>
      <c r="G2202" s="3"/>
      <c r="H2202" s="11">
        <f t="shared" si="68"/>
        <v>2</v>
      </c>
      <c r="I2202" s="9">
        <f>($K$2+0.02)*Tabla1[[#This Row],[PRECIO $]]*1.18</f>
        <v>0</v>
      </c>
      <c r="J2202" s="7">
        <f>+Tabla1[[#This Row],[PRECIO EN SOLES]]-Tabla1[[#This Row],[PC]]</f>
        <v>2</v>
      </c>
      <c r="K2202" s="15"/>
      <c r="L2202" s="15" t="str">
        <f t="shared" si="69"/>
        <v>NORMAL</v>
      </c>
    </row>
    <row r="2203" spans="1:12" x14ac:dyDescent="0.25">
      <c r="A2203" s="3"/>
      <c r="B2203" s="3"/>
      <c r="C2203" s="1"/>
      <c r="D2203" s="1"/>
      <c r="E2203" s="1"/>
      <c r="F2203" s="1"/>
      <c r="G2203" s="3"/>
      <c r="H2203" s="11">
        <f t="shared" si="68"/>
        <v>2</v>
      </c>
      <c r="I2203" s="9">
        <f>($K$2+0.02)*Tabla1[[#This Row],[PRECIO $]]*1.18</f>
        <v>0</v>
      </c>
      <c r="J2203" s="7">
        <f>+Tabla1[[#This Row],[PRECIO EN SOLES]]-Tabla1[[#This Row],[PC]]</f>
        <v>2</v>
      </c>
      <c r="K2203" s="15"/>
      <c r="L2203" s="15" t="str">
        <f t="shared" si="69"/>
        <v>NORMAL</v>
      </c>
    </row>
    <row r="2204" spans="1:12" x14ac:dyDescent="0.25">
      <c r="A2204" s="3"/>
      <c r="B2204" s="3"/>
      <c r="C2204" s="1"/>
      <c r="D2204" s="1"/>
      <c r="E2204" s="1"/>
      <c r="F2204" s="1"/>
      <c r="G2204" s="3"/>
      <c r="H2204" s="11">
        <f t="shared" si="68"/>
        <v>2</v>
      </c>
      <c r="I2204" s="9">
        <f>($K$2+0.02)*Tabla1[[#This Row],[PRECIO $]]*1.18</f>
        <v>0</v>
      </c>
      <c r="J2204" s="7">
        <f>+Tabla1[[#This Row],[PRECIO EN SOLES]]-Tabla1[[#This Row],[PC]]</f>
        <v>2</v>
      </c>
      <c r="K2204" s="15"/>
      <c r="L2204" s="15" t="str">
        <f t="shared" si="69"/>
        <v>NORMAL</v>
      </c>
    </row>
    <row r="2205" spans="1:12" x14ac:dyDescent="0.25">
      <c r="A2205" s="3"/>
      <c r="B2205" s="3"/>
      <c r="C2205" s="1"/>
      <c r="D2205" s="1"/>
      <c r="E2205" s="1"/>
      <c r="F2205" s="1"/>
      <c r="G2205" s="3"/>
      <c r="H2205" s="11">
        <f t="shared" si="68"/>
        <v>2</v>
      </c>
      <c r="I2205" s="9">
        <f>($K$2+0.02)*Tabla1[[#This Row],[PRECIO $]]*1.18</f>
        <v>0</v>
      </c>
      <c r="J2205" s="7">
        <f>+Tabla1[[#This Row],[PRECIO EN SOLES]]-Tabla1[[#This Row],[PC]]</f>
        <v>2</v>
      </c>
      <c r="K2205" s="15"/>
      <c r="L2205" s="15" t="str">
        <f t="shared" si="69"/>
        <v>NORMAL</v>
      </c>
    </row>
    <row r="2206" spans="1:12" x14ac:dyDescent="0.25">
      <c r="A2206" s="3"/>
      <c r="B2206" s="3"/>
      <c r="C2206" s="1"/>
      <c r="D2206" s="1"/>
      <c r="E2206" s="1"/>
      <c r="F2206" s="1"/>
      <c r="G2206" s="3"/>
      <c r="H2206" s="11">
        <f t="shared" si="68"/>
        <v>2</v>
      </c>
      <c r="I2206" s="9">
        <f>($K$2+0.02)*Tabla1[[#This Row],[PRECIO $]]*1.18</f>
        <v>0</v>
      </c>
      <c r="J2206" s="7">
        <f>+Tabla1[[#This Row],[PRECIO EN SOLES]]-Tabla1[[#This Row],[PC]]</f>
        <v>2</v>
      </c>
      <c r="K2206" s="15"/>
      <c r="L2206" s="15" t="str">
        <f t="shared" si="69"/>
        <v>NORMAL</v>
      </c>
    </row>
    <row r="2207" spans="1:12" x14ac:dyDescent="0.25">
      <c r="A2207" s="3"/>
      <c r="B2207" s="3"/>
      <c r="C2207" s="1"/>
      <c r="D2207" s="1"/>
      <c r="E2207" s="1"/>
      <c r="F2207" s="1"/>
      <c r="G2207" s="3"/>
      <c r="H2207" s="11">
        <f t="shared" si="68"/>
        <v>2</v>
      </c>
      <c r="I2207" s="9">
        <f>($K$2+0.02)*Tabla1[[#This Row],[PRECIO $]]*1.18</f>
        <v>0</v>
      </c>
      <c r="J2207" s="7">
        <f>+Tabla1[[#This Row],[PRECIO EN SOLES]]-Tabla1[[#This Row],[PC]]</f>
        <v>2</v>
      </c>
      <c r="K2207" s="15"/>
      <c r="L2207" s="15" t="str">
        <f t="shared" si="69"/>
        <v>NORMAL</v>
      </c>
    </row>
    <row r="2208" spans="1:12" x14ac:dyDescent="0.25">
      <c r="A2208" s="3"/>
      <c r="B2208" s="3"/>
      <c r="C2208" s="1"/>
      <c r="D2208" s="1"/>
      <c r="E2208" s="1"/>
      <c r="F2208" s="1"/>
      <c r="G2208" s="3"/>
      <c r="H2208" s="11">
        <f t="shared" si="68"/>
        <v>2</v>
      </c>
      <c r="I2208" s="9">
        <f>($K$2+0.02)*Tabla1[[#This Row],[PRECIO $]]*1.18</f>
        <v>0</v>
      </c>
      <c r="J2208" s="7">
        <f>+Tabla1[[#This Row],[PRECIO EN SOLES]]-Tabla1[[#This Row],[PC]]</f>
        <v>2</v>
      </c>
      <c r="K2208" s="15"/>
      <c r="L2208" s="15" t="str">
        <f t="shared" si="69"/>
        <v>NORMAL</v>
      </c>
    </row>
    <row r="2209" spans="1:12" x14ac:dyDescent="0.25">
      <c r="A2209" s="3"/>
      <c r="B2209" s="3"/>
      <c r="C2209" s="1"/>
      <c r="D2209" s="1"/>
      <c r="E2209" s="1"/>
      <c r="F2209" s="1"/>
      <c r="G2209" s="3"/>
      <c r="H2209" s="11">
        <f t="shared" si="68"/>
        <v>2</v>
      </c>
      <c r="I2209" s="9">
        <f>($K$2+0.02)*Tabla1[[#This Row],[PRECIO $]]*1.18</f>
        <v>0</v>
      </c>
      <c r="J2209" s="7">
        <f>+Tabla1[[#This Row],[PRECIO EN SOLES]]-Tabla1[[#This Row],[PC]]</f>
        <v>2</v>
      </c>
      <c r="K2209" s="15"/>
      <c r="L2209" s="15" t="str">
        <f t="shared" si="69"/>
        <v>NORMAL</v>
      </c>
    </row>
    <row r="2210" spans="1:12" x14ac:dyDescent="0.25">
      <c r="A2210" s="3"/>
      <c r="B2210" s="3"/>
      <c r="C2210" s="1"/>
      <c r="D2210" s="1"/>
      <c r="E2210" s="1"/>
      <c r="F2210" s="1"/>
      <c r="G2210" s="3"/>
      <c r="H2210" s="11">
        <f t="shared" si="68"/>
        <v>2</v>
      </c>
      <c r="I2210" s="9">
        <f>($K$2+0.02)*Tabla1[[#This Row],[PRECIO $]]*1.18</f>
        <v>0</v>
      </c>
      <c r="J2210" s="7">
        <f>+Tabla1[[#This Row],[PRECIO EN SOLES]]-Tabla1[[#This Row],[PC]]</f>
        <v>2</v>
      </c>
      <c r="K2210" s="15"/>
      <c r="L2210" s="15" t="str">
        <f t="shared" si="69"/>
        <v>NORMAL</v>
      </c>
    </row>
    <row r="2211" spans="1:12" x14ac:dyDescent="0.25">
      <c r="A2211" s="3"/>
      <c r="B2211" s="3"/>
      <c r="C2211" s="1"/>
      <c r="D2211" s="1"/>
      <c r="E2211" s="1"/>
      <c r="F2211" s="1"/>
      <c r="G2211" s="3"/>
      <c r="H2211" s="11">
        <f t="shared" si="68"/>
        <v>2</v>
      </c>
      <c r="I2211" s="9">
        <f>($K$2+0.02)*Tabla1[[#This Row],[PRECIO $]]*1.18</f>
        <v>0</v>
      </c>
      <c r="J2211" s="7">
        <f>+Tabla1[[#This Row],[PRECIO EN SOLES]]-Tabla1[[#This Row],[PC]]</f>
        <v>2</v>
      </c>
      <c r="K2211" s="15"/>
      <c r="L2211" s="15" t="str">
        <f t="shared" si="69"/>
        <v>NORMAL</v>
      </c>
    </row>
    <row r="2212" spans="1:12" x14ac:dyDescent="0.25">
      <c r="A2212" s="3"/>
      <c r="B2212" s="3"/>
      <c r="C2212" s="1"/>
      <c r="D2212" s="1"/>
      <c r="E2212" s="1"/>
      <c r="F2212" s="1"/>
      <c r="G2212" s="3"/>
      <c r="H2212" s="11">
        <f t="shared" si="68"/>
        <v>2</v>
      </c>
      <c r="I2212" s="9">
        <f>($K$2+0.02)*Tabla1[[#This Row],[PRECIO $]]*1.18</f>
        <v>0</v>
      </c>
      <c r="J2212" s="7">
        <f>+Tabla1[[#This Row],[PRECIO EN SOLES]]-Tabla1[[#This Row],[PC]]</f>
        <v>2</v>
      </c>
      <c r="K2212" s="15"/>
      <c r="L2212" s="15" t="str">
        <f t="shared" si="69"/>
        <v>NORMAL</v>
      </c>
    </row>
    <row r="2213" spans="1:12" x14ac:dyDescent="0.25">
      <c r="A2213" s="3"/>
      <c r="B2213" s="3"/>
      <c r="C2213" s="1"/>
      <c r="D2213" s="1"/>
      <c r="E2213" s="1"/>
      <c r="F2213" s="1"/>
      <c r="G2213" s="3"/>
      <c r="H2213" s="11">
        <f t="shared" si="68"/>
        <v>2</v>
      </c>
      <c r="I2213" s="9">
        <f>($K$2+0.02)*Tabla1[[#This Row],[PRECIO $]]*1.18</f>
        <v>0</v>
      </c>
      <c r="J2213" s="7">
        <f>+Tabla1[[#This Row],[PRECIO EN SOLES]]-Tabla1[[#This Row],[PC]]</f>
        <v>2</v>
      </c>
      <c r="K2213" s="15"/>
      <c r="L2213" s="15" t="str">
        <f t="shared" si="69"/>
        <v>NORMAL</v>
      </c>
    </row>
    <row r="2214" spans="1:12" x14ac:dyDescent="0.25">
      <c r="A2214" s="3"/>
      <c r="B2214" s="3"/>
      <c r="C2214" s="1"/>
      <c r="D2214" s="1"/>
      <c r="E2214" s="1"/>
      <c r="F2214" s="1"/>
      <c r="G2214" s="3"/>
      <c r="H2214" s="11">
        <f t="shared" si="68"/>
        <v>2</v>
      </c>
      <c r="I2214" s="9">
        <f>($K$2+0.02)*Tabla1[[#This Row],[PRECIO $]]*1.18</f>
        <v>0</v>
      </c>
      <c r="J2214" s="7">
        <f>+Tabla1[[#This Row],[PRECIO EN SOLES]]-Tabla1[[#This Row],[PC]]</f>
        <v>2</v>
      </c>
      <c r="K2214" s="15"/>
      <c r="L2214" s="15" t="str">
        <f t="shared" si="69"/>
        <v>NORMAL</v>
      </c>
    </row>
    <row r="2215" spans="1:12" x14ac:dyDescent="0.25">
      <c r="A2215" s="3"/>
      <c r="B2215" s="3"/>
      <c r="C2215" s="1"/>
      <c r="D2215" s="1"/>
      <c r="E2215" s="1"/>
      <c r="F2215" s="1"/>
      <c r="G2215" s="3"/>
      <c r="H2215" s="11">
        <f t="shared" si="68"/>
        <v>2</v>
      </c>
      <c r="I2215" s="9">
        <f>($K$2+0.02)*Tabla1[[#This Row],[PRECIO $]]*1.18</f>
        <v>0</v>
      </c>
      <c r="J2215" s="7">
        <f>+Tabla1[[#This Row],[PRECIO EN SOLES]]-Tabla1[[#This Row],[PC]]</f>
        <v>2</v>
      </c>
      <c r="K2215" s="15"/>
      <c r="L2215" s="15" t="str">
        <f t="shared" si="69"/>
        <v>NORMAL</v>
      </c>
    </row>
    <row r="2216" spans="1:12" x14ac:dyDescent="0.25">
      <c r="A2216" s="3"/>
      <c r="B2216" s="3"/>
      <c r="C2216" s="1"/>
      <c r="D2216" s="1"/>
      <c r="E2216" s="1"/>
      <c r="F2216" s="1"/>
      <c r="G2216" s="3"/>
      <c r="H2216" s="11">
        <f t="shared" si="68"/>
        <v>2</v>
      </c>
      <c r="I2216" s="9">
        <f>($K$2+0.02)*Tabla1[[#This Row],[PRECIO $]]*1.18</f>
        <v>0</v>
      </c>
      <c r="J2216" s="7">
        <f>+Tabla1[[#This Row],[PRECIO EN SOLES]]-Tabla1[[#This Row],[PC]]</f>
        <v>2</v>
      </c>
      <c r="K2216" s="15"/>
      <c r="L2216" s="15" t="str">
        <f t="shared" si="69"/>
        <v>NORMAL</v>
      </c>
    </row>
    <row r="2217" spans="1:12" x14ac:dyDescent="0.25">
      <c r="A2217" s="3"/>
      <c r="B2217" s="3"/>
      <c r="C2217" s="1"/>
      <c r="D2217" s="1"/>
      <c r="E2217" s="1"/>
      <c r="F2217" s="1"/>
      <c r="G2217" s="3"/>
      <c r="H2217" s="11">
        <f t="shared" si="68"/>
        <v>2</v>
      </c>
      <c r="I2217" s="9">
        <f>($K$2+0.02)*Tabla1[[#This Row],[PRECIO $]]*1.18</f>
        <v>0</v>
      </c>
      <c r="J2217" s="7">
        <f>+Tabla1[[#This Row],[PRECIO EN SOLES]]-Tabla1[[#This Row],[PC]]</f>
        <v>2</v>
      </c>
      <c r="K2217" s="15"/>
      <c r="L2217" s="15" t="str">
        <f t="shared" si="69"/>
        <v>NORMAL</v>
      </c>
    </row>
    <row r="2218" spans="1:12" x14ac:dyDescent="0.25">
      <c r="A2218" s="3"/>
      <c r="B2218" s="3"/>
      <c r="C2218" s="1"/>
      <c r="D2218" s="1"/>
      <c r="E2218" s="1"/>
      <c r="F2218" s="1"/>
      <c r="G2218" s="3"/>
      <c r="H2218" s="11">
        <f t="shared" si="68"/>
        <v>2</v>
      </c>
      <c r="I2218" s="9">
        <f>($K$2+0.02)*Tabla1[[#This Row],[PRECIO $]]*1.18</f>
        <v>0</v>
      </c>
      <c r="J2218" s="7">
        <f>+Tabla1[[#This Row],[PRECIO EN SOLES]]-Tabla1[[#This Row],[PC]]</f>
        <v>2</v>
      </c>
      <c r="K2218" s="15"/>
      <c r="L2218" s="15" t="str">
        <f t="shared" si="69"/>
        <v>NORMAL</v>
      </c>
    </row>
    <row r="2219" spans="1:12" x14ac:dyDescent="0.25">
      <c r="A2219" s="3"/>
      <c r="B2219" s="3"/>
      <c r="C2219" s="1"/>
      <c r="D2219" s="1"/>
      <c r="E2219" s="1"/>
      <c r="F2219" s="1"/>
      <c r="G2219" s="3"/>
      <c r="H2219" s="11">
        <f t="shared" si="68"/>
        <v>2</v>
      </c>
      <c r="I2219" s="9">
        <f>($K$2+0.02)*Tabla1[[#This Row],[PRECIO $]]*1.18</f>
        <v>0</v>
      </c>
      <c r="J2219" s="7">
        <f>+Tabla1[[#This Row],[PRECIO EN SOLES]]-Tabla1[[#This Row],[PC]]</f>
        <v>2</v>
      </c>
      <c r="K2219" s="15"/>
      <c r="L2219" s="15" t="str">
        <f t="shared" si="69"/>
        <v>NORMAL</v>
      </c>
    </row>
    <row r="2220" spans="1:12" x14ac:dyDescent="0.25">
      <c r="A2220" s="3"/>
      <c r="B2220" s="3"/>
      <c r="C2220" s="1"/>
      <c r="D2220" s="1"/>
      <c r="E2220" s="1"/>
      <c r="F2220" s="1"/>
      <c r="G2220" s="3"/>
      <c r="H2220" s="11">
        <f t="shared" si="68"/>
        <v>2</v>
      </c>
      <c r="I2220" s="9">
        <f>($K$2+0.02)*Tabla1[[#This Row],[PRECIO $]]*1.18</f>
        <v>0</v>
      </c>
      <c r="J2220" s="7">
        <f>+Tabla1[[#This Row],[PRECIO EN SOLES]]-Tabla1[[#This Row],[PC]]</f>
        <v>2</v>
      </c>
      <c r="K2220" s="15"/>
      <c r="L2220" s="15" t="str">
        <f t="shared" si="69"/>
        <v>NORMAL</v>
      </c>
    </row>
    <row r="2221" spans="1:12" x14ac:dyDescent="0.25">
      <c r="A2221" s="3"/>
      <c r="B2221" s="3"/>
      <c r="C2221" s="1"/>
      <c r="D2221" s="1"/>
      <c r="E2221" s="1"/>
      <c r="F2221" s="1"/>
      <c r="G2221" s="3"/>
      <c r="H2221" s="11">
        <f t="shared" si="68"/>
        <v>2</v>
      </c>
      <c r="I2221" s="9">
        <f>($K$2+0.02)*Tabla1[[#This Row],[PRECIO $]]*1.18</f>
        <v>0</v>
      </c>
      <c r="J2221" s="7">
        <f>+Tabla1[[#This Row],[PRECIO EN SOLES]]-Tabla1[[#This Row],[PC]]</f>
        <v>2</v>
      </c>
      <c r="K2221" s="15"/>
      <c r="L2221" s="15" t="str">
        <f t="shared" si="69"/>
        <v>NORMAL</v>
      </c>
    </row>
    <row r="2222" spans="1:12" x14ac:dyDescent="0.25">
      <c r="A2222" s="3"/>
      <c r="B2222" s="3"/>
      <c r="C2222" s="1"/>
      <c r="D2222" s="1"/>
      <c r="E2222" s="1"/>
      <c r="F2222" s="1"/>
      <c r="G2222" s="3"/>
      <c r="H2222" s="11">
        <f t="shared" si="68"/>
        <v>2</v>
      </c>
      <c r="I2222" s="9">
        <f>($K$2+0.02)*Tabla1[[#This Row],[PRECIO $]]*1.18</f>
        <v>0</v>
      </c>
      <c r="J2222" s="7">
        <f>+Tabla1[[#This Row],[PRECIO EN SOLES]]-Tabla1[[#This Row],[PC]]</f>
        <v>2</v>
      </c>
      <c r="K2222" s="15"/>
      <c r="L2222" s="15" t="str">
        <f t="shared" si="69"/>
        <v>NORMAL</v>
      </c>
    </row>
    <row r="2223" spans="1:12" x14ac:dyDescent="0.25">
      <c r="A2223" s="3"/>
      <c r="B2223" s="3"/>
      <c r="C2223" s="1"/>
      <c r="D2223" s="1"/>
      <c r="E2223" s="1"/>
      <c r="F2223" s="1"/>
      <c r="G2223" s="3"/>
      <c r="H2223" s="11">
        <f t="shared" si="68"/>
        <v>2</v>
      </c>
      <c r="I2223" s="9">
        <f>($K$2+0.02)*Tabla1[[#This Row],[PRECIO $]]*1.18</f>
        <v>0</v>
      </c>
      <c r="J2223" s="7">
        <f>+Tabla1[[#This Row],[PRECIO EN SOLES]]-Tabla1[[#This Row],[PC]]</f>
        <v>2</v>
      </c>
      <c r="K2223" s="15"/>
      <c r="L2223" s="15" t="str">
        <f t="shared" si="69"/>
        <v>NORMAL</v>
      </c>
    </row>
    <row r="2224" spans="1:12" x14ac:dyDescent="0.25">
      <c r="A2224" s="3"/>
      <c r="B2224" s="3"/>
      <c r="C2224" s="1"/>
      <c r="D2224" s="1"/>
      <c r="E2224" s="1"/>
      <c r="F2224" s="1"/>
      <c r="G2224" s="3"/>
      <c r="H2224" s="11">
        <f t="shared" si="68"/>
        <v>2</v>
      </c>
      <c r="I2224" s="9">
        <f>($K$2+0.02)*Tabla1[[#This Row],[PRECIO $]]*1.18</f>
        <v>0</v>
      </c>
      <c r="J2224" s="7">
        <f>+Tabla1[[#This Row],[PRECIO EN SOLES]]-Tabla1[[#This Row],[PC]]</f>
        <v>2</v>
      </c>
      <c r="K2224" s="15"/>
      <c r="L2224" s="15" t="str">
        <f t="shared" si="69"/>
        <v>NORMAL</v>
      </c>
    </row>
    <row r="2225" spans="1:12" x14ac:dyDescent="0.25">
      <c r="A2225" s="3"/>
      <c r="B2225" s="3"/>
      <c r="C2225" s="1"/>
      <c r="D2225" s="1"/>
      <c r="E2225" s="1"/>
      <c r="F2225" s="1"/>
      <c r="G2225" s="3"/>
      <c r="H2225" s="11">
        <f t="shared" si="68"/>
        <v>2</v>
      </c>
      <c r="I2225" s="9">
        <f>($K$2+0.02)*Tabla1[[#This Row],[PRECIO $]]*1.18</f>
        <v>0</v>
      </c>
      <c r="J2225" s="7">
        <f>+Tabla1[[#This Row],[PRECIO EN SOLES]]-Tabla1[[#This Row],[PC]]</f>
        <v>2</v>
      </c>
      <c r="K2225" s="15"/>
      <c r="L2225" s="15" t="str">
        <f t="shared" si="69"/>
        <v>NORMAL</v>
      </c>
    </row>
    <row r="2226" spans="1:12" x14ac:dyDescent="0.25">
      <c r="A2226" s="3"/>
      <c r="B2226" s="3"/>
      <c r="C2226" s="1"/>
      <c r="D2226" s="1"/>
      <c r="E2226" s="1"/>
      <c r="F2226" s="1"/>
      <c r="G2226" s="3"/>
      <c r="H2226" s="11">
        <f t="shared" si="68"/>
        <v>2</v>
      </c>
      <c r="I2226" s="9">
        <f>($K$2+0.02)*Tabla1[[#This Row],[PRECIO $]]*1.18</f>
        <v>0</v>
      </c>
      <c r="J2226" s="7">
        <f>+Tabla1[[#This Row],[PRECIO EN SOLES]]-Tabla1[[#This Row],[PC]]</f>
        <v>2</v>
      </c>
      <c r="K2226" s="15"/>
      <c r="L2226" s="15" t="str">
        <f t="shared" si="69"/>
        <v>NORMAL</v>
      </c>
    </row>
    <row r="2227" spans="1:12" x14ac:dyDescent="0.25">
      <c r="A2227" s="3"/>
      <c r="B2227" s="3"/>
      <c r="C2227" s="1"/>
      <c r="D2227" s="1"/>
      <c r="E2227" s="1"/>
      <c r="F2227" s="1"/>
      <c r="G2227" s="3"/>
      <c r="H2227" s="11">
        <f t="shared" si="68"/>
        <v>2</v>
      </c>
      <c r="I2227" s="9">
        <f>($K$2+0.02)*Tabla1[[#This Row],[PRECIO $]]*1.18</f>
        <v>0</v>
      </c>
      <c r="J2227" s="7">
        <f>+Tabla1[[#This Row],[PRECIO EN SOLES]]-Tabla1[[#This Row],[PC]]</f>
        <v>2</v>
      </c>
      <c r="K2227" s="15"/>
      <c r="L2227" s="15" t="str">
        <f t="shared" si="69"/>
        <v>NORMAL</v>
      </c>
    </row>
    <row r="2228" spans="1:12" x14ac:dyDescent="0.25">
      <c r="A2228" s="3"/>
      <c r="B2228" s="3"/>
      <c r="C2228" s="1"/>
      <c r="D2228" s="1"/>
      <c r="E2228" s="1"/>
      <c r="F2228" s="1"/>
      <c r="G2228" s="3"/>
      <c r="H2228" s="11">
        <f t="shared" si="68"/>
        <v>2</v>
      </c>
      <c r="I2228" s="9">
        <f>($K$2+0.02)*Tabla1[[#This Row],[PRECIO $]]*1.18</f>
        <v>0</v>
      </c>
      <c r="J2228" s="7">
        <f>+Tabla1[[#This Row],[PRECIO EN SOLES]]-Tabla1[[#This Row],[PC]]</f>
        <v>2</v>
      </c>
      <c r="K2228" s="15"/>
      <c r="L2228" s="15" t="str">
        <f t="shared" si="69"/>
        <v>NORMAL</v>
      </c>
    </row>
    <row r="2229" spans="1:12" x14ac:dyDescent="0.25">
      <c r="A2229" s="3"/>
      <c r="B2229" s="3"/>
      <c r="C2229" s="1"/>
      <c r="D2229" s="1"/>
      <c r="E2229" s="1"/>
      <c r="F2229" s="1"/>
      <c r="G2229" s="3"/>
      <c r="H2229" s="11">
        <f t="shared" si="68"/>
        <v>2</v>
      </c>
      <c r="I2229" s="9">
        <f>($K$2+0.02)*Tabla1[[#This Row],[PRECIO $]]*1.18</f>
        <v>0</v>
      </c>
      <c r="J2229" s="7">
        <f>+Tabla1[[#This Row],[PRECIO EN SOLES]]-Tabla1[[#This Row],[PC]]</f>
        <v>2</v>
      </c>
      <c r="K2229" s="15"/>
      <c r="L2229" s="15" t="str">
        <f t="shared" si="69"/>
        <v>NORMAL</v>
      </c>
    </row>
    <row r="2230" spans="1:12" x14ac:dyDescent="0.25">
      <c r="A2230" s="3"/>
      <c r="B2230" s="3"/>
      <c r="C2230" s="1"/>
      <c r="D2230" s="1"/>
      <c r="E2230" s="1"/>
      <c r="F2230" s="1"/>
      <c r="G2230" s="3"/>
      <c r="H2230" s="11">
        <f t="shared" si="68"/>
        <v>2</v>
      </c>
      <c r="I2230" s="9">
        <f>($K$2+0.02)*Tabla1[[#This Row],[PRECIO $]]*1.18</f>
        <v>0</v>
      </c>
      <c r="J2230" s="7">
        <f>+Tabla1[[#This Row],[PRECIO EN SOLES]]-Tabla1[[#This Row],[PC]]</f>
        <v>2</v>
      </c>
      <c r="K2230" s="15"/>
      <c r="L2230" s="15" t="str">
        <f t="shared" si="69"/>
        <v>NORMAL</v>
      </c>
    </row>
    <row r="2231" spans="1:12" x14ac:dyDescent="0.25">
      <c r="A2231" s="3"/>
      <c r="B2231" s="3"/>
      <c r="C2231" s="1"/>
      <c r="D2231" s="1"/>
      <c r="E2231" s="1"/>
      <c r="F2231" s="1"/>
      <c r="G2231" s="3"/>
      <c r="H2231" s="11">
        <f t="shared" si="68"/>
        <v>2</v>
      </c>
      <c r="I2231" s="9">
        <f>($K$2+0.02)*Tabla1[[#This Row],[PRECIO $]]*1.18</f>
        <v>0</v>
      </c>
      <c r="J2231" s="7">
        <f>+Tabla1[[#This Row],[PRECIO EN SOLES]]-Tabla1[[#This Row],[PC]]</f>
        <v>2</v>
      </c>
      <c r="K2231" s="15"/>
      <c r="L2231" s="15" t="str">
        <f t="shared" si="69"/>
        <v>NORMAL</v>
      </c>
    </row>
    <row r="2232" spans="1:12" x14ac:dyDescent="0.25">
      <c r="A2232" s="3"/>
      <c r="B2232" s="3"/>
      <c r="C2232" s="1"/>
      <c r="D2232" s="1"/>
      <c r="E2232" s="1"/>
      <c r="F2232" s="1"/>
      <c r="G2232" s="3"/>
      <c r="H2232" s="11">
        <f t="shared" si="68"/>
        <v>2</v>
      </c>
      <c r="I2232" s="9">
        <f>($K$2+0.02)*Tabla1[[#This Row],[PRECIO $]]*1.18</f>
        <v>0</v>
      </c>
      <c r="J2232" s="7">
        <f>+Tabla1[[#This Row],[PRECIO EN SOLES]]-Tabla1[[#This Row],[PC]]</f>
        <v>2</v>
      </c>
      <c r="K2232" s="15"/>
      <c r="L2232" s="15" t="str">
        <f t="shared" si="69"/>
        <v>NORMAL</v>
      </c>
    </row>
    <row r="2233" spans="1:12" x14ac:dyDescent="0.25">
      <c r="A2233" s="3"/>
      <c r="B2233" s="3"/>
      <c r="C2233" s="1"/>
      <c r="D2233" s="1"/>
      <c r="E2233" s="1"/>
      <c r="F2233" s="1"/>
      <c r="G2233" s="3"/>
      <c r="H2233" s="11">
        <f t="shared" si="68"/>
        <v>2</v>
      </c>
      <c r="I2233" s="9">
        <f>($K$2+0.02)*Tabla1[[#This Row],[PRECIO $]]*1.18</f>
        <v>0</v>
      </c>
      <c r="J2233" s="7">
        <f>+Tabla1[[#This Row],[PRECIO EN SOLES]]-Tabla1[[#This Row],[PC]]</f>
        <v>2</v>
      </c>
      <c r="K2233" s="15"/>
      <c r="L2233" s="15" t="str">
        <f t="shared" si="69"/>
        <v>NORMAL</v>
      </c>
    </row>
    <row r="2234" spans="1:12" x14ac:dyDescent="0.25">
      <c r="A2234" s="3"/>
      <c r="B2234" s="3"/>
      <c r="C2234" s="1"/>
      <c r="D2234" s="1"/>
      <c r="E2234" s="1"/>
      <c r="F2234" s="1"/>
      <c r="G2234" s="3"/>
      <c r="H2234" s="11">
        <f t="shared" si="68"/>
        <v>2</v>
      </c>
      <c r="I2234" s="9">
        <f>($K$2+0.02)*Tabla1[[#This Row],[PRECIO $]]*1.18</f>
        <v>0</v>
      </c>
      <c r="J2234" s="7">
        <f>+Tabla1[[#This Row],[PRECIO EN SOLES]]-Tabla1[[#This Row],[PC]]</f>
        <v>2</v>
      </c>
      <c r="K2234" s="15"/>
      <c r="L2234" s="15" t="str">
        <f t="shared" si="69"/>
        <v>NORMAL</v>
      </c>
    </row>
    <row r="2235" spans="1:12" x14ac:dyDescent="0.25">
      <c r="A2235" s="3"/>
      <c r="B2235" s="3"/>
      <c r="C2235" s="1"/>
      <c r="D2235" s="1"/>
      <c r="E2235" s="1"/>
      <c r="F2235" s="1"/>
      <c r="G2235" s="3"/>
      <c r="H2235" s="11">
        <f t="shared" si="68"/>
        <v>2</v>
      </c>
      <c r="I2235" s="9">
        <f>($K$2+0.02)*Tabla1[[#This Row],[PRECIO $]]*1.18</f>
        <v>0</v>
      </c>
      <c r="J2235" s="7">
        <f>+Tabla1[[#This Row],[PRECIO EN SOLES]]-Tabla1[[#This Row],[PC]]</f>
        <v>2</v>
      </c>
      <c r="K2235" s="15"/>
      <c r="L2235" s="15" t="str">
        <f t="shared" si="69"/>
        <v>NORMAL</v>
      </c>
    </row>
    <row r="2236" spans="1:12" x14ac:dyDescent="0.25">
      <c r="A2236" s="3"/>
      <c r="B2236" s="3"/>
      <c r="C2236" s="1"/>
      <c r="D2236" s="1"/>
      <c r="E2236" s="1"/>
      <c r="F2236" s="1"/>
      <c r="G2236" s="3"/>
      <c r="H2236" s="11">
        <f t="shared" si="68"/>
        <v>2</v>
      </c>
      <c r="I2236" s="9">
        <f>($K$2+0.02)*Tabla1[[#This Row],[PRECIO $]]*1.18</f>
        <v>0</v>
      </c>
      <c r="J2236" s="7">
        <f>+Tabla1[[#This Row],[PRECIO EN SOLES]]-Tabla1[[#This Row],[PC]]</f>
        <v>2</v>
      </c>
      <c r="K2236" s="15"/>
      <c r="L2236" s="15" t="str">
        <f t="shared" si="69"/>
        <v>NORMAL</v>
      </c>
    </row>
    <row r="2237" spans="1:12" x14ac:dyDescent="0.25">
      <c r="A2237" s="3"/>
      <c r="B2237" s="3"/>
      <c r="C2237" s="1"/>
      <c r="D2237" s="1"/>
      <c r="E2237" s="1"/>
      <c r="F2237" s="1"/>
      <c r="G2237" s="3"/>
      <c r="H2237" s="11">
        <f t="shared" si="68"/>
        <v>2</v>
      </c>
      <c r="I2237" s="9">
        <f>($K$2+0.02)*Tabla1[[#This Row],[PRECIO $]]*1.18</f>
        <v>0</v>
      </c>
      <c r="J2237" s="7">
        <f>+Tabla1[[#This Row],[PRECIO EN SOLES]]-Tabla1[[#This Row],[PC]]</f>
        <v>2</v>
      </c>
      <c r="K2237" s="15"/>
      <c r="L2237" s="15" t="str">
        <f t="shared" si="69"/>
        <v>NORMAL</v>
      </c>
    </row>
    <row r="2238" spans="1:12" x14ac:dyDescent="0.25">
      <c r="A2238" s="3"/>
      <c r="B2238" s="3"/>
      <c r="C2238" s="1"/>
      <c r="D2238" s="1"/>
      <c r="E2238" s="1"/>
      <c r="F2238" s="1"/>
      <c r="G2238" s="3"/>
      <c r="H2238" s="11">
        <f t="shared" si="68"/>
        <v>2</v>
      </c>
      <c r="I2238" s="9">
        <f>($K$2+0.02)*Tabla1[[#This Row],[PRECIO $]]*1.18</f>
        <v>0</v>
      </c>
      <c r="J2238" s="7">
        <f>+Tabla1[[#This Row],[PRECIO EN SOLES]]-Tabla1[[#This Row],[PC]]</f>
        <v>2</v>
      </c>
      <c r="K2238" s="15"/>
      <c r="L2238" s="15" t="str">
        <f t="shared" si="69"/>
        <v>NORMAL</v>
      </c>
    </row>
    <row r="2239" spans="1:12" x14ac:dyDescent="0.25">
      <c r="A2239" s="3"/>
      <c r="B2239" s="3"/>
      <c r="C2239" s="1"/>
      <c r="D2239" s="1"/>
      <c r="E2239" s="1"/>
      <c r="F2239" s="1"/>
      <c r="G2239" s="3"/>
      <c r="H2239" s="11">
        <f t="shared" si="68"/>
        <v>2</v>
      </c>
      <c r="I2239" s="9">
        <f>($K$2+0.02)*Tabla1[[#This Row],[PRECIO $]]*1.18</f>
        <v>0</v>
      </c>
      <c r="J2239" s="7">
        <f>+Tabla1[[#This Row],[PRECIO EN SOLES]]-Tabla1[[#This Row],[PC]]</f>
        <v>2</v>
      </c>
      <c r="K2239" s="15"/>
      <c r="L2239" s="15" t="str">
        <f t="shared" si="69"/>
        <v>NORMAL</v>
      </c>
    </row>
    <row r="2240" spans="1:12" x14ac:dyDescent="0.25">
      <c r="A2240" s="3"/>
      <c r="B2240" s="3"/>
      <c r="C2240" s="1"/>
      <c r="D2240" s="1"/>
      <c r="E2240" s="1"/>
      <c r="F2240" s="1"/>
      <c r="G2240" s="3"/>
      <c r="H2240" s="11">
        <f t="shared" si="68"/>
        <v>2</v>
      </c>
      <c r="I2240" s="9">
        <f>($K$2+0.02)*Tabla1[[#This Row],[PRECIO $]]*1.18</f>
        <v>0</v>
      </c>
      <c r="J2240" s="7">
        <f>+Tabla1[[#This Row],[PRECIO EN SOLES]]-Tabla1[[#This Row],[PC]]</f>
        <v>2</v>
      </c>
      <c r="K2240" s="15"/>
      <c r="L2240" s="15" t="str">
        <f t="shared" si="69"/>
        <v>NORMAL</v>
      </c>
    </row>
    <row r="2241" spans="1:12" x14ac:dyDescent="0.25">
      <c r="A2241" s="3"/>
      <c r="B2241" s="3"/>
      <c r="C2241" s="1"/>
      <c r="D2241" s="1"/>
      <c r="E2241" s="1"/>
      <c r="F2241" s="1"/>
      <c r="G2241" s="3"/>
      <c r="H2241" s="11">
        <f t="shared" si="68"/>
        <v>2</v>
      </c>
      <c r="I2241" s="9">
        <f>($K$2+0.02)*Tabla1[[#This Row],[PRECIO $]]*1.18</f>
        <v>0</v>
      </c>
      <c r="J2241" s="7">
        <f>+Tabla1[[#This Row],[PRECIO EN SOLES]]-Tabla1[[#This Row],[PC]]</f>
        <v>2</v>
      </c>
      <c r="K2241" s="15"/>
      <c r="L2241" s="15" t="str">
        <f t="shared" si="69"/>
        <v>NORMAL</v>
      </c>
    </row>
    <row r="2242" spans="1:12" x14ac:dyDescent="0.25">
      <c r="A2242" s="3"/>
      <c r="B2242" s="3"/>
      <c r="C2242" s="1"/>
      <c r="D2242" s="1"/>
      <c r="E2242" s="1"/>
      <c r="F2242" s="1"/>
      <c r="G2242" s="3"/>
      <c r="H2242" s="11">
        <f t="shared" ref="H2242:H2305" si="70">ROUND(
IF(L2242="GANCHO",
   IF(I2242&lt;=50,I2242*1.1+4,IF(I2242&lt;=120,I2242*1.1+7,IF(I2242&lt;=250,I2242*1.1+11,I2242*1.1+19))),
IF(L2242="NORMAL",
   IF(I2242&lt;=30,I2242*1.15+2,IF(I2242&lt;=80,I2242*1.15+4,IF(I2242&lt;=150,I2242*1.15+6,I2242*1.15+8))),
IF(L2242="COMPLEMENTO",
   IF(I2242&lt;=25,I2242*1.25+1.5,IF(I2242&lt;=60,I2242*1.25+3,IF(I2242&lt;=120,I2242*1.25+4,I2242*1.25+5))),
""))),2)</f>
        <v>2</v>
      </c>
      <c r="I2242" s="9">
        <f>($K$2+0.02)*Tabla1[[#This Row],[PRECIO $]]*1.18</f>
        <v>0</v>
      </c>
      <c r="J2242" s="7">
        <f>+Tabla1[[#This Row],[PRECIO EN SOLES]]-Tabla1[[#This Row],[PC]]</f>
        <v>2</v>
      </c>
      <c r="K2242" s="15"/>
      <c r="L2242" s="15" t="str">
        <f t="shared" si="69"/>
        <v>NORMAL</v>
      </c>
    </row>
    <row r="2243" spans="1:12" x14ac:dyDescent="0.25">
      <c r="A2243" s="3"/>
      <c r="B2243" s="3"/>
      <c r="C2243" s="1"/>
      <c r="D2243" s="1"/>
      <c r="E2243" s="1"/>
      <c r="F2243" s="1"/>
      <c r="G2243" s="3"/>
      <c r="H2243" s="11">
        <f t="shared" si="70"/>
        <v>2</v>
      </c>
      <c r="I2243" s="9">
        <f>($K$2+0.02)*Tabla1[[#This Row],[PRECIO $]]*1.18</f>
        <v>0</v>
      </c>
      <c r="J2243" s="7">
        <f>+Tabla1[[#This Row],[PRECIO EN SOLES]]-Tabla1[[#This Row],[PC]]</f>
        <v>2</v>
      </c>
      <c r="K2243" s="15"/>
      <c r="L2243" s="15" t="str">
        <f t="shared" ref="L2243:L2306" si="71">IF(
OR(
ISNUMBER(SEARCH("BACKPACK",B2243)),
ISNUMBER(SEARCH("MOCHILA",B2243)),
ISNUMBER(SEARCH("FUNDA",B2243)),
ISNUMBER(SEARCH("ESTUCHE",B2243)),
ISNUMBER(SEARCH("BOOK COVER",B2243)),
ISNUMBER(SEARCH("KEYBOARD PARA TABLET",B2243)),
ISNUMBER(SEARCH("FLIP TABLET",B2243)),
ISNUMBER(SEARCH("CASE FOR TABLET",B2243)),
ISNUMBER(SEARCH("CABLE",B2243)),
ISNUMBER(SEARCH("ADAPTADOR",B2243)),
ISNUMBER(SEARCH("HUB",B2243)),
ISNUMBER(SEARCH("DOCK",B2243)),
ISNUMBER(SEARCH("MOUSE PAD",B2243)),
ISNUMBER(SEARCH("MOUSEPAD",B2243)),
ISNUMBER(SEARCH("SOPORTE",B2243)),
ISNUMBER(SEARCH("STAND",B2243)),
ISNUMBER(SEARCH("TRAVEL ADAPTER",B2243)),
ISNUMBER(SEARCH("RJ45",B2243)),
ISNUMBER(SEARCH("USB-C",B2243)),
ISNUMBER(SEARCH("USB WIFI",B2243)),
ISNUMBER(SEARCH("POWERBANK",B2243)),
ISNUMBER(SEARCH("CARGADOR",B2243)),
ISNUMBER(SEARCH("COOLER PARA NB",B2243)),
ISNUMBER(SEARCH("SOPORTE PARA NB",B2243)),
ISNUMBER(SEARCH("WEBCAM",B2243)),
ISNUMBER(SEARCH("WEB CAM",B2243)),
ISNUMBER(SEARCH("MOUSE",B2243)),
ISNUMBER(SEARCH("TECLADO",B2243))
),
"COMPLEMENTO",
IF(
OR(
LEFT(A2243,2)="NB",
LEFT(A2243,2)="PC",
LEFT(A2243,2)="WS",
LEFT(A2243,2)="TB",
LEFT(A2243,3)="CEL",
LEFT(A2243,3)="MON",
LEFT(A2243,3)="PRE",
LEFT(A2243,3)="PRH",
ISNUMBER(SEARCH("NOTEBOOK",B2243)),
ISNUMBER(SEARCH("LAPTOP",B2243)),
ISNUMBER(SEARCH("MONITOR",B2243)),
ISNUMBER(SEARCH("TABLET",B2243)),
ISNUMBER(SEARCH("SMARTPH",B2243)),
ISNUMBER(SEARCH("IMPRESORA",B2243)),
ISNUMBER(SEARCH("MULTIFUNCIONAL",B2243)),
ISNUMBER(SEARCH("AIO",B2243))
),
"GANCHO",
"NORMAL"
)
)</f>
        <v>NORMAL</v>
      </c>
    </row>
    <row r="2244" spans="1:12" x14ac:dyDescent="0.25">
      <c r="A2244" s="3"/>
      <c r="B2244" s="3"/>
      <c r="C2244" s="1"/>
      <c r="D2244" s="1"/>
      <c r="E2244" s="1"/>
      <c r="F2244" s="1"/>
      <c r="G2244" s="3"/>
      <c r="H2244" s="11">
        <f t="shared" si="70"/>
        <v>2</v>
      </c>
      <c r="I2244" s="9">
        <f>($K$2+0.02)*Tabla1[[#This Row],[PRECIO $]]*1.18</f>
        <v>0</v>
      </c>
      <c r="J2244" s="7">
        <f>+Tabla1[[#This Row],[PRECIO EN SOLES]]-Tabla1[[#This Row],[PC]]</f>
        <v>2</v>
      </c>
      <c r="K2244" s="15"/>
      <c r="L2244" s="15" t="str">
        <f t="shared" si="71"/>
        <v>NORMAL</v>
      </c>
    </row>
    <row r="2245" spans="1:12" x14ac:dyDescent="0.25">
      <c r="A2245" s="3"/>
      <c r="B2245" s="3"/>
      <c r="C2245" s="1"/>
      <c r="D2245" s="1"/>
      <c r="E2245" s="1"/>
      <c r="F2245" s="1"/>
      <c r="G2245" s="3"/>
      <c r="H2245" s="11">
        <f t="shared" si="70"/>
        <v>2</v>
      </c>
      <c r="I2245" s="9">
        <f>($K$2+0.02)*Tabla1[[#This Row],[PRECIO $]]*1.18</f>
        <v>0</v>
      </c>
      <c r="J2245" s="7">
        <f>+Tabla1[[#This Row],[PRECIO EN SOLES]]-Tabla1[[#This Row],[PC]]</f>
        <v>2</v>
      </c>
      <c r="K2245" s="15"/>
      <c r="L2245" s="15" t="str">
        <f t="shared" si="71"/>
        <v>NORMAL</v>
      </c>
    </row>
    <row r="2246" spans="1:12" x14ac:dyDescent="0.25">
      <c r="A2246" s="3"/>
      <c r="B2246" s="3"/>
      <c r="C2246" s="1"/>
      <c r="D2246" s="1"/>
      <c r="E2246" s="1"/>
      <c r="F2246" s="1"/>
      <c r="G2246" s="3"/>
      <c r="H2246" s="11">
        <f t="shared" si="70"/>
        <v>2</v>
      </c>
      <c r="I2246" s="9">
        <f>($K$2+0.02)*Tabla1[[#This Row],[PRECIO $]]*1.18</f>
        <v>0</v>
      </c>
      <c r="J2246" s="7">
        <f>+Tabla1[[#This Row],[PRECIO EN SOLES]]-Tabla1[[#This Row],[PC]]</f>
        <v>2</v>
      </c>
      <c r="K2246" s="15"/>
      <c r="L2246" s="15" t="str">
        <f t="shared" si="71"/>
        <v>NORMAL</v>
      </c>
    </row>
    <row r="2247" spans="1:12" x14ac:dyDescent="0.25">
      <c r="A2247" s="3"/>
      <c r="B2247" s="3"/>
      <c r="C2247" s="1"/>
      <c r="D2247" s="1"/>
      <c r="E2247" s="1"/>
      <c r="F2247" s="1"/>
      <c r="G2247" s="3"/>
      <c r="H2247" s="11">
        <f t="shared" si="70"/>
        <v>2</v>
      </c>
      <c r="I2247" s="9">
        <f>($K$2+0.02)*Tabla1[[#This Row],[PRECIO $]]*1.18</f>
        <v>0</v>
      </c>
      <c r="J2247" s="7">
        <f>+Tabla1[[#This Row],[PRECIO EN SOLES]]-Tabla1[[#This Row],[PC]]</f>
        <v>2</v>
      </c>
      <c r="K2247" s="15"/>
      <c r="L2247" s="15" t="str">
        <f t="shared" si="71"/>
        <v>NORMAL</v>
      </c>
    </row>
    <row r="2248" spans="1:12" x14ac:dyDescent="0.25">
      <c r="A2248" s="3"/>
      <c r="B2248" s="3"/>
      <c r="C2248" s="1"/>
      <c r="D2248" s="1"/>
      <c r="E2248" s="1"/>
      <c r="F2248" s="1"/>
      <c r="G2248" s="3"/>
      <c r="H2248" s="11">
        <f t="shared" si="70"/>
        <v>2</v>
      </c>
      <c r="I2248" s="9">
        <f>($K$2+0.02)*Tabla1[[#This Row],[PRECIO $]]*1.18</f>
        <v>0</v>
      </c>
      <c r="J2248" s="7">
        <f>+Tabla1[[#This Row],[PRECIO EN SOLES]]-Tabla1[[#This Row],[PC]]</f>
        <v>2</v>
      </c>
      <c r="K2248" s="15"/>
      <c r="L2248" s="15" t="str">
        <f t="shared" si="71"/>
        <v>NORMAL</v>
      </c>
    </row>
    <row r="2249" spans="1:12" x14ac:dyDescent="0.25">
      <c r="A2249" s="3"/>
      <c r="B2249" s="3"/>
      <c r="C2249" s="1"/>
      <c r="D2249" s="1"/>
      <c r="E2249" s="1"/>
      <c r="F2249" s="1"/>
      <c r="G2249" s="3"/>
      <c r="H2249" s="11">
        <f t="shared" si="70"/>
        <v>2</v>
      </c>
      <c r="I2249" s="9">
        <f>($K$2+0.02)*Tabla1[[#This Row],[PRECIO $]]*1.18</f>
        <v>0</v>
      </c>
      <c r="J2249" s="7">
        <f>+Tabla1[[#This Row],[PRECIO EN SOLES]]-Tabla1[[#This Row],[PC]]</f>
        <v>2</v>
      </c>
      <c r="K2249" s="15"/>
      <c r="L2249" s="15" t="str">
        <f t="shared" si="71"/>
        <v>NORMAL</v>
      </c>
    </row>
    <row r="2250" spans="1:12" x14ac:dyDescent="0.25">
      <c r="A2250" s="3"/>
      <c r="B2250" s="3"/>
      <c r="C2250" s="1"/>
      <c r="D2250" s="1"/>
      <c r="E2250" s="1"/>
      <c r="F2250" s="1"/>
      <c r="G2250" s="3"/>
      <c r="H2250" s="11">
        <f t="shared" si="70"/>
        <v>2</v>
      </c>
      <c r="I2250" s="9">
        <f>($K$2+0.02)*Tabla1[[#This Row],[PRECIO $]]*1.18</f>
        <v>0</v>
      </c>
      <c r="J2250" s="7">
        <f>+Tabla1[[#This Row],[PRECIO EN SOLES]]-Tabla1[[#This Row],[PC]]</f>
        <v>2</v>
      </c>
      <c r="K2250" s="15"/>
      <c r="L2250" s="15" t="str">
        <f t="shared" si="71"/>
        <v>NORMAL</v>
      </c>
    </row>
    <row r="2251" spans="1:12" x14ac:dyDescent="0.25">
      <c r="A2251" s="3"/>
      <c r="B2251" s="3"/>
      <c r="C2251" s="1"/>
      <c r="D2251" s="1"/>
      <c r="E2251" s="1"/>
      <c r="F2251" s="1"/>
      <c r="G2251" s="3"/>
      <c r="H2251" s="11">
        <f t="shared" si="70"/>
        <v>2</v>
      </c>
      <c r="I2251" s="9">
        <f>($K$2+0.02)*Tabla1[[#This Row],[PRECIO $]]*1.18</f>
        <v>0</v>
      </c>
      <c r="J2251" s="7">
        <f>+Tabla1[[#This Row],[PRECIO EN SOLES]]-Tabla1[[#This Row],[PC]]</f>
        <v>2</v>
      </c>
      <c r="K2251" s="15"/>
      <c r="L2251" s="15" t="str">
        <f t="shared" si="71"/>
        <v>NORMAL</v>
      </c>
    </row>
    <row r="2252" spans="1:12" x14ac:dyDescent="0.25">
      <c r="A2252" s="3"/>
      <c r="B2252" s="3"/>
      <c r="C2252" s="1"/>
      <c r="D2252" s="1"/>
      <c r="E2252" s="1"/>
      <c r="F2252" s="1"/>
      <c r="G2252" s="3"/>
      <c r="H2252" s="11">
        <f t="shared" si="70"/>
        <v>2</v>
      </c>
      <c r="I2252" s="9">
        <f>($K$2+0.02)*Tabla1[[#This Row],[PRECIO $]]*1.18</f>
        <v>0</v>
      </c>
      <c r="J2252" s="7">
        <f>+Tabla1[[#This Row],[PRECIO EN SOLES]]-Tabla1[[#This Row],[PC]]</f>
        <v>2</v>
      </c>
      <c r="K2252" s="15"/>
      <c r="L2252" s="15" t="str">
        <f t="shared" si="71"/>
        <v>NORMAL</v>
      </c>
    </row>
    <row r="2253" spans="1:12" x14ac:dyDescent="0.25">
      <c r="A2253" s="3"/>
      <c r="B2253" s="3"/>
      <c r="C2253" s="1"/>
      <c r="D2253" s="1"/>
      <c r="E2253" s="1"/>
      <c r="F2253" s="1"/>
      <c r="G2253" s="3"/>
      <c r="H2253" s="11">
        <f t="shared" si="70"/>
        <v>2</v>
      </c>
      <c r="I2253" s="9">
        <f>($K$2+0.02)*Tabla1[[#This Row],[PRECIO $]]*1.18</f>
        <v>0</v>
      </c>
      <c r="J2253" s="7">
        <f>+Tabla1[[#This Row],[PRECIO EN SOLES]]-Tabla1[[#This Row],[PC]]</f>
        <v>2</v>
      </c>
      <c r="K2253" s="15"/>
      <c r="L2253" s="15" t="str">
        <f t="shared" si="71"/>
        <v>NORMAL</v>
      </c>
    </row>
    <row r="2254" spans="1:12" x14ac:dyDescent="0.25">
      <c r="A2254" s="3"/>
      <c r="B2254" s="13"/>
      <c r="C2254" s="1"/>
      <c r="D2254" s="1"/>
      <c r="E2254" s="1"/>
      <c r="F2254" s="1"/>
      <c r="G2254" s="3"/>
      <c r="H2254" s="11">
        <f t="shared" si="70"/>
        <v>2</v>
      </c>
      <c r="I2254" s="9">
        <f>($K$2+0.02)*Tabla1[[#This Row],[PRECIO $]]*1.18</f>
        <v>0</v>
      </c>
      <c r="J2254" s="7">
        <f>+Tabla1[[#This Row],[PRECIO EN SOLES]]-Tabla1[[#This Row],[PC]]</f>
        <v>2</v>
      </c>
      <c r="K2254" s="15"/>
      <c r="L2254" s="15" t="str">
        <f t="shared" si="71"/>
        <v>NORMAL</v>
      </c>
    </row>
    <row r="2255" spans="1:12" x14ac:dyDescent="0.25">
      <c r="A2255" s="3"/>
      <c r="B2255" s="3"/>
      <c r="C2255" s="1"/>
      <c r="D2255" s="1"/>
      <c r="E2255" s="1"/>
      <c r="F2255" s="1"/>
      <c r="G2255" s="3"/>
      <c r="H2255" s="11">
        <f t="shared" si="70"/>
        <v>2</v>
      </c>
      <c r="I2255" s="9">
        <f>($K$2+0.02)*Tabla1[[#This Row],[PRECIO $]]*1.18</f>
        <v>0</v>
      </c>
      <c r="J2255" s="7">
        <f>+Tabla1[[#This Row],[PRECIO EN SOLES]]-Tabla1[[#This Row],[PC]]</f>
        <v>2</v>
      </c>
      <c r="K2255" s="15"/>
      <c r="L2255" s="15" t="str">
        <f t="shared" si="71"/>
        <v>NORMAL</v>
      </c>
    </row>
    <row r="2256" spans="1:12" x14ac:dyDescent="0.25">
      <c r="A2256" s="3"/>
      <c r="B2256" s="3"/>
      <c r="C2256" s="1"/>
      <c r="D2256" s="1"/>
      <c r="E2256" s="1"/>
      <c r="F2256" s="1"/>
      <c r="G2256" s="3"/>
      <c r="H2256" s="11">
        <f t="shared" si="70"/>
        <v>2</v>
      </c>
      <c r="I2256" s="9">
        <f>($K$2+0.02)*Tabla1[[#This Row],[PRECIO $]]*1.18</f>
        <v>0</v>
      </c>
      <c r="J2256" s="7">
        <f>+Tabla1[[#This Row],[PRECIO EN SOLES]]-Tabla1[[#This Row],[PC]]</f>
        <v>2</v>
      </c>
      <c r="K2256" s="15"/>
      <c r="L2256" s="15" t="str">
        <f t="shared" si="71"/>
        <v>NORMAL</v>
      </c>
    </row>
    <row r="2257" spans="1:12" x14ac:dyDescent="0.25">
      <c r="A2257" s="3"/>
      <c r="B2257" s="3"/>
      <c r="C2257" s="1"/>
      <c r="D2257" s="1"/>
      <c r="E2257" s="1"/>
      <c r="F2257" s="1"/>
      <c r="G2257" s="3"/>
      <c r="H2257" s="11">
        <f t="shared" si="70"/>
        <v>2</v>
      </c>
      <c r="I2257" s="9">
        <f>($K$2+0.02)*Tabla1[[#This Row],[PRECIO $]]*1.18</f>
        <v>0</v>
      </c>
      <c r="J2257" s="7">
        <f>+Tabla1[[#This Row],[PRECIO EN SOLES]]-Tabla1[[#This Row],[PC]]</f>
        <v>2</v>
      </c>
      <c r="K2257" s="15"/>
      <c r="L2257" s="15" t="str">
        <f t="shared" si="71"/>
        <v>NORMAL</v>
      </c>
    </row>
    <row r="2258" spans="1:12" x14ac:dyDescent="0.25">
      <c r="A2258" s="3"/>
      <c r="B2258" s="3"/>
      <c r="C2258" s="1"/>
      <c r="D2258" s="1"/>
      <c r="E2258" s="1"/>
      <c r="F2258" s="1"/>
      <c r="G2258" s="3"/>
      <c r="H2258" s="11">
        <f t="shared" si="70"/>
        <v>2</v>
      </c>
      <c r="I2258" s="9">
        <f>($K$2+0.02)*Tabla1[[#This Row],[PRECIO $]]*1.18</f>
        <v>0</v>
      </c>
      <c r="J2258" s="7">
        <f>+Tabla1[[#This Row],[PRECIO EN SOLES]]-Tabla1[[#This Row],[PC]]</f>
        <v>2</v>
      </c>
      <c r="K2258" s="15"/>
      <c r="L2258" s="15" t="str">
        <f t="shared" si="71"/>
        <v>NORMAL</v>
      </c>
    </row>
    <row r="2259" spans="1:12" x14ac:dyDescent="0.25">
      <c r="A2259" s="3"/>
      <c r="B2259" s="3"/>
      <c r="C2259" s="1"/>
      <c r="D2259" s="1"/>
      <c r="E2259" s="1"/>
      <c r="F2259" s="1"/>
      <c r="G2259" s="3"/>
      <c r="H2259" s="11">
        <f t="shared" si="70"/>
        <v>2</v>
      </c>
      <c r="I2259" s="9">
        <f>($K$2+0.02)*Tabla1[[#This Row],[PRECIO $]]*1.18</f>
        <v>0</v>
      </c>
      <c r="J2259" s="7">
        <f>+Tabla1[[#This Row],[PRECIO EN SOLES]]-Tabla1[[#This Row],[PC]]</f>
        <v>2</v>
      </c>
      <c r="K2259" s="15"/>
      <c r="L2259" s="15" t="str">
        <f t="shared" si="71"/>
        <v>NORMAL</v>
      </c>
    </row>
    <row r="2260" spans="1:12" x14ac:dyDescent="0.25">
      <c r="A2260" s="3"/>
      <c r="B2260" s="3"/>
      <c r="C2260" s="1"/>
      <c r="D2260" s="1"/>
      <c r="E2260" s="1"/>
      <c r="F2260" s="1"/>
      <c r="G2260" s="3"/>
      <c r="H2260" s="11">
        <f t="shared" si="70"/>
        <v>2</v>
      </c>
      <c r="I2260" s="9">
        <f>($K$2+0.02)*Tabla1[[#This Row],[PRECIO $]]*1.18</f>
        <v>0</v>
      </c>
      <c r="J2260" s="7">
        <f>+Tabla1[[#This Row],[PRECIO EN SOLES]]-Tabla1[[#This Row],[PC]]</f>
        <v>2</v>
      </c>
      <c r="K2260" s="15"/>
      <c r="L2260" s="15" t="str">
        <f t="shared" si="71"/>
        <v>NORMAL</v>
      </c>
    </row>
    <row r="2261" spans="1:12" x14ac:dyDescent="0.25">
      <c r="A2261" s="3"/>
      <c r="B2261" s="3"/>
      <c r="C2261" s="1"/>
      <c r="D2261" s="1"/>
      <c r="E2261" s="1"/>
      <c r="F2261" s="1"/>
      <c r="G2261" s="3"/>
      <c r="H2261" s="11">
        <f t="shared" si="70"/>
        <v>2</v>
      </c>
      <c r="I2261" s="9">
        <f>($K$2+0.02)*Tabla1[[#This Row],[PRECIO $]]*1.18</f>
        <v>0</v>
      </c>
      <c r="J2261" s="7">
        <f>+Tabla1[[#This Row],[PRECIO EN SOLES]]-Tabla1[[#This Row],[PC]]</f>
        <v>2</v>
      </c>
      <c r="K2261" s="15"/>
      <c r="L2261" s="15" t="str">
        <f t="shared" si="71"/>
        <v>NORMAL</v>
      </c>
    </row>
    <row r="2262" spans="1:12" x14ac:dyDescent="0.25">
      <c r="A2262" s="3"/>
      <c r="B2262" s="3"/>
      <c r="C2262" s="1"/>
      <c r="D2262" s="1"/>
      <c r="E2262" s="1"/>
      <c r="F2262" s="1"/>
      <c r="G2262" s="3"/>
      <c r="H2262" s="11">
        <f t="shared" si="70"/>
        <v>2</v>
      </c>
      <c r="I2262" s="9">
        <f>($K$2+0.02)*Tabla1[[#This Row],[PRECIO $]]*1.18</f>
        <v>0</v>
      </c>
      <c r="J2262" s="7">
        <f>+Tabla1[[#This Row],[PRECIO EN SOLES]]-Tabla1[[#This Row],[PC]]</f>
        <v>2</v>
      </c>
      <c r="K2262" s="15"/>
      <c r="L2262" s="15" t="str">
        <f t="shared" si="71"/>
        <v>NORMAL</v>
      </c>
    </row>
    <row r="2263" spans="1:12" x14ac:dyDescent="0.25">
      <c r="A2263" s="3"/>
      <c r="B2263" s="3"/>
      <c r="C2263" s="1"/>
      <c r="D2263" s="1"/>
      <c r="E2263" s="1"/>
      <c r="F2263" s="1"/>
      <c r="G2263" s="3"/>
      <c r="H2263" s="11">
        <f t="shared" si="70"/>
        <v>2</v>
      </c>
      <c r="I2263" s="9">
        <f>($K$2+0.02)*Tabla1[[#This Row],[PRECIO $]]*1.18</f>
        <v>0</v>
      </c>
      <c r="J2263" s="7">
        <f>+Tabla1[[#This Row],[PRECIO EN SOLES]]-Tabla1[[#This Row],[PC]]</f>
        <v>2</v>
      </c>
      <c r="K2263" s="15"/>
      <c r="L2263" s="15" t="str">
        <f t="shared" si="71"/>
        <v>NORMAL</v>
      </c>
    </row>
    <row r="2264" spans="1:12" x14ac:dyDescent="0.25">
      <c r="A2264" s="3"/>
      <c r="B2264" s="3"/>
      <c r="C2264" s="1"/>
      <c r="D2264" s="1"/>
      <c r="E2264" s="1"/>
      <c r="F2264" s="1"/>
      <c r="G2264" s="3"/>
      <c r="H2264" s="11">
        <f t="shared" si="70"/>
        <v>2</v>
      </c>
      <c r="I2264" s="9">
        <f>($K$2+0.02)*Tabla1[[#This Row],[PRECIO $]]*1.18</f>
        <v>0</v>
      </c>
      <c r="J2264" s="7">
        <f>+Tabla1[[#This Row],[PRECIO EN SOLES]]-Tabla1[[#This Row],[PC]]</f>
        <v>2</v>
      </c>
      <c r="K2264" s="15"/>
      <c r="L2264" s="15" t="str">
        <f t="shared" si="71"/>
        <v>NORMAL</v>
      </c>
    </row>
    <row r="2265" spans="1:12" x14ac:dyDescent="0.25">
      <c r="A2265" s="3"/>
      <c r="B2265" s="3"/>
      <c r="C2265" s="1"/>
      <c r="D2265" s="1"/>
      <c r="E2265" s="1"/>
      <c r="F2265" s="1"/>
      <c r="G2265" s="3"/>
      <c r="H2265" s="11">
        <f t="shared" si="70"/>
        <v>2</v>
      </c>
      <c r="I2265" s="9">
        <f>($K$2+0.02)*Tabla1[[#This Row],[PRECIO $]]*1.18</f>
        <v>0</v>
      </c>
      <c r="J2265" s="7">
        <f>+Tabla1[[#This Row],[PRECIO EN SOLES]]-Tabla1[[#This Row],[PC]]</f>
        <v>2</v>
      </c>
      <c r="K2265" s="15"/>
      <c r="L2265" s="15" t="str">
        <f t="shared" si="71"/>
        <v>NORMAL</v>
      </c>
    </row>
    <row r="2266" spans="1:12" x14ac:dyDescent="0.25">
      <c r="A2266" s="3"/>
      <c r="B2266" s="3"/>
      <c r="C2266" s="1"/>
      <c r="D2266" s="1"/>
      <c r="E2266" s="1"/>
      <c r="F2266" s="1"/>
      <c r="G2266" s="3"/>
      <c r="H2266" s="11">
        <f t="shared" si="70"/>
        <v>2</v>
      </c>
      <c r="I2266" s="9">
        <f>($K$2+0.02)*Tabla1[[#This Row],[PRECIO $]]*1.18</f>
        <v>0</v>
      </c>
      <c r="J2266" s="7">
        <f>+Tabla1[[#This Row],[PRECIO EN SOLES]]-Tabla1[[#This Row],[PC]]</f>
        <v>2</v>
      </c>
      <c r="K2266" s="15"/>
      <c r="L2266" s="15" t="str">
        <f t="shared" si="71"/>
        <v>NORMAL</v>
      </c>
    </row>
    <row r="2267" spans="1:12" x14ac:dyDescent="0.25">
      <c r="A2267" s="3"/>
      <c r="B2267" s="3"/>
      <c r="C2267" s="1"/>
      <c r="D2267" s="1"/>
      <c r="E2267" s="1"/>
      <c r="F2267" s="1"/>
      <c r="G2267" s="3"/>
      <c r="H2267" s="11">
        <f t="shared" si="70"/>
        <v>2</v>
      </c>
      <c r="I2267" s="9">
        <f>($K$2+0.02)*Tabla1[[#This Row],[PRECIO $]]*1.18</f>
        <v>0</v>
      </c>
      <c r="J2267" s="7">
        <f>+Tabla1[[#This Row],[PRECIO EN SOLES]]-Tabla1[[#This Row],[PC]]</f>
        <v>2</v>
      </c>
      <c r="K2267" s="15"/>
      <c r="L2267" s="15" t="str">
        <f t="shared" si="71"/>
        <v>NORMAL</v>
      </c>
    </row>
    <row r="2268" spans="1:12" x14ac:dyDescent="0.25">
      <c r="A2268" s="3"/>
      <c r="B2268" s="3"/>
      <c r="C2268" s="1"/>
      <c r="D2268" s="1"/>
      <c r="E2268" s="1"/>
      <c r="F2268" s="1"/>
      <c r="G2268" s="3"/>
      <c r="H2268" s="11">
        <f t="shared" si="70"/>
        <v>2</v>
      </c>
      <c r="I2268" s="9">
        <f>($K$2+0.02)*Tabla1[[#This Row],[PRECIO $]]*1.18</f>
        <v>0</v>
      </c>
      <c r="J2268" s="7">
        <f>+Tabla1[[#This Row],[PRECIO EN SOLES]]-Tabla1[[#This Row],[PC]]</f>
        <v>2</v>
      </c>
      <c r="K2268" s="15"/>
      <c r="L2268" s="15" t="str">
        <f t="shared" si="71"/>
        <v>NORMAL</v>
      </c>
    </row>
    <row r="2269" spans="1:12" x14ac:dyDescent="0.25">
      <c r="A2269" s="3"/>
      <c r="B2269" s="3"/>
      <c r="C2269" s="1"/>
      <c r="D2269" s="1"/>
      <c r="E2269" s="1"/>
      <c r="F2269" s="1"/>
      <c r="G2269" s="3"/>
      <c r="H2269" s="11">
        <f t="shared" si="70"/>
        <v>2</v>
      </c>
      <c r="I2269" s="9">
        <f>($K$2+0.02)*Tabla1[[#This Row],[PRECIO $]]*1.18</f>
        <v>0</v>
      </c>
      <c r="J2269" s="7">
        <f>+Tabla1[[#This Row],[PRECIO EN SOLES]]-Tabla1[[#This Row],[PC]]</f>
        <v>2</v>
      </c>
      <c r="K2269" s="15"/>
      <c r="L2269" s="15" t="str">
        <f t="shared" si="71"/>
        <v>NORMAL</v>
      </c>
    </row>
    <row r="2270" spans="1:12" x14ac:dyDescent="0.25">
      <c r="A2270" s="3"/>
      <c r="B2270" s="3"/>
      <c r="C2270" s="1"/>
      <c r="D2270" s="1"/>
      <c r="E2270" s="1"/>
      <c r="F2270" s="1"/>
      <c r="G2270" s="3"/>
      <c r="H2270" s="11">
        <f t="shared" si="70"/>
        <v>2</v>
      </c>
      <c r="I2270" s="9">
        <f>($K$2+0.02)*Tabla1[[#This Row],[PRECIO $]]*1.18</f>
        <v>0</v>
      </c>
      <c r="J2270" s="7">
        <f>+Tabla1[[#This Row],[PRECIO EN SOLES]]-Tabla1[[#This Row],[PC]]</f>
        <v>2</v>
      </c>
      <c r="K2270" s="15"/>
      <c r="L2270" s="15" t="str">
        <f t="shared" si="71"/>
        <v>NORMAL</v>
      </c>
    </row>
    <row r="2271" spans="1:12" x14ac:dyDescent="0.25">
      <c r="A2271" s="3"/>
      <c r="B2271" s="3"/>
      <c r="C2271" s="1"/>
      <c r="D2271" s="1"/>
      <c r="E2271" s="1"/>
      <c r="F2271" s="1"/>
      <c r="G2271" s="3"/>
      <c r="H2271" s="11">
        <f t="shared" si="70"/>
        <v>2</v>
      </c>
      <c r="I2271" s="9">
        <f>($K$2+0.02)*Tabla1[[#This Row],[PRECIO $]]*1.18</f>
        <v>0</v>
      </c>
      <c r="J2271" s="7">
        <f>+Tabla1[[#This Row],[PRECIO EN SOLES]]-Tabla1[[#This Row],[PC]]</f>
        <v>2</v>
      </c>
      <c r="K2271" s="15"/>
      <c r="L2271" s="15" t="str">
        <f t="shared" si="71"/>
        <v>NORMAL</v>
      </c>
    </row>
    <row r="2272" spans="1:12" x14ac:dyDescent="0.25">
      <c r="A2272" s="3"/>
      <c r="B2272" s="3"/>
      <c r="C2272" s="1"/>
      <c r="D2272" s="1"/>
      <c r="E2272" s="1"/>
      <c r="F2272" s="1"/>
      <c r="G2272" s="3"/>
      <c r="H2272" s="11">
        <f t="shared" si="70"/>
        <v>2</v>
      </c>
      <c r="I2272" s="9">
        <f>($K$2+0.02)*Tabla1[[#This Row],[PRECIO $]]*1.18</f>
        <v>0</v>
      </c>
      <c r="J2272" s="7">
        <f>+Tabla1[[#This Row],[PRECIO EN SOLES]]-Tabla1[[#This Row],[PC]]</f>
        <v>2</v>
      </c>
      <c r="K2272" s="15"/>
      <c r="L2272" s="15" t="str">
        <f t="shared" si="71"/>
        <v>NORMAL</v>
      </c>
    </row>
    <row r="2273" spans="1:12" x14ac:dyDescent="0.25">
      <c r="A2273" s="3"/>
      <c r="B2273" s="3"/>
      <c r="C2273" s="1"/>
      <c r="D2273" s="1"/>
      <c r="E2273" s="1"/>
      <c r="F2273" s="1"/>
      <c r="G2273" s="3"/>
      <c r="H2273" s="11">
        <f t="shared" si="70"/>
        <v>2</v>
      </c>
      <c r="I2273" s="9">
        <f>($K$2+0.02)*Tabla1[[#This Row],[PRECIO $]]*1.18</f>
        <v>0</v>
      </c>
      <c r="J2273" s="7">
        <f>+Tabla1[[#This Row],[PRECIO EN SOLES]]-Tabla1[[#This Row],[PC]]</f>
        <v>2</v>
      </c>
      <c r="K2273" s="15"/>
      <c r="L2273" s="15" t="str">
        <f t="shared" si="71"/>
        <v>NORMAL</v>
      </c>
    </row>
    <row r="2274" spans="1:12" x14ac:dyDescent="0.25">
      <c r="A2274" s="3"/>
      <c r="B2274" s="3"/>
      <c r="C2274" s="1"/>
      <c r="D2274" s="1"/>
      <c r="E2274" s="1"/>
      <c r="F2274" s="1"/>
      <c r="G2274" s="3"/>
      <c r="H2274" s="11">
        <f t="shared" si="70"/>
        <v>2</v>
      </c>
      <c r="I2274" s="9">
        <f>($K$2+0.02)*Tabla1[[#This Row],[PRECIO $]]*1.18</f>
        <v>0</v>
      </c>
      <c r="J2274" s="7">
        <f>+Tabla1[[#This Row],[PRECIO EN SOLES]]-Tabla1[[#This Row],[PC]]</f>
        <v>2</v>
      </c>
      <c r="K2274" s="15"/>
      <c r="L2274" s="15" t="str">
        <f t="shared" si="71"/>
        <v>NORMAL</v>
      </c>
    </row>
    <row r="2275" spans="1:12" x14ac:dyDescent="0.25">
      <c r="A2275" s="3"/>
      <c r="B2275" s="3"/>
      <c r="C2275" s="1"/>
      <c r="D2275" s="1"/>
      <c r="E2275" s="1"/>
      <c r="F2275" s="1"/>
      <c r="G2275" s="3"/>
      <c r="H2275" s="11">
        <f t="shared" si="70"/>
        <v>2</v>
      </c>
      <c r="I2275" s="9">
        <f>($K$2+0.02)*Tabla1[[#This Row],[PRECIO $]]*1.18</f>
        <v>0</v>
      </c>
      <c r="J2275" s="7">
        <f>+Tabla1[[#This Row],[PRECIO EN SOLES]]-Tabla1[[#This Row],[PC]]</f>
        <v>2</v>
      </c>
      <c r="K2275" s="15"/>
      <c r="L2275" s="15" t="str">
        <f t="shared" si="71"/>
        <v>NORMAL</v>
      </c>
    </row>
    <row r="2276" spans="1:12" x14ac:dyDescent="0.25">
      <c r="A2276" s="3"/>
      <c r="B2276" s="3"/>
      <c r="C2276" s="1"/>
      <c r="D2276" s="1"/>
      <c r="E2276" s="1"/>
      <c r="F2276" s="1"/>
      <c r="G2276" s="3"/>
      <c r="H2276" s="11">
        <f t="shared" si="70"/>
        <v>2</v>
      </c>
      <c r="I2276" s="9">
        <f>($K$2+0.02)*Tabla1[[#This Row],[PRECIO $]]*1.18</f>
        <v>0</v>
      </c>
      <c r="J2276" s="7">
        <f>+Tabla1[[#This Row],[PRECIO EN SOLES]]-Tabla1[[#This Row],[PC]]</f>
        <v>2</v>
      </c>
      <c r="K2276" s="15"/>
      <c r="L2276" s="15" t="str">
        <f t="shared" si="71"/>
        <v>NORMAL</v>
      </c>
    </row>
    <row r="2277" spans="1:12" x14ac:dyDescent="0.25">
      <c r="A2277" s="3"/>
      <c r="B2277" s="3"/>
      <c r="C2277" s="1"/>
      <c r="D2277" s="1"/>
      <c r="E2277" s="1"/>
      <c r="F2277" s="1"/>
      <c r="G2277" s="3"/>
      <c r="H2277" s="11">
        <f t="shared" si="70"/>
        <v>2</v>
      </c>
      <c r="I2277" s="9">
        <f>($K$2+0.02)*Tabla1[[#This Row],[PRECIO $]]*1.18</f>
        <v>0</v>
      </c>
      <c r="J2277" s="7">
        <f>+Tabla1[[#This Row],[PRECIO EN SOLES]]-Tabla1[[#This Row],[PC]]</f>
        <v>2</v>
      </c>
      <c r="K2277" s="15"/>
      <c r="L2277" s="15" t="str">
        <f t="shared" si="71"/>
        <v>NORMAL</v>
      </c>
    </row>
    <row r="2278" spans="1:12" x14ac:dyDescent="0.25">
      <c r="A2278" s="3"/>
      <c r="B2278" s="3"/>
      <c r="C2278" s="1"/>
      <c r="D2278" s="1"/>
      <c r="E2278" s="1"/>
      <c r="F2278" s="1"/>
      <c r="G2278" s="3"/>
      <c r="H2278" s="11">
        <f t="shared" si="70"/>
        <v>2</v>
      </c>
      <c r="I2278" s="9">
        <f>($K$2+0.02)*Tabla1[[#This Row],[PRECIO $]]*1.18</f>
        <v>0</v>
      </c>
      <c r="J2278" s="7">
        <f>+Tabla1[[#This Row],[PRECIO EN SOLES]]-Tabla1[[#This Row],[PC]]</f>
        <v>2</v>
      </c>
      <c r="K2278" s="15"/>
      <c r="L2278" s="15" t="str">
        <f t="shared" si="71"/>
        <v>NORMAL</v>
      </c>
    </row>
    <row r="2279" spans="1:12" x14ac:dyDescent="0.25">
      <c r="A2279" s="3"/>
      <c r="B2279" s="3"/>
      <c r="C2279" s="1"/>
      <c r="D2279" s="1"/>
      <c r="E2279" s="1"/>
      <c r="F2279" s="1"/>
      <c r="G2279" s="3"/>
      <c r="H2279" s="11">
        <f t="shared" si="70"/>
        <v>2</v>
      </c>
      <c r="I2279" s="9">
        <f>($K$2+0.02)*Tabla1[[#This Row],[PRECIO $]]*1.18</f>
        <v>0</v>
      </c>
      <c r="J2279" s="7">
        <f>+Tabla1[[#This Row],[PRECIO EN SOLES]]-Tabla1[[#This Row],[PC]]</f>
        <v>2</v>
      </c>
      <c r="K2279" s="15"/>
      <c r="L2279" s="15" t="str">
        <f t="shared" si="71"/>
        <v>NORMAL</v>
      </c>
    </row>
    <row r="2280" spans="1:12" x14ac:dyDescent="0.25">
      <c r="A2280" s="3"/>
      <c r="B2280" s="3"/>
      <c r="C2280" s="1"/>
      <c r="D2280" s="1"/>
      <c r="E2280" s="1"/>
      <c r="F2280" s="1"/>
      <c r="G2280" s="3"/>
      <c r="H2280" s="11">
        <f t="shared" si="70"/>
        <v>2</v>
      </c>
      <c r="I2280" s="9">
        <f>($K$2+0.02)*Tabla1[[#This Row],[PRECIO $]]*1.18</f>
        <v>0</v>
      </c>
      <c r="J2280" s="7">
        <f>+Tabla1[[#This Row],[PRECIO EN SOLES]]-Tabla1[[#This Row],[PC]]</f>
        <v>2</v>
      </c>
      <c r="K2280" s="15"/>
      <c r="L2280" s="15" t="str">
        <f t="shared" si="71"/>
        <v>NORMAL</v>
      </c>
    </row>
    <row r="2281" spans="1:12" x14ac:dyDescent="0.25">
      <c r="A2281" s="3"/>
      <c r="B2281" s="3"/>
      <c r="C2281" s="1"/>
      <c r="D2281" s="1"/>
      <c r="E2281" s="1"/>
      <c r="F2281" s="1"/>
      <c r="G2281" s="3"/>
      <c r="H2281" s="11">
        <f t="shared" si="70"/>
        <v>2</v>
      </c>
      <c r="I2281" s="9">
        <f>($K$2+0.02)*Tabla1[[#This Row],[PRECIO $]]*1.18</f>
        <v>0</v>
      </c>
      <c r="J2281" s="7">
        <f>+Tabla1[[#This Row],[PRECIO EN SOLES]]-Tabla1[[#This Row],[PC]]</f>
        <v>2</v>
      </c>
      <c r="K2281" s="15"/>
      <c r="L2281" s="15" t="str">
        <f t="shared" si="71"/>
        <v>NORMAL</v>
      </c>
    </row>
    <row r="2282" spans="1:12" x14ac:dyDescent="0.25">
      <c r="A2282" s="3"/>
      <c r="B2282" s="3"/>
      <c r="C2282" s="1"/>
      <c r="D2282" s="1"/>
      <c r="E2282" s="1"/>
      <c r="F2282" s="1"/>
      <c r="G2282" s="3"/>
      <c r="H2282" s="11">
        <f t="shared" si="70"/>
        <v>2</v>
      </c>
      <c r="I2282" s="9">
        <f>($K$2+0.02)*Tabla1[[#This Row],[PRECIO $]]*1.18</f>
        <v>0</v>
      </c>
      <c r="J2282" s="7">
        <f>+Tabla1[[#This Row],[PRECIO EN SOLES]]-Tabla1[[#This Row],[PC]]</f>
        <v>2</v>
      </c>
      <c r="K2282" s="15"/>
      <c r="L2282" s="15" t="str">
        <f t="shared" si="71"/>
        <v>NORMAL</v>
      </c>
    </row>
    <row r="2283" spans="1:12" x14ac:dyDescent="0.25">
      <c r="A2283" s="3"/>
      <c r="B2283" s="3"/>
      <c r="C2283" s="1"/>
      <c r="D2283" s="1"/>
      <c r="E2283" s="1"/>
      <c r="F2283" s="1"/>
      <c r="G2283" s="3"/>
      <c r="H2283" s="11">
        <f t="shared" si="70"/>
        <v>2</v>
      </c>
      <c r="I2283" s="9">
        <f>($K$2+0.02)*Tabla1[[#This Row],[PRECIO $]]*1.18</f>
        <v>0</v>
      </c>
      <c r="J2283" s="7">
        <f>+Tabla1[[#This Row],[PRECIO EN SOLES]]-Tabla1[[#This Row],[PC]]</f>
        <v>2</v>
      </c>
      <c r="K2283" s="15"/>
      <c r="L2283" s="15" t="str">
        <f t="shared" si="71"/>
        <v>NORMAL</v>
      </c>
    </row>
    <row r="2284" spans="1:12" x14ac:dyDescent="0.25">
      <c r="A2284" s="3"/>
      <c r="B2284" s="3"/>
      <c r="C2284" s="1"/>
      <c r="D2284" s="1"/>
      <c r="E2284" s="1"/>
      <c r="F2284" s="1"/>
      <c r="G2284" s="3"/>
      <c r="H2284" s="11">
        <f t="shared" si="70"/>
        <v>2</v>
      </c>
      <c r="I2284" s="9">
        <f>($K$2+0.02)*Tabla1[[#This Row],[PRECIO $]]*1.18</f>
        <v>0</v>
      </c>
      <c r="J2284" s="7">
        <f>+Tabla1[[#This Row],[PRECIO EN SOLES]]-Tabla1[[#This Row],[PC]]</f>
        <v>2</v>
      </c>
      <c r="K2284" s="15"/>
      <c r="L2284" s="15" t="str">
        <f t="shared" si="71"/>
        <v>NORMAL</v>
      </c>
    </row>
    <row r="2285" spans="1:12" x14ac:dyDescent="0.25">
      <c r="A2285" s="3"/>
      <c r="B2285" s="3"/>
      <c r="C2285" s="1"/>
      <c r="D2285" s="1"/>
      <c r="E2285" s="1"/>
      <c r="F2285" s="1"/>
      <c r="G2285" s="3"/>
      <c r="H2285" s="11">
        <f t="shared" si="70"/>
        <v>2</v>
      </c>
      <c r="I2285" s="9">
        <f>($K$2+0.02)*Tabla1[[#This Row],[PRECIO $]]*1.18</f>
        <v>0</v>
      </c>
      <c r="J2285" s="7">
        <f>+Tabla1[[#This Row],[PRECIO EN SOLES]]-Tabla1[[#This Row],[PC]]</f>
        <v>2</v>
      </c>
      <c r="K2285" s="15"/>
      <c r="L2285" s="15" t="str">
        <f t="shared" si="71"/>
        <v>NORMAL</v>
      </c>
    </row>
    <row r="2286" spans="1:12" x14ac:dyDescent="0.25">
      <c r="A2286" s="3"/>
      <c r="B2286" s="3"/>
      <c r="C2286" s="1"/>
      <c r="D2286" s="1"/>
      <c r="E2286" s="1"/>
      <c r="F2286" s="1"/>
      <c r="G2286" s="3"/>
      <c r="H2286" s="11">
        <f t="shared" si="70"/>
        <v>2</v>
      </c>
      <c r="I2286" s="9">
        <f>($K$2+0.02)*Tabla1[[#This Row],[PRECIO $]]*1.18</f>
        <v>0</v>
      </c>
      <c r="J2286" s="7">
        <f>+Tabla1[[#This Row],[PRECIO EN SOLES]]-Tabla1[[#This Row],[PC]]</f>
        <v>2</v>
      </c>
      <c r="K2286" s="15"/>
      <c r="L2286" s="15" t="str">
        <f t="shared" si="71"/>
        <v>NORMAL</v>
      </c>
    </row>
    <row r="2287" spans="1:12" x14ac:dyDescent="0.25">
      <c r="A2287" s="3"/>
      <c r="B2287" s="3"/>
      <c r="C2287" s="1"/>
      <c r="D2287" s="1"/>
      <c r="E2287" s="1"/>
      <c r="F2287" s="1"/>
      <c r="G2287" s="3"/>
      <c r="H2287" s="11">
        <f t="shared" si="70"/>
        <v>2</v>
      </c>
      <c r="I2287" s="9">
        <f>($K$2+0.02)*Tabla1[[#This Row],[PRECIO $]]*1.18</f>
        <v>0</v>
      </c>
      <c r="J2287" s="7">
        <f>+Tabla1[[#This Row],[PRECIO EN SOLES]]-Tabla1[[#This Row],[PC]]</f>
        <v>2</v>
      </c>
      <c r="K2287" s="15"/>
      <c r="L2287" s="15" t="str">
        <f t="shared" si="71"/>
        <v>NORMAL</v>
      </c>
    </row>
    <row r="2288" spans="1:12" x14ac:dyDescent="0.25">
      <c r="A2288" s="3"/>
      <c r="B2288" s="3"/>
      <c r="C2288" s="1"/>
      <c r="D2288" s="1"/>
      <c r="E2288" s="1"/>
      <c r="F2288" s="1"/>
      <c r="G2288" s="3"/>
      <c r="H2288" s="11">
        <f t="shared" si="70"/>
        <v>2</v>
      </c>
      <c r="I2288" s="9">
        <f>($K$2+0.02)*Tabla1[[#This Row],[PRECIO $]]*1.18</f>
        <v>0</v>
      </c>
      <c r="J2288" s="7">
        <f>+Tabla1[[#This Row],[PRECIO EN SOLES]]-Tabla1[[#This Row],[PC]]</f>
        <v>2</v>
      </c>
      <c r="K2288" s="15"/>
      <c r="L2288" s="15" t="str">
        <f t="shared" si="71"/>
        <v>NORMAL</v>
      </c>
    </row>
    <row r="2289" spans="1:12" x14ac:dyDescent="0.25">
      <c r="A2289" s="3"/>
      <c r="B2289" s="3"/>
      <c r="C2289" s="1"/>
      <c r="D2289" s="1"/>
      <c r="E2289" s="1"/>
      <c r="F2289" s="1"/>
      <c r="G2289" s="3"/>
      <c r="H2289" s="11">
        <f t="shared" si="70"/>
        <v>2</v>
      </c>
      <c r="I2289" s="9">
        <f>($K$2+0.02)*Tabla1[[#This Row],[PRECIO $]]*1.18</f>
        <v>0</v>
      </c>
      <c r="J2289" s="7">
        <f>+Tabla1[[#This Row],[PRECIO EN SOLES]]-Tabla1[[#This Row],[PC]]</f>
        <v>2</v>
      </c>
      <c r="K2289" s="15"/>
      <c r="L2289" s="15" t="str">
        <f t="shared" si="71"/>
        <v>NORMAL</v>
      </c>
    </row>
    <row r="2290" spans="1:12" x14ac:dyDescent="0.25">
      <c r="A2290" s="3"/>
      <c r="B2290" s="3"/>
      <c r="C2290" s="1"/>
      <c r="D2290" s="1"/>
      <c r="E2290" s="1"/>
      <c r="F2290" s="1"/>
      <c r="G2290" s="3"/>
      <c r="H2290" s="11">
        <f t="shared" si="70"/>
        <v>2</v>
      </c>
      <c r="I2290" s="9">
        <f>($K$2+0.02)*Tabla1[[#This Row],[PRECIO $]]*1.18</f>
        <v>0</v>
      </c>
      <c r="J2290" s="7">
        <f>+Tabla1[[#This Row],[PRECIO EN SOLES]]-Tabla1[[#This Row],[PC]]</f>
        <v>2</v>
      </c>
      <c r="K2290" s="15"/>
      <c r="L2290" s="15" t="str">
        <f t="shared" si="71"/>
        <v>NORMAL</v>
      </c>
    </row>
    <row r="2291" spans="1:12" x14ac:dyDescent="0.25">
      <c r="A2291" s="3"/>
      <c r="B2291" s="3"/>
      <c r="C2291" s="1"/>
      <c r="D2291" s="1"/>
      <c r="E2291" s="1"/>
      <c r="F2291" s="1"/>
      <c r="G2291" s="3"/>
      <c r="H2291" s="11">
        <f t="shared" si="70"/>
        <v>2</v>
      </c>
      <c r="I2291" s="9">
        <f>($K$2+0.02)*Tabla1[[#This Row],[PRECIO $]]*1.18</f>
        <v>0</v>
      </c>
      <c r="J2291" s="7">
        <f>+Tabla1[[#This Row],[PRECIO EN SOLES]]-Tabla1[[#This Row],[PC]]</f>
        <v>2</v>
      </c>
      <c r="K2291" s="15"/>
      <c r="L2291" s="15" t="str">
        <f t="shared" si="71"/>
        <v>NORMAL</v>
      </c>
    </row>
    <row r="2292" spans="1:12" x14ac:dyDescent="0.25">
      <c r="A2292" s="3"/>
      <c r="B2292" s="3"/>
      <c r="C2292" s="1"/>
      <c r="D2292" s="1"/>
      <c r="E2292" s="1"/>
      <c r="F2292" s="1"/>
      <c r="G2292" s="3"/>
      <c r="H2292" s="11">
        <f t="shared" si="70"/>
        <v>2</v>
      </c>
      <c r="I2292" s="9">
        <f>($K$2+0.02)*Tabla1[[#This Row],[PRECIO $]]*1.18</f>
        <v>0</v>
      </c>
      <c r="J2292" s="7">
        <f>+Tabla1[[#This Row],[PRECIO EN SOLES]]-Tabla1[[#This Row],[PC]]</f>
        <v>2</v>
      </c>
      <c r="K2292" s="15"/>
      <c r="L2292" s="15" t="str">
        <f t="shared" si="71"/>
        <v>NORMAL</v>
      </c>
    </row>
    <row r="2293" spans="1:12" x14ac:dyDescent="0.25">
      <c r="A2293" s="3"/>
      <c r="B2293" s="3"/>
      <c r="C2293" s="1"/>
      <c r="D2293" s="1"/>
      <c r="E2293" s="1"/>
      <c r="F2293" s="1"/>
      <c r="G2293" s="3"/>
      <c r="H2293" s="11">
        <f t="shared" si="70"/>
        <v>2</v>
      </c>
      <c r="I2293" s="9">
        <f>($K$2+0.02)*Tabla1[[#This Row],[PRECIO $]]*1.18</f>
        <v>0</v>
      </c>
      <c r="J2293" s="7">
        <f>+Tabla1[[#This Row],[PRECIO EN SOLES]]-Tabla1[[#This Row],[PC]]</f>
        <v>2</v>
      </c>
      <c r="K2293" s="15"/>
      <c r="L2293" s="15" t="str">
        <f t="shared" si="71"/>
        <v>NORMAL</v>
      </c>
    </row>
    <row r="2294" spans="1:12" x14ac:dyDescent="0.25">
      <c r="A2294" s="3"/>
      <c r="B2294" s="3"/>
      <c r="C2294" s="1"/>
      <c r="D2294" s="1"/>
      <c r="E2294" s="1"/>
      <c r="F2294" s="1"/>
      <c r="G2294" s="3"/>
      <c r="H2294" s="11">
        <f t="shared" si="70"/>
        <v>2</v>
      </c>
      <c r="I2294" s="9">
        <f>($K$2+0.02)*Tabla1[[#This Row],[PRECIO $]]*1.18</f>
        <v>0</v>
      </c>
      <c r="J2294" s="7">
        <f>+Tabla1[[#This Row],[PRECIO EN SOLES]]-Tabla1[[#This Row],[PC]]</f>
        <v>2</v>
      </c>
      <c r="K2294" s="15"/>
      <c r="L2294" s="15" t="str">
        <f t="shared" si="71"/>
        <v>NORMAL</v>
      </c>
    </row>
    <row r="2295" spans="1:12" x14ac:dyDescent="0.25">
      <c r="A2295" s="3"/>
      <c r="B2295" s="3"/>
      <c r="C2295" s="1"/>
      <c r="D2295" s="1"/>
      <c r="E2295" s="1"/>
      <c r="F2295" s="1"/>
      <c r="G2295" s="3"/>
      <c r="H2295" s="11">
        <f t="shared" si="70"/>
        <v>2</v>
      </c>
      <c r="I2295" s="9">
        <f>($K$2+0.02)*Tabla1[[#This Row],[PRECIO $]]*1.18</f>
        <v>0</v>
      </c>
      <c r="J2295" s="7">
        <f>+Tabla1[[#This Row],[PRECIO EN SOLES]]-Tabla1[[#This Row],[PC]]</f>
        <v>2</v>
      </c>
      <c r="K2295" s="15"/>
      <c r="L2295" s="15" t="str">
        <f t="shared" si="71"/>
        <v>NORMAL</v>
      </c>
    </row>
    <row r="2296" spans="1:12" x14ac:dyDescent="0.25">
      <c r="A2296" s="3"/>
      <c r="B2296" s="3"/>
      <c r="C2296" s="1"/>
      <c r="D2296" s="1"/>
      <c r="E2296" s="1"/>
      <c r="F2296" s="1"/>
      <c r="G2296" s="3"/>
      <c r="H2296" s="11">
        <f t="shared" si="70"/>
        <v>2</v>
      </c>
      <c r="I2296" s="9">
        <f>($K$2+0.02)*Tabla1[[#This Row],[PRECIO $]]*1.18</f>
        <v>0</v>
      </c>
      <c r="J2296" s="7">
        <f>+Tabla1[[#This Row],[PRECIO EN SOLES]]-Tabla1[[#This Row],[PC]]</f>
        <v>2</v>
      </c>
      <c r="K2296" s="15"/>
      <c r="L2296" s="15" t="str">
        <f t="shared" si="71"/>
        <v>NORMAL</v>
      </c>
    </row>
    <row r="2297" spans="1:12" x14ac:dyDescent="0.25">
      <c r="A2297" s="3"/>
      <c r="B2297" s="3"/>
      <c r="C2297" s="1"/>
      <c r="D2297" s="1"/>
      <c r="E2297" s="1"/>
      <c r="F2297" s="1"/>
      <c r="G2297" s="3"/>
      <c r="H2297" s="11">
        <f t="shared" si="70"/>
        <v>2</v>
      </c>
      <c r="I2297" s="9">
        <f>($K$2+0.02)*Tabla1[[#This Row],[PRECIO $]]*1.18</f>
        <v>0</v>
      </c>
      <c r="J2297" s="7">
        <f>+Tabla1[[#This Row],[PRECIO EN SOLES]]-Tabla1[[#This Row],[PC]]</f>
        <v>2</v>
      </c>
      <c r="K2297" s="15"/>
      <c r="L2297" s="15" t="str">
        <f t="shared" si="71"/>
        <v>NORMAL</v>
      </c>
    </row>
    <row r="2298" spans="1:12" x14ac:dyDescent="0.25">
      <c r="A2298" s="3"/>
      <c r="B2298" s="3"/>
      <c r="C2298" s="1"/>
      <c r="D2298" s="1"/>
      <c r="E2298" s="1"/>
      <c r="F2298" s="1"/>
      <c r="G2298" s="3"/>
      <c r="H2298" s="11">
        <f t="shared" si="70"/>
        <v>2</v>
      </c>
      <c r="I2298" s="9">
        <f>($K$2+0.02)*Tabla1[[#This Row],[PRECIO $]]*1.18</f>
        <v>0</v>
      </c>
      <c r="J2298" s="7">
        <f>+Tabla1[[#This Row],[PRECIO EN SOLES]]-Tabla1[[#This Row],[PC]]</f>
        <v>2</v>
      </c>
      <c r="K2298" s="15"/>
      <c r="L2298" s="15" t="str">
        <f t="shared" si="71"/>
        <v>NORMAL</v>
      </c>
    </row>
    <row r="2299" spans="1:12" x14ac:dyDescent="0.25">
      <c r="A2299" s="3"/>
      <c r="B2299" s="3"/>
      <c r="C2299" s="1"/>
      <c r="D2299" s="1"/>
      <c r="E2299" s="1"/>
      <c r="F2299" s="1"/>
      <c r="G2299" s="3"/>
      <c r="H2299" s="11">
        <f t="shared" si="70"/>
        <v>2</v>
      </c>
      <c r="I2299" s="9">
        <f>($K$2+0.02)*Tabla1[[#This Row],[PRECIO $]]*1.18</f>
        <v>0</v>
      </c>
      <c r="J2299" s="7">
        <f>+Tabla1[[#This Row],[PRECIO EN SOLES]]-Tabla1[[#This Row],[PC]]</f>
        <v>2</v>
      </c>
      <c r="K2299" s="15"/>
      <c r="L2299" s="15" t="str">
        <f t="shared" si="71"/>
        <v>NORMAL</v>
      </c>
    </row>
    <row r="2300" spans="1:12" x14ac:dyDescent="0.25">
      <c r="A2300" s="3"/>
      <c r="B2300" s="3"/>
      <c r="C2300" s="1"/>
      <c r="D2300" s="1"/>
      <c r="E2300" s="1"/>
      <c r="F2300" s="1"/>
      <c r="G2300" s="3"/>
      <c r="H2300" s="11">
        <f t="shared" si="70"/>
        <v>2</v>
      </c>
      <c r="I2300" s="9">
        <f>($K$2+0.02)*Tabla1[[#This Row],[PRECIO $]]*1.18</f>
        <v>0</v>
      </c>
      <c r="J2300" s="7">
        <f>+Tabla1[[#This Row],[PRECIO EN SOLES]]-Tabla1[[#This Row],[PC]]</f>
        <v>2</v>
      </c>
      <c r="K2300" s="15"/>
      <c r="L2300" s="15" t="str">
        <f t="shared" si="71"/>
        <v>NORMAL</v>
      </c>
    </row>
    <row r="2301" spans="1:12" x14ac:dyDescent="0.25">
      <c r="A2301" s="3"/>
      <c r="B2301" s="3"/>
      <c r="C2301" s="1"/>
      <c r="D2301" s="1"/>
      <c r="E2301" s="1"/>
      <c r="F2301" s="1"/>
      <c r="G2301" s="3"/>
      <c r="H2301" s="11">
        <f t="shared" si="70"/>
        <v>2</v>
      </c>
      <c r="I2301" s="9">
        <f>($K$2+0.02)*Tabla1[[#This Row],[PRECIO $]]*1.18</f>
        <v>0</v>
      </c>
      <c r="J2301" s="7">
        <f>+Tabla1[[#This Row],[PRECIO EN SOLES]]-Tabla1[[#This Row],[PC]]</f>
        <v>2</v>
      </c>
      <c r="K2301" s="15"/>
      <c r="L2301" s="15" t="str">
        <f t="shared" si="71"/>
        <v>NORMAL</v>
      </c>
    </row>
    <row r="2302" spans="1:12" x14ac:dyDescent="0.25">
      <c r="A2302" s="3"/>
      <c r="B2302" s="3"/>
      <c r="C2302" s="1"/>
      <c r="D2302" s="1"/>
      <c r="E2302" s="1"/>
      <c r="F2302" s="1"/>
      <c r="G2302" s="3"/>
      <c r="H2302" s="11">
        <f t="shared" si="70"/>
        <v>2</v>
      </c>
      <c r="I2302" s="9">
        <f>($K$2+0.02)*Tabla1[[#This Row],[PRECIO $]]*1.18</f>
        <v>0</v>
      </c>
      <c r="J2302" s="7">
        <f>+Tabla1[[#This Row],[PRECIO EN SOLES]]-Tabla1[[#This Row],[PC]]</f>
        <v>2</v>
      </c>
      <c r="K2302" s="15"/>
      <c r="L2302" s="15" t="str">
        <f t="shared" si="71"/>
        <v>NORMAL</v>
      </c>
    </row>
    <row r="2303" spans="1:12" x14ac:dyDescent="0.25">
      <c r="A2303" s="3"/>
      <c r="B2303" s="3"/>
      <c r="C2303" s="1"/>
      <c r="D2303" s="1"/>
      <c r="E2303" s="1"/>
      <c r="F2303" s="1"/>
      <c r="G2303" s="3"/>
      <c r="H2303" s="11">
        <f t="shared" si="70"/>
        <v>2</v>
      </c>
      <c r="I2303" s="9">
        <f>($K$2+0.02)*Tabla1[[#This Row],[PRECIO $]]*1.18</f>
        <v>0</v>
      </c>
      <c r="J2303" s="7">
        <f>+Tabla1[[#This Row],[PRECIO EN SOLES]]-Tabla1[[#This Row],[PC]]</f>
        <v>2</v>
      </c>
      <c r="K2303" s="15"/>
      <c r="L2303" s="15" t="str">
        <f t="shared" si="71"/>
        <v>NORMAL</v>
      </c>
    </row>
    <row r="2304" spans="1:12" x14ac:dyDescent="0.25">
      <c r="A2304" s="3"/>
      <c r="B2304" s="3"/>
      <c r="C2304" s="1"/>
      <c r="D2304" s="1"/>
      <c r="E2304" s="1"/>
      <c r="F2304" s="1"/>
      <c r="G2304" s="3"/>
      <c r="H2304" s="11">
        <f t="shared" si="70"/>
        <v>2</v>
      </c>
      <c r="I2304" s="9">
        <f>($K$2+0.02)*Tabla1[[#This Row],[PRECIO $]]*1.18</f>
        <v>0</v>
      </c>
      <c r="J2304" s="7">
        <f>+Tabla1[[#This Row],[PRECIO EN SOLES]]-Tabla1[[#This Row],[PC]]</f>
        <v>2</v>
      </c>
      <c r="K2304" s="15"/>
      <c r="L2304" s="15" t="str">
        <f t="shared" si="71"/>
        <v>NORMAL</v>
      </c>
    </row>
    <row r="2305" spans="1:12" x14ac:dyDescent="0.25">
      <c r="A2305" s="3"/>
      <c r="B2305" s="3"/>
      <c r="C2305" s="1"/>
      <c r="D2305" s="1"/>
      <c r="E2305" s="1"/>
      <c r="F2305" s="1"/>
      <c r="G2305" s="3"/>
      <c r="H2305" s="11">
        <f t="shared" si="70"/>
        <v>2</v>
      </c>
      <c r="I2305" s="9">
        <f>($K$2+0.02)*Tabla1[[#This Row],[PRECIO $]]*1.18</f>
        <v>0</v>
      </c>
      <c r="J2305" s="7">
        <f>+Tabla1[[#This Row],[PRECIO EN SOLES]]-Tabla1[[#This Row],[PC]]</f>
        <v>2</v>
      </c>
      <c r="K2305" s="15"/>
      <c r="L2305" s="15" t="str">
        <f t="shared" si="71"/>
        <v>NORMAL</v>
      </c>
    </row>
    <row r="2306" spans="1:12" x14ac:dyDescent="0.25">
      <c r="A2306" s="3"/>
      <c r="B2306" s="3"/>
      <c r="C2306" s="1"/>
      <c r="D2306" s="1"/>
      <c r="E2306" s="1"/>
      <c r="F2306" s="1"/>
      <c r="G2306" s="3"/>
      <c r="H2306" s="11">
        <f t="shared" ref="H2306:H2369" si="72">ROUND(
IF(L2306="GANCHO",
   IF(I2306&lt;=50,I2306*1.1+4,IF(I2306&lt;=120,I2306*1.1+7,IF(I2306&lt;=250,I2306*1.1+11,I2306*1.1+19))),
IF(L2306="NORMAL",
   IF(I2306&lt;=30,I2306*1.15+2,IF(I2306&lt;=80,I2306*1.15+4,IF(I2306&lt;=150,I2306*1.15+6,I2306*1.15+8))),
IF(L2306="COMPLEMENTO",
   IF(I2306&lt;=25,I2306*1.25+1.5,IF(I2306&lt;=60,I2306*1.25+3,IF(I2306&lt;=120,I2306*1.25+4,I2306*1.25+5))),
""))),2)</f>
        <v>2</v>
      </c>
      <c r="I2306" s="9">
        <f>($K$2+0.02)*Tabla1[[#This Row],[PRECIO $]]*1.18</f>
        <v>0</v>
      </c>
      <c r="J2306" s="7">
        <f>+Tabla1[[#This Row],[PRECIO EN SOLES]]-Tabla1[[#This Row],[PC]]</f>
        <v>2</v>
      </c>
      <c r="K2306" s="15"/>
      <c r="L2306" s="15" t="str">
        <f t="shared" si="71"/>
        <v>NORMAL</v>
      </c>
    </row>
    <row r="2307" spans="1:12" x14ac:dyDescent="0.25">
      <c r="A2307" s="3"/>
      <c r="B2307" s="3"/>
      <c r="C2307" s="1"/>
      <c r="D2307" s="1"/>
      <c r="E2307" s="1"/>
      <c r="F2307" s="1"/>
      <c r="G2307" s="3"/>
      <c r="H2307" s="11">
        <f t="shared" si="72"/>
        <v>2</v>
      </c>
      <c r="I2307" s="9">
        <f>($K$2+0.02)*Tabla1[[#This Row],[PRECIO $]]*1.18</f>
        <v>0</v>
      </c>
      <c r="J2307" s="7">
        <f>+Tabla1[[#This Row],[PRECIO EN SOLES]]-Tabla1[[#This Row],[PC]]</f>
        <v>2</v>
      </c>
      <c r="K2307" s="15"/>
      <c r="L2307" s="15" t="str">
        <f t="shared" ref="L2307:L2370" si="73">IF(
OR(
ISNUMBER(SEARCH("BACKPACK",B2307)),
ISNUMBER(SEARCH("MOCHILA",B2307)),
ISNUMBER(SEARCH("FUNDA",B2307)),
ISNUMBER(SEARCH("ESTUCHE",B2307)),
ISNUMBER(SEARCH("BOOK COVER",B2307)),
ISNUMBER(SEARCH("KEYBOARD PARA TABLET",B2307)),
ISNUMBER(SEARCH("FLIP TABLET",B2307)),
ISNUMBER(SEARCH("CASE FOR TABLET",B2307)),
ISNUMBER(SEARCH("CABLE",B2307)),
ISNUMBER(SEARCH("ADAPTADOR",B2307)),
ISNUMBER(SEARCH("HUB",B2307)),
ISNUMBER(SEARCH("DOCK",B2307)),
ISNUMBER(SEARCH("MOUSE PAD",B2307)),
ISNUMBER(SEARCH("MOUSEPAD",B2307)),
ISNUMBER(SEARCH("SOPORTE",B2307)),
ISNUMBER(SEARCH("STAND",B2307)),
ISNUMBER(SEARCH("TRAVEL ADAPTER",B2307)),
ISNUMBER(SEARCH("RJ45",B2307)),
ISNUMBER(SEARCH("USB-C",B2307)),
ISNUMBER(SEARCH("USB WIFI",B2307)),
ISNUMBER(SEARCH("POWERBANK",B2307)),
ISNUMBER(SEARCH("CARGADOR",B2307)),
ISNUMBER(SEARCH("COOLER PARA NB",B2307)),
ISNUMBER(SEARCH("SOPORTE PARA NB",B2307)),
ISNUMBER(SEARCH("WEBCAM",B2307)),
ISNUMBER(SEARCH("WEB CAM",B2307)),
ISNUMBER(SEARCH("MOUSE",B2307)),
ISNUMBER(SEARCH("TECLADO",B2307))
),
"COMPLEMENTO",
IF(
OR(
LEFT(A2307,2)="NB",
LEFT(A2307,2)="PC",
LEFT(A2307,2)="WS",
LEFT(A2307,2)="TB",
LEFT(A2307,3)="CEL",
LEFT(A2307,3)="MON",
LEFT(A2307,3)="PRE",
LEFT(A2307,3)="PRH",
ISNUMBER(SEARCH("NOTEBOOK",B2307)),
ISNUMBER(SEARCH("LAPTOP",B2307)),
ISNUMBER(SEARCH("MONITOR",B2307)),
ISNUMBER(SEARCH("TABLET",B2307)),
ISNUMBER(SEARCH("SMARTPH",B2307)),
ISNUMBER(SEARCH("IMPRESORA",B2307)),
ISNUMBER(SEARCH("MULTIFUNCIONAL",B2307)),
ISNUMBER(SEARCH("AIO",B2307))
),
"GANCHO",
"NORMAL"
)
)</f>
        <v>NORMAL</v>
      </c>
    </row>
    <row r="2308" spans="1:12" x14ac:dyDescent="0.25">
      <c r="A2308" s="3"/>
      <c r="B2308" s="3"/>
      <c r="C2308" s="1"/>
      <c r="D2308" s="1"/>
      <c r="E2308" s="1"/>
      <c r="F2308" s="1"/>
      <c r="G2308" s="3"/>
      <c r="H2308" s="11">
        <f t="shared" si="72"/>
        <v>2</v>
      </c>
      <c r="I2308" s="9">
        <f>($K$2+0.02)*Tabla1[[#This Row],[PRECIO $]]*1.18</f>
        <v>0</v>
      </c>
      <c r="J2308" s="7">
        <f>+Tabla1[[#This Row],[PRECIO EN SOLES]]-Tabla1[[#This Row],[PC]]</f>
        <v>2</v>
      </c>
      <c r="K2308" s="15"/>
      <c r="L2308" s="15" t="str">
        <f t="shared" si="73"/>
        <v>NORMAL</v>
      </c>
    </row>
    <row r="2309" spans="1:12" x14ac:dyDescent="0.25">
      <c r="A2309" s="3"/>
      <c r="B2309" s="3"/>
      <c r="C2309" s="1"/>
      <c r="D2309" s="1"/>
      <c r="E2309" s="1"/>
      <c r="F2309" s="1"/>
      <c r="G2309" s="3"/>
      <c r="H2309" s="11">
        <f t="shared" si="72"/>
        <v>2</v>
      </c>
      <c r="I2309" s="9">
        <f>($K$2+0.02)*Tabla1[[#This Row],[PRECIO $]]*1.18</f>
        <v>0</v>
      </c>
      <c r="J2309" s="7">
        <f>+Tabla1[[#This Row],[PRECIO EN SOLES]]-Tabla1[[#This Row],[PC]]</f>
        <v>2</v>
      </c>
      <c r="K2309" s="15"/>
      <c r="L2309" s="15" t="str">
        <f t="shared" si="73"/>
        <v>NORMAL</v>
      </c>
    </row>
    <row r="2310" spans="1:12" x14ac:dyDescent="0.25">
      <c r="A2310" s="3"/>
      <c r="B2310" s="3"/>
      <c r="C2310" s="1"/>
      <c r="D2310" s="1"/>
      <c r="E2310" s="1"/>
      <c r="F2310" s="1"/>
      <c r="G2310" s="3"/>
      <c r="H2310" s="11">
        <f t="shared" si="72"/>
        <v>2</v>
      </c>
      <c r="I2310" s="9">
        <f>($K$2+0.02)*Tabla1[[#This Row],[PRECIO $]]*1.18</f>
        <v>0</v>
      </c>
      <c r="J2310" s="7">
        <f>+Tabla1[[#This Row],[PRECIO EN SOLES]]-Tabla1[[#This Row],[PC]]</f>
        <v>2</v>
      </c>
      <c r="K2310" s="15"/>
      <c r="L2310" s="15" t="str">
        <f t="shared" si="73"/>
        <v>NORMAL</v>
      </c>
    </row>
    <row r="2311" spans="1:12" x14ac:dyDescent="0.25">
      <c r="A2311" s="3"/>
      <c r="B2311" s="3"/>
      <c r="C2311" s="1"/>
      <c r="D2311" s="1"/>
      <c r="E2311" s="1"/>
      <c r="F2311" s="1"/>
      <c r="G2311" s="3"/>
      <c r="H2311" s="11">
        <f t="shared" si="72"/>
        <v>2</v>
      </c>
      <c r="I2311" s="9">
        <f>($K$2+0.02)*Tabla1[[#This Row],[PRECIO $]]*1.18</f>
        <v>0</v>
      </c>
      <c r="J2311" s="7">
        <f>+Tabla1[[#This Row],[PRECIO EN SOLES]]-Tabla1[[#This Row],[PC]]</f>
        <v>2</v>
      </c>
      <c r="K2311" s="15"/>
      <c r="L2311" s="15" t="str">
        <f t="shared" si="73"/>
        <v>NORMAL</v>
      </c>
    </row>
    <row r="2312" spans="1:12" x14ac:dyDescent="0.25">
      <c r="A2312" s="3"/>
      <c r="B2312" s="3"/>
      <c r="C2312" s="1"/>
      <c r="D2312" s="1"/>
      <c r="E2312" s="1"/>
      <c r="F2312" s="1"/>
      <c r="G2312" s="3"/>
      <c r="H2312" s="11">
        <f t="shared" si="72"/>
        <v>2</v>
      </c>
      <c r="I2312" s="9">
        <f>($K$2+0.02)*Tabla1[[#This Row],[PRECIO $]]*1.18</f>
        <v>0</v>
      </c>
      <c r="J2312" s="7">
        <f>+Tabla1[[#This Row],[PRECIO EN SOLES]]-Tabla1[[#This Row],[PC]]</f>
        <v>2</v>
      </c>
      <c r="K2312" s="15"/>
      <c r="L2312" s="15" t="str">
        <f t="shared" si="73"/>
        <v>NORMAL</v>
      </c>
    </row>
    <row r="2313" spans="1:12" x14ac:dyDescent="0.25">
      <c r="A2313" s="3"/>
      <c r="B2313" s="3"/>
      <c r="C2313" s="1"/>
      <c r="D2313" s="1"/>
      <c r="E2313" s="1"/>
      <c r="F2313" s="1"/>
      <c r="G2313" s="3"/>
      <c r="H2313" s="11">
        <f t="shared" si="72"/>
        <v>2</v>
      </c>
      <c r="I2313" s="9">
        <f>($K$2+0.02)*Tabla1[[#This Row],[PRECIO $]]*1.18</f>
        <v>0</v>
      </c>
      <c r="J2313" s="7">
        <f>+Tabla1[[#This Row],[PRECIO EN SOLES]]-Tabla1[[#This Row],[PC]]</f>
        <v>2</v>
      </c>
      <c r="K2313" s="15"/>
      <c r="L2313" s="15" t="str">
        <f t="shared" si="73"/>
        <v>NORMAL</v>
      </c>
    </row>
    <row r="2314" spans="1:12" x14ac:dyDescent="0.25">
      <c r="A2314" s="3"/>
      <c r="B2314" s="3"/>
      <c r="C2314" s="1"/>
      <c r="D2314" s="1"/>
      <c r="E2314" s="1"/>
      <c r="F2314" s="1"/>
      <c r="G2314" s="3"/>
      <c r="H2314" s="11">
        <f t="shared" si="72"/>
        <v>2</v>
      </c>
      <c r="I2314" s="9">
        <f>($K$2+0.02)*Tabla1[[#This Row],[PRECIO $]]*1.18</f>
        <v>0</v>
      </c>
      <c r="J2314" s="7">
        <f>+Tabla1[[#This Row],[PRECIO EN SOLES]]-Tabla1[[#This Row],[PC]]</f>
        <v>2</v>
      </c>
      <c r="K2314" s="15"/>
      <c r="L2314" s="15" t="str">
        <f t="shared" si="73"/>
        <v>NORMAL</v>
      </c>
    </row>
    <row r="2315" spans="1:12" x14ac:dyDescent="0.25">
      <c r="A2315" s="3"/>
      <c r="B2315" s="3"/>
      <c r="C2315" s="1"/>
      <c r="D2315" s="1"/>
      <c r="E2315" s="1"/>
      <c r="F2315" s="1"/>
      <c r="G2315" s="3"/>
      <c r="H2315" s="11">
        <f t="shared" si="72"/>
        <v>2</v>
      </c>
      <c r="I2315" s="9">
        <f>($K$2+0.02)*Tabla1[[#This Row],[PRECIO $]]*1.18</f>
        <v>0</v>
      </c>
      <c r="J2315" s="7">
        <f>+Tabla1[[#This Row],[PRECIO EN SOLES]]-Tabla1[[#This Row],[PC]]</f>
        <v>2</v>
      </c>
      <c r="K2315" s="15"/>
      <c r="L2315" s="15" t="str">
        <f t="shared" si="73"/>
        <v>NORMAL</v>
      </c>
    </row>
    <row r="2316" spans="1:12" x14ac:dyDescent="0.25">
      <c r="A2316" s="3"/>
      <c r="B2316" s="3"/>
      <c r="C2316" s="1"/>
      <c r="D2316" s="1"/>
      <c r="E2316" s="1"/>
      <c r="F2316" s="1"/>
      <c r="G2316" s="3"/>
      <c r="H2316" s="11">
        <f t="shared" si="72"/>
        <v>2</v>
      </c>
      <c r="I2316" s="9">
        <f>($K$2+0.02)*Tabla1[[#This Row],[PRECIO $]]*1.18</f>
        <v>0</v>
      </c>
      <c r="J2316" s="7">
        <f>+Tabla1[[#This Row],[PRECIO EN SOLES]]-Tabla1[[#This Row],[PC]]</f>
        <v>2</v>
      </c>
      <c r="K2316" s="15"/>
      <c r="L2316" s="15" t="str">
        <f t="shared" si="73"/>
        <v>NORMAL</v>
      </c>
    </row>
    <row r="2317" spans="1:12" x14ac:dyDescent="0.25">
      <c r="A2317" s="3"/>
      <c r="B2317" s="3"/>
      <c r="C2317" s="1"/>
      <c r="D2317" s="1"/>
      <c r="E2317" s="1"/>
      <c r="F2317" s="1"/>
      <c r="G2317" s="3"/>
      <c r="H2317" s="11">
        <f t="shared" si="72"/>
        <v>2</v>
      </c>
      <c r="I2317" s="9">
        <f>($K$2+0.02)*Tabla1[[#This Row],[PRECIO $]]*1.18</f>
        <v>0</v>
      </c>
      <c r="J2317" s="7">
        <f>+Tabla1[[#This Row],[PRECIO EN SOLES]]-Tabla1[[#This Row],[PC]]</f>
        <v>2</v>
      </c>
      <c r="K2317" s="15"/>
      <c r="L2317" s="15" t="str">
        <f t="shared" si="73"/>
        <v>NORMAL</v>
      </c>
    </row>
    <row r="2318" spans="1:12" x14ac:dyDescent="0.25">
      <c r="A2318" s="3"/>
      <c r="B2318" s="3"/>
      <c r="C2318" s="1"/>
      <c r="D2318" s="1"/>
      <c r="E2318" s="1"/>
      <c r="F2318" s="1"/>
      <c r="G2318" s="3"/>
      <c r="H2318" s="11">
        <f t="shared" si="72"/>
        <v>2</v>
      </c>
      <c r="I2318" s="9">
        <f>($K$2+0.02)*Tabla1[[#This Row],[PRECIO $]]*1.18</f>
        <v>0</v>
      </c>
      <c r="J2318" s="7">
        <f>+Tabla1[[#This Row],[PRECIO EN SOLES]]-Tabla1[[#This Row],[PC]]</f>
        <v>2</v>
      </c>
      <c r="K2318" s="15"/>
      <c r="L2318" s="15" t="str">
        <f t="shared" si="73"/>
        <v>NORMAL</v>
      </c>
    </row>
    <row r="2319" spans="1:12" x14ac:dyDescent="0.25">
      <c r="A2319" s="3"/>
      <c r="B2319" s="3"/>
      <c r="C2319" s="1"/>
      <c r="D2319" s="1"/>
      <c r="E2319" s="1"/>
      <c r="F2319" s="1"/>
      <c r="G2319" s="3"/>
      <c r="H2319" s="11">
        <f t="shared" si="72"/>
        <v>2</v>
      </c>
      <c r="I2319" s="9">
        <f>($K$2+0.02)*Tabla1[[#This Row],[PRECIO $]]*1.18</f>
        <v>0</v>
      </c>
      <c r="J2319" s="7">
        <f>+Tabla1[[#This Row],[PRECIO EN SOLES]]-Tabla1[[#This Row],[PC]]</f>
        <v>2</v>
      </c>
      <c r="K2319" s="15"/>
      <c r="L2319" s="15" t="str">
        <f t="shared" si="73"/>
        <v>NORMAL</v>
      </c>
    </row>
    <row r="2320" spans="1:12" x14ac:dyDescent="0.25">
      <c r="A2320" s="3"/>
      <c r="B2320" s="3"/>
      <c r="C2320" s="1"/>
      <c r="D2320" s="1"/>
      <c r="E2320" s="1"/>
      <c r="F2320" s="1"/>
      <c r="G2320" s="3"/>
      <c r="H2320" s="11">
        <f t="shared" si="72"/>
        <v>2</v>
      </c>
      <c r="I2320" s="9">
        <f>($K$2+0.02)*Tabla1[[#This Row],[PRECIO $]]*1.18</f>
        <v>0</v>
      </c>
      <c r="J2320" s="7">
        <f>+Tabla1[[#This Row],[PRECIO EN SOLES]]-Tabla1[[#This Row],[PC]]</f>
        <v>2</v>
      </c>
      <c r="K2320" s="15"/>
      <c r="L2320" s="15" t="str">
        <f t="shared" si="73"/>
        <v>NORMAL</v>
      </c>
    </row>
    <row r="2321" spans="1:12" x14ac:dyDescent="0.25">
      <c r="A2321" s="3"/>
      <c r="B2321" s="3"/>
      <c r="C2321" s="1"/>
      <c r="D2321" s="1"/>
      <c r="E2321" s="1"/>
      <c r="F2321" s="1"/>
      <c r="G2321" s="3"/>
      <c r="H2321" s="11">
        <f t="shared" si="72"/>
        <v>2</v>
      </c>
      <c r="I2321" s="9">
        <f>($K$2+0.02)*Tabla1[[#This Row],[PRECIO $]]*1.18</f>
        <v>0</v>
      </c>
      <c r="J2321" s="7">
        <f>+Tabla1[[#This Row],[PRECIO EN SOLES]]-Tabla1[[#This Row],[PC]]</f>
        <v>2</v>
      </c>
      <c r="K2321" s="15"/>
      <c r="L2321" s="15" t="str">
        <f t="shared" si="73"/>
        <v>NORMAL</v>
      </c>
    </row>
    <row r="2322" spans="1:12" x14ac:dyDescent="0.25">
      <c r="A2322" s="3"/>
      <c r="B2322" s="3"/>
      <c r="C2322" s="1"/>
      <c r="D2322" s="1"/>
      <c r="E2322" s="1"/>
      <c r="F2322" s="1"/>
      <c r="G2322" s="3"/>
      <c r="H2322" s="11">
        <f t="shared" si="72"/>
        <v>2</v>
      </c>
      <c r="I2322" s="9">
        <f>($K$2+0.02)*Tabla1[[#This Row],[PRECIO $]]*1.18</f>
        <v>0</v>
      </c>
      <c r="J2322" s="7">
        <f>+Tabla1[[#This Row],[PRECIO EN SOLES]]-Tabla1[[#This Row],[PC]]</f>
        <v>2</v>
      </c>
      <c r="K2322" s="15"/>
      <c r="L2322" s="15" t="str">
        <f t="shared" si="73"/>
        <v>NORMAL</v>
      </c>
    </row>
    <row r="2323" spans="1:12" x14ac:dyDescent="0.25">
      <c r="A2323" s="3"/>
      <c r="B2323" s="3"/>
      <c r="C2323" s="1"/>
      <c r="D2323" s="1"/>
      <c r="E2323" s="1"/>
      <c r="F2323" s="1"/>
      <c r="G2323" s="3"/>
      <c r="H2323" s="11">
        <f t="shared" si="72"/>
        <v>2</v>
      </c>
      <c r="I2323" s="9">
        <f>($K$2+0.02)*Tabla1[[#This Row],[PRECIO $]]*1.18</f>
        <v>0</v>
      </c>
      <c r="J2323" s="7">
        <f>+Tabla1[[#This Row],[PRECIO EN SOLES]]-Tabla1[[#This Row],[PC]]</f>
        <v>2</v>
      </c>
      <c r="K2323" s="15"/>
      <c r="L2323" s="15" t="str">
        <f t="shared" si="73"/>
        <v>NORMAL</v>
      </c>
    </row>
    <row r="2324" spans="1:12" x14ac:dyDescent="0.25">
      <c r="A2324" s="3"/>
      <c r="B2324" s="3"/>
      <c r="C2324" s="1"/>
      <c r="D2324" s="1"/>
      <c r="E2324" s="1"/>
      <c r="F2324" s="1"/>
      <c r="G2324" s="3"/>
      <c r="H2324" s="11">
        <f t="shared" si="72"/>
        <v>2</v>
      </c>
      <c r="I2324" s="9">
        <f>($K$2+0.02)*Tabla1[[#This Row],[PRECIO $]]*1.18</f>
        <v>0</v>
      </c>
      <c r="J2324" s="7">
        <f>+Tabla1[[#This Row],[PRECIO EN SOLES]]-Tabla1[[#This Row],[PC]]</f>
        <v>2</v>
      </c>
      <c r="K2324" s="15"/>
      <c r="L2324" s="15" t="str">
        <f t="shared" si="73"/>
        <v>NORMAL</v>
      </c>
    </row>
    <row r="2325" spans="1:12" x14ac:dyDescent="0.25">
      <c r="A2325" s="3"/>
      <c r="B2325" s="3"/>
      <c r="C2325" s="1"/>
      <c r="D2325" s="1"/>
      <c r="E2325" s="1"/>
      <c r="F2325" s="1"/>
      <c r="G2325" s="3"/>
      <c r="H2325" s="11">
        <f t="shared" si="72"/>
        <v>2</v>
      </c>
      <c r="I2325" s="9">
        <f>($K$2+0.02)*Tabla1[[#This Row],[PRECIO $]]*1.18</f>
        <v>0</v>
      </c>
      <c r="J2325" s="7">
        <f>+Tabla1[[#This Row],[PRECIO EN SOLES]]-Tabla1[[#This Row],[PC]]</f>
        <v>2</v>
      </c>
      <c r="K2325" s="15"/>
      <c r="L2325" s="15" t="str">
        <f t="shared" si="73"/>
        <v>NORMAL</v>
      </c>
    </row>
    <row r="2326" spans="1:12" x14ac:dyDescent="0.25">
      <c r="A2326" s="3"/>
      <c r="B2326" s="3"/>
      <c r="C2326" s="1"/>
      <c r="D2326" s="1"/>
      <c r="E2326" s="1"/>
      <c r="F2326" s="1"/>
      <c r="G2326" s="3"/>
      <c r="H2326" s="11">
        <f t="shared" si="72"/>
        <v>2</v>
      </c>
      <c r="I2326" s="9">
        <f>($K$2+0.02)*Tabla1[[#This Row],[PRECIO $]]*1.18</f>
        <v>0</v>
      </c>
      <c r="J2326" s="7">
        <f>+Tabla1[[#This Row],[PRECIO EN SOLES]]-Tabla1[[#This Row],[PC]]</f>
        <v>2</v>
      </c>
      <c r="K2326" s="15"/>
      <c r="L2326" s="15" t="str">
        <f t="shared" si="73"/>
        <v>NORMAL</v>
      </c>
    </row>
    <row r="2327" spans="1:12" x14ac:dyDescent="0.25">
      <c r="A2327" s="3"/>
      <c r="B2327" s="3"/>
      <c r="C2327" s="1"/>
      <c r="D2327" s="1"/>
      <c r="E2327" s="1"/>
      <c r="F2327" s="1"/>
      <c r="G2327" s="3"/>
      <c r="H2327" s="11">
        <f t="shared" si="72"/>
        <v>2</v>
      </c>
      <c r="I2327" s="9">
        <f>($K$2+0.02)*Tabla1[[#This Row],[PRECIO $]]*1.18</f>
        <v>0</v>
      </c>
      <c r="J2327" s="7">
        <f>+Tabla1[[#This Row],[PRECIO EN SOLES]]-Tabla1[[#This Row],[PC]]</f>
        <v>2</v>
      </c>
      <c r="K2327" s="15"/>
      <c r="L2327" s="15" t="str">
        <f t="shared" si="73"/>
        <v>NORMAL</v>
      </c>
    </row>
    <row r="2328" spans="1:12" x14ac:dyDescent="0.25">
      <c r="A2328" s="3"/>
      <c r="B2328" s="3"/>
      <c r="C2328" s="1"/>
      <c r="D2328" s="1"/>
      <c r="E2328" s="1"/>
      <c r="F2328" s="1"/>
      <c r="G2328" s="3"/>
      <c r="H2328" s="11">
        <f t="shared" si="72"/>
        <v>2</v>
      </c>
      <c r="I2328" s="9">
        <f>($K$2+0.02)*Tabla1[[#This Row],[PRECIO $]]*1.18</f>
        <v>0</v>
      </c>
      <c r="J2328" s="7">
        <f>+Tabla1[[#This Row],[PRECIO EN SOLES]]-Tabla1[[#This Row],[PC]]</f>
        <v>2</v>
      </c>
      <c r="K2328" s="15"/>
      <c r="L2328" s="15" t="str">
        <f t="shared" si="73"/>
        <v>NORMAL</v>
      </c>
    </row>
    <row r="2329" spans="1:12" x14ac:dyDescent="0.25">
      <c r="A2329" s="3"/>
      <c r="B2329" s="3"/>
      <c r="C2329" s="1"/>
      <c r="D2329" s="1"/>
      <c r="E2329" s="1"/>
      <c r="F2329" s="1"/>
      <c r="G2329" s="3"/>
      <c r="H2329" s="11">
        <f t="shared" si="72"/>
        <v>2</v>
      </c>
      <c r="I2329" s="9">
        <f>($K$2+0.02)*Tabla1[[#This Row],[PRECIO $]]*1.18</f>
        <v>0</v>
      </c>
      <c r="J2329" s="7">
        <f>+Tabla1[[#This Row],[PRECIO EN SOLES]]-Tabla1[[#This Row],[PC]]</f>
        <v>2</v>
      </c>
      <c r="K2329" s="15"/>
      <c r="L2329" s="15" t="str">
        <f t="shared" si="73"/>
        <v>NORMAL</v>
      </c>
    </row>
    <row r="2330" spans="1:12" x14ac:dyDescent="0.25">
      <c r="A2330" s="3"/>
      <c r="B2330" s="3"/>
      <c r="C2330" s="1"/>
      <c r="D2330" s="1"/>
      <c r="E2330" s="1"/>
      <c r="F2330" s="1"/>
      <c r="G2330" s="3"/>
      <c r="H2330" s="11">
        <f t="shared" si="72"/>
        <v>2</v>
      </c>
      <c r="I2330" s="9">
        <f>($K$2+0.02)*Tabla1[[#This Row],[PRECIO $]]*1.18</f>
        <v>0</v>
      </c>
      <c r="J2330" s="7">
        <f>+Tabla1[[#This Row],[PRECIO EN SOLES]]-Tabla1[[#This Row],[PC]]</f>
        <v>2</v>
      </c>
      <c r="K2330" s="15"/>
      <c r="L2330" s="15" t="str">
        <f t="shared" si="73"/>
        <v>NORMAL</v>
      </c>
    </row>
    <row r="2331" spans="1:12" x14ac:dyDescent="0.25">
      <c r="A2331" s="3"/>
      <c r="B2331" s="3"/>
      <c r="C2331" s="1"/>
      <c r="D2331" s="1"/>
      <c r="E2331" s="1"/>
      <c r="F2331" s="1"/>
      <c r="G2331" s="3"/>
      <c r="H2331" s="11">
        <f t="shared" si="72"/>
        <v>2</v>
      </c>
      <c r="I2331" s="9">
        <f>($K$2+0.02)*Tabla1[[#This Row],[PRECIO $]]*1.18</f>
        <v>0</v>
      </c>
      <c r="J2331" s="7">
        <f>+Tabla1[[#This Row],[PRECIO EN SOLES]]-Tabla1[[#This Row],[PC]]</f>
        <v>2</v>
      </c>
      <c r="K2331" s="15"/>
      <c r="L2331" s="15" t="str">
        <f t="shared" si="73"/>
        <v>NORMAL</v>
      </c>
    </row>
    <row r="2332" spans="1:12" x14ac:dyDescent="0.25">
      <c r="A2332" s="3"/>
      <c r="B2332" s="3"/>
      <c r="C2332" s="1"/>
      <c r="D2332" s="1"/>
      <c r="E2332" s="1"/>
      <c r="F2332" s="1"/>
      <c r="G2332" s="3"/>
      <c r="H2332" s="11">
        <f t="shared" si="72"/>
        <v>2</v>
      </c>
      <c r="I2332" s="9">
        <f>($K$2+0.02)*Tabla1[[#This Row],[PRECIO $]]*1.18</f>
        <v>0</v>
      </c>
      <c r="J2332" s="7">
        <f>+Tabla1[[#This Row],[PRECIO EN SOLES]]-Tabla1[[#This Row],[PC]]</f>
        <v>2</v>
      </c>
      <c r="K2332" s="15"/>
      <c r="L2332" s="15" t="str">
        <f t="shared" si="73"/>
        <v>NORMAL</v>
      </c>
    </row>
    <row r="2333" spans="1:12" x14ac:dyDescent="0.25">
      <c r="A2333" s="3"/>
      <c r="B2333" s="3"/>
      <c r="C2333" s="1"/>
      <c r="D2333" s="1"/>
      <c r="E2333" s="1"/>
      <c r="F2333" s="1"/>
      <c r="G2333" s="3"/>
      <c r="H2333" s="11">
        <f t="shared" si="72"/>
        <v>2</v>
      </c>
      <c r="I2333" s="9">
        <f>($K$2+0.02)*Tabla1[[#This Row],[PRECIO $]]*1.18</f>
        <v>0</v>
      </c>
      <c r="J2333" s="7">
        <f>+Tabla1[[#This Row],[PRECIO EN SOLES]]-Tabla1[[#This Row],[PC]]</f>
        <v>2</v>
      </c>
      <c r="K2333" s="15"/>
      <c r="L2333" s="15" t="str">
        <f t="shared" si="73"/>
        <v>NORMAL</v>
      </c>
    </row>
    <row r="2334" spans="1:12" x14ac:dyDescent="0.25">
      <c r="A2334" s="3"/>
      <c r="B2334" s="3"/>
      <c r="C2334" s="1"/>
      <c r="D2334" s="1"/>
      <c r="E2334" s="1"/>
      <c r="F2334" s="1"/>
      <c r="G2334" s="3"/>
      <c r="H2334" s="11">
        <f t="shared" si="72"/>
        <v>2</v>
      </c>
      <c r="I2334" s="9">
        <f>($K$2+0.02)*Tabla1[[#This Row],[PRECIO $]]*1.18</f>
        <v>0</v>
      </c>
      <c r="J2334" s="7">
        <f>+Tabla1[[#This Row],[PRECIO EN SOLES]]-Tabla1[[#This Row],[PC]]</f>
        <v>2</v>
      </c>
      <c r="K2334" s="15"/>
      <c r="L2334" s="15" t="str">
        <f t="shared" si="73"/>
        <v>NORMAL</v>
      </c>
    </row>
    <row r="2335" spans="1:12" x14ac:dyDescent="0.25">
      <c r="A2335" s="3"/>
      <c r="B2335" s="3"/>
      <c r="C2335" s="1"/>
      <c r="D2335" s="1"/>
      <c r="E2335" s="1"/>
      <c r="F2335" s="1"/>
      <c r="G2335" s="3"/>
      <c r="H2335" s="11">
        <f t="shared" si="72"/>
        <v>2</v>
      </c>
      <c r="I2335" s="9">
        <f>($K$2+0.02)*Tabla1[[#This Row],[PRECIO $]]*1.18</f>
        <v>0</v>
      </c>
      <c r="J2335" s="7">
        <f>+Tabla1[[#This Row],[PRECIO EN SOLES]]-Tabla1[[#This Row],[PC]]</f>
        <v>2</v>
      </c>
      <c r="K2335" s="15"/>
      <c r="L2335" s="15" t="str">
        <f t="shared" si="73"/>
        <v>NORMAL</v>
      </c>
    </row>
    <row r="2336" spans="1:12" x14ac:dyDescent="0.25">
      <c r="A2336" s="3"/>
      <c r="B2336" s="3"/>
      <c r="C2336" s="1"/>
      <c r="D2336" s="1"/>
      <c r="E2336" s="1"/>
      <c r="F2336" s="1"/>
      <c r="G2336" s="3"/>
      <c r="H2336" s="11">
        <f t="shared" si="72"/>
        <v>2</v>
      </c>
      <c r="I2336" s="9">
        <f>($K$2+0.02)*Tabla1[[#This Row],[PRECIO $]]*1.18</f>
        <v>0</v>
      </c>
      <c r="J2336" s="7">
        <f>+Tabla1[[#This Row],[PRECIO EN SOLES]]-Tabla1[[#This Row],[PC]]</f>
        <v>2</v>
      </c>
      <c r="K2336" s="15"/>
      <c r="L2336" s="15" t="str">
        <f t="shared" si="73"/>
        <v>NORMAL</v>
      </c>
    </row>
    <row r="2337" spans="1:12" x14ac:dyDescent="0.25">
      <c r="A2337" s="3"/>
      <c r="B2337" s="3"/>
      <c r="C2337" s="1"/>
      <c r="D2337" s="1"/>
      <c r="E2337" s="1"/>
      <c r="F2337" s="1"/>
      <c r="G2337" s="3"/>
      <c r="H2337" s="11">
        <f t="shared" si="72"/>
        <v>2</v>
      </c>
      <c r="I2337" s="9">
        <f>($K$2+0.02)*Tabla1[[#This Row],[PRECIO $]]*1.18</f>
        <v>0</v>
      </c>
      <c r="J2337" s="7">
        <f>+Tabla1[[#This Row],[PRECIO EN SOLES]]-Tabla1[[#This Row],[PC]]</f>
        <v>2</v>
      </c>
      <c r="K2337" s="15"/>
      <c r="L2337" s="15" t="str">
        <f t="shared" si="73"/>
        <v>NORMAL</v>
      </c>
    </row>
    <row r="2338" spans="1:12" x14ac:dyDescent="0.25">
      <c r="A2338" s="3"/>
      <c r="B2338" s="3"/>
      <c r="C2338" s="1"/>
      <c r="D2338" s="1"/>
      <c r="E2338" s="1"/>
      <c r="F2338" s="1"/>
      <c r="G2338" s="3"/>
      <c r="H2338" s="11">
        <f t="shared" si="72"/>
        <v>2</v>
      </c>
      <c r="I2338" s="9">
        <f>($K$2+0.02)*Tabla1[[#This Row],[PRECIO $]]*1.18</f>
        <v>0</v>
      </c>
      <c r="J2338" s="7">
        <f>+Tabla1[[#This Row],[PRECIO EN SOLES]]-Tabla1[[#This Row],[PC]]</f>
        <v>2</v>
      </c>
      <c r="K2338" s="15"/>
      <c r="L2338" s="15" t="str">
        <f t="shared" si="73"/>
        <v>NORMAL</v>
      </c>
    </row>
    <row r="2339" spans="1:12" x14ac:dyDescent="0.25">
      <c r="A2339" s="3"/>
      <c r="B2339" s="3"/>
      <c r="C2339" s="1"/>
      <c r="D2339" s="1"/>
      <c r="E2339" s="1"/>
      <c r="F2339" s="1"/>
      <c r="G2339" s="3"/>
      <c r="H2339" s="11">
        <f t="shared" si="72"/>
        <v>2</v>
      </c>
      <c r="I2339" s="9">
        <f>($K$2+0.02)*Tabla1[[#This Row],[PRECIO $]]*1.18</f>
        <v>0</v>
      </c>
      <c r="J2339" s="7">
        <f>+Tabla1[[#This Row],[PRECIO EN SOLES]]-Tabla1[[#This Row],[PC]]</f>
        <v>2</v>
      </c>
      <c r="K2339" s="15"/>
      <c r="L2339" s="15" t="str">
        <f t="shared" si="73"/>
        <v>NORMAL</v>
      </c>
    </row>
    <row r="2340" spans="1:12" x14ac:dyDescent="0.25">
      <c r="A2340" s="3"/>
      <c r="B2340" s="3"/>
      <c r="C2340" s="1"/>
      <c r="D2340" s="1"/>
      <c r="E2340" s="1"/>
      <c r="F2340" s="1"/>
      <c r="G2340" s="3"/>
      <c r="H2340" s="11">
        <f t="shared" si="72"/>
        <v>2</v>
      </c>
      <c r="I2340" s="9">
        <f>($K$2+0.02)*Tabla1[[#This Row],[PRECIO $]]*1.18</f>
        <v>0</v>
      </c>
      <c r="J2340" s="7">
        <f>+Tabla1[[#This Row],[PRECIO EN SOLES]]-Tabla1[[#This Row],[PC]]</f>
        <v>2</v>
      </c>
      <c r="K2340" s="15"/>
      <c r="L2340" s="15" t="str">
        <f t="shared" si="73"/>
        <v>NORMAL</v>
      </c>
    </row>
    <row r="2341" spans="1:12" x14ac:dyDescent="0.25">
      <c r="A2341" s="3"/>
      <c r="B2341" s="3"/>
      <c r="C2341" s="1"/>
      <c r="D2341" s="1"/>
      <c r="E2341" s="1"/>
      <c r="F2341" s="1"/>
      <c r="G2341" s="3"/>
      <c r="H2341" s="11">
        <f t="shared" si="72"/>
        <v>2</v>
      </c>
      <c r="I2341" s="9">
        <f>($K$2+0.02)*Tabla1[[#This Row],[PRECIO $]]*1.18</f>
        <v>0</v>
      </c>
      <c r="J2341" s="7">
        <f>+Tabla1[[#This Row],[PRECIO EN SOLES]]-Tabla1[[#This Row],[PC]]</f>
        <v>2</v>
      </c>
      <c r="K2341" s="15"/>
      <c r="L2341" s="15" t="str">
        <f t="shared" si="73"/>
        <v>NORMAL</v>
      </c>
    </row>
    <row r="2342" spans="1:12" x14ac:dyDescent="0.25">
      <c r="A2342" s="3"/>
      <c r="B2342" s="3"/>
      <c r="C2342" s="1"/>
      <c r="D2342" s="1"/>
      <c r="E2342" s="1"/>
      <c r="F2342" s="1"/>
      <c r="G2342" s="3"/>
      <c r="H2342" s="11">
        <f t="shared" si="72"/>
        <v>2</v>
      </c>
      <c r="I2342" s="9">
        <f>($K$2+0.02)*Tabla1[[#This Row],[PRECIO $]]*1.18</f>
        <v>0</v>
      </c>
      <c r="J2342" s="7">
        <f>+Tabla1[[#This Row],[PRECIO EN SOLES]]-Tabla1[[#This Row],[PC]]</f>
        <v>2</v>
      </c>
      <c r="K2342" s="15"/>
      <c r="L2342" s="15" t="str">
        <f t="shared" si="73"/>
        <v>NORMAL</v>
      </c>
    </row>
    <row r="2343" spans="1:12" x14ac:dyDescent="0.25">
      <c r="A2343" s="3"/>
      <c r="B2343" s="3"/>
      <c r="C2343" s="1"/>
      <c r="D2343" s="1"/>
      <c r="E2343" s="1"/>
      <c r="F2343" s="1"/>
      <c r="G2343" s="3"/>
      <c r="H2343" s="11">
        <f t="shared" si="72"/>
        <v>2</v>
      </c>
      <c r="I2343" s="9">
        <f>($K$2+0.02)*Tabla1[[#This Row],[PRECIO $]]*1.18</f>
        <v>0</v>
      </c>
      <c r="J2343" s="7">
        <f>+Tabla1[[#This Row],[PRECIO EN SOLES]]-Tabla1[[#This Row],[PC]]</f>
        <v>2</v>
      </c>
      <c r="K2343" s="15"/>
      <c r="L2343" s="15" t="str">
        <f t="shared" si="73"/>
        <v>NORMAL</v>
      </c>
    </row>
    <row r="2344" spans="1:12" x14ac:dyDescent="0.25">
      <c r="A2344" s="3"/>
      <c r="B2344" s="3"/>
      <c r="C2344" s="1"/>
      <c r="D2344" s="1"/>
      <c r="E2344" s="1"/>
      <c r="F2344" s="1"/>
      <c r="G2344" s="3"/>
      <c r="H2344" s="11">
        <f t="shared" si="72"/>
        <v>2</v>
      </c>
      <c r="I2344" s="9">
        <f>($K$2+0.02)*Tabla1[[#This Row],[PRECIO $]]*1.18</f>
        <v>0</v>
      </c>
      <c r="J2344" s="7">
        <f>+Tabla1[[#This Row],[PRECIO EN SOLES]]-Tabla1[[#This Row],[PC]]</f>
        <v>2</v>
      </c>
      <c r="K2344" s="15"/>
      <c r="L2344" s="15" t="str">
        <f t="shared" si="73"/>
        <v>NORMAL</v>
      </c>
    </row>
    <row r="2345" spans="1:12" x14ac:dyDescent="0.25">
      <c r="A2345" s="3"/>
      <c r="B2345" s="3"/>
      <c r="C2345" s="1"/>
      <c r="D2345" s="1"/>
      <c r="E2345" s="1"/>
      <c r="F2345" s="1"/>
      <c r="G2345" s="3"/>
      <c r="H2345" s="11">
        <f t="shared" si="72"/>
        <v>2</v>
      </c>
      <c r="I2345" s="9">
        <f>($K$2+0.02)*Tabla1[[#This Row],[PRECIO $]]*1.18</f>
        <v>0</v>
      </c>
      <c r="J2345" s="7">
        <f>+Tabla1[[#This Row],[PRECIO EN SOLES]]-Tabla1[[#This Row],[PC]]</f>
        <v>2</v>
      </c>
      <c r="K2345" s="15"/>
      <c r="L2345" s="15" t="str">
        <f t="shared" si="73"/>
        <v>NORMAL</v>
      </c>
    </row>
    <row r="2346" spans="1:12" x14ac:dyDescent="0.25">
      <c r="A2346" s="3"/>
      <c r="B2346" s="3"/>
      <c r="C2346" s="1"/>
      <c r="D2346" s="1"/>
      <c r="E2346" s="1"/>
      <c r="F2346" s="1"/>
      <c r="G2346" s="3"/>
      <c r="H2346" s="11">
        <f t="shared" si="72"/>
        <v>2</v>
      </c>
      <c r="I2346" s="9">
        <f>($K$2+0.02)*Tabla1[[#This Row],[PRECIO $]]*1.18</f>
        <v>0</v>
      </c>
      <c r="J2346" s="7">
        <f>+Tabla1[[#This Row],[PRECIO EN SOLES]]-Tabla1[[#This Row],[PC]]</f>
        <v>2</v>
      </c>
      <c r="K2346" s="15"/>
      <c r="L2346" s="15" t="str">
        <f t="shared" si="73"/>
        <v>NORMAL</v>
      </c>
    </row>
    <row r="2347" spans="1:12" x14ac:dyDescent="0.25">
      <c r="A2347" s="3"/>
      <c r="B2347" s="3"/>
      <c r="C2347" s="1"/>
      <c r="D2347" s="1"/>
      <c r="E2347" s="1"/>
      <c r="F2347" s="1"/>
      <c r="G2347" s="3"/>
      <c r="H2347" s="11">
        <f t="shared" si="72"/>
        <v>2</v>
      </c>
      <c r="I2347" s="9">
        <f>($K$2+0.02)*Tabla1[[#This Row],[PRECIO $]]*1.18</f>
        <v>0</v>
      </c>
      <c r="J2347" s="7">
        <f>+Tabla1[[#This Row],[PRECIO EN SOLES]]-Tabla1[[#This Row],[PC]]</f>
        <v>2</v>
      </c>
      <c r="K2347" s="15"/>
      <c r="L2347" s="15" t="str">
        <f t="shared" si="73"/>
        <v>NORMAL</v>
      </c>
    </row>
    <row r="2348" spans="1:12" x14ac:dyDescent="0.25">
      <c r="A2348" s="3"/>
      <c r="B2348" s="3"/>
      <c r="C2348" s="1"/>
      <c r="D2348" s="1"/>
      <c r="E2348" s="1"/>
      <c r="F2348" s="1"/>
      <c r="G2348" s="3"/>
      <c r="H2348" s="11">
        <f t="shared" si="72"/>
        <v>2</v>
      </c>
      <c r="I2348" s="9">
        <f>($K$2+0.02)*Tabla1[[#This Row],[PRECIO $]]*1.18</f>
        <v>0</v>
      </c>
      <c r="J2348" s="7">
        <f>+Tabla1[[#This Row],[PRECIO EN SOLES]]-Tabla1[[#This Row],[PC]]</f>
        <v>2</v>
      </c>
      <c r="K2348" s="15"/>
      <c r="L2348" s="15" t="str">
        <f t="shared" si="73"/>
        <v>NORMAL</v>
      </c>
    </row>
    <row r="2349" spans="1:12" x14ac:dyDescent="0.25">
      <c r="A2349" s="3"/>
      <c r="B2349" s="3"/>
      <c r="C2349" s="1"/>
      <c r="D2349" s="1"/>
      <c r="E2349" s="1"/>
      <c r="F2349" s="1"/>
      <c r="G2349" s="3"/>
      <c r="H2349" s="11">
        <f t="shared" si="72"/>
        <v>2</v>
      </c>
      <c r="I2349" s="9">
        <f>($K$2+0.02)*Tabla1[[#This Row],[PRECIO $]]*1.18</f>
        <v>0</v>
      </c>
      <c r="J2349" s="7">
        <f>+Tabla1[[#This Row],[PRECIO EN SOLES]]-Tabla1[[#This Row],[PC]]</f>
        <v>2</v>
      </c>
      <c r="K2349" s="15"/>
      <c r="L2349" s="15" t="str">
        <f t="shared" si="73"/>
        <v>NORMAL</v>
      </c>
    </row>
    <row r="2350" spans="1:12" x14ac:dyDescent="0.25">
      <c r="A2350" s="3"/>
      <c r="B2350" s="3"/>
      <c r="C2350" s="1"/>
      <c r="D2350" s="1"/>
      <c r="E2350" s="1"/>
      <c r="F2350" s="1"/>
      <c r="G2350" s="3"/>
      <c r="H2350" s="11">
        <f t="shared" si="72"/>
        <v>2</v>
      </c>
      <c r="I2350" s="9">
        <f>($K$2+0.02)*Tabla1[[#This Row],[PRECIO $]]*1.18</f>
        <v>0</v>
      </c>
      <c r="J2350" s="7">
        <f>+Tabla1[[#This Row],[PRECIO EN SOLES]]-Tabla1[[#This Row],[PC]]</f>
        <v>2</v>
      </c>
      <c r="K2350" s="15"/>
      <c r="L2350" s="15" t="str">
        <f t="shared" si="73"/>
        <v>NORMAL</v>
      </c>
    </row>
    <row r="2351" spans="1:12" x14ac:dyDescent="0.25">
      <c r="A2351" s="3"/>
      <c r="B2351" s="3"/>
      <c r="C2351" s="1"/>
      <c r="D2351" s="1"/>
      <c r="E2351" s="1"/>
      <c r="F2351" s="1"/>
      <c r="G2351" s="3"/>
      <c r="H2351" s="11">
        <f t="shared" si="72"/>
        <v>2</v>
      </c>
      <c r="I2351" s="9">
        <f>($K$2+0.02)*Tabla1[[#This Row],[PRECIO $]]*1.18</f>
        <v>0</v>
      </c>
      <c r="J2351" s="7">
        <f>+Tabla1[[#This Row],[PRECIO EN SOLES]]-Tabla1[[#This Row],[PC]]</f>
        <v>2</v>
      </c>
      <c r="K2351" s="15"/>
      <c r="L2351" s="15" t="str">
        <f t="shared" si="73"/>
        <v>NORMAL</v>
      </c>
    </row>
    <row r="2352" spans="1:12" x14ac:dyDescent="0.25">
      <c r="A2352" s="3"/>
      <c r="B2352" s="3"/>
      <c r="C2352" s="1"/>
      <c r="D2352" s="1"/>
      <c r="E2352" s="1"/>
      <c r="F2352" s="1"/>
      <c r="G2352" s="3"/>
      <c r="H2352" s="11">
        <f t="shared" si="72"/>
        <v>2</v>
      </c>
      <c r="I2352" s="9">
        <f>($K$2+0.02)*Tabla1[[#This Row],[PRECIO $]]*1.18</f>
        <v>0</v>
      </c>
      <c r="J2352" s="7">
        <f>+Tabla1[[#This Row],[PRECIO EN SOLES]]-Tabla1[[#This Row],[PC]]</f>
        <v>2</v>
      </c>
      <c r="K2352" s="15"/>
      <c r="L2352" s="15" t="str">
        <f t="shared" si="73"/>
        <v>NORMAL</v>
      </c>
    </row>
    <row r="2353" spans="1:12" x14ac:dyDescent="0.25">
      <c r="A2353" s="3"/>
      <c r="B2353" s="3"/>
      <c r="C2353" s="1"/>
      <c r="D2353" s="1"/>
      <c r="E2353" s="1"/>
      <c r="F2353" s="1"/>
      <c r="G2353" s="3"/>
      <c r="H2353" s="11">
        <f t="shared" si="72"/>
        <v>2</v>
      </c>
      <c r="I2353" s="9">
        <f>($K$2+0.02)*Tabla1[[#This Row],[PRECIO $]]*1.18</f>
        <v>0</v>
      </c>
      <c r="J2353" s="7">
        <f>+Tabla1[[#This Row],[PRECIO EN SOLES]]-Tabla1[[#This Row],[PC]]</f>
        <v>2</v>
      </c>
      <c r="K2353" s="15"/>
      <c r="L2353" s="15" t="str">
        <f t="shared" si="73"/>
        <v>NORMAL</v>
      </c>
    </row>
    <row r="2354" spans="1:12" x14ac:dyDescent="0.25">
      <c r="A2354" s="3"/>
      <c r="B2354" s="3"/>
      <c r="C2354" s="1"/>
      <c r="D2354" s="1"/>
      <c r="E2354" s="1"/>
      <c r="F2354" s="1"/>
      <c r="G2354" s="3"/>
      <c r="H2354" s="11">
        <f t="shared" si="72"/>
        <v>2</v>
      </c>
      <c r="I2354" s="9">
        <f>($K$2+0.02)*Tabla1[[#This Row],[PRECIO $]]*1.18</f>
        <v>0</v>
      </c>
      <c r="J2354" s="7">
        <f>+Tabla1[[#This Row],[PRECIO EN SOLES]]-Tabla1[[#This Row],[PC]]</f>
        <v>2</v>
      </c>
      <c r="K2354" s="15"/>
      <c r="L2354" s="15" t="str">
        <f t="shared" si="73"/>
        <v>NORMAL</v>
      </c>
    </row>
    <row r="2355" spans="1:12" x14ac:dyDescent="0.25">
      <c r="A2355" s="3"/>
      <c r="B2355" s="3"/>
      <c r="C2355" s="1"/>
      <c r="D2355" s="1"/>
      <c r="E2355" s="1"/>
      <c r="F2355" s="1"/>
      <c r="G2355" s="3"/>
      <c r="H2355" s="11">
        <f t="shared" si="72"/>
        <v>2</v>
      </c>
      <c r="I2355" s="9">
        <f>($K$2+0.02)*Tabla1[[#This Row],[PRECIO $]]*1.18</f>
        <v>0</v>
      </c>
      <c r="J2355" s="7">
        <f>+Tabla1[[#This Row],[PRECIO EN SOLES]]-Tabla1[[#This Row],[PC]]</f>
        <v>2</v>
      </c>
      <c r="K2355" s="15"/>
      <c r="L2355" s="15" t="str">
        <f t="shared" si="73"/>
        <v>NORMAL</v>
      </c>
    </row>
    <row r="2356" spans="1:12" x14ac:dyDescent="0.25">
      <c r="A2356" s="3"/>
      <c r="B2356" s="3"/>
      <c r="C2356" s="1"/>
      <c r="D2356" s="1"/>
      <c r="E2356" s="1"/>
      <c r="F2356" s="1"/>
      <c r="G2356" s="3"/>
      <c r="H2356" s="11">
        <f t="shared" si="72"/>
        <v>2</v>
      </c>
      <c r="I2356" s="9">
        <f>($K$2+0.02)*Tabla1[[#This Row],[PRECIO $]]*1.18</f>
        <v>0</v>
      </c>
      <c r="J2356" s="7">
        <f>+Tabla1[[#This Row],[PRECIO EN SOLES]]-Tabla1[[#This Row],[PC]]</f>
        <v>2</v>
      </c>
      <c r="K2356" s="15"/>
      <c r="L2356" s="15" t="str">
        <f t="shared" si="73"/>
        <v>NORMAL</v>
      </c>
    </row>
    <row r="2357" spans="1:12" x14ac:dyDescent="0.25">
      <c r="A2357" s="3"/>
      <c r="B2357" s="3"/>
      <c r="C2357" s="1"/>
      <c r="D2357" s="1"/>
      <c r="E2357" s="1"/>
      <c r="F2357" s="1"/>
      <c r="G2357" s="3"/>
      <c r="H2357" s="11">
        <f t="shared" si="72"/>
        <v>2</v>
      </c>
      <c r="I2357" s="9">
        <f>($K$2+0.02)*Tabla1[[#This Row],[PRECIO $]]*1.18</f>
        <v>0</v>
      </c>
      <c r="J2357" s="7">
        <f>+Tabla1[[#This Row],[PRECIO EN SOLES]]-Tabla1[[#This Row],[PC]]</f>
        <v>2</v>
      </c>
      <c r="K2357" s="15"/>
      <c r="L2357" s="15" t="str">
        <f t="shared" si="73"/>
        <v>NORMAL</v>
      </c>
    </row>
    <row r="2358" spans="1:12" x14ac:dyDescent="0.25">
      <c r="A2358" s="3"/>
      <c r="B2358" s="3"/>
      <c r="C2358" s="1"/>
      <c r="D2358" s="1"/>
      <c r="E2358" s="1"/>
      <c r="F2358" s="1"/>
      <c r="G2358" s="3"/>
      <c r="H2358" s="11">
        <f t="shared" si="72"/>
        <v>2</v>
      </c>
      <c r="I2358" s="9">
        <f>($K$2+0.02)*Tabla1[[#This Row],[PRECIO $]]*1.18</f>
        <v>0</v>
      </c>
      <c r="J2358" s="7">
        <f>+Tabla1[[#This Row],[PRECIO EN SOLES]]-Tabla1[[#This Row],[PC]]</f>
        <v>2</v>
      </c>
      <c r="K2358" s="15"/>
      <c r="L2358" s="15" t="str">
        <f t="shared" si="73"/>
        <v>NORMAL</v>
      </c>
    </row>
    <row r="2359" spans="1:12" x14ac:dyDescent="0.25">
      <c r="A2359" s="3"/>
      <c r="B2359" s="3"/>
      <c r="C2359" s="1"/>
      <c r="D2359" s="1"/>
      <c r="E2359" s="1"/>
      <c r="F2359" s="1"/>
      <c r="G2359" s="3"/>
      <c r="H2359" s="11">
        <f t="shared" si="72"/>
        <v>2</v>
      </c>
      <c r="I2359" s="9">
        <f>($K$2+0.02)*Tabla1[[#This Row],[PRECIO $]]*1.18</f>
        <v>0</v>
      </c>
      <c r="J2359" s="7">
        <f>+Tabla1[[#This Row],[PRECIO EN SOLES]]-Tabla1[[#This Row],[PC]]</f>
        <v>2</v>
      </c>
      <c r="K2359" s="15"/>
      <c r="L2359" s="15" t="str">
        <f t="shared" si="73"/>
        <v>NORMAL</v>
      </c>
    </row>
    <row r="2360" spans="1:12" x14ac:dyDescent="0.25">
      <c r="A2360" s="3"/>
      <c r="B2360" s="3"/>
      <c r="C2360" s="1"/>
      <c r="D2360" s="1"/>
      <c r="E2360" s="1"/>
      <c r="F2360" s="1"/>
      <c r="G2360" s="3"/>
      <c r="H2360" s="11">
        <f t="shared" si="72"/>
        <v>2</v>
      </c>
      <c r="I2360" s="9">
        <f>($K$2+0.02)*Tabla1[[#This Row],[PRECIO $]]*1.18</f>
        <v>0</v>
      </c>
      <c r="J2360" s="7">
        <f>+Tabla1[[#This Row],[PRECIO EN SOLES]]-Tabla1[[#This Row],[PC]]</f>
        <v>2</v>
      </c>
      <c r="K2360" s="15"/>
      <c r="L2360" s="15" t="str">
        <f t="shared" si="73"/>
        <v>NORMAL</v>
      </c>
    </row>
    <row r="2361" spans="1:12" x14ac:dyDescent="0.25">
      <c r="A2361" s="3"/>
      <c r="B2361" s="3"/>
      <c r="C2361" s="1"/>
      <c r="D2361" s="1"/>
      <c r="E2361" s="1"/>
      <c r="F2361" s="1"/>
      <c r="G2361" s="3"/>
      <c r="H2361" s="11">
        <f t="shared" si="72"/>
        <v>2</v>
      </c>
      <c r="I2361" s="9">
        <f>($K$2+0.02)*Tabla1[[#This Row],[PRECIO $]]*1.18</f>
        <v>0</v>
      </c>
      <c r="J2361" s="7">
        <f>+Tabla1[[#This Row],[PRECIO EN SOLES]]-Tabla1[[#This Row],[PC]]</f>
        <v>2</v>
      </c>
      <c r="K2361" s="15"/>
      <c r="L2361" s="15" t="str">
        <f t="shared" si="73"/>
        <v>NORMAL</v>
      </c>
    </row>
    <row r="2362" spans="1:12" x14ac:dyDescent="0.25">
      <c r="A2362" s="3"/>
      <c r="B2362" s="3"/>
      <c r="C2362" s="1"/>
      <c r="D2362" s="1"/>
      <c r="E2362" s="1"/>
      <c r="F2362" s="1"/>
      <c r="G2362" s="3"/>
      <c r="H2362" s="11">
        <f t="shared" si="72"/>
        <v>2</v>
      </c>
      <c r="I2362" s="9">
        <f>($K$2+0.02)*Tabla1[[#This Row],[PRECIO $]]*1.18</f>
        <v>0</v>
      </c>
      <c r="J2362" s="7">
        <f>+Tabla1[[#This Row],[PRECIO EN SOLES]]-Tabla1[[#This Row],[PC]]</f>
        <v>2</v>
      </c>
      <c r="K2362" s="15"/>
      <c r="L2362" s="15" t="str">
        <f t="shared" si="73"/>
        <v>NORMAL</v>
      </c>
    </row>
    <row r="2363" spans="1:12" x14ac:dyDescent="0.25">
      <c r="A2363" s="3"/>
      <c r="B2363" s="3"/>
      <c r="C2363" s="1"/>
      <c r="D2363" s="1"/>
      <c r="E2363" s="1"/>
      <c r="F2363" s="1"/>
      <c r="G2363" s="3"/>
      <c r="H2363" s="11">
        <f t="shared" si="72"/>
        <v>2</v>
      </c>
      <c r="I2363" s="9">
        <f>($K$2+0.02)*Tabla1[[#This Row],[PRECIO $]]*1.18</f>
        <v>0</v>
      </c>
      <c r="J2363" s="7">
        <f>+Tabla1[[#This Row],[PRECIO EN SOLES]]-Tabla1[[#This Row],[PC]]</f>
        <v>2</v>
      </c>
      <c r="K2363" s="15"/>
      <c r="L2363" s="15" t="str">
        <f t="shared" si="73"/>
        <v>NORMAL</v>
      </c>
    </row>
    <row r="2364" spans="1:12" x14ac:dyDescent="0.25">
      <c r="A2364" s="3"/>
      <c r="B2364" s="3"/>
      <c r="C2364" s="1"/>
      <c r="D2364" s="1"/>
      <c r="E2364" s="1"/>
      <c r="F2364" s="1"/>
      <c r="G2364" s="3"/>
      <c r="H2364" s="11">
        <f t="shared" si="72"/>
        <v>2</v>
      </c>
      <c r="I2364" s="9">
        <f>($K$2+0.02)*Tabla1[[#This Row],[PRECIO $]]*1.18</f>
        <v>0</v>
      </c>
      <c r="J2364" s="7">
        <f>+Tabla1[[#This Row],[PRECIO EN SOLES]]-Tabla1[[#This Row],[PC]]</f>
        <v>2</v>
      </c>
      <c r="K2364" s="15"/>
      <c r="L2364" s="15" t="str">
        <f t="shared" si="73"/>
        <v>NORMAL</v>
      </c>
    </row>
    <row r="2365" spans="1:12" x14ac:dyDescent="0.25">
      <c r="A2365" s="3"/>
      <c r="B2365" s="3"/>
      <c r="C2365" s="1"/>
      <c r="D2365" s="1"/>
      <c r="E2365" s="1"/>
      <c r="F2365" s="1"/>
      <c r="G2365" s="3"/>
      <c r="H2365" s="11">
        <f t="shared" si="72"/>
        <v>2</v>
      </c>
      <c r="I2365" s="9">
        <f>($K$2+0.02)*Tabla1[[#This Row],[PRECIO $]]*1.18</f>
        <v>0</v>
      </c>
      <c r="J2365" s="7">
        <f>+Tabla1[[#This Row],[PRECIO EN SOLES]]-Tabla1[[#This Row],[PC]]</f>
        <v>2</v>
      </c>
      <c r="K2365" s="15"/>
      <c r="L2365" s="15" t="str">
        <f t="shared" si="73"/>
        <v>NORMAL</v>
      </c>
    </row>
    <row r="2366" spans="1:12" x14ac:dyDescent="0.25">
      <c r="A2366" s="3"/>
      <c r="B2366" s="3"/>
      <c r="C2366" s="1"/>
      <c r="D2366" s="1"/>
      <c r="E2366" s="1"/>
      <c r="F2366" s="1"/>
      <c r="G2366" s="3"/>
      <c r="H2366" s="11">
        <f t="shared" si="72"/>
        <v>2</v>
      </c>
      <c r="I2366" s="9">
        <f>($K$2+0.02)*Tabla1[[#This Row],[PRECIO $]]*1.18</f>
        <v>0</v>
      </c>
      <c r="J2366" s="7">
        <f>+Tabla1[[#This Row],[PRECIO EN SOLES]]-Tabla1[[#This Row],[PC]]</f>
        <v>2</v>
      </c>
      <c r="K2366" s="15"/>
      <c r="L2366" s="15" t="str">
        <f t="shared" si="73"/>
        <v>NORMAL</v>
      </c>
    </row>
    <row r="2367" spans="1:12" x14ac:dyDescent="0.25">
      <c r="A2367" s="3"/>
      <c r="B2367" s="3"/>
      <c r="C2367" s="1"/>
      <c r="D2367" s="1"/>
      <c r="E2367" s="1"/>
      <c r="F2367" s="1"/>
      <c r="G2367" s="3"/>
      <c r="H2367" s="11">
        <f t="shared" si="72"/>
        <v>2</v>
      </c>
      <c r="I2367" s="9">
        <f>($K$2+0.02)*Tabla1[[#This Row],[PRECIO $]]*1.18</f>
        <v>0</v>
      </c>
      <c r="J2367" s="7">
        <f>+Tabla1[[#This Row],[PRECIO EN SOLES]]-Tabla1[[#This Row],[PC]]</f>
        <v>2</v>
      </c>
      <c r="K2367" s="15"/>
      <c r="L2367" s="15" t="str">
        <f t="shared" si="73"/>
        <v>NORMAL</v>
      </c>
    </row>
    <row r="2368" spans="1:12" x14ac:dyDescent="0.25">
      <c r="A2368" s="3"/>
      <c r="B2368" s="3"/>
      <c r="C2368" s="1"/>
      <c r="D2368" s="1"/>
      <c r="E2368" s="1"/>
      <c r="F2368" s="1"/>
      <c r="G2368" s="3"/>
      <c r="H2368" s="11">
        <f t="shared" si="72"/>
        <v>2</v>
      </c>
      <c r="I2368" s="9">
        <f>($K$2+0.02)*Tabla1[[#This Row],[PRECIO $]]*1.18</f>
        <v>0</v>
      </c>
      <c r="J2368" s="7">
        <f>+Tabla1[[#This Row],[PRECIO EN SOLES]]-Tabla1[[#This Row],[PC]]</f>
        <v>2</v>
      </c>
      <c r="K2368" s="15"/>
      <c r="L2368" s="15" t="str">
        <f t="shared" si="73"/>
        <v>NORMAL</v>
      </c>
    </row>
    <row r="2369" spans="1:12" x14ac:dyDescent="0.25">
      <c r="A2369" s="3"/>
      <c r="B2369" s="3"/>
      <c r="C2369" s="1"/>
      <c r="D2369" s="1"/>
      <c r="E2369" s="1"/>
      <c r="F2369" s="1"/>
      <c r="G2369" s="3"/>
      <c r="H2369" s="11">
        <f t="shared" si="72"/>
        <v>2</v>
      </c>
      <c r="I2369" s="9">
        <f>($K$2+0.02)*Tabla1[[#This Row],[PRECIO $]]*1.18</f>
        <v>0</v>
      </c>
      <c r="J2369" s="7">
        <f>+Tabla1[[#This Row],[PRECIO EN SOLES]]-Tabla1[[#This Row],[PC]]</f>
        <v>2</v>
      </c>
      <c r="K2369" s="15"/>
      <c r="L2369" s="15" t="str">
        <f t="shared" si="73"/>
        <v>NORMAL</v>
      </c>
    </row>
    <row r="2370" spans="1:12" x14ac:dyDescent="0.25">
      <c r="A2370" s="3"/>
      <c r="B2370" s="3"/>
      <c r="C2370" s="1"/>
      <c r="D2370" s="1"/>
      <c r="E2370" s="1"/>
      <c r="F2370" s="1"/>
      <c r="G2370" s="3"/>
      <c r="H2370" s="11">
        <f t="shared" ref="H2370:H2405" si="74">ROUND(
IF(L2370="GANCHO",
   IF(I2370&lt;=50,I2370*1.1+4,IF(I2370&lt;=120,I2370*1.1+7,IF(I2370&lt;=250,I2370*1.1+11,I2370*1.1+19))),
IF(L2370="NORMAL",
   IF(I2370&lt;=30,I2370*1.15+2,IF(I2370&lt;=80,I2370*1.15+4,IF(I2370&lt;=150,I2370*1.15+6,I2370*1.15+8))),
IF(L2370="COMPLEMENTO",
   IF(I2370&lt;=25,I2370*1.25+1.5,IF(I2370&lt;=60,I2370*1.25+3,IF(I2370&lt;=120,I2370*1.25+4,I2370*1.25+5))),
""))),2)</f>
        <v>2</v>
      </c>
      <c r="I2370" s="9">
        <f>($K$2+0.02)*Tabla1[[#This Row],[PRECIO $]]*1.18</f>
        <v>0</v>
      </c>
      <c r="J2370" s="7">
        <f>+Tabla1[[#This Row],[PRECIO EN SOLES]]-Tabla1[[#This Row],[PC]]</f>
        <v>2</v>
      </c>
      <c r="K2370" s="15"/>
      <c r="L2370" s="15" t="str">
        <f t="shared" si="73"/>
        <v>NORMAL</v>
      </c>
    </row>
    <row r="2371" spans="1:12" x14ac:dyDescent="0.25">
      <c r="A2371" s="3"/>
      <c r="B2371" s="3"/>
      <c r="C2371" s="1"/>
      <c r="D2371" s="1"/>
      <c r="E2371" s="1"/>
      <c r="F2371" s="1"/>
      <c r="G2371" s="3"/>
      <c r="H2371" s="11">
        <f t="shared" si="74"/>
        <v>2</v>
      </c>
      <c r="I2371" s="9">
        <f>($K$2+0.02)*Tabla1[[#This Row],[PRECIO $]]*1.18</f>
        <v>0</v>
      </c>
      <c r="J2371" s="7">
        <f>+Tabla1[[#This Row],[PRECIO EN SOLES]]-Tabla1[[#This Row],[PC]]</f>
        <v>2</v>
      </c>
      <c r="K2371" s="15"/>
      <c r="L2371" s="15" t="str">
        <f t="shared" ref="L2371:L2405" si="75">IF(
OR(
ISNUMBER(SEARCH("BACKPACK",B2371)),
ISNUMBER(SEARCH("MOCHILA",B2371)),
ISNUMBER(SEARCH("FUNDA",B2371)),
ISNUMBER(SEARCH("ESTUCHE",B2371)),
ISNUMBER(SEARCH("BOOK COVER",B2371)),
ISNUMBER(SEARCH("KEYBOARD PARA TABLET",B2371)),
ISNUMBER(SEARCH("FLIP TABLET",B2371)),
ISNUMBER(SEARCH("CASE FOR TABLET",B2371)),
ISNUMBER(SEARCH("CABLE",B2371)),
ISNUMBER(SEARCH("ADAPTADOR",B2371)),
ISNUMBER(SEARCH("HUB",B2371)),
ISNUMBER(SEARCH("DOCK",B2371)),
ISNUMBER(SEARCH("MOUSE PAD",B2371)),
ISNUMBER(SEARCH("MOUSEPAD",B2371)),
ISNUMBER(SEARCH("SOPORTE",B2371)),
ISNUMBER(SEARCH("STAND",B2371)),
ISNUMBER(SEARCH("TRAVEL ADAPTER",B2371)),
ISNUMBER(SEARCH("RJ45",B2371)),
ISNUMBER(SEARCH("USB-C",B2371)),
ISNUMBER(SEARCH("USB WIFI",B2371)),
ISNUMBER(SEARCH("POWERBANK",B2371)),
ISNUMBER(SEARCH("CARGADOR",B2371)),
ISNUMBER(SEARCH("COOLER PARA NB",B2371)),
ISNUMBER(SEARCH("SOPORTE PARA NB",B2371)),
ISNUMBER(SEARCH("WEBCAM",B2371)),
ISNUMBER(SEARCH("WEB CAM",B2371)),
ISNUMBER(SEARCH("MOUSE",B2371)),
ISNUMBER(SEARCH("TECLADO",B2371))
),
"COMPLEMENTO",
IF(
OR(
LEFT(A2371,2)="NB",
LEFT(A2371,2)="PC",
LEFT(A2371,2)="WS",
LEFT(A2371,2)="TB",
LEFT(A2371,3)="CEL",
LEFT(A2371,3)="MON",
LEFT(A2371,3)="PRE",
LEFT(A2371,3)="PRH",
ISNUMBER(SEARCH("NOTEBOOK",B2371)),
ISNUMBER(SEARCH("LAPTOP",B2371)),
ISNUMBER(SEARCH("MONITOR",B2371)),
ISNUMBER(SEARCH("TABLET",B2371)),
ISNUMBER(SEARCH("SMARTPH",B2371)),
ISNUMBER(SEARCH("IMPRESORA",B2371)),
ISNUMBER(SEARCH("MULTIFUNCIONAL",B2371)),
ISNUMBER(SEARCH("AIO",B2371))
),
"GANCHO",
"NORMAL"
)
)</f>
        <v>NORMAL</v>
      </c>
    </row>
    <row r="2372" spans="1:12" x14ac:dyDescent="0.25">
      <c r="A2372" s="3"/>
      <c r="B2372" s="3"/>
      <c r="C2372" s="1"/>
      <c r="D2372" s="1"/>
      <c r="E2372" s="1"/>
      <c r="F2372" s="1"/>
      <c r="G2372" s="3"/>
      <c r="H2372" s="11">
        <f t="shared" si="74"/>
        <v>2</v>
      </c>
      <c r="I2372" s="9">
        <f>($K$2+0.02)*Tabla1[[#This Row],[PRECIO $]]*1.18</f>
        <v>0</v>
      </c>
      <c r="J2372" s="7">
        <f>+Tabla1[[#This Row],[PRECIO EN SOLES]]-Tabla1[[#This Row],[PC]]</f>
        <v>2</v>
      </c>
      <c r="K2372" s="15"/>
      <c r="L2372" s="15" t="str">
        <f t="shared" si="75"/>
        <v>NORMAL</v>
      </c>
    </row>
    <row r="2373" spans="1:12" x14ac:dyDescent="0.25">
      <c r="A2373" s="3"/>
      <c r="B2373" s="3"/>
      <c r="C2373" s="1"/>
      <c r="D2373" s="1"/>
      <c r="E2373" s="1"/>
      <c r="F2373" s="1"/>
      <c r="G2373" s="3"/>
      <c r="H2373" s="11">
        <f t="shared" si="74"/>
        <v>2</v>
      </c>
      <c r="I2373" s="9">
        <f>($K$2+0.02)*Tabla1[[#This Row],[PRECIO $]]*1.18</f>
        <v>0</v>
      </c>
      <c r="J2373" s="7">
        <f>+Tabla1[[#This Row],[PRECIO EN SOLES]]-Tabla1[[#This Row],[PC]]</f>
        <v>2</v>
      </c>
      <c r="K2373" s="15"/>
      <c r="L2373" s="15" t="str">
        <f t="shared" si="75"/>
        <v>NORMAL</v>
      </c>
    </row>
    <row r="2374" spans="1:12" x14ac:dyDescent="0.25">
      <c r="A2374" s="3"/>
      <c r="B2374" s="3"/>
      <c r="C2374" s="1"/>
      <c r="D2374" s="1"/>
      <c r="E2374" s="1"/>
      <c r="F2374" s="1"/>
      <c r="G2374" s="3"/>
      <c r="H2374" s="11">
        <f t="shared" si="74"/>
        <v>2</v>
      </c>
      <c r="I2374" s="9">
        <f>($K$2+0.02)*Tabla1[[#This Row],[PRECIO $]]*1.18</f>
        <v>0</v>
      </c>
      <c r="J2374" s="7">
        <f>+Tabla1[[#This Row],[PRECIO EN SOLES]]-Tabla1[[#This Row],[PC]]</f>
        <v>2</v>
      </c>
      <c r="K2374" s="15"/>
      <c r="L2374" s="15" t="str">
        <f t="shared" si="75"/>
        <v>NORMAL</v>
      </c>
    </row>
    <row r="2375" spans="1:12" x14ac:dyDescent="0.25">
      <c r="A2375" s="3"/>
      <c r="B2375" s="3"/>
      <c r="C2375" s="1"/>
      <c r="D2375" s="1"/>
      <c r="E2375" s="1"/>
      <c r="F2375" s="1"/>
      <c r="G2375" s="3"/>
      <c r="H2375" s="11">
        <f t="shared" si="74"/>
        <v>2</v>
      </c>
      <c r="I2375" s="9">
        <f>($K$2+0.02)*Tabla1[[#This Row],[PRECIO $]]*1.18</f>
        <v>0</v>
      </c>
      <c r="J2375" s="7">
        <f>+Tabla1[[#This Row],[PRECIO EN SOLES]]-Tabla1[[#This Row],[PC]]</f>
        <v>2</v>
      </c>
      <c r="K2375" s="15"/>
      <c r="L2375" s="15" t="str">
        <f t="shared" si="75"/>
        <v>NORMAL</v>
      </c>
    </row>
    <row r="2376" spans="1:12" x14ac:dyDescent="0.25">
      <c r="A2376" s="3"/>
      <c r="B2376" s="3"/>
      <c r="C2376" s="1"/>
      <c r="D2376" s="1"/>
      <c r="E2376" s="1"/>
      <c r="F2376" s="1"/>
      <c r="G2376" s="3"/>
      <c r="H2376" s="11">
        <f t="shared" si="74"/>
        <v>2</v>
      </c>
      <c r="I2376" s="9">
        <f>($K$2+0.02)*Tabla1[[#This Row],[PRECIO $]]*1.18</f>
        <v>0</v>
      </c>
      <c r="J2376" s="7">
        <f>+Tabla1[[#This Row],[PRECIO EN SOLES]]-Tabla1[[#This Row],[PC]]</f>
        <v>2</v>
      </c>
      <c r="K2376" s="15"/>
      <c r="L2376" s="15" t="str">
        <f t="shared" si="75"/>
        <v>NORMAL</v>
      </c>
    </row>
    <row r="2377" spans="1:12" x14ac:dyDescent="0.25">
      <c r="A2377" s="3"/>
      <c r="B2377" s="3"/>
      <c r="C2377" s="1"/>
      <c r="D2377" s="1"/>
      <c r="E2377" s="1"/>
      <c r="F2377" s="1"/>
      <c r="G2377" s="3"/>
      <c r="H2377" s="11">
        <f t="shared" si="74"/>
        <v>2</v>
      </c>
      <c r="I2377" s="9">
        <f>($K$2+0.02)*Tabla1[[#This Row],[PRECIO $]]*1.18</f>
        <v>0</v>
      </c>
      <c r="J2377" s="7">
        <f>+Tabla1[[#This Row],[PRECIO EN SOLES]]-Tabla1[[#This Row],[PC]]</f>
        <v>2</v>
      </c>
      <c r="K2377" s="15"/>
      <c r="L2377" s="15" t="str">
        <f t="shared" si="75"/>
        <v>NORMAL</v>
      </c>
    </row>
    <row r="2378" spans="1:12" x14ac:dyDescent="0.25">
      <c r="A2378" s="3"/>
      <c r="B2378" s="3"/>
      <c r="C2378" s="1"/>
      <c r="D2378" s="1"/>
      <c r="E2378" s="1"/>
      <c r="F2378" s="1"/>
      <c r="G2378" s="3"/>
      <c r="H2378" s="11">
        <f t="shared" si="74"/>
        <v>2</v>
      </c>
      <c r="I2378" s="9">
        <f>($K$2+0.02)*Tabla1[[#This Row],[PRECIO $]]*1.18</f>
        <v>0</v>
      </c>
      <c r="J2378" s="7">
        <f>+Tabla1[[#This Row],[PRECIO EN SOLES]]-Tabla1[[#This Row],[PC]]</f>
        <v>2</v>
      </c>
      <c r="K2378" s="15"/>
      <c r="L2378" s="15" t="str">
        <f t="shared" si="75"/>
        <v>NORMAL</v>
      </c>
    </row>
    <row r="2379" spans="1:12" x14ac:dyDescent="0.25">
      <c r="A2379" s="3"/>
      <c r="B2379" s="3"/>
      <c r="C2379" s="1"/>
      <c r="D2379" s="1"/>
      <c r="E2379" s="1"/>
      <c r="F2379" s="1"/>
      <c r="G2379" s="3"/>
      <c r="H2379" s="11">
        <f t="shared" si="74"/>
        <v>2</v>
      </c>
      <c r="I2379" s="9">
        <f>($K$2+0.02)*Tabla1[[#This Row],[PRECIO $]]*1.18</f>
        <v>0</v>
      </c>
      <c r="J2379" s="7">
        <f>+Tabla1[[#This Row],[PRECIO EN SOLES]]-Tabla1[[#This Row],[PC]]</f>
        <v>2</v>
      </c>
      <c r="K2379" s="15"/>
      <c r="L2379" s="15" t="str">
        <f t="shared" si="75"/>
        <v>NORMAL</v>
      </c>
    </row>
    <row r="2380" spans="1:12" x14ac:dyDescent="0.25">
      <c r="A2380" s="3"/>
      <c r="B2380" s="3"/>
      <c r="C2380" s="1"/>
      <c r="D2380" s="1"/>
      <c r="E2380" s="1"/>
      <c r="F2380" s="1"/>
      <c r="G2380" s="3"/>
      <c r="H2380" s="11">
        <f t="shared" si="74"/>
        <v>2</v>
      </c>
      <c r="I2380" s="9">
        <f>($K$2+0.02)*Tabla1[[#This Row],[PRECIO $]]*1.18</f>
        <v>0</v>
      </c>
      <c r="J2380" s="7">
        <f>+Tabla1[[#This Row],[PRECIO EN SOLES]]-Tabla1[[#This Row],[PC]]</f>
        <v>2</v>
      </c>
      <c r="K2380" s="15"/>
      <c r="L2380" s="15" t="str">
        <f t="shared" si="75"/>
        <v>NORMAL</v>
      </c>
    </row>
    <row r="2381" spans="1:12" x14ac:dyDescent="0.25">
      <c r="A2381" s="3"/>
      <c r="B2381" s="3"/>
      <c r="C2381" s="1"/>
      <c r="D2381" s="1"/>
      <c r="E2381" s="1"/>
      <c r="F2381" s="1"/>
      <c r="G2381" s="3"/>
      <c r="H2381" s="11">
        <f t="shared" si="74"/>
        <v>2</v>
      </c>
      <c r="I2381" s="9">
        <f>($K$2+0.02)*Tabla1[[#This Row],[PRECIO $]]*1.18</f>
        <v>0</v>
      </c>
      <c r="J2381" s="7">
        <f>+Tabla1[[#This Row],[PRECIO EN SOLES]]-Tabla1[[#This Row],[PC]]</f>
        <v>2</v>
      </c>
      <c r="K2381" s="15"/>
      <c r="L2381" s="15" t="str">
        <f t="shared" si="75"/>
        <v>NORMAL</v>
      </c>
    </row>
    <row r="2382" spans="1:12" x14ac:dyDescent="0.25">
      <c r="A2382" s="3"/>
      <c r="B2382" s="3"/>
      <c r="C2382" s="1"/>
      <c r="D2382" s="1"/>
      <c r="E2382" s="1"/>
      <c r="F2382" s="1"/>
      <c r="G2382" s="3"/>
      <c r="H2382" s="11">
        <f t="shared" si="74"/>
        <v>2</v>
      </c>
      <c r="I2382" s="9">
        <f>($K$2+0.02)*Tabla1[[#This Row],[PRECIO $]]*1.18</f>
        <v>0</v>
      </c>
      <c r="J2382" s="7">
        <f>+Tabla1[[#This Row],[PRECIO EN SOLES]]-Tabla1[[#This Row],[PC]]</f>
        <v>2</v>
      </c>
      <c r="K2382" s="15"/>
      <c r="L2382" s="15" t="str">
        <f t="shared" si="75"/>
        <v>NORMAL</v>
      </c>
    </row>
    <row r="2383" spans="1:12" x14ac:dyDescent="0.25">
      <c r="A2383" s="3"/>
      <c r="B2383" s="3"/>
      <c r="C2383" s="1"/>
      <c r="D2383" s="1"/>
      <c r="E2383" s="1"/>
      <c r="F2383" s="1"/>
      <c r="G2383" s="3"/>
      <c r="H2383" s="11">
        <f t="shared" si="74"/>
        <v>2</v>
      </c>
      <c r="I2383" s="9">
        <f>($K$2+0.02)*Tabla1[[#This Row],[PRECIO $]]*1.18</f>
        <v>0</v>
      </c>
      <c r="J2383" s="7">
        <f>+Tabla1[[#This Row],[PRECIO EN SOLES]]-Tabla1[[#This Row],[PC]]</f>
        <v>2</v>
      </c>
      <c r="K2383" s="15"/>
      <c r="L2383" s="15" t="str">
        <f t="shared" si="75"/>
        <v>NORMAL</v>
      </c>
    </row>
    <row r="2384" spans="1:12" x14ac:dyDescent="0.25">
      <c r="A2384" s="3"/>
      <c r="B2384" s="3"/>
      <c r="C2384" s="1"/>
      <c r="D2384" s="1"/>
      <c r="E2384" s="1"/>
      <c r="F2384" s="1"/>
      <c r="G2384" s="3"/>
      <c r="H2384" s="11">
        <f t="shared" si="74"/>
        <v>2</v>
      </c>
      <c r="I2384" s="9">
        <f>($K$2+0.02)*Tabla1[[#This Row],[PRECIO $]]*1.18</f>
        <v>0</v>
      </c>
      <c r="J2384" s="7">
        <f>+Tabla1[[#This Row],[PRECIO EN SOLES]]-Tabla1[[#This Row],[PC]]</f>
        <v>2</v>
      </c>
      <c r="K2384" s="15"/>
      <c r="L2384" s="15" t="str">
        <f t="shared" si="75"/>
        <v>NORMAL</v>
      </c>
    </row>
    <row r="2385" spans="1:12" x14ac:dyDescent="0.25">
      <c r="A2385" s="3"/>
      <c r="B2385" s="3"/>
      <c r="C2385" s="1"/>
      <c r="D2385" s="1"/>
      <c r="E2385" s="1"/>
      <c r="F2385" s="1"/>
      <c r="G2385" s="3"/>
      <c r="H2385" s="11">
        <f t="shared" si="74"/>
        <v>2</v>
      </c>
      <c r="I2385" s="9">
        <f>($K$2+0.02)*Tabla1[[#This Row],[PRECIO $]]*1.18</f>
        <v>0</v>
      </c>
      <c r="J2385" s="7">
        <f>+Tabla1[[#This Row],[PRECIO EN SOLES]]-Tabla1[[#This Row],[PC]]</f>
        <v>2</v>
      </c>
      <c r="K2385" s="15"/>
      <c r="L2385" s="15" t="str">
        <f t="shared" si="75"/>
        <v>NORMAL</v>
      </c>
    </row>
    <row r="2386" spans="1:12" x14ac:dyDescent="0.25">
      <c r="A2386" s="3"/>
      <c r="B2386" s="3"/>
      <c r="C2386" s="1"/>
      <c r="D2386" s="1"/>
      <c r="E2386" s="1"/>
      <c r="F2386" s="1"/>
      <c r="G2386" s="3"/>
      <c r="H2386" s="11">
        <f t="shared" si="74"/>
        <v>2</v>
      </c>
      <c r="I2386" s="9">
        <f>($K$2+0.02)*Tabla1[[#This Row],[PRECIO $]]*1.18</f>
        <v>0</v>
      </c>
      <c r="J2386" s="7">
        <f>+Tabla1[[#This Row],[PRECIO EN SOLES]]-Tabla1[[#This Row],[PC]]</f>
        <v>2</v>
      </c>
      <c r="K2386" s="15"/>
      <c r="L2386" s="15" t="str">
        <f t="shared" si="75"/>
        <v>NORMAL</v>
      </c>
    </row>
    <row r="2387" spans="1:12" x14ac:dyDescent="0.25">
      <c r="A2387" s="3"/>
      <c r="B2387" s="3"/>
      <c r="C2387" s="1"/>
      <c r="D2387" s="1"/>
      <c r="E2387" s="1"/>
      <c r="F2387" s="1"/>
      <c r="G2387" s="3"/>
      <c r="H2387" s="11">
        <f t="shared" si="74"/>
        <v>2</v>
      </c>
      <c r="I2387" s="9">
        <f>($K$2+0.02)*Tabla1[[#This Row],[PRECIO $]]*1.18</f>
        <v>0</v>
      </c>
      <c r="J2387" s="7">
        <f>+Tabla1[[#This Row],[PRECIO EN SOLES]]-Tabla1[[#This Row],[PC]]</f>
        <v>2</v>
      </c>
      <c r="K2387" s="15"/>
      <c r="L2387" s="15" t="str">
        <f t="shared" si="75"/>
        <v>NORMAL</v>
      </c>
    </row>
    <row r="2388" spans="1:12" x14ac:dyDescent="0.25">
      <c r="A2388" s="3"/>
      <c r="B2388" s="3"/>
      <c r="C2388" s="1"/>
      <c r="D2388" s="1"/>
      <c r="E2388" s="1"/>
      <c r="F2388" s="1"/>
      <c r="G2388" s="3"/>
      <c r="H2388" s="11">
        <f t="shared" si="74"/>
        <v>2</v>
      </c>
      <c r="I2388" s="9">
        <f>($K$2+0.02)*Tabla1[[#This Row],[PRECIO $]]*1.18</f>
        <v>0</v>
      </c>
      <c r="J2388" s="7">
        <f>+Tabla1[[#This Row],[PRECIO EN SOLES]]-Tabla1[[#This Row],[PC]]</f>
        <v>2</v>
      </c>
      <c r="K2388" s="15"/>
      <c r="L2388" s="15" t="str">
        <f t="shared" si="75"/>
        <v>NORMAL</v>
      </c>
    </row>
    <row r="2389" spans="1:12" x14ac:dyDescent="0.25">
      <c r="A2389" s="3"/>
      <c r="B2389" s="3"/>
      <c r="C2389" s="1"/>
      <c r="D2389" s="1"/>
      <c r="E2389" s="1"/>
      <c r="F2389" s="1"/>
      <c r="G2389" s="3"/>
      <c r="H2389" s="11">
        <f t="shared" si="74"/>
        <v>2</v>
      </c>
      <c r="I2389" s="9">
        <f>($K$2+0.02)*Tabla1[[#This Row],[PRECIO $]]*1.18</f>
        <v>0</v>
      </c>
      <c r="J2389" s="7">
        <f>+Tabla1[[#This Row],[PRECIO EN SOLES]]-Tabla1[[#This Row],[PC]]</f>
        <v>2</v>
      </c>
      <c r="K2389" s="15"/>
      <c r="L2389" s="15" t="str">
        <f t="shared" si="75"/>
        <v>NORMAL</v>
      </c>
    </row>
    <row r="2390" spans="1:12" x14ac:dyDescent="0.25">
      <c r="A2390" s="3"/>
      <c r="B2390" s="3"/>
      <c r="C2390" s="1"/>
      <c r="D2390" s="1"/>
      <c r="E2390" s="1"/>
      <c r="F2390" s="1"/>
      <c r="G2390" s="3"/>
      <c r="H2390" s="11">
        <f t="shared" si="74"/>
        <v>2</v>
      </c>
      <c r="I2390" s="9">
        <f>($K$2+0.02)*Tabla1[[#This Row],[PRECIO $]]*1.18</f>
        <v>0</v>
      </c>
      <c r="J2390" s="7">
        <f>+Tabla1[[#This Row],[PRECIO EN SOLES]]-Tabla1[[#This Row],[PC]]</f>
        <v>2</v>
      </c>
      <c r="K2390" s="15"/>
      <c r="L2390" s="15" t="str">
        <f t="shared" si="75"/>
        <v>NORMAL</v>
      </c>
    </row>
    <row r="2391" spans="1:12" x14ac:dyDescent="0.25">
      <c r="A2391" s="3"/>
      <c r="B2391" s="3"/>
      <c r="C2391" s="1"/>
      <c r="D2391" s="1"/>
      <c r="E2391" s="1"/>
      <c r="F2391" s="1"/>
      <c r="G2391" s="3"/>
      <c r="H2391" s="11">
        <f t="shared" si="74"/>
        <v>2</v>
      </c>
      <c r="I2391" s="9">
        <f>($K$2+0.02)*Tabla1[[#This Row],[PRECIO $]]*1.18</f>
        <v>0</v>
      </c>
      <c r="J2391" s="7">
        <f>+Tabla1[[#This Row],[PRECIO EN SOLES]]-Tabla1[[#This Row],[PC]]</f>
        <v>2</v>
      </c>
      <c r="K2391" s="15"/>
      <c r="L2391" s="15" t="str">
        <f t="shared" si="75"/>
        <v>NORMAL</v>
      </c>
    </row>
    <row r="2392" spans="1:12" x14ac:dyDescent="0.25">
      <c r="A2392" s="3"/>
      <c r="B2392" s="3"/>
      <c r="C2392" s="1"/>
      <c r="D2392" s="1"/>
      <c r="E2392" s="1"/>
      <c r="F2392" s="1"/>
      <c r="G2392" s="3"/>
      <c r="H2392" s="11">
        <f t="shared" si="74"/>
        <v>2</v>
      </c>
      <c r="I2392" s="9">
        <f>($K$2+0.02)*Tabla1[[#This Row],[PRECIO $]]*1.18</f>
        <v>0</v>
      </c>
      <c r="J2392" s="7">
        <f>+Tabla1[[#This Row],[PRECIO EN SOLES]]-Tabla1[[#This Row],[PC]]</f>
        <v>2</v>
      </c>
      <c r="K2392" s="15"/>
      <c r="L2392" s="15" t="str">
        <f t="shared" si="75"/>
        <v>NORMAL</v>
      </c>
    </row>
    <row r="2393" spans="1:12" x14ac:dyDescent="0.25">
      <c r="A2393" s="3"/>
      <c r="B2393" s="3"/>
      <c r="C2393" s="1"/>
      <c r="D2393" s="1"/>
      <c r="E2393" s="1"/>
      <c r="F2393" s="1"/>
      <c r="G2393" s="3"/>
      <c r="H2393" s="11">
        <f t="shared" si="74"/>
        <v>2</v>
      </c>
      <c r="I2393" s="9">
        <f>($K$2+0.02)*Tabla1[[#This Row],[PRECIO $]]*1.18</f>
        <v>0</v>
      </c>
      <c r="J2393" s="7">
        <f>+Tabla1[[#This Row],[PRECIO EN SOLES]]-Tabla1[[#This Row],[PC]]</f>
        <v>2</v>
      </c>
      <c r="K2393" s="15"/>
      <c r="L2393" s="15" t="str">
        <f t="shared" si="75"/>
        <v>NORMAL</v>
      </c>
    </row>
    <row r="2394" spans="1:12" x14ac:dyDescent="0.25">
      <c r="A2394" s="3"/>
      <c r="B2394" s="3"/>
      <c r="C2394" s="1"/>
      <c r="D2394" s="1"/>
      <c r="E2394" s="1"/>
      <c r="F2394" s="1"/>
      <c r="G2394" s="3"/>
      <c r="H2394" s="11">
        <f t="shared" si="74"/>
        <v>2</v>
      </c>
      <c r="I2394" s="9">
        <f>($K$2+0.02)*Tabla1[[#This Row],[PRECIO $]]*1.18</f>
        <v>0</v>
      </c>
      <c r="J2394" s="7">
        <f>+Tabla1[[#This Row],[PRECIO EN SOLES]]-Tabla1[[#This Row],[PC]]</f>
        <v>2</v>
      </c>
      <c r="K2394" s="15"/>
      <c r="L2394" s="15" t="str">
        <f t="shared" si="75"/>
        <v>NORMAL</v>
      </c>
    </row>
    <row r="2395" spans="1:12" x14ac:dyDescent="0.25">
      <c r="A2395" s="3"/>
      <c r="B2395" s="3"/>
      <c r="C2395" s="1"/>
      <c r="D2395" s="1"/>
      <c r="E2395" s="1"/>
      <c r="F2395" s="1"/>
      <c r="G2395" s="3"/>
      <c r="H2395" s="11">
        <f t="shared" si="74"/>
        <v>2</v>
      </c>
      <c r="I2395" s="9">
        <f>($K$2+0.02)*Tabla1[[#This Row],[PRECIO $]]*1.18</f>
        <v>0</v>
      </c>
      <c r="J2395" s="7">
        <f>+Tabla1[[#This Row],[PRECIO EN SOLES]]-Tabla1[[#This Row],[PC]]</f>
        <v>2</v>
      </c>
      <c r="K2395" s="15"/>
      <c r="L2395" s="15" t="str">
        <f t="shared" si="75"/>
        <v>NORMAL</v>
      </c>
    </row>
    <row r="2396" spans="1:12" x14ac:dyDescent="0.25">
      <c r="A2396" s="3"/>
      <c r="B2396" s="3"/>
      <c r="C2396" s="1"/>
      <c r="D2396" s="1"/>
      <c r="E2396" s="1"/>
      <c r="F2396" s="1"/>
      <c r="G2396" s="3"/>
      <c r="H2396" s="11">
        <f t="shared" si="74"/>
        <v>2</v>
      </c>
      <c r="I2396" s="9">
        <f>($K$2+0.02)*Tabla1[[#This Row],[PRECIO $]]*1.18</f>
        <v>0</v>
      </c>
      <c r="J2396" s="7">
        <f>+Tabla1[[#This Row],[PRECIO EN SOLES]]-Tabla1[[#This Row],[PC]]</f>
        <v>2</v>
      </c>
      <c r="K2396" s="15"/>
      <c r="L2396" s="15" t="str">
        <f t="shared" si="75"/>
        <v>NORMAL</v>
      </c>
    </row>
    <row r="2397" spans="1:12" x14ac:dyDescent="0.25">
      <c r="A2397" s="3"/>
      <c r="B2397" s="3"/>
      <c r="C2397" s="1"/>
      <c r="D2397" s="1"/>
      <c r="E2397" s="1"/>
      <c r="F2397" s="1"/>
      <c r="G2397" s="3"/>
      <c r="H2397" s="11">
        <f t="shared" si="74"/>
        <v>2</v>
      </c>
      <c r="I2397" s="9">
        <f>($K$2+0.02)*Tabla1[[#This Row],[PRECIO $]]*1.18</f>
        <v>0</v>
      </c>
      <c r="J2397" s="7">
        <f>+Tabla1[[#This Row],[PRECIO EN SOLES]]-Tabla1[[#This Row],[PC]]</f>
        <v>2</v>
      </c>
      <c r="K2397" s="15"/>
      <c r="L2397" s="15" t="str">
        <f t="shared" si="75"/>
        <v>NORMAL</v>
      </c>
    </row>
    <row r="2398" spans="1:12" x14ac:dyDescent="0.25">
      <c r="A2398" s="3"/>
      <c r="B2398" s="3"/>
      <c r="C2398" s="1"/>
      <c r="D2398" s="1"/>
      <c r="E2398" s="1"/>
      <c r="F2398" s="1"/>
      <c r="G2398" s="3"/>
      <c r="H2398" s="11">
        <f t="shared" si="74"/>
        <v>2</v>
      </c>
      <c r="I2398" s="9">
        <f>($K$2+0.02)*Tabla1[[#This Row],[PRECIO $]]*1.18</f>
        <v>0</v>
      </c>
      <c r="J2398" s="7">
        <f>+Tabla1[[#This Row],[PRECIO EN SOLES]]-Tabla1[[#This Row],[PC]]</f>
        <v>2</v>
      </c>
      <c r="K2398" s="15"/>
      <c r="L2398" s="15" t="str">
        <f t="shared" si="75"/>
        <v>NORMAL</v>
      </c>
    </row>
    <row r="2399" spans="1:12" x14ac:dyDescent="0.25">
      <c r="A2399" s="3"/>
      <c r="B2399" s="3"/>
      <c r="C2399" s="1"/>
      <c r="D2399" s="1"/>
      <c r="E2399" s="1"/>
      <c r="F2399" s="1"/>
      <c r="G2399" s="3"/>
      <c r="H2399" s="11">
        <f t="shared" si="74"/>
        <v>2</v>
      </c>
      <c r="I2399" s="9">
        <f>($K$2+0.02)*Tabla1[[#This Row],[PRECIO $]]*1.18</f>
        <v>0</v>
      </c>
      <c r="J2399" s="7">
        <f>+Tabla1[[#This Row],[PRECIO EN SOLES]]-Tabla1[[#This Row],[PC]]</f>
        <v>2</v>
      </c>
      <c r="K2399" s="15"/>
      <c r="L2399" s="15" t="str">
        <f t="shared" si="75"/>
        <v>NORMAL</v>
      </c>
    </row>
    <row r="2400" spans="1:12" x14ac:dyDescent="0.25">
      <c r="A2400" s="3"/>
      <c r="B2400" s="3"/>
      <c r="C2400" s="1"/>
      <c r="D2400" s="1"/>
      <c r="E2400" s="1"/>
      <c r="F2400" s="1"/>
      <c r="G2400" s="3"/>
      <c r="H2400" s="11">
        <f t="shared" si="74"/>
        <v>2</v>
      </c>
      <c r="I2400" s="9">
        <f>($K$2+0.02)*Tabla1[[#This Row],[PRECIO $]]*1.18</f>
        <v>0</v>
      </c>
      <c r="J2400" s="7">
        <f>+Tabla1[[#This Row],[PRECIO EN SOLES]]-Tabla1[[#This Row],[PC]]</f>
        <v>2</v>
      </c>
      <c r="K2400" s="15"/>
      <c r="L2400" s="15" t="str">
        <f t="shared" si="75"/>
        <v>NORMAL</v>
      </c>
    </row>
    <row r="2401" spans="1:12" x14ac:dyDescent="0.25">
      <c r="A2401" s="3"/>
      <c r="B2401" s="3"/>
      <c r="C2401" s="1"/>
      <c r="D2401" s="1"/>
      <c r="E2401" s="1"/>
      <c r="F2401" s="1"/>
      <c r="G2401" s="3"/>
      <c r="H2401" s="11">
        <f t="shared" si="74"/>
        <v>2</v>
      </c>
      <c r="I2401" s="9">
        <f>($K$2+0.02)*Tabla1[[#This Row],[PRECIO $]]*1.18</f>
        <v>0</v>
      </c>
      <c r="J2401" s="7">
        <f>+Tabla1[[#This Row],[PRECIO EN SOLES]]-Tabla1[[#This Row],[PC]]</f>
        <v>2</v>
      </c>
      <c r="K2401" s="15"/>
      <c r="L2401" s="15" t="str">
        <f t="shared" si="75"/>
        <v>NORMAL</v>
      </c>
    </row>
    <row r="2402" spans="1:12" x14ac:dyDescent="0.25">
      <c r="A2402" s="3"/>
      <c r="B2402" s="3"/>
      <c r="C2402" s="1"/>
      <c r="D2402" s="1"/>
      <c r="E2402" s="1"/>
      <c r="F2402" s="1"/>
      <c r="G2402" s="3"/>
      <c r="H2402" s="11">
        <f t="shared" si="74"/>
        <v>2</v>
      </c>
      <c r="I2402" s="9">
        <f>($K$2+0.02)*Tabla1[[#This Row],[PRECIO $]]*1.18</f>
        <v>0</v>
      </c>
      <c r="J2402" s="7">
        <f>+Tabla1[[#This Row],[PRECIO EN SOLES]]-Tabla1[[#This Row],[PC]]</f>
        <v>2</v>
      </c>
      <c r="K2402" s="15"/>
      <c r="L2402" s="15" t="str">
        <f t="shared" si="75"/>
        <v>NORMAL</v>
      </c>
    </row>
    <row r="2403" spans="1:12" x14ac:dyDescent="0.25">
      <c r="A2403" s="3"/>
      <c r="B2403" s="3"/>
      <c r="C2403" s="1"/>
      <c r="D2403" s="1"/>
      <c r="E2403" s="1"/>
      <c r="F2403" s="1"/>
      <c r="G2403" s="3"/>
      <c r="H2403" s="11">
        <f t="shared" si="74"/>
        <v>2</v>
      </c>
      <c r="I2403" s="9">
        <f>($K$2+0.02)*Tabla1[[#This Row],[PRECIO $]]*1.18</f>
        <v>0</v>
      </c>
      <c r="J2403" s="7">
        <f>+Tabla1[[#This Row],[PRECIO EN SOLES]]-Tabla1[[#This Row],[PC]]</f>
        <v>2</v>
      </c>
      <c r="K2403" s="15"/>
      <c r="L2403" s="15" t="str">
        <f t="shared" si="75"/>
        <v>NORMAL</v>
      </c>
    </row>
    <row r="2404" spans="1:12" x14ac:dyDescent="0.25">
      <c r="A2404" s="3"/>
      <c r="B2404" s="3"/>
      <c r="C2404" s="1"/>
      <c r="D2404" s="1"/>
      <c r="E2404" s="1"/>
      <c r="F2404" s="1"/>
      <c r="G2404" s="3"/>
      <c r="H2404" s="11">
        <f t="shared" si="74"/>
        <v>2</v>
      </c>
      <c r="I2404" s="9">
        <f>($K$2+0.02)*Tabla1[[#This Row],[PRECIO $]]*1.18</f>
        <v>0</v>
      </c>
      <c r="J2404" s="7">
        <f>+Tabla1[[#This Row],[PRECIO EN SOLES]]-Tabla1[[#This Row],[PC]]</f>
        <v>2</v>
      </c>
      <c r="K2404" s="15"/>
      <c r="L2404" s="15" t="str">
        <f t="shared" si="75"/>
        <v>NORMAL</v>
      </c>
    </row>
    <row r="2405" spans="1:12" x14ac:dyDescent="0.25">
      <c r="A2405" s="3"/>
      <c r="B2405" s="3"/>
      <c r="C2405" s="1"/>
      <c r="D2405" s="1"/>
      <c r="E2405" s="1"/>
      <c r="F2405" s="1"/>
      <c r="G2405" s="3"/>
      <c r="H2405" s="11">
        <f t="shared" si="74"/>
        <v>2</v>
      </c>
      <c r="I2405" s="9">
        <f>($K$2+0.02)*Tabla1[[#This Row],[PRECIO $]]*1.18</f>
        <v>0</v>
      </c>
      <c r="J2405" s="7">
        <f>+Tabla1[[#This Row],[PRECIO EN SOLES]]-Tabla1[[#This Row],[PC]]</f>
        <v>2</v>
      </c>
      <c r="K2405" s="15"/>
      <c r="L2405" s="15" t="str">
        <f t="shared" si="75"/>
        <v>NORMAL</v>
      </c>
    </row>
    <row r="2406" spans="1:12" x14ac:dyDescent="0.25">
      <c r="A2406" s="3"/>
      <c r="B2406" s="3"/>
      <c r="C2406" s="1"/>
      <c r="D2406" s="1"/>
      <c r="E2406" s="1"/>
      <c r="F2406" s="1"/>
      <c r="G2406" s="3"/>
      <c r="H2406" s="11" t="e">
        <f>ROUND(
IF(K2406="GANCHO",
   IF(I2406&lt;=50,I2406*1.1+4,IF(I2406&lt;=120,I2406*1.1+7,IF(I2406&lt;=250,I2406*1.1+11,I2406*1.1+19))),
IF(K2406="NORMAL",
   IF(I2406&lt;=30,I2406*1.15+2,IF(I2406&lt;=80,I2406*1.15+4,IF(I2406&lt;=150,I2406*1.15+6,I2406*1.15+8))),
IF(K2406="COMPLEMENTO",
   IF(I2406&lt;=25,I2406*1.25+1.5,IF(I2406&lt;=60,I2406*1.25+3,IF(I2406&lt;=120,I2406*1.25+4,I2406*1.25+5))),
""))),2)</f>
        <v>#VALUE!</v>
      </c>
      <c r="I2406" s="9">
        <f>($K$2+0.02)*Tabla1[[#This Row],[PRECIO $]]*1.18</f>
        <v>0</v>
      </c>
      <c r="J2406" s="7" t="e">
        <f>+Tabla1[[#This Row],[PRECIO EN SOLES]]-Tabla1[[#This Row],[PC]]</f>
        <v>#VALUE!</v>
      </c>
    </row>
    <row r="2407" spans="1:12" x14ac:dyDescent="0.25">
      <c r="A2407" s="3"/>
      <c r="B2407" s="3"/>
      <c r="C2407" s="1"/>
      <c r="D2407" s="1"/>
      <c r="E2407" s="1"/>
      <c r="F2407" s="1"/>
      <c r="G2407" s="3"/>
      <c r="H2407" s="11" t="e">
        <f>ROUND(
IF(K2407="GANCHO",
   IF(I2407&lt;=50,I2407*1.1+4,IF(I2407&lt;=120,I2407*1.1+7,IF(I2407&lt;=250,I2407*1.1+11,I2407*1.1+19))),
IF(K2407="NORMAL",
   IF(I2407&lt;=30,I2407*1.15+2,IF(I2407&lt;=80,I2407*1.15+4,IF(I2407&lt;=150,I2407*1.15+6,I2407*1.15+8))),
IF(K2407="COMPLEMENTO",
   IF(I2407&lt;=25,I2407*1.25+1.5,IF(I2407&lt;=60,I2407*1.25+3,IF(I2407&lt;=120,I2407*1.25+4,I2407*1.25+5))),
""))),2)</f>
        <v>#VALUE!</v>
      </c>
      <c r="I2407" s="9">
        <f>($K$2+0.02)*Tabla1[[#This Row],[PRECIO $]]*1.18</f>
        <v>0</v>
      </c>
      <c r="J2407" s="7" t="e">
        <f>+Tabla1[[#This Row],[PRECIO EN SOLES]]-Tabla1[[#This Row],[PC]]</f>
        <v>#VALUE!</v>
      </c>
    </row>
  </sheetData>
  <phoneticPr fontId="3" type="noConversion"/>
  <pageMargins left="0.23622047244094491" right="0.23622047244094491" top="0.74803149606299213" bottom="0.74803149606299213" header="0.31496062992125984" footer="0.31496062992125984"/>
  <pageSetup paperSize="9" scale="60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251C-11EA-4C0A-A771-E671222D83D7}">
  <dimension ref="A1:AQ419"/>
  <sheetViews>
    <sheetView topLeftCell="AM16" workbookViewId="0">
      <selection activeCell="AO23" sqref="AO23"/>
    </sheetView>
  </sheetViews>
  <sheetFormatPr baseColWidth="10" defaultRowHeight="15" x14ac:dyDescent="0.25"/>
  <cols>
    <col min="1" max="1" width="12.85546875" bestFit="1" customWidth="1"/>
    <col min="2" max="2" width="13.5703125" bestFit="1" customWidth="1"/>
    <col min="3" max="3" width="8" bestFit="1" customWidth="1"/>
    <col min="4" max="4" width="12.140625" customWidth="1"/>
    <col min="5" max="5" width="12.5703125" customWidth="1"/>
    <col min="6" max="7" width="10.140625" bestFit="1" customWidth="1"/>
    <col min="8" max="8" width="12.140625" bestFit="1" customWidth="1"/>
    <col min="9" max="9" width="15.85546875" bestFit="1" customWidth="1"/>
    <col min="10" max="11" width="7" bestFit="1" customWidth="1"/>
    <col min="12" max="12" width="15.85546875" bestFit="1" customWidth="1"/>
    <col min="13" max="13" width="12.5703125" bestFit="1" customWidth="1"/>
    <col min="14" max="14" width="12.7109375" bestFit="1" customWidth="1"/>
    <col min="15" max="15" width="12.5703125" customWidth="1"/>
    <col min="16" max="16" width="14" customWidth="1"/>
    <col min="18" max="18" width="13.5703125" customWidth="1"/>
    <col min="20" max="20" width="18.5703125" customWidth="1"/>
    <col min="21" max="21" width="12" customWidth="1"/>
    <col min="22" max="22" width="13.28515625" customWidth="1"/>
    <col min="23" max="23" width="15.5703125" customWidth="1"/>
    <col min="36" max="36" width="9.85546875" bestFit="1" customWidth="1"/>
    <col min="38" max="38" width="11.42578125" style="12"/>
  </cols>
  <sheetData>
    <row r="1" spans="1:43" s="12" customFormat="1" x14ac:dyDescent="0.25">
      <c r="A1" s="1" t="s">
        <v>42</v>
      </c>
      <c r="B1" s="1" t="s">
        <v>62</v>
      </c>
      <c r="C1" s="1" t="s">
        <v>63</v>
      </c>
      <c r="D1" s="1" t="s">
        <v>59</v>
      </c>
      <c r="E1" s="1" t="s">
        <v>43</v>
      </c>
      <c r="F1" s="1" t="s">
        <v>41</v>
      </c>
      <c r="G1" s="1" t="s">
        <v>29</v>
      </c>
      <c r="H1" s="1" t="s">
        <v>56</v>
      </c>
      <c r="I1" s="1" t="s">
        <v>54</v>
      </c>
      <c r="J1" s="1" t="s">
        <v>53</v>
      </c>
      <c r="K1" s="1" t="s">
        <v>46</v>
      </c>
      <c r="L1" s="1" t="s">
        <v>45</v>
      </c>
      <c r="M1" s="1" t="s">
        <v>12</v>
      </c>
      <c r="N1" s="1" t="s">
        <v>55</v>
      </c>
      <c r="O1" s="1" t="s">
        <v>57</v>
      </c>
      <c r="P1" s="1" t="s">
        <v>58</v>
      </c>
      <c r="Q1" s="1" t="s">
        <v>19</v>
      </c>
      <c r="R1" s="1" t="s">
        <v>11</v>
      </c>
      <c r="S1" s="1" t="s">
        <v>8</v>
      </c>
      <c r="T1" s="1" t="s">
        <v>60</v>
      </c>
      <c r="U1" s="1" t="s">
        <v>52</v>
      </c>
      <c r="V1" s="1" t="s">
        <v>9</v>
      </c>
      <c r="W1" s="1" t="s">
        <v>10</v>
      </c>
      <c r="X1" s="1" t="s">
        <v>13</v>
      </c>
      <c r="Y1" s="1" t="s">
        <v>14</v>
      </c>
      <c r="Z1" s="1" t="s">
        <v>15</v>
      </c>
      <c r="AA1" s="1" t="s">
        <v>20</v>
      </c>
      <c r="AB1" s="1" t="s">
        <v>16</v>
      </c>
      <c r="AC1" s="1" t="s">
        <v>17</v>
      </c>
      <c r="AD1" s="1" t="s">
        <v>18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26</v>
      </c>
      <c r="AJ1" s="1" t="s">
        <v>27</v>
      </c>
      <c r="AK1" s="1" t="s">
        <v>28</v>
      </c>
      <c r="AL1" s="1" t="s">
        <v>25</v>
      </c>
      <c r="AM1" s="1" t="s">
        <v>61</v>
      </c>
      <c r="AN1" s="1" t="s">
        <v>108</v>
      </c>
      <c r="AO1" s="1" t="s">
        <v>83</v>
      </c>
      <c r="AP1" s="1" t="s">
        <v>84</v>
      </c>
      <c r="AQ1" s="1" t="s">
        <v>91</v>
      </c>
    </row>
    <row r="2" spans="1:43" x14ac:dyDescent="0.25">
      <c r="A2" s="1"/>
      <c r="B2" s="1">
        <v>451095</v>
      </c>
      <c r="C2" s="1">
        <v>483984</v>
      </c>
      <c r="D2" s="1">
        <v>455432</v>
      </c>
      <c r="E2" s="1">
        <v>501777</v>
      </c>
      <c r="F2" s="1">
        <v>511818</v>
      </c>
      <c r="G2" s="1">
        <v>501803</v>
      </c>
      <c r="H2" s="1">
        <v>126318</v>
      </c>
      <c r="I2" s="1">
        <v>364413</v>
      </c>
      <c r="J2" s="1">
        <v>475956</v>
      </c>
      <c r="K2" s="1">
        <v>361634</v>
      </c>
      <c r="L2" s="1">
        <v>489484</v>
      </c>
      <c r="M2" s="1">
        <v>490698</v>
      </c>
      <c r="N2" s="1">
        <v>257473</v>
      </c>
      <c r="O2" s="1">
        <v>499553</v>
      </c>
      <c r="P2" s="1">
        <v>480380</v>
      </c>
      <c r="Q2" s="1">
        <v>500163</v>
      </c>
      <c r="R2" s="1">
        <v>474066</v>
      </c>
      <c r="S2" s="1">
        <v>444862</v>
      </c>
      <c r="T2" s="1">
        <v>473432</v>
      </c>
      <c r="U2" s="1">
        <v>212075</v>
      </c>
      <c r="V2" s="1">
        <v>104028</v>
      </c>
      <c r="W2" s="1">
        <v>483337</v>
      </c>
      <c r="X2" s="1">
        <v>442307</v>
      </c>
      <c r="Y2" s="1">
        <v>370439</v>
      </c>
      <c r="Z2" s="1">
        <v>455916</v>
      </c>
      <c r="AA2" s="1">
        <v>394095</v>
      </c>
      <c r="AB2" s="1">
        <v>379319</v>
      </c>
      <c r="AC2" s="1">
        <v>446056</v>
      </c>
      <c r="AD2" s="1">
        <v>457614</v>
      </c>
      <c r="AE2" s="1">
        <v>413540</v>
      </c>
      <c r="AF2" s="1">
        <v>424100</v>
      </c>
      <c r="AG2" s="1">
        <v>224946</v>
      </c>
      <c r="AH2" s="1">
        <v>37265</v>
      </c>
      <c r="AI2" s="1">
        <v>434744</v>
      </c>
      <c r="AJ2" s="1">
        <v>481470</v>
      </c>
      <c r="AK2" s="1">
        <v>220409</v>
      </c>
      <c r="AL2" s="1">
        <v>462902</v>
      </c>
      <c r="AM2" s="1">
        <v>370421</v>
      </c>
      <c r="AN2" s="1">
        <v>477464</v>
      </c>
      <c r="AO2" s="1">
        <v>80747</v>
      </c>
      <c r="AP2" s="1">
        <v>421817</v>
      </c>
      <c r="AQ2" s="1">
        <v>477461</v>
      </c>
    </row>
    <row r="3" spans="1:43" x14ac:dyDescent="0.25">
      <c r="A3" s="1"/>
      <c r="B3" s="1">
        <v>12450</v>
      </c>
      <c r="C3" s="1">
        <v>480426</v>
      </c>
      <c r="D3" s="1">
        <v>422976</v>
      </c>
      <c r="E3" s="1">
        <v>509904</v>
      </c>
      <c r="F3" s="1">
        <v>477579</v>
      </c>
      <c r="G3" s="1">
        <v>501802</v>
      </c>
      <c r="H3" s="1">
        <v>506817</v>
      </c>
      <c r="I3" s="1">
        <v>506963</v>
      </c>
      <c r="J3" s="1">
        <v>12800</v>
      </c>
      <c r="K3" s="1">
        <v>393597</v>
      </c>
      <c r="L3" s="1">
        <v>479868</v>
      </c>
      <c r="M3" s="1">
        <v>472228</v>
      </c>
      <c r="N3" s="1">
        <v>444863</v>
      </c>
      <c r="O3" s="1">
        <v>418557</v>
      </c>
      <c r="P3" s="1">
        <v>459563</v>
      </c>
      <c r="Q3" s="1">
        <v>498451</v>
      </c>
      <c r="R3" s="1">
        <v>365427</v>
      </c>
      <c r="S3" s="1">
        <v>325723</v>
      </c>
      <c r="T3" s="1">
        <v>476847</v>
      </c>
      <c r="U3" s="1">
        <v>473410</v>
      </c>
      <c r="V3" s="1">
        <v>109958</v>
      </c>
      <c r="W3" s="1">
        <v>483344</v>
      </c>
      <c r="X3" s="1">
        <v>470260</v>
      </c>
      <c r="Y3" s="1">
        <v>355562</v>
      </c>
      <c r="Z3" s="1">
        <v>477492</v>
      </c>
      <c r="AA3" s="1">
        <v>414078</v>
      </c>
      <c r="AB3" s="1">
        <v>412645</v>
      </c>
      <c r="AC3" s="1">
        <v>446055</v>
      </c>
      <c r="AD3" s="1">
        <v>462240</v>
      </c>
      <c r="AE3" s="1">
        <v>171930</v>
      </c>
      <c r="AF3" s="1">
        <v>424101</v>
      </c>
      <c r="AG3" s="1">
        <v>467943</v>
      </c>
      <c r="AH3" s="1">
        <v>58044</v>
      </c>
      <c r="AI3" s="1">
        <v>434747</v>
      </c>
      <c r="AJ3" s="1">
        <v>444861</v>
      </c>
      <c r="AK3" s="1">
        <v>272846</v>
      </c>
      <c r="AL3" s="1">
        <v>462901</v>
      </c>
      <c r="AM3" s="1">
        <v>478260</v>
      </c>
      <c r="AN3" s="1">
        <v>477468</v>
      </c>
      <c r="AO3" s="1"/>
      <c r="AP3" s="1">
        <v>477937</v>
      </c>
      <c r="AQ3" s="1">
        <v>477466</v>
      </c>
    </row>
    <row r="4" spans="1:43" x14ac:dyDescent="0.25">
      <c r="A4" s="1">
        <v>152603</v>
      </c>
      <c r="B4" s="1">
        <v>434953</v>
      </c>
      <c r="C4" s="1">
        <v>506976</v>
      </c>
      <c r="D4" s="1">
        <v>422977</v>
      </c>
      <c r="E4" s="1">
        <v>473310</v>
      </c>
      <c r="F4" s="1">
        <v>352374</v>
      </c>
      <c r="G4" s="1">
        <v>254009</v>
      </c>
      <c r="H4" s="1">
        <v>482030</v>
      </c>
      <c r="I4" s="1">
        <v>12800</v>
      </c>
      <c r="J4" s="1">
        <v>373165</v>
      </c>
      <c r="K4" s="1">
        <v>479889</v>
      </c>
      <c r="L4" s="1">
        <v>497451</v>
      </c>
      <c r="M4" s="1">
        <v>714700250</v>
      </c>
      <c r="N4" s="1">
        <v>220412</v>
      </c>
      <c r="O4" s="1">
        <v>441322</v>
      </c>
      <c r="P4" s="1">
        <v>449993</v>
      </c>
      <c r="Q4" s="1">
        <v>500166</v>
      </c>
      <c r="R4" s="1">
        <v>467810</v>
      </c>
      <c r="S4" s="1">
        <v>257473</v>
      </c>
      <c r="T4" s="1">
        <v>476848</v>
      </c>
      <c r="U4" s="1">
        <v>423887</v>
      </c>
      <c r="V4" s="1">
        <v>257479</v>
      </c>
      <c r="W4" s="1">
        <v>467708</v>
      </c>
      <c r="X4" s="1">
        <v>407757</v>
      </c>
      <c r="Y4" s="1">
        <v>390724</v>
      </c>
      <c r="Z4" s="1">
        <v>434906</v>
      </c>
      <c r="AA4" s="1">
        <v>451644</v>
      </c>
      <c r="AB4" s="1">
        <v>421766</v>
      </c>
      <c r="AC4" s="1">
        <v>415152</v>
      </c>
      <c r="AD4" s="1">
        <v>470578</v>
      </c>
      <c r="AE4" s="1">
        <v>269074</v>
      </c>
      <c r="AF4" s="1">
        <v>424466</v>
      </c>
      <c r="AG4" s="1">
        <v>442280</v>
      </c>
      <c r="AH4" s="1">
        <v>107758</v>
      </c>
      <c r="AI4" s="1">
        <v>434746</v>
      </c>
      <c r="AJ4" s="1">
        <v>125200</v>
      </c>
      <c r="AK4" s="1">
        <v>85644</v>
      </c>
      <c r="AL4" s="1">
        <v>462903</v>
      </c>
      <c r="AM4" s="1">
        <v>475935</v>
      </c>
      <c r="AN4" s="1">
        <v>477472</v>
      </c>
      <c r="AO4" s="1">
        <v>357672</v>
      </c>
      <c r="AP4" s="1"/>
      <c r="AQ4" s="1">
        <v>477470</v>
      </c>
    </row>
    <row r="5" spans="1:43" x14ac:dyDescent="0.25">
      <c r="A5" s="1">
        <v>212075</v>
      </c>
      <c r="B5" s="1">
        <v>12450</v>
      </c>
      <c r="C5" s="1">
        <v>499549</v>
      </c>
      <c r="D5" s="1">
        <v>422975</v>
      </c>
      <c r="E5" s="1">
        <v>240856</v>
      </c>
      <c r="F5" s="1">
        <v>480654</v>
      </c>
      <c r="G5" s="1">
        <v>439204</v>
      </c>
      <c r="H5" s="1">
        <v>388568</v>
      </c>
      <c r="I5" s="1">
        <v>342759</v>
      </c>
      <c r="J5" s="1">
        <v>25600</v>
      </c>
      <c r="K5" s="1">
        <v>357672</v>
      </c>
      <c r="L5" s="1">
        <v>489485</v>
      </c>
      <c r="M5" s="1">
        <v>14700</v>
      </c>
      <c r="N5" s="1">
        <v>314142</v>
      </c>
      <c r="O5" s="1">
        <v>488803</v>
      </c>
      <c r="P5" s="1">
        <v>419697</v>
      </c>
      <c r="Q5" s="1">
        <v>500164</v>
      </c>
      <c r="R5" s="1">
        <v>443214</v>
      </c>
      <c r="S5" s="1">
        <v>35409</v>
      </c>
      <c r="T5" s="1">
        <v>427326</v>
      </c>
      <c r="U5" s="1">
        <v>477432</v>
      </c>
      <c r="V5" s="1">
        <v>193450</v>
      </c>
      <c r="W5" s="1">
        <v>448159</v>
      </c>
      <c r="X5" s="1"/>
      <c r="Y5" s="1">
        <v>371918</v>
      </c>
      <c r="Z5" s="1">
        <v>477504</v>
      </c>
      <c r="AA5" s="1">
        <v>352078</v>
      </c>
      <c r="AB5" s="1">
        <v>421764</v>
      </c>
      <c r="AC5" s="1">
        <v>253953</v>
      </c>
      <c r="AD5" s="1">
        <v>479354</v>
      </c>
      <c r="AE5" s="1">
        <v>364209</v>
      </c>
      <c r="AF5" s="1">
        <v>424467</v>
      </c>
      <c r="AG5" s="1">
        <v>463017</v>
      </c>
      <c r="AH5" s="1">
        <v>22688</v>
      </c>
      <c r="AI5" s="1">
        <v>434748</v>
      </c>
      <c r="AJ5" s="1">
        <v>443641</v>
      </c>
      <c r="AK5" s="1">
        <v>160557</v>
      </c>
      <c r="AL5" s="1">
        <v>437563</v>
      </c>
      <c r="AM5" s="1">
        <v>463234</v>
      </c>
      <c r="AN5" s="1">
        <v>477465</v>
      </c>
      <c r="AO5" s="1">
        <v>363378</v>
      </c>
      <c r="AP5" s="1"/>
      <c r="AQ5" s="1">
        <v>477927</v>
      </c>
    </row>
    <row r="6" spans="1:43" x14ac:dyDescent="0.25">
      <c r="A6" s="1">
        <v>177279</v>
      </c>
      <c r="B6" s="1">
        <v>437193</v>
      </c>
      <c r="C6" s="1">
        <v>470171</v>
      </c>
      <c r="D6" s="1">
        <v>440795</v>
      </c>
      <c r="E6" s="1">
        <v>398413</v>
      </c>
      <c r="F6" s="1">
        <v>422502</v>
      </c>
      <c r="G6" s="1">
        <v>254013</v>
      </c>
      <c r="H6" s="1">
        <v>482029</v>
      </c>
      <c r="I6" s="1">
        <v>60573</v>
      </c>
      <c r="J6" s="1">
        <v>373167</v>
      </c>
      <c r="K6" s="1">
        <v>70128</v>
      </c>
      <c r="L6" s="1">
        <v>497452</v>
      </c>
      <c r="M6" s="1">
        <v>714700250</v>
      </c>
      <c r="N6" s="1">
        <v>444862</v>
      </c>
      <c r="O6" s="1">
        <v>471090</v>
      </c>
      <c r="P6" s="1">
        <v>449986</v>
      </c>
      <c r="Q6" s="1">
        <v>502189</v>
      </c>
      <c r="R6" s="1">
        <v>444536</v>
      </c>
      <c r="S6" s="1">
        <v>170232</v>
      </c>
      <c r="T6" s="1">
        <v>455724</v>
      </c>
      <c r="U6" s="1">
        <v>332518</v>
      </c>
      <c r="V6" s="1">
        <v>325800</v>
      </c>
      <c r="W6" s="1">
        <v>478066</v>
      </c>
      <c r="X6" s="1"/>
      <c r="Y6" s="1">
        <v>390723</v>
      </c>
      <c r="Z6" s="1">
        <v>477480</v>
      </c>
      <c r="AA6" s="1">
        <v>479992</v>
      </c>
      <c r="AB6" s="1">
        <v>412685</v>
      </c>
      <c r="AC6" s="1">
        <v>59815</v>
      </c>
      <c r="AD6" s="1">
        <v>479393</v>
      </c>
      <c r="AE6" s="1">
        <v>188577</v>
      </c>
      <c r="AF6" s="1">
        <v>463235</v>
      </c>
      <c r="AG6" s="1">
        <v>442282</v>
      </c>
      <c r="AH6" s="1">
        <v>470757</v>
      </c>
      <c r="AI6" s="1">
        <v>434750</v>
      </c>
      <c r="AJ6" s="1"/>
      <c r="AK6" s="1">
        <v>144366</v>
      </c>
      <c r="AL6" s="1">
        <v>458427</v>
      </c>
      <c r="AM6" s="1">
        <v>478259</v>
      </c>
      <c r="AN6" s="1">
        <v>477937</v>
      </c>
      <c r="AO6" s="1">
        <v>363379</v>
      </c>
      <c r="AP6" s="1">
        <v>477927</v>
      </c>
      <c r="AQ6" s="1">
        <v>477938</v>
      </c>
    </row>
    <row r="7" spans="1:43" x14ac:dyDescent="0.25">
      <c r="A7" s="1">
        <v>424446</v>
      </c>
      <c r="B7" s="1">
        <v>12450</v>
      </c>
      <c r="C7" s="1">
        <v>470173</v>
      </c>
      <c r="D7" s="1">
        <v>440799</v>
      </c>
      <c r="E7" s="1">
        <v>324455</v>
      </c>
      <c r="F7" s="1">
        <v>356002</v>
      </c>
      <c r="G7" s="1">
        <v>501804</v>
      </c>
      <c r="H7" s="1">
        <v>476697</v>
      </c>
      <c r="I7" s="1">
        <v>362081</v>
      </c>
      <c r="J7" s="1">
        <v>28800</v>
      </c>
      <c r="K7" s="1">
        <v>363378</v>
      </c>
      <c r="L7" s="1">
        <v>479869</v>
      </c>
      <c r="M7" s="1">
        <v>14700</v>
      </c>
      <c r="N7" s="1">
        <v>431068</v>
      </c>
      <c r="O7" s="1">
        <v>480111</v>
      </c>
      <c r="P7" s="1">
        <v>439435</v>
      </c>
      <c r="Q7" s="1">
        <v>370832</v>
      </c>
      <c r="R7" s="1">
        <v>466868</v>
      </c>
      <c r="S7" s="1">
        <v>483651</v>
      </c>
      <c r="T7" s="1">
        <v>453370</v>
      </c>
      <c r="U7" s="1">
        <v>489484</v>
      </c>
      <c r="V7" s="1">
        <v>228789</v>
      </c>
      <c r="W7" s="1">
        <v>483346</v>
      </c>
      <c r="X7" s="1"/>
      <c r="Y7" s="1">
        <v>465707</v>
      </c>
      <c r="Z7" s="1">
        <v>455917</v>
      </c>
      <c r="AA7" s="1">
        <v>469088</v>
      </c>
      <c r="AB7" s="1">
        <v>455473</v>
      </c>
      <c r="AC7" s="1">
        <v>474203</v>
      </c>
      <c r="AD7" s="1">
        <v>457544</v>
      </c>
      <c r="AE7" s="1">
        <v>166857</v>
      </c>
      <c r="AF7" s="1">
        <v>446630</v>
      </c>
      <c r="AG7" s="1">
        <v>442488</v>
      </c>
      <c r="AH7" s="1">
        <v>470758</v>
      </c>
      <c r="AI7" s="1">
        <v>434752</v>
      </c>
      <c r="AJ7" s="1"/>
      <c r="AK7" s="1">
        <v>324383</v>
      </c>
      <c r="AL7" s="1">
        <v>437562</v>
      </c>
      <c r="AM7" s="1">
        <v>475937</v>
      </c>
      <c r="AN7" s="1">
        <v>370948</v>
      </c>
      <c r="AO7" s="1">
        <v>368984</v>
      </c>
      <c r="AP7" s="1">
        <v>476383</v>
      </c>
      <c r="AQ7" s="1">
        <v>477932</v>
      </c>
    </row>
    <row r="8" spans="1:43" x14ac:dyDescent="0.25">
      <c r="A8" s="1">
        <v>142646</v>
      </c>
      <c r="B8" s="1">
        <v>490370</v>
      </c>
      <c r="C8" s="1">
        <v>421960</v>
      </c>
      <c r="D8" s="1">
        <v>467887</v>
      </c>
      <c r="E8" s="1">
        <v>351575</v>
      </c>
      <c r="F8" s="1">
        <v>511820</v>
      </c>
      <c r="G8" s="1">
        <v>355948</v>
      </c>
      <c r="H8" s="1">
        <v>471427</v>
      </c>
      <c r="I8" s="1">
        <v>38789</v>
      </c>
      <c r="J8" s="1">
        <v>392285</v>
      </c>
      <c r="K8" s="1">
        <v>224859</v>
      </c>
      <c r="L8" s="1">
        <v>489486</v>
      </c>
      <c r="M8" s="1">
        <v>499530</v>
      </c>
      <c r="N8" s="1">
        <v>425666</v>
      </c>
      <c r="O8" s="1">
        <v>500505</v>
      </c>
      <c r="P8" s="1">
        <v>490569</v>
      </c>
      <c r="Q8" s="1">
        <v>397819</v>
      </c>
      <c r="R8" s="1">
        <v>467811</v>
      </c>
      <c r="S8" s="1">
        <v>363152</v>
      </c>
      <c r="T8" s="1">
        <v>455723</v>
      </c>
      <c r="U8" s="1">
        <v>496455</v>
      </c>
      <c r="V8" s="1">
        <v>246353</v>
      </c>
      <c r="W8" s="1">
        <v>467707</v>
      </c>
      <c r="X8" s="1"/>
      <c r="Y8" s="1">
        <v>435201</v>
      </c>
      <c r="Z8" s="1">
        <v>477477</v>
      </c>
      <c r="AA8" s="1">
        <v>444853</v>
      </c>
      <c r="AB8" s="1">
        <v>486100</v>
      </c>
      <c r="AC8" s="1">
        <v>375271</v>
      </c>
      <c r="AD8" s="1">
        <v>457605</v>
      </c>
      <c r="AE8" s="1">
        <v>169760</v>
      </c>
      <c r="AF8" s="1">
        <v>425835</v>
      </c>
      <c r="AG8" s="1">
        <v>463018</v>
      </c>
      <c r="AH8" s="1">
        <v>421551</v>
      </c>
      <c r="AI8" s="1">
        <v>434749</v>
      </c>
      <c r="AJ8" s="1"/>
      <c r="AK8" s="1">
        <v>152584</v>
      </c>
      <c r="AL8" s="1">
        <v>449197</v>
      </c>
      <c r="AM8" s="1">
        <v>481985</v>
      </c>
      <c r="AN8" s="1">
        <v>509904</v>
      </c>
      <c r="AO8" s="1">
        <v>369033</v>
      </c>
      <c r="AP8" s="1">
        <v>476382</v>
      </c>
      <c r="AQ8" s="1">
        <v>477935</v>
      </c>
    </row>
    <row r="9" spans="1:43" x14ac:dyDescent="0.25">
      <c r="A9" s="1">
        <v>424448</v>
      </c>
      <c r="B9" s="1">
        <v>12450</v>
      </c>
      <c r="C9" s="1">
        <v>487647</v>
      </c>
      <c r="D9" s="1">
        <v>467752</v>
      </c>
      <c r="E9" s="1">
        <v>399458</v>
      </c>
      <c r="F9" s="1">
        <v>509906</v>
      </c>
      <c r="G9" s="1">
        <v>287294</v>
      </c>
      <c r="H9" s="1"/>
      <c r="I9" s="1">
        <v>362079</v>
      </c>
      <c r="J9" s="1">
        <v>41600</v>
      </c>
      <c r="K9" s="1">
        <v>414400</v>
      </c>
      <c r="L9" s="1">
        <v>497454</v>
      </c>
      <c r="M9" s="1">
        <v>13100</v>
      </c>
      <c r="N9" s="1">
        <v>467931</v>
      </c>
      <c r="O9" s="1">
        <v>454096</v>
      </c>
      <c r="P9" s="1">
        <v>492812</v>
      </c>
      <c r="Q9" s="1">
        <v>465502</v>
      </c>
      <c r="R9" s="1">
        <v>404983</v>
      </c>
      <c r="S9" s="1">
        <v>118031</v>
      </c>
      <c r="T9" s="1">
        <v>467240</v>
      </c>
      <c r="U9" s="1">
        <v>137571</v>
      </c>
      <c r="V9" s="1">
        <v>257478</v>
      </c>
      <c r="W9" s="1">
        <v>463055</v>
      </c>
      <c r="X9" s="1"/>
      <c r="Y9" s="1">
        <v>367284</v>
      </c>
      <c r="Z9" s="1">
        <v>455911</v>
      </c>
      <c r="AA9" s="1">
        <v>436419</v>
      </c>
      <c r="AB9" s="1">
        <v>441486</v>
      </c>
      <c r="AC9" s="1">
        <v>488738</v>
      </c>
      <c r="AD9" s="1">
        <v>457601</v>
      </c>
      <c r="AE9" s="1">
        <v>247394</v>
      </c>
      <c r="AF9" s="1">
        <v>358336</v>
      </c>
      <c r="AG9" s="1">
        <v>442286</v>
      </c>
      <c r="AH9" s="1">
        <v>421555</v>
      </c>
      <c r="AI9" s="1">
        <v>434751</v>
      </c>
      <c r="AJ9" s="1"/>
      <c r="AK9" s="1">
        <v>152585</v>
      </c>
      <c r="AL9" s="1">
        <v>437556</v>
      </c>
      <c r="AM9" s="1">
        <v>420227</v>
      </c>
      <c r="AN9" s="1">
        <v>501777</v>
      </c>
      <c r="AO9" s="1">
        <v>370420</v>
      </c>
      <c r="AP9" s="1">
        <v>484955</v>
      </c>
      <c r="AQ9" s="1">
        <v>477933</v>
      </c>
    </row>
    <row r="10" spans="1:43" x14ac:dyDescent="0.25">
      <c r="A10" s="1"/>
      <c r="B10" s="1">
        <v>471112</v>
      </c>
      <c r="C10" s="1">
        <v>422995</v>
      </c>
      <c r="D10" s="1">
        <v>440800</v>
      </c>
      <c r="E10" s="1">
        <v>468238</v>
      </c>
      <c r="F10" s="1">
        <v>511822</v>
      </c>
      <c r="G10" s="1">
        <v>438919</v>
      </c>
      <c r="H10" s="1"/>
      <c r="I10" s="1">
        <v>495207</v>
      </c>
      <c r="J10" s="1">
        <v>401438</v>
      </c>
      <c r="K10" s="1">
        <v>479907</v>
      </c>
      <c r="L10" s="1">
        <v>479870</v>
      </c>
      <c r="M10" s="1">
        <v>468303</v>
      </c>
      <c r="N10" s="1">
        <v>441320</v>
      </c>
      <c r="O10" s="1">
        <v>371241</v>
      </c>
      <c r="P10" s="1">
        <v>448178</v>
      </c>
      <c r="Q10" s="1">
        <v>370833</v>
      </c>
      <c r="R10" s="1">
        <v>438463</v>
      </c>
      <c r="S10" s="1">
        <v>459402</v>
      </c>
      <c r="T10" s="1">
        <v>455722</v>
      </c>
      <c r="U10" s="1">
        <v>107758</v>
      </c>
      <c r="V10" s="1">
        <v>488868</v>
      </c>
      <c r="W10" s="1">
        <v>443501</v>
      </c>
      <c r="X10" s="1"/>
      <c r="Y10" s="1">
        <v>343104</v>
      </c>
      <c r="Z10" s="1">
        <v>477505</v>
      </c>
      <c r="AA10" s="1">
        <v>430192</v>
      </c>
      <c r="AB10" s="1">
        <v>486099</v>
      </c>
      <c r="AC10" s="1">
        <v>361044</v>
      </c>
      <c r="AD10" s="1">
        <v>456804</v>
      </c>
      <c r="AE10" s="1">
        <v>252096</v>
      </c>
      <c r="AF10" s="1"/>
      <c r="AG10" s="1">
        <v>463019</v>
      </c>
      <c r="AH10" s="1">
        <v>421553</v>
      </c>
      <c r="AI10" s="1">
        <v>283322</v>
      </c>
      <c r="AJ10" s="1"/>
      <c r="AK10" s="1">
        <v>21693</v>
      </c>
      <c r="AL10" s="1">
        <v>437557</v>
      </c>
      <c r="AM10" s="1">
        <v>462831</v>
      </c>
      <c r="AN10" s="1">
        <v>351575</v>
      </c>
      <c r="AO10" s="1">
        <v>370926</v>
      </c>
      <c r="AP10" s="1">
        <v>445568</v>
      </c>
      <c r="AQ10" s="1">
        <v>421817</v>
      </c>
    </row>
    <row r="11" spans="1:43" x14ac:dyDescent="0.25">
      <c r="A11" s="1"/>
      <c r="B11" s="1">
        <v>8313037</v>
      </c>
      <c r="C11" s="1">
        <v>487667</v>
      </c>
      <c r="D11" s="1">
        <v>467754</v>
      </c>
      <c r="E11" s="1">
        <v>501778</v>
      </c>
      <c r="F11" s="1">
        <v>485657</v>
      </c>
      <c r="G11" s="1">
        <v>426259</v>
      </c>
      <c r="H11" s="1"/>
      <c r="I11" s="1">
        <v>25600</v>
      </c>
      <c r="J11" s="1">
        <v>44800</v>
      </c>
      <c r="K11" s="1">
        <v>363379</v>
      </c>
      <c r="L11" s="1">
        <v>489487</v>
      </c>
      <c r="M11" s="1">
        <v>439138</v>
      </c>
      <c r="N11" s="1">
        <v>502021</v>
      </c>
      <c r="O11" s="1">
        <v>488802</v>
      </c>
      <c r="P11" s="1">
        <v>469394</v>
      </c>
      <c r="Q11" s="1">
        <v>478228</v>
      </c>
      <c r="R11" s="1">
        <v>90008</v>
      </c>
      <c r="S11" s="1">
        <v>430971</v>
      </c>
      <c r="T11" s="1">
        <v>473410</v>
      </c>
      <c r="U11" s="1">
        <v>478259</v>
      </c>
      <c r="V11" s="1">
        <v>162411</v>
      </c>
      <c r="W11" s="1">
        <v>483342</v>
      </c>
      <c r="X11" s="1"/>
      <c r="Y11" s="1">
        <v>208672</v>
      </c>
      <c r="Z11" s="1">
        <v>457631</v>
      </c>
      <c r="AA11" s="1">
        <v>392573</v>
      </c>
      <c r="AB11" s="1">
        <v>480371</v>
      </c>
      <c r="AC11" s="1">
        <v>386642</v>
      </c>
      <c r="AD11" s="1">
        <v>479364</v>
      </c>
      <c r="AE11" s="1">
        <v>413538</v>
      </c>
      <c r="AF11" s="1"/>
      <c r="AG11" s="1">
        <v>447352</v>
      </c>
      <c r="AH11" s="1">
        <v>421556</v>
      </c>
      <c r="AI11" s="1">
        <v>478018</v>
      </c>
      <c r="AJ11" s="1"/>
      <c r="AK11" s="1">
        <v>189882</v>
      </c>
      <c r="AL11" s="1">
        <v>449196</v>
      </c>
      <c r="AM11" s="1">
        <v>486090</v>
      </c>
      <c r="AN11" s="1">
        <v>399458</v>
      </c>
      <c r="AO11" s="1">
        <v>379319</v>
      </c>
      <c r="AP11" s="1"/>
      <c r="AQ11" s="1"/>
    </row>
    <row r="12" spans="1:43" x14ac:dyDescent="0.25">
      <c r="A12" s="1"/>
      <c r="B12" s="1">
        <v>473080</v>
      </c>
      <c r="C12" s="1">
        <v>481871</v>
      </c>
      <c r="D12" s="1">
        <v>467814</v>
      </c>
      <c r="E12" s="1">
        <v>509897</v>
      </c>
      <c r="F12" s="1">
        <v>452106</v>
      </c>
      <c r="G12" s="1">
        <v>455265</v>
      </c>
      <c r="H12" s="1"/>
      <c r="I12" s="1">
        <v>506959</v>
      </c>
      <c r="J12" s="1">
        <v>413108</v>
      </c>
      <c r="K12" s="1">
        <v>489177</v>
      </c>
      <c r="L12" s="1">
        <v>491716</v>
      </c>
      <c r="M12" s="1">
        <v>13620</v>
      </c>
      <c r="N12" s="1">
        <v>497958</v>
      </c>
      <c r="O12" s="1">
        <v>441318</v>
      </c>
      <c r="P12" s="1">
        <v>480379</v>
      </c>
      <c r="Q12" s="1">
        <v>455720</v>
      </c>
      <c r="R12" s="1">
        <v>99121</v>
      </c>
      <c r="S12" s="1">
        <v>142646</v>
      </c>
      <c r="T12" s="1">
        <v>476853</v>
      </c>
      <c r="U12" s="1">
        <v>485530</v>
      </c>
      <c r="V12" s="1">
        <v>127787</v>
      </c>
      <c r="W12" s="1">
        <v>483343</v>
      </c>
      <c r="X12" s="1"/>
      <c r="Y12" s="1">
        <v>390138</v>
      </c>
      <c r="Z12" s="1">
        <v>477485</v>
      </c>
      <c r="AA12" s="1">
        <v>458777</v>
      </c>
      <c r="AB12" s="1">
        <v>486098</v>
      </c>
      <c r="AC12" s="1">
        <v>369977</v>
      </c>
      <c r="AD12" s="1">
        <v>479379</v>
      </c>
      <c r="AE12" s="1">
        <v>426828</v>
      </c>
      <c r="AF12" s="1"/>
      <c r="AG12" s="1">
        <v>449751</v>
      </c>
      <c r="AH12" s="1">
        <v>421554</v>
      </c>
      <c r="AI12" s="1">
        <v>478017</v>
      </c>
      <c r="AJ12" s="1"/>
      <c r="AK12" s="1">
        <v>33689</v>
      </c>
      <c r="AL12" s="1">
        <v>437559</v>
      </c>
      <c r="AM12" s="1">
        <v>461879</v>
      </c>
      <c r="AN12" s="1">
        <v>424250</v>
      </c>
      <c r="AO12" s="1">
        <v>401370</v>
      </c>
      <c r="AP12" s="1"/>
      <c r="AQ12" s="1"/>
    </row>
    <row r="13" spans="1:43" x14ac:dyDescent="0.25">
      <c r="A13" s="1"/>
      <c r="B13" s="1">
        <v>13420</v>
      </c>
      <c r="C13" s="1">
        <v>461232</v>
      </c>
      <c r="D13" s="1">
        <v>467815</v>
      </c>
      <c r="E13" s="1">
        <v>488964</v>
      </c>
      <c r="F13" s="1">
        <v>356643</v>
      </c>
      <c r="G13" s="1">
        <v>441303</v>
      </c>
      <c r="H13" s="1"/>
      <c r="I13" s="1">
        <v>21300</v>
      </c>
      <c r="J13" s="1">
        <v>25600</v>
      </c>
      <c r="K13" s="1">
        <v>393598</v>
      </c>
      <c r="L13" s="1">
        <v>489488</v>
      </c>
      <c r="M13" s="1">
        <v>482003</v>
      </c>
      <c r="N13" s="1">
        <v>439457</v>
      </c>
      <c r="O13" s="1">
        <v>164716</v>
      </c>
      <c r="P13" s="1">
        <v>449994</v>
      </c>
      <c r="Q13" s="1">
        <v>480082</v>
      </c>
      <c r="R13" s="1">
        <v>104932</v>
      </c>
      <c r="S13" s="1">
        <v>190275</v>
      </c>
      <c r="T13" s="1">
        <v>467239</v>
      </c>
      <c r="U13" s="1">
        <v>420255</v>
      </c>
      <c r="V13" s="1">
        <v>488891</v>
      </c>
      <c r="W13" s="1">
        <v>467709</v>
      </c>
      <c r="X13" s="1"/>
      <c r="Y13" s="1">
        <v>408042</v>
      </c>
      <c r="Z13" s="1">
        <v>477479</v>
      </c>
      <c r="AA13" s="1">
        <v>476890</v>
      </c>
      <c r="AB13" s="1"/>
      <c r="AC13" s="1">
        <v>375272</v>
      </c>
      <c r="AD13" s="1">
        <v>457603</v>
      </c>
      <c r="AE13" s="1">
        <v>381604</v>
      </c>
      <c r="AF13" s="1"/>
      <c r="AG13" s="1">
        <v>368172</v>
      </c>
      <c r="AH13" s="1">
        <v>80876</v>
      </c>
      <c r="AI13" s="1">
        <v>478019</v>
      </c>
      <c r="AJ13" s="1"/>
      <c r="AK13" s="1">
        <v>468791</v>
      </c>
      <c r="AL13" s="1">
        <v>437558</v>
      </c>
      <c r="AM13" s="1">
        <v>478258</v>
      </c>
      <c r="AN13" s="1">
        <v>388674</v>
      </c>
      <c r="AO13" s="1">
        <v>397634</v>
      </c>
      <c r="AP13" s="1"/>
      <c r="AQ13" s="1"/>
    </row>
    <row r="14" spans="1:43" x14ac:dyDescent="0.25">
      <c r="A14" s="1">
        <v>473432</v>
      </c>
      <c r="B14" s="1">
        <v>13420</v>
      </c>
      <c r="C14" s="1">
        <v>481852</v>
      </c>
      <c r="D14" s="1">
        <v>451130</v>
      </c>
      <c r="E14" s="1">
        <v>324456</v>
      </c>
      <c r="F14" s="1">
        <v>381556</v>
      </c>
      <c r="G14" s="1">
        <v>505885</v>
      </c>
      <c r="H14" s="1"/>
      <c r="I14" s="1">
        <v>506958</v>
      </c>
      <c r="J14" s="1">
        <v>387133</v>
      </c>
      <c r="K14" s="1">
        <v>316244</v>
      </c>
      <c r="L14" s="1">
        <v>479871</v>
      </c>
      <c r="M14" s="1">
        <v>14400</v>
      </c>
      <c r="N14" s="1">
        <v>468167</v>
      </c>
      <c r="O14" s="1">
        <v>480118</v>
      </c>
      <c r="P14" s="1">
        <v>419698</v>
      </c>
      <c r="Q14" s="1">
        <v>480083</v>
      </c>
      <c r="R14" s="1">
        <v>481408</v>
      </c>
      <c r="S14" s="1">
        <v>472385</v>
      </c>
      <c r="T14" s="1">
        <v>476854</v>
      </c>
      <c r="U14" s="1">
        <v>480257</v>
      </c>
      <c r="V14" s="1">
        <v>488895</v>
      </c>
      <c r="W14" s="1">
        <v>468996</v>
      </c>
      <c r="X14" s="1"/>
      <c r="Y14" s="1">
        <v>435200</v>
      </c>
      <c r="Z14" s="1"/>
      <c r="AA14" s="1">
        <v>378167</v>
      </c>
      <c r="AB14" s="1"/>
      <c r="AC14" s="1">
        <v>369980</v>
      </c>
      <c r="AD14" s="1">
        <v>457600</v>
      </c>
      <c r="AE14" s="1">
        <v>244711</v>
      </c>
      <c r="AF14" s="1"/>
      <c r="AG14" s="1">
        <v>132532</v>
      </c>
      <c r="AH14" s="1">
        <v>276889</v>
      </c>
      <c r="AI14" s="1">
        <v>478020</v>
      </c>
      <c r="AJ14" s="1"/>
      <c r="AK14" s="1">
        <v>472322</v>
      </c>
      <c r="AL14" s="1">
        <v>437560</v>
      </c>
      <c r="AM14" s="1">
        <v>58555</v>
      </c>
      <c r="AN14" s="1">
        <v>511818</v>
      </c>
      <c r="AO14" s="1">
        <v>426096</v>
      </c>
      <c r="AP14" s="1"/>
      <c r="AQ14" s="1"/>
    </row>
    <row r="15" spans="1:43" x14ac:dyDescent="0.25">
      <c r="A15" s="1">
        <v>476847</v>
      </c>
      <c r="B15" s="1">
        <v>487747</v>
      </c>
      <c r="C15" s="1">
        <v>474970</v>
      </c>
      <c r="D15" s="1">
        <v>18588</v>
      </c>
      <c r="E15" s="1">
        <v>240857</v>
      </c>
      <c r="F15" s="1">
        <v>452109</v>
      </c>
      <c r="G15" s="1">
        <v>405499</v>
      </c>
      <c r="H15" s="1"/>
      <c r="I15" s="1">
        <v>25600</v>
      </c>
      <c r="J15" s="1">
        <v>387134</v>
      </c>
      <c r="K15" s="1">
        <v>430502</v>
      </c>
      <c r="L15" s="1">
        <v>479872</v>
      </c>
      <c r="M15" s="1">
        <v>469591</v>
      </c>
      <c r="N15" s="1">
        <v>470899</v>
      </c>
      <c r="O15" s="1">
        <v>411185</v>
      </c>
      <c r="P15" s="1">
        <v>465174</v>
      </c>
      <c r="Q15" s="1">
        <v>443683</v>
      </c>
      <c r="R15" s="1">
        <v>90015</v>
      </c>
      <c r="S15" s="1">
        <v>470577</v>
      </c>
      <c r="T15" s="1">
        <v>453743</v>
      </c>
      <c r="U15" s="1">
        <v>480891</v>
      </c>
      <c r="V15" s="1">
        <v>374083</v>
      </c>
      <c r="W15" s="1">
        <v>468789</v>
      </c>
      <c r="X15" s="1"/>
      <c r="Y15" s="1">
        <v>381031</v>
      </c>
      <c r="Z15" s="1"/>
      <c r="AA15" s="1">
        <v>424146</v>
      </c>
      <c r="AB15" s="1"/>
      <c r="AC15" s="1">
        <v>480422</v>
      </c>
      <c r="AD15" s="1">
        <v>456805</v>
      </c>
      <c r="AE15" s="1">
        <v>272463</v>
      </c>
      <c r="AF15" s="1"/>
      <c r="AG15" s="1">
        <v>180431</v>
      </c>
      <c r="AH15" s="1">
        <v>80747</v>
      </c>
      <c r="AI15" s="1">
        <v>478023</v>
      </c>
      <c r="AJ15" s="1"/>
      <c r="AK15" s="1">
        <v>169788</v>
      </c>
      <c r="AL15" s="1">
        <v>471186</v>
      </c>
      <c r="AM15" s="1">
        <v>64424</v>
      </c>
      <c r="AN15" s="1">
        <v>352374</v>
      </c>
      <c r="AO15" s="1">
        <v>488963</v>
      </c>
      <c r="AP15" s="1"/>
      <c r="AQ15" s="1"/>
    </row>
    <row r="16" spans="1:43" x14ac:dyDescent="0.25">
      <c r="A16" s="1">
        <v>476848</v>
      </c>
      <c r="B16" s="1">
        <v>12450</v>
      </c>
      <c r="C16" s="1">
        <v>490702</v>
      </c>
      <c r="D16" s="1">
        <v>417011</v>
      </c>
      <c r="E16" s="1">
        <v>473311</v>
      </c>
      <c r="F16" s="1">
        <v>511821</v>
      </c>
      <c r="G16" s="1">
        <v>489186</v>
      </c>
      <c r="H16" s="1"/>
      <c r="I16" s="1">
        <v>369502</v>
      </c>
      <c r="J16" s="1">
        <v>397186</v>
      </c>
      <c r="K16" s="1">
        <v>388323</v>
      </c>
      <c r="L16" s="1">
        <v>491717</v>
      </c>
      <c r="M16" s="1">
        <v>472563</v>
      </c>
      <c r="N16" s="1">
        <v>475812</v>
      </c>
      <c r="O16" s="1">
        <v>453007</v>
      </c>
      <c r="P16" s="1">
        <v>482874</v>
      </c>
      <c r="Q16" s="1">
        <v>435998</v>
      </c>
      <c r="R16" s="1">
        <v>221727</v>
      </c>
      <c r="S16" s="1">
        <v>416295</v>
      </c>
      <c r="T16" s="1">
        <v>453742</v>
      </c>
      <c r="U16" s="1">
        <v>478398</v>
      </c>
      <c r="V16" s="1">
        <v>162405</v>
      </c>
      <c r="W16" s="1">
        <v>474747</v>
      </c>
      <c r="X16" s="1"/>
      <c r="Y16" s="1">
        <v>435463</v>
      </c>
      <c r="Z16" s="1"/>
      <c r="AA16" s="1">
        <v>436083</v>
      </c>
      <c r="AB16" s="1"/>
      <c r="AC16" s="1">
        <v>473998</v>
      </c>
      <c r="AD16" s="1">
        <v>479366</v>
      </c>
      <c r="AE16" s="1">
        <v>93582</v>
      </c>
      <c r="AF16" s="1"/>
      <c r="AG16" s="1"/>
      <c r="AH16" s="1">
        <v>80745</v>
      </c>
      <c r="AI16" s="1">
        <v>478024</v>
      </c>
      <c r="AJ16" s="1"/>
      <c r="AK16" s="1">
        <v>472323</v>
      </c>
      <c r="AL16" s="1">
        <v>463023</v>
      </c>
      <c r="AM16" s="1">
        <v>479223</v>
      </c>
      <c r="AN16" s="1">
        <v>356002</v>
      </c>
      <c r="AO16" s="1">
        <v>426156</v>
      </c>
      <c r="AP16" s="1"/>
      <c r="AQ16" s="1"/>
    </row>
    <row r="17" spans="1:43" x14ac:dyDescent="0.25">
      <c r="A17" s="1">
        <v>427325</v>
      </c>
      <c r="B17" s="1">
        <v>434957</v>
      </c>
      <c r="C17" s="1">
        <v>421962</v>
      </c>
      <c r="D17" s="1">
        <v>18588</v>
      </c>
      <c r="E17" s="1">
        <v>424250</v>
      </c>
      <c r="F17" s="1">
        <v>480740</v>
      </c>
      <c r="G17" s="1">
        <v>426261</v>
      </c>
      <c r="H17" s="1"/>
      <c r="I17" s="1">
        <v>376512</v>
      </c>
      <c r="J17" s="1">
        <v>41600</v>
      </c>
      <c r="K17" s="1">
        <v>489179</v>
      </c>
      <c r="L17" s="1"/>
      <c r="M17" s="1">
        <v>13420</v>
      </c>
      <c r="N17" s="1">
        <v>442428</v>
      </c>
      <c r="O17" s="1">
        <v>488804</v>
      </c>
      <c r="P17" s="1">
        <v>444021</v>
      </c>
      <c r="Q17" s="1">
        <v>441811</v>
      </c>
      <c r="R17" s="1">
        <v>352016</v>
      </c>
      <c r="S17" s="1">
        <v>422855</v>
      </c>
      <c r="T17" s="1">
        <v>479844</v>
      </c>
      <c r="U17" s="1">
        <v>499981</v>
      </c>
      <c r="V17" s="1">
        <v>348521</v>
      </c>
      <c r="W17" s="1">
        <v>483345</v>
      </c>
      <c r="X17" s="1"/>
      <c r="Y17" s="1">
        <v>373101</v>
      </c>
      <c r="Z17" s="1"/>
      <c r="AA17" s="1">
        <v>388986</v>
      </c>
      <c r="AB17" s="1"/>
      <c r="AC17" s="1">
        <v>396580</v>
      </c>
      <c r="AD17" s="1">
        <v>457610</v>
      </c>
      <c r="AE17" s="1">
        <v>248020</v>
      </c>
      <c r="AF17" s="1"/>
      <c r="AG17" s="1"/>
      <c r="AH17" s="1">
        <v>80746</v>
      </c>
      <c r="AI17" s="1">
        <v>478030</v>
      </c>
      <c r="AJ17" s="1"/>
      <c r="AK17" s="1">
        <v>169789</v>
      </c>
      <c r="AL17" s="1">
        <v>463022</v>
      </c>
      <c r="AM17" s="1">
        <v>64500</v>
      </c>
      <c r="AN17" s="1">
        <v>511820</v>
      </c>
      <c r="AO17" s="1">
        <v>427319</v>
      </c>
      <c r="AP17" s="1"/>
      <c r="AQ17" s="1"/>
    </row>
    <row r="18" spans="1:43" x14ac:dyDescent="0.25">
      <c r="A18" s="1">
        <v>427326</v>
      </c>
      <c r="B18" s="1">
        <v>13650</v>
      </c>
      <c r="C18" s="1">
        <v>481864</v>
      </c>
      <c r="D18" s="1">
        <v>18588</v>
      </c>
      <c r="E18" s="1">
        <v>388674</v>
      </c>
      <c r="F18" s="1">
        <v>468022</v>
      </c>
      <c r="G18" s="1">
        <v>414999</v>
      </c>
      <c r="H18" s="1"/>
      <c r="I18" s="1">
        <v>25600</v>
      </c>
      <c r="J18" s="1">
        <v>397187</v>
      </c>
      <c r="K18" s="1">
        <v>73128</v>
      </c>
      <c r="L18" s="1"/>
      <c r="M18" s="1">
        <v>468579</v>
      </c>
      <c r="N18" s="1">
        <v>399565</v>
      </c>
      <c r="O18" s="1">
        <v>436925</v>
      </c>
      <c r="P18" s="1">
        <v>472157</v>
      </c>
      <c r="Q18" s="1">
        <v>411028</v>
      </c>
      <c r="R18" s="1">
        <v>352046</v>
      </c>
      <c r="S18" s="1">
        <v>478133</v>
      </c>
      <c r="T18" s="1">
        <v>433286</v>
      </c>
      <c r="U18" s="1">
        <v>86242</v>
      </c>
      <c r="V18" s="1">
        <v>456020</v>
      </c>
      <c r="W18" s="1">
        <v>467702</v>
      </c>
      <c r="X18" s="1"/>
      <c r="Y18" s="1">
        <v>343103</v>
      </c>
      <c r="Z18" s="1"/>
      <c r="AA18" s="1">
        <v>456553</v>
      </c>
      <c r="AB18" s="1"/>
      <c r="AC18" s="1">
        <v>396579</v>
      </c>
      <c r="AD18" s="1">
        <v>457540</v>
      </c>
      <c r="AE18" s="1">
        <v>199361</v>
      </c>
      <c r="AF18" s="1"/>
      <c r="AG18" s="1"/>
      <c r="AH18" s="1">
        <v>276885</v>
      </c>
      <c r="AI18" s="1">
        <v>478032</v>
      </c>
      <c r="AJ18" s="1"/>
      <c r="AK18" s="1">
        <v>468836</v>
      </c>
      <c r="AL18" s="1">
        <v>469544</v>
      </c>
      <c r="AM18" s="1">
        <v>493072</v>
      </c>
      <c r="AN18" s="1">
        <v>511821</v>
      </c>
      <c r="AO18" s="1">
        <v>440801</v>
      </c>
      <c r="AP18" s="1"/>
      <c r="AQ18" s="1"/>
    </row>
    <row r="19" spans="1:43" x14ac:dyDescent="0.25">
      <c r="A19" s="1">
        <v>337726</v>
      </c>
      <c r="B19" s="1">
        <v>8313075</v>
      </c>
      <c r="C19" s="1">
        <v>441112</v>
      </c>
      <c r="D19" s="1">
        <v>477800</v>
      </c>
      <c r="E19" s="1">
        <v>481441</v>
      </c>
      <c r="F19" s="1">
        <v>510339</v>
      </c>
      <c r="G19" s="1">
        <v>426746</v>
      </c>
      <c r="H19" s="1"/>
      <c r="I19" s="1">
        <v>383321</v>
      </c>
      <c r="J19" s="1">
        <v>44800</v>
      </c>
      <c r="K19" s="1">
        <v>416156</v>
      </c>
      <c r="L19" s="1"/>
      <c r="M19" s="1">
        <v>463654</v>
      </c>
      <c r="N19" s="1">
        <v>481984</v>
      </c>
      <c r="O19" s="1">
        <v>423982</v>
      </c>
      <c r="P19" s="1">
        <v>463049</v>
      </c>
      <c r="Q19" s="1">
        <v>452535</v>
      </c>
      <c r="R19" s="1">
        <v>190177</v>
      </c>
      <c r="S19" s="1">
        <v>470499</v>
      </c>
      <c r="T19" s="1">
        <v>473585</v>
      </c>
      <c r="U19" s="1">
        <v>420230</v>
      </c>
      <c r="V19" s="1">
        <v>155522</v>
      </c>
      <c r="W19" s="1">
        <v>463056</v>
      </c>
      <c r="X19" s="1"/>
      <c r="Y19" s="1">
        <v>408045</v>
      </c>
      <c r="Z19" s="1"/>
      <c r="AA19" s="1">
        <v>467758</v>
      </c>
      <c r="AB19" s="1"/>
      <c r="AC19" s="1">
        <v>484741</v>
      </c>
      <c r="AD19" s="1">
        <v>457615</v>
      </c>
      <c r="AE19" s="1">
        <v>123952</v>
      </c>
      <c r="AF19" s="1"/>
      <c r="AG19" s="1"/>
      <c r="AH19" s="1">
        <v>276890</v>
      </c>
      <c r="AI19" s="1">
        <v>478033</v>
      </c>
      <c r="AJ19" s="1"/>
      <c r="AK19" s="1">
        <v>475483</v>
      </c>
      <c r="AL19" s="1">
        <v>461653</v>
      </c>
      <c r="AM19" s="1">
        <v>64337</v>
      </c>
      <c r="AN19" s="1">
        <v>452109</v>
      </c>
      <c r="AO19" s="1">
        <v>451130</v>
      </c>
      <c r="AP19" s="1"/>
      <c r="AQ19" s="1"/>
    </row>
    <row r="20" spans="1:43" x14ac:dyDescent="0.25">
      <c r="A20" s="1">
        <v>424445</v>
      </c>
      <c r="B20" s="1">
        <v>482911</v>
      </c>
      <c r="C20" s="1">
        <v>506261</v>
      </c>
      <c r="D20" s="1">
        <v>479943</v>
      </c>
      <c r="E20" s="1">
        <v>259236</v>
      </c>
      <c r="F20" s="1">
        <v>476783</v>
      </c>
      <c r="G20" s="1"/>
      <c r="H20" s="1"/>
      <c r="I20" s="1">
        <v>25600</v>
      </c>
      <c r="J20" s="1">
        <v>424610</v>
      </c>
      <c r="K20" s="1">
        <v>435727</v>
      </c>
      <c r="L20" s="1"/>
      <c r="M20" s="1">
        <v>14700</v>
      </c>
      <c r="N20" s="1">
        <v>496622</v>
      </c>
      <c r="O20" s="1">
        <v>489833</v>
      </c>
      <c r="P20" s="1">
        <v>448185</v>
      </c>
      <c r="Q20" s="1">
        <v>385408</v>
      </c>
      <c r="R20" s="1">
        <v>137808</v>
      </c>
      <c r="S20" s="1">
        <v>435353</v>
      </c>
      <c r="T20" s="1">
        <v>479833</v>
      </c>
      <c r="U20" s="1">
        <v>294023</v>
      </c>
      <c r="V20" s="1">
        <v>468002</v>
      </c>
      <c r="W20" s="1">
        <v>419483</v>
      </c>
      <c r="X20" s="1"/>
      <c r="Y20" s="1">
        <v>355698</v>
      </c>
      <c r="Z20" s="1"/>
      <c r="AA20" s="1">
        <v>456242</v>
      </c>
      <c r="AB20" s="1"/>
      <c r="AC20" s="1">
        <v>372184</v>
      </c>
      <c r="AD20" s="1">
        <v>479355</v>
      </c>
      <c r="AE20" s="1">
        <v>467186</v>
      </c>
      <c r="AF20" s="1"/>
      <c r="AG20" s="1"/>
      <c r="AH20" s="1">
        <v>276888</v>
      </c>
      <c r="AI20" s="1">
        <v>486398</v>
      </c>
      <c r="AJ20" s="1"/>
      <c r="AK20" s="1">
        <v>472324</v>
      </c>
      <c r="AL20" s="1">
        <v>461515</v>
      </c>
      <c r="AM20" s="1">
        <v>493073</v>
      </c>
      <c r="AN20" s="1"/>
      <c r="AO20" s="1">
        <v>451520</v>
      </c>
      <c r="AP20" s="1"/>
      <c r="AQ20" s="1"/>
    </row>
    <row r="21" spans="1:43" x14ac:dyDescent="0.25">
      <c r="A21" s="1">
        <v>453370</v>
      </c>
      <c r="B21" s="1">
        <v>13620</v>
      </c>
      <c r="C21" s="1">
        <v>491854</v>
      </c>
      <c r="D21" s="1"/>
      <c r="E21" s="1">
        <v>372778</v>
      </c>
      <c r="F21" s="1">
        <v>491895</v>
      </c>
      <c r="G21" s="1"/>
      <c r="H21" s="1"/>
      <c r="I21" s="1">
        <v>468003</v>
      </c>
      <c r="J21" s="1">
        <v>25600</v>
      </c>
      <c r="K21" s="1">
        <v>388324</v>
      </c>
      <c r="L21" s="1"/>
      <c r="M21" s="1">
        <v>483080</v>
      </c>
      <c r="N21" s="1">
        <v>455596</v>
      </c>
      <c r="O21" s="1">
        <v>393341</v>
      </c>
      <c r="P21" s="1">
        <v>394111</v>
      </c>
      <c r="Q21" s="1">
        <v>386660</v>
      </c>
      <c r="R21" s="1">
        <v>321045</v>
      </c>
      <c r="S21" s="1">
        <v>190283</v>
      </c>
      <c r="T21" s="1">
        <v>476849</v>
      </c>
      <c r="U21" s="1">
        <v>423887</v>
      </c>
      <c r="V21" s="1">
        <v>401297</v>
      </c>
      <c r="W21" s="1">
        <v>483338</v>
      </c>
      <c r="X21" s="1"/>
      <c r="Y21" s="1">
        <v>435460</v>
      </c>
      <c r="Z21" s="1"/>
      <c r="AA21" s="1">
        <v>414077</v>
      </c>
      <c r="AB21" s="1"/>
      <c r="AC21" s="1">
        <v>103064</v>
      </c>
      <c r="AD21" s="1">
        <v>479365</v>
      </c>
      <c r="AE21" s="1">
        <v>148434</v>
      </c>
      <c r="AF21" s="1"/>
      <c r="AG21" s="1"/>
      <c r="AH21" s="1">
        <v>263581</v>
      </c>
      <c r="AI21" s="1">
        <v>486401</v>
      </c>
      <c r="AJ21" s="1"/>
      <c r="AK21" s="1">
        <v>479130</v>
      </c>
      <c r="AL21" s="1">
        <v>477649</v>
      </c>
      <c r="AM21" s="1"/>
      <c r="AN21" s="1"/>
      <c r="AO21" s="1">
        <v>452106</v>
      </c>
      <c r="AP21" s="1"/>
      <c r="AQ21" s="1"/>
    </row>
    <row r="22" spans="1:43" x14ac:dyDescent="0.25">
      <c r="A22" s="1">
        <v>467240</v>
      </c>
      <c r="B22" s="1">
        <v>468038</v>
      </c>
      <c r="C22" s="1">
        <v>498198</v>
      </c>
      <c r="D22" s="1"/>
      <c r="E22" s="1">
        <v>392570</v>
      </c>
      <c r="F22" s="1">
        <v>381560</v>
      </c>
      <c r="G22" s="1"/>
      <c r="H22" s="1"/>
      <c r="I22" s="1">
        <v>44800</v>
      </c>
      <c r="J22" s="1">
        <v>381054</v>
      </c>
      <c r="K22" s="1">
        <v>430503</v>
      </c>
      <c r="L22" s="1"/>
      <c r="M22" s="1">
        <v>14700</v>
      </c>
      <c r="N22" s="1">
        <v>480089</v>
      </c>
      <c r="O22" s="1"/>
      <c r="P22" s="1">
        <v>490570</v>
      </c>
      <c r="Q22" s="1">
        <v>478591</v>
      </c>
      <c r="R22" s="1">
        <v>442115</v>
      </c>
      <c r="S22" s="1">
        <v>445644</v>
      </c>
      <c r="T22" s="1">
        <v>479832</v>
      </c>
      <c r="U22" s="1">
        <v>498127</v>
      </c>
      <c r="V22" s="1">
        <v>483999</v>
      </c>
      <c r="W22" s="1">
        <v>483347</v>
      </c>
      <c r="X22" s="1"/>
      <c r="Y22" s="1">
        <v>332843</v>
      </c>
      <c r="Z22" s="1"/>
      <c r="AA22" s="1">
        <v>447956</v>
      </c>
      <c r="AB22" s="1"/>
      <c r="AC22" s="1">
        <v>439881</v>
      </c>
      <c r="AD22" s="1">
        <v>457542</v>
      </c>
      <c r="AE22" s="1">
        <v>448755</v>
      </c>
      <c r="AF22" s="1"/>
      <c r="AG22" s="1"/>
      <c r="AH22" s="1">
        <v>263583</v>
      </c>
      <c r="AI22" s="1"/>
      <c r="AJ22" s="1"/>
      <c r="AK22" s="1">
        <v>372052</v>
      </c>
      <c r="AL22" s="1">
        <v>480258</v>
      </c>
      <c r="AM22" s="1"/>
      <c r="AN22" s="1"/>
      <c r="AO22" s="1">
        <v>452109</v>
      </c>
      <c r="AP22" s="1"/>
      <c r="AQ22" s="1"/>
    </row>
    <row r="23" spans="1:43" x14ac:dyDescent="0.25">
      <c r="A23" s="1">
        <v>455724</v>
      </c>
      <c r="B23" s="1">
        <v>13620</v>
      </c>
      <c r="C23" s="1">
        <v>474303</v>
      </c>
      <c r="D23" s="1"/>
      <c r="E23" s="1">
        <v>511281</v>
      </c>
      <c r="F23" s="1">
        <v>485658</v>
      </c>
      <c r="G23" s="1"/>
      <c r="H23" s="1"/>
      <c r="I23" s="1">
        <v>506961</v>
      </c>
      <c r="J23" s="1">
        <v>41600</v>
      </c>
      <c r="K23" s="1">
        <v>435728</v>
      </c>
      <c r="L23" s="1"/>
      <c r="M23" s="1">
        <v>150101</v>
      </c>
      <c r="N23" s="1">
        <v>468562</v>
      </c>
      <c r="O23" s="1"/>
      <c r="P23" s="1">
        <v>449995</v>
      </c>
      <c r="Q23" s="1">
        <v>497676</v>
      </c>
      <c r="R23" s="1">
        <v>432423</v>
      </c>
      <c r="S23" s="1">
        <v>189803</v>
      </c>
      <c r="T23" s="1">
        <v>476850</v>
      </c>
      <c r="U23" s="1">
        <v>86235</v>
      </c>
      <c r="V23" s="1">
        <v>442535</v>
      </c>
      <c r="W23" s="1">
        <v>467693</v>
      </c>
      <c r="X23" s="1"/>
      <c r="Y23" s="1">
        <v>228919</v>
      </c>
      <c r="Z23" s="1"/>
      <c r="AA23" s="1">
        <v>456241</v>
      </c>
      <c r="AB23" s="1"/>
      <c r="AC23" s="1">
        <v>470475</v>
      </c>
      <c r="AD23" s="1">
        <v>457612</v>
      </c>
      <c r="AE23" s="1">
        <v>200419</v>
      </c>
      <c r="AF23" s="1"/>
      <c r="AG23" s="1"/>
      <c r="AH23" s="1">
        <v>263582</v>
      </c>
      <c r="AI23" s="1"/>
      <c r="AJ23" s="1"/>
      <c r="AK23" s="1">
        <v>484841</v>
      </c>
      <c r="AL23" s="1">
        <v>482990</v>
      </c>
      <c r="AM23" s="1"/>
      <c r="AN23" s="1"/>
      <c r="AO23" s="1">
        <v>453743</v>
      </c>
      <c r="AP23" s="1"/>
      <c r="AQ23" s="1"/>
    </row>
    <row r="24" spans="1:43" x14ac:dyDescent="0.25">
      <c r="A24" s="1">
        <v>455723</v>
      </c>
      <c r="B24" s="1">
        <v>490371</v>
      </c>
      <c r="C24" s="1">
        <v>510235</v>
      </c>
      <c r="D24" s="1"/>
      <c r="E24" s="1">
        <v>383048</v>
      </c>
      <c r="F24" s="1">
        <v>506759</v>
      </c>
      <c r="G24" s="1"/>
      <c r="H24" s="1"/>
      <c r="I24" s="1">
        <v>21300</v>
      </c>
      <c r="J24" s="1">
        <v>401841</v>
      </c>
      <c r="K24" s="1">
        <v>479908</v>
      </c>
      <c r="L24" s="1"/>
      <c r="M24" s="1">
        <v>504925</v>
      </c>
      <c r="N24" s="1">
        <v>461940</v>
      </c>
      <c r="O24" s="1"/>
      <c r="P24" s="1">
        <v>449989</v>
      </c>
      <c r="Q24" s="1">
        <v>352435</v>
      </c>
      <c r="R24" s="1">
        <v>137571</v>
      </c>
      <c r="S24" s="1">
        <v>364038</v>
      </c>
      <c r="T24" s="1">
        <v>473584</v>
      </c>
      <c r="U24" s="1">
        <v>437382</v>
      </c>
      <c r="V24" s="1">
        <v>268255</v>
      </c>
      <c r="W24" s="1">
        <v>463061</v>
      </c>
      <c r="X24" s="1"/>
      <c r="Y24" s="1">
        <v>383118</v>
      </c>
      <c r="Z24" s="1"/>
      <c r="AA24" s="1">
        <v>439631</v>
      </c>
      <c r="AB24" s="1"/>
      <c r="AC24" s="1">
        <v>431236</v>
      </c>
      <c r="AD24" s="1">
        <v>457552</v>
      </c>
      <c r="AE24" s="1">
        <v>242011</v>
      </c>
      <c r="AF24" s="1"/>
      <c r="AG24" s="1"/>
      <c r="AH24" s="1">
        <v>263584</v>
      </c>
      <c r="AI24" s="1"/>
      <c r="AJ24" s="1"/>
      <c r="AK24" s="1">
        <v>19026</v>
      </c>
      <c r="AL24" s="1">
        <v>459898</v>
      </c>
      <c r="AM24" s="1"/>
      <c r="AN24" s="1"/>
      <c r="AO24" s="1">
        <v>477526</v>
      </c>
      <c r="AP24" s="1"/>
      <c r="AQ24" s="1"/>
    </row>
    <row r="25" spans="1:43" x14ac:dyDescent="0.25">
      <c r="A25" s="1">
        <v>455722</v>
      </c>
      <c r="B25" s="1">
        <v>13700</v>
      </c>
      <c r="C25" s="1">
        <v>497500</v>
      </c>
      <c r="D25" s="1"/>
      <c r="E25" s="1">
        <v>425042</v>
      </c>
      <c r="F25" s="1">
        <v>416991</v>
      </c>
      <c r="G25" s="1"/>
      <c r="H25" s="1"/>
      <c r="I25" s="1">
        <v>506960</v>
      </c>
      <c r="J25" s="1">
        <v>397194</v>
      </c>
      <c r="K25" s="1">
        <v>397634</v>
      </c>
      <c r="L25" s="1"/>
      <c r="M25" s="1">
        <v>14400</v>
      </c>
      <c r="N25" s="1">
        <v>498183</v>
      </c>
      <c r="O25" s="1"/>
      <c r="P25" s="1">
        <v>436086</v>
      </c>
      <c r="Q25" s="1">
        <v>492489</v>
      </c>
      <c r="R25" s="1">
        <v>434855</v>
      </c>
      <c r="S25" s="1">
        <v>423964</v>
      </c>
      <c r="T25" s="1">
        <v>479831</v>
      </c>
      <c r="U25" s="1">
        <v>439652</v>
      </c>
      <c r="V25" s="1">
        <v>468006</v>
      </c>
      <c r="W25" s="1">
        <v>359787</v>
      </c>
      <c r="X25" s="1"/>
      <c r="Y25" s="1">
        <v>408044</v>
      </c>
      <c r="Z25" s="1"/>
      <c r="AA25" s="1">
        <v>477331</v>
      </c>
      <c r="AB25" s="1"/>
      <c r="AC25" s="1">
        <v>409581</v>
      </c>
      <c r="AD25" s="1">
        <v>456803</v>
      </c>
      <c r="AE25" s="1">
        <v>215662</v>
      </c>
      <c r="AF25" s="1"/>
      <c r="AG25" s="1"/>
      <c r="AH25" s="1">
        <v>86236</v>
      </c>
      <c r="AI25" s="1"/>
      <c r="AJ25" s="1"/>
      <c r="AK25" s="1">
        <v>471402</v>
      </c>
      <c r="AL25" s="1"/>
      <c r="AM25" s="1"/>
      <c r="AN25" s="1"/>
      <c r="AO25" s="1">
        <v>473310</v>
      </c>
      <c r="AP25" s="1"/>
      <c r="AQ25" s="1"/>
    </row>
    <row r="26" spans="1:43" x14ac:dyDescent="0.25">
      <c r="A26" s="1">
        <v>427324</v>
      </c>
      <c r="B26" s="1">
        <v>13700</v>
      </c>
      <c r="C26" s="1">
        <v>487668</v>
      </c>
      <c r="D26" s="1"/>
      <c r="E26" s="1">
        <v>406971</v>
      </c>
      <c r="F26" s="1">
        <v>379635</v>
      </c>
      <c r="G26" s="1"/>
      <c r="H26" s="1"/>
      <c r="I26" s="1">
        <v>25600</v>
      </c>
      <c r="J26" s="1">
        <v>44800</v>
      </c>
      <c r="K26" s="1">
        <v>370095</v>
      </c>
      <c r="L26" s="1"/>
      <c r="M26" s="1">
        <v>483051</v>
      </c>
      <c r="N26" s="1">
        <v>482600</v>
      </c>
      <c r="O26" s="1"/>
      <c r="P26" s="1"/>
      <c r="Q26" s="1">
        <v>385522</v>
      </c>
      <c r="R26" s="1">
        <v>434856</v>
      </c>
      <c r="S26" s="1">
        <v>478257</v>
      </c>
      <c r="T26" s="1">
        <v>427328</v>
      </c>
      <c r="U26" s="1">
        <v>86237</v>
      </c>
      <c r="V26" s="1">
        <v>483989</v>
      </c>
      <c r="W26" s="1"/>
      <c r="X26" s="1"/>
      <c r="Y26" s="1">
        <v>487746</v>
      </c>
      <c r="Z26" s="1"/>
      <c r="AA26" s="1">
        <v>479947</v>
      </c>
      <c r="AB26" s="1"/>
      <c r="AC26" s="1">
        <v>484256</v>
      </c>
      <c r="AD26" s="1">
        <v>479363</v>
      </c>
      <c r="AE26" s="1">
        <v>173456</v>
      </c>
      <c r="AF26" s="1"/>
      <c r="AG26" s="1"/>
      <c r="AH26" s="1">
        <v>86241</v>
      </c>
      <c r="AI26" s="1"/>
      <c r="AJ26" s="1"/>
      <c r="AK26" s="1">
        <v>484866</v>
      </c>
      <c r="AL26" s="1"/>
      <c r="AM26" s="1"/>
      <c r="AN26" s="1"/>
      <c r="AO26" s="1">
        <v>479907</v>
      </c>
      <c r="AP26" s="1"/>
      <c r="AQ26" s="1"/>
    </row>
    <row r="27" spans="1:43" x14ac:dyDescent="0.25">
      <c r="A27" s="1">
        <v>104932</v>
      </c>
      <c r="B27" s="1">
        <v>482910</v>
      </c>
      <c r="C27" s="1">
        <v>480389</v>
      </c>
      <c r="D27" s="1"/>
      <c r="E27" s="1">
        <v>480573</v>
      </c>
      <c r="F27" s="1">
        <v>452111</v>
      </c>
      <c r="G27" s="1"/>
      <c r="H27" s="1"/>
      <c r="I27" s="1">
        <v>387130</v>
      </c>
      <c r="J27" s="1">
        <v>462261</v>
      </c>
      <c r="K27" s="1">
        <v>70256</v>
      </c>
      <c r="L27" s="1"/>
      <c r="M27" s="1">
        <v>488258</v>
      </c>
      <c r="N27" s="1">
        <v>488649</v>
      </c>
      <c r="O27" s="1"/>
      <c r="P27" s="1"/>
      <c r="Q27" s="1">
        <v>491044</v>
      </c>
      <c r="R27" s="1">
        <v>310119</v>
      </c>
      <c r="S27" s="1">
        <v>441156</v>
      </c>
      <c r="T27" s="1">
        <v>420255</v>
      </c>
      <c r="U27" s="1">
        <v>86236</v>
      </c>
      <c r="V27" s="1">
        <v>483400</v>
      </c>
      <c r="W27" s="1"/>
      <c r="X27" s="1"/>
      <c r="Y27" s="1">
        <v>390727</v>
      </c>
      <c r="Z27" s="1"/>
      <c r="AA27" s="1">
        <v>477332</v>
      </c>
      <c r="AB27" s="1"/>
      <c r="AC27" s="1">
        <v>422181</v>
      </c>
      <c r="AD27" s="1">
        <v>479369</v>
      </c>
      <c r="AE27" s="1">
        <v>483377</v>
      </c>
      <c r="AF27" s="1"/>
      <c r="AG27" s="1"/>
      <c r="AH27" s="1">
        <v>86237</v>
      </c>
      <c r="AI27" s="1"/>
      <c r="AJ27" s="1"/>
      <c r="AK27" s="1">
        <v>241674</v>
      </c>
      <c r="AL27" s="1"/>
      <c r="AM27" s="1"/>
      <c r="AN27" s="1"/>
      <c r="AO27" s="1">
        <v>489485</v>
      </c>
      <c r="AP27" s="1"/>
      <c r="AQ27" s="1"/>
    </row>
    <row r="28" spans="1:43" x14ac:dyDescent="0.25">
      <c r="A28" s="1">
        <v>168571</v>
      </c>
      <c r="B28" s="1">
        <v>342686</v>
      </c>
      <c r="C28" s="1">
        <v>487682</v>
      </c>
      <c r="D28" s="1"/>
      <c r="E28" s="1">
        <v>488965</v>
      </c>
      <c r="F28" s="1">
        <v>485659</v>
      </c>
      <c r="G28" s="1"/>
      <c r="H28" s="1"/>
      <c r="I28" s="1">
        <v>25600</v>
      </c>
      <c r="J28" s="1">
        <v>44800</v>
      </c>
      <c r="K28" s="1">
        <v>419668</v>
      </c>
      <c r="L28" s="1"/>
      <c r="M28" s="1">
        <v>50010</v>
      </c>
      <c r="N28" s="1">
        <v>475813</v>
      </c>
      <c r="O28" s="1"/>
      <c r="P28" s="1"/>
      <c r="Q28" s="1">
        <v>107417</v>
      </c>
      <c r="R28" s="1">
        <v>212075</v>
      </c>
      <c r="S28" s="1">
        <v>190303</v>
      </c>
      <c r="T28" s="1">
        <v>477526</v>
      </c>
      <c r="U28" s="1">
        <v>316244</v>
      </c>
      <c r="V28" s="1">
        <v>401296</v>
      </c>
      <c r="W28" s="1"/>
      <c r="X28" s="1"/>
      <c r="Y28" s="1">
        <v>435037</v>
      </c>
      <c r="Z28" s="1"/>
      <c r="AA28" s="1">
        <v>436408</v>
      </c>
      <c r="AB28" s="1"/>
      <c r="AC28" s="1"/>
      <c r="AD28" s="1"/>
      <c r="AE28" s="1">
        <v>139282</v>
      </c>
      <c r="AF28" s="1"/>
      <c r="AG28" s="1"/>
      <c r="AH28" s="1">
        <v>86235</v>
      </c>
      <c r="AI28" s="1"/>
      <c r="AJ28" s="1"/>
      <c r="AK28" s="1">
        <v>469236</v>
      </c>
      <c r="AL28" s="1"/>
      <c r="AM28" s="1"/>
      <c r="AN28" s="1"/>
      <c r="AO28" s="1">
        <v>370420</v>
      </c>
      <c r="AP28" s="1"/>
      <c r="AQ28" s="1"/>
    </row>
    <row r="29" spans="1:43" x14ac:dyDescent="0.25">
      <c r="A29" s="1">
        <v>257485</v>
      </c>
      <c r="B29" s="1">
        <v>508966</v>
      </c>
      <c r="C29" s="1">
        <v>489081</v>
      </c>
      <c r="D29" s="1"/>
      <c r="E29" s="1">
        <v>417367</v>
      </c>
      <c r="F29" s="1">
        <v>405497</v>
      </c>
      <c r="G29" s="1"/>
      <c r="H29" s="1"/>
      <c r="I29" s="1">
        <v>463001</v>
      </c>
      <c r="J29" s="1">
        <v>454577</v>
      </c>
      <c r="K29" s="1">
        <v>489180</v>
      </c>
      <c r="L29" s="1"/>
      <c r="M29" s="1">
        <v>488907</v>
      </c>
      <c r="N29" s="1">
        <v>481547</v>
      </c>
      <c r="O29" s="1"/>
      <c r="P29" s="1"/>
      <c r="Q29" s="1">
        <v>387225</v>
      </c>
      <c r="R29" s="1">
        <v>73346</v>
      </c>
      <c r="S29" s="1">
        <v>416296</v>
      </c>
      <c r="T29" s="1">
        <v>468737</v>
      </c>
      <c r="U29" s="1">
        <v>274191</v>
      </c>
      <c r="V29" s="1">
        <v>452732</v>
      </c>
      <c r="W29" s="1"/>
      <c r="X29" s="1"/>
      <c r="Y29" s="1">
        <v>364137</v>
      </c>
      <c r="Z29" s="1"/>
      <c r="AA29" s="1">
        <v>475914</v>
      </c>
      <c r="AB29" s="1"/>
      <c r="AC29" s="1"/>
      <c r="AD29" s="1"/>
      <c r="AE29" s="1">
        <v>147683</v>
      </c>
      <c r="AF29" s="1"/>
      <c r="AG29" s="1"/>
      <c r="AH29" s="1">
        <v>86240</v>
      </c>
      <c r="AI29" s="1"/>
      <c r="AJ29" s="1"/>
      <c r="AK29" s="1">
        <v>72572</v>
      </c>
      <c r="AL29" s="1"/>
      <c r="AM29" s="1"/>
      <c r="AN29" s="1"/>
      <c r="AO29" s="1">
        <v>475935</v>
      </c>
      <c r="AP29" s="1"/>
      <c r="AQ29" s="1"/>
    </row>
    <row r="30" spans="1:43" x14ac:dyDescent="0.25">
      <c r="A30" s="1">
        <v>365437</v>
      </c>
      <c r="B30" s="1">
        <v>13620</v>
      </c>
      <c r="C30" s="1">
        <v>489140</v>
      </c>
      <c r="D30" s="1"/>
      <c r="E30" s="1">
        <v>417368</v>
      </c>
      <c r="F30" s="1">
        <v>383316</v>
      </c>
      <c r="G30" s="1"/>
      <c r="H30" s="1"/>
      <c r="I30" s="1">
        <v>44800</v>
      </c>
      <c r="J30" s="1">
        <v>48000</v>
      </c>
      <c r="K30" s="1">
        <v>435730</v>
      </c>
      <c r="L30" s="1"/>
      <c r="M30" s="1">
        <v>50010</v>
      </c>
      <c r="N30" s="1">
        <v>475741</v>
      </c>
      <c r="O30" s="1"/>
      <c r="P30" s="1"/>
      <c r="Q30" s="1">
        <v>320251</v>
      </c>
      <c r="R30" s="1">
        <v>214496</v>
      </c>
      <c r="S30" s="1">
        <v>445645</v>
      </c>
      <c r="T30" s="1">
        <v>20850</v>
      </c>
      <c r="U30" s="1">
        <v>467887</v>
      </c>
      <c r="V30" s="1">
        <v>323288</v>
      </c>
      <c r="W30" s="1"/>
      <c r="X30" s="1"/>
      <c r="Y30" s="1">
        <v>461909</v>
      </c>
      <c r="Z30" s="1"/>
      <c r="AA30" s="1">
        <v>477345</v>
      </c>
      <c r="AB30" s="1"/>
      <c r="AC30" s="1"/>
      <c r="AD30" s="1"/>
      <c r="AE30" s="1">
        <v>356710</v>
      </c>
      <c r="AF30" s="1"/>
      <c r="AG30" s="1"/>
      <c r="AH30" s="1">
        <v>399077</v>
      </c>
      <c r="AI30" s="1"/>
      <c r="AJ30" s="1"/>
      <c r="AK30" s="1">
        <v>437142</v>
      </c>
      <c r="AL30" s="1"/>
      <c r="AM30" s="1"/>
      <c r="AN30" s="1"/>
      <c r="AO30" s="1">
        <v>455724</v>
      </c>
      <c r="AP30" s="1"/>
      <c r="AQ30" s="1"/>
    </row>
    <row r="31" spans="1:43" x14ac:dyDescent="0.25">
      <c r="A31" s="1">
        <v>473410</v>
      </c>
      <c r="B31" s="1">
        <v>13620</v>
      </c>
      <c r="C31" s="1">
        <v>488347</v>
      </c>
      <c r="D31" s="1"/>
      <c r="E31" s="1">
        <v>417369</v>
      </c>
      <c r="F31" s="1">
        <v>401435</v>
      </c>
      <c r="G31" s="1"/>
      <c r="H31" s="1"/>
      <c r="I31" s="1">
        <v>388193</v>
      </c>
      <c r="J31" s="1">
        <v>415120</v>
      </c>
      <c r="K31" s="1">
        <v>430504</v>
      </c>
      <c r="L31" s="1"/>
      <c r="M31" s="1">
        <v>462532</v>
      </c>
      <c r="N31" s="1">
        <v>474345</v>
      </c>
      <c r="O31" s="1"/>
      <c r="P31" s="1"/>
      <c r="Q31" s="1">
        <v>435757</v>
      </c>
      <c r="R31" s="1">
        <v>342806</v>
      </c>
      <c r="S31" s="1">
        <v>364034</v>
      </c>
      <c r="T31" s="1">
        <v>469029</v>
      </c>
      <c r="U31" s="1">
        <v>485320</v>
      </c>
      <c r="V31" s="1">
        <v>442536</v>
      </c>
      <c r="W31" s="1"/>
      <c r="X31" s="1"/>
      <c r="Y31" s="1">
        <v>378389</v>
      </c>
      <c r="Z31" s="1"/>
      <c r="AA31" s="1">
        <v>471811</v>
      </c>
      <c r="AB31" s="1"/>
      <c r="AC31" s="1"/>
      <c r="AD31" s="1"/>
      <c r="AE31" s="1">
        <v>147685</v>
      </c>
      <c r="AF31" s="1"/>
      <c r="AG31" s="1"/>
      <c r="AH31" s="1">
        <v>399075</v>
      </c>
      <c r="AI31" s="1"/>
      <c r="AJ31" s="1"/>
      <c r="AK31" s="1">
        <v>483854</v>
      </c>
      <c r="AL31" s="1"/>
      <c r="AM31" s="1"/>
      <c r="AN31" s="1"/>
      <c r="AO31" s="1">
        <v>455723</v>
      </c>
      <c r="AP31" s="1"/>
      <c r="AQ31" s="1"/>
    </row>
    <row r="32" spans="1:43" x14ac:dyDescent="0.25">
      <c r="A32" s="1">
        <v>361634</v>
      </c>
      <c r="B32" s="1">
        <v>342685</v>
      </c>
      <c r="C32" s="1">
        <v>483201</v>
      </c>
      <c r="D32" s="1"/>
      <c r="E32" s="1">
        <v>417370</v>
      </c>
      <c r="F32" s="1">
        <v>491897</v>
      </c>
      <c r="G32" s="1"/>
      <c r="H32" s="1"/>
      <c r="I32" s="1">
        <v>25600</v>
      </c>
      <c r="J32" s="1">
        <v>454579</v>
      </c>
      <c r="K32" s="1">
        <v>480957</v>
      </c>
      <c r="L32" s="1"/>
      <c r="M32" s="1">
        <v>13620</v>
      </c>
      <c r="N32" s="1">
        <v>479115</v>
      </c>
      <c r="O32" s="1"/>
      <c r="P32" s="1"/>
      <c r="Q32" s="1">
        <v>483717</v>
      </c>
      <c r="R32" s="1">
        <v>422975</v>
      </c>
      <c r="S32" s="1">
        <v>403609</v>
      </c>
      <c r="T32" s="1">
        <v>56888</v>
      </c>
      <c r="U32" s="1">
        <v>485321</v>
      </c>
      <c r="V32" s="1">
        <v>374082</v>
      </c>
      <c r="W32" s="1"/>
      <c r="X32" s="1"/>
      <c r="Y32" s="1">
        <v>277264</v>
      </c>
      <c r="Z32" s="1"/>
      <c r="AA32" s="1">
        <v>421977</v>
      </c>
      <c r="AB32" s="1"/>
      <c r="AC32" s="1"/>
      <c r="AD32" s="1"/>
      <c r="AE32" s="1">
        <v>352373</v>
      </c>
      <c r="AF32" s="1"/>
      <c r="AG32" s="1"/>
      <c r="AH32" s="1">
        <v>399078</v>
      </c>
      <c r="AI32" s="1"/>
      <c r="AJ32" s="1"/>
      <c r="AK32" s="1">
        <v>251320</v>
      </c>
      <c r="AL32" s="1"/>
      <c r="AM32" s="1"/>
      <c r="AN32" s="1"/>
      <c r="AO32" s="1">
        <v>473432</v>
      </c>
      <c r="AP32" s="1"/>
      <c r="AQ32" s="1"/>
    </row>
    <row r="33" spans="1:43" x14ac:dyDescent="0.25">
      <c r="A33" s="1">
        <v>479889</v>
      </c>
      <c r="B33" s="1">
        <v>508967</v>
      </c>
      <c r="C33" s="1">
        <v>444894</v>
      </c>
      <c r="D33" s="1"/>
      <c r="E33" s="1">
        <v>417371</v>
      </c>
      <c r="F33" s="1">
        <v>476784</v>
      </c>
      <c r="G33" s="1"/>
      <c r="H33" s="1"/>
      <c r="I33" s="1">
        <v>408840</v>
      </c>
      <c r="J33" s="1">
        <v>48000</v>
      </c>
      <c r="K33" s="1">
        <v>479910</v>
      </c>
      <c r="L33" s="1"/>
      <c r="M33" s="1">
        <v>468584</v>
      </c>
      <c r="N33" s="1">
        <v>467929</v>
      </c>
      <c r="O33" s="1"/>
      <c r="P33" s="1"/>
      <c r="Q33" s="1">
        <v>467315</v>
      </c>
      <c r="R33" s="1">
        <v>422976</v>
      </c>
      <c r="S33" s="1">
        <v>478136</v>
      </c>
      <c r="T33" s="1">
        <v>493070</v>
      </c>
      <c r="U33" s="1">
        <v>491478</v>
      </c>
      <c r="V33" s="1">
        <v>476990</v>
      </c>
      <c r="W33" s="1"/>
      <c r="X33" s="1"/>
      <c r="Y33" s="1">
        <v>308119</v>
      </c>
      <c r="Z33" s="1"/>
      <c r="AA33" s="1">
        <v>354055</v>
      </c>
      <c r="AB33" s="1"/>
      <c r="AC33" s="1"/>
      <c r="AD33" s="1"/>
      <c r="AE33" s="1">
        <v>338878</v>
      </c>
      <c r="AF33" s="1"/>
      <c r="AG33" s="1"/>
      <c r="AH33" s="1">
        <v>399076</v>
      </c>
      <c r="AI33" s="1"/>
      <c r="AJ33" s="1"/>
      <c r="AK33" s="1">
        <v>437143</v>
      </c>
      <c r="AL33" s="1"/>
      <c r="AM33" s="1"/>
      <c r="AN33" s="1"/>
      <c r="AO33" s="1">
        <v>424101</v>
      </c>
      <c r="AP33" s="1"/>
      <c r="AQ33" s="1"/>
    </row>
    <row r="34" spans="1:43" x14ac:dyDescent="0.25">
      <c r="A34" s="1">
        <v>432068</v>
      </c>
      <c r="B34" s="1">
        <v>13620</v>
      </c>
      <c r="C34" s="1">
        <v>478497</v>
      </c>
      <c r="D34" s="1"/>
      <c r="E34" s="1"/>
      <c r="F34" s="1">
        <v>478220</v>
      </c>
      <c r="G34" s="1"/>
      <c r="H34" s="1"/>
      <c r="I34" s="1">
        <v>25600</v>
      </c>
      <c r="J34" s="1">
        <v>454580</v>
      </c>
      <c r="K34" s="1">
        <v>435731</v>
      </c>
      <c r="L34" s="1"/>
      <c r="M34" s="1">
        <v>483790</v>
      </c>
      <c r="N34" s="1">
        <v>458867</v>
      </c>
      <c r="O34" s="1"/>
      <c r="P34" s="1"/>
      <c r="Q34" s="1">
        <v>247641</v>
      </c>
      <c r="R34" s="1">
        <v>455432</v>
      </c>
      <c r="S34" s="1">
        <v>352969</v>
      </c>
      <c r="T34" s="1">
        <v>20863</v>
      </c>
      <c r="U34" s="1">
        <v>419689</v>
      </c>
      <c r="V34" s="1">
        <v>464345</v>
      </c>
      <c r="W34" s="1"/>
      <c r="X34" s="1"/>
      <c r="Y34" s="1">
        <v>401158</v>
      </c>
      <c r="Z34" s="1"/>
      <c r="AA34" s="1">
        <v>473838</v>
      </c>
      <c r="AB34" s="1"/>
      <c r="AC34" s="1"/>
      <c r="AD34" s="1"/>
      <c r="AE34" s="1">
        <v>440174</v>
      </c>
      <c r="AF34" s="1"/>
      <c r="AG34" s="1"/>
      <c r="AH34" s="1">
        <v>36031</v>
      </c>
      <c r="AI34" s="1"/>
      <c r="AJ34" s="1"/>
      <c r="AK34" s="1">
        <v>457266</v>
      </c>
      <c r="AL34" s="1"/>
      <c r="AM34" s="1"/>
      <c r="AN34" s="1"/>
      <c r="AO34" s="1">
        <v>453370</v>
      </c>
      <c r="AP34" s="1"/>
      <c r="AQ34" s="1"/>
    </row>
    <row r="35" spans="1:43" x14ac:dyDescent="0.25">
      <c r="A35" s="1">
        <v>432071</v>
      </c>
      <c r="B35" s="1">
        <v>13620</v>
      </c>
      <c r="C35" s="1">
        <v>476638</v>
      </c>
      <c r="D35" s="1"/>
      <c r="E35" s="1"/>
      <c r="F35" s="1">
        <v>416992</v>
      </c>
      <c r="G35" s="1"/>
      <c r="H35" s="1"/>
      <c r="I35" s="1">
        <v>430751</v>
      </c>
      <c r="J35" s="1">
        <v>48000</v>
      </c>
      <c r="K35" s="1">
        <v>480959</v>
      </c>
      <c r="L35" s="1"/>
      <c r="M35" s="1">
        <v>914900</v>
      </c>
      <c r="N35" s="1">
        <v>424972</v>
      </c>
      <c r="O35" s="1"/>
      <c r="P35" s="1"/>
      <c r="Q35" s="1">
        <v>373172</v>
      </c>
      <c r="R35" s="1">
        <v>422977</v>
      </c>
      <c r="S35" s="1">
        <v>190304</v>
      </c>
      <c r="T35" s="1">
        <v>389402</v>
      </c>
      <c r="U35" s="1">
        <v>477937</v>
      </c>
      <c r="V35" s="1">
        <v>480297</v>
      </c>
      <c r="W35" s="1"/>
      <c r="X35" s="1"/>
      <c r="Y35" s="1">
        <v>364136</v>
      </c>
      <c r="Z35" s="1"/>
      <c r="AA35" s="1">
        <v>407473</v>
      </c>
      <c r="AB35" s="1"/>
      <c r="AC35" s="1"/>
      <c r="AD35" s="1"/>
      <c r="AE35" s="1">
        <v>411619</v>
      </c>
      <c r="AF35" s="1"/>
      <c r="AG35" s="1"/>
      <c r="AH35" s="1">
        <v>358920</v>
      </c>
      <c r="AI35" s="1"/>
      <c r="AJ35" s="1"/>
      <c r="AK35" s="1">
        <v>469237</v>
      </c>
      <c r="AL35" s="1"/>
      <c r="AM35" s="1"/>
      <c r="AN35" s="1"/>
      <c r="AO35" s="1"/>
      <c r="AP35" s="1"/>
      <c r="AQ35" s="1"/>
    </row>
    <row r="36" spans="1:43" x14ac:dyDescent="0.25">
      <c r="A36" s="1">
        <v>432076</v>
      </c>
      <c r="B36" s="1">
        <v>475873</v>
      </c>
      <c r="C36" s="1">
        <v>495590</v>
      </c>
      <c r="D36" s="1"/>
      <c r="E36" s="1"/>
      <c r="F36" s="1">
        <v>452113</v>
      </c>
      <c r="G36" s="1"/>
      <c r="H36" s="1"/>
      <c r="I36" s="1">
        <v>44800</v>
      </c>
      <c r="J36" s="1">
        <v>426495</v>
      </c>
      <c r="K36" s="1"/>
      <c r="L36" s="1"/>
      <c r="M36" s="1">
        <v>431139</v>
      </c>
      <c r="N36" s="1">
        <v>446402</v>
      </c>
      <c r="O36" s="1"/>
      <c r="P36" s="1"/>
      <c r="Q36" s="1">
        <v>431693</v>
      </c>
      <c r="R36" s="1">
        <v>447251</v>
      </c>
      <c r="S36" s="1">
        <v>190278</v>
      </c>
      <c r="T36" s="1">
        <v>74265</v>
      </c>
      <c r="U36" s="1">
        <v>483298</v>
      </c>
      <c r="V36" s="1">
        <v>309282</v>
      </c>
      <c r="W36" s="1"/>
      <c r="X36" s="1"/>
      <c r="Y36" s="1">
        <v>425317</v>
      </c>
      <c r="Z36" s="1"/>
      <c r="AA36" s="1">
        <v>447946</v>
      </c>
      <c r="AB36" s="1"/>
      <c r="AC36" s="1"/>
      <c r="AD36" s="1"/>
      <c r="AE36" s="1">
        <v>215964</v>
      </c>
      <c r="AF36" s="1"/>
      <c r="AG36" s="1"/>
      <c r="AH36" s="1">
        <v>361816</v>
      </c>
      <c r="AI36" s="1"/>
      <c r="AJ36" s="1"/>
      <c r="AK36" s="1">
        <v>484867</v>
      </c>
      <c r="AL36" s="1"/>
      <c r="AM36" s="1"/>
      <c r="AN36" s="1"/>
      <c r="AO36" s="1"/>
      <c r="AP36" s="1"/>
      <c r="AQ36" s="1"/>
    </row>
    <row r="37" spans="1:43" x14ac:dyDescent="0.25">
      <c r="A37" s="1">
        <v>432079</v>
      </c>
      <c r="B37" s="1">
        <v>14650</v>
      </c>
      <c r="C37" s="1">
        <v>487687</v>
      </c>
      <c r="D37" s="1"/>
      <c r="E37" s="1"/>
      <c r="F37" s="1">
        <v>405498</v>
      </c>
      <c r="G37" s="1"/>
      <c r="H37" s="1"/>
      <c r="I37" s="1">
        <v>431030</v>
      </c>
      <c r="J37" s="1">
        <v>25600</v>
      </c>
      <c r="K37" s="1"/>
      <c r="L37" s="1"/>
      <c r="M37" s="1">
        <v>13500</v>
      </c>
      <c r="N37" s="1">
        <v>489072</v>
      </c>
      <c r="O37" s="1"/>
      <c r="P37" s="1"/>
      <c r="Q37" s="1">
        <v>412286</v>
      </c>
      <c r="R37" s="1">
        <v>354199</v>
      </c>
      <c r="S37" s="1">
        <v>441361</v>
      </c>
      <c r="T37" s="1">
        <v>442459</v>
      </c>
      <c r="U37" s="1">
        <v>471704</v>
      </c>
      <c r="V37" s="1">
        <v>365471</v>
      </c>
      <c r="W37" s="1"/>
      <c r="X37" s="1"/>
      <c r="Y37" s="1">
        <v>450428</v>
      </c>
      <c r="Z37" s="1"/>
      <c r="AA37" s="1">
        <v>453787</v>
      </c>
      <c r="AB37" s="1"/>
      <c r="AC37" s="1"/>
      <c r="AD37" s="1"/>
      <c r="AE37" s="1">
        <v>467176</v>
      </c>
      <c r="AF37" s="1"/>
      <c r="AG37" s="1"/>
      <c r="AH37" s="1">
        <v>361817</v>
      </c>
      <c r="AI37" s="1"/>
      <c r="AJ37" s="1"/>
      <c r="AK37" s="1">
        <v>476501</v>
      </c>
      <c r="AL37" s="1"/>
      <c r="AM37" s="1"/>
      <c r="AN37" s="1"/>
      <c r="AO37" s="1"/>
      <c r="AP37" s="1"/>
      <c r="AQ37" s="1"/>
    </row>
    <row r="38" spans="1:43" x14ac:dyDescent="0.25">
      <c r="A38" s="1"/>
      <c r="B38" s="1">
        <v>491151</v>
      </c>
      <c r="C38" s="1">
        <v>470601</v>
      </c>
      <c r="D38" s="1"/>
      <c r="E38" s="1"/>
      <c r="F38" s="1">
        <v>489161</v>
      </c>
      <c r="G38" s="1"/>
      <c r="H38" s="1"/>
      <c r="I38" s="1">
        <v>44800</v>
      </c>
      <c r="J38" s="1">
        <v>462262</v>
      </c>
      <c r="K38" s="1"/>
      <c r="L38" s="1"/>
      <c r="M38" s="1">
        <v>499531</v>
      </c>
      <c r="N38" s="1">
        <v>434063</v>
      </c>
      <c r="O38" s="1"/>
      <c r="P38" s="1"/>
      <c r="Q38" s="1">
        <v>308812</v>
      </c>
      <c r="R38" s="1">
        <v>484981</v>
      </c>
      <c r="S38" s="1">
        <v>360609</v>
      </c>
      <c r="T38" s="1">
        <v>20849</v>
      </c>
      <c r="U38" s="1"/>
      <c r="V38" s="1">
        <v>456019</v>
      </c>
      <c r="W38" s="1"/>
      <c r="X38" s="1"/>
      <c r="Y38" s="1">
        <v>425316</v>
      </c>
      <c r="Z38" s="1"/>
      <c r="AA38" s="1">
        <v>476888</v>
      </c>
      <c r="AB38" s="1"/>
      <c r="AC38" s="1"/>
      <c r="AD38" s="1"/>
      <c r="AE38" s="1">
        <v>241121</v>
      </c>
      <c r="AF38" s="1"/>
      <c r="AG38" s="1"/>
      <c r="AH38" s="1">
        <v>143663</v>
      </c>
      <c r="AI38" s="1"/>
      <c r="AJ38" s="1"/>
      <c r="AK38" s="1">
        <v>484868</v>
      </c>
      <c r="AL38" s="1"/>
      <c r="AM38" s="1"/>
      <c r="AN38" s="1"/>
      <c r="AO38" s="1"/>
      <c r="AP38" s="1"/>
      <c r="AQ38" s="1"/>
    </row>
    <row r="39" spans="1:43" x14ac:dyDescent="0.25">
      <c r="A39" s="1">
        <v>477432</v>
      </c>
      <c r="B39" s="1">
        <v>90910</v>
      </c>
      <c r="C39" s="1">
        <v>483194</v>
      </c>
      <c r="D39" s="1"/>
      <c r="E39" s="1"/>
      <c r="F39" s="1">
        <v>478221</v>
      </c>
      <c r="G39" s="1"/>
      <c r="H39" s="1"/>
      <c r="I39" s="1">
        <v>443814</v>
      </c>
      <c r="J39" s="1">
        <v>44800</v>
      </c>
      <c r="K39" s="1"/>
      <c r="L39" s="1"/>
      <c r="M39" s="1">
        <v>12400</v>
      </c>
      <c r="N39" s="1">
        <v>389120</v>
      </c>
      <c r="O39" s="1"/>
      <c r="P39" s="1"/>
      <c r="Q39" s="1">
        <v>158087</v>
      </c>
      <c r="R39" s="1">
        <v>440795</v>
      </c>
      <c r="S39" s="1">
        <v>167003</v>
      </c>
      <c r="T39" s="1">
        <v>401355</v>
      </c>
      <c r="U39" s="1"/>
      <c r="V39" s="1">
        <v>480300</v>
      </c>
      <c r="W39" s="1"/>
      <c r="X39" s="1"/>
      <c r="Y39" s="1">
        <v>443349</v>
      </c>
      <c r="Z39" s="1"/>
      <c r="AA39" s="1">
        <v>425898</v>
      </c>
      <c r="AB39" s="1"/>
      <c r="AC39" s="1"/>
      <c r="AD39" s="1"/>
      <c r="AE39" s="1">
        <v>467185</v>
      </c>
      <c r="AF39" s="1"/>
      <c r="AG39" s="1"/>
      <c r="AH39" s="1">
        <v>349326</v>
      </c>
      <c r="AI39" s="1"/>
      <c r="AJ39" s="1"/>
      <c r="AK39" s="1">
        <v>21697</v>
      </c>
      <c r="AL39" s="1"/>
      <c r="AM39" s="1"/>
      <c r="AN39" s="1"/>
      <c r="AO39" s="1"/>
      <c r="AP39" s="1"/>
      <c r="AQ39" s="1"/>
    </row>
    <row r="40" spans="1:43" x14ac:dyDescent="0.25">
      <c r="A40" s="1">
        <v>332518</v>
      </c>
      <c r="B40" s="1">
        <v>90910</v>
      </c>
      <c r="C40" s="1">
        <v>487688</v>
      </c>
      <c r="D40" s="1"/>
      <c r="E40" s="1"/>
      <c r="F40" s="1">
        <v>383317</v>
      </c>
      <c r="G40" s="1"/>
      <c r="H40" s="1"/>
      <c r="I40" s="1">
        <v>44800</v>
      </c>
      <c r="J40" s="1">
        <v>430017</v>
      </c>
      <c r="K40" s="1"/>
      <c r="L40" s="1"/>
      <c r="M40" s="1">
        <v>483053</v>
      </c>
      <c r="N40" s="1">
        <v>486181</v>
      </c>
      <c r="O40" s="1"/>
      <c r="P40" s="1"/>
      <c r="Q40" s="1">
        <v>438929</v>
      </c>
      <c r="R40" s="1">
        <v>440794</v>
      </c>
      <c r="S40" s="1">
        <v>146157</v>
      </c>
      <c r="T40" s="1">
        <v>88833</v>
      </c>
      <c r="U40" s="1"/>
      <c r="V40" s="1">
        <v>483399</v>
      </c>
      <c r="W40" s="1"/>
      <c r="X40" s="1"/>
      <c r="Y40" s="1">
        <v>486503</v>
      </c>
      <c r="Z40" s="1"/>
      <c r="AA40" s="1">
        <v>456576</v>
      </c>
      <c r="AB40" s="1"/>
      <c r="AC40" s="1"/>
      <c r="AD40" s="1"/>
      <c r="AE40" s="1">
        <v>356607</v>
      </c>
      <c r="AF40" s="1"/>
      <c r="AG40" s="1"/>
      <c r="AH40" s="1">
        <v>349327</v>
      </c>
      <c r="AI40" s="1"/>
      <c r="AJ40" s="1"/>
      <c r="AK40" s="1">
        <v>362083</v>
      </c>
      <c r="AL40" s="1"/>
      <c r="AM40" s="1"/>
      <c r="AN40" s="1"/>
      <c r="AO40" s="1"/>
      <c r="AP40" s="1"/>
      <c r="AQ40" s="1"/>
    </row>
    <row r="41" spans="1:43" x14ac:dyDescent="0.25">
      <c r="A41" s="1">
        <v>414834</v>
      </c>
      <c r="B41" s="1">
        <v>452972</v>
      </c>
      <c r="C41" s="1">
        <v>463230</v>
      </c>
      <c r="D41" s="1"/>
      <c r="E41" s="1"/>
      <c r="F41" s="1">
        <v>426745</v>
      </c>
      <c r="G41" s="1"/>
      <c r="H41" s="1"/>
      <c r="I41" s="1">
        <v>437496</v>
      </c>
      <c r="J41" s="1">
        <v>44800</v>
      </c>
      <c r="K41" s="1"/>
      <c r="L41" s="1"/>
      <c r="M41" s="1">
        <v>488255</v>
      </c>
      <c r="N41" s="1">
        <v>489082</v>
      </c>
      <c r="O41" s="1"/>
      <c r="P41" s="1"/>
      <c r="Q41" s="1">
        <v>291395</v>
      </c>
      <c r="R41" s="1">
        <v>440799</v>
      </c>
      <c r="S41" s="1">
        <v>439652</v>
      </c>
      <c r="T41" s="1">
        <v>488499</v>
      </c>
      <c r="U41" s="1"/>
      <c r="V41" s="1">
        <v>388763</v>
      </c>
      <c r="W41" s="1"/>
      <c r="X41" s="1"/>
      <c r="Y41" s="1">
        <v>383120</v>
      </c>
      <c r="Z41" s="1"/>
      <c r="AA41" s="1">
        <v>448222</v>
      </c>
      <c r="AB41" s="1"/>
      <c r="AC41" s="1"/>
      <c r="AD41" s="1"/>
      <c r="AE41" s="1">
        <v>185606</v>
      </c>
      <c r="AF41" s="1"/>
      <c r="AG41" s="1"/>
      <c r="AH41" s="1">
        <v>358917</v>
      </c>
      <c r="AI41" s="1"/>
      <c r="AJ41" s="1"/>
      <c r="AK41" s="1">
        <v>362082</v>
      </c>
      <c r="AL41" s="1"/>
      <c r="AM41" s="1"/>
      <c r="AN41" s="1"/>
      <c r="AO41" s="1"/>
      <c r="AP41" s="1"/>
      <c r="AQ41" s="1"/>
    </row>
    <row r="42" spans="1:43" x14ac:dyDescent="0.25">
      <c r="A42" s="1">
        <v>414836</v>
      </c>
      <c r="B42" s="1">
        <v>475875</v>
      </c>
      <c r="C42" s="1">
        <v>483544</v>
      </c>
      <c r="D42" s="1"/>
      <c r="E42" s="1"/>
      <c r="F42" s="1">
        <v>478222</v>
      </c>
      <c r="G42" s="1"/>
      <c r="H42" s="1"/>
      <c r="I42" s="1">
        <v>44800</v>
      </c>
      <c r="J42" s="1">
        <v>491011</v>
      </c>
      <c r="K42" s="1"/>
      <c r="L42" s="1"/>
      <c r="M42" s="1">
        <v>495377</v>
      </c>
      <c r="N42" s="1">
        <v>442423</v>
      </c>
      <c r="O42" s="1"/>
      <c r="P42" s="1"/>
      <c r="Q42" s="1">
        <v>490368</v>
      </c>
      <c r="R42" s="1">
        <v>257474</v>
      </c>
      <c r="S42" s="1">
        <v>478135</v>
      </c>
      <c r="T42" s="1">
        <v>139208</v>
      </c>
      <c r="U42" s="1"/>
      <c r="V42" s="1">
        <v>476991</v>
      </c>
      <c r="W42" s="1"/>
      <c r="X42" s="1"/>
      <c r="Y42" s="1">
        <v>452905</v>
      </c>
      <c r="Z42" s="1"/>
      <c r="AA42" s="1">
        <v>479950</v>
      </c>
      <c r="AB42" s="1"/>
      <c r="AC42" s="1"/>
      <c r="AD42" s="1"/>
      <c r="AE42" s="1">
        <v>474910</v>
      </c>
      <c r="AF42" s="1"/>
      <c r="AG42" s="1"/>
      <c r="AH42" s="1">
        <v>349324</v>
      </c>
      <c r="AI42" s="1"/>
      <c r="AJ42" s="1"/>
      <c r="AK42" s="1">
        <v>19037</v>
      </c>
      <c r="AL42" s="1"/>
      <c r="AM42" s="1"/>
      <c r="AN42" s="1"/>
      <c r="AO42" s="1"/>
      <c r="AP42" s="1"/>
      <c r="AQ42" s="1"/>
    </row>
    <row r="43" spans="1:43" x14ac:dyDescent="0.25">
      <c r="A43" s="1">
        <v>374289</v>
      </c>
      <c r="B43" s="1">
        <v>478534</v>
      </c>
      <c r="C43" s="1">
        <v>487693</v>
      </c>
      <c r="D43" s="1"/>
      <c r="E43" s="1"/>
      <c r="F43" s="1"/>
      <c r="G43" s="1"/>
      <c r="H43" s="1"/>
      <c r="I43" s="1"/>
      <c r="J43" s="1">
        <v>48000</v>
      </c>
      <c r="K43" s="1"/>
      <c r="L43" s="1"/>
      <c r="M43" s="1">
        <v>459753</v>
      </c>
      <c r="N43" s="1">
        <v>399567</v>
      </c>
      <c r="O43" s="1"/>
      <c r="P43" s="1"/>
      <c r="Q43" s="1">
        <v>465687</v>
      </c>
      <c r="R43" s="1">
        <v>295400</v>
      </c>
      <c r="S43" s="1">
        <v>404979</v>
      </c>
      <c r="T43" s="1">
        <v>139210</v>
      </c>
      <c r="U43" s="1"/>
      <c r="V43" s="1">
        <v>459995</v>
      </c>
      <c r="W43" s="1"/>
      <c r="X43" s="1"/>
      <c r="Y43" s="1">
        <v>394986</v>
      </c>
      <c r="Z43" s="1"/>
      <c r="AA43" s="1">
        <v>426393</v>
      </c>
      <c r="AB43" s="1"/>
      <c r="AC43" s="1"/>
      <c r="AD43" s="1"/>
      <c r="AE43" s="1">
        <v>474908</v>
      </c>
      <c r="AF43" s="1"/>
      <c r="AG43" s="1"/>
      <c r="AH43" s="1">
        <v>377036</v>
      </c>
      <c r="AI43" s="1"/>
      <c r="AJ43" s="1"/>
      <c r="AK43" s="1">
        <v>476499</v>
      </c>
      <c r="AL43" s="1"/>
      <c r="AM43" s="1"/>
      <c r="AN43" s="1"/>
      <c r="AO43" s="1"/>
      <c r="AP43" s="1"/>
      <c r="AQ43" s="1"/>
    </row>
    <row r="44" spans="1:43" x14ac:dyDescent="0.25">
      <c r="A44" s="1">
        <v>393597</v>
      </c>
      <c r="B44" s="1">
        <v>352085</v>
      </c>
      <c r="C44" s="1">
        <v>434956</v>
      </c>
      <c r="D44" s="1"/>
      <c r="E44" s="1"/>
      <c r="F44" s="1"/>
      <c r="G44" s="1"/>
      <c r="H44" s="1"/>
      <c r="I44" s="1"/>
      <c r="J44" s="1"/>
      <c r="K44" s="1"/>
      <c r="L44" s="1"/>
      <c r="M44" s="1">
        <v>13420</v>
      </c>
      <c r="N44" s="1">
        <v>501346</v>
      </c>
      <c r="O44" s="1"/>
      <c r="P44" s="1"/>
      <c r="Q44" s="1">
        <v>419811</v>
      </c>
      <c r="R44" s="1">
        <v>257486</v>
      </c>
      <c r="S44" s="1">
        <v>453388</v>
      </c>
      <c r="T44" s="1">
        <v>452385</v>
      </c>
      <c r="U44" s="1"/>
      <c r="V44" s="1">
        <v>442368</v>
      </c>
      <c r="W44" s="1"/>
      <c r="X44" s="1"/>
      <c r="Y44" s="1">
        <v>378392</v>
      </c>
      <c r="Z44" s="1"/>
      <c r="AA44" s="1">
        <v>353009</v>
      </c>
      <c r="AB44" s="1"/>
      <c r="AC44" s="1"/>
      <c r="AD44" s="1"/>
      <c r="AE44" s="1">
        <v>405304</v>
      </c>
      <c r="AF44" s="1"/>
      <c r="AG44" s="1"/>
      <c r="AH44" s="1">
        <v>374728</v>
      </c>
      <c r="AI44" s="1"/>
      <c r="AJ44" s="1"/>
      <c r="AK44" s="1">
        <v>484869</v>
      </c>
      <c r="AL44" s="1"/>
      <c r="AM44" s="1"/>
      <c r="AN44" s="1"/>
      <c r="AO44" s="1"/>
      <c r="AP44" s="1"/>
      <c r="AQ44" s="1"/>
    </row>
    <row r="45" spans="1:43" x14ac:dyDescent="0.25">
      <c r="A45" s="1">
        <v>93854</v>
      </c>
      <c r="B45" s="1">
        <v>470794</v>
      </c>
      <c r="C45" s="1">
        <v>454430</v>
      </c>
      <c r="D45" s="1"/>
      <c r="E45" s="1"/>
      <c r="F45" s="1"/>
      <c r="G45" s="1"/>
      <c r="H45" s="1"/>
      <c r="I45" s="1"/>
      <c r="J45" s="1"/>
      <c r="K45" s="1"/>
      <c r="L45" s="1"/>
      <c r="M45" s="1">
        <v>490691</v>
      </c>
      <c r="N45" s="1">
        <v>496614</v>
      </c>
      <c r="O45" s="1"/>
      <c r="P45" s="1"/>
      <c r="Q45" s="1">
        <v>403889</v>
      </c>
      <c r="R45" s="1">
        <v>325724</v>
      </c>
      <c r="S45" s="1">
        <v>469049</v>
      </c>
      <c r="T45" s="1">
        <v>14335</v>
      </c>
      <c r="U45" s="1"/>
      <c r="V45" s="1">
        <v>254900</v>
      </c>
      <c r="W45" s="1"/>
      <c r="X45" s="1"/>
      <c r="Y45" s="1">
        <v>384401</v>
      </c>
      <c r="Z45" s="1"/>
      <c r="AA45" s="1">
        <v>425011</v>
      </c>
      <c r="AB45" s="1"/>
      <c r="AC45" s="1"/>
      <c r="AD45" s="1"/>
      <c r="AE45" s="1">
        <v>426831</v>
      </c>
      <c r="AF45" s="1"/>
      <c r="AG45" s="1"/>
      <c r="AH45" s="1">
        <v>374725</v>
      </c>
      <c r="AI45" s="1"/>
      <c r="AJ45" s="1"/>
      <c r="AK45" s="1">
        <v>27517</v>
      </c>
      <c r="AL45" s="1"/>
      <c r="AM45" s="1"/>
      <c r="AN45" s="1"/>
      <c r="AO45" s="1"/>
      <c r="AP45" s="1"/>
      <c r="AQ45" s="1"/>
    </row>
    <row r="46" spans="1:43" x14ac:dyDescent="0.25">
      <c r="A46" s="1"/>
      <c r="B46" s="1">
        <v>490377</v>
      </c>
      <c r="C46" s="1">
        <v>454523</v>
      </c>
      <c r="D46" s="1"/>
      <c r="E46" s="1"/>
      <c r="F46" s="1"/>
      <c r="G46" s="1"/>
      <c r="H46" s="1"/>
      <c r="I46" s="1"/>
      <c r="J46" s="1"/>
      <c r="K46" s="1"/>
      <c r="L46" s="1"/>
      <c r="M46" s="1">
        <v>507224</v>
      </c>
      <c r="N46" s="1">
        <v>455598</v>
      </c>
      <c r="O46" s="1"/>
      <c r="P46" s="1"/>
      <c r="Q46" s="1">
        <v>392503</v>
      </c>
      <c r="R46" s="1">
        <v>368984</v>
      </c>
      <c r="S46" s="1">
        <v>435352</v>
      </c>
      <c r="T46" s="1">
        <v>455854</v>
      </c>
      <c r="U46" s="1"/>
      <c r="V46" s="1">
        <v>445335</v>
      </c>
      <c r="W46" s="1"/>
      <c r="X46" s="1"/>
      <c r="Y46" s="1">
        <v>378391</v>
      </c>
      <c r="Z46" s="1"/>
      <c r="AA46" s="1">
        <v>475913</v>
      </c>
      <c r="AB46" s="1"/>
      <c r="AC46" s="1"/>
      <c r="AD46" s="1"/>
      <c r="AE46" s="1">
        <v>459606</v>
      </c>
      <c r="AF46" s="1"/>
      <c r="AG46" s="1"/>
      <c r="AH46" s="1">
        <v>374729</v>
      </c>
      <c r="AI46" s="1"/>
      <c r="AJ46" s="1"/>
      <c r="AK46" s="1">
        <v>273417</v>
      </c>
      <c r="AL46" s="1"/>
      <c r="AM46" s="1"/>
      <c r="AN46" s="1"/>
      <c r="AO46" s="1"/>
      <c r="AP46" s="1"/>
      <c r="AQ46" s="1"/>
    </row>
    <row r="47" spans="1:43" x14ac:dyDescent="0.25">
      <c r="A47" s="1">
        <v>457540</v>
      </c>
      <c r="B47" s="1">
        <v>486058</v>
      </c>
      <c r="C47" s="1">
        <v>464940</v>
      </c>
      <c r="D47" s="1"/>
      <c r="E47" s="1"/>
      <c r="F47" s="1"/>
      <c r="G47" s="1"/>
      <c r="H47" s="1"/>
      <c r="I47" s="1"/>
      <c r="J47" s="1"/>
      <c r="K47" s="1"/>
      <c r="L47" s="1"/>
      <c r="M47" s="1">
        <v>14700</v>
      </c>
      <c r="N47" s="1">
        <v>474354</v>
      </c>
      <c r="O47" s="1"/>
      <c r="P47" s="1"/>
      <c r="Q47" s="1">
        <v>413863</v>
      </c>
      <c r="R47" s="1">
        <v>142717</v>
      </c>
      <c r="S47" s="1">
        <v>190294</v>
      </c>
      <c r="T47" s="1">
        <v>62544</v>
      </c>
      <c r="U47" s="1"/>
      <c r="V47" s="1">
        <v>228594</v>
      </c>
      <c r="W47" s="1"/>
      <c r="X47" s="1"/>
      <c r="Y47" s="1">
        <v>457958</v>
      </c>
      <c r="Z47" s="1"/>
      <c r="AA47" s="1">
        <v>364530</v>
      </c>
      <c r="AB47" s="1"/>
      <c r="AC47" s="1"/>
      <c r="AD47" s="1"/>
      <c r="AE47" s="1">
        <v>459604</v>
      </c>
      <c r="AF47" s="1"/>
      <c r="AG47" s="1"/>
      <c r="AH47" s="1">
        <v>374727</v>
      </c>
      <c r="AI47" s="1"/>
      <c r="AJ47" s="1"/>
      <c r="AK47" s="1">
        <v>484870</v>
      </c>
      <c r="AL47" s="1"/>
      <c r="AM47" s="1"/>
      <c r="AN47" s="1"/>
      <c r="AO47" s="1"/>
      <c r="AP47" s="1"/>
      <c r="AQ47" s="1"/>
    </row>
    <row r="48" spans="1:43" x14ac:dyDescent="0.25">
      <c r="A48" s="1">
        <v>460267</v>
      </c>
      <c r="B48" s="1">
        <v>490376</v>
      </c>
      <c r="C48" s="1">
        <v>496535</v>
      </c>
      <c r="D48" s="1"/>
      <c r="E48" s="1"/>
      <c r="F48" s="1"/>
      <c r="G48" s="1"/>
      <c r="H48" s="1"/>
      <c r="I48" s="1"/>
      <c r="J48" s="1"/>
      <c r="K48" s="1"/>
      <c r="L48" s="1"/>
      <c r="M48" s="1">
        <v>14700</v>
      </c>
      <c r="N48" s="1">
        <v>446923</v>
      </c>
      <c r="O48" s="1"/>
      <c r="P48" s="1"/>
      <c r="Q48" s="1">
        <v>414601</v>
      </c>
      <c r="R48" s="1">
        <v>440800</v>
      </c>
      <c r="S48" s="1">
        <v>472346</v>
      </c>
      <c r="T48" s="1">
        <v>447573</v>
      </c>
      <c r="U48" s="1"/>
      <c r="V48" s="1">
        <v>181078</v>
      </c>
      <c r="W48" s="1"/>
      <c r="X48" s="1"/>
      <c r="Y48" s="1">
        <v>401073</v>
      </c>
      <c r="Z48" s="1"/>
      <c r="AA48" s="1">
        <v>425210</v>
      </c>
      <c r="AB48" s="1"/>
      <c r="AC48" s="1"/>
      <c r="AD48" s="1"/>
      <c r="AE48" s="1">
        <v>432449</v>
      </c>
      <c r="AF48" s="1"/>
      <c r="AG48" s="1"/>
      <c r="AH48" s="1">
        <v>312195</v>
      </c>
      <c r="AI48" s="1"/>
      <c r="AJ48" s="1"/>
      <c r="AK48" s="1">
        <v>27432</v>
      </c>
      <c r="AL48" s="1"/>
      <c r="AM48" s="1"/>
      <c r="AN48" s="1"/>
      <c r="AO48" s="1"/>
      <c r="AP48" s="1"/>
      <c r="AQ48" s="1"/>
    </row>
    <row r="49" spans="1:43" x14ac:dyDescent="0.25">
      <c r="A49" s="1">
        <v>460529</v>
      </c>
      <c r="B49" s="1">
        <v>477752</v>
      </c>
      <c r="C49" s="1">
        <v>496670</v>
      </c>
      <c r="D49" s="1"/>
      <c r="E49" s="1"/>
      <c r="F49" s="1"/>
      <c r="G49" s="1"/>
      <c r="H49" s="1"/>
      <c r="I49" s="1"/>
      <c r="J49" s="1"/>
      <c r="K49" s="1"/>
      <c r="L49" s="1"/>
      <c r="M49" s="1">
        <v>496573</v>
      </c>
      <c r="N49" s="1">
        <v>452538</v>
      </c>
      <c r="O49" s="1"/>
      <c r="P49" s="1"/>
      <c r="Q49" s="1">
        <v>272697</v>
      </c>
      <c r="R49" s="1">
        <v>440801</v>
      </c>
      <c r="S49" s="1">
        <v>441362</v>
      </c>
      <c r="T49" s="1">
        <v>484984</v>
      </c>
      <c r="U49" s="1"/>
      <c r="V49" s="1">
        <v>364168</v>
      </c>
      <c r="W49" s="1"/>
      <c r="X49" s="1"/>
      <c r="Y49" s="1">
        <v>465702</v>
      </c>
      <c r="Z49" s="1"/>
      <c r="AA49" s="1">
        <v>434129</v>
      </c>
      <c r="AB49" s="1"/>
      <c r="AC49" s="1"/>
      <c r="AD49" s="1"/>
      <c r="AE49" s="1">
        <v>451205</v>
      </c>
      <c r="AF49" s="1"/>
      <c r="AG49" s="1"/>
      <c r="AH49" s="1">
        <v>311905</v>
      </c>
      <c r="AI49" s="1"/>
      <c r="AJ49" s="1"/>
      <c r="AK49" s="1">
        <v>364906</v>
      </c>
      <c r="AL49" s="1"/>
      <c r="AM49" s="1"/>
      <c r="AN49" s="1"/>
      <c r="AO49" s="1"/>
      <c r="AP49" s="1"/>
      <c r="AQ49" s="1"/>
    </row>
    <row r="50" spans="1:43" x14ac:dyDescent="0.25">
      <c r="A50" s="1">
        <v>190177</v>
      </c>
      <c r="B50" s="1">
        <v>452973</v>
      </c>
      <c r="C50" s="1">
        <v>496542</v>
      </c>
      <c r="D50" s="1"/>
      <c r="E50" s="1"/>
      <c r="F50" s="1"/>
      <c r="G50" s="1"/>
      <c r="H50" s="1"/>
      <c r="I50" s="1"/>
      <c r="J50" s="1"/>
      <c r="K50" s="1"/>
      <c r="L50" s="1"/>
      <c r="M50" s="1">
        <v>468304</v>
      </c>
      <c r="N50" s="1">
        <v>467790</v>
      </c>
      <c r="O50" s="1"/>
      <c r="P50" s="1"/>
      <c r="Q50" s="1">
        <v>368592</v>
      </c>
      <c r="R50" s="1">
        <v>467754</v>
      </c>
      <c r="S50" s="1">
        <v>364035</v>
      </c>
      <c r="T50" s="1"/>
      <c r="U50" s="1"/>
      <c r="V50" s="1">
        <v>309762</v>
      </c>
      <c r="W50" s="1"/>
      <c r="X50" s="1"/>
      <c r="Y50" s="1">
        <v>457970</v>
      </c>
      <c r="Z50" s="1"/>
      <c r="AA50" s="1">
        <v>438946</v>
      </c>
      <c r="AB50" s="1"/>
      <c r="AC50" s="1"/>
      <c r="AD50" s="1"/>
      <c r="AE50" s="1">
        <v>459608</v>
      </c>
      <c r="AF50" s="1"/>
      <c r="AG50" s="1"/>
      <c r="AH50" s="1">
        <v>102193</v>
      </c>
      <c r="AI50" s="1"/>
      <c r="AJ50" s="1"/>
      <c r="AK50" s="1">
        <v>476500</v>
      </c>
      <c r="AL50" s="1"/>
      <c r="AM50" s="1"/>
      <c r="AN50" s="1"/>
      <c r="AO50" s="1"/>
      <c r="AP50" s="1"/>
      <c r="AQ50" s="1"/>
    </row>
    <row r="51" spans="1:43" x14ac:dyDescent="0.25">
      <c r="A51" s="1">
        <v>243959</v>
      </c>
      <c r="B51" s="1">
        <v>486061</v>
      </c>
      <c r="C51" s="1">
        <v>477746</v>
      </c>
      <c r="D51" s="1"/>
      <c r="E51" s="1"/>
      <c r="F51" s="1"/>
      <c r="G51" s="1"/>
      <c r="H51" s="1"/>
      <c r="I51" s="1"/>
      <c r="J51" s="1"/>
      <c r="K51" s="1"/>
      <c r="L51" s="1"/>
      <c r="M51" s="1">
        <v>483054</v>
      </c>
      <c r="N51" s="1">
        <v>501348</v>
      </c>
      <c r="O51" s="1"/>
      <c r="P51" s="1"/>
      <c r="Q51" s="1">
        <v>418334</v>
      </c>
      <c r="R51" s="1">
        <v>467752</v>
      </c>
      <c r="S51" s="1">
        <v>423962</v>
      </c>
      <c r="T51" s="1"/>
      <c r="U51" s="1"/>
      <c r="V51" s="1">
        <v>217553</v>
      </c>
      <c r="W51" s="1"/>
      <c r="X51" s="1"/>
      <c r="Y51" s="1">
        <v>408047</v>
      </c>
      <c r="Z51" s="1"/>
      <c r="AA51" s="1">
        <v>443423</v>
      </c>
      <c r="AB51" s="1"/>
      <c r="AC51" s="1"/>
      <c r="AD51" s="1"/>
      <c r="AE51" s="1">
        <v>241094</v>
      </c>
      <c r="AF51" s="1"/>
      <c r="AG51" s="1"/>
      <c r="AH51" s="1">
        <v>314685</v>
      </c>
      <c r="AI51" s="1"/>
      <c r="AJ51" s="1"/>
      <c r="AK51" s="1">
        <v>122554</v>
      </c>
      <c r="AL51" s="1"/>
      <c r="AM51" s="1"/>
      <c r="AN51" s="1"/>
      <c r="AO51" s="1"/>
      <c r="AP51" s="1"/>
      <c r="AQ51" s="1"/>
    </row>
    <row r="52" spans="1:43" x14ac:dyDescent="0.25">
      <c r="A52" s="1">
        <v>481808</v>
      </c>
      <c r="B52" s="1">
        <v>477756</v>
      </c>
      <c r="C52" s="1">
        <v>463716</v>
      </c>
      <c r="D52" s="1"/>
      <c r="E52" s="1"/>
      <c r="F52" s="1"/>
      <c r="G52" s="1"/>
      <c r="H52" s="1"/>
      <c r="I52" s="1"/>
      <c r="J52" s="1"/>
      <c r="K52" s="1"/>
      <c r="L52" s="1"/>
      <c r="M52" s="1">
        <v>499551</v>
      </c>
      <c r="N52" s="1">
        <v>462265</v>
      </c>
      <c r="O52" s="1"/>
      <c r="P52" s="1"/>
      <c r="Q52" s="1">
        <v>498020</v>
      </c>
      <c r="R52" s="1">
        <v>467755</v>
      </c>
      <c r="S52" s="1">
        <v>478134</v>
      </c>
      <c r="T52" s="1"/>
      <c r="U52" s="1"/>
      <c r="V52" s="1">
        <v>180936</v>
      </c>
      <c r="W52" s="1"/>
      <c r="X52" s="1"/>
      <c r="Y52" s="1">
        <v>435199</v>
      </c>
      <c r="Z52" s="1"/>
      <c r="AA52" s="1">
        <v>473836</v>
      </c>
      <c r="AB52" s="1"/>
      <c r="AC52" s="1"/>
      <c r="AD52" s="1"/>
      <c r="AE52" s="1">
        <v>432462</v>
      </c>
      <c r="AF52" s="1"/>
      <c r="AG52" s="1"/>
      <c r="AH52" s="1">
        <v>380272</v>
      </c>
      <c r="AI52" s="1"/>
      <c r="AJ52" s="1"/>
      <c r="AK52" s="1">
        <v>124297</v>
      </c>
      <c r="AL52" s="1"/>
      <c r="AM52" s="1"/>
      <c r="AN52" s="1"/>
      <c r="AO52" s="1"/>
      <c r="AP52" s="1"/>
      <c r="AQ52" s="1"/>
    </row>
    <row r="53" spans="1:43" x14ac:dyDescent="0.25">
      <c r="A53" s="1"/>
      <c r="B53" s="1">
        <v>352084</v>
      </c>
      <c r="C53" s="1">
        <v>461900</v>
      </c>
      <c r="D53" s="1"/>
      <c r="E53" s="1"/>
      <c r="F53" s="1"/>
      <c r="G53" s="1"/>
      <c r="H53" s="1"/>
      <c r="I53" s="1"/>
      <c r="J53" s="1"/>
      <c r="K53" s="1"/>
      <c r="L53" s="1"/>
      <c r="M53" s="1">
        <v>14700</v>
      </c>
      <c r="N53" s="1">
        <v>479304</v>
      </c>
      <c r="O53" s="1"/>
      <c r="P53" s="1"/>
      <c r="Q53" s="1">
        <v>357720</v>
      </c>
      <c r="R53" s="1">
        <v>467753</v>
      </c>
      <c r="S53" s="1">
        <v>455856</v>
      </c>
      <c r="T53" s="1"/>
      <c r="U53" s="1"/>
      <c r="V53" s="1">
        <v>388751</v>
      </c>
      <c r="W53" s="1"/>
      <c r="X53" s="1"/>
      <c r="Y53" s="1">
        <v>457862</v>
      </c>
      <c r="Z53" s="1"/>
      <c r="AA53" s="1">
        <v>475390</v>
      </c>
      <c r="AB53" s="1"/>
      <c r="AC53" s="1"/>
      <c r="AD53" s="1"/>
      <c r="AE53" s="1">
        <v>255501</v>
      </c>
      <c r="AF53" s="1"/>
      <c r="AG53" s="1"/>
      <c r="AH53" s="1">
        <v>293163</v>
      </c>
      <c r="AI53" s="1"/>
      <c r="AJ53" s="1"/>
      <c r="AK53" s="1">
        <v>27518</v>
      </c>
      <c r="AL53" s="1"/>
      <c r="AM53" s="1"/>
      <c r="AN53" s="1"/>
      <c r="AO53" s="1"/>
      <c r="AP53" s="1"/>
      <c r="AQ53" s="1"/>
    </row>
    <row r="54" spans="1:43" x14ac:dyDescent="0.25">
      <c r="A54" s="1">
        <v>467239</v>
      </c>
      <c r="B54" s="1">
        <v>482906</v>
      </c>
      <c r="C54" s="1">
        <v>496689</v>
      </c>
      <c r="D54" s="1"/>
      <c r="E54" s="1"/>
      <c r="F54" s="1"/>
      <c r="G54" s="1"/>
      <c r="H54" s="1"/>
      <c r="I54" s="1"/>
      <c r="J54" s="1"/>
      <c r="K54" s="1"/>
      <c r="L54" s="1"/>
      <c r="M54" s="1">
        <v>86600</v>
      </c>
      <c r="N54" s="1">
        <v>452660</v>
      </c>
      <c r="O54" s="1"/>
      <c r="P54" s="1"/>
      <c r="Q54" s="1">
        <v>468001</v>
      </c>
      <c r="R54" s="1">
        <v>443717</v>
      </c>
      <c r="S54" s="1">
        <v>190302</v>
      </c>
      <c r="T54" s="1"/>
      <c r="U54" s="1"/>
      <c r="V54" s="1">
        <v>228593</v>
      </c>
      <c r="W54" s="1"/>
      <c r="X54" s="1"/>
      <c r="Y54" s="1">
        <v>450429</v>
      </c>
      <c r="Z54" s="1"/>
      <c r="AA54" s="1">
        <v>475389</v>
      </c>
      <c r="AB54" s="1"/>
      <c r="AC54" s="1"/>
      <c r="AD54" s="1"/>
      <c r="AE54" s="1">
        <v>255499</v>
      </c>
      <c r="AF54" s="1"/>
      <c r="AG54" s="1"/>
      <c r="AH54" s="1">
        <v>22710</v>
      </c>
      <c r="AI54" s="1"/>
      <c r="AJ54" s="1"/>
      <c r="AK54" s="1">
        <v>109187</v>
      </c>
      <c r="AL54" s="1"/>
      <c r="AM54" s="1"/>
      <c r="AN54" s="1"/>
      <c r="AO54" s="1"/>
      <c r="AP54" s="1"/>
      <c r="AQ54" s="1"/>
    </row>
    <row r="55" spans="1:43" x14ac:dyDescent="0.25">
      <c r="A55" s="1">
        <v>476854</v>
      </c>
      <c r="B55" s="1">
        <v>481359</v>
      </c>
      <c r="C55" s="1">
        <v>489045</v>
      </c>
      <c r="D55" s="1"/>
      <c r="E55" s="1"/>
      <c r="F55" s="1"/>
      <c r="G55" s="1"/>
      <c r="H55" s="1"/>
      <c r="I55" s="1"/>
      <c r="J55" s="1"/>
      <c r="K55" s="1"/>
      <c r="L55" s="1"/>
      <c r="M55" s="1">
        <v>14700</v>
      </c>
      <c r="N55" s="1">
        <v>496739</v>
      </c>
      <c r="O55" s="1"/>
      <c r="P55" s="1"/>
      <c r="Q55" s="1">
        <v>378804</v>
      </c>
      <c r="R55" s="1">
        <v>467815</v>
      </c>
      <c r="S55" s="1">
        <v>281707</v>
      </c>
      <c r="T55" s="1"/>
      <c r="U55" s="1"/>
      <c r="V55" s="1">
        <v>335490</v>
      </c>
      <c r="W55" s="1"/>
      <c r="X55" s="1"/>
      <c r="Y55" s="1">
        <v>457969</v>
      </c>
      <c r="Z55" s="1"/>
      <c r="AA55" s="1">
        <v>350470</v>
      </c>
      <c r="AB55" s="1"/>
      <c r="AC55" s="1"/>
      <c r="AD55" s="1"/>
      <c r="AE55" s="1">
        <v>402048</v>
      </c>
      <c r="AF55" s="1"/>
      <c r="AG55" s="1"/>
      <c r="AH55" s="1">
        <v>470759</v>
      </c>
      <c r="AI55" s="1"/>
      <c r="AJ55" s="1"/>
      <c r="AK55" s="1">
        <v>371243</v>
      </c>
      <c r="AL55" s="1"/>
      <c r="AM55" s="1"/>
      <c r="AN55" s="1"/>
      <c r="AO55" s="1"/>
      <c r="AP55" s="1"/>
      <c r="AQ55" s="1"/>
    </row>
    <row r="56" spans="1:43" x14ac:dyDescent="0.25">
      <c r="A56" s="1">
        <v>476853</v>
      </c>
      <c r="B56" s="1">
        <v>481358</v>
      </c>
      <c r="C56" s="1">
        <v>477747</v>
      </c>
      <c r="D56" s="1"/>
      <c r="E56" s="1"/>
      <c r="F56" s="1"/>
      <c r="G56" s="1"/>
      <c r="H56" s="1"/>
      <c r="I56" s="1"/>
      <c r="J56" s="1"/>
      <c r="K56" s="1"/>
      <c r="L56" s="1"/>
      <c r="M56" s="1">
        <v>469596</v>
      </c>
      <c r="N56" s="1">
        <v>473245</v>
      </c>
      <c r="O56" s="1"/>
      <c r="P56" s="1"/>
      <c r="Q56" s="1">
        <v>498449</v>
      </c>
      <c r="R56" s="1">
        <v>467793</v>
      </c>
      <c r="S56" s="1">
        <v>479598</v>
      </c>
      <c r="T56" s="1"/>
      <c r="U56" s="1"/>
      <c r="V56" s="1">
        <v>222057</v>
      </c>
      <c r="W56" s="1"/>
      <c r="X56" s="1"/>
      <c r="Y56" s="1">
        <v>408046</v>
      </c>
      <c r="Z56" s="1"/>
      <c r="AA56" s="1">
        <v>479948</v>
      </c>
      <c r="AB56" s="1"/>
      <c r="AC56" s="1"/>
      <c r="AD56" s="1"/>
      <c r="AE56" s="1">
        <v>481112</v>
      </c>
      <c r="AF56" s="1"/>
      <c r="AG56" s="1"/>
      <c r="AH56" s="1">
        <v>365776</v>
      </c>
      <c r="AI56" s="1"/>
      <c r="AJ56" s="1"/>
      <c r="AK56" s="1">
        <v>228176</v>
      </c>
      <c r="AL56" s="1"/>
      <c r="AM56" s="1"/>
      <c r="AN56" s="1"/>
      <c r="AO56" s="1"/>
      <c r="AP56" s="1"/>
      <c r="AQ56" s="1"/>
    </row>
    <row r="57" spans="1:43" x14ac:dyDescent="0.25">
      <c r="A57" s="1">
        <v>427322</v>
      </c>
      <c r="B57" s="1">
        <v>473530</v>
      </c>
      <c r="C57" s="1">
        <v>496694</v>
      </c>
      <c r="D57" s="1"/>
      <c r="E57" s="1"/>
      <c r="F57" s="1"/>
      <c r="G57" s="1"/>
      <c r="H57" s="1"/>
      <c r="I57" s="1"/>
      <c r="J57" s="1"/>
      <c r="K57" s="1"/>
      <c r="L57" s="1"/>
      <c r="M57" s="1">
        <v>469595</v>
      </c>
      <c r="N57" s="1">
        <v>496632</v>
      </c>
      <c r="O57" s="1"/>
      <c r="P57" s="1"/>
      <c r="Q57" s="1">
        <v>488788</v>
      </c>
      <c r="R57" s="1">
        <v>467814</v>
      </c>
      <c r="S57" s="1">
        <v>358385</v>
      </c>
      <c r="T57" s="1"/>
      <c r="U57" s="1"/>
      <c r="V57" s="1">
        <v>372293</v>
      </c>
      <c r="W57" s="1"/>
      <c r="X57" s="1"/>
      <c r="Y57" s="1">
        <v>475160</v>
      </c>
      <c r="Z57" s="1"/>
      <c r="AA57" s="1">
        <v>463006</v>
      </c>
      <c r="AB57" s="1"/>
      <c r="AC57" s="1"/>
      <c r="AD57" s="1"/>
      <c r="AE57" s="1">
        <v>481121</v>
      </c>
      <c r="AF57" s="1"/>
      <c r="AG57" s="1"/>
      <c r="AH57" s="1">
        <v>365775</v>
      </c>
      <c r="AI57" s="1"/>
      <c r="AJ57" s="1"/>
      <c r="AK57" s="1">
        <v>54137</v>
      </c>
      <c r="AL57" s="1"/>
      <c r="AM57" s="1"/>
      <c r="AN57" s="1"/>
      <c r="AO57" s="1"/>
      <c r="AP57" s="1"/>
      <c r="AQ57" s="1"/>
    </row>
    <row r="58" spans="1:43" x14ac:dyDescent="0.25">
      <c r="A58" s="1">
        <v>427321</v>
      </c>
      <c r="B58" s="1"/>
      <c r="C58" s="1">
        <v>454616</v>
      </c>
      <c r="D58" s="1"/>
      <c r="E58" s="1"/>
      <c r="F58" s="1"/>
      <c r="G58" s="1"/>
      <c r="H58" s="1"/>
      <c r="I58" s="1"/>
      <c r="J58" s="1"/>
      <c r="K58" s="1"/>
      <c r="L58" s="1"/>
      <c r="M58" s="1">
        <v>13620</v>
      </c>
      <c r="N58" s="1">
        <v>476855</v>
      </c>
      <c r="O58" s="1"/>
      <c r="P58" s="1"/>
      <c r="Q58" s="1">
        <v>491247</v>
      </c>
      <c r="R58" s="1">
        <v>425712</v>
      </c>
      <c r="S58" s="1">
        <v>224767</v>
      </c>
      <c r="T58" s="1"/>
      <c r="U58" s="1"/>
      <c r="V58" s="1">
        <v>116933</v>
      </c>
      <c r="W58" s="1"/>
      <c r="X58" s="1"/>
      <c r="Y58" s="1">
        <v>401074</v>
      </c>
      <c r="Z58" s="1"/>
      <c r="AA58" s="1">
        <v>483392</v>
      </c>
      <c r="AB58" s="1"/>
      <c r="AC58" s="1"/>
      <c r="AD58" s="1"/>
      <c r="AE58" s="1">
        <v>422463</v>
      </c>
      <c r="AF58" s="1"/>
      <c r="AG58" s="1"/>
      <c r="AH58" s="1">
        <v>365777</v>
      </c>
      <c r="AI58" s="1"/>
      <c r="AJ58" s="1"/>
      <c r="AK58" s="1">
        <v>19047</v>
      </c>
      <c r="AL58" s="1"/>
      <c r="AM58" s="1"/>
      <c r="AN58" s="1"/>
      <c r="AO58" s="1"/>
      <c r="AP58" s="1"/>
      <c r="AQ58" s="1"/>
    </row>
    <row r="59" spans="1:43" x14ac:dyDescent="0.25">
      <c r="A59" s="1">
        <v>422986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>
        <v>468577</v>
      </c>
      <c r="N59" s="1">
        <v>484977</v>
      </c>
      <c r="O59" s="1"/>
      <c r="P59" s="1"/>
      <c r="Q59" s="1">
        <v>475670</v>
      </c>
      <c r="R59" s="1">
        <v>457044</v>
      </c>
      <c r="S59" s="1">
        <v>358382</v>
      </c>
      <c r="T59" s="1"/>
      <c r="U59" s="1"/>
      <c r="V59" s="1">
        <v>488896</v>
      </c>
      <c r="W59" s="1"/>
      <c r="X59" s="1"/>
      <c r="Y59" s="1">
        <v>425314</v>
      </c>
      <c r="Z59" s="1"/>
      <c r="AA59" s="1">
        <v>468350</v>
      </c>
      <c r="AB59" s="1"/>
      <c r="AC59" s="1"/>
      <c r="AD59" s="1"/>
      <c r="AE59" s="1">
        <v>265693</v>
      </c>
      <c r="AF59" s="1"/>
      <c r="AG59" s="1"/>
      <c r="AH59" s="1">
        <v>365774</v>
      </c>
      <c r="AI59" s="1"/>
      <c r="AJ59" s="1"/>
      <c r="AK59" s="1">
        <v>304630</v>
      </c>
      <c r="AL59" s="1"/>
      <c r="AM59" s="1"/>
      <c r="AN59" s="1"/>
      <c r="AO59" s="1"/>
      <c r="AP59" s="1"/>
      <c r="AQ59" s="1"/>
    </row>
    <row r="60" spans="1:43" x14ac:dyDescent="0.25">
      <c r="A60" s="1">
        <v>246353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>
        <v>470968</v>
      </c>
      <c r="N60" s="1">
        <v>446924</v>
      </c>
      <c r="O60" s="1"/>
      <c r="P60" s="1"/>
      <c r="Q60" s="1">
        <v>300949</v>
      </c>
      <c r="R60" s="1">
        <v>257468</v>
      </c>
      <c r="S60" s="1">
        <v>367073</v>
      </c>
      <c r="T60" s="1"/>
      <c r="U60" s="1"/>
      <c r="V60" s="1">
        <v>488898</v>
      </c>
      <c r="W60" s="1"/>
      <c r="X60" s="1"/>
      <c r="Y60" s="1">
        <v>477244</v>
      </c>
      <c r="Z60" s="1"/>
      <c r="AA60" s="1">
        <v>471753</v>
      </c>
      <c r="AB60" s="1"/>
      <c r="AC60" s="1"/>
      <c r="AD60" s="1"/>
      <c r="AE60" s="1">
        <v>398155</v>
      </c>
      <c r="AF60" s="1"/>
      <c r="AG60" s="1"/>
      <c r="AH60" s="1">
        <v>491424</v>
      </c>
      <c r="AI60" s="1"/>
      <c r="AJ60" s="1"/>
      <c r="AK60" s="1">
        <v>371244</v>
      </c>
      <c r="AL60" s="1"/>
      <c r="AM60" s="1"/>
      <c r="AN60" s="1"/>
      <c r="AO60" s="1"/>
      <c r="AP60" s="1"/>
      <c r="AQ60" s="1"/>
    </row>
    <row r="61" spans="1:43" x14ac:dyDescent="0.25">
      <c r="A61" s="1">
        <v>337737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>
        <v>14700</v>
      </c>
      <c r="N61" s="1">
        <v>482599</v>
      </c>
      <c r="O61" s="1"/>
      <c r="P61" s="1"/>
      <c r="Q61" s="1">
        <v>444288</v>
      </c>
      <c r="R61" s="1">
        <v>232514</v>
      </c>
      <c r="S61" s="1">
        <v>233715</v>
      </c>
      <c r="T61" s="1"/>
      <c r="U61" s="1"/>
      <c r="V61" s="1">
        <v>395680</v>
      </c>
      <c r="W61" s="1"/>
      <c r="X61" s="1"/>
      <c r="Y61" s="1">
        <v>378394</v>
      </c>
      <c r="Z61" s="1"/>
      <c r="AA61" s="1">
        <v>447738</v>
      </c>
      <c r="AB61" s="1"/>
      <c r="AC61" s="1"/>
      <c r="AD61" s="1"/>
      <c r="AE61" s="1">
        <v>426832</v>
      </c>
      <c r="AF61" s="1"/>
      <c r="AG61" s="1"/>
      <c r="AH61" s="1">
        <v>363144</v>
      </c>
      <c r="AI61" s="1"/>
      <c r="AJ61" s="1"/>
      <c r="AK61" s="1">
        <v>456628</v>
      </c>
      <c r="AL61" s="1"/>
      <c r="AM61" s="1"/>
      <c r="AN61" s="1"/>
      <c r="AO61" s="1"/>
      <c r="AP61" s="1"/>
      <c r="AQ61" s="1"/>
    </row>
    <row r="62" spans="1:43" x14ac:dyDescent="0.25">
      <c r="A62" s="1">
        <v>125619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>
        <v>444902</v>
      </c>
      <c r="N62" s="1">
        <v>498190</v>
      </c>
      <c r="O62" s="1"/>
      <c r="P62" s="1"/>
      <c r="Q62" s="1">
        <v>310921</v>
      </c>
      <c r="R62" s="1">
        <v>418226</v>
      </c>
      <c r="S62" s="1">
        <v>281706</v>
      </c>
      <c r="T62" s="1"/>
      <c r="U62" s="1"/>
      <c r="V62" s="1">
        <v>117551</v>
      </c>
      <c r="W62" s="1"/>
      <c r="X62" s="1"/>
      <c r="Y62" s="1">
        <v>444378</v>
      </c>
      <c r="Z62" s="1"/>
      <c r="AA62" s="1">
        <v>478243</v>
      </c>
      <c r="AB62" s="1"/>
      <c r="AC62" s="1"/>
      <c r="AD62" s="1"/>
      <c r="AE62" s="1">
        <v>228967</v>
      </c>
      <c r="AF62" s="1"/>
      <c r="AG62" s="1"/>
      <c r="AH62" s="1">
        <v>363150</v>
      </c>
      <c r="AI62" s="1"/>
      <c r="AJ62" s="1"/>
      <c r="AK62" s="1">
        <v>221440</v>
      </c>
      <c r="AL62" s="1"/>
      <c r="AM62" s="1"/>
      <c r="AN62" s="1"/>
      <c r="AO62" s="1"/>
      <c r="AP62" s="1"/>
      <c r="AQ62" s="1"/>
    </row>
    <row r="63" spans="1:43" x14ac:dyDescent="0.25">
      <c r="A63" s="1">
        <v>365435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>
        <v>14500</v>
      </c>
      <c r="N63" s="1">
        <v>427803</v>
      </c>
      <c r="O63" s="1"/>
      <c r="P63" s="1"/>
      <c r="Q63" s="1">
        <v>477462</v>
      </c>
      <c r="R63" s="1">
        <v>391074</v>
      </c>
      <c r="S63" s="1">
        <v>224763</v>
      </c>
      <c r="T63" s="1"/>
      <c r="U63" s="1"/>
      <c r="V63" s="1">
        <v>242607</v>
      </c>
      <c r="W63" s="1"/>
      <c r="X63" s="1"/>
      <c r="Y63" s="1">
        <v>378393</v>
      </c>
      <c r="Z63" s="1"/>
      <c r="AA63" s="1">
        <v>452578</v>
      </c>
      <c r="AB63" s="1"/>
      <c r="AC63" s="1"/>
      <c r="AD63" s="1"/>
      <c r="AE63" s="1">
        <v>442948</v>
      </c>
      <c r="AF63" s="1"/>
      <c r="AG63" s="1"/>
      <c r="AH63" s="1">
        <v>363148</v>
      </c>
      <c r="AI63" s="1"/>
      <c r="AJ63" s="1"/>
      <c r="AK63" s="1">
        <v>221443</v>
      </c>
      <c r="AL63" s="1"/>
      <c r="AM63" s="1"/>
      <c r="AN63" s="1"/>
      <c r="AO63" s="1"/>
      <c r="AP63" s="1"/>
      <c r="AQ63" s="1"/>
    </row>
    <row r="64" spans="1:43" x14ac:dyDescent="0.25">
      <c r="A64" s="1">
        <v>453742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>
        <v>507177</v>
      </c>
      <c r="N64" s="1">
        <v>467791</v>
      </c>
      <c r="O64" s="1"/>
      <c r="P64" s="1"/>
      <c r="Q64" s="1">
        <v>349322</v>
      </c>
      <c r="R64" s="1">
        <v>220411</v>
      </c>
      <c r="S64" s="1">
        <v>358384</v>
      </c>
      <c r="T64" s="1"/>
      <c r="U64" s="1"/>
      <c r="V64" s="1">
        <v>476997</v>
      </c>
      <c r="W64" s="1"/>
      <c r="X64" s="1"/>
      <c r="Y64" s="1">
        <v>456295</v>
      </c>
      <c r="Z64" s="1"/>
      <c r="AA64" s="1">
        <v>473843</v>
      </c>
      <c r="AB64" s="1"/>
      <c r="AC64" s="1"/>
      <c r="AD64" s="1"/>
      <c r="AE64" s="1">
        <v>116217</v>
      </c>
      <c r="AF64" s="1"/>
      <c r="AG64" s="1"/>
      <c r="AH64" s="1">
        <v>363151</v>
      </c>
      <c r="AI64" s="1"/>
      <c r="AJ64" s="1"/>
      <c r="AK64" s="1">
        <v>228177</v>
      </c>
      <c r="AL64" s="1"/>
      <c r="AM64" s="1"/>
      <c r="AN64" s="1"/>
      <c r="AO64" s="1"/>
      <c r="AP64" s="1"/>
      <c r="AQ64" s="1"/>
    </row>
    <row r="65" spans="1:43" x14ac:dyDescent="0.25">
      <c r="A65" s="1">
        <v>58044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>
        <v>483045</v>
      </c>
      <c r="N65" s="1">
        <v>475804</v>
      </c>
      <c r="O65" s="1"/>
      <c r="P65" s="1"/>
      <c r="Q65" s="1">
        <v>483720</v>
      </c>
      <c r="R65" s="1">
        <v>474809</v>
      </c>
      <c r="S65" s="1">
        <v>451516</v>
      </c>
      <c r="T65" s="1"/>
      <c r="U65" s="1"/>
      <c r="V65" s="1">
        <v>399539</v>
      </c>
      <c r="W65" s="1"/>
      <c r="X65" s="1"/>
      <c r="Y65" s="1">
        <v>415618</v>
      </c>
      <c r="Z65" s="1"/>
      <c r="AA65" s="1">
        <v>421981</v>
      </c>
      <c r="AB65" s="1"/>
      <c r="AC65" s="1"/>
      <c r="AD65" s="1"/>
      <c r="AE65" s="1">
        <v>451202</v>
      </c>
      <c r="AF65" s="1"/>
      <c r="AG65" s="1"/>
      <c r="AH65" s="1">
        <v>363147</v>
      </c>
      <c r="AI65" s="1"/>
      <c r="AJ65" s="1"/>
      <c r="AK65" s="1">
        <v>371246</v>
      </c>
      <c r="AL65" s="1"/>
      <c r="AM65" s="1"/>
      <c r="AN65" s="1"/>
      <c r="AO65" s="1"/>
      <c r="AP65" s="1"/>
      <c r="AQ65" s="1"/>
    </row>
    <row r="66" spans="1:43" x14ac:dyDescent="0.25">
      <c r="A66" s="1">
        <v>370421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>
        <v>495674</v>
      </c>
      <c r="N66" s="1">
        <v>461499</v>
      </c>
      <c r="O66" s="1"/>
      <c r="P66" s="1"/>
      <c r="Q66" s="1">
        <v>363137</v>
      </c>
      <c r="R66" s="1">
        <v>232484</v>
      </c>
      <c r="S66" s="1">
        <v>317864</v>
      </c>
      <c r="T66" s="1"/>
      <c r="U66" s="1"/>
      <c r="V66" s="1">
        <v>326574</v>
      </c>
      <c r="W66" s="1"/>
      <c r="X66" s="1"/>
      <c r="Y66" s="1">
        <v>394985</v>
      </c>
      <c r="Z66" s="1"/>
      <c r="AA66" s="1">
        <v>477339</v>
      </c>
      <c r="AB66" s="1"/>
      <c r="AC66" s="1"/>
      <c r="AD66" s="1"/>
      <c r="AE66" s="1">
        <v>96430</v>
      </c>
      <c r="AF66" s="1"/>
      <c r="AG66" s="1"/>
      <c r="AH66" s="1">
        <v>480278</v>
      </c>
      <c r="AI66" s="1"/>
      <c r="AJ66" s="1"/>
      <c r="AK66" s="1">
        <v>221444</v>
      </c>
      <c r="AL66" s="1"/>
      <c r="AM66" s="1"/>
      <c r="AN66" s="1"/>
      <c r="AO66" s="1"/>
      <c r="AP66" s="1"/>
      <c r="AQ66" s="1"/>
    </row>
    <row r="67" spans="1:43" x14ac:dyDescent="0.25">
      <c r="A67" s="1">
        <v>457610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>
        <v>479305</v>
      </c>
      <c r="N67" s="1">
        <v>479297</v>
      </c>
      <c r="O67" s="1"/>
      <c r="P67" s="1"/>
      <c r="Q67" s="1">
        <v>454366</v>
      </c>
      <c r="R67" s="1">
        <v>274191</v>
      </c>
      <c r="S67" s="1">
        <v>177279</v>
      </c>
      <c r="T67" s="1"/>
      <c r="U67" s="1"/>
      <c r="V67" s="1">
        <v>468087</v>
      </c>
      <c r="W67" s="1"/>
      <c r="X67" s="1"/>
      <c r="Y67" s="1">
        <v>450430</v>
      </c>
      <c r="Z67" s="1"/>
      <c r="AA67" s="1">
        <v>416392</v>
      </c>
      <c r="AB67" s="1"/>
      <c r="AC67" s="1"/>
      <c r="AD67" s="1"/>
      <c r="AE67" s="1">
        <v>448740</v>
      </c>
      <c r="AF67" s="1"/>
      <c r="AG67" s="1"/>
      <c r="AH67" s="1">
        <v>480277</v>
      </c>
      <c r="AI67" s="1"/>
      <c r="AJ67" s="1"/>
      <c r="AK67" s="1">
        <v>168569</v>
      </c>
      <c r="AL67" s="1"/>
      <c r="AM67" s="1"/>
      <c r="AN67" s="1"/>
      <c r="AO67" s="1"/>
      <c r="AP67" s="1"/>
      <c r="AQ67" s="1"/>
    </row>
    <row r="68" spans="1:43" x14ac:dyDescent="0.25">
      <c r="A68" s="1">
        <v>153129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>
        <v>469602</v>
      </c>
      <c r="N68" s="1">
        <v>452646</v>
      </c>
      <c r="O68" s="1"/>
      <c r="P68" s="1"/>
      <c r="Q68" s="1"/>
      <c r="R68" s="1">
        <v>325729</v>
      </c>
      <c r="S68" s="1">
        <v>424446</v>
      </c>
      <c r="T68" s="1"/>
      <c r="U68" s="1"/>
      <c r="V68" s="1">
        <v>477001</v>
      </c>
      <c r="W68" s="1"/>
      <c r="X68" s="1"/>
      <c r="Y68" s="1">
        <v>461848</v>
      </c>
      <c r="Z68" s="1"/>
      <c r="AA68" s="1">
        <v>489202</v>
      </c>
      <c r="AB68" s="1"/>
      <c r="AC68" s="1"/>
      <c r="AD68" s="1"/>
      <c r="AE68" s="1">
        <v>152377</v>
      </c>
      <c r="AF68" s="1"/>
      <c r="AG68" s="1"/>
      <c r="AH68" s="1">
        <v>302453</v>
      </c>
      <c r="AI68" s="1"/>
      <c r="AJ68" s="1"/>
      <c r="AK68" s="1">
        <v>456629</v>
      </c>
      <c r="AL68" s="1"/>
      <c r="AM68" s="1"/>
      <c r="AN68" s="1"/>
      <c r="AO68" s="1"/>
      <c r="AP68" s="1"/>
      <c r="AQ68" s="1"/>
    </row>
    <row r="69" spans="1:43" x14ac:dyDescent="0.25">
      <c r="A69" s="1">
        <v>356979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>
        <v>13420</v>
      </c>
      <c r="N69" s="1">
        <v>470488</v>
      </c>
      <c r="O69" s="1"/>
      <c r="P69" s="1"/>
      <c r="Q69" s="1"/>
      <c r="R69" s="1">
        <v>467756</v>
      </c>
      <c r="S69" s="1">
        <v>424448</v>
      </c>
      <c r="T69" s="1"/>
      <c r="U69" s="1"/>
      <c r="V69" s="1">
        <v>173000</v>
      </c>
      <c r="W69" s="1"/>
      <c r="X69" s="1"/>
      <c r="Y69" s="1">
        <v>425312</v>
      </c>
      <c r="Z69" s="1"/>
      <c r="AA69" s="1">
        <v>406382</v>
      </c>
      <c r="AB69" s="1"/>
      <c r="AC69" s="1"/>
      <c r="AD69" s="1"/>
      <c r="AE69" s="1">
        <v>395969</v>
      </c>
      <c r="AF69" s="1"/>
      <c r="AG69" s="1"/>
      <c r="AH69" s="1">
        <v>302443</v>
      </c>
      <c r="AI69" s="1"/>
      <c r="AJ69" s="1"/>
      <c r="AK69" s="1">
        <v>228180</v>
      </c>
      <c r="AL69" s="1"/>
      <c r="AM69" s="1"/>
      <c r="AN69" s="1"/>
      <c r="AO69" s="1"/>
      <c r="AP69" s="1"/>
      <c r="AQ69" s="1"/>
    </row>
    <row r="70" spans="1:43" x14ac:dyDescent="0.25">
      <c r="A70" s="1">
        <v>233715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>
        <v>425713</v>
      </c>
      <c r="S70" s="1">
        <v>424445</v>
      </c>
      <c r="T70" s="1"/>
      <c r="U70" s="1"/>
      <c r="V70" s="1">
        <v>406080</v>
      </c>
      <c r="W70" s="1"/>
      <c r="X70" s="1"/>
      <c r="Y70" s="1">
        <v>401159</v>
      </c>
      <c r="Z70" s="1"/>
      <c r="AA70" s="1">
        <v>479949</v>
      </c>
      <c r="AB70" s="1"/>
      <c r="AC70" s="1"/>
      <c r="AD70" s="1"/>
      <c r="AE70" s="1">
        <v>398156</v>
      </c>
      <c r="AF70" s="1"/>
      <c r="AG70" s="1"/>
      <c r="AH70" s="1">
        <v>302452</v>
      </c>
      <c r="AI70" s="1"/>
      <c r="AJ70" s="1"/>
      <c r="AK70" s="1">
        <v>39938</v>
      </c>
      <c r="AL70" s="1"/>
      <c r="AM70" s="1"/>
      <c r="AN70" s="1"/>
      <c r="AO70" s="1"/>
      <c r="AP70" s="1"/>
      <c r="AQ70" s="1"/>
    </row>
    <row r="71" spans="1:43" x14ac:dyDescent="0.25">
      <c r="A71" s="1">
        <v>478260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>
        <v>475422</v>
      </c>
      <c r="S71" s="1">
        <v>337722</v>
      </c>
      <c r="T71" s="1"/>
      <c r="U71" s="1"/>
      <c r="V71" s="1">
        <v>259298</v>
      </c>
      <c r="W71" s="1"/>
      <c r="X71" s="1"/>
      <c r="Y71" s="1">
        <v>452684</v>
      </c>
      <c r="Z71" s="1"/>
      <c r="AA71" s="1">
        <v>471644</v>
      </c>
      <c r="AB71" s="1"/>
      <c r="AC71" s="1"/>
      <c r="AD71" s="1"/>
      <c r="AE71" s="1">
        <v>248025</v>
      </c>
      <c r="AF71" s="1"/>
      <c r="AG71" s="1"/>
      <c r="AH71" s="1">
        <v>302422</v>
      </c>
      <c r="AI71" s="1"/>
      <c r="AJ71" s="1"/>
      <c r="AK71" s="1">
        <v>156609</v>
      </c>
      <c r="AL71" s="1"/>
      <c r="AM71" s="1"/>
      <c r="AN71" s="1"/>
      <c r="AO71" s="1"/>
      <c r="AP71" s="1"/>
      <c r="AQ71" s="1"/>
    </row>
    <row r="72" spans="1:43" x14ac:dyDescent="0.25">
      <c r="A72" s="1">
        <v>457614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>
        <v>451130</v>
      </c>
      <c r="S72" s="1">
        <v>243959</v>
      </c>
      <c r="T72" s="1"/>
      <c r="U72" s="1"/>
      <c r="V72" s="1">
        <v>269336</v>
      </c>
      <c r="W72" s="1"/>
      <c r="X72" s="1"/>
      <c r="Y72" s="1">
        <v>447693</v>
      </c>
      <c r="Z72" s="1"/>
      <c r="AA72" s="1">
        <v>472445</v>
      </c>
      <c r="AB72" s="1"/>
      <c r="AC72" s="1"/>
      <c r="AD72" s="1"/>
      <c r="AE72" s="1">
        <v>412789</v>
      </c>
      <c r="AF72" s="1"/>
      <c r="AG72" s="1"/>
      <c r="AH72" s="1">
        <v>414608</v>
      </c>
      <c r="AI72" s="1"/>
      <c r="AJ72" s="1"/>
      <c r="AK72" s="1">
        <v>202740</v>
      </c>
      <c r="AL72" s="1"/>
      <c r="AM72" s="1"/>
      <c r="AN72" s="1"/>
      <c r="AO72" s="1"/>
      <c r="AP72" s="1"/>
      <c r="AQ72" s="1"/>
    </row>
    <row r="73" spans="1:43" x14ac:dyDescent="0.25">
      <c r="A73" s="1">
        <v>479844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>
        <v>325727</v>
      </c>
      <c r="S73" s="1">
        <v>337726</v>
      </c>
      <c r="T73" s="1"/>
      <c r="U73" s="1"/>
      <c r="V73" s="1">
        <v>422344</v>
      </c>
      <c r="W73" s="1"/>
      <c r="X73" s="1"/>
      <c r="Y73" s="1">
        <v>475155</v>
      </c>
      <c r="Z73" s="1"/>
      <c r="AA73" s="1">
        <v>402865</v>
      </c>
      <c r="AB73" s="1"/>
      <c r="AC73" s="1"/>
      <c r="AD73" s="1"/>
      <c r="AE73" s="1">
        <v>462022</v>
      </c>
      <c r="AF73" s="1"/>
      <c r="AG73" s="1"/>
      <c r="AH73" s="1">
        <v>414610</v>
      </c>
      <c r="AI73" s="1"/>
      <c r="AJ73" s="1"/>
      <c r="AK73" s="1">
        <v>456633</v>
      </c>
      <c r="AL73" s="1"/>
      <c r="AM73" s="1"/>
      <c r="AN73" s="1"/>
      <c r="AO73" s="1"/>
      <c r="AP73" s="1"/>
      <c r="AQ73" s="1"/>
    </row>
    <row r="74" spans="1:43" x14ac:dyDescent="0.25">
      <c r="A74" s="1">
        <v>479393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>
        <v>474810</v>
      </c>
      <c r="S74" s="1">
        <v>337737</v>
      </c>
      <c r="T74" s="1"/>
      <c r="U74" s="1"/>
      <c r="V74" s="1">
        <v>131707</v>
      </c>
      <c r="W74" s="1"/>
      <c r="X74" s="1"/>
      <c r="Y74" s="1">
        <v>440804</v>
      </c>
      <c r="Z74" s="1"/>
      <c r="AA74" s="1">
        <v>465418</v>
      </c>
      <c r="AB74" s="1"/>
      <c r="AC74" s="1"/>
      <c r="AD74" s="1"/>
      <c r="AE74" s="1">
        <v>268806</v>
      </c>
      <c r="AF74" s="1"/>
      <c r="AG74" s="1"/>
      <c r="AH74" s="1">
        <v>414607</v>
      </c>
      <c r="AI74" s="1"/>
      <c r="AJ74" s="1"/>
      <c r="AK74" s="1">
        <v>371247</v>
      </c>
      <c r="AL74" s="1"/>
      <c r="AM74" s="1"/>
      <c r="AN74" s="1"/>
      <c r="AO74" s="1"/>
      <c r="AP74" s="1"/>
      <c r="AQ74" s="1"/>
    </row>
    <row r="75" spans="1:4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>
        <v>295812</v>
      </c>
      <c r="S75" s="1">
        <v>337723</v>
      </c>
      <c r="T75" s="1"/>
      <c r="U75" s="1"/>
      <c r="V75" s="1">
        <v>481721</v>
      </c>
      <c r="W75" s="1"/>
      <c r="X75" s="1"/>
      <c r="Y75" s="1">
        <v>470369</v>
      </c>
      <c r="Z75" s="1"/>
      <c r="AA75" s="1">
        <v>404019</v>
      </c>
      <c r="AB75" s="1"/>
      <c r="AC75" s="1"/>
      <c r="AD75" s="1"/>
      <c r="AE75" s="1">
        <v>240745</v>
      </c>
      <c r="AF75" s="1"/>
      <c r="AG75" s="1"/>
      <c r="AH75" s="1">
        <v>414606</v>
      </c>
      <c r="AI75" s="1"/>
      <c r="AJ75" s="1"/>
      <c r="AK75" s="1">
        <v>371248</v>
      </c>
      <c r="AL75" s="1"/>
      <c r="AM75" s="1"/>
      <c r="AN75" s="1"/>
      <c r="AO75" s="1"/>
      <c r="AP75" s="1"/>
      <c r="AQ75" s="1"/>
    </row>
    <row r="76" spans="1:43" x14ac:dyDescent="0.25">
      <c r="A76" s="1">
        <v>479365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>
        <v>462375</v>
      </c>
      <c r="S76" s="1">
        <v>433319</v>
      </c>
      <c r="T76" s="1"/>
      <c r="U76" s="1"/>
      <c r="V76" s="1">
        <v>477008</v>
      </c>
      <c r="W76" s="1"/>
      <c r="X76" s="1"/>
      <c r="Y76" s="1">
        <v>457983</v>
      </c>
      <c r="Z76" s="1"/>
      <c r="AA76" s="1">
        <v>475173</v>
      </c>
      <c r="AB76" s="1"/>
      <c r="AC76" s="1"/>
      <c r="AD76" s="1"/>
      <c r="AE76" s="1">
        <v>200136</v>
      </c>
      <c r="AF76" s="1"/>
      <c r="AG76" s="1"/>
      <c r="AH76" s="1">
        <v>372170</v>
      </c>
      <c r="AI76" s="1"/>
      <c r="AJ76" s="1"/>
      <c r="AK76" s="1">
        <v>272689</v>
      </c>
      <c r="AL76" s="1"/>
      <c r="AM76" s="1"/>
      <c r="AN76" s="1"/>
      <c r="AO76" s="1"/>
      <c r="AP76" s="1"/>
      <c r="AQ76" s="1"/>
    </row>
    <row r="77" spans="1:43" x14ac:dyDescent="0.25">
      <c r="A77" s="1">
        <v>363379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>
        <v>419880</v>
      </c>
      <c r="S77" s="1">
        <v>365437</v>
      </c>
      <c r="T77" s="1"/>
      <c r="U77" s="1"/>
      <c r="V77" s="1">
        <v>477004</v>
      </c>
      <c r="W77" s="1"/>
      <c r="X77" s="1"/>
      <c r="Y77" s="1">
        <v>470368</v>
      </c>
      <c r="Z77" s="1"/>
      <c r="AA77" s="1">
        <v>434130</v>
      </c>
      <c r="AB77" s="1"/>
      <c r="AC77" s="1"/>
      <c r="AD77" s="1"/>
      <c r="AE77" s="1">
        <v>467175</v>
      </c>
      <c r="AF77" s="1"/>
      <c r="AG77" s="1"/>
      <c r="AH77" s="1">
        <v>338100</v>
      </c>
      <c r="AI77" s="1"/>
      <c r="AJ77" s="1"/>
      <c r="AK77" s="1">
        <v>468793</v>
      </c>
      <c r="AL77" s="1"/>
      <c r="AM77" s="1"/>
      <c r="AN77" s="1"/>
      <c r="AO77" s="1"/>
      <c r="AP77" s="1"/>
      <c r="AQ77" s="1"/>
    </row>
    <row r="78" spans="1:4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>
        <v>401370</v>
      </c>
      <c r="S78" s="1">
        <v>426316</v>
      </c>
      <c r="T78" s="1"/>
      <c r="U78" s="1"/>
      <c r="V78" s="1">
        <v>234625</v>
      </c>
      <c r="W78" s="1"/>
      <c r="X78" s="1"/>
      <c r="Y78" s="1">
        <v>443420</v>
      </c>
      <c r="Z78" s="1"/>
      <c r="AA78" s="1">
        <v>441524</v>
      </c>
      <c r="AB78" s="1"/>
      <c r="AC78" s="1"/>
      <c r="AD78" s="1"/>
      <c r="AE78" s="1">
        <v>440786</v>
      </c>
      <c r="AF78" s="1"/>
      <c r="AG78" s="1"/>
      <c r="AH78" s="1">
        <v>372171</v>
      </c>
      <c r="AI78" s="1"/>
      <c r="AJ78" s="1"/>
      <c r="AK78" s="1">
        <v>356250</v>
      </c>
      <c r="AL78" s="1"/>
      <c r="AM78" s="1"/>
      <c r="AN78" s="1"/>
      <c r="AO78" s="1"/>
      <c r="AP78" s="1"/>
      <c r="AQ78" s="1"/>
    </row>
    <row r="79" spans="1:4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>
        <v>477800</v>
      </c>
      <c r="S79" s="1">
        <v>365435</v>
      </c>
      <c r="T79" s="1"/>
      <c r="U79" s="1"/>
      <c r="V79" s="1">
        <v>109033</v>
      </c>
      <c r="W79" s="1"/>
      <c r="X79" s="1"/>
      <c r="Y79" s="1"/>
      <c r="Z79" s="1"/>
      <c r="AA79" s="1">
        <v>430222</v>
      </c>
      <c r="AB79" s="1"/>
      <c r="AC79" s="1"/>
      <c r="AD79" s="1"/>
      <c r="AE79" s="1">
        <v>425389</v>
      </c>
      <c r="AF79" s="1"/>
      <c r="AG79" s="1"/>
      <c r="AH79" s="1">
        <v>372173</v>
      </c>
      <c r="AI79" s="1"/>
      <c r="AJ79" s="1"/>
      <c r="AK79" s="1">
        <v>256306</v>
      </c>
      <c r="AL79" s="1"/>
      <c r="AM79" s="1"/>
      <c r="AN79" s="1"/>
      <c r="AO79" s="1"/>
      <c r="AP79" s="1"/>
      <c r="AQ79" s="1"/>
    </row>
    <row r="80" spans="1:4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>
        <v>479943</v>
      </c>
      <c r="S80" s="1">
        <v>329347</v>
      </c>
      <c r="T80" s="1"/>
      <c r="U80" s="1"/>
      <c r="V80" s="1">
        <v>124133</v>
      </c>
      <c r="W80" s="1"/>
      <c r="X80" s="1"/>
      <c r="Y80" s="1"/>
      <c r="Z80" s="1"/>
      <c r="AA80" s="1">
        <v>471645</v>
      </c>
      <c r="AB80" s="1"/>
      <c r="AC80" s="1"/>
      <c r="AD80" s="1"/>
      <c r="AE80" s="1">
        <v>268804</v>
      </c>
      <c r="AF80" s="1"/>
      <c r="AG80" s="1"/>
      <c r="AH80" s="1">
        <v>372172</v>
      </c>
      <c r="AI80" s="1"/>
      <c r="AJ80" s="1"/>
      <c r="AK80" s="1">
        <v>356251</v>
      </c>
      <c r="AL80" s="1"/>
      <c r="AM80" s="1"/>
      <c r="AN80" s="1"/>
      <c r="AO80" s="1"/>
      <c r="AP80" s="1"/>
      <c r="AQ80" s="1"/>
    </row>
    <row r="81" spans="1:43" x14ac:dyDescent="0.25">
      <c r="A81" s="1">
        <v>477429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>
        <v>401371</v>
      </c>
      <c r="S81" s="1">
        <v>365436</v>
      </c>
      <c r="T81" s="1"/>
      <c r="U81" s="1"/>
      <c r="V81" s="1">
        <v>476992</v>
      </c>
      <c r="W81" s="1"/>
      <c r="X81" s="1"/>
      <c r="Y81" s="1"/>
      <c r="Z81" s="1"/>
      <c r="AA81" s="1">
        <v>428075</v>
      </c>
      <c r="AB81" s="1"/>
      <c r="AC81" s="1"/>
      <c r="AD81" s="1"/>
      <c r="AE81" s="1">
        <v>448754</v>
      </c>
      <c r="AF81" s="1"/>
      <c r="AG81" s="1"/>
      <c r="AH81" s="1">
        <v>273294</v>
      </c>
      <c r="AI81" s="1"/>
      <c r="AJ81" s="1"/>
      <c r="AK81" s="1">
        <v>465598</v>
      </c>
      <c r="AL81" s="1"/>
      <c r="AM81" s="1"/>
      <c r="AN81" s="1"/>
      <c r="AO81" s="1"/>
      <c r="AP81" s="1"/>
      <c r="AQ81" s="1"/>
    </row>
    <row r="82" spans="1:43" x14ac:dyDescent="0.25">
      <c r="A82" s="1">
        <v>479907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>
        <v>431367</v>
      </c>
      <c r="S82" s="1">
        <v>424450</v>
      </c>
      <c r="T82" s="1"/>
      <c r="U82" s="1"/>
      <c r="V82" s="1">
        <v>200076</v>
      </c>
      <c r="W82" s="1"/>
      <c r="X82" s="1"/>
      <c r="Y82" s="1"/>
      <c r="Z82" s="1"/>
      <c r="AA82" s="1">
        <v>463004</v>
      </c>
      <c r="AB82" s="1"/>
      <c r="AC82" s="1"/>
      <c r="AD82" s="1"/>
      <c r="AE82" s="1">
        <v>441574</v>
      </c>
      <c r="AF82" s="1"/>
      <c r="AG82" s="1"/>
      <c r="AH82" s="1">
        <v>273296</v>
      </c>
      <c r="AI82" s="1"/>
      <c r="AJ82" s="1"/>
      <c r="AK82" s="1">
        <v>465599</v>
      </c>
      <c r="AL82" s="1"/>
      <c r="AM82" s="1"/>
      <c r="AN82" s="1"/>
      <c r="AO82" s="1"/>
      <c r="AP82" s="1"/>
      <c r="AQ82" s="1"/>
    </row>
    <row r="83" spans="1:4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>
        <v>442462</v>
      </c>
      <c r="S83" s="1">
        <v>381723</v>
      </c>
      <c r="T83" s="1"/>
      <c r="U83" s="1"/>
      <c r="V83" s="1">
        <v>338876</v>
      </c>
      <c r="W83" s="1"/>
      <c r="X83" s="1"/>
      <c r="Y83" s="1"/>
      <c r="Z83" s="1"/>
      <c r="AA83" s="1">
        <v>447746</v>
      </c>
      <c r="AB83" s="1"/>
      <c r="AC83" s="1"/>
      <c r="AD83" s="1"/>
      <c r="AE83" s="1">
        <v>486155</v>
      </c>
      <c r="AF83" s="1"/>
      <c r="AG83" s="1"/>
      <c r="AH83" s="1">
        <v>273293</v>
      </c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>
        <v>404985</v>
      </c>
      <c r="S84" s="1">
        <v>381720</v>
      </c>
      <c r="T84" s="1"/>
      <c r="U84" s="1"/>
      <c r="V84" s="1">
        <v>421226</v>
      </c>
      <c r="W84" s="1"/>
      <c r="X84" s="1"/>
      <c r="Y84" s="1"/>
      <c r="Z84" s="1"/>
      <c r="AA84" s="1">
        <v>475167</v>
      </c>
      <c r="AB84" s="1"/>
      <c r="AC84" s="1"/>
      <c r="AD84" s="1"/>
      <c r="AE84" s="1">
        <v>430395</v>
      </c>
      <c r="AF84" s="1"/>
      <c r="AG84" s="1"/>
      <c r="AH84" s="1">
        <v>353434</v>
      </c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>
        <v>455850</v>
      </c>
      <c r="S85" s="1">
        <v>406134</v>
      </c>
      <c r="T85" s="1"/>
      <c r="U85" s="1"/>
      <c r="V85" s="1">
        <v>477009</v>
      </c>
      <c r="W85" s="1"/>
      <c r="X85" s="1"/>
      <c r="Y85" s="1"/>
      <c r="Z85" s="1"/>
      <c r="AA85" s="1">
        <v>475175</v>
      </c>
      <c r="AB85" s="1"/>
      <c r="AC85" s="1"/>
      <c r="AD85" s="1"/>
      <c r="AE85" s="1">
        <v>205657</v>
      </c>
      <c r="AF85" s="1"/>
      <c r="AG85" s="1"/>
      <c r="AH85" s="1">
        <v>353432</v>
      </c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>
        <v>469056</v>
      </c>
      <c r="S86" s="1">
        <v>470640</v>
      </c>
      <c r="T86" s="1"/>
      <c r="U86" s="1"/>
      <c r="V86" s="1">
        <v>98058</v>
      </c>
      <c r="W86" s="1"/>
      <c r="X86" s="1"/>
      <c r="Y86" s="1"/>
      <c r="Z86" s="1"/>
      <c r="AA86" s="1">
        <v>463003</v>
      </c>
      <c r="AB86" s="1"/>
      <c r="AC86" s="1"/>
      <c r="AD86" s="1"/>
      <c r="AE86" s="1">
        <v>467177</v>
      </c>
      <c r="AF86" s="1"/>
      <c r="AG86" s="1"/>
      <c r="AH86" s="1">
        <v>353433</v>
      </c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>
        <v>433286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>
        <v>88688</v>
      </c>
      <c r="S87" s="1">
        <v>469387</v>
      </c>
      <c r="T87" s="1"/>
      <c r="U87" s="1"/>
      <c r="V87" s="1">
        <v>477010</v>
      </c>
      <c r="W87" s="1"/>
      <c r="X87" s="1"/>
      <c r="Y87" s="1"/>
      <c r="Z87" s="1"/>
      <c r="AA87" s="1">
        <v>463011</v>
      </c>
      <c r="AB87" s="1"/>
      <c r="AC87" s="1"/>
      <c r="AD87" s="1"/>
      <c r="AE87" s="1">
        <v>409220</v>
      </c>
      <c r="AF87" s="1"/>
      <c r="AG87" s="1"/>
      <c r="AH87" s="1">
        <v>399073</v>
      </c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>
        <v>457615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>
        <v>29560</v>
      </c>
      <c r="S88" s="1">
        <v>469368</v>
      </c>
      <c r="T88" s="1"/>
      <c r="U88" s="1"/>
      <c r="V88" s="1">
        <v>345323</v>
      </c>
      <c r="W88" s="1"/>
      <c r="X88" s="1"/>
      <c r="Y88" s="1"/>
      <c r="Z88" s="1"/>
      <c r="AA88" s="1">
        <v>477107</v>
      </c>
      <c r="AB88" s="1"/>
      <c r="AC88" s="1"/>
      <c r="AD88" s="1"/>
      <c r="AE88" s="1">
        <v>462023</v>
      </c>
      <c r="AF88" s="1"/>
      <c r="AG88" s="1"/>
      <c r="AH88" s="1">
        <v>480272</v>
      </c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">
        <v>393598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>
        <v>365430</v>
      </c>
      <c r="S89" s="1">
        <v>469388</v>
      </c>
      <c r="T89" s="1"/>
      <c r="U89" s="1"/>
      <c r="V89" s="1">
        <v>97111</v>
      </c>
      <c r="W89" s="1"/>
      <c r="X89" s="1"/>
      <c r="Y89" s="1"/>
      <c r="Z89" s="1"/>
      <c r="AA89" s="1">
        <v>472489</v>
      </c>
      <c r="AB89" s="1"/>
      <c r="AC89" s="1"/>
      <c r="AD89" s="1"/>
      <c r="AE89" s="1">
        <v>463729</v>
      </c>
      <c r="AF89" s="1"/>
      <c r="AG89" s="1"/>
      <c r="AH89" s="1">
        <v>480264</v>
      </c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">
        <v>422975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>
        <v>474756</v>
      </c>
      <c r="S90" s="1">
        <v>469389</v>
      </c>
      <c r="T90" s="1"/>
      <c r="U90" s="1"/>
      <c r="V90" s="1">
        <v>233731</v>
      </c>
      <c r="W90" s="1"/>
      <c r="X90" s="1"/>
      <c r="Y90" s="1"/>
      <c r="Z90" s="1"/>
      <c r="AA90" s="1">
        <v>438085</v>
      </c>
      <c r="AB90" s="1"/>
      <c r="AC90" s="1"/>
      <c r="AD90" s="1"/>
      <c r="AE90" s="1">
        <v>445553</v>
      </c>
      <c r="AF90" s="1"/>
      <c r="AG90" s="1"/>
      <c r="AH90" s="1">
        <v>480270</v>
      </c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>
        <v>422976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>
        <v>474755</v>
      </c>
      <c r="S91" s="1">
        <v>257052</v>
      </c>
      <c r="T91" s="1"/>
      <c r="U91" s="1"/>
      <c r="V91" s="1">
        <v>233732</v>
      </c>
      <c r="W91" s="1"/>
      <c r="X91" s="1"/>
      <c r="Y91" s="1"/>
      <c r="Z91" s="1"/>
      <c r="AA91" s="1">
        <v>475135</v>
      </c>
      <c r="AB91" s="1"/>
      <c r="AC91" s="1"/>
      <c r="AD91" s="1"/>
      <c r="AE91" s="1">
        <v>203118</v>
      </c>
      <c r="AF91" s="1"/>
      <c r="AG91" s="1"/>
      <c r="AH91" s="1">
        <v>353431</v>
      </c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">
        <v>422977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>
        <v>456052</v>
      </c>
      <c r="S92" s="1">
        <v>260418</v>
      </c>
      <c r="T92" s="1"/>
      <c r="U92" s="1"/>
      <c r="V92" s="1">
        <v>281726</v>
      </c>
      <c r="W92" s="1"/>
      <c r="X92" s="1"/>
      <c r="Y92" s="1"/>
      <c r="Z92" s="1"/>
      <c r="AA92" s="1">
        <v>475166</v>
      </c>
      <c r="AB92" s="1"/>
      <c r="AC92" s="1"/>
      <c r="AD92" s="1"/>
      <c r="AE92" s="1">
        <v>99915</v>
      </c>
      <c r="AF92" s="1"/>
      <c r="AG92" s="1"/>
      <c r="AH92" s="1">
        <v>372179</v>
      </c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">
        <v>455432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>
        <v>474757</v>
      </c>
      <c r="S93" s="1">
        <v>214228</v>
      </c>
      <c r="T93" s="1"/>
      <c r="U93" s="1"/>
      <c r="V93" s="1">
        <v>332416</v>
      </c>
      <c r="W93" s="1"/>
      <c r="X93" s="1"/>
      <c r="Y93" s="1"/>
      <c r="Z93" s="1"/>
      <c r="AA93" s="1">
        <v>465446</v>
      </c>
      <c r="AB93" s="1"/>
      <c r="AC93" s="1"/>
      <c r="AD93" s="1"/>
      <c r="AE93" s="1">
        <v>459597</v>
      </c>
      <c r="AF93" s="1"/>
      <c r="AG93" s="1"/>
      <c r="AH93" s="1">
        <v>372181</v>
      </c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">
        <v>475935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>
        <v>219301</v>
      </c>
      <c r="S94" s="1">
        <v>438691</v>
      </c>
      <c r="T94" s="1"/>
      <c r="U94" s="1"/>
      <c r="V94" s="1">
        <v>83584</v>
      </c>
      <c r="W94" s="1"/>
      <c r="X94" s="1"/>
      <c r="Y94" s="1"/>
      <c r="Z94" s="1"/>
      <c r="AA94" s="1">
        <v>442839</v>
      </c>
      <c r="AB94" s="1"/>
      <c r="AC94" s="1"/>
      <c r="AD94" s="1"/>
      <c r="AE94" s="1">
        <v>468948</v>
      </c>
      <c r="AF94" s="1"/>
      <c r="AG94" s="1"/>
      <c r="AH94" s="1">
        <v>372178</v>
      </c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>
        <v>388323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>
        <v>394332</v>
      </c>
      <c r="S95" s="1">
        <v>419716</v>
      </c>
      <c r="T95" s="1"/>
      <c r="U95" s="1"/>
      <c r="V95" s="1">
        <v>93508</v>
      </c>
      <c r="W95" s="1"/>
      <c r="X95" s="1"/>
      <c r="Y95" s="1"/>
      <c r="Z95" s="1"/>
      <c r="AA95" s="1">
        <v>469170</v>
      </c>
      <c r="AB95" s="1"/>
      <c r="AC95" s="1"/>
      <c r="AD95" s="1"/>
      <c r="AE95" s="1">
        <v>463730</v>
      </c>
      <c r="AF95" s="1"/>
      <c r="AG95" s="1"/>
      <c r="AH95" s="1">
        <v>372176</v>
      </c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">
        <v>473584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>
        <v>353525</v>
      </c>
      <c r="T96" s="1"/>
      <c r="U96" s="1"/>
      <c r="V96" s="1">
        <v>476989</v>
      </c>
      <c r="W96" s="1"/>
      <c r="X96" s="1"/>
      <c r="Y96" s="1"/>
      <c r="Z96" s="1"/>
      <c r="AA96" s="1">
        <v>468129</v>
      </c>
      <c r="AB96" s="1"/>
      <c r="AC96" s="1"/>
      <c r="AD96" s="1"/>
      <c r="AE96" s="1">
        <v>463732</v>
      </c>
      <c r="AF96" s="1"/>
      <c r="AG96" s="1"/>
      <c r="AH96" s="1">
        <v>486518</v>
      </c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">
        <v>473585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>
        <v>302277</v>
      </c>
      <c r="T97" s="1"/>
      <c r="U97" s="1"/>
      <c r="V97" s="1">
        <v>252015</v>
      </c>
      <c r="W97" s="1"/>
      <c r="X97" s="1"/>
      <c r="Y97" s="1"/>
      <c r="Z97" s="1"/>
      <c r="AA97" s="1">
        <v>475183</v>
      </c>
      <c r="AB97" s="1"/>
      <c r="AC97" s="1"/>
      <c r="AD97" s="1"/>
      <c r="AE97" s="1">
        <v>430387</v>
      </c>
      <c r="AF97" s="1"/>
      <c r="AG97" s="1"/>
      <c r="AH97" s="1">
        <v>486520</v>
      </c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>
        <v>150745</v>
      </c>
      <c r="T98" s="1"/>
      <c r="U98" s="1"/>
      <c r="V98" s="1">
        <v>261155</v>
      </c>
      <c r="W98" s="1"/>
      <c r="X98" s="1"/>
      <c r="Y98" s="1"/>
      <c r="Z98" s="1"/>
      <c r="AA98" s="1">
        <v>473844</v>
      </c>
      <c r="AB98" s="1"/>
      <c r="AC98" s="1"/>
      <c r="AD98" s="1"/>
      <c r="AE98" s="1">
        <v>430382</v>
      </c>
      <c r="AF98" s="1"/>
      <c r="AG98" s="1"/>
      <c r="AH98" s="1">
        <v>486521</v>
      </c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>
        <v>424366</v>
      </c>
      <c r="T99" s="1"/>
      <c r="U99" s="1"/>
      <c r="V99" s="1">
        <v>197240</v>
      </c>
      <c r="W99" s="1"/>
      <c r="X99" s="1"/>
      <c r="Y99" s="1"/>
      <c r="Z99" s="1"/>
      <c r="AA99" s="1">
        <v>465868</v>
      </c>
      <c r="AB99" s="1"/>
      <c r="AC99" s="1"/>
      <c r="AD99" s="1"/>
      <c r="AE99" s="1">
        <v>434048</v>
      </c>
      <c r="AF99" s="1"/>
      <c r="AG99" s="1"/>
      <c r="AH99" s="1">
        <v>486501</v>
      </c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">
        <v>479832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>
        <v>424367</v>
      </c>
      <c r="T100" s="1"/>
      <c r="U100" s="1"/>
      <c r="V100" s="1">
        <v>418182</v>
      </c>
      <c r="W100" s="1"/>
      <c r="X100" s="1"/>
      <c r="Y100" s="1"/>
      <c r="Z100" s="1"/>
      <c r="AA100" s="1">
        <v>475161</v>
      </c>
      <c r="AB100" s="1"/>
      <c r="AC100" s="1"/>
      <c r="AD100" s="1"/>
      <c r="AE100" s="1">
        <v>477271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>
        <v>476849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>
        <v>68044</v>
      </c>
      <c r="T101" s="1"/>
      <c r="U101" s="1"/>
      <c r="V101" s="1">
        <v>345324</v>
      </c>
      <c r="W101" s="1"/>
      <c r="X101" s="1"/>
      <c r="Y101" s="1"/>
      <c r="Z101" s="1"/>
      <c r="AA101" s="1">
        <v>458449</v>
      </c>
      <c r="AB101" s="1"/>
      <c r="AC101" s="1"/>
      <c r="AD101" s="1"/>
      <c r="AE101" s="1">
        <v>459596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">
        <v>476850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>
        <v>301874</v>
      </c>
      <c r="T102" s="1"/>
      <c r="U102" s="1"/>
      <c r="V102" s="1">
        <v>172294</v>
      </c>
      <c r="W102" s="1"/>
      <c r="X102" s="1"/>
      <c r="Y102" s="1"/>
      <c r="Z102" s="1"/>
      <c r="AA102" s="1">
        <v>463010</v>
      </c>
      <c r="AB102" s="1"/>
      <c r="AC102" s="1"/>
      <c r="AD102" s="1"/>
      <c r="AE102" s="1">
        <v>477266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">
        <v>224859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>
        <v>140046</v>
      </c>
      <c r="T103" s="1"/>
      <c r="U103" s="1"/>
      <c r="V103" s="1">
        <v>422347</v>
      </c>
      <c r="W103" s="1"/>
      <c r="X103" s="1"/>
      <c r="Y103" s="1"/>
      <c r="Z103" s="1"/>
      <c r="AA103" s="1">
        <v>469089</v>
      </c>
      <c r="AB103" s="1"/>
      <c r="AC103" s="1"/>
      <c r="AD103" s="1"/>
      <c r="AE103" s="1">
        <v>474895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">
        <v>228789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>
        <v>474971</v>
      </c>
      <c r="T104" s="1"/>
      <c r="U104" s="1"/>
      <c r="V104" s="1">
        <v>157000</v>
      </c>
      <c r="W104" s="1"/>
      <c r="X104" s="1"/>
      <c r="Y104" s="1"/>
      <c r="Z104" s="1"/>
      <c r="AA104" s="1">
        <v>457586</v>
      </c>
      <c r="AB104" s="1"/>
      <c r="AC104" s="1"/>
      <c r="AD104" s="1"/>
      <c r="AE104" s="1">
        <v>477267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">
        <v>314142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>
        <v>443813</v>
      </c>
      <c r="T105" s="1"/>
      <c r="U105" s="1"/>
      <c r="V105" s="1">
        <v>476838</v>
      </c>
      <c r="W105" s="1"/>
      <c r="X105" s="1"/>
      <c r="Y105" s="1"/>
      <c r="Z105" s="1"/>
      <c r="AA105" s="1">
        <v>465869</v>
      </c>
      <c r="AB105" s="1"/>
      <c r="AC105" s="1"/>
      <c r="AD105" s="1"/>
      <c r="AE105" s="1">
        <v>430385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>
        <v>98795</v>
      </c>
      <c r="W106" s="1"/>
      <c r="X106" s="1"/>
      <c r="Y106" s="1"/>
      <c r="Z106" s="1"/>
      <c r="AA106" s="1">
        <v>406381</v>
      </c>
      <c r="AB106" s="1"/>
      <c r="AC106" s="1"/>
      <c r="AD106" s="1"/>
      <c r="AE106" s="1">
        <v>314946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">
        <v>435727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>
        <v>477011</v>
      </c>
      <c r="W107" s="1"/>
      <c r="X107" s="1"/>
      <c r="Y107" s="1"/>
      <c r="Z107" s="1"/>
      <c r="AA107" s="1">
        <v>475165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">
        <v>462240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>
        <v>476982</v>
      </c>
      <c r="W108" s="1"/>
      <c r="X108" s="1"/>
      <c r="Y108" s="1"/>
      <c r="Z108" s="1"/>
      <c r="AA108" s="1">
        <v>469091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>
        <v>242598</v>
      </c>
      <c r="W109" s="1"/>
      <c r="X109" s="1"/>
      <c r="Y109" s="1"/>
      <c r="Z109" s="1"/>
      <c r="AA109" s="1">
        <v>406423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>
        <v>164508</v>
      </c>
      <c r="W110" s="1"/>
      <c r="X110" s="1"/>
      <c r="Y110" s="1"/>
      <c r="Z110" s="1"/>
      <c r="AA110" s="1">
        <v>475178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>
        <v>477936</v>
      </c>
      <c r="W111" s="1"/>
      <c r="X111" s="1"/>
      <c r="Y111" s="1"/>
      <c r="Z111" s="1"/>
      <c r="AA111" s="1">
        <v>475134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>
        <v>277695</v>
      </c>
      <c r="W112" s="1"/>
      <c r="X112" s="1"/>
      <c r="Y112" s="1"/>
      <c r="Z112" s="1"/>
      <c r="AA112" s="1">
        <v>465437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>
        <v>323286</v>
      </c>
      <c r="W113" s="1"/>
      <c r="X113" s="1"/>
      <c r="Y113" s="1"/>
      <c r="Z113" s="1"/>
      <c r="AA113" s="1">
        <v>465436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>
        <v>459042</v>
      </c>
      <c r="W114" s="1"/>
      <c r="X114" s="1"/>
      <c r="Y114" s="1"/>
      <c r="Z114" s="1"/>
      <c r="AA114" s="1">
        <v>438086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>
        <v>476980</v>
      </c>
      <c r="W115" s="1"/>
      <c r="X115" s="1"/>
      <c r="Y115" s="1"/>
      <c r="Z115" s="1"/>
      <c r="AA115" s="1">
        <v>471812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>
        <v>426316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>
        <v>221406</v>
      </c>
      <c r="W116" s="1"/>
      <c r="X116" s="1"/>
      <c r="Y116" s="1"/>
      <c r="Z116" s="1"/>
      <c r="AA116" s="1">
        <v>463012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>
        <v>463234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>
        <v>476841</v>
      </c>
      <c r="W117" s="1"/>
      <c r="X117" s="1"/>
      <c r="Y117" s="1"/>
      <c r="Z117" s="1"/>
      <c r="AA117" s="1">
        <v>458455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>
        <v>368272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>
        <v>476985</v>
      </c>
      <c r="W118" s="1"/>
      <c r="X118" s="1"/>
      <c r="Y118" s="1"/>
      <c r="Z118" s="1"/>
      <c r="AA118" s="1">
        <v>475916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>
        <v>107758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>
        <v>476988</v>
      </c>
      <c r="W119" s="1"/>
      <c r="X119" s="1"/>
      <c r="Y119" s="1"/>
      <c r="Z119" s="1"/>
      <c r="AA119" s="1">
        <v>455465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">
        <v>137571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>
        <v>477939</v>
      </c>
      <c r="W120" s="1"/>
      <c r="X120" s="1"/>
      <c r="Y120" s="1"/>
      <c r="Z120" s="1"/>
      <c r="AA120" s="1">
        <v>457585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>
        <v>478259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>
        <v>476983</v>
      </c>
      <c r="W121" s="1"/>
      <c r="X121" s="1"/>
      <c r="Y121" s="1"/>
      <c r="Z121" s="1"/>
      <c r="AA121" s="1">
        <v>486094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">
        <v>427328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>
        <v>324772</v>
      </c>
      <c r="W122" s="1"/>
      <c r="X122" s="1"/>
      <c r="Y122" s="1"/>
      <c r="Z122" s="1"/>
      <c r="AA122" s="1">
        <v>475915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">
        <v>475937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>
        <v>477916</v>
      </c>
      <c r="W123" s="1"/>
      <c r="X123" s="1"/>
      <c r="Y123" s="1"/>
      <c r="Z123" s="1"/>
      <c r="AA123" s="1">
        <v>436075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>
        <v>22688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>
        <v>68661</v>
      </c>
      <c r="W124" s="1"/>
      <c r="X124" s="1"/>
      <c r="Y124" s="1"/>
      <c r="Z124" s="1"/>
      <c r="AA124" s="1">
        <v>442838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>
        <v>430502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>
        <v>476981</v>
      </c>
      <c r="W125" s="1"/>
      <c r="X125" s="1"/>
      <c r="Y125" s="1"/>
      <c r="Z125" s="1"/>
      <c r="AA125" s="1">
        <v>456607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>
        <v>453388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>
        <v>114126</v>
      </c>
      <c r="W126" s="1"/>
      <c r="X126" s="1"/>
      <c r="Y126" s="1"/>
      <c r="Z126" s="1"/>
      <c r="AA126" s="1">
        <v>449382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>
        <v>385132</v>
      </c>
      <c r="W127" s="1"/>
      <c r="X127" s="1"/>
      <c r="Y127" s="1"/>
      <c r="Z127" s="1"/>
      <c r="AA127" s="1">
        <v>408815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>
        <v>401518</v>
      </c>
      <c r="W128" s="1"/>
      <c r="X128" s="1"/>
      <c r="Y128" s="1"/>
      <c r="Z128" s="1"/>
      <c r="AA128" s="1">
        <v>458384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">
        <v>221727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>
        <v>439774</v>
      </c>
      <c r="W129" s="1"/>
      <c r="X129" s="1"/>
      <c r="Y129" s="1"/>
      <c r="Z129" s="1"/>
      <c r="AA129" s="1">
        <v>469115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>
        <v>457544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>
        <v>476986</v>
      </c>
      <c r="W130" s="1"/>
      <c r="X130" s="1"/>
      <c r="Y130" s="1"/>
      <c r="Z130" s="1"/>
      <c r="AA130" s="1">
        <v>458458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>
        <v>479868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>
        <v>384751</v>
      </c>
      <c r="W131" s="1"/>
      <c r="X131" s="1"/>
      <c r="Y131" s="1"/>
      <c r="Z131" s="1"/>
      <c r="AA131" s="1">
        <v>458451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>
        <v>354199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>
        <v>384752</v>
      </c>
      <c r="W132" s="1"/>
      <c r="X132" s="1"/>
      <c r="Y132" s="1"/>
      <c r="Z132" s="1"/>
      <c r="AA132" s="1">
        <v>458447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>
        <v>413540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>
        <v>403385</v>
      </c>
      <c r="W133" s="1"/>
      <c r="X133" s="1"/>
      <c r="Y133" s="1"/>
      <c r="Z133" s="1"/>
      <c r="AA133" s="1">
        <v>465438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>
        <v>387070</v>
      </c>
      <c r="W134" s="1"/>
      <c r="X134" s="1"/>
      <c r="Y134" s="1"/>
      <c r="Z134" s="1"/>
      <c r="AA134" s="1">
        <v>456558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>
        <v>457600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>
        <v>380856</v>
      </c>
      <c r="W135" s="1"/>
      <c r="X135" s="1"/>
      <c r="Y135" s="1"/>
      <c r="Z135" s="1"/>
      <c r="AA135" s="1">
        <v>463009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>
        <v>457542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>
        <v>227033</v>
      </c>
      <c r="W136" s="1"/>
      <c r="X136" s="1"/>
      <c r="Y136" s="1"/>
      <c r="Z136" s="1"/>
      <c r="AA136" s="1">
        <v>427688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>
        <v>416155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>
        <v>380855</v>
      </c>
      <c r="W137" s="1"/>
      <c r="X137" s="1"/>
      <c r="Y137" s="1"/>
      <c r="Z137" s="1"/>
      <c r="AA137" s="1">
        <v>465867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>
        <v>470756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>
        <v>469353</v>
      </c>
      <c r="W138" s="1"/>
      <c r="X138" s="1"/>
      <c r="Y138" s="1"/>
      <c r="Z138" s="1"/>
      <c r="AA138" s="1">
        <v>477330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>
        <v>470757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>
        <v>395703</v>
      </c>
      <c r="W139" s="1"/>
      <c r="X139" s="1"/>
      <c r="Y139" s="1"/>
      <c r="Z139" s="1"/>
      <c r="AA139" s="1">
        <v>465421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>
        <v>470758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>
        <v>387072</v>
      </c>
      <c r="W140" s="1"/>
      <c r="X140" s="1"/>
      <c r="Y140" s="1"/>
      <c r="Z140" s="1"/>
      <c r="AA140" s="1">
        <v>457584</v>
      </c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>
        <v>470784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>
        <v>227018</v>
      </c>
      <c r="W141" s="1"/>
      <c r="X141" s="1"/>
      <c r="Y141" s="1"/>
      <c r="Z141" s="1"/>
      <c r="AA141" s="1">
        <v>465442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>
        <v>477946</v>
      </c>
      <c r="W142" s="1"/>
      <c r="X142" s="1"/>
      <c r="Y142" s="1"/>
      <c r="Z142" s="1"/>
      <c r="AA142" s="1">
        <v>458442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>
        <v>170232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>
        <v>380854</v>
      </c>
      <c r="W143" s="1"/>
      <c r="X143" s="1"/>
      <c r="Y143" s="1"/>
      <c r="Z143" s="1"/>
      <c r="AA143" s="1">
        <v>458443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>
        <v>421553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>
        <v>172298</v>
      </c>
      <c r="W144" s="1"/>
      <c r="X144" s="1"/>
      <c r="Y144" s="1"/>
      <c r="Z144" s="1"/>
      <c r="AA144" s="1">
        <v>458468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>
        <v>421554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>
        <v>227017</v>
      </c>
      <c r="W145" s="1"/>
      <c r="X145" s="1"/>
      <c r="Y145" s="1"/>
      <c r="Z145" s="1"/>
      <c r="AA145" s="1">
        <v>455470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>
        <v>421556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>
        <v>380853</v>
      </c>
      <c r="W146" s="1"/>
      <c r="X146" s="1"/>
      <c r="Y146" s="1"/>
      <c r="Z146" s="1"/>
      <c r="AA146" s="1">
        <v>456606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>
        <v>421555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>
        <v>392153</v>
      </c>
      <c r="W147" s="1"/>
      <c r="X147" s="1"/>
      <c r="Y147" s="1"/>
      <c r="Z147" s="1"/>
      <c r="AA147" s="1">
        <v>465423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>
        <v>421552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>
        <v>259299</v>
      </c>
      <c r="W148" s="1"/>
      <c r="X148" s="1"/>
      <c r="Y148" s="1"/>
      <c r="Z148" s="1"/>
      <c r="AA148" s="1">
        <v>456559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>
        <v>276889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>
        <v>227045</v>
      </c>
      <c r="W149" s="1"/>
      <c r="X149" s="1"/>
      <c r="Y149" s="1"/>
      <c r="Z149" s="1"/>
      <c r="AA149" s="1">
        <v>456578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>
        <v>80876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>
        <v>411517</v>
      </c>
      <c r="W150" s="1"/>
      <c r="X150" s="1"/>
      <c r="Y150" s="1"/>
      <c r="Z150" s="1"/>
      <c r="AA150" s="1">
        <v>444421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>
        <v>80745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>
        <v>380340</v>
      </c>
      <c r="W151" s="1"/>
      <c r="X151" s="1"/>
      <c r="Y151" s="1"/>
      <c r="Z151" s="1"/>
      <c r="AA151" s="1">
        <v>477132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>
        <v>80746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>
        <v>206720</v>
      </c>
      <c r="W152" s="1"/>
      <c r="X152" s="1"/>
      <c r="Y152" s="1"/>
      <c r="Z152" s="1"/>
      <c r="AA152" s="1">
        <v>458389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>
        <v>80747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>
        <v>206719</v>
      </c>
      <c r="W153" s="1"/>
      <c r="X153" s="1"/>
      <c r="Y153" s="1"/>
      <c r="Z153" s="1"/>
      <c r="AA153" s="1">
        <v>460745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>
        <v>276885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>
        <v>456561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>
        <v>276888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>
        <v>458781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>
        <v>276890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>
        <v>463013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>
        <v>263583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>
        <v>455468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>
        <v>263582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>
        <v>463014</v>
      </c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>
        <v>263581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>
        <v>462310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>
        <v>479366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>
        <v>465422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>
        <v>478773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>
        <v>460648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>
        <v>444860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>
        <v>403711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>
        <v>455469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>
        <v>457603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>
        <v>458387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>
        <v>457605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>
        <v>456601</v>
      </c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>
        <v>457612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>
        <v>471813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>
        <v>321045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>
        <v>458386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>
        <v>489485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>
        <v>263584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>
        <v>485530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>
        <v>420255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>
        <v>257486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>
        <v>361792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>
        <v>481985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>
        <v>440799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>
        <v>388324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>
        <v>489177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>
        <v>404979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>
        <v>487627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>
        <v>435728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>
        <v>477526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>
        <v>325724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>
        <v>422564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>
        <v>422306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>
        <v>419881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>
        <v>420227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>
        <v>439652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>
        <v>437382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>
        <v>420230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>
        <v>423887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>
        <v>86236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>
        <v>86235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>
        <v>86237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>
        <v>86240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>
        <v>86241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>
        <v>316244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>
        <v>424450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>
        <v>403609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>
        <v>422858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>
        <v>470376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>
        <v>167003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>
        <v>430503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>
        <v>162411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>
        <v>399075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>
        <v>36031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>
        <v>310949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>
        <v>325723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>
        <v>422855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>
        <v>325729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>
        <v>479869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>
        <v>324383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>
        <v>478992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>
        <v>387464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>
        <v>171930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>
        <v>274191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>
        <v>467887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>
        <v>455843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>
        <v>370095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>
        <v>152584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>
        <v>479908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>
        <v>395264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>
        <v>479364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>
        <v>404983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>
        <v>325725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>
        <v>397634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>
        <v>489179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>
        <v>358920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>
        <v>361816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>
        <v>361817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>
        <v>483297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>
        <v>416156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>
        <v>467752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>
        <v>467754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>
        <v>467755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>
        <v>440801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>
        <v>467753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>
        <v>422963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>
        <v>368984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>
        <v>381723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>
        <v>468241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>
        <v>474809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>
        <v>419668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>
        <v>424466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>
        <v>142717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>
        <v>492811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>
        <v>318077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>
        <v>368273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>
        <v>443813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>
        <v>467814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>
        <v>152585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>
        <v>467815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>
        <v>232484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>
        <v>467793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>
        <v>190283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>
        <v>224767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>
        <v>478774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>
        <v>349324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>
        <v>358917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>
        <v>414034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>
        <v>416296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>
        <v>434744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>
        <v>434746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>
        <v>434748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>
        <v>434747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>
        <v>478257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>
        <v>349326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>
        <v>232514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>
        <v>349327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>
        <v>451130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>
        <v>143663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>
        <v>269074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>
        <v>364209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>
        <v>474066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>
        <v>482043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>
        <v>302454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>
        <v>482042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>
        <v>482044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>
        <v>391074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>
        <v>418226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>
        <v>474810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>
        <v>188577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>
        <v>461879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>
        <v>478258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>
        <v>480957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>
        <v>392978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>
        <v>68044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>
        <v>412645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>
        <v>467756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>
        <v>475422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>
        <v>365427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>
        <v>377036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>
        <v>374726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>
        <v>374727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>
        <v>374728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>
        <v>374729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>
        <v>374725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>
        <v>467722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>
        <v>360609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>
        <v>312197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>
        <v>312196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>
        <v>312195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>
        <v>311905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>
        <v>342976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>
        <v>425713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>
        <v>314685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>
        <v>381720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>
        <v>325726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>
        <v>325727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>
        <v>424467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>
        <v>448178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>
        <v>448185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>
        <v>449986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>
        <v>457601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>
        <v>479870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>
        <v>430504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>
        <v>424107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>
        <v>356640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>
        <v>423964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>
        <v>478133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>
        <v>478135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>
        <v>478136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>
        <v>478134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>
        <v>137808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>
        <v>400158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>
        <v>403608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>
        <v>467810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>
        <v>475831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>
        <v>443214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>
        <v>444861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>
        <v>463235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>
        <v>373174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>
        <v>419880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>
        <v>424577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>
        <v>447357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>
        <v>169787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>
        <v>166857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>
        <v>295812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>
        <v>434749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>
        <v>434750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>
        <v>434752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>
        <v>434751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>
        <v>467811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>
        <v>162405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>
        <v>169760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>
        <v>421766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>
        <v>449994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>
        <v>462375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>
        <v>391304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>
        <v>59910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>
        <v>483298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>
        <v>155522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>
        <v>479369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>
        <v>488963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>
        <v>439325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>
        <v>290604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>
        <v>495207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>
        <v>449995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>
        <v>406134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>
        <v>391305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>
        <v>421764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>
        <v>164716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>
        <v>364034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>
        <v>240856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>
        <v>489180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>
        <v>495213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>
        <v>22710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>
        <v>405899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>
        <v>101559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>
        <v>369502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>
        <v>472385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>
        <v>481695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>
        <v>445645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>
        <v>441428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>
        <v>441362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>
        <v>90015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6302-90EE-4333-92F5-D5C8F457B85C}">
  <dimension ref="A1:J387"/>
  <sheetViews>
    <sheetView workbookViewId="0">
      <selection activeCell="E20" sqref="E20"/>
    </sheetView>
  </sheetViews>
  <sheetFormatPr baseColWidth="10" defaultRowHeight="15" x14ac:dyDescent="0.25"/>
  <cols>
    <col min="1" max="1" width="11.140625" customWidth="1"/>
    <col min="2" max="10" width="12" customWidth="1"/>
    <col min="11" max="11" width="13" customWidth="1"/>
  </cols>
  <sheetData>
    <row r="1" spans="1:10" x14ac:dyDescent="0.25">
      <c r="A1" s="5" t="s">
        <v>38</v>
      </c>
      <c r="B1" s="1" t="s">
        <v>37</v>
      </c>
      <c r="C1" s="5" t="s">
        <v>41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</row>
    <row r="2" spans="1:10" x14ac:dyDescent="0.25">
      <c r="A2" s="5"/>
      <c r="B2" s="1"/>
      <c r="C2" s="5"/>
      <c r="D2" s="5"/>
      <c r="E2" s="5"/>
      <c r="F2" s="5"/>
      <c r="G2" s="5"/>
      <c r="H2" s="5"/>
      <c r="I2" s="5"/>
      <c r="J2" s="5"/>
    </row>
    <row r="3" spans="1:10" x14ac:dyDescent="0.25">
      <c r="A3" s="5"/>
      <c r="B3" s="1"/>
      <c r="C3" s="5"/>
      <c r="D3" s="5"/>
      <c r="E3" s="5"/>
      <c r="F3" s="5"/>
      <c r="G3" s="5"/>
      <c r="H3" s="5"/>
      <c r="I3" s="5"/>
      <c r="J3" s="5"/>
    </row>
    <row r="4" spans="1:10" x14ac:dyDescent="0.25">
      <c r="A4" s="5"/>
      <c r="B4" s="1"/>
      <c r="C4" s="5"/>
      <c r="D4" s="5"/>
      <c r="E4" s="5"/>
      <c r="F4" s="5"/>
      <c r="G4" s="5"/>
      <c r="H4" s="5"/>
      <c r="I4" s="5"/>
      <c r="J4" s="5"/>
    </row>
    <row r="5" spans="1:10" x14ac:dyDescent="0.25">
      <c r="A5" s="5"/>
      <c r="B5" s="1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/>
      <c r="B6" s="1"/>
      <c r="C6" s="5"/>
      <c r="D6" s="5"/>
      <c r="E6" s="5"/>
      <c r="F6" s="5"/>
      <c r="G6" s="5"/>
      <c r="H6" s="5"/>
      <c r="I6" s="5"/>
      <c r="J6" s="5"/>
    </row>
    <row r="7" spans="1:10" x14ac:dyDescent="0.25">
      <c r="A7" s="5"/>
      <c r="B7" s="1"/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1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1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/>
      <c r="B10" s="1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1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1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1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5"/>
      <c r="B14" s="1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A15" s="5"/>
      <c r="B15" s="1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5"/>
      <c r="B16" s="1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5"/>
      <c r="B17" s="1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5"/>
      <c r="B18" s="1"/>
      <c r="C18" s="5"/>
      <c r="D18" s="5"/>
      <c r="E18" s="5"/>
      <c r="F18" s="5"/>
      <c r="G18" s="5"/>
      <c r="H18" s="5"/>
      <c r="I18" s="5"/>
      <c r="J18" s="5"/>
    </row>
    <row r="19" spans="1:10" x14ac:dyDescent="0.25">
      <c r="A19" s="5"/>
      <c r="B19" s="1"/>
      <c r="C19" s="5"/>
      <c r="D19" s="5"/>
      <c r="E19" s="5"/>
      <c r="F19" s="5"/>
      <c r="G19" s="5"/>
      <c r="H19" s="5"/>
      <c r="I19" s="5"/>
      <c r="J19" s="5"/>
    </row>
    <row r="20" spans="1:10" x14ac:dyDescent="0.25">
      <c r="A20" s="5"/>
      <c r="B20" s="1"/>
      <c r="C20" s="5"/>
      <c r="D20" s="5"/>
      <c r="E20" s="5"/>
      <c r="F20" s="5"/>
      <c r="G20" s="5"/>
      <c r="H20" s="5"/>
      <c r="I20" s="5"/>
      <c r="J20" s="5"/>
    </row>
    <row r="21" spans="1:10" x14ac:dyDescent="0.25">
      <c r="A21" s="5"/>
      <c r="B21" s="1"/>
      <c r="C21" s="5"/>
      <c r="D21" s="5"/>
      <c r="E21" s="5"/>
      <c r="F21" s="5"/>
      <c r="G21" s="5"/>
      <c r="H21" s="5"/>
      <c r="I21" s="5"/>
      <c r="J21" s="5"/>
    </row>
    <row r="22" spans="1:10" x14ac:dyDescent="0.25">
      <c r="A22" s="5"/>
      <c r="B22" s="1"/>
      <c r="C22" s="5"/>
      <c r="D22" s="5"/>
      <c r="E22" s="5"/>
      <c r="F22" s="5"/>
      <c r="G22" s="5"/>
      <c r="H22" s="5"/>
      <c r="I22" s="5"/>
      <c r="J22" s="5"/>
    </row>
    <row r="23" spans="1:10" x14ac:dyDescent="0.25">
      <c r="A23" s="5"/>
      <c r="B23" s="1"/>
      <c r="C23" s="5"/>
      <c r="D23" s="5"/>
      <c r="E23" s="5"/>
      <c r="F23" s="5"/>
      <c r="G23" s="5"/>
      <c r="H23" s="5"/>
      <c r="I23" s="5"/>
      <c r="J23" s="5"/>
    </row>
    <row r="24" spans="1:10" x14ac:dyDescent="0.25">
      <c r="A24" s="5"/>
      <c r="B24" s="1"/>
      <c r="C24" s="5"/>
      <c r="D24" s="5"/>
      <c r="E24" s="5"/>
      <c r="F24" s="5"/>
      <c r="G24" s="5"/>
      <c r="H24" s="5"/>
      <c r="I24" s="5"/>
      <c r="J24" s="5"/>
    </row>
    <row r="25" spans="1:10" x14ac:dyDescent="0.25">
      <c r="A25" s="5"/>
      <c r="B25" s="1"/>
      <c r="C25" s="5"/>
      <c r="D25" s="5"/>
      <c r="E25" s="5"/>
      <c r="F25" s="5"/>
      <c r="G25" s="5"/>
      <c r="H25" s="5"/>
      <c r="I25" s="5"/>
      <c r="J25" s="5"/>
    </row>
    <row r="26" spans="1:10" x14ac:dyDescent="0.25">
      <c r="A26" s="5"/>
      <c r="B26" s="1"/>
      <c r="C26" s="5"/>
      <c r="D26" s="5"/>
      <c r="E26" s="5"/>
      <c r="F26" s="5"/>
      <c r="G26" s="5"/>
      <c r="H26" s="5"/>
      <c r="I26" s="5"/>
      <c r="J26" s="5"/>
    </row>
    <row r="27" spans="1:10" x14ac:dyDescent="0.25">
      <c r="A27" s="5"/>
      <c r="B27" s="1"/>
      <c r="C27" s="5"/>
      <c r="D27" s="5"/>
      <c r="E27" s="5"/>
      <c r="F27" s="5"/>
      <c r="G27" s="5"/>
      <c r="H27" s="5"/>
      <c r="I27" s="5"/>
      <c r="J27" s="5"/>
    </row>
    <row r="28" spans="1:10" x14ac:dyDescent="0.25">
      <c r="A28" s="5"/>
      <c r="B28" s="1"/>
      <c r="C28" s="5"/>
      <c r="D28" s="5"/>
      <c r="E28" s="5"/>
      <c r="F28" s="5"/>
      <c r="G28" s="5"/>
      <c r="H28" s="5"/>
      <c r="I28" s="5"/>
      <c r="J28" s="5"/>
    </row>
    <row r="29" spans="1:10" x14ac:dyDescent="0.25">
      <c r="A29" s="5"/>
      <c r="B29" s="1"/>
      <c r="C29" s="5"/>
      <c r="D29" s="5"/>
      <c r="E29" s="5"/>
      <c r="F29" s="5"/>
      <c r="G29" s="5"/>
      <c r="H29" s="5"/>
      <c r="I29" s="5"/>
      <c r="J29" s="5"/>
    </row>
    <row r="30" spans="1:10" x14ac:dyDescent="0.25">
      <c r="A30" s="5"/>
      <c r="B30" s="1"/>
      <c r="C30" s="5"/>
      <c r="D30" s="5"/>
      <c r="E30" s="5"/>
      <c r="F30" s="5"/>
      <c r="G30" s="5"/>
      <c r="H30" s="5"/>
      <c r="I30" s="5"/>
      <c r="J30" s="5"/>
    </row>
    <row r="31" spans="1:10" x14ac:dyDescent="0.25">
      <c r="A31" s="5"/>
      <c r="B31" s="1"/>
      <c r="C31" s="5"/>
      <c r="D31" s="5"/>
      <c r="E31" s="5"/>
      <c r="F31" s="5"/>
      <c r="G31" s="5"/>
      <c r="H31" s="5"/>
      <c r="I31" s="5"/>
      <c r="J31" s="5"/>
    </row>
    <row r="32" spans="1:10" x14ac:dyDescent="0.25">
      <c r="A32" s="5"/>
      <c r="B32" s="1"/>
      <c r="C32" s="5"/>
      <c r="D32" s="5"/>
      <c r="E32" s="5"/>
      <c r="F32" s="5"/>
      <c r="G32" s="5"/>
      <c r="H32" s="5"/>
      <c r="I32" s="5"/>
      <c r="J32" s="5"/>
    </row>
    <row r="33" spans="1:10" x14ac:dyDescent="0.25">
      <c r="A33" s="5"/>
      <c r="B33" s="1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5"/>
      <c r="B34" s="1"/>
      <c r="C34" s="5"/>
      <c r="D34" s="5"/>
      <c r="E34" s="5"/>
      <c r="F34" s="5"/>
      <c r="G34" s="5"/>
      <c r="H34" s="5"/>
      <c r="I34" s="5"/>
      <c r="J34" s="5"/>
    </row>
    <row r="35" spans="1:10" x14ac:dyDescent="0.25">
      <c r="A35" s="5"/>
      <c r="B35" s="1"/>
      <c r="C35" s="5"/>
      <c r="D35" s="5"/>
      <c r="E35" s="5"/>
      <c r="F35" s="5"/>
      <c r="G35" s="5"/>
      <c r="H35" s="5"/>
      <c r="I35" s="5"/>
      <c r="J35" s="5"/>
    </row>
    <row r="36" spans="1:10" x14ac:dyDescent="0.25">
      <c r="A36" s="5"/>
      <c r="B36" s="1"/>
      <c r="C36" s="5"/>
      <c r="D36" s="5"/>
      <c r="E36" s="5"/>
      <c r="F36" s="5"/>
      <c r="G36" s="5"/>
      <c r="H36" s="5"/>
      <c r="I36" s="5"/>
      <c r="J36" s="5"/>
    </row>
    <row r="37" spans="1:10" x14ac:dyDescent="0.25">
      <c r="A37" s="5"/>
      <c r="B37" s="1"/>
      <c r="C37" s="5"/>
      <c r="D37" s="5"/>
      <c r="E37" s="5"/>
      <c r="F37" s="5"/>
      <c r="G37" s="5"/>
      <c r="H37" s="5"/>
      <c r="I37" s="5"/>
      <c r="J37" s="5"/>
    </row>
    <row r="38" spans="1:10" x14ac:dyDescent="0.25">
      <c r="A38" s="5"/>
      <c r="B38" s="1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5"/>
      <c r="B39" s="1"/>
      <c r="C39" s="5"/>
      <c r="D39" s="5"/>
      <c r="E39" s="5"/>
      <c r="F39" s="5"/>
      <c r="G39" s="5"/>
      <c r="H39" s="5"/>
      <c r="I39" s="5"/>
      <c r="J39" s="5"/>
    </row>
    <row r="40" spans="1:10" x14ac:dyDescent="0.25">
      <c r="A40" s="5"/>
      <c r="B40" s="1"/>
      <c r="C40" s="5"/>
      <c r="D40" s="5"/>
      <c r="E40" s="5"/>
      <c r="F40" s="5"/>
      <c r="G40" s="5"/>
      <c r="H40" s="5"/>
      <c r="I40" s="5"/>
      <c r="J40" s="5"/>
    </row>
    <row r="41" spans="1:10" x14ac:dyDescent="0.25">
      <c r="A41" s="5"/>
      <c r="B41" s="1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5"/>
      <c r="B42" s="1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/>
      <c r="B43" s="1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5"/>
      <c r="B44" s="1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1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1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1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1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1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1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5"/>
      <c r="B51" s="1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5"/>
      <c r="B52" s="1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1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5"/>
      <c r="B54" s="1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5"/>
      <c r="B55" s="1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B56" s="1"/>
    </row>
    <row r="57" spans="1:10" x14ac:dyDescent="0.25">
      <c r="B57" s="1"/>
    </row>
    <row r="58" spans="1:10" x14ac:dyDescent="0.25">
      <c r="B58" s="1"/>
    </row>
    <row r="59" spans="1:10" x14ac:dyDescent="0.25">
      <c r="B59" s="1"/>
    </row>
    <row r="60" spans="1:10" x14ac:dyDescent="0.25">
      <c r="B60" s="1"/>
    </row>
    <row r="61" spans="1:10" x14ac:dyDescent="0.25">
      <c r="B61" s="1"/>
    </row>
    <row r="62" spans="1:10" x14ac:dyDescent="0.25">
      <c r="B62" s="1"/>
    </row>
    <row r="63" spans="1:10" x14ac:dyDescent="0.25">
      <c r="B63" s="1"/>
    </row>
    <row r="64" spans="1:10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1:2" x14ac:dyDescent="0.25">
      <c r="B97" s="1"/>
    </row>
    <row r="98" spans="1:2" x14ac:dyDescent="0.25">
      <c r="B98" s="1"/>
    </row>
    <row r="99" spans="1:2" x14ac:dyDescent="0.25">
      <c r="B99" s="1"/>
    </row>
    <row r="100" spans="1:2" x14ac:dyDescent="0.25">
      <c r="B100" s="1"/>
    </row>
    <row r="101" spans="1:2" x14ac:dyDescent="0.25">
      <c r="B101" s="1"/>
    </row>
    <row r="102" spans="1:2" x14ac:dyDescent="0.25">
      <c r="B102" s="1"/>
    </row>
    <row r="103" spans="1:2" x14ac:dyDescent="0.25">
      <c r="B103" s="1"/>
    </row>
    <row r="104" spans="1:2" x14ac:dyDescent="0.25">
      <c r="B104" s="1"/>
    </row>
    <row r="105" spans="1:2" x14ac:dyDescent="0.25">
      <c r="B105" s="1"/>
    </row>
    <row r="106" spans="1:2" x14ac:dyDescent="0.25">
      <c r="B106" s="1"/>
    </row>
    <row r="107" spans="1:2" x14ac:dyDescent="0.25"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B365" s="1"/>
    </row>
    <row r="366" spans="1:2" x14ac:dyDescent="0.25">
      <c r="B366" s="1"/>
    </row>
    <row r="367" spans="1:2" x14ac:dyDescent="0.25">
      <c r="B367" s="1"/>
    </row>
    <row r="368" spans="1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9C7D-36F1-43E4-A334-C017DB8A2AD2}">
  <dimension ref="A1:F73"/>
  <sheetViews>
    <sheetView topLeftCell="A49" workbookViewId="0">
      <selection activeCell="C74" sqref="C74"/>
    </sheetView>
  </sheetViews>
  <sheetFormatPr baseColWidth="10" defaultRowHeight="15" x14ac:dyDescent="0.25"/>
  <cols>
    <col min="1" max="1" width="18.140625" bestFit="1" customWidth="1"/>
    <col min="2" max="2" width="14" customWidth="1"/>
  </cols>
  <sheetData>
    <row r="1" spans="1:6" x14ac:dyDescent="0.25">
      <c r="A1" s="1" t="s">
        <v>29</v>
      </c>
      <c r="B1" s="1" t="s">
        <v>39</v>
      </c>
      <c r="C1" s="1" t="s">
        <v>40</v>
      </c>
      <c r="D1" s="1" t="s">
        <v>41</v>
      </c>
      <c r="E1" s="1" t="s">
        <v>44</v>
      </c>
      <c r="F1" s="1" t="s">
        <v>30</v>
      </c>
    </row>
    <row r="2" spans="1:6" x14ac:dyDescent="0.25">
      <c r="A2" s="1"/>
      <c r="B2" s="1"/>
      <c r="C2" s="1">
        <v>490378</v>
      </c>
      <c r="D2" s="1"/>
      <c r="E2" s="1"/>
      <c r="F2" s="1"/>
    </row>
    <row r="3" spans="1:6" x14ac:dyDescent="0.25">
      <c r="A3" s="1"/>
      <c r="B3" s="1"/>
      <c r="C3" s="1">
        <v>434953</v>
      </c>
      <c r="D3" s="1"/>
      <c r="E3" s="1"/>
      <c r="F3" s="1"/>
    </row>
    <row r="4" spans="1:6" x14ac:dyDescent="0.25">
      <c r="A4" s="1"/>
      <c r="B4" s="1"/>
      <c r="C4" s="1">
        <v>12450</v>
      </c>
      <c r="D4" s="1"/>
      <c r="E4" s="1"/>
      <c r="F4" s="1"/>
    </row>
    <row r="5" spans="1:6" x14ac:dyDescent="0.25">
      <c r="A5" s="1"/>
      <c r="B5" s="1"/>
      <c r="C5" s="1">
        <v>451095</v>
      </c>
      <c r="D5" s="1"/>
      <c r="E5" s="1"/>
      <c r="F5" s="1"/>
    </row>
    <row r="6" spans="1:6" x14ac:dyDescent="0.25">
      <c r="A6" s="1"/>
      <c r="B6" s="1"/>
      <c r="C6" s="1">
        <v>12450</v>
      </c>
      <c r="D6" s="1"/>
      <c r="E6" s="1"/>
      <c r="F6" s="1"/>
    </row>
    <row r="7" spans="1:6" x14ac:dyDescent="0.25">
      <c r="A7" s="1"/>
      <c r="B7" s="1"/>
      <c r="C7" s="1">
        <v>471112</v>
      </c>
      <c r="D7" s="1"/>
      <c r="E7" s="1"/>
      <c r="F7" s="1"/>
    </row>
    <row r="8" spans="1:6" x14ac:dyDescent="0.25">
      <c r="A8" s="1"/>
      <c r="B8" s="1"/>
      <c r="C8" s="1">
        <v>490370</v>
      </c>
      <c r="D8" s="1"/>
      <c r="E8" s="1"/>
      <c r="F8" s="1"/>
    </row>
    <row r="9" spans="1:6" x14ac:dyDescent="0.25">
      <c r="A9" s="1"/>
      <c r="B9" s="1"/>
      <c r="C9" s="1">
        <v>12450</v>
      </c>
      <c r="D9" s="1"/>
      <c r="E9" s="1"/>
      <c r="F9" s="1"/>
    </row>
    <row r="10" spans="1:6" x14ac:dyDescent="0.25">
      <c r="A10" s="1"/>
      <c r="B10" s="1"/>
      <c r="C10" s="1">
        <v>479194</v>
      </c>
      <c r="D10" s="1"/>
      <c r="E10" s="1"/>
      <c r="F10" s="1"/>
    </row>
    <row r="11" spans="1:6" x14ac:dyDescent="0.25">
      <c r="A11" s="1"/>
      <c r="B11" s="1"/>
      <c r="C11" s="1">
        <v>434957</v>
      </c>
      <c r="D11" s="1"/>
      <c r="E11" s="1"/>
      <c r="F11" s="1"/>
    </row>
    <row r="12" spans="1:6" x14ac:dyDescent="0.25">
      <c r="A12" s="1"/>
      <c r="B12" s="1"/>
      <c r="C12" s="1">
        <v>13650</v>
      </c>
      <c r="D12" s="1"/>
      <c r="E12" s="1"/>
      <c r="F12" s="1"/>
    </row>
    <row r="13" spans="1:6" x14ac:dyDescent="0.25">
      <c r="A13" s="1"/>
      <c r="B13" s="1"/>
      <c r="C13" s="1">
        <v>444602</v>
      </c>
      <c r="D13" s="1"/>
      <c r="E13" s="1"/>
      <c r="F13" s="1"/>
    </row>
    <row r="14" spans="1:6" x14ac:dyDescent="0.25">
      <c r="A14" s="1"/>
      <c r="B14" s="1"/>
      <c r="C14" s="1">
        <v>8313037</v>
      </c>
      <c r="D14" s="1"/>
      <c r="E14" s="1"/>
      <c r="F14" s="1"/>
    </row>
    <row r="15" spans="1:6" x14ac:dyDescent="0.25">
      <c r="A15" s="1"/>
      <c r="B15" s="1"/>
      <c r="C15" s="1">
        <v>473080</v>
      </c>
      <c r="D15" s="1"/>
      <c r="E15" s="1"/>
      <c r="F15" s="1"/>
    </row>
    <row r="16" spans="1:6" x14ac:dyDescent="0.25">
      <c r="A16" s="1"/>
      <c r="B16" s="1"/>
      <c r="C16" s="1">
        <v>13420</v>
      </c>
      <c r="D16" s="1"/>
      <c r="E16" s="1"/>
      <c r="F16" s="1"/>
    </row>
    <row r="17" spans="1:6" x14ac:dyDescent="0.25">
      <c r="A17" s="1"/>
      <c r="B17" s="1"/>
      <c r="C17" s="1">
        <v>13420</v>
      </c>
      <c r="D17" s="1"/>
      <c r="E17" s="1"/>
      <c r="F17" s="1"/>
    </row>
    <row r="18" spans="1:6" x14ac:dyDescent="0.25">
      <c r="A18" s="1"/>
      <c r="B18" s="1"/>
      <c r="C18" s="1">
        <v>487747</v>
      </c>
      <c r="D18" s="1"/>
      <c r="E18" s="1"/>
      <c r="F18" s="1"/>
    </row>
    <row r="19" spans="1:6" x14ac:dyDescent="0.25">
      <c r="A19" s="1"/>
      <c r="B19" s="1"/>
      <c r="C19" s="1">
        <v>12450</v>
      </c>
      <c r="D19" s="1"/>
      <c r="E19" s="1"/>
      <c r="F19" s="1"/>
    </row>
    <row r="20" spans="1:6" x14ac:dyDescent="0.25">
      <c r="A20" s="1"/>
      <c r="B20" s="1"/>
      <c r="C20" s="1">
        <v>475874</v>
      </c>
      <c r="D20" s="1"/>
      <c r="E20" s="1"/>
      <c r="F20" s="1"/>
    </row>
    <row r="21" spans="1:6" x14ac:dyDescent="0.25">
      <c r="A21" s="1"/>
      <c r="B21" s="1"/>
      <c r="C21" s="1">
        <v>8313075</v>
      </c>
      <c r="D21" s="1"/>
      <c r="E21" s="1"/>
      <c r="F21" s="1"/>
    </row>
    <row r="22" spans="1:6" x14ac:dyDescent="0.25">
      <c r="A22" s="1"/>
      <c r="B22" s="1"/>
      <c r="C22" s="1">
        <v>482911</v>
      </c>
      <c r="D22" s="1"/>
      <c r="E22" s="1"/>
      <c r="F22" s="1"/>
    </row>
    <row r="23" spans="1:6" x14ac:dyDescent="0.25">
      <c r="A23" s="1"/>
      <c r="B23" s="1"/>
      <c r="C23" s="1">
        <v>13620</v>
      </c>
      <c r="D23" s="1"/>
      <c r="E23" s="1"/>
      <c r="F23" s="1"/>
    </row>
    <row r="24" spans="1:6" x14ac:dyDescent="0.25">
      <c r="A24" s="1"/>
      <c r="B24" s="1"/>
      <c r="C24" s="1">
        <v>490379</v>
      </c>
      <c r="D24" s="1"/>
      <c r="E24" s="1"/>
      <c r="F24" s="1"/>
    </row>
    <row r="25" spans="1:6" x14ac:dyDescent="0.25">
      <c r="A25" s="1"/>
      <c r="B25" s="1"/>
      <c r="C25" s="1">
        <v>479195</v>
      </c>
      <c r="D25" s="1"/>
      <c r="E25" s="1"/>
      <c r="F25" s="1"/>
    </row>
    <row r="26" spans="1:6" x14ac:dyDescent="0.25">
      <c r="A26" s="1"/>
      <c r="B26" s="1"/>
      <c r="C26" s="1">
        <v>443969</v>
      </c>
      <c r="D26" s="1"/>
      <c r="E26" s="1"/>
      <c r="F26" s="1"/>
    </row>
    <row r="27" spans="1:6" x14ac:dyDescent="0.25">
      <c r="A27" s="1"/>
      <c r="B27" s="1"/>
      <c r="C27" s="1">
        <v>490380</v>
      </c>
      <c r="D27" s="1"/>
      <c r="E27" s="1"/>
      <c r="F27" s="1"/>
    </row>
    <row r="28" spans="1:6" x14ac:dyDescent="0.25">
      <c r="A28" s="1"/>
      <c r="B28" s="1"/>
      <c r="C28" s="1">
        <v>486063</v>
      </c>
      <c r="D28" s="1"/>
      <c r="E28" s="1"/>
      <c r="F28" s="1"/>
    </row>
    <row r="29" spans="1:6" x14ac:dyDescent="0.25">
      <c r="A29" s="1"/>
      <c r="B29" s="1"/>
      <c r="C29" s="1">
        <v>490371</v>
      </c>
      <c r="D29" s="1"/>
      <c r="E29" s="1"/>
      <c r="F29" s="1"/>
    </row>
    <row r="30" spans="1:6" x14ac:dyDescent="0.25">
      <c r="A30" s="1"/>
      <c r="B30" s="1"/>
      <c r="C30" s="1">
        <v>13700</v>
      </c>
      <c r="D30" s="1"/>
      <c r="E30" s="1"/>
      <c r="F30" s="1"/>
    </row>
    <row r="31" spans="1:6" x14ac:dyDescent="0.25">
      <c r="A31" s="1"/>
      <c r="B31" s="1"/>
      <c r="C31" s="1">
        <v>13700</v>
      </c>
      <c r="D31" s="1"/>
      <c r="E31" s="1"/>
      <c r="F31" s="1"/>
    </row>
    <row r="32" spans="1:6" x14ac:dyDescent="0.25">
      <c r="A32" s="1"/>
      <c r="B32" s="1"/>
      <c r="C32" s="1">
        <v>468038</v>
      </c>
      <c r="D32" s="1"/>
      <c r="E32" s="1"/>
      <c r="F32" s="1"/>
    </row>
    <row r="33" spans="1:6" x14ac:dyDescent="0.25">
      <c r="A33" s="1"/>
      <c r="B33" s="1"/>
      <c r="C33" s="1">
        <v>13620</v>
      </c>
      <c r="D33" s="1"/>
      <c r="E33" s="1"/>
      <c r="F33" s="1"/>
    </row>
    <row r="34" spans="1:6" x14ac:dyDescent="0.25">
      <c r="A34" s="1"/>
      <c r="B34" s="1"/>
      <c r="C34" s="1">
        <v>607116</v>
      </c>
      <c r="D34" s="1"/>
      <c r="E34" s="1"/>
      <c r="F34" s="1"/>
    </row>
    <row r="35" spans="1:6" x14ac:dyDescent="0.25">
      <c r="A35" s="1"/>
      <c r="B35" s="1"/>
      <c r="C35" s="1">
        <v>488344</v>
      </c>
      <c r="D35" s="1"/>
      <c r="E35" s="1"/>
      <c r="F35" s="1"/>
    </row>
    <row r="36" spans="1:6" x14ac:dyDescent="0.25">
      <c r="A36" s="1"/>
      <c r="B36" s="1"/>
      <c r="C36" s="1">
        <v>342686</v>
      </c>
      <c r="D36" s="1"/>
      <c r="E36" s="1"/>
      <c r="F36" s="1"/>
    </row>
    <row r="37" spans="1:6" x14ac:dyDescent="0.25">
      <c r="A37" s="1"/>
      <c r="B37" s="1"/>
      <c r="C37" s="1">
        <v>508966</v>
      </c>
      <c r="D37" s="1"/>
      <c r="E37" s="1"/>
      <c r="F37" s="1"/>
    </row>
    <row r="38" spans="1:6" x14ac:dyDescent="0.25">
      <c r="A38" s="1"/>
      <c r="B38" s="1"/>
      <c r="C38" s="1">
        <v>13620</v>
      </c>
      <c r="D38" s="1"/>
      <c r="E38" s="1"/>
      <c r="F38" s="1"/>
    </row>
    <row r="39" spans="1:6" x14ac:dyDescent="0.25">
      <c r="A39" s="1"/>
      <c r="B39" s="1"/>
      <c r="C39" s="1">
        <v>13620</v>
      </c>
      <c r="D39" s="1"/>
      <c r="E39" s="1"/>
      <c r="F39" s="1"/>
    </row>
    <row r="40" spans="1:6" x14ac:dyDescent="0.25">
      <c r="A40" s="1"/>
      <c r="B40" s="1"/>
      <c r="C40" s="1">
        <v>482910</v>
      </c>
      <c r="D40" s="1"/>
      <c r="E40" s="1"/>
      <c r="F40" s="1"/>
    </row>
    <row r="41" spans="1:6" x14ac:dyDescent="0.25">
      <c r="A41" s="1"/>
      <c r="B41" s="1"/>
      <c r="C41" s="1">
        <v>342685</v>
      </c>
      <c r="D41" s="1"/>
      <c r="E41" s="1"/>
      <c r="F41" s="1"/>
    </row>
    <row r="42" spans="1:6" x14ac:dyDescent="0.25">
      <c r="A42" s="1"/>
      <c r="B42" s="1"/>
      <c r="C42" s="1">
        <v>508967</v>
      </c>
      <c r="D42" s="1"/>
      <c r="E42" s="1"/>
      <c r="F42" s="1"/>
    </row>
    <row r="43" spans="1:6" x14ac:dyDescent="0.25">
      <c r="A43" s="1"/>
      <c r="B43" s="1"/>
      <c r="C43" s="1">
        <v>13620</v>
      </c>
      <c r="D43" s="1"/>
      <c r="E43" s="1"/>
      <c r="F43" s="1"/>
    </row>
    <row r="44" spans="1:6" x14ac:dyDescent="0.25">
      <c r="A44" s="1"/>
      <c r="B44" s="1"/>
      <c r="C44" s="1">
        <v>13620</v>
      </c>
      <c r="D44" s="1"/>
      <c r="E44" s="1"/>
      <c r="F44" s="1"/>
    </row>
    <row r="45" spans="1:6" x14ac:dyDescent="0.25">
      <c r="A45" s="1"/>
      <c r="B45" s="1"/>
      <c r="C45" s="1">
        <v>483060</v>
      </c>
      <c r="D45" s="1"/>
      <c r="E45" s="1"/>
      <c r="F45" s="1"/>
    </row>
    <row r="46" spans="1:6" x14ac:dyDescent="0.25">
      <c r="A46" s="1"/>
      <c r="B46" s="1"/>
      <c r="C46" s="1">
        <v>14900</v>
      </c>
      <c r="D46" s="1"/>
      <c r="E46" s="1"/>
      <c r="F46" s="1"/>
    </row>
    <row r="47" spans="1:6" x14ac:dyDescent="0.25">
      <c r="A47" s="1"/>
      <c r="B47" s="1"/>
      <c r="C47" s="1">
        <v>491151</v>
      </c>
      <c r="D47" s="1"/>
      <c r="E47" s="1"/>
      <c r="F47" s="1"/>
    </row>
    <row r="48" spans="1:6" x14ac:dyDescent="0.25">
      <c r="A48" s="1"/>
      <c r="B48" s="1"/>
      <c r="C48" s="1">
        <v>90910</v>
      </c>
      <c r="D48" s="1"/>
      <c r="E48" s="1"/>
      <c r="F48" s="1"/>
    </row>
    <row r="49" spans="1:6" x14ac:dyDescent="0.25">
      <c r="A49" s="1"/>
      <c r="B49" s="1"/>
      <c r="C49" s="1">
        <v>90910</v>
      </c>
      <c r="D49" s="1"/>
      <c r="E49" s="1"/>
      <c r="F49" s="1"/>
    </row>
    <row r="50" spans="1:6" x14ac:dyDescent="0.25">
      <c r="A50" s="1"/>
      <c r="B50" s="1"/>
      <c r="C50" s="1">
        <v>490381</v>
      </c>
      <c r="D50" s="1"/>
      <c r="E50" s="1"/>
      <c r="F50" s="1"/>
    </row>
    <row r="51" spans="1:6" x14ac:dyDescent="0.25">
      <c r="A51" s="1"/>
      <c r="B51" s="1"/>
      <c r="C51" s="1">
        <v>455438</v>
      </c>
      <c r="D51" s="1"/>
      <c r="E51" s="1"/>
      <c r="F51" s="1"/>
    </row>
    <row r="52" spans="1:6" x14ac:dyDescent="0.25">
      <c r="A52" s="1"/>
      <c r="B52" s="1"/>
      <c r="C52" s="1">
        <v>10012</v>
      </c>
      <c r="D52" s="1"/>
      <c r="E52" s="1"/>
      <c r="F52" s="1"/>
    </row>
    <row r="53" spans="1:6" x14ac:dyDescent="0.25">
      <c r="A53" s="1"/>
      <c r="B53" s="1"/>
      <c r="C53" s="1">
        <v>490382</v>
      </c>
      <c r="D53" s="1"/>
      <c r="E53" s="1"/>
      <c r="F53" s="1"/>
    </row>
    <row r="54" spans="1:6" x14ac:dyDescent="0.25">
      <c r="A54" s="1"/>
      <c r="B54" s="1"/>
      <c r="C54" s="1">
        <v>10012</v>
      </c>
      <c r="D54" s="1"/>
      <c r="E54" s="1"/>
      <c r="F54" s="1"/>
    </row>
    <row r="55" spans="1:6" x14ac:dyDescent="0.25">
      <c r="A55" s="1"/>
      <c r="B55" s="1"/>
      <c r="C55" s="1">
        <v>491405</v>
      </c>
      <c r="D55" s="1"/>
      <c r="E55" s="1"/>
      <c r="F55" s="1"/>
    </row>
    <row r="56" spans="1:6" x14ac:dyDescent="0.25">
      <c r="A56" s="1"/>
      <c r="B56" s="1"/>
      <c r="C56" s="1">
        <v>478533</v>
      </c>
      <c r="D56" s="1"/>
      <c r="E56" s="1"/>
      <c r="F56" s="1"/>
    </row>
    <row r="57" spans="1:6" x14ac:dyDescent="0.25">
      <c r="A57" s="1"/>
      <c r="B57" s="1"/>
      <c r="C57" s="1">
        <v>490375</v>
      </c>
      <c r="D57" s="1"/>
      <c r="E57" s="1"/>
      <c r="F57" s="1"/>
    </row>
    <row r="58" spans="1:6" x14ac:dyDescent="0.25">
      <c r="A58" s="1"/>
      <c r="B58" s="1"/>
      <c r="C58" s="1">
        <v>452972</v>
      </c>
      <c r="D58" s="1"/>
      <c r="E58" s="1"/>
      <c r="F58" s="1"/>
    </row>
    <row r="59" spans="1:6" x14ac:dyDescent="0.25">
      <c r="A59" s="1"/>
      <c r="B59" s="1"/>
      <c r="C59" s="1">
        <v>475875</v>
      </c>
      <c r="D59" s="1"/>
      <c r="E59" s="1"/>
      <c r="F59" s="1"/>
    </row>
    <row r="60" spans="1:6" x14ac:dyDescent="0.25">
      <c r="A60" s="1"/>
      <c r="B60" s="1"/>
      <c r="C60" s="1">
        <v>478534</v>
      </c>
      <c r="D60" s="1"/>
      <c r="E60" s="1"/>
      <c r="F60" s="1"/>
    </row>
    <row r="61" spans="1:6" x14ac:dyDescent="0.25">
      <c r="A61" s="1"/>
      <c r="B61" s="1"/>
      <c r="C61" s="1">
        <v>352085</v>
      </c>
      <c r="D61" s="1"/>
      <c r="E61" s="1"/>
      <c r="F61" s="1"/>
    </row>
    <row r="62" spans="1:6" x14ac:dyDescent="0.25">
      <c r="A62" s="1"/>
      <c r="B62" s="1"/>
      <c r="C62" s="1">
        <v>470794</v>
      </c>
      <c r="D62" s="1"/>
      <c r="E62" s="1"/>
      <c r="F62" s="1"/>
    </row>
    <row r="63" spans="1:6" x14ac:dyDescent="0.25">
      <c r="A63" s="1"/>
      <c r="B63" s="1"/>
      <c r="C63" s="1">
        <v>490377</v>
      </c>
      <c r="D63" s="1"/>
      <c r="E63" s="1"/>
      <c r="F63" s="1"/>
    </row>
    <row r="64" spans="1:6" x14ac:dyDescent="0.25">
      <c r="A64" s="1"/>
      <c r="B64" s="1"/>
      <c r="C64" s="1">
        <v>486058</v>
      </c>
      <c r="D64" s="1"/>
      <c r="E64" s="1"/>
      <c r="F64" s="1"/>
    </row>
    <row r="65" spans="1:6" x14ac:dyDescent="0.25">
      <c r="A65" s="1"/>
      <c r="B65" s="1"/>
      <c r="C65" s="1">
        <v>490376</v>
      </c>
      <c r="D65" s="1"/>
      <c r="E65" s="1"/>
      <c r="F65" s="1"/>
    </row>
    <row r="66" spans="1:6" x14ac:dyDescent="0.25">
      <c r="A66" s="1"/>
      <c r="B66" s="1"/>
      <c r="C66" s="1">
        <v>477752</v>
      </c>
      <c r="D66" s="1"/>
      <c r="E66" s="1"/>
      <c r="F66" s="1"/>
    </row>
    <row r="67" spans="1:6" x14ac:dyDescent="0.25">
      <c r="A67" s="1"/>
      <c r="B67" s="1"/>
      <c r="C67" s="1">
        <v>452973</v>
      </c>
      <c r="D67" s="1"/>
      <c r="E67" s="1"/>
      <c r="F67" s="1"/>
    </row>
    <row r="68" spans="1:6" x14ac:dyDescent="0.25">
      <c r="A68" s="1"/>
      <c r="B68" s="1"/>
      <c r="C68" s="1">
        <v>477756</v>
      </c>
      <c r="D68" s="1"/>
      <c r="E68" s="1"/>
      <c r="F68" s="1"/>
    </row>
    <row r="69" spans="1:6" x14ac:dyDescent="0.25">
      <c r="A69" s="1"/>
      <c r="B69" s="1"/>
      <c r="C69" s="1">
        <v>352084</v>
      </c>
      <c r="D69" s="1"/>
      <c r="E69" s="1"/>
      <c r="F69" s="1"/>
    </row>
    <row r="70" spans="1:6" x14ac:dyDescent="0.25">
      <c r="A70" s="1"/>
      <c r="B70" s="1"/>
      <c r="C70" s="1">
        <v>482906</v>
      </c>
      <c r="D70" s="1"/>
      <c r="E70" s="1"/>
      <c r="F70" s="1"/>
    </row>
    <row r="71" spans="1:6" x14ac:dyDescent="0.25">
      <c r="A71" s="1"/>
      <c r="B71" s="1"/>
      <c r="C71" s="1">
        <v>481359</v>
      </c>
      <c r="D71" s="1"/>
      <c r="E71" s="1"/>
      <c r="F71" s="1"/>
    </row>
    <row r="72" spans="1:6" x14ac:dyDescent="0.25">
      <c r="A72" s="1"/>
      <c r="B72" s="1"/>
      <c r="C72" s="1">
        <v>481358</v>
      </c>
      <c r="D72" s="1"/>
      <c r="E72" s="1"/>
      <c r="F72" s="1"/>
    </row>
    <row r="73" spans="1:6" x14ac:dyDescent="0.25">
      <c r="A73" s="1"/>
      <c r="B73" s="1"/>
      <c r="C73" s="1">
        <v>473530</v>
      </c>
      <c r="D73" s="1"/>
      <c r="E73" s="1"/>
      <c r="F73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filtro</vt:lpstr>
      <vt:lpstr>promo</vt:lpstr>
      <vt:lpstr>recom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ADOLPH FLOW</cp:lastModifiedBy>
  <cp:lastPrinted>2025-11-17T00:28:44Z</cp:lastPrinted>
  <dcterms:created xsi:type="dcterms:W3CDTF">2025-07-31T02:36:28Z</dcterms:created>
  <dcterms:modified xsi:type="dcterms:W3CDTF">2026-05-26T18:48:25Z</dcterms:modified>
</cp:coreProperties>
</file>